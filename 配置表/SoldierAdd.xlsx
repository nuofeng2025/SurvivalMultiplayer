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oldierAdd" sheetId="4" r:id="rId1"/>
    <sheet name="链接表" sheetId="1" r:id="rId2"/>
    <sheet name="加成属性" sheetId="2" r:id="rId3"/>
    <sheet name="升级消耗" sheetId="3" r:id="rId4"/>
    <sheet name="属性类型" sheetId="5" r:id="rId5"/>
  </sheets>
  <definedNames>
    <definedName name="_xlnm._FilterDatabase" localSheetId="0" hidden="1">SoldierAdd!$A$3:$O$2433</definedName>
    <definedName name="_xlnm._FilterDatabase" localSheetId="1" hidden="1">链接表!$A$3:$W$2793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N1" authorId="0">
      <text>
        <r>
          <rPr>
            <sz val="9"/>
            <rFont val="宋体"/>
            <charset val="134"/>
          </rPr>
          <t>并非累加，直接读取当级结果</t>
        </r>
      </text>
    </comment>
    <comment ref="C3" authorId="0">
      <text>
        <r>
          <rPr>
            <sz val="9"/>
            <rFont val="宋体"/>
            <charset val="134"/>
          </rPr>
          <t>1.步兵
2.骑兵
3.弓兵
4.飞兵
5.神秘（魔法&amp;牧师）
6.异物（野兽&amp;魔物）</t>
        </r>
      </text>
    </comment>
    <comment ref="E3" authorId="0">
      <text>
        <r>
          <rPr>
            <sz val="9"/>
            <rFont val="宋体"/>
            <charset val="134"/>
          </rPr>
          <t>1.科技
2.兵种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N1" authorId="0">
      <text>
        <r>
          <rPr>
            <sz val="9"/>
            <rFont val="宋体"/>
            <charset val="134"/>
          </rPr>
          <t>并非累加，直接读取当级结果</t>
        </r>
      </text>
    </comment>
    <comment ref="C3" authorId="0">
      <text>
        <r>
          <rPr>
            <sz val="9"/>
            <rFont val="宋体"/>
            <charset val="134"/>
          </rPr>
          <t>1.步兵
2.骑兵
3.弓兵
4.飞兵
5.神秘（魔法&amp;牧师）
6.异物（野兽&amp;魔物）</t>
        </r>
      </text>
    </comment>
    <comment ref="E3" authorId="0">
      <text>
        <r>
          <rPr>
            <sz val="9"/>
            <rFont val="宋体"/>
            <charset val="134"/>
          </rPr>
          <t>1.科技
2.兵种</t>
        </r>
      </text>
    </comment>
    <comment ref="M3" authorId="0">
      <text>
        <r>
          <rPr>
            <sz val="9"/>
            <rFont val="宋体"/>
            <charset val="134"/>
          </rPr>
          <t>1：根据科技ID解锁
2：根据科技Type1 解锁</t>
        </r>
      </text>
    </comment>
  </commentList>
</comments>
</file>

<file path=xl/comments3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1.固定值
2.千分比（转化为百分比显示）</t>
        </r>
      </text>
    </comment>
    <comment ref="D3" authorId="0">
      <text>
        <r>
          <rPr>
            <sz val="9"/>
            <rFont val="宋体"/>
            <charset val="134"/>
          </rPr>
          <t>1.0不处理
2.非0则影响对应英雄的职业</t>
        </r>
      </text>
    </comment>
  </commentList>
</comments>
</file>

<file path=xl/sharedStrings.xml><?xml version="1.0" encoding="utf-8"?>
<sst xmlns="http://schemas.openxmlformats.org/spreadsheetml/2006/main" count="50672" uniqueCount="5384">
  <si>
    <t>ID</t>
  </si>
  <si>
    <t>ID1</t>
  </si>
  <si>
    <t>Type</t>
  </si>
  <si>
    <t>Type1</t>
  </si>
  <si>
    <t>Type2</t>
  </si>
  <si>
    <t>AddID</t>
  </si>
  <si>
    <t>Name</t>
  </si>
  <si>
    <t>Icon</t>
  </si>
  <si>
    <t>Show</t>
  </si>
  <si>
    <t>Lv</t>
  </si>
  <si>
    <t>Nextid</t>
  </si>
  <si>
    <t>Cost</t>
  </si>
  <si>
    <t>Unlock</t>
  </si>
  <si>
    <t>Effcet</t>
  </si>
  <si>
    <t>zuobiao</t>
  </si>
  <si>
    <t>Text</t>
  </si>
  <si>
    <t>int</t>
  </si>
  <si>
    <t>string</t>
  </si>
  <si>
    <t>主键ID</t>
  </si>
  <si>
    <t>科技ID</t>
  </si>
  <si>
    <t>类型</t>
  </si>
  <si>
    <t>科技类型</t>
  </si>
  <si>
    <t>兵种和科技</t>
  </si>
  <si>
    <t>科技阶段</t>
  </si>
  <si>
    <t>科技名称</t>
  </si>
  <si>
    <t>科技图标</t>
  </si>
  <si>
    <t>士兵缩放</t>
  </si>
  <si>
    <t>科技等级</t>
  </si>
  <si>
    <t>下级等级</t>
  </si>
  <si>
    <t>升级消耗</t>
  </si>
  <si>
    <t>科技解锁</t>
  </si>
  <si>
    <t>效果</t>
  </si>
  <si>
    <t>位置坐标</t>
  </si>
  <si>
    <t>描述</t>
  </si>
  <si>
    <t>10000</t>
  </si>
  <si>
    <t>1</t>
  </si>
  <si>
    <t>10001</t>
  </si>
  <si>
    <t>初级生命</t>
  </si>
  <si>
    <t>icon_01</t>
  </si>
  <si>
    <t>0</t>
  </si>
  <si>
    <t>12:5000|10101:1|10119:1|10122:1</t>
  </si>
  <si>
    <t>101:0</t>
  </si>
  <si>
    <t>所有步兵生命增加0</t>
  </si>
  <si>
    <t>10002</t>
  </si>
  <si>
    <t>12:6000|10101:2|10119:2|10122:2</t>
  </si>
  <si>
    <t>101:30</t>
  </si>
  <si>
    <t>所有步兵生命增加30</t>
  </si>
  <si>
    <t>2</t>
  </si>
  <si>
    <t>10003</t>
  </si>
  <si>
    <t>12:8000|10101:3|10119:3|10122:3</t>
  </si>
  <si>
    <t>所有步兵生命增加60</t>
  </si>
  <si>
    <t>3</t>
  </si>
  <si>
    <t>10004</t>
  </si>
  <si>
    <t>12:10000|10101:4|10119:4|10122:4</t>
  </si>
  <si>
    <t>所有步兵生命增加90</t>
  </si>
  <si>
    <t>4</t>
  </si>
  <si>
    <t>10005</t>
  </si>
  <si>
    <t>12:13000|10101:5|10119:5|10122:5</t>
  </si>
  <si>
    <t>所有步兵生命增加120</t>
  </si>
  <si>
    <t>5</t>
  </si>
  <si>
    <t>所有步兵生命增加150</t>
  </si>
  <si>
    <t>10100</t>
  </si>
  <si>
    <t>初级防御</t>
  </si>
  <si>
    <t>icon_02</t>
  </si>
  <si>
    <t>10101</t>
  </si>
  <si>
    <t>1:10000:1</t>
  </si>
  <si>
    <t>103:0</t>
  </si>
  <si>
    <t>所有步兵防御增加0</t>
  </si>
  <si>
    <t>10102</t>
  </si>
  <si>
    <t>103:6</t>
  </si>
  <si>
    <t>所有步兵防御增加6</t>
  </si>
  <si>
    <t>10103</t>
  </si>
  <si>
    <t>所有步兵防御增加12</t>
  </si>
  <si>
    <t>10104</t>
  </si>
  <si>
    <t>所有步兵防御增加18</t>
  </si>
  <si>
    <t>10105</t>
  </si>
  <si>
    <t>所有步兵防御增加24</t>
  </si>
  <si>
    <t>所有步兵防御增加30</t>
  </si>
  <si>
    <t>10200</t>
  </si>
  <si>
    <t>初级攻击</t>
  </si>
  <si>
    <t>icon_03</t>
  </si>
  <si>
    <t>10201</t>
  </si>
  <si>
    <t>102:0</t>
  </si>
  <si>
    <t>所有步兵攻击增加0</t>
  </si>
  <si>
    <t>10202</t>
  </si>
  <si>
    <t>102:10</t>
  </si>
  <si>
    <t>所有步兵攻击增加10</t>
  </si>
  <si>
    <t>10203</t>
  </si>
  <si>
    <t>所有步兵攻击增加20</t>
  </si>
  <si>
    <t>10204</t>
  </si>
  <si>
    <t>所有步兵攻击增加30</t>
  </si>
  <si>
    <t>10205</t>
  </si>
  <si>
    <t>所有步兵攻击增加40</t>
  </si>
  <si>
    <t>所有步兵攻击增加50</t>
  </si>
  <si>
    <t>10300</t>
  </si>
  <si>
    <t>初级魔防</t>
  </si>
  <si>
    <t>icon_04</t>
  </si>
  <si>
    <t>10301</t>
  </si>
  <si>
    <t>104:0</t>
  </si>
  <si>
    <t>所有步兵魔防增加0</t>
  </si>
  <si>
    <t>10302</t>
  </si>
  <si>
    <t>104:6</t>
  </si>
  <si>
    <t>所有步兵魔防增加6</t>
  </si>
  <si>
    <t>10303</t>
  </si>
  <si>
    <t>所有步兵魔防增加12</t>
  </si>
  <si>
    <t>10304</t>
  </si>
  <si>
    <t>所有步兵魔防增加18</t>
  </si>
  <si>
    <t>10305</t>
  </si>
  <si>
    <t>所有步兵魔防增加24</t>
  </si>
  <si>
    <t>所有步兵魔防增加30</t>
  </si>
  <si>
    <t>10400</t>
  </si>
  <si>
    <t>初级防御百分比</t>
  </si>
  <si>
    <t>icon_05</t>
  </si>
  <si>
    <t>10401</t>
  </si>
  <si>
    <t>1:10100:5</t>
  </si>
  <si>
    <t>108:0</t>
  </si>
  <si>
    <t>所有步兵防御百分比增加0%</t>
  </si>
  <si>
    <t>10402</t>
  </si>
  <si>
    <t>108:1</t>
  </si>
  <si>
    <t>所有步兵防御百分比增加1%</t>
  </si>
  <si>
    <t>10403</t>
  </si>
  <si>
    <t>所有步兵防御百分比增加2%</t>
  </si>
  <si>
    <t>10404</t>
  </si>
  <si>
    <t>所有步兵防御百分比增加3%</t>
  </si>
  <si>
    <t>10405</t>
  </si>
  <si>
    <t>所有步兵防御百分比增加4%</t>
  </si>
  <si>
    <t>10406</t>
  </si>
  <si>
    <t>12:16000|10101:7|10119:7|10122:7</t>
  </si>
  <si>
    <t>所有步兵防御百分比增加5%</t>
  </si>
  <si>
    <t>6</t>
  </si>
  <si>
    <t>10407</t>
  </si>
  <si>
    <t>12:20000|10101:9|10119:9|10122:9</t>
  </si>
  <si>
    <t>所有步兵防御百分比增加6%</t>
  </si>
  <si>
    <t>7</t>
  </si>
  <si>
    <t>10408</t>
  </si>
  <si>
    <t>12:25000|10101:11|10119:11|10122:11</t>
  </si>
  <si>
    <t>所有步兵防御百分比增加7%</t>
  </si>
  <si>
    <t>8</t>
  </si>
  <si>
    <t>10409</t>
  </si>
  <si>
    <t>12:31000|10101:13|10119:13|10122:13</t>
  </si>
  <si>
    <t>所有步兵防御百分比增加8%</t>
  </si>
  <si>
    <t>9</t>
  </si>
  <si>
    <t>10410</t>
  </si>
  <si>
    <t>12:39000|10101:15|10119:15|10122:15</t>
  </si>
  <si>
    <t>所有步兵防御百分比增加9%</t>
  </si>
  <si>
    <t>10</t>
  </si>
  <si>
    <t>所有步兵防御百分比增加10%</t>
  </si>
  <si>
    <t>10500</t>
  </si>
  <si>
    <t>初级攻击百分比</t>
  </si>
  <si>
    <t>icon_06</t>
  </si>
  <si>
    <t>10501</t>
  </si>
  <si>
    <t>1:10200:5</t>
  </si>
  <si>
    <t>107:0</t>
  </si>
  <si>
    <t>所有步兵攻击百分比增加0%</t>
  </si>
  <si>
    <t>10502</t>
  </si>
  <si>
    <t>107:1</t>
  </si>
  <si>
    <t>所有步兵攻击百分比增加1%</t>
  </si>
  <si>
    <t>10503</t>
  </si>
  <si>
    <t>所有步兵攻击百分比增加2%</t>
  </si>
  <si>
    <t>10504</t>
  </si>
  <si>
    <t>所有步兵攻击百分比增加3%</t>
  </si>
  <si>
    <t>10505</t>
  </si>
  <si>
    <t>所有步兵攻击百分比增加4%</t>
  </si>
  <si>
    <t>10506</t>
  </si>
  <si>
    <t>所有步兵攻击百分比增加5%</t>
  </si>
  <si>
    <t>10507</t>
  </si>
  <si>
    <t>所有步兵攻击百分比增加6%</t>
  </si>
  <si>
    <t>10508</t>
  </si>
  <si>
    <t>所有步兵攻击百分比增加7%</t>
  </si>
  <si>
    <t>10509</t>
  </si>
  <si>
    <t>所有步兵攻击百分比增加8%</t>
  </si>
  <si>
    <t>10510</t>
  </si>
  <si>
    <t>所有步兵攻击百分比增加9%</t>
  </si>
  <si>
    <t>所有步兵攻击百分比增加10%</t>
  </si>
  <si>
    <t>10600</t>
  </si>
  <si>
    <t>初级魔防百分比</t>
  </si>
  <si>
    <t>icon_07</t>
  </si>
  <si>
    <t>10601</t>
  </si>
  <si>
    <t>1:10300:5</t>
  </si>
  <si>
    <t>109:0</t>
  </si>
  <si>
    <t>所有步兵魔防百分比增加0%</t>
  </si>
  <si>
    <t>10602</t>
  </si>
  <si>
    <t>109:1</t>
  </si>
  <si>
    <t>所有步兵魔防百分比增加1%</t>
  </si>
  <si>
    <t>10603</t>
  </si>
  <si>
    <t>所有步兵魔防百分比增加2%</t>
  </si>
  <si>
    <t>10604</t>
  </si>
  <si>
    <t>所有步兵魔防百分比增加3%</t>
  </si>
  <si>
    <t>10605</t>
  </si>
  <si>
    <t>所有步兵魔防百分比增加4%</t>
  </si>
  <si>
    <t>10606</t>
  </si>
  <si>
    <t>所有步兵魔防百分比增加5%</t>
  </si>
  <si>
    <t>10607</t>
  </si>
  <si>
    <t>所有步兵魔防百分比增加6%</t>
  </si>
  <si>
    <t>10608</t>
  </si>
  <si>
    <t>所有步兵魔防百分比增加7%</t>
  </si>
  <si>
    <t>10609</t>
  </si>
  <si>
    <t>所有步兵魔防百分比增加8%</t>
  </si>
  <si>
    <t>10610</t>
  </si>
  <si>
    <t>所有步兵魔防百分比增加9%</t>
  </si>
  <si>
    <t>所有步兵魔防百分比增加10%</t>
  </si>
  <si>
    <t>10700</t>
  </si>
  <si>
    <t>皇室禁卫训练</t>
  </si>
  <si>
    <t>bubing01_Lv3</t>
  </si>
  <si>
    <t>1.5</t>
  </si>
  <si>
    <t>10701</t>
  </si>
  <si>
    <t>12:15000|10113:5|10123:5|10124:5</t>
  </si>
  <si>
    <t>1:10400:5</t>
  </si>
  <si>
    <t>1001:0</t>
  </si>
  <si>
    <t>皇室禁卫全属性提升0%</t>
  </si>
  <si>
    <t>10702</t>
  </si>
  <si>
    <t>12:20000|10113:10|10123:10|10124:10</t>
  </si>
  <si>
    <t>1001:1</t>
  </si>
  <si>
    <t>皇室禁卫全属性提升1%</t>
  </si>
  <si>
    <t>10703</t>
  </si>
  <si>
    <t>12:26000|10113:15|10123:15|10124:15</t>
  </si>
  <si>
    <t>皇室禁卫全属性提升2%</t>
  </si>
  <si>
    <t>10704</t>
  </si>
  <si>
    <t>12:34000|10113:20|10123:20|10124:20</t>
  </si>
  <si>
    <t>皇室禁卫全属性提升3%</t>
  </si>
  <si>
    <t>10705</t>
  </si>
  <si>
    <t>12:44000|10113:25|10123:25|10124:25</t>
  </si>
  <si>
    <t>皇室禁卫全属性提升4%</t>
  </si>
  <si>
    <t>10706</t>
  </si>
  <si>
    <t>12:57000|10113:30|10123:30|10124:30</t>
  </si>
  <si>
    <t>皇室禁卫全属性提升5%</t>
  </si>
  <si>
    <t>10707</t>
  </si>
  <si>
    <t>12:74000|10113:35|10123:35|10124:35</t>
  </si>
  <si>
    <t>皇室禁卫全属性提升6%</t>
  </si>
  <si>
    <t>10708</t>
  </si>
  <si>
    <t>12:96000|10113:40|10123:40|10124:40</t>
  </si>
  <si>
    <t>皇室禁卫全属性提升7%</t>
  </si>
  <si>
    <t>10709</t>
  </si>
  <si>
    <t>12:125000|10113:45|10123:45|10124:45</t>
  </si>
  <si>
    <t>皇室禁卫全属性提升8%</t>
  </si>
  <si>
    <t>10710</t>
  </si>
  <si>
    <t>12:163000|10113:50|10123:50|10124:50</t>
  </si>
  <si>
    <t>皇室禁卫全属性提升9%</t>
  </si>
  <si>
    <t>12:212000|10113:55|10123:55|10124:55</t>
  </si>
  <si>
    <t>皇室禁卫全属性提升10%</t>
  </si>
  <si>
    <t>10800</t>
  </si>
  <si>
    <t>刀锋战士训练</t>
  </si>
  <si>
    <t>bubing02_Lv3</t>
  </si>
  <si>
    <t>10801</t>
  </si>
  <si>
    <t>1:10500:5</t>
  </si>
  <si>
    <t>1002:0</t>
  </si>
  <si>
    <t>刀锋战士全属性提升0%</t>
  </si>
  <si>
    <t>10802</t>
  </si>
  <si>
    <t>1002:1</t>
  </si>
  <si>
    <t>刀锋战士全属性提升1%</t>
  </si>
  <si>
    <t>10803</t>
  </si>
  <si>
    <t>刀锋战士全属性提升2%</t>
  </si>
  <si>
    <t>10804</t>
  </si>
  <si>
    <t>刀锋战士全属性提升3%</t>
  </si>
  <si>
    <t>10805</t>
  </si>
  <si>
    <t>刀锋战士全属性提升4%</t>
  </si>
  <si>
    <t>10806</t>
  </si>
  <si>
    <t>刀锋战士全属性提升5%</t>
  </si>
  <si>
    <t>10807</t>
  </si>
  <si>
    <t>刀锋战士全属性提升6%</t>
  </si>
  <si>
    <t>10808</t>
  </si>
  <si>
    <t>刀锋战士全属性提升7%</t>
  </si>
  <si>
    <t>10809</t>
  </si>
  <si>
    <t>刀锋战士全属性提升8%</t>
  </si>
  <si>
    <t>10810</t>
  </si>
  <si>
    <t>刀锋战士全属性提升9%</t>
  </si>
  <si>
    <t>刀锋战士全属性提升10%</t>
  </si>
  <si>
    <t>10900</t>
  </si>
  <si>
    <t>格斗专家训练</t>
  </si>
  <si>
    <t>bubing03_Lv3</t>
  </si>
  <si>
    <t>10901</t>
  </si>
  <si>
    <t>1:10600:5</t>
  </si>
  <si>
    <t>1003:0</t>
  </si>
  <si>
    <t>格斗专家全属性提升0%</t>
  </si>
  <si>
    <t>10902</t>
  </si>
  <si>
    <t>1003:1</t>
  </si>
  <si>
    <t>格斗专家全属性提升1%</t>
  </si>
  <si>
    <t>10903</t>
  </si>
  <si>
    <t>格斗专家全属性提升2%</t>
  </si>
  <si>
    <t>10904</t>
  </si>
  <si>
    <t>格斗专家全属性提升3%</t>
  </si>
  <si>
    <t>10905</t>
  </si>
  <si>
    <t>格斗专家全属性提升4%</t>
  </si>
  <si>
    <t>10906</t>
  </si>
  <si>
    <t>格斗专家全属性提升5%</t>
  </si>
  <si>
    <t>10907</t>
  </si>
  <si>
    <t>格斗专家全属性提升6%</t>
  </si>
  <si>
    <t>10908</t>
  </si>
  <si>
    <t>格斗专家全属性提升7%</t>
  </si>
  <si>
    <t>10909</t>
  </si>
  <si>
    <t>格斗专家全属性提升8%</t>
  </si>
  <si>
    <t>10910</t>
  </si>
  <si>
    <t>格斗专家全属性提升9%</t>
  </si>
  <si>
    <t>格斗专家全属性提升10%</t>
  </si>
  <si>
    <t>11000</t>
  </si>
  <si>
    <t>中级生命</t>
  </si>
  <si>
    <t>11001</t>
  </si>
  <si>
    <t>12:10000|10107:1|10120:1|10121:1</t>
  </si>
  <si>
    <t>2:10001:30</t>
  </si>
  <si>
    <t>11002</t>
  </si>
  <si>
    <t>12:13000|10107:3|10120:3|10121:3</t>
  </si>
  <si>
    <t>101:20</t>
  </si>
  <si>
    <t>所有步兵生命增加20</t>
  </si>
  <si>
    <t>11003</t>
  </si>
  <si>
    <t>12:16000|10107:5|10120:5|10121:5</t>
  </si>
  <si>
    <t>所有步兵生命增加40</t>
  </si>
  <si>
    <t>11004</t>
  </si>
  <si>
    <t>12:20000|10107:7|10120:7|10121:7</t>
  </si>
  <si>
    <t>11005</t>
  </si>
  <si>
    <t>12:25000|10107:9|10120:9|10121:9</t>
  </si>
  <si>
    <t>所有步兵生命增加80</t>
  </si>
  <si>
    <t>11006</t>
  </si>
  <si>
    <t>12:32000|10107:11|10120:11|10121:11</t>
  </si>
  <si>
    <t>所有步兵生命增加100</t>
  </si>
  <si>
    <t>11007</t>
  </si>
  <si>
    <t>12:40000|10107:13|10120:13|10121:13</t>
  </si>
  <si>
    <t>11008</t>
  </si>
  <si>
    <t>12:50000|10107:15|10120:15|10121:15</t>
  </si>
  <si>
    <t>所有步兵生命增加140</t>
  </si>
  <si>
    <t>11009</t>
  </si>
  <si>
    <t>12:63000|10107:18|10120:18|10121:18</t>
  </si>
  <si>
    <t>所有步兵生命增加160</t>
  </si>
  <si>
    <t>11010</t>
  </si>
  <si>
    <t>12:79000|10107:21|10120:21|10121:21</t>
  </si>
  <si>
    <t>所有步兵生命增加180</t>
  </si>
  <si>
    <t>所有步兵生命增加200</t>
  </si>
  <si>
    <t>11100</t>
  </si>
  <si>
    <t>中级防御</t>
  </si>
  <si>
    <t>11101</t>
  </si>
  <si>
    <t>1:11000:5</t>
  </si>
  <si>
    <t>11102</t>
  </si>
  <si>
    <t>103:5</t>
  </si>
  <si>
    <t>所有步兵防御增加5</t>
  </si>
  <si>
    <t>11103</t>
  </si>
  <si>
    <t>所有步兵防御增加10</t>
  </si>
  <si>
    <t>11104</t>
  </si>
  <si>
    <t>所有步兵防御增加15</t>
  </si>
  <si>
    <t>11105</t>
  </si>
  <si>
    <t>所有步兵防御增加20</t>
  </si>
  <si>
    <t>11106</t>
  </si>
  <si>
    <t>所有步兵防御增加25</t>
  </si>
  <si>
    <t>11107</t>
  </si>
  <si>
    <t>11108</t>
  </si>
  <si>
    <t>所有步兵防御增加35</t>
  </si>
  <si>
    <t>11109</t>
  </si>
  <si>
    <t>所有步兵防御增加40</t>
  </si>
  <si>
    <t>11110</t>
  </si>
  <si>
    <t>所有步兵防御增加45</t>
  </si>
  <si>
    <t>所有步兵防御增加50</t>
  </si>
  <si>
    <t>11200</t>
  </si>
  <si>
    <t>中级攻击</t>
  </si>
  <si>
    <t>11201</t>
  </si>
  <si>
    <t>11202</t>
  </si>
  <si>
    <t>102:8</t>
  </si>
  <si>
    <t>所有步兵攻击增加8</t>
  </si>
  <si>
    <t>11203</t>
  </si>
  <si>
    <t>所有步兵攻击增加16</t>
  </si>
  <si>
    <t>11204</t>
  </si>
  <si>
    <t>所有步兵攻击增加24</t>
  </si>
  <si>
    <t>11205</t>
  </si>
  <si>
    <t>所有步兵攻击增加32</t>
  </si>
  <si>
    <t>11206</t>
  </si>
  <si>
    <t>11207</t>
  </si>
  <si>
    <t>所有步兵攻击增加48</t>
  </si>
  <si>
    <t>11208</t>
  </si>
  <si>
    <t>所有步兵攻击增加56</t>
  </si>
  <si>
    <t>11209</t>
  </si>
  <si>
    <t>所有步兵攻击增加64</t>
  </si>
  <si>
    <t>11210</t>
  </si>
  <si>
    <t>所有步兵攻击增加72</t>
  </si>
  <si>
    <t>所有步兵攻击增加80</t>
  </si>
  <si>
    <t>11300</t>
  </si>
  <si>
    <t>中级魔防</t>
  </si>
  <si>
    <t>11301</t>
  </si>
  <si>
    <t>11302</t>
  </si>
  <si>
    <t>104:5</t>
  </si>
  <si>
    <t>所有步兵魔防增加5</t>
  </si>
  <si>
    <t>11303</t>
  </si>
  <si>
    <t>所有步兵魔防增加10</t>
  </si>
  <si>
    <t>11304</t>
  </si>
  <si>
    <t>所有步兵魔防增加15</t>
  </si>
  <si>
    <t>11305</t>
  </si>
  <si>
    <t>所有步兵魔防增加20</t>
  </si>
  <si>
    <t>11306</t>
  </si>
  <si>
    <t>所有步兵魔防增加25</t>
  </si>
  <si>
    <t>11307</t>
  </si>
  <si>
    <t>11308</t>
  </si>
  <si>
    <t>所有步兵魔防增加35</t>
  </si>
  <si>
    <t>11309</t>
  </si>
  <si>
    <t>所有步兵魔防增加40</t>
  </si>
  <si>
    <t>11310</t>
  </si>
  <si>
    <t>所有步兵魔防增加45</t>
  </si>
  <si>
    <t>所有步兵魔防增加50</t>
  </si>
  <si>
    <t>11400</t>
  </si>
  <si>
    <t>中级防御百分比</t>
  </si>
  <si>
    <t>11401</t>
  </si>
  <si>
    <t>1:11100:5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</si>
  <si>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</si>
  <si>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</si>
  <si>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</si>
  <si>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</si>
  <si>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</si>
  <si>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</si>
  <si>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</si>
  <si>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</si>
  <si>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</si>
  <si>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</si>
  <si>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12:100000|10107:24|10120:24|10121:24</t>
  </si>
  <si>
    <t>11</t>
  </si>
  <si>
    <t>11412</t>
  </si>
  <si>
    <t>12:126000|10107:27|10120:27|10121:27</t>
  </si>
  <si>
    <t>所有步兵防御百分比增加11%</t>
  </si>
  <si>
    <t>12</t>
  </si>
  <si>
    <t>11413</t>
  </si>
  <si>
    <t>12:159000|10107:30|10120:30|10121:30</t>
  </si>
  <si>
    <t>所有步兵防御百分比增加12%</t>
  </si>
  <si>
    <t>13</t>
  </si>
  <si>
    <t>11414</t>
  </si>
  <si>
    <t>12:200000|10107:33|10120:33|10121:33</t>
  </si>
  <si>
    <t>所有步兵防御百分比增加13%</t>
  </si>
  <si>
    <t>14</t>
  </si>
  <si>
    <t>11415</t>
  </si>
  <si>
    <t>12:252000|10107:36|10120:36|10121:36</t>
  </si>
  <si>
    <t>所有步兵防御百分比增加14%</t>
  </si>
  <si>
    <t>15</t>
  </si>
  <si>
    <t>所有步兵防御百分比增加15%</t>
  </si>
  <si>
    <t>11500</t>
  </si>
  <si>
    <t>中级攻击百分比</t>
  </si>
  <si>
    <t>11501</t>
  </si>
  <si>
    <t>1:11200:5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</si>
  <si>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</si>
  <si>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</si>
  <si>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</si>
  <si>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</si>
  <si>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</si>
  <si>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</si>
  <si>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</si>
  <si>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</si>
  <si>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</si>
  <si>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</si>
  <si>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</si>
  <si>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所有步兵攻击百分比增加11%</t>
  </si>
  <si>
    <t>11513</t>
  </si>
  <si>
    <t>所有步兵攻击百分比增加12%</t>
  </si>
  <si>
    <t>11514</t>
  </si>
  <si>
    <t>所有步兵攻击百分比增加13%</t>
  </si>
  <si>
    <t>11515</t>
  </si>
  <si>
    <t>所有步兵攻击百分比增加14%</t>
  </si>
  <si>
    <t>所有步兵攻击百分比增加15%</t>
  </si>
  <si>
    <t>11600</t>
  </si>
  <si>
    <t>中级魔防百分比</t>
  </si>
  <si>
    <t>11601</t>
  </si>
  <si>
    <t>1:11300:5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</si>
  <si>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</si>
  <si>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</si>
  <si>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</si>
  <si>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</si>
  <si>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</si>
  <si>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</si>
  <si>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</si>
  <si>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</si>
  <si>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</si>
  <si>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</si>
  <si>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</si>
  <si>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所有步兵魔防百分比增加11%</t>
  </si>
  <si>
    <t>11613</t>
  </si>
  <si>
    <t>所有步兵魔防百分比增加12%</t>
  </si>
  <si>
    <t>11614</t>
  </si>
  <si>
    <t>所有步兵魔防百分比增加13%</t>
  </si>
  <si>
    <t>11615</t>
  </si>
  <si>
    <t>所有步兵魔防百分比增加14%</t>
  </si>
  <si>
    <t>所有步兵魔防百分比增加15%</t>
  </si>
  <si>
    <t>11700</t>
  </si>
  <si>
    <t>11701</t>
  </si>
  <si>
    <t>1:11400:5</t>
  </si>
  <si>
    <t>10004:0</t>
  </si>
  <si>
    <t>11702</t>
  </si>
  <si>
    <t>10004:1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</si>
  <si>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</si>
  <si>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</si>
  <si>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</si>
  <si>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</si>
  <si>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</si>
  <si>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</si>
  <si>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</si>
  <si>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</si>
  <si>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11800</t>
  </si>
  <si>
    <t>11801</t>
  </si>
  <si>
    <t>1:11500:5</t>
  </si>
  <si>
    <t>10005:0</t>
  </si>
  <si>
    <t>11802</t>
  </si>
  <si>
    <t>10005:1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</si>
  <si>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</si>
  <si>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</si>
  <si>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</si>
  <si>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</si>
  <si>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</si>
  <si>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</si>
  <si>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</si>
  <si>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</si>
  <si>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11900</t>
  </si>
  <si>
    <t>11901</t>
  </si>
  <si>
    <t>1:11600:5</t>
  </si>
  <si>
    <t>10006:0</t>
  </si>
  <si>
    <t>11902</t>
  </si>
  <si>
    <t>10006:1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</si>
  <si>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</si>
  <si>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</si>
  <si>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</si>
  <si>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</si>
  <si>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</si>
  <si>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</si>
  <si>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</si>
  <si>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</si>
  <si>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12000</t>
  </si>
  <si>
    <t>高级生命</t>
  </si>
  <si>
    <t>12001</t>
  </si>
  <si>
    <t>2:10001:50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</si>
  <si>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</si>
  <si>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</si>
  <si>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</si>
  <si>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</si>
  <si>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</si>
  <si>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</si>
  <si>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</si>
  <si>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</si>
  <si>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</si>
  <si>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</si>
  <si>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</si>
  <si>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12:276000|10113:60|10123:60|10124:60</t>
  </si>
  <si>
    <t>所有步兵生命增加220</t>
  </si>
  <si>
    <t>12013</t>
  </si>
  <si>
    <t>12:359000|10113:65|10123:65|10124:65</t>
  </si>
  <si>
    <t>所有步兵生命增加240</t>
  </si>
  <si>
    <t>12014</t>
  </si>
  <si>
    <t>12:276000|10113:60|10123:60|10124:61</t>
  </si>
  <si>
    <t>所有步兵生命增加260</t>
  </si>
  <si>
    <t>12015</t>
  </si>
  <si>
    <t>12:359000|10113:65|10123:65|10124:66</t>
  </si>
  <si>
    <t>所有步兵生命增加280</t>
  </si>
  <si>
    <t>12:276000|10113:60|10123:60|10124:62</t>
  </si>
  <si>
    <t>所有步兵生命增加300</t>
  </si>
  <si>
    <t>12100</t>
  </si>
  <si>
    <t>高级防御</t>
  </si>
  <si>
    <t>12101</t>
  </si>
  <si>
    <t>1:12000:5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</si>
  <si>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</si>
  <si>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</si>
  <si>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</si>
  <si>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</si>
  <si>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</si>
  <si>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</si>
  <si>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</si>
  <si>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</si>
  <si>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</si>
  <si>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</si>
  <si>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</si>
  <si>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所有步兵防御增加55</t>
  </si>
  <si>
    <t>12113</t>
  </si>
  <si>
    <t>所有步兵防御增加60</t>
  </si>
  <si>
    <t>12114</t>
  </si>
  <si>
    <t>12:467000|10113:70|10123:70|10124:70</t>
  </si>
  <si>
    <t>所有步兵防御增加65</t>
  </si>
  <si>
    <t>12115</t>
  </si>
  <si>
    <t>12:607000|10113:75|10123:75|10124:75</t>
  </si>
  <si>
    <t>所有步兵防御增加70</t>
  </si>
  <si>
    <t>所有步兵防御增加75</t>
  </si>
  <si>
    <t>12200</t>
  </si>
  <si>
    <t>高级攻击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</si>
  <si>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</si>
  <si>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</si>
  <si>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</si>
  <si>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</si>
  <si>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</si>
  <si>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</si>
  <si>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</si>
  <si>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</si>
  <si>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</si>
  <si>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</si>
  <si>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</si>
  <si>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</si>
  <si>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所有步兵攻击增加88</t>
  </si>
  <si>
    <t>12213</t>
  </si>
  <si>
    <t>所有步兵攻击增加96</t>
  </si>
  <si>
    <t>12214</t>
  </si>
  <si>
    <t>所有步兵攻击增加104</t>
  </si>
  <si>
    <t>12215</t>
  </si>
  <si>
    <t>所有步兵攻击增加112</t>
  </si>
  <si>
    <t>所有步兵攻击增加120</t>
  </si>
  <si>
    <t>12300</t>
  </si>
  <si>
    <t>高级魔防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</si>
  <si>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</si>
  <si>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</si>
  <si>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</si>
  <si>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</si>
  <si>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</si>
  <si>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</si>
  <si>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</si>
  <si>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</si>
  <si>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</si>
  <si>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</si>
  <si>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</si>
  <si>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</si>
  <si>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所有步兵魔防增加55</t>
  </si>
  <si>
    <t>12313</t>
  </si>
  <si>
    <t>所有步兵魔防增加60</t>
  </si>
  <si>
    <t>12314</t>
  </si>
  <si>
    <t>所有步兵魔防增加65</t>
  </si>
  <si>
    <t>12315</t>
  </si>
  <si>
    <t>所有步兵魔防增加70</t>
  </si>
  <si>
    <t>所有步兵魔防增加75</t>
  </si>
  <si>
    <t>12400</t>
  </si>
  <si>
    <t>高级防御百分比</t>
  </si>
  <si>
    <t>12401</t>
  </si>
  <si>
    <t>1:12100:10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</si>
  <si>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</si>
  <si>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</si>
  <si>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</si>
  <si>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</si>
  <si>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</si>
  <si>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</si>
  <si>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</si>
  <si>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</si>
  <si>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</si>
  <si>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</si>
  <si>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</si>
  <si>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</si>
  <si>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</si>
  <si>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</si>
  <si>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</si>
  <si>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12:789000|10113:80|10123:80|10124:80</t>
  </si>
  <si>
    <t>16</t>
  </si>
  <si>
    <t>12417</t>
  </si>
  <si>
    <t>12:1026000|10113:85|10123:85|10124:85</t>
  </si>
  <si>
    <t>所有步兵防御百分比增加16%</t>
  </si>
  <si>
    <t>17</t>
  </si>
  <si>
    <t>12418</t>
  </si>
  <si>
    <t>12:1334000|10113:90|10123:90|10124:90</t>
  </si>
  <si>
    <t>所有步兵防御百分比增加17%</t>
  </si>
  <si>
    <t>18</t>
  </si>
  <si>
    <t>12419</t>
  </si>
  <si>
    <t>12:1734000|10113:95|10123:95|10124:95</t>
  </si>
  <si>
    <t>所有步兵防御百分比增加18%</t>
  </si>
  <si>
    <t>19</t>
  </si>
  <si>
    <t>12420</t>
  </si>
  <si>
    <t>12:2254000|10113:100|10123:100|10124:100</t>
  </si>
  <si>
    <t>所有步兵防御百分比增加19%</t>
  </si>
  <si>
    <t>20</t>
  </si>
  <si>
    <t>所有步兵防御百分比增加20%</t>
  </si>
  <si>
    <t>12500</t>
  </si>
  <si>
    <t>高级攻击百分比</t>
  </si>
  <si>
    <t>12501</t>
  </si>
  <si>
    <t>1:12200:10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</si>
  <si>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</si>
  <si>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</si>
  <si>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</si>
  <si>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</si>
  <si>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</si>
  <si>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</si>
  <si>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</si>
  <si>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</si>
  <si>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</si>
  <si>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</si>
  <si>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</si>
  <si>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</si>
  <si>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</si>
  <si>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</si>
  <si>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</si>
  <si>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</si>
  <si>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所有步兵攻击百分比增加16%</t>
  </si>
  <si>
    <t>12518</t>
  </si>
  <si>
    <t>所有步兵攻击百分比增加17%</t>
  </si>
  <si>
    <t>12519</t>
  </si>
  <si>
    <t>所有步兵攻击百分比增加18%</t>
  </si>
  <si>
    <t>12520</t>
  </si>
  <si>
    <t>所有步兵攻击百分比增加19%</t>
  </si>
  <si>
    <t>所有步兵攻击百分比增加20%</t>
  </si>
  <si>
    <t>12600</t>
  </si>
  <si>
    <t>高级魔防百分比</t>
  </si>
  <si>
    <t>12601</t>
  </si>
  <si>
    <t>1:12300:10</t>
  </si>
  <si>
    <t>106:0</t>
  </si>
  <si>
    <t>12602</t>
  </si>
  <si>
    <t>106:1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</si>
  <si>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</si>
  <si>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</si>
  <si>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</si>
  <si>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</si>
  <si>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</si>
  <si>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</si>
  <si>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</si>
  <si>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</si>
  <si>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</si>
  <si>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</si>
  <si>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</si>
  <si>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</si>
  <si>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</si>
  <si>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</si>
  <si>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</si>
  <si>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所有步兵魔防百分比增加16%</t>
  </si>
  <si>
    <t>12618</t>
  </si>
  <si>
    <t>所有步兵魔防百分比增加17%</t>
  </si>
  <si>
    <t>12619</t>
  </si>
  <si>
    <t>所有步兵魔防百分比增加18%</t>
  </si>
  <si>
    <t>12620</t>
  </si>
  <si>
    <t>所有步兵魔防百分比增加19%</t>
  </si>
  <si>
    <t>所有步兵魔防百分比增加20%</t>
  </si>
  <si>
    <t>12700</t>
  </si>
  <si>
    <t>12701</t>
  </si>
  <si>
    <t>1:12400:10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</si>
  <si>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</si>
  <si>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</si>
  <si>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</si>
  <si>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</si>
  <si>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</si>
  <si>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</si>
  <si>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</si>
  <si>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</si>
  <si>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</si>
  <si>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</si>
  <si>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</si>
  <si>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皇室禁卫全属性提升11%</t>
  </si>
  <si>
    <t>12713</t>
  </si>
  <si>
    <t>皇室禁卫全属性提升12%</t>
  </si>
  <si>
    <t>12714</t>
  </si>
  <si>
    <t>皇室禁卫全属性提升13%</t>
  </si>
  <si>
    <t>12715</t>
  </si>
  <si>
    <t>皇室禁卫全属性提升14%</t>
  </si>
  <si>
    <t>12716</t>
  </si>
  <si>
    <t>皇室禁卫全属性提升15%</t>
  </si>
  <si>
    <t>12717</t>
  </si>
  <si>
    <t>皇室禁卫全属性提升16%</t>
  </si>
  <si>
    <t>12718</t>
  </si>
  <si>
    <t>皇室禁卫全属性提升17%</t>
  </si>
  <si>
    <t>12719</t>
  </si>
  <si>
    <t>皇室禁卫全属性提升18%</t>
  </si>
  <si>
    <t>12720</t>
  </si>
  <si>
    <t>皇室禁卫全属性提升19%</t>
  </si>
  <si>
    <t>皇室禁卫全属性提升20%</t>
  </si>
  <si>
    <t>12800</t>
  </si>
  <si>
    <t>12801</t>
  </si>
  <si>
    <t>1:12500:10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</si>
  <si>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</si>
  <si>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</si>
  <si>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</si>
  <si>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</si>
  <si>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</si>
  <si>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</si>
  <si>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</si>
  <si>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</si>
  <si>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</si>
  <si>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</si>
  <si>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</si>
  <si>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刀锋战士全属性提升11%</t>
  </si>
  <si>
    <t>12813</t>
  </si>
  <si>
    <t>刀锋战士全属性提升12%</t>
  </si>
  <si>
    <t>12814</t>
  </si>
  <si>
    <t>刀锋战士全属性提升13%</t>
  </si>
  <si>
    <t>12815</t>
  </si>
  <si>
    <t>刀锋战士全属性提升14%</t>
  </si>
  <si>
    <t>12816</t>
  </si>
  <si>
    <t>刀锋战士全属性提升15%</t>
  </si>
  <si>
    <t>12817</t>
  </si>
  <si>
    <t>刀锋战士全属性提升16%</t>
  </si>
  <si>
    <t>12818</t>
  </si>
  <si>
    <t>刀锋战士全属性提升17%</t>
  </si>
  <si>
    <t>12819</t>
  </si>
  <si>
    <t>刀锋战士全属性提升18%</t>
  </si>
  <si>
    <t>12820</t>
  </si>
  <si>
    <t>刀锋战士全属性提升19%</t>
  </si>
  <si>
    <t>刀锋战士全属性提升20%</t>
  </si>
  <si>
    <t>12900</t>
  </si>
  <si>
    <t>12901</t>
  </si>
  <si>
    <t>1:12600:10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</si>
  <si>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</si>
  <si>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</si>
  <si>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</si>
  <si>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</si>
  <si>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</si>
  <si>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</si>
  <si>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</si>
  <si>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</si>
  <si>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</si>
  <si>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</si>
  <si>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</si>
  <si>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格斗专家全属性提升11%</t>
  </si>
  <si>
    <t>12913</t>
  </si>
  <si>
    <t>格斗专家全属性提升12%</t>
  </si>
  <si>
    <t>12914</t>
  </si>
  <si>
    <t>格斗专家全属性提升13%</t>
  </si>
  <si>
    <t>12915</t>
  </si>
  <si>
    <t>格斗专家全属性提升14%</t>
  </si>
  <si>
    <t>12916</t>
  </si>
  <si>
    <t>格斗专家全属性提升15%</t>
  </si>
  <si>
    <t>12917</t>
  </si>
  <si>
    <t>格斗专家全属性提升16%</t>
  </si>
  <si>
    <t>12918</t>
  </si>
  <si>
    <t>格斗专家全属性提升17%</t>
  </si>
  <si>
    <t>12919</t>
  </si>
  <si>
    <t>格斗专家全属性提升18%</t>
  </si>
  <si>
    <t>12920</t>
  </si>
  <si>
    <t>格斗专家全属性提升19%</t>
  </si>
  <si>
    <t>格斗专家全属性提升20%</t>
  </si>
  <si>
    <t>20000</t>
  </si>
  <si>
    <t>20001</t>
  </si>
  <si>
    <t>12:5000|10102:1|10119:1|10122:1</t>
  </si>
  <si>
    <t>111:0</t>
  </si>
  <si>
    <t>所有骑兵生命增加0</t>
  </si>
  <si>
    <t>20002</t>
  </si>
  <si>
    <t>12:6000|10102:2|10119:2|10122:2</t>
  </si>
  <si>
    <t>111:30</t>
  </si>
  <si>
    <t>所有骑兵生命增加30</t>
  </si>
  <si>
    <t>20003</t>
  </si>
  <si>
    <t>12:8000|10102:3|10119:3|10122:3</t>
  </si>
  <si>
    <t>所有骑兵生命增加60</t>
  </si>
  <si>
    <t>20004</t>
  </si>
  <si>
    <t>12:10000|10102:4|10119:4|10122:4</t>
  </si>
  <si>
    <t>所有骑兵生命增加90</t>
  </si>
  <si>
    <t>20005</t>
  </si>
  <si>
    <t>12:13000|10102:5|10119:5|10122:5</t>
  </si>
  <si>
    <t>所有骑兵生命增加120</t>
  </si>
  <si>
    <t>所有骑兵生命增加150</t>
  </si>
  <si>
    <t>20100</t>
  </si>
  <si>
    <t>20101</t>
  </si>
  <si>
    <t>113:0</t>
  </si>
  <si>
    <t>所有骑兵防御增加0</t>
  </si>
  <si>
    <t>20102</t>
  </si>
  <si>
    <t>113:6</t>
  </si>
  <si>
    <t>所有骑兵防御增加6</t>
  </si>
  <si>
    <t>20103</t>
  </si>
  <si>
    <t>所有骑兵防御增加12</t>
  </si>
  <si>
    <t>20104</t>
  </si>
  <si>
    <t>所有骑兵防御增加18</t>
  </si>
  <si>
    <t>20105</t>
  </si>
  <si>
    <t>所有骑兵防御增加24</t>
  </si>
  <si>
    <t>所有骑兵防御增加30</t>
  </si>
  <si>
    <t>20200</t>
  </si>
  <si>
    <t>20201</t>
  </si>
  <si>
    <t>112:0</t>
  </si>
  <si>
    <t>所有骑兵攻击增加0</t>
  </si>
  <si>
    <t>20202</t>
  </si>
  <si>
    <t>112:10</t>
  </si>
  <si>
    <t>所有骑兵攻击增加10</t>
  </si>
  <si>
    <t>20203</t>
  </si>
  <si>
    <t>所有骑兵攻击增加20</t>
  </si>
  <si>
    <t>20204</t>
  </si>
  <si>
    <t>所有骑兵攻击增加30</t>
  </si>
  <si>
    <t>20205</t>
  </si>
  <si>
    <t>所有骑兵攻击增加40</t>
  </si>
  <si>
    <t>所有骑兵攻击增加50</t>
  </si>
  <si>
    <t>20300</t>
  </si>
  <si>
    <t>20301</t>
  </si>
  <si>
    <t>114:0</t>
  </si>
  <si>
    <t>所有骑兵魔防增加0</t>
  </si>
  <si>
    <t>20302</t>
  </si>
  <si>
    <t>114:6</t>
  </si>
  <si>
    <t>所有骑兵魔防增加6</t>
  </si>
  <si>
    <t>20303</t>
  </si>
  <si>
    <t>所有骑兵魔防增加12</t>
  </si>
  <si>
    <t>20304</t>
  </si>
  <si>
    <t>所有骑兵魔防增加18</t>
  </si>
  <si>
    <t>20305</t>
  </si>
  <si>
    <t>所有骑兵魔防增加24</t>
  </si>
  <si>
    <t>所有骑兵魔防增加30</t>
  </si>
  <si>
    <t>20400</t>
  </si>
  <si>
    <t>20401</t>
  </si>
  <si>
    <t>118:0</t>
  </si>
  <si>
    <t>所有骑兵防御百分比增加0%</t>
  </si>
  <si>
    <t>20402</t>
  </si>
  <si>
    <t>118:1</t>
  </si>
  <si>
    <t>所有骑兵防御百分比增加1%</t>
  </si>
  <si>
    <t>20403</t>
  </si>
  <si>
    <t>所有骑兵防御百分比增加2%</t>
  </si>
  <si>
    <t>20404</t>
  </si>
  <si>
    <t>所有骑兵防御百分比增加3%</t>
  </si>
  <si>
    <t>20405</t>
  </si>
  <si>
    <t>所有骑兵防御百分比增加4%</t>
  </si>
  <si>
    <t>20406</t>
  </si>
  <si>
    <t>12:16000|10102:7|10119:7|10122:7</t>
  </si>
  <si>
    <t>所有骑兵防御百分比增加5%</t>
  </si>
  <si>
    <t>20407</t>
  </si>
  <si>
    <t>12:20000|10102:9|10119:9|10122:9</t>
  </si>
  <si>
    <t>所有骑兵防御百分比增加6%</t>
  </si>
  <si>
    <t>20408</t>
  </si>
  <si>
    <t>12:25000|10102:11|10119:11|10122:11</t>
  </si>
  <si>
    <t>所有骑兵防御百分比增加7%</t>
  </si>
  <si>
    <t>20409</t>
  </si>
  <si>
    <t>12:31000|10102:13|10119:13|10122:13</t>
  </si>
  <si>
    <t>所有骑兵防御百分比增加8%</t>
  </si>
  <si>
    <t>20410</t>
  </si>
  <si>
    <t>12:39000|10102:15|10119:15|10122:15</t>
  </si>
  <si>
    <t>所有骑兵防御百分比增加9%</t>
  </si>
  <si>
    <t>所有骑兵防御百分比增加10%</t>
  </si>
  <si>
    <t>20500</t>
  </si>
  <si>
    <t>20501</t>
  </si>
  <si>
    <t>117:0</t>
  </si>
  <si>
    <t>所有骑兵攻击百分比增加0%</t>
  </si>
  <si>
    <t>20502</t>
  </si>
  <si>
    <t>117:1</t>
  </si>
  <si>
    <t>所有骑兵攻击百分比增加1%</t>
  </si>
  <si>
    <t>20503</t>
  </si>
  <si>
    <t>所有骑兵攻击百分比增加2%</t>
  </si>
  <si>
    <t>20504</t>
  </si>
  <si>
    <t>所有骑兵攻击百分比增加3%</t>
  </si>
  <si>
    <t>20505</t>
  </si>
  <si>
    <t>所有骑兵攻击百分比增加4%</t>
  </si>
  <si>
    <t>20506</t>
  </si>
  <si>
    <t>所有骑兵攻击百分比增加5%</t>
  </si>
  <si>
    <t>20507</t>
  </si>
  <si>
    <t>所有骑兵攻击百分比增加6%</t>
  </si>
  <si>
    <t>20508</t>
  </si>
  <si>
    <t>所有骑兵攻击百分比增加7%</t>
  </si>
  <si>
    <t>20509</t>
  </si>
  <si>
    <t>所有骑兵攻击百分比增加8%</t>
  </si>
  <si>
    <t>20510</t>
  </si>
  <si>
    <t>所有骑兵攻击百分比增加9%</t>
  </si>
  <si>
    <t>所有骑兵攻击百分比增加10%</t>
  </si>
  <si>
    <t>20600</t>
  </si>
  <si>
    <t>20601</t>
  </si>
  <si>
    <t>119:0</t>
  </si>
  <si>
    <t>所有骑兵魔防百分比增加0%</t>
  </si>
  <si>
    <t>20602</t>
  </si>
  <si>
    <t>119:1</t>
  </si>
  <si>
    <t>所有骑兵魔防百分比增加1%</t>
  </si>
  <si>
    <t>20603</t>
  </si>
  <si>
    <t>所有骑兵魔防百分比增加2%</t>
  </si>
  <si>
    <t>20604</t>
  </si>
  <si>
    <t>所有骑兵魔防百分比增加3%</t>
  </si>
  <si>
    <t>20605</t>
  </si>
  <si>
    <t>所有骑兵魔防百分比增加4%</t>
  </si>
  <si>
    <t>20606</t>
  </si>
  <si>
    <t>所有骑兵魔防百分比增加5%</t>
  </si>
  <si>
    <t>20607</t>
  </si>
  <si>
    <t>所有骑兵魔防百分比增加6%</t>
  </si>
  <si>
    <t>20608</t>
  </si>
  <si>
    <t>所有骑兵魔防百分比增加7%</t>
  </si>
  <si>
    <t>20609</t>
  </si>
  <si>
    <t>所有骑兵魔防百分比增加8%</t>
  </si>
  <si>
    <t>20610</t>
  </si>
  <si>
    <t>所有骑兵魔防百分比增加9%</t>
  </si>
  <si>
    <t>所有骑兵魔防百分比增加10%</t>
  </si>
  <si>
    <t>20700</t>
  </si>
  <si>
    <t>皇家骑士训练</t>
  </si>
  <si>
    <t>qibing01_Lv3</t>
  </si>
  <si>
    <t>20701</t>
  </si>
  <si>
    <t>12:15000|10114:5|10123:5|10124:5</t>
  </si>
  <si>
    <t>1005:0</t>
  </si>
  <si>
    <t>皇家骑士全属性0%</t>
  </si>
  <si>
    <t>20702</t>
  </si>
  <si>
    <t>12:20000|10114:10|10123:10|10124:10</t>
  </si>
  <si>
    <t>1005:1</t>
  </si>
  <si>
    <t>皇家骑士全属性1%</t>
  </si>
  <si>
    <t>20703</t>
  </si>
  <si>
    <t>12:26000|10114:15|10123:15|10124:15</t>
  </si>
  <si>
    <t>皇家骑士全属性2%</t>
  </si>
  <si>
    <t>20704</t>
  </si>
  <si>
    <t>12:34000|10114:20|10123:20|10124:20</t>
  </si>
  <si>
    <t>皇家骑士全属性3%</t>
  </si>
  <si>
    <t>20705</t>
  </si>
  <si>
    <t>12:44000|10114:25|10123:25|10124:25</t>
  </si>
  <si>
    <t>皇家骑士全属性4%</t>
  </si>
  <si>
    <t>20706</t>
  </si>
  <si>
    <t>12:57000|10114:30|10123:30|10124:30</t>
  </si>
  <si>
    <t>皇家骑士全属性5%</t>
  </si>
  <si>
    <t>20707</t>
  </si>
  <si>
    <t>12:74000|10114:35|10123:35|10124:35</t>
  </si>
  <si>
    <t>皇家骑士全属性6%</t>
  </si>
  <si>
    <t>20708</t>
  </si>
  <si>
    <t>12:96000|10114:40|10123:40|10124:40</t>
  </si>
  <si>
    <t>皇家骑士全属性7%</t>
  </si>
  <si>
    <t>20709</t>
  </si>
  <si>
    <t>12:125000|10114:45|10123:45|10124:45</t>
  </si>
  <si>
    <t>皇家骑士全属性8%</t>
  </si>
  <si>
    <t>20710</t>
  </si>
  <si>
    <t>12:163000|10114:50|10123:50|10124:50</t>
  </si>
  <si>
    <t>皇家骑士全属性9%</t>
  </si>
  <si>
    <t>12:212000|10114:55|10123:55|10124:55</t>
  </si>
  <si>
    <t>皇家骑士全属性10%</t>
  </si>
  <si>
    <t>20800</t>
  </si>
  <si>
    <t>黑暗骑士训练</t>
  </si>
  <si>
    <t>qibing02_Lv3</t>
  </si>
  <si>
    <t>20801</t>
  </si>
  <si>
    <t>1006:0</t>
  </si>
  <si>
    <t>黑暗骑士全属性0%</t>
  </si>
  <si>
    <t>20802</t>
  </si>
  <si>
    <t>1006:1</t>
  </si>
  <si>
    <t>黑暗骑士全属性1%</t>
  </si>
  <si>
    <t>20803</t>
  </si>
  <si>
    <t>黑暗骑士全属性2%</t>
  </si>
  <si>
    <t>20804</t>
  </si>
  <si>
    <t>黑暗骑士全属性3%</t>
  </si>
  <si>
    <t>20805</t>
  </si>
  <si>
    <t>黑暗骑士全属性4%</t>
  </si>
  <si>
    <t>20806</t>
  </si>
  <si>
    <t>黑暗骑士全属性5%</t>
  </si>
  <si>
    <t>20807</t>
  </si>
  <si>
    <t>黑暗骑士全属性6%</t>
  </si>
  <si>
    <t>20808</t>
  </si>
  <si>
    <t>黑暗骑士全属性7%</t>
  </si>
  <si>
    <t>20809</t>
  </si>
  <si>
    <t>黑暗骑士全属性8%</t>
  </si>
  <si>
    <t>20810</t>
  </si>
  <si>
    <t>黑暗骑士全属性9%</t>
  </si>
  <si>
    <t>黑暗骑士全属性10%</t>
  </si>
  <si>
    <t>20900</t>
  </si>
  <si>
    <t>守护骑士训练</t>
  </si>
  <si>
    <t>qibing03_Lv3</t>
  </si>
  <si>
    <t>20901</t>
  </si>
  <si>
    <t>1007:0</t>
  </si>
  <si>
    <t>守护骑士全属性0%</t>
  </si>
  <si>
    <t>20902</t>
  </si>
  <si>
    <t>1007:1</t>
  </si>
  <si>
    <t>守护骑士全属性1%</t>
  </si>
  <si>
    <t>20903</t>
  </si>
  <si>
    <t>守护骑士全属性2%</t>
  </si>
  <si>
    <t>20904</t>
  </si>
  <si>
    <t>守护骑士全属性3%</t>
  </si>
  <si>
    <t>20905</t>
  </si>
  <si>
    <t>守护骑士全属性4%</t>
  </si>
  <si>
    <t>20906</t>
  </si>
  <si>
    <t>守护骑士全属性5%</t>
  </si>
  <si>
    <t>20907</t>
  </si>
  <si>
    <t>守护骑士全属性6%</t>
  </si>
  <si>
    <t>20908</t>
  </si>
  <si>
    <t>守护骑士全属性7%</t>
  </si>
  <si>
    <t>20909</t>
  </si>
  <si>
    <t>守护骑士全属性8%</t>
  </si>
  <si>
    <t>20910</t>
  </si>
  <si>
    <t>守护骑士全属性9%</t>
  </si>
  <si>
    <t>守护骑士全属性10%</t>
  </si>
  <si>
    <t>21000</t>
  </si>
  <si>
    <t>21001</t>
  </si>
  <si>
    <t>12:10000|10108:1|10120:1|10121:1</t>
  </si>
  <si>
    <t>21002</t>
  </si>
  <si>
    <t>12:13000|10108:3|10120:3|10121:3</t>
  </si>
  <si>
    <t>111:20</t>
  </si>
  <si>
    <t>所有骑兵生命增加20</t>
  </si>
  <si>
    <t>21003</t>
  </si>
  <si>
    <t>12:16000|10108:5|10120:5|10121:5</t>
  </si>
  <si>
    <t>所有骑兵生命增加40</t>
  </si>
  <si>
    <t>21004</t>
  </si>
  <si>
    <t>12:20000|10108:7|10120:7|10121:7</t>
  </si>
  <si>
    <t>21005</t>
  </si>
  <si>
    <t>12:25000|10108:9|10120:9|10121:9</t>
  </si>
  <si>
    <t>所有骑兵生命增加80</t>
  </si>
  <si>
    <t>21006</t>
  </si>
  <si>
    <t>12:32000|10108:11|10120:11|10121:11</t>
  </si>
  <si>
    <t>所有骑兵生命增加100</t>
  </si>
  <si>
    <t>21007</t>
  </si>
  <si>
    <t>12:40000|10108:13|10120:13|10121:13</t>
  </si>
  <si>
    <t>21008</t>
  </si>
  <si>
    <t>12:50000|10108:15|10120:15|10121:15</t>
  </si>
  <si>
    <t>所有骑兵生命增加140</t>
  </si>
  <si>
    <t>21009</t>
  </si>
  <si>
    <t>12:63000|10108:18|10120:18|10121:18</t>
  </si>
  <si>
    <t>所有骑兵生命增加160</t>
  </si>
  <si>
    <t>21010</t>
  </si>
  <si>
    <t>12:79000|10108:21|10120:21|10121:21</t>
  </si>
  <si>
    <t>所有骑兵生命增加180</t>
  </si>
  <si>
    <t>所有骑兵生命增加200</t>
  </si>
  <si>
    <t>21100</t>
  </si>
  <si>
    <t>21101</t>
  </si>
  <si>
    <t>21102</t>
  </si>
  <si>
    <t>113:5</t>
  </si>
  <si>
    <t>所有骑兵防御增加5</t>
  </si>
  <si>
    <t>21103</t>
  </si>
  <si>
    <t>所有骑兵防御增加10</t>
  </si>
  <si>
    <t>21104</t>
  </si>
  <si>
    <t>所有骑兵防御增加15</t>
  </si>
  <si>
    <t>21105</t>
  </si>
  <si>
    <t>所有骑兵防御增加20</t>
  </si>
  <si>
    <t>21106</t>
  </si>
  <si>
    <t>所有骑兵防御增加25</t>
  </si>
  <si>
    <t>21107</t>
  </si>
  <si>
    <t>21108</t>
  </si>
  <si>
    <t>所有骑兵防御增加35</t>
  </si>
  <si>
    <t>21109</t>
  </si>
  <si>
    <t>所有骑兵防御增加40</t>
  </si>
  <si>
    <t>21110</t>
  </si>
  <si>
    <t>所有骑兵防御增加45</t>
  </si>
  <si>
    <t>所有骑兵防御增加50</t>
  </si>
  <si>
    <t>21200</t>
  </si>
  <si>
    <t>21201</t>
  </si>
  <si>
    <t>21202</t>
  </si>
  <si>
    <t>112:8</t>
  </si>
  <si>
    <t>所有骑兵攻击增加8</t>
  </si>
  <si>
    <t>21203</t>
  </si>
  <si>
    <t>所有骑兵攻击增加16</t>
  </si>
  <si>
    <t>21204</t>
  </si>
  <si>
    <t>所有骑兵攻击增加24</t>
  </si>
  <si>
    <t>21205</t>
  </si>
  <si>
    <t>所有骑兵攻击增加32</t>
  </si>
  <si>
    <t>21206</t>
  </si>
  <si>
    <t>21207</t>
  </si>
  <si>
    <t>所有骑兵攻击增加48</t>
  </si>
  <si>
    <t>21208</t>
  </si>
  <si>
    <t>所有骑兵攻击增加56</t>
  </si>
  <si>
    <t>21209</t>
  </si>
  <si>
    <t>所有骑兵攻击增加64</t>
  </si>
  <si>
    <t>21210</t>
  </si>
  <si>
    <t>所有骑兵攻击增加72</t>
  </si>
  <si>
    <t>所有骑兵攻击增加80</t>
  </si>
  <si>
    <t>21300</t>
  </si>
  <si>
    <t>21301</t>
  </si>
  <si>
    <t>21302</t>
  </si>
  <si>
    <t>114:5</t>
  </si>
  <si>
    <t>所有骑兵魔防增加5</t>
  </si>
  <si>
    <t>21303</t>
  </si>
  <si>
    <t>所有骑兵魔防增加10</t>
  </si>
  <si>
    <t>21304</t>
  </si>
  <si>
    <t>所有骑兵魔防增加15</t>
  </si>
  <si>
    <t>21305</t>
  </si>
  <si>
    <t>所有骑兵魔防增加20</t>
  </si>
  <si>
    <t>21306</t>
  </si>
  <si>
    <t>所有骑兵魔防增加25</t>
  </si>
  <si>
    <t>21307</t>
  </si>
  <si>
    <t>21308</t>
  </si>
  <si>
    <t>所有骑兵魔防增加35</t>
  </si>
  <si>
    <t>21309</t>
  </si>
  <si>
    <t>所有骑兵魔防增加40</t>
  </si>
  <si>
    <t>21310</t>
  </si>
  <si>
    <t>所有骑兵魔防增加45</t>
  </si>
  <si>
    <t>所有骑兵魔防增加50</t>
  </si>
  <si>
    <t>21400</t>
  </si>
  <si>
    <t>21401</t>
  </si>
  <si>
    <t>116:0</t>
  </si>
  <si>
    <t>21402</t>
  </si>
  <si>
    <t>116:1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</si>
  <si>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</si>
  <si>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</si>
  <si>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</si>
  <si>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</si>
  <si>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</si>
  <si>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</si>
  <si>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</si>
  <si>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</si>
  <si>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</si>
  <si>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12:100000|10108:24|10120:24|10121:24</t>
  </si>
  <si>
    <t>21412</t>
  </si>
  <si>
    <t>12:126000|10108:27|10120:27|10121:27</t>
  </si>
  <si>
    <t>所有骑兵防御百分比增加11%</t>
  </si>
  <si>
    <t>21413</t>
  </si>
  <si>
    <t>12:159000|10108:30|10120:30|10121:30</t>
  </si>
  <si>
    <t>所有骑兵防御百分比增加12%</t>
  </si>
  <si>
    <t>21414</t>
  </si>
  <si>
    <t>12:200000|10108:33|10120:33|10121:33</t>
  </si>
  <si>
    <t>所有骑兵防御百分比增加13%</t>
  </si>
  <si>
    <t>21415</t>
  </si>
  <si>
    <t>12:252000|10108:36|10120:36|10121:36</t>
  </si>
  <si>
    <t>所有骑兵防御百分比增加14%</t>
  </si>
  <si>
    <t>所有骑兵防御百分比增加15%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</si>
  <si>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</si>
  <si>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</si>
  <si>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</si>
  <si>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</si>
  <si>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</si>
  <si>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</si>
  <si>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</si>
  <si>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</si>
  <si>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</si>
  <si>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</si>
  <si>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</si>
  <si>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</si>
  <si>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</si>
  <si>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所有骑兵攻击百分比增加11%</t>
  </si>
  <si>
    <t>21513</t>
  </si>
  <si>
    <t>所有骑兵攻击百分比增加12%</t>
  </si>
  <si>
    <t>21514</t>
  </si>
  <si>
    <t>所有骑兵攻击百分比增加13%</t>
  </si>
  <si>
    <t>21515</t>
  </si>
  <si>
    <t>所有骑兵攻击百分比增加14%</t>
  </si>
  <si>
    <t>所有骑兵攻击百分比增加15%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</si>
  <si>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</si>
  <si>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</si>
  <si>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</si>
  <si>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</si>
  <si>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</si>
  <si>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</si>
  <si>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</si>
  <si>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</si>
  <si>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</si>
  <si>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</si>
  <si>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</si>
  <si>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</si>
  <si>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</si>
  <si>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所有骑兵魔防百分比增加11%</t>
  </si>
  <si>
    <t>21613</t>
  </si>
  <si>
    <t>所有骑兵魔防百分比增加12%</t>
  </si>
  <si>
    <t>21614</t>
  </si>
  <si>
    <t>所有骑兵魔防百分比增加13%</t>
  </si>
  <si>
    <t>21615</t>
  </si>
  <si>
    <t>所有骑兵魔防百分比增加14%</t>
  </si>
  <si>
    <t>所有骑兵魔防百分比增加15%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</si>
  <si>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</si>
  <si>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</si>
  <si>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</si>
  <si>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</si>
  <si>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</si>
  <si>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</si>
  <si>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</si>
  <si>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</si>
  <si>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</si>
  <si>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</si>
  <si>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</si>
  <si>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</si>
  <si>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</si>
  <si>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</si>
  <si>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</si>
  <si>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</si>
  <si>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</si>
  <si>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</si>
  <si>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</si>
  <si>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</si>
  <si>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</si>
  <si>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</si>
  <si>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</si>
  <si>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</si>
  <si>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</si>
  <si>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</si>
  <si>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</si>
  <si>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</si>
  <si>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</si>
  <si>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</si>
  <si>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</si>
  <si>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</si>
  <si>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</si>
  <si>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</si>
  <si>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</si>
  <si>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</si>
  <si>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</si>
  <si>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</si>
  <si>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</si>
  <si>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</si>
  <si>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</si>
  <si>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</si>
  <si>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</si>
  <si>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</si>
  <si>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</si>
  <si>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</si>
  <si>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12:276000|10114:60|10123:60|10124:60</t>
  </si>
  <si>
    <t>所有骑兵生命增加220</t>
  </si>
  <si>
    <t>22013</t>
  </si>
  <si>
    <t>12:359000|10114:65|10123:65|10124:65</t>
  </si>
  <si>
    <t>所有骑兵生命增加240</t>
  </si>
  <si>
    <t>22014</t>
  </si>
  <si>
    <t>12:276000|10114:60|10123:60|10124:61</t>
  </si>
  <si>
    <t>所有骑兵生命增加260</t>
  </si>
  <si>
    <t>22015</t>
  </si>
  <si>
    <t>12:359000|10114:65|10123:65|10124:66</t>
  </si>
  <si>
    <t>所有骑兵生命增加280</t>
  </si>
  <si>
    <t>12:276000|10114:60|10123:60|10124:62</t>
  </si>
  <si>
    <t>所有骑兵生命增加300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</si>
  <si>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</si>
  <si>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</si>
  <si>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</si>
  <si>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</si>
  <si>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</si>
  <si>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</si>
  <si>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</si>
  <si>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</si>
  <si>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</si>
  <si>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</si>
  <si>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</si>
  <si>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</si>
  <si>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</si>
  <si>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所有骑兵防御增加55</t>
  </si>
  <si>
    <t>22113</t>
  </si>
  <si>
    <t>所有骑兵防御增加60</t>
  </si>
  <si>
    <t>22114</t>
  </si>
  <si>
    <t>12:467000|10114:70|10123:70|10124:70</t>
  </si>
  <si>
    <t>所有骑兵防御增加65</t>
  </si>
  <si>
    <t>22115</t>
  </si>
  <si>
    <t>12:607000|10114:75|10123:75|10124:75</t>
  </si>
  <si>
    <t>所有骑兵防御增加70</t>
  </si>
  <si>
    <t>所有骑兵防御增加75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</si>
  <si>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</si>
  <si>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</si>
  <si>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</si>
  <si>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</si>
  <si>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</si>
  <si>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</si>
  <si>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</si>
  <si>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</si>
  <si>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</si>
  <si>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</si>
  <si>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</si>
  <si>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</si>
  <si>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</si>
  <si>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所有骑兵攻击增加88</t>
  </si>
  <si>
    <t>22213</t>
  </si>
  <si>
    <t>所有骑兵攻击增加96</t>
  </si>
  <si>
    <t>22214</t>
  </si>
  <si>
    <t>所有骑兵攻击增加104</t>
  </si>
  <si>
    <t>22215</t>
  </si>
  <si>
    <t>所有骑兵攻击增加112</t>
  </si>
  <si>
    <t>所有骑兵攻击增加120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</si>
  <si>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</si>
  <si>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</si>
  <si>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</si>
  <si>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</si>
  <si>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</si>
  <si>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</si>
  <si>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</si>
  <si>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</si>
  <si>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</si>
  <si>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</si>
  <si>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</si>
  <si>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</si>
  <si>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</si>
  <si>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所有骑兵魔防增加55</t>
  </si>
  <si>
    <t>22313</t>
  </si>
  <si>
    <t>所有骑兵魔防增加60</t>
  </si>
  <si>
    <t>22314</t>
  </si>
  <si>
    <t>所有骑兵魔防增加65</t>
  </si>
  <si>
    <t>22315</t>
  </si>
  <si>
    <t>所有骑兵魔防增加70</t>
  </si>
  <si>
    <t>所有骑兵魔防增加75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</si>
  <si>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</si>
  <si>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</si>
  <si>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</si>
  <si>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</si>
  <si>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</si>
  <si>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</si>
  <si>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</si>
  <si>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</si>
  <si>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</si>
  <si>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</si>
  <si>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</si>
  <si>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</si>
  <si>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</si>
  <si>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</si>
  <si>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</si>
  <si>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</si>
  <si>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</si>
  <si>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12:789000|10114:80|10123:80|10124:80</t>
  </si>
  <si>
    <t>22417</t>
  </si>
  <si>
    <t>12:1026000|10114:85|10123:85|10124:85</t>
  </si>
  <si>
    <t>所有骑兵防御百分比增加16%</t>
  </si>
  <si>
    <t>22418</t>
  </si>
  <si>
    <t>12:1334000|10114:90|10123:90|10124:90</t>
  </si>
  <si>
    <t>所有骑兵防御百分比增加17%</t>
  </si>
  <si>
    <t>22419</t>
  </si>
  <si>
    <t>12:1734000|10114:95|10123:95|10124:95</t>
  </si>
  <si>
    <t>所有骑兵防御百分比增加18%</t>
  </si>
  <si>
    <t>22420</t>
  </si>
  <si>
    <t>12:2254000|10114:100|10123:100|10124:100</t>
  </si>
  <si>
    <t>所有骑兵防御百分比增加19%</t>
  </si>
  <si>
    <t>所有骑兵防御百分比增加20%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</si>
  <si>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</si>
  <si>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</si>
  <si>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</si>
  <si>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</si>
  <si>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</si>
  <si>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</si>
  <si>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</si>
  <si>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</si>
  <si>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</si>
  <si>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</si>
  <si>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</si>
  <si>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</si>
  <si>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</si>
  <si>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</si>
  <si>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</si>
  <si>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</si>
  <si>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</si>
  <si>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</si>
  <si>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所有骑兵攻击百分比增加16%</t>
  </si>
  <si>
    <t>22518</t>
  </si>
  <si>
    <t>所有骑兵攻击百分比增加17%</t>
  </si>
  <si>
    <t>22519</t>
  </si>
  <si>
    <t>所有骑兵攻击百分比增加18%</t>
  </si>
  <si>
    <t>22520</t>
  </si>
  <si>
    <t>所有骑兵攻击百分比增加19%</t>
  </si>
  <si>
    <t>所有骑兵攻击百分比增加20%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</si>
  <si>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</si>
  <si>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</si>
  <si>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</si>
  <si>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</si>
  <si>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</si>
  <si>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</si>
  <si>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</si>
  <si>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</si>
  <si>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</si>
  <si>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</si>
  <si>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</si>
  <si>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</si>
  <si>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</si>
  <si>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</si>
  <si>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</si>
  <si>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</si>
  <si>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</si>
  <si>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</si>
  <si>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所有骑兵魔防百分比增加16%</t>
  </si>
  <si>
    <t>22618</t>
  </si>
  <si>
    <t>所有骑兵魔防百分比增加17%</t>
  </si>
  <si>
    <t>22619</t>
  </si>
  <si>
    <t>所有骑兵魔防百分比增加18%</t>
  </si>
  <si>
    <t>22620</t>
  </si>
  <si>
    <t>所有骑兵魔防百分比增加19%</t>
  </si>
  <si>
    <t>所有骑兵魔防百分比增加20%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</si>
  <si>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</si>
  <si>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</si>
  <si>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</si>
  <si>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</si>
  <si>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</si>
  <si>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</si>
  <si>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</si>
  <si>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</si>
  <si>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</si>
  <si>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</si>
  <si>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</si>
  <si>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</si>
  <si>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</si>
  <si>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皇家骑士全属性11%</t>
  </si>
  <si>
    <t>22713</t>
  </si>
  <si>
    <t>皇家骑士全属性12%</t>
  </si>
  <si>
    <t>22714</t>
  </si>
  <si>
    <t>皇家骑士全属性13%</t>
  </si>
  <si>
    <t>22715</t>
  </si>
  <si>
    <t>皇家骑士全属性14%</t>
  </si>
  <si>
    <t>22716</t>
  </si>
  <si>
    <t>皇家骑士全属性15%</t>
  </si>
  <si>
    <t>22717</t>
  </si>
  <si>
    <t>皇家骑士全属性16%</t>
  </si>
  <si>
    <t>22718</t>
  </si>
  <si>
    <t>皇家骑士全属性17%</t>
  </si>
  <si>
    <t>22719</t>
  </si>
  <si>
    <t>皇家骑士全属性18%</t>
  </si>
  <si>
    <t>22720</t>
  </si>
  <si>
    <t>皇家骑士全属性19%</t>
  </si>
  <si>
    <t>皇家骑士全属性20%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</si>
  <si>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</si>
  <si>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</si>
  <si>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</si>
  <si>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</si>
  <si>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</si>
  <si>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</si>
  <si>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</si>
  <si>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</si>
  <si>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</si>
  <si>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</si>
  <si>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</si>
  <si>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</si>
  <si>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</si>
  <si>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黑暗骑士全属性11%</t>
  </si>
  <si>
    <t>22813</t>
  </si>
  <si>
    <t>黑暗骑士全属性12%</t>
  </si>
  <si>
    <t>22814</t>
  </si>
  <si>
    <t>黑暗骑士全属性13%</t>
  </si>
  <si>
    <t>22815</t>
  </si>
  <si>
    <t>黑暗骑士全属性14%</t>
  </si>
  <si>
    <t>22816</t>
  </si>
  <si>
    <t>黑暗骑士全属性15%</t>
  </si>
  <si>
    <t>22817</t>
  </si>
  <si>
    <t>黑暗骑士全属性16%</t>
  </si>
  <si>
    <t>22818</t>
  </si>
  <si>
    <t>黑暗骑士全属性17%</t>
  </si>
  <si>
    <t>22819</t>
  </si>
  <si>
    <t>黑暗骑士全属性18%</t>
  </si>
  <si>
    <t>22820</t>
  </si>
  <si>
    <t>黑暗骑士全属性19%</t>
  </si>
  <si>
    <t>黑暗骑士全属性20%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</si>
  <si>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</si>
  <si>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</si>
  <si>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</si>
  <si>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</si>
  <si>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</si>
  <si>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</si>
  <si>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</si>
  <si>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</si>
  <si>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</si>
  <si>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</si>
  <si>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</si>
  <si>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</si>
  <si>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</si>
  <si>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守护骑士全属性11%</t>
  </si>
  <si>
    <t>22913</t>
  </si>
  <si>
    <t>守护骑士全属性12%</t>
  </si>
  <si>
    <t>22914</t>
  </si>
  <si>
    <t>守护骑士全属性13%</t>
  </si>
  <si>
    <t>22915</t>
  </si>
  <si>
    <t>守护骑士全属性14%</t>
  </si>
  <si>
    <t>22916</t>
  </si>
  <si>
    <t>守护骑士全属性15%</t>
  </si>
  <si>
    <t>22917</t>
  </si>
  <si>
    <t>守护骑士全属性16%</t>
  </si>
  <si>
    <t>22918</t>
  </si>
  <si>
    <t>守护骑士全属性17%</t>
  </si>
  <si>
    <t>22919</t>
  </si>
  <si>
    <t>守护骑士全属性18%</t>
  </si>
  <si>
    <t>22920</t>
  </si>
  <si>
    <t>守护骑士全属性19%</t>
  </si>
  <si>
    <t>守护骑士全属性20%</t>
  </si>
  <si>
    <t>30000</t>
  </si>
  <si>
    <t>30001</t>
  </si>
  <si>
    <t>12:5000|10103:1|10119:1|10122:1</t>
  </si>
  <si>
    <t>121:0</t>
  </si>
  <si>
    <t>所有弓兵生命增加0</t>
  </si>
  <si>
    <t>30002</t>
  </si>
  <si>
    <t>12:6000|10103:2|10119:2|10122:2</t>
  </si>
  <si>
    <t>121:30</t>
  </si>
  <si>
    <t>所有弓兵生命增加30</t>
  </si>
  <si>
    <t>30003</t>
  </si>
  <si>
    <t>12:8000|10103:3|10119:3|10122:3</t>
  </si>
  <si>
    <t>所有弓兵生命增加60</t>
  </si>
  <si>
    <t>30004</t>
  </si>
  <si>
    <t>12:10000|10103:4|10119:4|10122:4</t>
  </si>
  <si>
    <t>所有弓兵生命增加90</t>
  </si>
  <si>
    <t>30005</t>
  </si>
  <si>
    <t>12:13000|10103:5|10119:5|10122:5</t>
  </si>
  <si>
    <t>所有弓兵生命增加120</t>
  </si>
  <si>
    <t>所有弓兵生命增加150</t>
  </si>
  <si>
    <t>30100</t>
  </si>
  <si>
    <t>30101</t>
  </si>
  <si>
    <t>123:0</t>
  </si>
  <si>
    <t>所有弓兵防御增加0</t>
  </si>
  <si>
    <t>30102</t>
  </si>
  <si>
    <t>123:6</t>
  </si>
  <si>
    <t>所有弓兵防御增加6</t>
  </si>
  <si>
    <t>30103</t>
  </si>
  <si>
    <t>所有弓兵防御增加12</t>
  </si>
  <si>
    <t>30104</t>
  </si>
  <si>
    <t>所有弓兵防御增加18</t>
  </si>
  <si>
    <t>30105</t>
  </si>
  <si>
    <t>所有弓兵防御增加24</t>
  </si>
  <si>
    <t>所有弓兵防御增加30</t>
  </si>
  <si>
    <t>30200</t>
  </si>
  <si>
    <t>30201</t>
  </si>
  <si>
    <t>122:0</t>
  </si>
  <si>
    <t>所有弓兵攻击增加0</t>
  </si>
  <si>
    <t>30202</t>
  </si>
  <si>
    <t>122:10</t>
  </si>
  <si>
    <t>所有弓兵攻击增加10</t>
  </si>
  <si>
    <t>30203</t>
  </si>
  <si>
    <t>所有弓兵攻击增加20</t>
  </si>
  <si>
    <t>30204</t>
  </si>
  <si>
    <t>所有弓兵攻击增加30</t>
  </si>
  <si>
    <t>30205</t>
  </si>
  <si>
    <t>所有弓兵攻击增加40</t>
  </si>
  <si>
    <t>所有弓兵攻击增加50</t>
  </si>
  <si>
    <t>30300</t>
  </si>
  <si>
    <t>30301</t>
  </si>
  <si>
    <t>124:0</t>
  </si>
  <si>
    <t>所有弓兵魔防增加0</t>
  </si>
  <si>
    <t>30302</t>
  </si>
  <si>
    <t>124:6</t>
  </si>
  <si>
    <t>所有弓兵魔防增加6</t>
  </si>
  <si>
    <t>30303</t>
  </si>
  <si>
    <t>所有弓兵魔防增加12</t>
  </si>
  <si>
    <t>30304</t>
  </si>
  <si>
    <t>所有弓兵魔防增加18</t>
  </si>
  <si>
    <t>30305</t>
  </si>
  <si>
    <t>所有弓兵魔防增加24</t>
  </si>
  <si>
    <t>所有弓兵魔防增加30</t>
  </si>
  <si>
    <t>30400</t>
  </si>
  <si>
    <t>30401</t>
  </si>
  <si>
    <t>128:0</t>
  </si>
  <si>
    <t>所有弓兵防御百分比增加0%</t>
  </si>
  <si>
    <t>30402</t>
  </si>
  <si>
    <t>128:1</t>
  </si>
  <si>
    <t>所有弓兵防御百分比增加1%</t>
  </si>
  <si>
    <t>30403</t>
  </si>
  <si>
    <t>所有弓兵防御百分比增加2%</t>
  </si>
  <si>
    <t>30404</t>
  </si>
  <si>
    <t>所有弓兵防御百分比增加3%</t>
  </si>
  <si>
    <t>30405</t>
  </si>
  <si>
    <t>所有弓兵防御百分比增加4%</t>
  </si>
  <si>
    <t>30406</t>
  </si>
  <si>
    <t>12:16000|10103:7|10119:7|10122:7</t>
  </si>
  <si>
    <t>所有弓兵防御百分比增加5%</t>
  </si>
  <si>
    <t>30407</t>
  </si>
  <si>
    <t>12:20000|10103:9|10119:9|10122:9</t>
  </si>
  <si>
    <t>所有弓兵防御百分比增加6%</t>
  </si>
  <si>
    <t>30408</t>
  </si>
  <si>
    <t>12:25000|10103:11|10119:11|10122:11</t>
  </si>
  <si>
    <t>所有弓兵防御百分比增加7%</t>
  </si>
  <si>
    <t>30409</t>
  </si>
  <si>
    <t>12:31000|10103:13|10119:13|10122:13</t>
  </si>
  <si>
    <t>所有弓兵防御百分比增加8%</t>
  </si>
  <si>
    <t>30410</t>
  </si>
  <si>
    <t>12:39000|10103:15|10119:15|10122:15</t>
  </si>
  <si>
    <t>所有弓兵防御百分比增加9%</t>
  </si>
  <si>
    <t>所有弓兵防御百分比增加10%</t>
  </si>
  <si>
    <t>30500</t>
  </si>
  <si>
    <t>30501</t>
  </si>
  <si>
    <t>127:0</t>
  </si>
  <si>
    <t>所有弓兵攻击百分比增加0%</t>
  </si>
  <si>
    <t>30502</t>
  </si>
  <si>
    <t>127:1</t>
  </si>
  <si>
    <t>所有弓兵攻击百分比增加1%</t>
  </si>
  <si>
    <t>30503</t>
  </si>
  <si>
    <t>所有弓兵攻击百分比增加2%</t>
  </si>
  <si>
    <t>30504</t>
  </si>
  <si>
    <t>所有弓兵攻击百分比增加3%</t>
  </si>
  <si>
    <t>30505</t>
  </si>
  <si>
    <t>所有弓兵攻击百分比增加4%</t>
  </si>
  <si>
    <t>30506</t>
  </si>
  <si>
    <t>所有弓兵攻击百分比增加5%</t>
  </si>
  <si>
    <t>30507</t>
  </si>
  <si>
    <t>所有弓兵攻击百分比增加6%</t>
  </si>
  <si>
    <t>30508</t>
  </si>
  <si>
    <t>所有弓兵攻击百分比增加7%</t>
  </si>
  <si>
    <t>30509</t>
  </si>
  <si>
    <t>所有弓兵攻击百分比增加8%</t>
  </si>
  <si>
    <t>30510</t>
  </si>
  <si>
    <t>所有弓兵攻击百分比增加9%</t>
  </si>
  <si>
    <t>所有弓兵攻击百分比增加10%</t>
  </si>
  <si>
    <t>30600</t>
  </si>
  <si>
    <t>30601</t>
  </si>
  <si>
    <t>129:0</t>
  </si>
  <si>
    <t>所有弓兵魔防百分比增加0%</t>
  </si>
  <si>
    <t>30602</t>
  </si>
  <si>
    <t>129:1</t>
  </si>
  <si>
    <t>所有弓兵魔防百分比增加1%</t>
  </si>
  <si>
    <t>30603</t>
  </si>
  <si>
    <t>所有弓兵魔防百分比增加2%</t>
  </si>
  <si>
    <t>30604</t>
  </si>
  <si>
    <t>所有弓兵魔防百分比增加3%</t>
  </si>
  <si>
    <t>30605</t>
  </si>
  <si>
    <t>所有弓兵魔防百分比增加4%</t>
  </si>
  <si>
    <t>30606</t>
  </si>
  <si>
    <t>所有弓兵魔防百分比增加5%</t>
  </si>
  <si>
    <t>30607</t>
  </si>
  <si>
    <t>所有弓兵魔防百分比增加6%</t>
  </si>
  <si>
    <t>30608</t>
  </si>
  <si>
    <t>所有弓兵魔防百分比增加7%</t>
  </si>
  <si>
    <t>30609</t>
  </si>
  <si>
    <t>所有弓兵魔防百分比增加8%</t>
  </si>
  <si>
    <t>30610</t>
  </si>
  <si>
    <t>所有弓兵魔防百分比增加9%</t>
  </si>
  <si>
    <t>所有弓兵魔防百分比增加10%</t>
  </si>
  <si>
    <t>30700</t>
  </si>
  <si>
    <t>幻影射手训练</t>
  </si>
  <si>
    <t>gongbing01_Lv3</t>
  </si>
  <si>
    <t>30701</t>
  </si>
  <si>
    <t>12:15000|10115:5|10123:5|10124:5</t>
  </si>
  <si>
    <t>1008:0</t>
  </si>
  <si>
    <t>幻影射手全属性提升0%</t>
  </si>
  <si>
    <t>30702</t>
  </si>
  <si>
    <t>12:20000|10115:10|10123:10|10124:10</t>
  </si>
  <si>
    <t>1008:1</t>
  </si>
  <si>
    <t>幻影射手全属性提升1%</t>
  </si>
  <si>
    <t>30703</t>
  </si>
  <si>
    <t>12:26000|10115:15|10123:15|10124:15</t>
  </si>
  <si>
    <t>幻影射手全属性提升2%</t>
  </si>
  <si>
    <t>30704</t>
  </si>
  <si>
    <t>12:34000|10115:20|10123:20|10124:20</t>
  </si>
  <si>
    <t>幻影射手全属性提升3%</t>
  </si>
  <si>
    <t>30705</t>
  </si>
  <si>
    <t>12:44000|10115:25|10123:25|10124:25</t>
  </si>
  <si>
    <t>幻影射手全属性提升4%</t>
  </si>
  <si>
    <t>30706</t>
  </si>
  <si>
    <t>12:57000|10115:30|10123:30|10124:30</t>
  </si>
  <si>
    <t>幻影射手全属性提升5%</t>
  </si>
  <si>
    <t>30707</t>
  </si>
  <si>
    <t>12:74000|10115:35|10123:35|10124:35</t>
  </si>
  <si>
    <t>幻影射手全属性提升6%</t>
  </si>
  <si>
    <t>30708</t>
  </si>
  <si>
    <t>12:96000|10115:40|10123:40|10124:40</t>
  </si>
  <si>
    <t>幻影射手全属性提升7%</t>
  </si>
  <si>
    <t>30709</t>
  </si>
  <si>
    <t>12:125000|10115:45|10123:45|10124:45</t>
  </si>
  <si>
    <t>幻影射手全属性提升8%</t>
  </si>
  <si>
    <t>30710</t>
  </si>
  <si>
    <t>12:163000|10115:50|10123:50|10124:50</t>
  </si>
  <si>
    <t>幻影射手全属性提升9%</t>
  </si>
  <si>
    <t>12:212000|10115:55|10123:55|10124:55</t>
  </si>
  <si>
    <t>幻影射手全属性提升10%</t>
  </si>
  <si>
    <t>30800</t>
  </si>
  <si>
    <t>巡游射手训练</t>
  </si>
  <si>
    <t>gongbing02_Lv3</t>
  </si>
  <si>
    <t>30801</t>
  </si>
  <si>
    <t>1009:0</t>
  </si>
  <si>
    <t>巡游射手全属性提升0%</t>
  </si>
  <si>
    <t>30802</t>
  </si>
  <si>
    <t>1009:1</t>
  </si>
  <si>
    <t>巡游射手全属性提升1%</t>
  </si>
  <si>
    <t>30803</t>
  </si>
  <si>
    <t>巡游射手全属性提升2%</t>
  </si>
  <si>
    <t>30804</t>
  </si>
  <si>
    <t>巡游射手全属性提升3%</t>
  </si>
  <si>
    <t>30805</t>
  </si>
  <si>
    <t>巡游射手全属性提升4%</t>
  </si>
  <si>
    <t>30806</t>
  </si>
  <si>
    <t>巡游射手全属性提升5%</t>
  </si>
  <si>
    <t>30807</t>
  </si>
  <si>
    <t>巡游射手全属性提升6%</t>
  </si>
  <si>
    <t>30808</t>
  </si>
  <si>
    <t>巡游射手全属性提升7%</t>
  </si>
  <si>
    <t>30809</t>
  </si>
  <si>
    <t>巡游射手全属性提升8%</t>
  </si>
  <si>
    <t>30810</t>
  </si>
  <si>
    <t>巡游射手全属性提升9%</t>
  </si>
  <si>
    <t>巡游射手全属性提升10%</t>
  </si>
  <si>
    <t>30900</t>
  </si>
  <si>
    <t>影训练</t>
  </si>
  <si>
    <t>gongbing03_Lv3</t>
  </si>
  <si>
    <t>30901</t>
  </si>
  <si>
    <t>1010:0</t>
  </si>
  <si>
    <t>影全属性提升0%</t>
  </si>
  <si>
    <t>30902</t>
  </si>
  <si>
    <t>1010:1</t>
  </si>
  <si>
    <t>影全属性提升1%</t>
  </si>
  <si>
    <t>30903</t>
  </si>
  <si>
    <t>影全属性提升2%</t>
  </si>
  <si>
    <t>30904</t>
  </si>
  <si>
    <t>影全属性提升3%</t>
  </si>
  <si>
    <t>30905</t>
  </si>
  <si>
    <t>影全属性提升4%</t>
  </si>
  <si>
    <t>30906</t>
  </si>
  <si>
    <t>影全属性提升5%</t>
  </si>
  <si>
    <t>30907</t>
  </si>
  <si>
    <t>影全属性提升6%</t>
  </si>
  <si>
    <t>30908</t>
  </si>
  <si>
    <t>影全属性提升7%</t>
  </si>
  <si>
    <t>30909</t>
  </si>
  <si>
    <t>影全属性提升8%</t>
  </si>
  <si>
    <t>30910</t>
  </si>
  <si>
    <t>影全属性提升9%</t>
  </si>
  <si>
    <t>影全属性提升10%</t>
  </si>
  <si>
    <t>31000</t>
  </si>
  <si>
    <t>31001</t>
  </si>
  <si>
    <t>12:10000|10109:1|10120:1|10121:1</t>
  </si>
  <si>
    <t>31002</t>
  </si>
  <si>
    <t>12:13000|10109:3|10120:3|10121:3</t>
  </si>
  <si>
    <t>121:20</t>
  </si>
  <si>
    <t>所有弓兵生命增加20</t>
  </si>
  <si>
    <t>31003</t>
  </si>
  <si>
    <t>12:16000|10109:5|10120:5|10121:5</t>
  </si>
  <si>
    <t>所有弓兵生命增加40</t>
  </si>
  <si>
    <t>31004</t>
  </si>
  <si>
    <t>12:20000|10109:7|10120:7|10121:7</t>
  </si>
  <si>
    <t>31005</t>
  </si>
  <si>
    <t>12:25000|10109:9|10120:9|10121:9</t>
  </si>
  <si>
    <t>所有弓兵生命增加80</t>
  </si>
  <si>
    <t>31006</t>
  </si>
  <si>
    <t>12:32000|10109:11|10120:11|10121:11</t>
  </si>
  <si>
    <t>所有弓兵生命增加100</t>
  </si>
  <si>
    <t>31007</t>
  </si>
  <si>
    <t>12:40000|10109:13|10120:13|10121:13</t>
  </si>
  <si>
    <t>31008</t>
  </si>
  <si>
    <t>12:50000|10109:15|10120:15|10121:15</t>
  </si>
  <si>
    <t>所有弓兵生命增加140</t>
  </si>
  <si>
    <t>31009</t>
  </si>
  <si>
    <t>12:63000|10109:18|10120:18|10121:18</t>
  </si>
  <si>
    <t>所有弓兵生命增加160</t>
  </si>
  <si>
    <t>31010</t>
  </si>
  <si>
    <t>12:79000|10109:21|10120:21|10121:21</t>
  </si>
  <si>
    <t>所有弓兵生命增加180</t>
  </si>
  <si>
    <t>所有弓兵生命增加200</t>
  </si>
  <si>
    <t>31100</t>
  </si>
  <si>
    <t>31101</t>
  </si>
  <si>
    <t>31102</t>
  </si>
  <si>
    <t>123:5</t>
  </si>
  <si>
    <t>所有弓兵防御增加5</t>
  </si>
  <si>
    <t>31103</t>
  </si>
  <si>
    <t>所有弓兵防御增加10</t>
  </si>
  <si>
    <t>31104</t>
  </si>
  <si>
    <t>所有弓兵防御增加15</t>
  </si>
  <si>
    <t>31105</t>
  </si>
  <si>
    <t>所有弓兵防御增加20</t>
  </si>
  <si>
    <t>31106</t>
  </si>
  <si>
    <t>所有弓兵防御增加25</t>
  </si>
  <si>
    <t>31107</t>
  </si>
  <si>
    <t>31108</t>
  </si>
  <si>
    <t>所有弓兵防御增加35</t>
  </si>
  <si>
    <t>31109</t>
  </si>
  <si>
    <t>所有弓兵防御增加40</t>
  </si>
  <si>
    <t>31110</t>
  </si>
  <si>
    <t>所有弓兵防御增加45</t>
  </si>
  <si>
    <t>所有弓兵防御增加50</t>
  </si>
  <si>
    <t>31200</t>
  </si>
  <si>
    <t>31201</t>
  </si>
  <si>
    <t>31202</t>
  </si>
  <si>
    <t>122:8</t>
  </si>
  <si>
    <t>所有弓兵攻击增加8</t>
  </si>
  <si>
    <t>31203</t>
  </si>
  <si>
    <t>所有弓兵攻击增加16</t>
  </si>
  <si>
    <t>31204</t>
  </si>
  <si>
    <t>所有弓兵攻击增加24</t>
  </si>
  <si>
    <t>31205</t>
  </si>
  <si>
    <t>所有弓兵攻击增加32</t>
  </si>
  <si>
    <t>31206</t>
  </si>
  <si>
    <t>31207</t>
  </si>
  <si>
    <t>所有弓兵攻击增加48</t>
  </si>
  <si>
    <t>31208</t>
  </si>
  <si>
    <t>所有弓兵攻击增加56</t>
  </si>
  <si>
    <t>31209</t>
  </si>
  <si>
    <t>所有弓兵攻击增加64</t>
  </si>
  <si>
    <t>31210</t>
  </si>
  <si>
    <t>所有弓兵攻击增加72</t>
  </si>
  <si>
    <t>所有弓兵攻击增加80</t>
  </si>
  <si>
    <t>31300</t>
  </si>
  <si>
    <t>31301</t>
  </si>
  <si>
    <t>31302</t>
  </si>
  <si>
    <t>124:5</t>
  </si>
  <si>
    <t>所有弓兵魔防增加5</t>
  </si>
  <si>
    <t>31303</t>
  </si>
  <si>
    <t>所有弓兵魔防增加10</t>
  </si>
  <si>
    <t>31304</t>
  </si>
  <si>
    <t>所有弓兵魔防增加15</t>
  </si>
  <si>
    <t>31305</t>
  </si>
  <si>
    <t>所有弓兵魔防增加20</t>
  </si>
  <si>
    <t>31306</t>
  </si>
  <si>
    <t>所有弓兵魔防增加25</t>
  </si>
  <si>
    <t>31307</t>
  </si>
  <si>
    <t>31308</t>
  </si>
  <si>
    <t>所有弓兵魔防增加35</t>
  </si>
  <si>
    <t>31309</t>
  </si>
  <si>
    <t>所有弓兵魔防增加40</t>
  </si>
  <si>
    <t>31310</t>
  </si>
  <si>
    <t>所有弓兵魔防增加45</t>
  </si>
  <si>
    <t>所有弓兵魔防增加50</t>
  </si>
  <si>
    <t>31400</t>
  </si>
  <si>
    <t>31401</t>
  </si>
  <si>
    <t>126:0</t>
  </si>
  <si>
    <t>31402</t>
  </si>
  <si>
    <t>126:1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</si>
  <si>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</si>
  <si>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</si>
  <si>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</si>
  <si>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</si>
  <si>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</si>
  <si>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</si>
  <si>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</si>
  <si>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</si>
  <si>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</si>
  <si>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12:100000|10109:24|10120:24|10121:24</t>
  </si>
  <si>
    <t>31412</t>
  </si>
  <si>
    <t>12:126000|10109:27|10120:27|10121:27</t>
  </si>
  <si>
    <t>所有弓兵防御百分比增加11%</t>
  </si>
  <si>
    <t>31413</t>
  </si>
  <si>
    <t>12:159000|10109:30|10120:30|10121:30</t>
  </si>
  <si>
    <t>所有弓兵防御百分比增加12%</t>
  </si>
  <si>
    <t>31414</t>
  </si>
  <si>
    <t>12:200000|10109:33|10120:33|10121:33</t>
  </si>
  <si>
    <t>所有弓兵防御百分比增加13%</t>
  </si>
  <si>
    <t>31415</t>
  </si>
  <si>
    <t>12:252000|10109:36|10120:36|10121:36</t>
  </si>
  <si>
    <t>所有弓兵防御百分比增加14%</t>
  </si>
  <si>
    <t>所有弓兵防御百分比增加15%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</si>
  <si>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</si>
  <si>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</si>
  <si>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</si>
  <si>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</si>
  <si>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</si>
  <si>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</si>
  <si>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</si>
  <si>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</si>
  <si>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</si>
  <si>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</si>
  <si>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</si>
  <si>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</si>
  <si>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</si>
  <si>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所有弓兵攻击百分比增加11%</t>
  </si>
  <si>
    <t>31513</t>
  </si>
  <si>
    <t>所有弓兵攻击百分比增加12%</t>
  </si>
  <si>
    <t>31514</t>
  </si>
  <si>
    <t>所有弓兵攻击百分比增加13%</t>
  </si>
  <si>
    <t>31515</t>
  </si>
  <si>
    <t>所有弓兵攻击百分比增加14%</t>
  </si>
  <si>
    <t>所有弓兵攻击百分比增加15%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</si>
  <si>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</si>
  <si>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</si>
  <si>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</si>
  <si>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</si>
  <si>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</si>
  <si>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</si>
  <si>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</si>
  <si>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</si>
  <si>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</si>
  <si>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</si>
  <si>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</si>
  <si>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</si>
  <si>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</si>
  <si>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所有弓兵魔防百分比增加11%</t>
  </si>
  <si>
    <t>31613</t>
  </si>
  <si>
    <t>所有弓兵魔防百分比增加12%</t>
  </si>
  <si>
    <t>31614</t>
  </si>
  <si>
    <t>所有弓兵魔防百分比增加13%</t>
  </si>
  <si>
    <t>31615</t>
  </si>
  <si>
    <t>所有弓兵魔防百分比增加14%</t>
  </si>
  <si>
    <t>所有弓兵魔防百分比增加15%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</si>
  <si>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</si>
  <si>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</si>
  <si>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</si>
  <si>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</si>
  <si>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</si>
  <si>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</si>
  <si>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</si>
  <si>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</si>
  <si>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</si>
  <si>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</si>
  <si>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</si>
  <si>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</si>
  <si>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</si>
  <si>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</si>
  <si>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</si>
  <si>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</si>
  <si>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</si>
  <si>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</si>
  <si>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</si>
  <si>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</si>
  <si>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</si>
  <si>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</si>
  <si>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</si>
  <si>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</si>
  <si>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</si>
  <si>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</si>
  <si>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</si>
  <si>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</si>
  <si>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</si>
  <si>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</si>
  <si>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</si>
  <si>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</si>
  <si>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</si>
  <si>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</si>
  <si>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</si>
  <si>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</si>
  <si>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</si>
  <si>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</si>
  <si>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</si>
  <si>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</si>
  <si>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</si>
  <si>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</si>
  <si>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</si>
  <si>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</si>
  <si>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</si>
  <si>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</si>
  <si>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12:276000|10115:60|10123:60|10124:60</t>
  </si>
  <si>
    <t>所有弓兵生命增加220</t>
  </si>
  <si>
    <t>32013</t>
  </si>
  <si>
    <t>12:359000|10115:65|10123:65|10124:65</t>
  </si>
  <si>
    <t>所有弓兵生命增加240</t>
  </si>
  <si>
    <t>32014</t>
  </si>
  <si>
    <t>12:276000|10115:60|10123:60|10124:61</t>
  </si>
  <si>
    <t>所有弓兵生命增加260</t>
  </si>
  <si>
    <t>32015</t>
  </si>
  <si>
    <t>12:359000|10115:65|10123:65|10124:66</t>
  </si>
  <si>
    <t>所有弓兵生命增加280</t>
  </si>
  <si>
    <t>12:276000|10115:60|10123:60|10124:62</t>
  </si>
  <si>
    <t>所有弓兵生命增加300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</si>
  <si>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</si>
  <si>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</si>
  <si>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</si>
  <si>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</si>
  <si>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</si>
  <si>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</si>
  <si>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</si>
  <si>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</si>
  <si>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</si>
  <si>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</si>
  <si>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</si>
  <si>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</si>
  <si>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</si>
  <si>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所有弓兵防御增加55</t>
  </si>
  <si>
    <t>32113</t>
  </si>
  <si>
    <t>所有弓兵防御增加60</t>
  </si>
  <si>
    <t>32114</t>
  </si>
  <si>
    <t>12:467000|10115:70|10123:70|10124:70</t>
  </si>
  <si>
    <t>所有弓兵防御增加65</t>
  </si>
  <si>
    <t>32115</t>
  </si>
  <si>
    <t>12:607000|10115:75|10123:75|10124:75</t>
  </si>
  <si>
    <t>所有弓兵防御增加70</t>
  </si>
  <si>
    <t>所有弓兵防御增加75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</si>
  <si>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</si>
  <si>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</si>
  <si>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</si>
  <si>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</si>
  <si>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</si>
  <si>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</si>
  <si>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</si>
  <si>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</si>
  <si>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</si>
  <si>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</si>
  <si>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</si>
  <si>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</si>
  <si>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</si>
  <si>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所有弓兵攻击增加88</t>
  </si>
  <si>
    <t>32213</t>
  </si>
  <si>
    <t>所有弓兵攻击增加96</t>
  </si>
  <si>
    <t>32214</t>
  </si>
  <si>
    <t>所有弓兵攻击增加104</t>
  </si>
  <si>
    <t>32215</t>
  </si>
  <si>
    <t>所有弓兵攻击增加112</t>
  </si>
  <si>
    <t>所有弓兵攻击增加120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</si>
  <si>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</si>
  <si>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</si>
  <si>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</si>
  <si>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</si>
  <si>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</si>
  <si>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</si>
  <si>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</si>
  <si>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</si>
  <si>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</si>
  <si>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</si>
  <si>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</si>
  <si>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</si>
  <si>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</si>
  <si>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所有弓兵魔防增加55</t>
  </si>
  <si>
    <t>32313</t>
  </si>
  <si>
    <t>所有弓兵魔防增加60</t>
  </si>
  <si>
    <t>32314</t>
  </si>
  <si>
    <t>所有弓兵魔防增加65</t>
  </si>
  <si>
    <t>32315</t>
  </si>
  <si>
    <t>所有弓兵魔防增加70</t>
  </si>
  <si>
    <t>所有弓兵魔防增加75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</si>
  <si>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</si>
  <si>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</si>
  <si>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</si>
  <si>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</si>
  <si>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</si>
  <si>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</si>
  <si>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</si>
  <si>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</si>
  <si>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</si>
  <si>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</si>
  <si>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</si>
  <si>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</si>
  <si>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</si>
  <si>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</si>
  <si>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</si>
  <si>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</si>
  <si>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</si>
  <si>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12:789000|10115:80|10123:80|10124:80</t>
  </si>
  <si>
    <t>32417</t>
  </si>
  <si>
    <t>12:1026000|10115:85|10123:85|10124:85</t>
  </si>
  <si>
    <t>所有弓兵防御百分比增加16%</t>
  </si>
  <si>
    <t>32418</t>
  </si>
  <si>
    <t>12:1334000|10115:90|10123:90|10124:90</t>
  </si>
  <si>
    <t>所有弓兵防御百分比增加17%</t>
  </si>
  <si>
    <t>32419</t>
  </si>
  <si>
    <t>12:1734000|10115:95|10123:95|10124:95</t>
  </si>
  <si>
    <t>所有弓兵防御百分比增加18%</t>
  </si>
  <si>
    <t>32420</t>
  </si>
  <si>
    <t>12:2254000|10115:100|10123:100|10124:100</t>
  </si>
  <si>
    <t>所有弓兵防御百分比增加19%</t>
  </si>
  <si>
    <t>所有弓兵防御百分比增加20%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</si>
  <si>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</si>
  <si>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</si>
  <si>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</si>
  <si>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</si>
  <si>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</si>
  <si>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</si>
  <si>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</si>
  <si>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</si>
  <si>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</si>
  <si>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</si>
  <si>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</si>
  <si>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</si>
  <si>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</si>
  <si>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</si>
  <si>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</si>
  <si>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</si>
  <si>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</si>
  <si>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</si>
  <si>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所有弓兵攻击百分比增加16%</t>
  </si>
  <si>
    <t>32518</t>
  </si>
  <si>
    <t>所有弓兵攻击百分比增加17%</t>
  </si>
  <si>
    <t>32519</t>
  </si>
  <si>
    <t>所有弓兵攻击百分比增加18%</t>
  </si>
  <si>
    <t>32520</t>
  </si>
  <si>
    <t>所有弓兵攻击百分比增加19%</t>
  </si>
  <si>
    <t>所有弓兵攻击百分比增加20%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</si>
  <si>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</si>
  <si>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</si>
  <si>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</si>
  <si>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</si>
  <si>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</si>
  <si>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</si>
  <si>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</si>
  <si>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</si>
  <si>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</si>
  <si>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</si>
  <si>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</si>
  <si>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</si>
  <si>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</si>
  <si>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</si>
  <si>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</si>
  <si>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</si>
  <si>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</si>
  <si>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</si>
  <si>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所有弓兵魔防百分比增加16%</t>
  </si>
  <si>
    <t>32618</t>
  </si>
  <si>
    <t>所有弓兵魔防百分比增加17%</t>
  </si>
  <si>
    <t>32619</t>
  </si>
  <si>
    <t>所有弓兵魔防百分比增加18%</t>
  </si>
  <si>
    <t>32620</t>
  </si>
  <si>
    <t>所有弓兵魔防百分比增加19%</t>
  </si>
  <si>
    <t>所有弓兵魔防百分比增加20%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</si>
  <si>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</si>
  <si>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</si>
  <si>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</si>
  <si>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</si>
  <si>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</si>
  <si>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</si>
  <si>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</si>
  <si>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</si>
  <si>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</si>
  <si>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</si>
  <si>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</si>
  <si>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</si>
  <si>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</si>
  <si>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幻影射手全属性提升11%</t>
  </si>
  <si>
    <t>32713</t>
  </si>
  <si>
    <t>幻影射手全属性提升12%</t>
  </si>
  <si>
    <t>32714</t>
  </si>
  <si>
    <t>幻影射手全属性提升13%</t>
  </si>
  <si>
    <t>32715</t>
  </si>
  <si>
    <t>幻影射手全属性提升14%</t>
  </si>
  <si>
    <t>32716</t>
  </si>
  <si>
    <t>幻影射手全属性提升15%</t>
  </si>
  <si>
    <t>32717</t>
  </si>
  <si>
    <t>幻影射手全属性提升16%</t>
  </si>
  <si>
    <t>32718</t>
  </si>
  <si>
    <t>幻影射手全属性提升17%</t>
  </si>
  <si>
    <t>32719</t>
  </si>
  <si>
    <t>幻影射手全属性提升18%</t>
  </si>
  <si>
    <t>32720</t>
  </si>
  <si>
    <t>幻影射手全属性提升19%</t>
  </si>
  <si>
    <t>幻影射手全属性提升20%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</si>
  <si>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</si>
  <si>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</si>
  <si>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</si>
  <si>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</si>
  <si>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</si>
  <si>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</si>
  <si>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</si>
  <si>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</si>
  <si>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</si>
  <si>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</si>
  <si>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</si>
  <si>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</si>
  <si>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</si>
  <si>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巡游射手全属性提升11%</t>
  </si>
  <si>
    <t>32813</t>
  </si>
  <si>
    <t>巡游射手全属性提升12%</t>
  </si>
  <si>
    <t>32814</t>
  </si>
  <si>
    <t>巡游射手全属性提升13%</t>
  </si>
  <si>
    <t>32815</t>
  </si>
  <si>
    <t>巡游射手全属性提升14%</t>
  </si>
  <si>
    <t>32816</t>
  </si>
  <si>
    <t>巡游射手全属性提升15%</t>
  </si>
  <si>
    <t>32817</t>
  </si>
  <si>
    <t>巡游射手全属性提升16%</t>
  </si>
  <si>
    <t>32818</t>
  </si>
  <si>
    <t>巡游射手全属性提升17%</t>
  </si>
  <si>
    <t>32819</t>
  </si>
  <si>
    <t>巡游射手全属性提升18%</t>
  </si>
  <si>
    <t>32820</t>
  </si>
  <si>
    <t>巡游射手全属性提升19%</t>
  </si>
  <si>
    <t>巡游射手全属性提升20%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</si>
  <si>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</si>
  <si>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</si>
  <si>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</si>
  <si>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</si>
  <si>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</si>
  <si>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</si>
  <si>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</si>
  <si>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</si>
  <si>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</si>
  <si>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</si>
  <si>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</si>
  <si>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</si>
  <si>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</si>
  <si>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影全属性提升11%</t>
  </si>
  <si>
    <t>32913</t>
  </si>
  <si>
    <t>影全属性提升12%</t>
  </si>
  <si>
    <t>32914</t>
  </si>
  <si>
    <t>影全属性提升13%</t>
  </si>
  <si>
    <t>32915</t>
  </si>
  <si>
    <t>影全属性提升14%</t>
  </si>
  <si>
    <t>32916</t>
  </si>
  <si>
    <t>影全属性提升15%</t>
  </si>
  <si>
    <t>32917</t>
  </si>
  <si>
    <t>影全属性提升16%</t>
  </si>
  <si>
    <t>32918</t>
  </si>
  <si>
    <t>影全属性提升17%</t>
  </si>
  <si>
    <t>32919</t>
  </si>
  <si>
    <t>影全属性提升18%</t>
  </si>
  <si>
    <t>32920</t>
  </si>
  <si>
    <t>影全属性提升19%</t>
  </si>
  <si>
    <t>影全属性提升20%</t>
  </si>
  <si>
    <t>40000</t>
  </si>
  <si>
    <t>40001</t>
  </si>
  <si>
    <t>12:5000|10104:1|10119:1|10122:1</t>
  </si>
  <si>
    <t>131:0</t>
  </si>
  <si>
    <t>所有飞兵生命增加0</t>
  </si>
  <si>
    <t>40002</t>
  </si>
  <si>
    <t>12:6000|10104:2|10119:2|10122:2</t>
  </si>
  <si>
    <t>131:30</t>
  </si>
  <si>
    <t>所有飞兵生命增加30</t>
  </si>
  <si>
    <t>40003</t>
  </si>
  <si>
    <t>12:8000|10104:3|10119:3|10122:3</t>
  </si>
  <si>
    <t>所有飞兵生命增加60</t>
  </si>
  <si>
    <t>40004</t>
  </si>
  <si>
    <t>12:10000|10104:4|10119:4|10122:4</t>
  </si>
  <si>
    <t>所有飞兵生命增加90</t>
  </si>
  <si>
    <t>40005</t>
  </si>
  <si>
    <t>12:13000|10104:5|10119:5|10122:5</t>
  </si>
  <si>
    <t>所有飞兵生命增加120</t>
  </si>
  <si>
    <t>所有飞兵生命增加150</t>
  </si>
  <si>
    <t>40100</t>
  </si>
  <si>
    <t>40101</t>
  </si>
  <si>
    <t>133:0</t>
  </si>
  <si>
    <t>所有飞兵防御增加0</t>
  </si>
  <si>
    <t>40102</t>
  </si>
  <si>
    <t>133:6</t>
  </si>
  <si>
    <t>所有飞兵防御增加6</t>
  </si>
  <si>
    <t>40103</t>
  </si>
  <si>
    <t>所有飞兵防御增加12</t>
  </si>
  <si>
    <t>40104</t>
  </si>
  <si>
    <t>所有飞兵防御增加18</t>
  </si>
  <si>
    <t>40105</t>
  </si>
  <si>
    <t>所有飞兵防御增加24</t>
  </si>
  <si>
    <t>所有飞兵防御增加30</t>
  </si>
  <si>
    <t>40200</t>
  </si>
  <si>
    <t>40201</t>
  </si>
  <si>
    <t>132:0</t>
  </si>
  <si>
    <t>所有飞兵攻击增加0</t>
  </si>
  <si>
    <t>40202</t>
  </si>
  <si>
    <t>132:10</t>
  </si>
  <si>
    <t>所有飞兵攻击增加10</t>
  </si>
  <si>
    <t>40203</t>
  </si>
  <si>
    <t>所有飞兵攻击增加20</t>
  </si>
  <si>
    <t>40204</t>
  </si>
  <si>
    <t>所有飞兵攻击增加30</t>
  </si>
  <si>
    <t>40205</t>
  </si>
  <si>
    <t>所有飞兵攻击增加40</t>
  </si>
  <si>
    <t>所有飞兵攻击增加50</t>
  </si>
  <si>
    <t>40300</t>
  </si>
  <si>
    <t>40301</t>
  </si>
  <si>
    <t>134:0</t>
  </si>
  <si>
    <t>所有飞兵魔防增加0</t>
  </si>
  <si>
    <t>40302</t>
  </si>
  <si>
    <t>134:6</t>
  </si>
  <si>
    <t>所有飞兵魔防增加6</t>
  </si>
  <si>
    <t>40303</t>
  </si>
  <si>
    <t>所有飞兵魔防增加12</t>
  </si>
  <si>
    <t>40304</t>
  </si>
  <si>
    <t>所有飞兵魔防增加18</t>
  </si>
  <si>
    <t>40305</t>
  </si>
  <si>
    <t>所有飞兵魔防增加24</t>
  </si>
  <si>
    <t>所有飞兵魔防增加30</t>
  </si>
  <si>
    <t>40400</t>
  </si>
  <si>
    <t>40401</t>
  </si>
  <si>
    <t>138:0</t>
  </si>
  <si>
    <t>所有飞兵防御百分比增加0%</t>
  </si>
  <si>
    <t>40402</t>
  </si>
  <si>
    <t>138:1</t>
  </si>
  <si>
    <t>所有飞兵防御百分比增加1%</t>
  </si>
  <si>
    <t>40403</t>
  </si>
  <si>
    <t>所有飞兵防御百分比增加2%</t>
  </si>
  <si>
    <t>40404</t>
  </si>
  <si>
    <t>所有飞兵防御百分比增加3%</t>
  </si>
  <si>
    <t>40405</t>
  </si>
  <si>
    <t>所有飞兵防御百分比增加4%</t>
  </si>
  <si>
    <t>40406</t>
  </si>
  <si>
    <t>12:16000|10104:7|10119:7|10122:7</t>
  </si>
  <si>
    <t>所有飞兵防御百分比增加5%</t>
  </si>
  <si>
    <t>40407</t>
  </si>
  <si>
    <t>12:20000|10104:9|10119:9|10122:9</t>
  </si>
  <si>
    <t>所有飞兵防御百分比增加6%</t>
  </si>
  <si>
    <t>40408</t>
  </si>
  <si>
    <t>12:25000|10104:11|10119:11|10122:11</t>
  </si>
  <si>
    <t>所有飞兵防御百分比增加7%</t>
  </si>
  <si>
    <t>40409</t>
  </si>
  <si>
    <t>12:31000|10104:13|10119:13|10122:13</t>
  </si>
  <si>
    <t>所有飞兵防御百分比增加8%</t>
  </si>
  <si>
    <t>40410</t>
  </si>
  <si>
    <t>12:39000|10104:15|10119:15|10122:15</t>
  </si>
  <si>
    <t>所有飞兵防御百分比增加9%</t>
  </si>
  <si>
    <t>所有飞兵防御百分比增加10%</t>
  </si>
  <si>
    <t>40500</t>
  </si>
  <si>
    <t>40501</t>
  </si>
  <si>
    <t>137:0</t>
  </si>
  <si>
    <t>所有飞兵攻击百分比增加0%</t>
  </si>
  <si>
    <t>40502</t>
  </si>
  <si>
    <t>137:1</t>
  </si>
  <si>
    <t>所有飞兵攻击百分比增加1%</t>
  </si>
  <si>
    <t>40503</t>
  </si>
  <si>
    <t>所有飞兵攻击百分比增加2%</t>
  </si>
  <si>
    <t>40504</t>
  </si>
  <si>
    <t>所有飞兵攻击百分比增加3%</t>
  </si>
  <si>
    <t>40505</t>
  </si>
  <si>
    <t>所有飞兵攻击百分比增加4%</t>
  </si>
  <si>
    <t>40506</t>
  </si>
  <si>
    <t>所有飞兵攻击百分比增加5%</t>
  </si>
  <si>
    <t>40507</t>
  </si>
  <si>
    <t>所有飞兵攻击百分比增加6%</t>
  </si>
  <si>
    <t>40508</t>
  </si>
  <si>
    <t>所有飞兵攻击百分比增加7%</t>
  </si>
  <si>
    <t>40509</t>
  </si>
  <si>
    <t>所有飞兵攻击百分比增加8%</t>
  </si>
  <si>
    <t>40510</t>
  </si>
  <si>
    <t>所有飞兵攻击百分比增加9%</t>
  </si>
  <si>
    <t>所有飞兵攻击百分比增加10%</t>
  </si>
  <si>
    <t>40600</t>
  </si>
  <si>
    <t>40601</t>
  </si>
  <si>
    <t>139:0</t>
  </si>
  <si>
    <t>所有飞兵魔防百分比增加0%</t>
  </si>
  <si>
    <t>40602</t>
  </si>
  <si>
    <t>139:1</t>
  </si>
  <si>
    <t>所有飞兵魔防百分比增加1%</t>
  </si>
  <si>
    <t>40603</t>
  </si>
  <si>
    <t>所有飞兵魔防百分比增加2%</t>
  </si>
  <si>
    <t>40604</t>
  </si>
  <si>
    <t>所有飞兵魔防百分比增加3%</t>
  </si>
  <si>
    <t>40605</t>
  </si>
  <si>
    <t>所有飞兵魔防百分比增加4%</t>
  </si>
  <si>
    <t>40606</t>
  </si>
  <si>
    <t>所有飞兵魔防百分比增加5%</t>
  </si>
  <si>
    <t>40607</t>
  </si>
  <si>
    <t>所有飞兵魔防百分比增加6%</t>
  </si>
  <si>
    <t>40608</t>
  </si>
  <si>
    <t>所有飞兵魔防百分比增加7%</t>
  </si>
  <si>
    <t>40609</t>
  </si>
  <si>
    <t>所有飞兵魔防百分比增加8%</t>
  </si>
  <si>
    <t>40610</t>
  </si>
  <si>
    <t>所有飞兵魔防百分比增加9%</t>
  </si>
  <si>
    <t>所有飞兵魔防百分比增加10%</t>
  </si>
  <si>
    <t>40700</t>
  </si>
  <si>
    <t>圣天马骑士训练</t>
  </si>
  <si>
    <t>feibing01_Lv3</t>
  </si>
  <si>
    <t>1.2</t>
  </si>
  <si>
    <t>40701</t>
  </si>
  <si>
    <t>12:15000|10116:5|10123:5|10124:5</t>
  </si>
  <si>
    <t>1011:0</t>
  </si>
  <si>
    <t>圣天马骑士全属性提升0%</t>
  </si>
  <si>
    <t>40702</t>
  </si>
  <si>
    <t>12:20000|10116:10|10123:10|10124:10</t>
  </si>
  <si>
    <t>1011:1</t>
  </si>
  <si>
    <t>圣天马骑士全属性提升1%</t>
  </si>
  <si>
    <t>40703</t>
  </si>
  <si>
    <t>12:26000|10116:15|10123:15|10124:15</t>
  </si>
  <si>
    <t>圣天马骑士全属性提升2%</t>
  </si>
  <si>
    <t>40704</t>
  </si>
  <si>
    <t>12:34000|10116:20|10123:20|10124:20</t>
  </si>
  <si>
    <t>圣天马骑士全属性提升3%</t>
  </si>
  <si>
    <t>40705</t>
  </si>
  <si>
    <t>12:44000|10116:25|10123:25|10124:25</t>
  </si>
  <si>
    <t>圣天马骑士全属性提升4%</t>
  </si>
  <si>
    <t>40706</t>
  </si>
  <si>
    <t>12:57000|10116:30|10123:30|10124:30</t>
  </si>
  <si>
    <t>圣天马骑士全属性提升5%</t>
  </si>
  <si>
    <t>40707</t>
  </si>
  <si>
    <t>12:74000|10116:35|10123:35|10124:35</t>
  </si>
  <si>
    <t>圣天马骑士全属性提升6%</t>
  </si>
  <si>
    <t>40708</t>
  </si>
  <si>
    <t>12:96000|10116:40|10123:40|10124:40</t>
  </si>
  <si>
    <t>圣天马骑士全属性提升7%</t>
  </si>
  <si>
    <t>40709</t>
  </si>
  <si>
    <t>12:125000|10116:45|10123:45|10124:45</t>
  </si>
  <si>
    <t>圣天马骑士全属性提升8%</t>
  </si>
  <si>
    <t>40710</t>
  </si>
  <si>
    <t>12:163000|10116:50|10123:50|10124:50</t>
  </si>
  <si>
    <t>圣天马骑士全属性提升9%</t>
  </si>
  <si>
    <t>12:212000|10116:55|10123:55|10124:55</t>
  </si>
  <si>
    <t>圣天马骑士全属性提升10%</t>
  </si>
  <si>
    <t>40800</t>
  </si>
  <si>
    <t>飞龙骑士训练</t>
  </si>
  <si>
    <t>feibing02_Lv3</t>
  </si>
  <si>
    <t>40801</t>
  </si>
  <si>
    <t>1012:0</t>
  </si>
  <si>
    <t>飞龙骑士全属性提升0%</t>
  </si>
  <si>
    <t>40802</t>
  </si>
  <si>
    <t>1012:1</t>
  </si>
  <si>
    <t>飞龙骑士全属性提升1%</t>
  </si>
  <si>
    <t>40803</t>
  </si>
  <si>
    <t>飞龙骑士全属性提升2%</t>
  </si>
  <si>
    <t>40804</t>
  </si>
  <si>
    <t>飞龙骑士全属性提升3%</t>
  </si>
  <si>
    <t>40805</t>
  </si>
  <si>
    <t>飞龙骑士全属性提升4%</t>
  </si>
  <si>
    <t>40806</t>
  </si>
  <si>
    <t>飞龙骑士全属性提升5%</t>
  </si>
  <si>
    <t>40807</t>
  </si>
  <si>
    <t>飞龙骑士全属性提升6%</t>
  </si>
  <si>
    <t>40808</t>
  </si>
  <si>
    <t>飞龙骑士全属性提升7%</t>
  </si>
  <si>
    <t>40809</t>
  </si>
  <si>
    <t>飞龙骑士全属性提升8%</t>
  </si>
  <si>
    <t>40810</t>
  </si>
  <si>
    <t>飞龙骑士全属性提升9%</t>
  </si>
  <si>
    <t>飞龙骑士全属性提升10%</t>
  </si>
  <si>
    <t>40900</t>
  </si>
  <si>
    <t>格里芬骑士训练</t>
  </si>
  <si>
    <t>feibing03_Lv3</t>
  </si>
  <si>
    <t>40901</t>
  </si>
  <si>
    <t>1013:0</t>
  </si>
  <si>
    <t>格里芬骑士全属性提升0%</t>
  </si>
  <si>
    <t>40902</t>
  </si>
  <si>
    <t>1013:1</t>
  </si>
  <si>
    <t>格里芬骑士全属性提升1%</t>
  </si>
  <si>
    <t>40903</t>
  </si>
  <si>
    <t>格里芬骑士全属性提升2%</t>
  </si>
  <si>
    <t>40904</t>
  </si>
  <si>
    <t>格里芬骑士全属性提升3%</t>
  </si>
  <si>
    <t>40905</t>
  </si>
  <si>
    <t>格里芬骑士全属性提升4%</t>
  </si>
  <si>
    <t>40906</t>
  </si>
  <si>
    <t>格里芬骑士全属性提升5%</t>
  </si>
  <si>
    <t>40907</t>
  </si>
  <si>
    <t>格里芬骑士全属性提升6%</t>
  </si>
  <si>
    <t>40908</t>
  </si>
  <si>
    <t>格里芬骑士全属性提升7%</t>
  </si>
  <si>
    <t>40909</t>
  </si>
  <si>
    <t>格里芬骑士全属性提升8%</t>
  </si>
  <si>
    <t>40910</t>
  </si>
  <si>
    <t>格里芬骑士全属性提升9%</t>
  </si>
  <si>
    <t>格里芬骑士全属性提升10%</t>
  </si>
  <si>
    <t>41000</t>
  </si>
  <si>
    <t>41001</t>
  </si>
  <si>
    <t>12:10000|10110:1|10120:1|10121:1</t>
  </si>
  <si>
    <t>41002</t>
  </si>
  <si>
    <t>12:13000|10110:3|10120:3|10121:3</t>
  </si>
  <si>
    <t>131:20</t>
  </si>
  <si>
    <t>所有飞兵生命增加20</t>
  </si>
  <si>
    <t>41003</t>
  </si>
  <si>
    <t>12:16000|10110:5|10120:5|10121:5</t>
  </si>
  <si>
    <t>所有飞兵生命增加40</t>
  </si>
  <si>
    <t>41004</t>
  </si>
  <si>
    <t>12:20000|10110:7|10120:7|10121:7</t>
  </si>
  <si>
    <t>41005</t>
  </si>
  <si>
    <t>12:25000|10110:9|10120:9|10121:9</t>
  </si>
  <si>
    <t>所有飞兵生命增加80</t>
  </si>
  <si>
    <t>41006</t>
  </si>
  <si>
    <t>12:32000|10110:11|10120:11|10121:11</t>
  </si>
  <si>
    <t>所有飞兵生命增加100</t>
  </si>
  <si>
    <t>41007</t>
  </si>
  <si>
    <t>12:40000|10110:13|10120:13|10121:13</t>
  </si>
  <si>
    <t>41008</t>
  </si>
  <si>
    <t>12:50000|10110:15|10120:15|10121:15</t>
  </si>
  <si>
    <t>所有飞兵生命增加140</t>
  </si>
  <si>
    <t>41009</t>
  </si>
  <si>
    <t>12:63000|10110:18|10120:18|10121:18</t>
  </si>
  <si>
    <t>所有飞兵生命增加160</t>
  </si>
  <si>
    <t>41010</t>
  </si>
  <si>
    <t>12:79000|10110:21|10120:21|10121:21</t>
  </si>
  <si>
    <t>所有飞兵生命增加180</t>
  </si>
  <si>
    <t>所有飞兵生命增加200</t>
  </si>
  <si>
    <t>41100</t>
  </si>
  <si>
    <t>41101</t>
  </si>
  <si>
    <t>41102</t>
  </si>
  <si>
    <t>133:5</t>
  </si>
  <si>
    <t>所有飞兵防御增加5</t>
  </si>
  <si>
    <t>41103</t>
  </si>
  <si>
    <t>所有飞兵防御增加10</t>
  </si>
  <si>
    <t>41104</t>
  </si>
  <si>
    <t>所有飞兵防御增加15</t>
  </si>
  <si>
    <t>41105</t>
  </si>
  <si>
    <t>所有飞兵防御增加20</t>
  </si>
  <si>
    <t>41106</t>
  </si>
  <si>
    <t>所有飞兵防御增加25</t>
  </si>
  <si>
    <t>41107</t>
  </si>
  <si>
    <t>41108</t>
  </si>
  <si>
    <t>所有飞兵防御增加35</t>
  </si>
  <si>
    <t>41109</t>
  </si>
  <si>
    <t>所有飞兵防御增加40</t>
  </si>
  <si>
    <t>41110</t>
  </si>
  <si>
    <t>所有飞兵防御增加45</t>
  </si>
  <si>
    <t>所有飞兵防御增加50</t>
  </si>
  <si>
    <t>41200</t>
  </si>
  <si>
    <t>41201</t>
  </si>
  <si>
    <t>41202</t>
  </si>
  <si>
    <t>132:8</t>
  </si>
  <si>
    <t>所有飞兵攻击增加8</t>
  </si>
  <si>
    <t>41203</t>
  </si>
  <si>
    <t>所有飞兵攻击增加16</t>
  </si>
  <si>
    <t>41204</t>
  </si>
  <si>
    <t>所有飞兵攻击增加24</t>
  </si>
  <si>
    <t>41205</t>
  </si>
  <si>
    <t>所有飞兵攻击增加32</t>
  </si>
  <si>
    <t>41206</t>
  </si>
  <si>
    <t>41207</t>
  </si>
  <si>
    <t>所有飞兵攻击增加48</t>
  </si>
  <si>
    <t>41208</t>
  </si>
  <si>
    <t>所有飞兵攻击增加56</t>
  </si>
  <si>
    <t>41209</t>
  </si>
  <si>
    <t>所有飞兵攻击增加64</t>
  </si>
  <si>
    <t>41210</t>
  </si>
  <si>
    <t>所有飞兵攻击增加72</t>
  </si>
  <si>
    <t>所有飞兵攻击增加80</t>
  </si>
  <si>
    <t>41300</t>
  </si>
  <si>
    <t>41301</t>
  </si>
  <si>
    <t>41302</t>
  </si>
  <si>
    <t>134:5</t>
  </si>
  <si>
    <t>所有飞兵魔防增加5</t>
  </si>
  <si>
    <t>41303</t>
  </si>
  <si>
    <t>所有飞兵魔防增加10</t>
  </si>
  <si>
    <t>41304</t>
  </si>
  <si>
    <t>所有飞兵魔防增加15</t>
  </si>
  <si>
    <t>41305</t>
  </si>
  <si>
    <t>所有飞兵魔防增加20</t>
  </si>
  <si>
    <t>41306</t>
  </si>
  <si>
    <t>所有飞兵魔防增加25</t>
  </si>
  <si>
    <t>41307</t>
  </si>
  <si>
    <t>41308</t>
  </si>
  <si>
    <t>所有飞兵魔防增加35</t>
  </si>
  <si>
    <t>41309</t>
  </si>
  <si>
    <t>所有飞兵魔防增加40</t>
  </si>
  <si>
    <t>41310</t>
  </si>
  <si>
    <t>所有飞兵魔防增加45</t>
  </si>
  <si>
    <t>所有飞兵魔防增加50</t>
  </si>
  <si>
    <t>41400</t>
  </si>
  <si>
    <t>41401</t>
  </si>
  <si>
    <t>136:0</t>
  </si>
  <si>
    <t>41402</t>
  </si>
  <si>
    <t>136:1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</si>
  <si>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</si>
  <si>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</si>
  <si>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</si>
  <si>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</si>
  <si>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</si>
  <si>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</si>
  <si>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</si>
  <si>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</si>
  <si>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</si>
  <si>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12:100000|10110:24|10120:24|10121:24</t>
  </si>
  <si>
    <t>41412</t>
  </si>
  <si>
    <t>12:126000|10110:27|10120:27|10121:27</t>
  </si>
  <si>
    <t>所有飞兵防御百分比增加11%</t>
  </si>
  <si>
    <t>41413</t>
  </si>
  <si>
    <t>12:159000|10110:30|10120:30|10121:30</t>
  </si>
  <si>
    <t>所有飞兵防御百分比增加12%</t>
  </si>
  <si>
    <t>41414</t>
  </si>
  <si>
    <t>12:200000|10110:33|10120:33|10121:33</t>
  </si>
  <si>
    <t>所有飞兵防御百分比增加13%</t>
  </si>
  <si>
    <t>41415</t>
  </si>
  <si>
    <t>12:252000|10110:36|10120:36|10121:36</t>
  </si>
  <si>
    <t>所有飞兵防御百分比增加14%</t>
  </si>
  <si>
    <t>所有飞兵防御百分比增加15%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</si>
  <si>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</si>
  <si>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</si>
  <si>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</si>
  <si>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</si>
  <si>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</si>
  <si>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</si>
  <si>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</si>
  <si>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</si>
  <si>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</si>
  <si>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</si>
  <si>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</si>
  <si>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</si>
  <si>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</si>
  <si>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所有飞兵攻击百分比增加11%</t>
  </si>
  <si>
    <t>41513</t>
  </si>
  <si>
    <t>所有飞兵攻击百分比增加12%</t>
  </si>
  <si>
    <t>41514</t>
  </si>
  <si>
    <t>所有飞兵攻击百分比增加13%</t>
  </si>
  <si>
    <t>41515</t>
  </si>
  <si>
    <t>所有飞兵攻击百分比增加14%</t>
  </si>
  <si>
    <t>所有飞兵攻击百分比增加15%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</si>
  <si>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</si>
  <si>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</si>
  <si>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</si>
  <si>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</si>
  <si>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</si>
  <si>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</si>
  <si>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</si>
  <si>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</si>
  <si>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</si>
  <si>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</si>
  <si>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</si>
  <si>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41611</t>
  </si>
  <si>
    <t>41612</t>
  </si>
  <si>
    <t>所有飞兵魔防百分比增加11%</t>
  </si>
  <si>
    <t>41613</t>
  </si>
  <si>
    <t>所有飞兵魔防百分比增加12%</t>
  </si>
  <si>
    <t>41614</t>
  </si>
  <si>
    <t>所有飞兵魔防百分比增加13%</t>
  </si>
  <si>
    <t>41615</t>
  </si>
  <si>
    <t>所有飞兵魔防百分比增加14%</t>
  </si>
  <si>
    <t>所有飞兵魔防百分比增加15%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</si>
  <si>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</si>
  <si>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</si>
  <si>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</si>
  <si>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</si>
  <si>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</si>
  <si>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</si>
  <si>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</si>
  <si>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</si>
  <si>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</si>
  <si>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</si>
  <si>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</si>
  <si>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</si>
  <si>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</si>
  <si>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</si>
  <si>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</si>
  <si>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</si>
  <si>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</si>
  <si>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</si>
  <si>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</si>
  <si>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</si>
  <si>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</si>
  <si>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</si>
  <si>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</si>
  <si>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</si>
  <si>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</si>
  <si>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</si>
  <si>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</si>
  <si>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</si>
  <si>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</si>
  <si>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</si>
  <si>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</si>
  <si>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</si>
  <si>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</si>
  <si>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42000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</si>
  <si>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</si>
  <si>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</si>
  <si>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</si>
  <si>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</si>
  <si>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</si>
  <si>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</si>
  <si>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</si>
  <si>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</si>
  <si>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</si>
  <si>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</si>
  <si>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</si>
  <si>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</si>
  <si>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12:276000|10116:60|10123:60|10124:60</t>
  </si>
  <si>
    <t>所有飞兵生命增加220</t>
  </si>
  <si>
    <t>42013</t>
  </si>
  <si>
    <t>12:359000|10116:65|10123:65|10124:65</t>
  </si>
  <si>
    <t>所有飞兵生命增加240</t>
  </si>
  <si>
    <t>42014</t>
  </si>
  <si>
    <t>12:276000|10116:60|10123:60|10124:61</t>
  </si>
  <si>
    <t>所有飞兵生命增加260</t>
  </si>
  <si>
    <t>42015</t>
  </si>
  <si>
    <t>12:359000|10116:65|10123:65|10124:66</t>
  </si>
  <si>
    <t>所有飞兵生命增加280</t>
  </si>
  <si>
    <t>12:276000|10116:60|10123:60|10124:62</t>
  </si>
  <si>
    <t>所有飞兵生命增加300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</si>
  <si>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</si>
  <si>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</si>
  <si>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</si>
  <si>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</si>
  <si>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</si>
  <si>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</si>
  <si>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</si>
  <si>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</si>
  <si>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</si>
  <si>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</si>
  <si>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</si>
  <si>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</si>
  <si>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</si>
  <si>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所有飞兵防御增加55</t>
  </si>
  <si>
    <t>42113</t>
  </si>
  <si>
    <t>所有飞兵防御增加60</t>
  </si>
  <si>
    <t>42114</t>
  </si>
  <si>
    <t>12:467000|10116:70|10123:70|10124:70</t>
  </si>
  <si>
    <t>所有飞兵防御增加65</t>
  </si>
  <si>
    <t>42115</t>
  </si>
  <si>
    <t>12:607000|10116:75|10123:75|10124:75</t>
  </si>
  <si>
    <t>所有飞兵防御增加70</t>
  </si>
  <si>
    <t>所有飞兵防御增加75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</si>
  <si>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</si>
  <si>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</si>
  <si>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</si>
  <si>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</si>
  <si>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</si>
  <si>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</si>
  <si>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</si>
  <si>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</si>
  <si>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</si>
  <si>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</si>
  <si>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</si>
  <si>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</si>
  <si>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</si>
  <si>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所有飞兵攻击增加88</t>
  </si>
  <si>
    <t>42213</t>
  </si>
  <si>
    <t>所有飞兵攻击增加96</t>
  </si>
  <si>
    <t>42214</t>
  </si>
  <si>
    <t>所有飞兵攻击增加104</t>
  </si>
  <si>
    <t>42215</t>
  </si>
  <si>
    <t>所有飞兵攻击增加112</t>
  </si>
  <si>
    <t>所有飞兵攻击增加120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</si>
  <si>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</si>
  <si>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</si>
  <si>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</si>
  <si>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</si>
  <si>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</si>
  <si>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</si>
  <si>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</si>
  <si>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</si>
  <si>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</si>
  <si>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</si>
  <si>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</si>
  <si>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</si>
  <si>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</si>
  <si>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所有飞兵魔防增加55</t>
  </si>
  <si>
    <t>42313</t>
  </si>
  <si>
    <t>所有飞兵魔防增加60</t>
  </si>
  <si>
    <t>42314</t>
  </si>
  <si>
    <t>所有飞兵魔防增加65</t>
  </si>
  <si>
    <t>42315</t>
  </si>
  <si>
    <t>所有飞兵魔防增加70</t>
  </si>
  <si>
    <t>所有飞兵魔防增加75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</si>
  <si>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</si>
  <si>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</si>
  <si>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</si>
  <si>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</si>
  <si>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</si>
  <si>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</si>
  <si>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</si>
  <si>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</si>
  <si>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</si>
  <si>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</si>
  <si>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</si>
  <si>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</si>
  <si>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</si>
  <si>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</si>
  <si>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</si>
  <si>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</si>
  <si>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</si>
  <si>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12:789000|10116:80|10123:80|10124:80</t>
  </si>
  <si>
    <t>42417</t>
  </si>
  <si>
    <t>12:1026000|10116:85|10123:85|10124:85</t>
  </si>
  <si>
    <t>所有飞兵防御百分比增加16%</t>
  </si>
  <si>
    <t>42418</t>
  </si>
  <si>
    <t>12:1334000|10116:90|10123:90|10124:90</t>
  </si>
  <si>
    <t>所有飞兵防御百分比增加17%</t>
  </si>
  <si>
    <t>42419</t>
  </si>
  <si>
    <t>12:1734000|10116:95|10123:95|10124:95</t>
  </si>
  <si>
    <t>所有飞兵防御百分比增加18%</t>
  </si>
  <si>
    <t>42420</t>
  </si>
  <si>
    <t>12:2254000|10116:100|10123:100|10124:100</t>
  </si>
  <si>
    <t>所有飞兵防御百分比增加19%</t>
  </si>
  <si>
    <t>所有飞兵防御百分比增加20%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</si>
  <si>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</si>
  <si>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</si>
  <si>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</si>
  <si>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</si>
  <si>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</si>
  <si>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</si>
  <si>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</si>
  <si>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</si>
  <si>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</si>
  <si>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</si>
  <si>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</si>
  <si>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</si>
  <si>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</si>
  <si>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</si>
  <si>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</si>
  <si>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</si>
  <si>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</si>
  <si>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</si>
  <si>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所有飞兵攻击百分比增加16%</t>
  </si>
  <si>
    <t>42518</t>
  </si>
  <si>
    <t>所有飞兵攻击百分比增加17%</t>
  </si>
  <si>
    <t>42519</t>
  </si>
  <si>
    <t>所有飞兵攻击百分比增加18%</t>
  </si>
  <si>
    <t>42520</t>
  </si>
  <si>
    <t>所有飞兵攻击百分比增加19%</t>
  </si>
  <si>
    <t>所有飞兵攻击百分比增加20%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</si>
  <si>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</si>
  <si>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</si>
  <si>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</si>
  <si>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</si>
  <si>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</si>
  <si>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</si>
  <si>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</si>
  <si>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</si>
  <si>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</si>
  <si>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</si>
  <si>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</si>
  <si>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</si>
  <si>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</si>
  <si>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</si>
  <si>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</si>
  <si>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</si>
  <si>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</si>
  <si>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</si>
  <si>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所有飞兵魔防百分比增加16%</t>
  </si>
  <si>
    <t>42618</t>
  </si>
  <si>
    <t>所有飞兵魔防百分比增加17%</t>
  </si>
  <si>
    <t>42619</t>
  </si>
  <si>
    <t>所有飞兵魔防百分比增加18%</t>
  </si>
  <si>
    <t>42620</t>
  </si>
  <si>
    <t>所有飞兵魔防百分比增加19%</t>
  </si>
  <si>
    <t>所有飞兵魔防百分比增加20%</t>
  </si>
  <si>
    <t>42700</t>
  </si>
  <si>
    <t>42701</t>
  </si>
  <si>
    <t>42702</t>
  </si>
  <si>
    <t>42703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</si>
  <si>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</si>
  <si>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</si>
  <si>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</si>
  <si>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</si>
  <si>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</si>
  <si>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</si>
  <si>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</si>
  <si>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</si>
  <si>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</si>
  <si>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圣天马骑士全属性提升11%</t>
  </si>
  <si>
    <t>42713</t>
  </si>
  <si>
    <t>圣天马骑士全属性提升12%</t>
  </si>
  <si>
    <t>42714</t>
  </si>
  <si>
    <t>圣天马骑士全属性提升13%</t>
  </si>
  <si>
    <t>42715</t>
  </si>
  <si>
    <t>圣天马骑士全属性提升14%</t>
  </si>
  <si>
    <t>42716</t>
  </si>
  <si>
    <t>圣天马骑士全属性提升15%</t>
  </si>
  <si>
    <t>42717</t>
  </si>
  <si>
    <t>圣天马骑士全属性提升16%</t>
  </si>
  <si>
    <t>42718</t>
  </si>
  <si>
    <t>圣天马骑士全属性提升17%</t>
  </si>
  <si>
    <t>42719</t>
  </si>
  <si>
    <t>圣天马骑士全属性提升18%</t>
  </si>
  <si>
    <t>42720</t>
  </si>
  <si>
    <t>圣天马骑士全属性提升19%</t>
  </si>
  <si>
    <t>圣天马骑士全属性提升20%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</si>
  <si>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</si>
  <si>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</si>
  <si>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</si>
  <si>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</si>
  <si>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</si>
  <si>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</si>
  <si>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</si>
  <si>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</si>
  <si>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</si>
  <si>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</si>
  <si>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</si>
  <si>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</si>
  <si>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</si>
  <si>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飞龙骑士全属性提升11%</t>
  </si>
  <si>
    <t>42813</t>
  </si>
  <si>
    <t>飞龙骑士全属性提升12%</t>
  </si>
  <si>
    <t>42814</t>
  </si>
  <si>
    <t>飞龙骑士全属性提升13%</t>
  </si>
  <si>
    <t>42815</t>
  </si>
  <si>
    <t>飞龙骑士全属性提升14%</t>
  </si>
  <si>
    <t>42816</t>
  </si>
  <si>
    <t>飞龙骑士全属性提升15%</t>
  </si>
  <si>
    <t>42817</t>
  </si>
  <si>
    <t>飞龙骑士全属性提升16%</t>
  </si>
  <si>
    <t>42818</t>
  </si>
  <si>
    <t>飞龙骑士全属性提升17%</t>
  </si>
  <si>
    <t>42819</t>
  </si>
  <si>
    <t>飞龙骑士全属性提升18%</t>
  </si>
  <si>
    <t>42820</t>
  </si>
  <si>
    <t>飞龙骑士全属性提升19%</t>
  </si>
  <si>
    <t>飞龙骑士全属性提升20%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</si>
  <si>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</si>
  <si>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</si>
  <si>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</si>
  <si>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</si>
  <si>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</si>
  <si>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</si>
  <si>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</si>
  <si>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</si>
  <si>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</si>
  <si>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</si>
  <si>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</si>
  <si>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</si>
  <si>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</si>
  <si>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格里芬骑士全属性提升11%</t>
  </si>
  <si>
    <t>42913</t>
  </si>
  <si>
    <t>格里芬骑士全属性提升12%</t>
  </si>
  <si>
    <t>42914</t>
  </si>
  <si>
    <t>格里芬骑士全属性提升13%</t>
  </si>
  <si>
    <t>42915</t>
  </si>
  <si>
    <t>格里芬骑士全属性提升14%</t>
  </si>
  <si>
    <t>42916</t>
  </si>
  <si>
    <t>格里芬骑士全属性提升15%</t>
  </si>
  <si>
    <t>42917</t>
  </si>
  <si>
    <t>格里芬骑士全属性提升16%</t>
  </si>
  <si>
    <t>42918</t>
  </si>
  <si>
    <t>格里芬骑士全属性提升17%</t>
  </si>
  <si>
    <t>42919</t>
  </si>
  <si>
    <t>格里芬骑士全属性提升18%</t>
  </si>
  <si>
    <t>42920</t>
  </si>
  <si>
    <t>格里芬骑士全属性提升19%</t>
  </si>
  <si>
    <t>格里芬骑士全属性提升20%</t>
  </si>
  <si>
    <t>50000</t>
  </si>
  <si>
    <t>50001</t>
  </si>
  <si>
    <t>12:5000|10105:1|10119:1|10122:1</t>
  </si>
  <si>
    <t>141:0</t>
  </si>
  <si>
    <t>所有牧师和法师生命增加0</t>
  </si>
  <si>
    <t>50002</t>
  </si>
  <si>
    <t>12:6000|10105:2|10119:2|10122:2</t>
  </si>
  <si>
    <t>141:30</t>
  </si>
  <si>
    <t>所有牧师和法师生命增加30</t>
  </si>
  <si>
    <t>50003</t>
  </si>
  <si>
    <t>12:8000|10105:3|10119:3|10122:3</t>
  </si>
  <si>
    <t>所有牧师和法师生命增加60</t>
  </si>
  <si>
    <t>50004</t>
  </si>
  <si>
    <t>12:10000|10105:4|10119:4|10122:4</t>
  </si>
  <si>
    <t>所有牧师和法师生命增加90</t>
  </si>
  <si>
    <t>50005</t>
  </si>
  <si>
    <t>12:13000|10105:5|10119:5|10122:5</t>
  </si>
  <si>
    <t>所有牧师和法师生命增加120</t>
  </si>
  <si>
    <t>所有牧师和法师生命增加150</t>
  </si>
  <si>
    <t>50100</t>
  </si>
  <si>
    <t>50101</t>
  </si>
  <si>
    <t>143:0</t>
  </si>
  <si>
    <t>所有牧师和法师防御增加0</t>
  </si>
  <si>
    <t>50102</t>
  </si>
  <si>
    <t>143:6</t>
  </si>
  <si>
    <t>所有牧师和法师防御增加6</t>
  </si>
  <si>
    <t>50103</t>
  </si>
  <si>
    <t>所有牧师和法师防御增加12</t>
  </si>
  <si>
    <t>50104</t>
  </si>
  <si>
    <t>所有牧师和法师防御增加18</t>
  </si>
  <si>
    <t>50105</t>
  </si>
  <si>
    <t>所有牧师和法师防御增加24</t>
  </si>
  <si>
    <t>所有牧师和法师防御增加30</t>
  </si>
  <si>
    <t>50200</t>
  </si>
  <si>
    <t>50201</t>
  </si>
  <si>
    <t>142:0</t>
  </si>
  <si>
    <t>所有牧师和法师攻击增加0</t>
  </si>
  <si>
    <t>50202</t>
  </si>
  <si>
    <t>142:10</t>
  </si>
  <si>
    <t>所有牧师和法师攻击增加10</t>
  </si>
  <si>
    <t>50203</t>
  </si>
  <si>
    <t>所有牧师和法师攻击增加20</t>
  </si>
  <si>
    <t>50204</t>
  </si>
  <si>
    <t>所有牧师和法师攻击增加30</t>
  </si>
  <si>
    <t>50205</t>
  </si>
  <si>
    <t>所有牧师和法师攻击增加40</t>
  </si>
  <si>
    <t>所有牧师和法师攻击增加50</t>
  </si>
  <si>
    <t>50300</t>
  </si>
  <si>
    <t>50301</t>
  </si>
  <si>
    <t>144:0</t>
  </si>
  <si>
    <t>所有牧师和法师魔防增加0</t>
  </si>
  <si>
    <t>50302</t>
  </si>
  <si>
    <t>144:6</t>
  </si>
  <si>
    <t>所有牧师和法师魔防增加6</t>
  </si>
  <si>
    <t>50303</t>
  </si>
  <si>
    <t>所有牧师和法师魔防增加12</t>
  </si>
  <si>
    <t>50304</t>
  </si>
  <si>
    <t>所有牧师和法师魔防增加18</t>
  </si>
  <si>
    <t>50305</t>
  </si>
  <si>
    <t>所有牧师和法师魔防增加24</t>
  </si>
  <si>
    <t>所有牧师和法师魔防增加30</t>
  </si>
  <si>
    <t>50400</t>
  </si>
  <si>
    <t>50401</t>
  </si>
  <si>
    <t>148:0</t>
  </si>
  <si>
    <t>所有牧师和法师防御百分比增加0%</t>
  </si>
  <si>
    <t>50402</t>
  </si>
  <si>
    <t>148:1</t>
  </si>
  <si>
    <t>所有牧师和法师防御百分比增加1%</t>
  </si>
  <si>
    <t>50403</t>
  </si>
  <si>
    <t>所有牧师和法师防御百分比增加2%</t>
  </si>
  <si>
    <t>50404</t>
  </si>
  <si>
    <t>所有牧师和法师防御百分比增加3%</t>
  </si>
  <si>
    <t>50405</t>
  </si>
  <si>
    <t>所有牧师和法师防御百分比增加4%</t>
  </si>
  <si>
    <t>50406</t>
  </si>
  <si>
    <t>12:16000|10105:7|10119:7|10122:7</t>
  </si>
  <si>
    <t>所有牧师和法师防御百分比增加5%</t>
  </si>
  <si>
    <t>50407</t>
  </si>
  <si>
    <t>12:20000|10105:9|10119:9|10122:9</t>
  </si>
  <si>
    <t>所有牧师和法师防御百分比增加6%</t>
  </si>
  <si>
    <t>50408</t>
  </si>
  <si>
    <t>12:25000|10105:11|10119:11|10122:11</t>
  </si>
  <si>
    <t>所有牧师和法师防御百分比增加7%</t>
  </si>
  <si>
    <t>50409</t>
  </si>
  <si>
    <t>12:31000|10105:13|10119:13|10122:13</t>
  </si>
  <si>
    <t>所有牧师和法师防御百分比增加8%</t>
  </si>
  <si>
    <t>50410</t>
  </si>
  <si>
    <t>12:39000|10105:15|10119:15|10122:15</t>
  </si>
  <si>
    <t>所有牧师和法师防御百分比增加9%</t>
  </si>
  <si>
    <t>所有牧师和法师防御百分比增加10%</t>
  </si>
  <si>
    <t>50500</t>
  </si>
  <si>
    <t>50501</t>
  </si>
  <si>
    <t>147:0</t>
  </si>
  <si>
    <t>所有牧师和法师攻击百分比增加0%</t>
  </si>
  <si>
    <t>50502</t>
  </si>
  <si>
    <t>147:1</t>
  </si>
  <si>
    <t>所有牧师和法师攻击百分比增加1%</t>
  </si>
  <si>
    <t>50503</t>
  </si>
  <si>
    <t>所有牧师和法师攻击百分比增加2%</t>
  </si>
  <si>
    <t>50504</t>
  </si>
  <si>
    <t>所有牧师和法师攻击百分比增加3%</t>
  </si>
  <si>
    <t>50505</t>
  </si>
  <si>
    <t>所有牧师和法师攻击百分比增加4%</t>
  </si>
  <si>
    <t>50506</t>
  </si>
  <si>
    <t>所有牧师和法师攻击百分比增加5%</t>
  </si>
  <si>
    <t>50507</t>
  </si>
  <si>
    <t>所有牧师和法师攻击百分比增加6%</t>
  </si>
  <si>
    <t>50508</t>
  </si>
  <si>
    <t>所有牧师和法师攻击百分比增加7%</t>
  </si>
  <si>
    <t>50509</t>
  </si>
  <si>
    <t>所有牧师和法师攻击百分比增加8%</t>
  </si>
  <si>
    <t>50510</t>
  </si>
  <si>
    <t>所有牧师和法师攻击百分比增加9%</t>
  </si>
  <si>
    <t>所有牧师和法师攻击百分比增加10%</t>
  </si>
  <si>
    <t>50600</t>
  </si>
  <si>
    <t>50601</t>
  </si>
  <si>
    <t>149:0</t>
  </si>
  <si>
    <t>所有牧师和法师魔防百分比增加0%</t>
  </si>
  <si>
    <t>50602</t>
  </si>
  <si>
    <t>149:1</t>
  </si>
  <si>
    <t>所有牧师和法师魔防百分比增加1%</t>
  </si>
  <si>
    <t>50603</t>
  </si>
  <si>
    <t>所有牧师和法师魔防百分比增加2%</t>
  </si>
  <si>
    <t>50604</t>
  </si>
  <si>
    <t>所有牧师和法师魔防百分比增加3%</t>
  </si>
  <si>
    <t>50605</t>
  </si>
  <si>
    <t>所有牧师和法师魔防百分比增加4%</t>
  </si>
  <si>
    <t>50606</t>
  </si>
  <si>
    <t>所有牧师和法师魔防百分比增加5%</t>
  </si>
  <si>
    <t>50607</t>
  </si>
  <si>
    <t>所有牧师和法师魔防百分比增加6%</t>
  </si>
  <si>
    <t>50608</t>
  </si>
  <si>
    <t>所有牧师和法师魔防百分比增加7%</t>
  </si>
  <si>
    <t>50609</t>
  </si>
  <si>
    <t>所有牧师和法师魔防百分比增加8%</t>
  </si>
  <si>
    <t>50610</t>
  </si>
  <si>
    <t>所有牧师和法师魔防百分比增加9%</t>
  </si>
  <si>
    <t>所有牧师和法师魔防百分比增加10%</t>
  </si>
  <si>
    <t>50700</t>
  </si>
  <si>
    <t>大魔法师训练</t>
  </si>
  <si>
    <t>fashi01_Lv3</t>
  </si>
  <si>
    <t>50701</t>
  </si>
  <si>
    <t>12:15000|10117:5|10123:5|10124:5</t>
  </si>
  <si>
    <t>1014:0</t>
  </si>
  <si>
    <t>大魔法师全属性提升0%</t>
  </si>
  <si>
    <t>50702</t>
  </si>
  <si>
    <t>12:20000|10117:10|10123:10|10124:10</t>
  </si>
  <si>
    <t>1014:1</t>
  </si>
  <si>
    <t>大魔法师全属性提升1%</t>
  </si>
  <si>
    <t>50703</t>
  </si>
  <si>
    <t>12:26000|10117:15|10123:15|10124:15</t>
  </si>
  <si>
    <t>大魔法师全属性提升2%</t>
  </si>
  <si>
    <t>50704</t>
  </si>
  <si>
    <t>12:34000|10117:20|10123:20|10124:20</t>
  </si>
  <si>
    <t>大魔法师全属性提升3%</t>
  </si>
  <si>
    <t>50705</t>
  </si>
  <si>
    <t>12:44000|10117:25|10123:25|10124:25</t>
  </si>
  <si>
    <t>大魔法师全属性提升4%</t>
  </si>
  <si>
    <t>50706</t>
  </si>
  <si>
    <t>12:57000|10117:30|10123:30|10124:30</t>
  </si>
  <si>
    <t>大魔法师全属性提升5%</t>
  </si>
  <si>
    <t>50707</t>
  </si>
  <si>
    <t>12:74000|10117:35|10123:35|10124:35</t>
  </si>
  <si>
    <t>大魔法师全属性提升6%</t>
  </si>
  <si>
    <t>50708</t>
  </si>
  <si>
    <t>12:96000|10117:40|10123:40|10124:40</t>
  </si>
  <si>
    <t>大魔法师全属性提升7%</t>
  </si>
  <si>
    <t>50709</t>
  </si>
  <si>
    <t>12:125000|10117:45|10123:45|10124:45</t>
  </si>
  <si>
    <t>大魔法师全属性提升8%</t>
  </si>
  <si>
    <t>50710</t>
  </si>
  <si>
    <t>12:163000|10117:50|10123:50|10124:50</t>
  </si>
  <si>
    <t>大魔法师全属性提升9%</t>
  </si>
  <si>
    <t>12:212000|10117:55|10123:55|10124:55</t>
  </si>
  <si>
    <t>大魔法师全属性提升10%</t>
  </si>
  <si>
    <t>50800</t>
  </si>
  <si>
    <t>烈焰之灵训练</t>
  </si>
  <si>
    <t>fashi02_Lv3</t>
  </si>
  <si>
    <t>50801</t>
  </si>
  <si>
    <t>1015:0</t>
  </si>
  <si>
    <t>烈焰之灵全属性提升0%</t>
  </si>
  <si>
    <t>50802</t>
  </si>
  <si>
    <t>1015:1</t>
  </si>
  <si>
    <t>烈焰之灵全属性提升1%</t>
  </si>
  <si>
    <t>50803</t>
  </si>
  <si>
    <t>烈焰之灵全属性提升2%</t>
  </si>
  <si>
    <t>50804</t>
  </si>
  <si>
    <t>烈焰之灵全属性提升3%</t>
  </si>
  <si>
    <t>50805</t>
  </si>
  <si>
    <t>烈焰之灵全属性提升4%</t>
  </si>
  <si>
    <t>50806</t>
  </si>
  <si>
    <t>烈焰之灵全属性提升5%</t>
  </si>
  <si>
    <t>50807</t>
  </si>
  <si>
    <t>烈焰之灵全属性提升6%</t>
  </si>
  <si>
    <t>50808</t>
  </si>
  <si>
    <t>烈焰之灵全属性提升7%</t>
  </si>
  <si>
    <t>50809</t>
  </si>
  <si>
    <t>烈焰之灵全属性提升8%</t>
  </si>
  <si>
    <t>50810</t>
  </si>
  <si>
    <t>烈焰之灵全属性提升9%</t>
  </si>
  <si>
    <t>烈焰之灵全属性提升10%</t>
  </si>
  <si>
    <t>50900</t>
  </si>
  <si>
    <t>符文师训练</t>
  </si>
  <si>
    <t>fashi03_Lv3</t>
  </si>
  <si>
    <t>50901</t>
  </si>
  <si>
    <t>1016:0</t>
  </si>
  <si>
    <t>符文师全属性提升0%</t>
  </si>
  <si>
    <t>50902</t>
  </si>
  <si>
    <t>1016:1</t>
  </si>
  <si>
    <t>符文师全属性提升1%</t>
  </si>
  <si>
    <t>50903</t>
  </si>
  <si>
    <t>符文师全属性提升2%</t>
  </si>
  <si>
    <t>50904</t>
  </si>
  <si>
    <t>符文师全属性提升3%</t>
  </si>
  <si>
    <t>50905</t>
  </si>
  <si>
    <t>符文师全属性提升4%</t>
  </si>
  <si>
    <t>50906</t>
  </si>
  <si>
    <t>符文师全属性提升5%</t>
  </si>
  <si>
    <t>50907</t>
  </si>
  <si>
    <t>符文师全属性提升6%</t>
  </si>
  <si>
    <t>50908</t>
  </si>
  <si>
    <t>符文师全属性提升7%</t>
  </si>
  <si>
    <t>50909</t>
  </si>
  <si>
    <t>符文师全属性提升8%</t>
  </si>
  <si>
    <t>50910</t>
  </si>
  <si>
    <t>符文师全属性提升9%</t>
  </si>
  <si>
    <t>符文师全属性提升10%</t>
  </si>
  <si>
    <t>51000</t>
  </si>
  <si>
    <t>51001</t>
  </si>
  <si>
    <t>12:10000|10111:1|10120:1|10121:1</t>
  </si>
  <si>
    <t>51002</t>
  </si>
  <si>
    <t>12:13000|10111:3|10120:3|10121:3</t>
  </si>
  <si>
    <t>141:20</t>
  </si>
  <si>
    <t>所有牧师和法师生命增加20</t>
  </si>
  <si>
    <t>51003</t>
  </si>
  <si>
    <t>12:16000|10111:5|10120:5|10121:5</t>
  </si>
  <si>
    <t>所有牧师和法师生命增加40</t>
  </si>
  <si>
    <t>51004</t>
  </si>
  <si>
    <t>12:20000|10111:7|10120:7|10121:7</t>
  </si>
  <si>
    <t>51005</t>
  </si>
  <si>
    <t>12:25000|10111:9|10120:9|10121:9</t>
  </si>
  <si>
    <t>所有牧师和法师生命增加80</t>
  </si>
  <si>
    <t>51006</t>
  </si>
  <si>
    <t>12:32000|10111:11|10120:11|10121:11</t>
  </si>
  <si>
    <t>所有牧师和法师生命增加100</t>
  </si>
  <si>
    <t>51007</t>
  </si>
  <si>
    <t>12:40000|10111:13|10120:13|10121:13</t>
  </si>
  <si>
    <t>51008</t>
  </si>
  <si>
    <t>12:50000|10111:15|10120:15|10121:15</t>
  </si>
  <si>
    <t>所有牧师和法师生命增加140</t>
  </si>
  <si>
    <t>51009</t>
  </si>
  <si>
    <t>12:63000|10111:18|10120:18|10121:18</t>
  </si>
  <si>
    <t>所有牧师和法师生命增加160</t>
  </si>
  <si>
    <t>51010</t>
  </si>
  <si>
    <t>12:79000|10111:21|10120:21|10121:21</t>
  </si>
  <si>
    <t>所有牧师和法师生命增加180</t>
  </si>
  <si>
    <t>所有牧师和法师生命增加200</t>
  </si>
  <si>
    <t>51100</t>
  </si>
  <si>
    <t>51101</t>
  </si>
  <si>
    <t>51102</t>
  </si>
  <si>
    <t>143:5</t>
  </si>
  <si>
    <t>所有牧师和法师防御增加5</t>
  </si>
  <si>
    <t>51103</t>
  </si>
  <si>
    <t>所有牧师和法师防御增加10</t>
  </si>
  <si>
    <t>51104</t>
  </si>
  <si>
    <t>所有牧师和法师防御增加15</t>
  </si>
  <si>
    <t>51105</t>
  </si>
  <si>
    <t>所有牧师和法师防御增加20</t>
  </si>
  <si>
    <t>51106</t>
  </si>
  <si>
    <t>所有牧师和法师防御增加25</t>
  </si>
  <si>
    <t>51107</t>
  </si>
  <si>
    <t>51108</t>
  </si>
  <si>
    <t>所有牧师和法师防御增加35</t>
  </si>
  <si>
    <t>51109</t>
  </si>
  <si>
    <t>所有牧师和法师防御增加40</t>
  </si>
  <si>
    <t>51110</t>
  </si>
  <si>
    <t>所有牧师和法师防御增加45</t>
  </si>
  <si>
    <t>所有牧师和法师防御增加50</t>
  </si>
  <si>
    <t>51200</t>
  </si>
  <si>
    <t>51201</t>
  </si>
  <si>
    <t>51202</t>
  </si>
  <si>
    <t>142:8</t>
  </si>
  <si>
    <t>所有牧师和法师攻击增加8</t>
  </si>
  <si>
    <t>51203</t>
  </si>
  <si>
    <t>所有牧师和法师攻击增加16</t>
  </si>
  <si>
    <t>51204</t>
  </si>
  <si>
    <t>所有牧师和法师攻击增加24</t>
  </si>
  <si>
    <t>51205</t>
  </si>
  <si>
    <t>所有牧师和法师攻击增加32</t>
  </si>
  <si>
    <t>51206</t>
  </si>
  <si>
    <t>51207</t>
  </si>
  <si>
    <t>所有牧师和法师攻击增加48</t>
  </si>
  <si>
    <t>51208</t>
  </si>
  <si>
    <t>所有牧师和法师攻击增加56</t>
  </si>
  <si>
    <t>51209</t>
  </si>
  <si>
    <t>所有牧师和法师攻击增加64</t>
  </si>
  <si>
    <t>51210</t>
  </si>
  <si>
    <t>所有牧师和法师攻击增加72</t>
  </si>
  <si>
    <t>所有牧师和法师攻击增加80</t>
  </si>
  <si>
    <t>51300</t>
  </si>
  <si>
    <t>51301</t>
  </si>
  <si>
    <t>51302</t>
  </si>
  <si>
    <t>144:5</t>
  </si>
  <si>
    <t>所有牧师和法师魔防增加5</t>
  </si>
  <si>
    <t>51303</t>
  </si>
  <si>
    <t>所有牧师和法师魔防增加10</t>
  </si>
  <si>
    <t>51304</t>
  </si>
  <si>
    <t>所有牧师和法师魔防增加15</t>
  </si>
  <si>
    <t>51305</t>
  </si>
  <si>
    <t>所有牧师和法师魔防增加20</t>
  </si>
  <si>
    <t>51306</t>
  </si>
  <si>
    <t>所有牧师和法师魔防增加25</t>
  </si>
  <si>
    <t>51307</t>
  </si>
  <si>
    <t>51308</t>
  </si>
  <si>
    <t>所有牧师和法师魔防增加35</t>
  </si>
  <si>
    <t>51309</t>
  </si>
  <si>
    <t>所有牧师和法师魔防增加40</t>
  </si>
  <si>
    <t>51310</t>
  </si>
  <si>
    <t>所有牧师和法师魔防增加45</t>
  </si>
  <si>
    <t>所有牧师和法师魔防增加50</t>
  </si>
  <si>
    <t>51400</t>
  </si>
  <si>
    <t>51401</t>
  </si>
  <si>
    <t>146:0</t>
  </si>
  <si>
    <t>51402</t>
  </si>
  <si>
    <t>146:1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</si>
  <si>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</si>
  <si>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</si>
  <si>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</si>
  <si>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</si>
  <si>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</si>
  <si>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</si>
  <si>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</si>
  <si>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</si>
  <si>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</si>
  <si>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12:100000|10111:24|10120:24|10121:24</t>
  </si>
  <si>
    <t>51412</t>
  </si>
  <si>
    <t>12:126000|10111:27|10120:27|10121:27</t>
  </si>
  <si>
    <t>所有牧师和法师防御百分比增加11%</t>
  </si>
  <si>
    <t>51413</t>
  </si>
  <si>
    <t>12:159000|10111:30|10120:30|10121:30</t>
  </si>
  <si>
    <t>所有牧师和法师防御百分比增加12%</t>
  </si>
  <si>
    <t>51414</t>
  </si>
  <si>
    <t>12:200000|10111:33|10120:33|10121:33</t>
  </si>
  <si>
    <t>所有牧师和法师防御百分比增加13%</t>
  </si>
  <si>
    <t>51415</t>
  </si>
  <si>
    <t>12:252000|10111:36|10120:36|10121:36</t>
  </si>
  <si>
    <t>所有牧师和法师防御百分比增加14%</t>
  </si>
  <si>
    <t>所有牧师和法师防御百分比增加15%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</si>
  <si>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</si>
  <si>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</si>
  <si>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</si>
  <si>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</si>
  <si>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</si>
  <si>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</si>
  <si>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</si>
  <si>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</si>
  <si>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</si>
  <si>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</si>
  <si>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</si>
  <si>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</si>
  <si>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</si>
  <si>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所有牧师和法师攻击百分比增加11%</t>
  </si>
  <si>
    <t>51513</t>
  </si>
  <si>
    <t>所有牧师和法师攻击百分比增加12%</t>
  </si>
  <si>
    <t>51514</t>
  </si>
  <si>
    <t>所有牧师和法师攻击百分比增加13%</t>
  </si>
  <si>
    <t>51515</t>
  </si>
  <si>
    <t>所有牧师和法师攻击百分比增加14%</t>
  </si>
  <si>
    <t>所有牧师和法师攻击百分比增加15%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</si>
  <si>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</si>
  <si>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</si>
  <si>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</si>
  <si>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</si>
  <si>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</si>
  <si>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</si>
  <si>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</si>
  <si>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</si>
  <si>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</si>
  <si>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</si>
  <si>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</si>
  <si>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</si>
  <si>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</si>
  <si>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所有牧师和法师魔防百分比增加11%</t>
  </si>
  <si>
    <t>51613</t>
  </si>
  <si>
    <t>所有牧师和法师魔防百分比增加12%</t>
  </si>
  <si>
    <t>51614</t>
  </si>
  <si>
    <t>所有牧师和法师魔防百分比增加13%</t>
  </si>
  <si>
    <t>51615</t>
  </si>
  <si>
    <t>所有牧师和法师魔防百分比增加14%</t>
  </si>
  <si>
    <t>所有牧师和法师魔防百分比增加15%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</si>
  <si>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</si>
  <si>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</si>
  <si>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</si>
  <si>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</si>
  <si>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</si>
  <si>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</si>
  <si>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</si>
  <si>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</si>
  <si>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</si>
  <si>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</si>
  <si>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</si>
  <si>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</si>
  <si>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</si>
  <si>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</si>
  <si>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</si>
  <si>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</si>
  <si>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</si>
  <si>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</si>
  <si>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</si>
  <si>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</si>
  <si>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</si>
  <si>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</si>
  <si>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</si>
  <si>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</si>
  <si>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</si>
  <si>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</si>
  <si>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</si>
  <si>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</si>
  <si>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</si>
  <si>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</si>
  <si>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</si>
  <si>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</si>
  <si>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</si>
  <si>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52000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</si>
  <si>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</si>
  <si>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</si>
  <si>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</si>
  <si>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</si>
  <si>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</si>
  <si>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</si>
  <si>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</si>
  <si>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</si>
  <si>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</si>
  <si>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</si>
  <si>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</si>
  <si>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</si>
  <si>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12:276000|10117:60|10123:60|10124:60</t>
  </si>
  <si>
    <t>所有牧师和法师生命增加220</t>
  </si>
  <si>
    <t>52013</t>
  </si>
  <si>
    <t>12:359000|10117:65|10123:65|10124:65</t>
  </si>
  <si>
    <t>所有牧师和法师生命增加240</t>
  </si>
  <si>
    <t>52014</t>
  </si>
  <si>
    <t>12:276000|10117:60|10123:60|10124:61</t>
  </si>
  <si>
    <t>所有牧师和法师生命增加260</t>
  </si>
  <si>
    <t>52015</t>
  </si>
  <si>
    <t>12:359000|10117:65|10123:65|10124:66</t>
  </si>
  <si>
    <t>所有牧师和法师生命增加280</t>
  </si>
  <si>
    <t>12:276000|10117:60|10123:60|10124:62</t>
  </si>
  <si>
    <t>所有牧师和法师生命增加300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</si>
  <si>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</si>
  <si>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</si>
  <si>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</si>
  <si>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</si>
  <si>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</si>
  <si>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</si>
  <si>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</si>
  <si>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</si>
  <si>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</si>
  <si>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</si>
  <si>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</si>
  <si>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</si>
  <si>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</si>
  <si>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所有牧师和法师防御增加55</t>
  </si>
  <si>
    <t>52113</t>
  </si>
  <si>
    <t>所有牧师和法师防御增加60</t>
  </si>
  <si>
    <t>52114</t>
  </si>
  <si>
    <t>12:467000|10117:70|10123:70|10124:70</t>
  </si>
  <si>
    <t>所有牧师和法师防御增加65</t>
  </si>
  <si>
    <t>52115</t>
  </si>
  <si>
    <t>12:607000|10117:75|10123:75|10124:75</t>
  </si>
  <si>
    <t>所有牧师和法师防御增加70</t>
  </si>
  <si>
    <t>所有牧师和法师防御增加75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</si>
  <si>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</si>
  <si>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</si>
  <si>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</si>
  <si>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</si>
  <si>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</si>
  <si>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</si>
  <si>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</si>
  <si>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</si>
  <si>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</si>
  <si>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</si>
  <si>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</si>
  <si>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</si>
  <si>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</si>
  <si>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所有牧师和法师攻击增加88</t>
  </si>
  <si>
    <t>52213</t>
  </si>
  <si>
    <t>所有牧师和法师攻击增加96</t>
  </si>
  <si>
    <t>52214</t>
  </si>
  <si>
    <t>所有牧师和法师攻击增加104</t>
  </si>
  <si>
    <t>52215</t>
  </si>
  <si>
    <t>所有牧师和法师攻击增加112</t>
  </si>
  <si>
    <t>所有牧师和法师攻击增加120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</si>
  <si>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</si>
  <si>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</si>
  <si>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</si>
  <si>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</si>
  <si>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</si>
  <si>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</si>
  <si>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</si>
  <si>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</si>
  <si>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</si>
  <si>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</si>
  <si>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</si>
  <si>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</si>
  <si>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</si>
  <si>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所有牧师和法师魔防增加55</t>
  </si>
  <si>
    <t>52313</t>
  </si>
  <si>
    <t>所有牧师和法师魔防增加60</t>
  </si>
  <si>
    <t>52314</t>
  </si>
  <si>
    <t>所有牧师和法师魔防增加65</t>
  </si>
  <si>
    <t>52315</t>
  </si>
  <si>
    <t>所有牧师和法师魔防增加70</t>
  </si>
  <si>
    <t>所有牧师和法师魔防增加75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</si>
  <si>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</si>
  <si>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</si>
  <si>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</si>
  <si>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</si>
  <si>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</si>
  <si>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</si>
  <si>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</si>
  <si>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</si>
  <si>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</si>
  <si>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</si>
  <si>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</si>
  <si>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</si>
  <si>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</si>
  <si>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</si>
  <si>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</si>
  <si>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</si>
  <si>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</si>
  <si>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12:789000|10117:80|10123:80|10124:80</t>
  </si>
  <si>
    <t>52417</t>
  </si>
  <si>
    <t>12:1026000|10117:85|10123:85|10124:85</t>
  </si>
  <si>
    <t>所有牧师和法师防御百分比增加16%</t>
  </si>
  <si>
    <t>52418</t>
  </si>
  <si>
    <t>12:1334000|10117:90|10123:90|10124:90</t>
  </si>
  <si>
    <t>所有牧师和法师防御百分比增加17%</t>
  </si>
  <si>
    <t>52419</t>
  </si>
  <si>
    <t>12:1734000|10117:95|10123:95|10124:95</t>
  </si>
  <si>
    <t>所有牧师和法师防御百分比增加18%</t>
  </si>
  <si>
    <t>52420</t>
  </si>
  <si>
    <t>12:2254000|10117:100|10123:100|10124:100</t>
  </si>
  <si>
    <t>所有牧师和法师防御百分比增加19%</t>
  </si>
  <si>
    <t>所有牧师和法师防御百分比增加20%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</si>
  <si>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</si>
  <si>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</si>
  <si>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</si>
  <si>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</si>
  <si>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</si>
  <si>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</si>
  <si>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</si>
  <si>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</si>
  <si>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</si>
  <si>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</si>
  <si>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</si>
  <si>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</si>
  <si>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</si>
  <si>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</si>
  <si>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</si>
  <si>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</si>
  <si>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</si>
  <si>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</si>
  <si>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所有牧师和法师攻击百分比增加16%</t>
  </si>
  <si>
    <t>52518</t>
  </si>
  <si>
    <t>所有牧师和法师攻击百分比增加17%</t>
  </si>
  <si>
    <t>52519</t>
  </si>
  <si>
    <t>所有牧师和法师攻击百分比增加18%</t>
  </si>
  <si>
    <t>52520</t>
  </si>
  <si>
    <t>所有牧师和法师攻击百分比增加19%</t>
  </si>
  <si>
    <t>所有牧师和法师攻击百分比增加20%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</si>
  <si>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</si>
  <si>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</si>
  <si>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</si>
  <si>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</si>
  <si>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</si>
  <si>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</si>
  <si>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</si>
  <si>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</si>
  <si>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</si>
  <si>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</si>
  <si>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</si>
  <si>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</si>
  <si>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</si>
  <si>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</si>
  <si>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</si>
  <si>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</si>
  <si>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</si>
  <si>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</si>
  <si>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所有牧师和法师魔防百分比增加16%</t>
  </si>
  <si>
    <t>52618</t>
  </si>
  <si>
    <t>所有牧师和法师魔防百分比增加17%</t>
  </si>
  <si>
    <t>52619</t>
  </si>
  <si>
    <t>所有牧师和法师魔防百分比增加18%</t>
  </si>
  <si>
    <t>52620</t>
  </si>
  <si>
    <t>所有牧师和法师魔防百分比增加19%</t>
  </si>
  <si>
    <t>所有牧师和法师魔防百分比增加20%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</si>
  <si>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</si>
  <si>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</si>
  <si>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</si>
  <si>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</si>
  <si>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</si>
  <si>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</si>
  <si>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</si>
  <si>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</si>
  <si>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</si>
  <si>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</si>
  <si>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</si>
  <si>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</si>
  <si>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</si>
  <si>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大魔法师全属性提升11%</t>
  </si>
  <si>
    <t>52713</t>
  </si>
  <si>
    <t>大魔法师全属性提升12%</t>
  </si>
  <si>
    <t>52714</t>
  </si>
  <si>
    <t>大魔法师全属性提升13%</t>
  </si>
  <si>
    <t>52715</t>
  </si>
  <si>
    <t>大魔法师全属性提升14%</t>
  </si>
  <si>
    <t>52716</t>
  </si>
  <si>
    <t>大魔法师全属性提升15%</t>
  </si>
  <si>
    <t>52717</t>
  </si>
  <si>
    <t>大魔法师全属性提升16%</t>
  </si>
  <si>
    <t>52718</t>
  </si>
  <si>
    <t>大魔法师全属性提升17%</t>
  </si>
  <si>
    <t>52719</t>
  </si>
  <si>
    <t>大魔法师全属性提升18%</t>
  </si>
  <si>
    <t>52720</t>
  </si>
  <si>
    <t>大魔法师全属性提升19%</t>
  </si>
  <si>
    <t>大魔法师全属性提升20%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</si>
  <si>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</si>
  <si>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</si>
  <si>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</si>
  <si>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</si>
  <si>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</si>
  <si>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</si>
  <si>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</si>
  <si>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</si>
  <si>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</si>
  <si>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</si>
  <si>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</si>
  <si>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</si>
  <si>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</si>
  <si>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烈焰之灵全属性提升11%</t>
  </si>
  <si>
    <t>52813</t>
  </si>
  <si>
    <t>烈焰之灵全属性提升12%</t>
  </si>
  <si>
    <t>52814</t>
  </si>
  <si>
    <t>烈焰之灵全属性提升13%</t>
  </si>
  <si>
    <t>52815</t>
  </si>
  <si>
    <t>烈焰之灵全属性提升14%</t>
  </si>
  <si>
    <t>52816</t>
  </si>
  <si>
    <t>烈焰之灵全属性提升15%</t>
  </si>
  <si>
    <t>52817</t>
  </si>
  <si>
    <t>烈焰之灵全属性提升16%</t>
  </si>
  <si>
    <t>52818</t>
  </si>
  <si>
    <t>烈焰之灵全属性提升17%</t>
  </si>
  <si>
    <t>52819</t>
  </si>
  <si>
    <t>烈焰之灵全属性提升18%</t>
  </si>
  <si>
    <t>52820</t>
  </si>
  <si>
    <t>烈焰之灵全属性提升19%</t>
  </si>
  <si>
    <t>烈焰之灵全属性提升20%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</si>
  <si>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</si>
  <si>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</si>
  <si>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</si>
  <si>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</si>
  <si>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</si>
  <si>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</si>
  <si>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</si>
  <si>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</si>
  <si>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</si>
  <si>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</si>
  <si>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</si>
  <si>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</si>
  <si>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</si>
  <si>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符文师全属性提升11%</t>
  </si>
  <si>
    <t>52913</t>
  </si>
  <si>
    <t>符文师全属性提升12%</t>
  </si>
  <si>
    <t>52914</t>
  </si>
  <si>
    <t>符文师全属性提升13%</t>
  </si>
  <si>
    <t>52915</t>
  </si>
  <si>
    <t>符文师全属性提升14%</t>
  </si>
  <si>
    <t>52916</t>
  </si>
  <si>
    <t>符文师全属性提升15%</t>
  </si>
  <si>
    <t>52917</t>
  </si>
  <si>
    <t>符文师全属性提升16%</t>
  </si>
  <si>
    <t>52918</t>
  </si>
  <si>
    <t>符文师全属性提升17%</t>
  </si>
  <si>
    <t>52919</t>
  </si>
  <si>
    <t>符文师全属性提升18%</t>
  </si>
  <si>
    <t>52920</t>
  </si>
  <si>
    <t>符文师全属性提升19%</t>
  </si>
  <si>
    <t>符文师全属性提升20%</t>
  </si>
  <si>
    <t>60000</t>
  </si>
  <si>
    <t>60001</t>
  </si>
  <si>
    <t>12:5000|10106:1|10119:1|10122:1</t>
  </si>
  <si>
    <t>171:0</t>
  </si>
  <si>
    <t>所有魔物和野兽生命增加0</t>
  </si>
  <si>
    <t>60002</t>
  </si>
  <si>
    <t>12:6000|10106:2|10119:2|10122:2</t>
  </si>
  <si>
    <t>171:30</t>
  </si>
  <si>
    <t>所有魔物和野兽生命增加30</t>
  </si>
  <si>
    <t>60003</t>
  </si>
  <si>
    <t>12:8000|10106:3|10119:3|10122:3</t>
  </si>
  <si>
    <t>所有魔物和野兽生命增加60</t>
  </si>
  <si>
    <t>60004</t>
  </si>
  <si>
    <t>12:10000|10106:4|10119:4|10122:4</t>
  </si>
  <si>
    <t>所有魔物和野兽生命增加90</t>
  </si>
  <si>
    <t>60005</t>
  </si>
  <si>
    <t>12:13000|10106:5|10119:5|10122:5</t>
  </si>
  <si>
    <t>所有魔物和野兽生命增加120</t>
  </si>
  <si>
    <t>所有魔物和野兽生命增加150</t>
  </si>
  <si>
    <t>60100</t>
  </si>
  <si>
    <t>60101</t>
  </si>
  <si>
    <t>173:0</t>
  </si>
  <si>
    <t>所有魔物和野兽防御增加0</t>
  </si>
  <si>
    <t>60102</t>
  </si>
  <si>
    <t>173:6</t>
  </si>
  <si>
    <t>所有魔物和野兽防御增加6</t>
  </si>
  <si>
    <t>60103</t>
  </si>
  <si>
    <t>所有魔物和野兽防御增加12</t>
  </si>
  <si>
    <t>60104</t>
  </si>
  <si>
    <t>所有魔物和野兽防御增加18</t>
  </si>
  <si>
    <t>60105</t>
  </si>
  <si>
    <t>所有魔物和野兽防御增加24</t>
  </si>
  <si>
    <t>所有魔物和野兽防御增加30</t>
  </si>
  <si>
    <t>60200</t>
  </si>
  <si>
    <t>60201</t>
  </si>
  <si>
    <t>172:0</t>
  </si>
  <si>
    <t>所有魔物和野兽攻击增加0</t>
  </si>
  <si>
    <t>60202</t>
  </si>
  <si>
    <t>172:10</t>
  </si>
  <si>
    <t>所有魔物和野兽攻击增加10</t>
  </si>
  <si>
    <t>60203</t>
  </si>
  <si>
    <t>所有魔物和野兽攻击增加20</t>
  </si>
  <si>
    <t>60204</t>
  </si>
  <si>
    <t>所有魔物和野兽攻击增加30</t>
  </si>
  <si>
    <t>60205</t>
  </si>
  <si>
    <t>所有魔物和野兽攻击增加40</t>
  </si>
  <si>
    <t>所有魔物和野兽攻击增加50</t>
  </si>
  <si>
    <t>60300</t>
  </si>
  <si>
    <t>60301</t>
  </si>
  <si>
    <t>174:0</t>
  </si>
  <si>
    <t>所有魔物和野兽魔防增加0</t>
  </si>
  <si>
    <t>60302</t>
  </si>
  <si>
    <t>174:6</t>
  </si>
  <si>
    <t>所有魔物和野兽魔防增加6</t>
  </si>
  <si>
    <t>60303</t>
  </si>
  <si>
    <t>所有魔物和野兽魔防增加12</t>
  </si>
  <si>
    <t>60304</t>
  </si>
  <si>
    <t>所有魔物和野兽魔防增加18</t>
  </si>
  <si>
    <t>60305</t>
  </si>
  <si>
    <t>所有魔物和野兽魔防增加24</t>
  </si>
  <si>
    <t>所有魔物和野兽魔防增加30</t>
  </si>
  <si>
    <t>60400</t>
  </si>
  <si>
    <t>60401</t>
  </si>
  <si>
    <t>178:0</t>
  </si>
  <si>
    <t>所有魔物和野兽防御百分比增加0%</t>
  </si>
  <si>
    <t>60402</t>
  </si>
  <si>
    <t>178:1</t>
  </si>
  <si>
    <t>所有魔物和野兽防御百分比增加1%</t>
  </si>
  <si>
    <t>60403</t>
  </si>
  <si>
    <t>所有魔物和野兽防御百分比增加2%</t>
  </si>
  <si>
    <t>60404</t>
  </si>
  <si>
    <t>所有魔物和野兽防御百分比增加3%</t>
  </si>
  <si>
    <t>60405</t>
  </si>
  <si>
    <t>所有魔物和野兽防御百分比增加4%</t>
  </si>
  <si>
    <t>60406</t>
  </si>
  <si>
    <t>12:16000|10106:7|10119:7|10122:7</t>
  </si>
  <si>
    <t>所有魔物和野兽防御百分比增加5%</t>
  </si>
  <si>
    <t>60407</t>
  </si>
  <si>
    <t>12:20000|10106:9|10119:9|10122:9</t>
  </si>
  <si>
    <t>所有魔物和野兽防御百分比增加6%</t>
  </si>
  <si>
    <t>60408</t>
  </si>
  <si>
    <t>12:25000|10106:11|10119:11|10122:11</t>
  </si>
  <si>
    <t>所有魔物和野兽防御百分比增加7%</t>
  </si>
  <si>
    <t>60409</t>
  </si>
  <si>
    <t>12:31000|10106:13|10119:13|10122:13</t>
  </si>
  <si>
    <t>所有魔物和野兽防御百分比增加8%</t>
  </si>
  <si>
    <t>60410</t>
  </si>
  <si>
    <t>12:39000|10106:15|10119:15|10122:15</t>
  </si>
  <si>
    <t>所有魔物和野兽防御百分比增加9%</t>
  </si>
  <si>
    <t>所有魔物和野兽防御百分比增加10%</t>
  </si>
  <si>
    <t>60500</t>
  </si>
  <si>
    <t>60501</t>
  </si>
  <si>
    <t>177:0</t>
  </si>
  <si>
    <t>所有魔物和野兽攻击百分比增加0%</t>
  </si>
  <si>
    <t>60502</t>
  </si>
  <si>
    <t>177:1</t>
  </si>
  <si>
    <t>所有魔物和野兽攻击百分比增加1%</t>
  </si>
  <si>
    <t>60503</t>
  </si>
  <si>
    <t>所有魔物和野兽攻击百分比增加2%</t>
  </si>
  <si>
    <t>60504</t>
  </si>
  <si>
    <t>所有魔物和野兽攻击百分比增加3%</t>
  </si>
  <si>
    <t>60505</t>
  </si>
  <si>
    <t>所有魔物和野兽攻击百分比增加4%</t>
  </si>
  <si>
    <t>60506</t>
  </si>
  <si>
    <t>所有魔物和野兽攻击百分比增加5%</t>
  </si>
  <si>
    <t>60507</t>
  </si>
  <si>
    <t>所有魔物和野兽攻击百分比增加6%</t>
  </si>
  <si>
    <t>60508</t>
  </si>
  <si>
    <t>所有魔物和野兽攻击百分比增加7%</t>
  </si>
  <si>
    <t>60509</t>
  </si>
  <si>
    <t>所有魔物和野兽攻击百分比增加8%</t>
  </si>
  <si>
    <t>60510</t>
  </si>
  <si>
    <t>所有魔物和野兽攻击百分比增加9%</t>
  </si>
  <si>
    <t>所有魔物和野兽攻击百分比增加10%</t>
  </si>
  <si>
    <t>60600</t>
  </si>
  <si>
    <t>60601</t>
  </si>
  <si>
    <t>179:0</t>
  </si>
  <si>
    <t>所有魔物和野兽魔防百分比增加0%</t>
  </si>
  <si>
    <t>60602</t>
  </si>
  <si>
    <t>179:1</t>
  </si>
  <si>
    <t>所有魔物和野兽魔防百分比增加1%</t>
  </si>
  <si>
    <t>60603</t>
  </si>
  <si>
    <t>所有魔物和野兽魔防百分比增加2%</t>
  </si>
  <si>
    <t>60604</t>
  </si>
  <si>
    <t>所有魔物和野兽魔防百分比增加3%</t>
  </si>
  <si>
    <t>60605</t>
  </si>
  <si>
    <t>所有魔物和野兽魔防百分比增加4%</t>
  </si>
  <si>
    <t>60606</t>
  </si>
  <si>
    <t>所有魔物和野兽魔防百分比增加5%</t>
  </si>
  <si>
    <t>60607</t>
  </si>
  <si>
    <t>所有魔物和野兽魔防百分比增加6%</t>
  </si>
  <si>
    <t>60608</t>
  </si>
  <si>
    <t>所有魔物和野兽魔防百分比增加7%</t>
  </si>
  <si>
    <t>60609</t>
  </si>
  <si>
    <t>所有魔物和野兽魔防百分比增加8%</t>
  </si>
  <si>
    <t>60610</t>
  </si>
  <si>
    <t>所有魔物和野兽魔防百分比增加9%</t>
  </si>
  <si>
    <t>所有魔物和野兽魔防百分比增加10%</t>
  </si>
  <si>
    <t>60700</t>
  </si>
  <si>
    <t>亡灵骑士训练</t>
  </si>
  <si>
    <t>moshou01_Lv3</t>
  </si>
  <si>
    <t>60701</t>
  </si>
  <si>
    <t>12:15000|10118:5|10123:5|10124:5</t>
  </si>
  <si>
    <t>1020:0</t>
  </si>
  <si>
    <t>亡灵骑士全属性提升0%</t>
  </si>
  <si>
    <t>60702</t>
  </si>
  <si>
    <t>12:20000|10118:10|10123:10|10124:10</t>
  </si>
  <si>
    <t>1020:1</t>
  </si>
  <si>
    <t>亡灵骑士全属性提升1%</t>
  </si>
  <si>
    <t>60703</t>
  </si>
  <si>
    <t>12:26000|10118:15|10123:15|10124:15</t>
  </si>
  <si>
    <t>亡灵骑士全属性提升2%</t>
  </si>
  <si>
    <t>60704</t>
  </si>
  <si>
    <t>12:34000|10118:20|10123:20|10124:20</t>
  </si>
  <si>
    <t>亡灵骑士全属性提升3%</t>
  </si>
  <si>
    <t>60705</t>
  </si>
  <si>
    <t>12:44000|10118:25|10123:25|10124:25</t>
  </si>
  <si>
    <t>亡灵骑士全属性提升4%</t>
  </si>
  <si>
    <t>60706</t>
  </si>
  <si>
    <t>12:57000|10118:30|10123:30|10124:30</t>
  </si>
  <si>
    <t>亡灵骑士全属性提升5%</t>
  </si>
  <si>
    <t>60707</t>
  </si>
  <si>
    <t>12:74000|10118:35|10123:35|10124:35</t>
  </si>
  <si>
    <t>亡灵骑士全属性提升6%</t>
  </si>
  <si>
    <t>60708</t>
  </si>
  <si>
    <t>12:96000|10118:40|10123:40|10124:40</t>
  </si>
  <si>
    <t>亡灵骑士全属性提升7%</t>
  </si>
  <si>
    <t>60709</t>
  </si>
  <si>
    <t>12:125000|10118:45|10123:45|10124:45</t>
  </si>
  <si>
    <t>亡灵骑士全属性提升8%</t>
  </si>
  <si>
    <t>60710</t>
  </si>
  <si>
    <t>12:163000|10118:50|10123:50|10124:50</t>
  </si>
  <si>
    <t>亡灵骑士全属性提升9%</t>
  </si>
  <si>
    <t>12:212000|10118:55|10123:55|10124:55</t>
  </si>
  <si>
    <t>亡灵骑士全属性提升10%</t>
  </si>
  <si>
    <t>60800</t>
  </si>
  <si>
    <t>伯爵训练</t>
  </si>
  <si>
    <t>moshou02_Lv3</t>
  </si>
  <si>
    <t>60801</t>
  </si>
  <si>
    <t>1021:0</t>
  </si>
  <si>
    <t>伯爵全属性提升0%</t>
  </si>
  <si>
    <t>60802</t>
  </si>
  <si>
    <t>1021:1</t>
  </si>
  <si>
    <t>伯爵全属性提升1%</t>
  </si>
  <si>
    <t>60803</t>
  </si>
  <si>
    <t>伯爵全属性提升2%</t>
  </si>
  <si>
    <t>60804</t>
  </si>
  <si>
    <t>伯爵全属性提升3%</t>
  </si>
  <si>
    <t>60805</t>
  </si>
  <si>
    <t>伯爵全属性提升4%</t>
  </si>
  <si>
    <t>60806</t>
  </si>
  <si>
    <t>伯爵全属性提升5%</t>
  </si>
  <si>
    <t>60807</t>
  </si>
  <si>
    <t>伯爵全属性提升6%</t>
  </si>
  <si>
    <t>60808</t>
  </si>
  <si>
    <t>伯爵全属性提升7%</t>
  </si>
  <si>
    <t>60809</t>
  </si>
  <si>
    <t>伯爵全属性提升8%</t>
  </si>
  <si>
    <t>60810</t>
  </si>
  <si>
    <t>伯爵全属性提升9%</t>
  </si>
  <si>
    <t>伯爵全属性提升10%</t>
  </si>
  <si>
    <t>60900</t>
  </si>
  <si>
    <t>死灵法师训练</t>
  </si>
  <si>
    <t>moshou03_Lv3</t>
  </si>
  <si>
    <t>60901</t>
  </si>
  <si>
    <t>1022:0</t>
  </si>
  <si>
    <t>死灵法师全属性提升0%</t>
  </si>
  <si>
    <t>60902</t>
  </si>
  <si>
    <t>1022:1</t>
  </si>
  <si>
    <t>死灵法师全属性提升1%</t>
  </si>
  <si>
    <t>60903</t>
  </si>
  <si>
    <t>死灵法师全属性提升2%</t>
  </si>
  <si>
    <t>60904</t>
  </si>
  <si>
    <t>死灵法师全属性提升3%</t>
  </si>
  <si>
    <t>60905</t>
  </si>
  <si>
    <t>死灵法师全属性提升4%</t>
  </si>
  <si>
    <t>60906</t>
  </si>
  <si>
    <t>死灵法师全属性提升5%</t>
  </si>
  <si>
    <t>60907</t>
  </si>
  <si>
    <t>死灵法师全属性提升6%</t>
  </si>
  <si>
    <t>60908</t>
  </si>
  <si>
    <t>死灵法师全属性提升7%</t>
  </si>
  <si>
    <t>60909</t>
  </si>
  <si>
    <t>死灵法师全属性提升8%</t>
  </si>
  <si>
    <t>60910</t>
  </si>
  <si>
    <t>死灵法师全属性提升9%</t>
  </si>
  <si>
    <t>死灵法师全属性提升10%</t>
  </si>
  <si>
    <t>61000</t>
  </si>
  <si>
    <t>61001</t>
  </si>
  <si>
    <t>12:10000|10112:1|10120:1|10121:1</t>
  </si>
  <si>
    <t>61002</t>
  </si>
  <si>
    <t>12:13000|10112:3|10120:3|10121:3</t>
  </si>
  <si>
    <t>171:20</t>
  </si>
  <si>
    <t>所有魔物和野兽生命增加20</t>
  </si>
  <si>
    <t>61003</t>
  </si>
  <si>
    <t>12:16000|10112:5|10120:5|10121:5</t>
  </si>
  <si>
    <t>所有魔物和野兽生命增加40</t>
  </si>
  <si>
    <t>61004</t>
  </si>
  <si>
    <t>12:20000|10112:7|10120:7|10121:7</t>
  </si>
  <si>
    <t>61005</t>
  </si>
  <si>
    <t>12:25000|10112:9|10120:9|10121:9</t>
  </si>
  <si>
    <t>所有魔物和野兽生命增加80</t>
  </si>
  <si>
    <t>61006</t>
  </si>
  <si>
    <t>12:32000|10112:11|10120:11|10121:11</t>
  </si>
  <si>
    <t>所有魔物和野兽生命增加100</t>
  </si>
  <si>
    <t>61007</t>
  </si>
  <si>
    <t>12:40000|10112:13|10120:13|10121:13</t>
  </si>
  <si>
    <t>61008</t>
  </si>
  <si>
    <t>12:50000|10112:15|10120:15|10121:15</t>
  </si>
  <si>
    <t>所有魔物和野兽生命增加140</t>
  </si>
  <si>
    <t>61009</t>
  </si>
  <si>
    <t>12:63000|10112:18|10120:18|10121:18</t>
  </si>
  <si>
    <t>所有魔物和野兽生命增加160</t>
  </si>
  <si>
    <t>61010</t>
  </si>
  <si>
    <t>12:79000|10112:21|10120:21|10121:21</t>
  </si>
  <si>
    <t>所有魔物和野兽生命增加180</t>
  </si>
  <si>
    <t>所有魔物和野兽生命增加200</t>
  </si>
  <si>
    <t>61100</t>
  </si>
  <si>
    <t>61101</t>
  </si>
  <si>
    <t>61102</t>
  </si>
  <si>
    <t>173:5</t>
  </si>
  <si>
    <t>所有魔物和野兽防御增加5</t>
  </si>
  <si>
    <t>61103</t>
  </si>
  <si>
    <t>所有魔物和野兽防御增加10</t>
  </si>
  <si>
    <t>61104</t>
  </si>
  <si>
    <t>所有魔物和野兽防御增加15</t>
  </si>
  <si>
    <t>61105</t>
  </si>
  <si>
    <t>所有魔物和野兽防御增加20</t>
  </si>
  <si>
    <t>61106</t>
  </si>
  <si>
    <t>所有魔物和野兽防御增加25</t>
  </si>
  <si>
    <t>61107</t>
  </si>
  <si>
    <t>61108</t>
  </si>
  <si>
    <t>所有魔物和野兽防御增加35</t>
  </si>
  <si>
    <t>61109</t>
  </si>
  <si>
    <t>所有魔物和野兽防御增加40</t>
  </si>
  <si>
    <t>61110</t>
  </si>
  <si>
    <t>所有魔物和野兽防御增加45</t>
  </si>
  <si>
    <t>所有魔物和野兽防御增加50</t>
  </si>
  <si>
    <t>61200</t>
  </si>
  <si>
    <t>61201</t>
  </si>
  <si>
    <t>61202</t>
  </si>
  <si>
    <t>172:8</t>
  </si>
  <si>
    <t>所有魔物和野兽攻击增加8</t>
  </si>
  <si>
    <t>61203</t>
  </si>
  <si>
    <t>所有魔物和野兽攻击增加16</t>
  </si>
  <si>
    <t>61204</t>
  </si>
  <si>
    <t>所有魔物和野兽攻击增加24</t>
  </si>
  <si>
    <t>61205</t>
  </si>
  <si>
    <t>所有魔物和野兽攻击增加32</t>
  </si>
  <si>
    <t>61206</t>
  </si>
  <si>
    <t>61207</t>
  </si>
  <si>
    <t>所有魔物和野兽攻击增加48</t>
  </si>
  <si>
    <t>61208</t>
  </si>
  <si>
    <t>所有魔物和野兽攻击增加56</t>
  </si>
  <si>
    <t>61209</t>
  </si>
  <si>
    <t>所有魔物和野兽攻击增加64</t>
  </si>
  <si>
    <t>61210</t>
  </si>
  <si>
    <t>所有魔物和野兽攻击增加72</t>
  </si>
  <si>
    <t>所有魔物和野兽攻击增加80</t>
  </si>
  <si>
    <t>61300</t>
  </si>
  <si>
    <t>61301</t>
  </si>
  <si>
    <t>61302</t>
  </si>
  <si>
    <t>174:5</t>
  </si>
  <si>
    <t>所有魔物和野兽魔防增加5</t>
  </si>
  <si>
    <t>61303</t>
  </si>
  <si>
    <t>所有魔物和野兽魔防增加10</t>
  </si>
  <si>
    <t>61304</t>
  </si>
  <si>
    <t>所有魔物和野兽魔防增加15</t>
  </si>
  <si>
    <t>61305</t>
  </si>
  <si>
    <t>所有魔物和野兽魔防增加20</t>
  </si>
  <si>
    <t>61306</t>
  </si>
  <si>
    <t>所有魔物和野兽魔防增加25</t>
  </si>
  <si>
    <t>61307</t>
  </si>
  <si>
    <t>61308</t>
  </si>
  <si>
    <t>所有魔物和野兽魔防增加35</t>
  </si>
  <si>
    <t>61309</t>
  </si>
  <si>
    <t>所有魔物和野兽魔防增加40</t>
  </si>
  <si>
    <t>61310</t>
  </si>
  <si>
    <t>所有魔物和野兽魔防增加45</t>
  </si>
  <si>
    <t>所有魔物和野兽魔防增加50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</si>
  <si>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</si>
  <si>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</si>
  <si>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</si>
  <si>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</si>
  <si>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</si>
  <si>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</si>
  <si>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</si>
  <si>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</si>
  <si>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</si>
  <si>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</si>
  <si>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</si>
  <si>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</si>
  <si>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12:100000|10112:24|10120:24|10121:24</t>
  </si>
  <si>
    <t>61412</t>
  </si>
  <si>
    <t>12:126000|10112:27|10120:27|10121:27</t>
  </si>
  <si>
    <t>所有魔物和野兽防御百分比增加11%</t>
  </si>
  <si>
    <t>61413</t>
  </si>
  <si>
    <t>12:159000|10112:30|10120:30|10121:30</t>
  </si>
  <si>
    <t>所有魔物和野兽防御百分比增加12%</t>
  </si>
  <si>
    <t>61414</t>
  </si>
  <si>
    <t>12:200000|10112:33|10120:33|10121:33</t>
  </si>
  <si>
    <t>所有魔物和野兽防御百分比增加13%</t>
  </si>
  <si>
    <t>61415</t>
  </si>
  <si>
    <t>12:252000|10112:36|10120:36|10121:36</t>
  </si>
  <si>
    <t>所有魔物和野兽防御百分比增加14%</t>
  </si>
  <si>
    <t>所有魔物和野兽防御百分比增加15%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</si>
  <si>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</si>
  <si>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</si>
  <si>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</si>
  <si>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</si>
  <si>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</si>
  <si>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</si>
  <si>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</si>
  <si>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</si>
  <si>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</si>
  <si>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</si>
  <si>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</si>
  <si>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</si>
  <si>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</si>
  <si>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所有魔物和野兽攻击百分比增加11%</t>
  </si>
  <si>
    <t>61513</t>
  </si>
  <si>
    <t>所有魔物和野兽攻击百分比增加12%</t>
  </si>
  <si>
    <t>61514</t>
  </si>
  <si>
    <t>所有魔物和野兽攻击百分比增加13%</t>
  </si>
  <si>
    <t>61515</t>
  </si>
  <si>
    <t>所有魔物和野兽攻击百分比增加14%</t>
  </si>
  <si>
    <t>所有魔物和野兽攻击百分比增加15%</t>
  </si>
  <si>
    <t>61600</t>
  </si>
  <si>
    <t>61601</t>
  </si>
  <si>
    <t>61602</t>
  </si>
  <si>
    <t>61603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</si>
  <si>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</si>
  <si>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</si>
  <si>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</si>
  <si>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</si>
  <si>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</si>
  <si>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</si>
  <si>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</si>
  <si>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</si>
  <si>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</si>
  <si>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所有魔物和野兽魔防百分比增加11%</t>
  </si>
  <si>
    <t>61613</t>
  </si>
  <si>
    <t>所有魔物和野兽魔防百分比增加12%</t>
  </si>
  <si>
    <t>61614</t>
  </si>
  <si>
    <t>所有魔物和野兽魔防百分比增加13%</t>
  </si>
  <si>
    <t>61615</t>
  </si>
  <si>
    <t>所有魔物和野兽魔防百分比增加14%</t>
  </si>
  <si>
    <t>所有魔物和野兽魔防百分比增加15%</t>
  </si>
  <si>
    <t>61700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</si>
  <si>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</si>
  <si>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</si>
  <si>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</si>
  <si>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</si>
  <si>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</si>
  <si>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</si>
  <si>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</si>
  <si>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</si>
  <si>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</si>
  <si>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61710</t>
  </si>
  <si>
    <t>61800</t>
  </si>
  <si>
    <t>61801</t>
  </si>
  <si>
    <t>61802</t>
  </si>
  <si>
    <t>61803</t>
  </si>
  <si>
    <t>61804</t>
  </si>
  <si>
    <t>61805</t>
  </si>
  <si>
    <t>61806</t>
  </si>
  <si>
    <t>61807</t>
  </si>
  <si>
    <t>61808</t>
  </si>
  <si>
    <t>61809</t>
  </si>
  <si>
    <t>61810</t>
  </si>
  <si>
    <t>61900</t>
  </si>
  <si>
    <t>61901</t>
  </si>
  <si>
    <t>61902</t>
  </si>
  <si>
    <t>61903</t>
  </si>
  <si>
    <t>61904</t>
  </si>
  <si>
    <t>61905</t>
  </si>
  <si>
    <t>61906</t>
  </si>
  <si>
    <t>61907</t>
  </si>
  <si>
    <t>61908</t>
  </si>
  <si>
    <t>61909</t>
  </si>
  <si>
    <t>61910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</si>
  <si>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</si>
  <si>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</si>
  <si>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</si>
  <si>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</si>
  <si>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</si>
  <si>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</si>
  <si>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</si>
  <si>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</si>
  <si>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</si>
  <si>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</si>
  <si>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</si>
  <si>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</si>
  <si>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</si>
  <si>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12:276000|10118:60|10123:60|10124:60</t>
  </si>
  <si>
    <t>所有魔物和野兽生命增加220</t>
  </si>
  <si>
    <t>62013</t>
  </si>
  <si>
    <t>12:359000|10118:65|10123:65|10124:65</t>
  </si>
  <si>
    <t>所有魔物和野兽生命增加240</t>
  </si>
  <si>
    <t>62014</t>
  </si>
  <si>
    <t>12:276000|10118:60|10123:60|10124:61</t>
  </si>
  <si>
    <t>所有魔物和野兽生命增加260</t>
  </si>
  <si>
    <t>62015</t>
  </si>
  <si>
    <t>12:359000|10118:65|10123:65|10124:66</t>
  </si>
  <si>
    <t>所有魔物和野兽生命增加280</t>
  </si>
  <si>
    <t>12:276000|10118:60|10123:60|10124:62</t>
  </si>
  <si>
    <t>所有魔物和野兽生命增加300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</si>
  <si>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</si>
  <si>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</si>
  <si>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</si>
  <si>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</si>
  <si>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</si>
  <si>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</si>
  <si>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</si>
  <si>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</si>
  <si>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</si>
  <si>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</si>
  <si>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</si>
  <si>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</si>
  <si>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</si>
  <si>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所有魔物和野兽防御增加55</t>
  </si>
  <si>
    <t>62113</t>
  </si>
  <si>
    <t>所有魔物和野兽防御增加60</t>
  </si>
  <si>
    <t>62114</t>
  </si>
  <si>
    <t>12:467000|10118:70|10123:70|10124:70</t>
  </si>
  <si>
    <t>所有魔物和野兽防御增加65</t>
  </si>
  <si>
    <t>62115</t>
  </si>
  <si>
    <t>12:607000|10118:75|10123:75|10124:75</t>
  </si>
  <si>
    <t>所有魔物和野兽防御增加70</t>
  </si>
  <si>
    <t>所有魔物和野兽防御增加75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</si>
  <si>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</si>
  <si>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</si>
  <si>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</si>
  <si>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</si>
  <si>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</si>
  <si>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</si>
  <si>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</si>
  <si>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</si>
  <si>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</si>
  <si>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</si>
  <si>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</si>
  <si>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</si>
  <si>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</si>
  <si>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所有魔物和野兽攻击增加88</t>
  </si>
  <si>
    <t>62213</t>
  </si>
  <si>
    <t>所有魔物和野兽攻击增加96</t>
  </si>
  <si>
    <t>62214</t>
  </si>
  <si>
    <t>所有魔物和野兽攻击增加104</t>
  </si>
  <si>
    <t>62215</t>
  </si>
  <si>
    <t>所有魔物和野兽攻击增加112</t>
  </si>
  <si>
    <t>所有魔物和野兽攻击增加120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</si>
  <si>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</si>
  <si>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</si>
  <si>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</si>
  <si>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</si>
  <si>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</si>
  <si>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</si>
  <si>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</si>
  <si>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</si>
  <si>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</si>
  <si>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</si>
  <si>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</si>
  <si>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</si>
  <si>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</si>
  <si>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所有魔物和野兽魔防增加55</t>
  </si>
  <si>
    <t>62313</t>
  </si>
  <si>
    <t>所有魔物和野兽魔防增加60</t>
  </si>
  <si>
    <t>62314</t>
  </si>
  <si>
    <t>所有魔物和野兽魔防增加65</t>
  </si>
  <si>
    <t>62315</t>
  </si>
  <si>
    <t>所有魔物和野兽魔防增加70</t>
  </si>
  <si>
    <t>所有魔物和野兽魔防增加75</t>
  </si>
  <si>
    <t>62400</t>
  </si>
  <si>
    <t>62401</t>
  </si>
  <si>
    <t>所有魔物和野兽魔防增加0%</t>
  </si>
  <si>
    <t>62402</t>
  </si>
  <si>
    <t>174:1</t>
  </si>
  <si>
    <t>所有魔物和野兽魔防增加1%</t>
  </si>
  <si>
    <t>62403</t>
  </si>
  <si>
    <t>所有魔物和野兽魔防增加2%</t>
  </si>
  <si>
    <t>62404</t>
  </si>
  <si>
    <t>所有魔物和野兽魔防增加3%</t>
  </si>
  <si>
    <t>62405</t>
  </si>
  <si>
    <t>所有魔物和野兽魔防增加4%</t>
  </si>
  <si>
    <t>62406</t>
  </si>
  <si>
    <t>所有魔物和野兽魔防增加5%</t>
  </si>
  <si>
    <t>62407</t>
  </si>
  <si>
    <t>所有魔物和野兽魔防增加6%</t>
  </si>
  <si>
    <t>62408</t>
  </si>
  <si>
    <t>所有魔物和野兽魔防增加7%</t>
  </si>
  <si>
    <t>62409</t>
  </si>
  <si>
    <t>所有魔物和野兽魔防增加8%</t>
  </si>
  <si>
    <t>62410</t>
  </si>
  <si>
    <t>所有魔物和野兽魔防增加9%</t>
  </si>
  <si>
    <t>62411</t>
  </si>
  <si>
    <t>所有魔物和野兽魔防增加10%</t>
  </si>
  <si>
    <t>62412</t>
  </si>
  <si>
    <t>所有魔物和野兽魔防增加11%</t>
  </si>
  <si>
    <t>62413</t>
  </si>
  <si>
    <t>所有魔物和野兽魔防增加12%</t>
  </si>
  <si>
    <t>62414</t>
  </si>
  <si>
    <t>所有魔物和野兽魔防增加13%</t>
  </si>
  <si>
    <t>62415</t>
  </si>
  <si>
    <t>所有魔物和野兽魔防增加14%</t>
  </si>
  <si>
    <t>62416</t>
  </si>
  <si>
    <t>12:789000|10118:80|10123:80|10124:80</t>
  </si>
  <si>
    <t>所有魔物和野兽魔防增加15%</t>
  </si>
  <si>
    <t>62417</t>
  </si>
  <si>
    <t>12:1026000|10118:85|10123:85|10124:85</t>
  </si>
  <si>
    <t>所有魔物和野兽魔防增加16%</t>
  </si>
  <si>
    <t>62418</t>
  </si>
  <si>
    <t>12:1334000|10118:90|10123:90|10124:90</t>
  </si>
  <si>
    <t>所有魔物和野兽魔防增加17%</t>
  </si>
  <si>
    <t>62419</t>
  </si>
  <si>
    <t>12:1734000|10118:95|10123:95|10124:95</t>
  </si>
  <si>
    <t>所有魔物和野兽魔防增加18%</t>
  </si>
  <si>
    <t>62420</t>
  </si>
  <si>
    <t>12:2254000|10118:100|10123:100|10124:100</t>
  </si>
  <si>
    <t>所有魔物和野兽魔防增加19%</t>
  </si>
  <si>
    <t>所有魔物和野兽魔防增加20%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</si>
  <si>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</si>
  <si>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</si>
  <si>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</si>
  <si>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</si>
  <si>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</si>
  <si>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</si>
  <si>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</si>
  <si>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</si>
  <si>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</si>
  <si>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</si>
  <si>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</si>
  <si>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</si>
  <si>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</si>
  <si>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</si>
  <si>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</si>
  <si>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</si>
  <si>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</si>
  <si>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</si>
  <si>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</si>
  <si>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</si>
  <si>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</si>
  <si>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</si>
  <si>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</si>
  <si>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</si>
  <si>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</si>
  <si>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</si>
  <si>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</si>
  <si>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</si>
  <si>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</si>
  <si>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</si>
  <si>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</si>
  <si>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</si>
  <si>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</si>
  <si>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</si>
  <si>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</si>
  <si>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</si>
  <si>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</si>
  <si>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</si>
  <si>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</si>
  <si>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</si>
  <si>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</si>
  <si>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</si>
  <si>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</si>
  <si>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</si>
  <si>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</si>
  <si>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</si>
  <si>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</si>
  <si>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</si>
  <si>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</si>
  <si>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</si>
  <si>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</si>
  <si>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</si>
  <si>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</si>
  <si>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</si>
  <si>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</si>
  <si>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亡灵骑士全属性提升11%</t>
  </si>
  <si>
    <t>62713</t>
  </si>
  <si>
    <t>亡灵骑士全属性提升12%</t>
  </si>
  <si>
    <t>62714</t>
  </si>
  <si>
    <t>亡灵骑士全属性提升13%</t>
  </si>
  <si>
    <t>62715</t>
  </si>
  <si>
    <t>亡灵骑士全属性提升14%</t>
  </si>
  <si>
    <t>62716</t>
  </si>
  <si>
    <t>亡灵骑士全属性提升15%</t>
  </si>
  <si>
    <t>62717</t>
  </si>
  <si>
    <t>亡灵骑士全属性提升16%</t>
  </si>
  <si>
    <t>62718</t>
  </si>
  <si>
    <t>亡灵骑士全属性提升17%</t>
  </si>
  <si>
    <t>62719</t>
  </si>
  <si>
    <t>亡灵骑士全属性提升18%</t>
  </si>
  <si>
    <t>62720</t>
  </si>
  <si>
    <t>亡灵骑士全属性提升19%</t>
  </si>
  <si>
    <t>亡灵骑士全属性提升20%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</si>
  <si>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</si>
  <si>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</si>
  <si>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</si>
  <si>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</si>
  <si>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</si>
  <si>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</si>
  <si>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</si>
  <si>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</si>
  <si>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</si>
  <si>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</si>
  <si>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</si>
  <si>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</si>
  <si>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</si>
  <si>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伯爵全属性提升11%</t>
  </si>
  <si>
    <t>62813</t>
  </si>
  <si>
    <t>伯爵全属性提升12%</t>
  </si>
  <si>
    <t>62814</t>
  </si>
  <si>
    <t>伯爵全属性提升13%</t>
  </si>
  <si>
    <t>62815</t>
  </si>
  <si>
    <t>伯爵全属性提升14%</t>
  </si>
  <si>
    <t>62816</t>
  </si>
  <si>
    <t>伯爵全属性提升15%</t>
  </si>
  <si>
    <t>62817</t>
  </si>
  <si>
    <t>伯爵全属性提升16%</t>
  </si>
  <si>
    <t>62818</t>
  </si>
  <si>
    <t>伯爵全属性提升17%</t>
  </si>
  <si>
    <t>62819</t>
  </si>
  <si>
    <t>伯爵全属性提升18%</t>
  </si>
  <si>
    <t>62820</t>
  </si>
  <si>
    <t>伯爵全属性提升19%</t>
  </si>
  <si>
    <t>伯爵全属性提升20%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</si>
  <si>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</si>
  <si>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</si>
  <si>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</si>
  <si>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</si>
  <si>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</si>
  <si>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</si>
  <si>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</si>
  <si>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</si>
  <si>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</si>
  <si>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</si>
  <si>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</si>
  <si>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</si>
  <si>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62912</t>
  </si>
  <si>
    <t>死灵法师全属性提升11%</t>
  </si>
  <si>
    <t>62913</t>
  </si>
  <si>
    <t>死灵法师全属性提升12%</t>
  </si>
  <si>
    <t>62914</t>
  </si>
  <si>
    <t>死灵法师全属性提升13%</t>
  </si>
  <si>
    <t>62915</t>
  </si>
  <si>
    <t>死灵法师全属性提升14%</t>
  </si>
  <si>
    <t>62916</t>
  </si>
  <si>
    <t>死灵法师全属性提升15%</t>
  </si>
  <si>
    <t>62917</t>
  </si>
  <si>
    <t>死灵法师全属性提升16%</t>
  </si>
  <si>
    <t>62918</t>
  </si>
  <si>
    <t>死灵法师全属性提升17%</t>
  </si>
  <si>
    <t>62919</t>
  </si>
  <si>
    <t>死灵法师全属性提升18%</t>
  </si>
  <si>
    <t>62920</t>
  </si>
  <si>
    <t>死灵法师全属性提升19%</t>
  </si>
  <si>
    <t>死灵法师全属性提升20%</t>
  </si>
  <si>
    <t>增加</t>
  </si>
  <si>
    <t>所有步兵</t>
  </si>
  <si>
    <t>所有飞兵</t>
  </si>
  <si>
    <t>所有骑兵</t>
  </si>
  <si>
    <t>所有牧师和法师</t>
  </si>
  <si>
    <t>:</t>
  </si>
  <si>
    <t>科技</t>
  </si>
  <si>
    <t>所有弓兵</t>
  </si>
  <si>
    <t>所有魔物和野兽</t>
  </si>
  <si>
    <t>属性名称</t>
  </si>
  <si>
    <t>属性id</t>
  </si>
  <si>
    <t>生命</t>
  </si>
  <si>
    <t>步兵生命</t>
  </si>
  <si>
    <t>防御</t>
  </si>
  <si>
    <t>步兵防御</t>
  </si>
  <si>
    <t>攻击</t>
  </si>
  <si>
    <t>步兵攻击</t>
  </si>
  <si>
    <t>魔防</t>
  </si>
  <si>
    <t>步兵魔防</t>
  </si>
  <si>
    <t>防御百分比</t>
  </si>
  <si>
    <t>步兵防御百分比</t>
  </si>
  <si>
    <t>攻击百分比</t>
  </si>
  <si>
    <t>步兵攻击百分比</t>
  </si>
  <si>
    <t>魔防百分比</t>
  </si>
  <si>
    <t>步兵魔防百分比</t>
  </si>
  <si>
    <t>皇室禁卫防御百分比</t>
  </si>
  <si>
    <t>皇家禁卫防御提高2</t>
  </si>
  <si>
    <t>皇家守卫</t>
  </si>
  <si>
    <t>皇家禁卫防御提高4</t>
  </si>
  <si>
    <t>皇家禁卫防御提高6</t>
  </si>
  <si>
    <t>皇家禁卫防御提高8</t>
  </si>
  <si>
    <t>皇家禁卫防御提高10</t>
  </si>
  <si>
    <t>皇家禁卫防御提高12</t>
  </si>
  <si>
    <t>皇家禁卫防御提高14</t>
  </si>
  <si>
    <t>皇家禁卫防御提高16</t>
  </si>
  <si>
    <t>皇家禁卫防御提高18</t>
  </si>
  <si>
    <t>皇家禁卫防御提高20</t>
  </si>
  <si>
    <t>皇家禁卫防御提高22</t>
  </si>
  <si>
    <t>皇家禁卫防御提高24</t>
  </si>
  <si>
    <t>皇家禁卫防御提高26</t>
  </si>
  <si>
    <t>皇家禁卫防御提高28</t>
  </si>
  <si>
    <t>皇家禁卫防御提高30</t>
  </si>
  <si>
    <t>皇家禁卫防御提高32</t>
  </si>
  <si>
    <t>皇家禁卫防御提高34</t>
  </si>
  <si>
    <t>皇家禁卫防御提高36</t>
  </si>
  <si>
    <t>皇家禁卫防御提高38</t>
  </si>
  <si>
    <t>皇家禁卫防御提高40</t>
  </si>
  <si>
    <t>皇室禁卫攻击百分比</t>
  </si>
  <si>
    <t>皇家禁卫攻击提高3</t>
  </si>
  <si>
    <t>皇家禁卫攻击提高6</t>
  </si>
  <si>
    <t>皇家禁卫攻击提高9</t>
  </si>
  <si>
    <t>皇家禁卫攻击提高12</t>
  </si>
  <si>
    <t>皇家禁卫攻击提高15</t>
  </si>
  <si>
    <t>皇家禁卫攻击提高18</t>
  </si>
  <si>
    <t>皇家禁卫攻击提高21</t>
  </si>
  <si>
    <t>皇家禁卫攻击提高24</t>
  </si>
  <si>
    <t>皇家禁卫攻击提高27</t>
  </si>
  <si>
    <t>皇家禁卫攻击提高30</t>
  </si>
  <si>
    <t>皇家禁卫攻击提高33</t>
  </si>
  <si>
    <t>皇家禁卫攻击提高36</t>
  </si>
  <si>
    <t>皇家禁卫攻击提高39</t>
  </si>
  <si>
    <t>皇家禁卫攻击提高42</t>
  </si>
  <si>
    <t>皇家禁卫攻击提高45</t>
  </si>
  <si>
    <t>皇家禁卫攻击提高48</t>
  </si>
  <si>
    <t>皇家禁卫攻击提高51</t>
  </si>
  <si>
    <t>皇家禁卫攻击提高54</t>
  </si>
  <si>
    <t>皇家禁卫攻击提高57</t>
  </si>
  <si>
    <t>皇家禁卫攻击提高60</t>
  </si>
  <si>
    <t>皇室禁卫魔防百分比</t>
  </si>
  <si>
    <t>皇家禁卫魔防提高2</t>
  </si>
  <si>
    <t>皇家禁卫魔防提高4</t>
  </si>
  <si>
    <t>皇家禁卫魔防提高6</t>
  </si>
  <si>
    <t>皇家禁卫魔防提高8</t>
  </si>
  <si>
    <t>皇家禁卫魔防提高10</t>
  </si>
  <si>
    <t>皇家禁卫魔防提高12</t>
  </si>
  <si>
    <t>皇家禁卫魔防提高14</t>
  </si>
  <si>
    <t>皇家禁卫魔防提高16</t>
  </si>
  <si>
    <t>皇家禁卫魔防提高18</t>
  </si>
  <si>
    <t>皇家禁卫魔防提高20</t>
  </si>
  <si>
    <t>皇家禁卫魔防提高22</t>
  </si>
  <si>
    <t>皇家禁卫魔防提高24</t>
  </si>
  <si>
    <t>皇家禁卫魔防提高26</t>
  </si>
  <si>
    <t>皇家禁卫魔防提高28</t>
  </si>
  <si>
    <t>皇家禁卫魔防提高30</t>
  </si>
  <si>
    <t>皇家禁卫魔防提高32</t>
  </si>
  <si>
    <t>皇家禁卫魔防提高34</t>
  </si>
  <si>
    <t>皇家禁卫魔防提高36</t>
  </si>
  <si>
    <t>皇家禁卫魔防提高38</t>
  </si>
  <si>
    <t>皇家禁卫魔防提高40</t>
  </si>
  <si>
    <t>中级生命百分比</t>
  </si>
  <si>
    <t>刀锋战士防御百分比</t>
  </si>
  <si>
    <t>刀锋战士防御提高2</t>
  </si>
  <si>
    <t>刀锋战士</t>
  </si>
  <si>
    <t>刀锋战士防御提高4</t>
  </si>
  <si>
    <t>刀锋战士防御提高6</t>
  </si>
  <si>
    <t>刀锋战士防御提高8</t>
  </si>
  <si>
    <t>刀锋战士防御提高10</t>
  </si>
  <si>
    <t>刀锋战士防御提高12</t>
  </si>
  <si>
    <t>刀锋战士防御提高14</t>
  </si>
  <si>
    <t>刀锋战士防御提高16</t>
  </si>
  <si>
    <t>刀锋战士防御提高18</t>
  </si>
  <si>
    <t>刀锋战士防御提高20</t>
  </si>
  <si>
    <t>刀锋战士防御提高22</t>
  </si>
  <si>
    <t>刀锋战士防御提高24</t>
  </si>
  <si>
    <t>刀锋战士防御提高26</t>
  </si>
  <si>
    <t>刀锋战士防御提高28</t>
  </si>
  <si>
    <t>刀锋战士防御提高30</t>
  </si>
  <si>
    <t>刀锋战士防御提高32</t>
  </si>
  <si>
    <t>刀锋战士防御提高34</t>
  </si>
  <si>
    <t>刀锋战士防御提高36</t>
  </si>
  <si>
    <t>刀锋战士防御提高38</t>
  </si>
  <si>
    <t>刀锋战士防御提高40</t>
  </si>
  <si>
    <t>刀锋战士攻击百分比</t>
  </si>
  <si>
    <t>刀锋战士攻击提高3</t>
  </si>
  <si>
    <t>刀锋战士攻击提高6</t>
  </si>
  <si>
    <t>刀锋战士攻击提高9</t>
  </si>
  <si>
    <t>刀锋战士攻击提高12</t>
  </si>
  <si>
    <t>刀锋战士攻击提高15</t>
  </si>
  <si>
    <t>刀锋战士攻击提高18</t>
  </si>
  <si>
    <t>刀锋战士攻击提高21</t>
  </si>
  <si>
    <t>刀锋战士攻击提高24</t>
  </si>
  <si>
    <t>刀锋战士攻击提高27</t>
  </si>
  <si>
    <t>刀锋战士攻击提高30</t>
  </si>
  <si>
    <t>刀锋战士攻击提高33</t>
  </si>
  <si>
    <t>刀锋战士攻击提高36</t>
  </si>
  <si>
    <t>刀锋战士攻击提高39</t>
  </si>
  <si>
    <t>刀锋战士攻击提高42</t>
  </si>
  <si>
    <t>刀锋战士攻击提高45</t>
  </si>
  <si>
    <t>刀锋战士攻击提高48</t>
  </si>
  <si>
    <t>刀锋战士攻击提高51</t>
  </si>
  <si>
    <t>刀锋战士攻击提高54</t>
  </si>
  <si>
    <t>刀锋战士攻击提高57</t>
  </si>
  <si>
    <t>刀锋战士攻击提高60</t>
  </si>
  <si>
    <t>刀锋战士魔防百分比</t>
  </si>
  <si>
    <t>刀锋战士魔防提高2</t>
  </si>
  <si>
    <t>刀锋战士魔防提高4</t>
  </si>
  <si>
    <t>刀锋战士魔防提高6</t>
  </si>
  <si>
    <t>刀锋战士魔防提高8</t>
  </si>
  <si>
    <t>刀锋战士魔防提高10</t>
  </si>
  <si>
    <t>刀锋战士魔防提高12</t>
  </si>
  <si>
    <t>刀锋战士魔防提高14</t>
  </si>
  <si>
    <t>刀锋战士魔防提高16</t>
  </si>
  <si>
    <t>刀锋战士魔防提高18</t>
  </si>
  <si>
    <t>刀锋战士魔防提高20</t>
  </si>
  <si>
    <t>刀锋战士魔防提高22</t>
  </si>
  <si>
    <t>刀锋战士魔防提高24</t>
  </si>
  <si>
    <t>刀锋战士魔防提高26</t>
  </si>
  <si>
    <t>刀锋战士魔防提高28</t>
  </si>
  <si>
    <t>刀锋战士魔防提高30</t>
  </si>
  <si>
    <t>刀锋战士魔防提高32</t>
  </si>
  <si>
    <t>刀锋战士魔防提高34</t>
  </si>
  <si>
    <t>刀锋战士魔防提高36</t>
  </si>
  <si>
    <t>刀锋战士魔防提高38</t>
  </si>
  <si>
    <t>刀锋战士魔防提高40</t>
  </si>
  <si>
    <t>高级生命百分比</t>
  </si>
  <si>
    <t>生命百分比</t>
  </si>
  <si>
    <t>步兵生命百分比</t>
  </si>
  <si>
    <t>骑兵生命</t>
  </si>
  <si>
    <t>骑兵防御</t>
  </si>
  <si>
    <t>骑兵攻击</t>
  </si>
  <si>
    <t>骑兵魔防</t>
  </si>
  <si>
    <t>骑兵防御百分比</t>
  </si>
  <si>
    <t>骑兵攻击百分比</t>
  </si>
  <si>
    <t>骑兵魔防百分比</t>
  </si>
  <si>
    <t>皇家骑士防御百分比</t>
  </si>
  <si>
    <t>皇家骑士防御提高2</t>
  </si>
  <si>
    <t>皇家骑士</t>
  </si>
  <si>
    <t>皇家骑士防御提高4</t>
  </si>
  <si>
    <t>皇家骑士防御提高6</t>
  </si>
  <si>
    <t>皇家骑士防御提高8</t>
  </si>
  <si>
    <t>皇家骑士防御提高10</t>
  </si>
  <si>
    <t>皇家骑士防御提高12</t>
  </si>
  <si>
    <t>皇家骑士防御提高14</t>
  </si>
  <si>
    <t>皇家骑士防御提高16</t>
  </si>
  <si>
    <t>皇家骑士防御提高18</t>
  </si>
  <si>
    <t>皇家骑士防御提高20</t>
  </si>
  <si>
    <t>皇家骑士防御提高22</t>
  </si>
  <si>
    <t>皇家骑士防御提高24</t>
  </si>
  <si>
    <t>皇家骑士防御提高26</t>
  </si>
  <si>
    <t>皇家骑士防御提高28</t>
  </si>
  <si>
    <t>皇家骑士防御提高30</t>
  </si>
  <si>
    <t>皇家骑士防御提高32</t>
  </si>
  <si>
    <t>皇家骑士防御提高34</t>
  </si>
  <si>
    <t>皇家骑士防御提高36</t>
  </si>
  <si>
    <t>皇家骑士防御提高38</t>
  </si>
  <si>
    <t>皇家骑士防御提高40</t>
  </si>
  <si>
    <t>皇家骑士攻击百分比</t>
  </si>
  <si>
    <t>皇家骑士攻击提高3</t>
  </si>
  <si>
    <t>皇家骑士攻击提高6</t>
  </si>
  <si>
    <t>皇家骑士攻击提高9</t>
  </si>
  <si>
    <t>皇家骑士攻击提高12</t>
  </si>
  <si>
    <t>皇家骑士攻击提高15</t>
  </si>
  <si>
    <t>皇家骑士攻击提高18</t>
  </si>
  <si>
    <t>皇家骑士攻击提高21</t>
  </si>
  <si>
    <t>皇家骑士攻击提高24</t>
  </si>
  <si>
    <t>皇家骑士攻击提高27</t>
  </si>
  <si>
    <t>皇家骑士攻击提高30</t>
  </si>
  <si>
    <t>皇家骑士攻击提高33</t>
  </si>
  <si>
    <t>皇家骑士攻击提高36</t>
  </si>
  <si>
    <t>皇家骑士攻击提高39</t>
  </si>
  <si>
    <t>皇家骑士攻击提高42</t>
  </si>
  <si>
    <t>皇家骑士攻击提高45</t>
  </si>
  <si>
    <t>皇家骑士攻击提高48</t>
  </si>
  <si>
    <t>皇家骑士攻击提高51</t>
  </si>
  <si>
    <t>皇家骑士攻击提高54</t>
  </si>
  <si>
    <t>皇家骑士攻击提高57</t>
  </si>
  <si>
    <t>皇家骑士攻击提高60</t>
  </si>
  <si>
    <t>皇家骑士魔防百分比</t>
  </si>
  <si>
    <t>皇家骑士魔防提高2</t>
  </si>
  <si>
    <t>皇家骑士魔防提高4</t>
  </si>
  <si>
    <t>皇家骑士魔防提高6</t>
  </si>
  <si>
    <t>皇家骑士魔防提高8</t>
  </si>
  <si>
    <t>皇家骑士魔防提高10</t>
  </si>
  <si>
    <t>皇家骑士魔防提高12</t>
  </si>
  <si>
    <t>皇家骑士魔防提高14</t>
  </si>
  <si>
    <t>皇家骑士魔防提高16</t>
  </si>
  <si>
    <t>皇家骑士魔防提高18</t>
  </si>
  <si>
    <t>皇家骑士魔防提高20</t>
  </si>
  <si>
    <t>皇家骑士魔防提高22</t>
  </si>
  <si>
    <t>皇家骑士魔防提高24</t>
  </si>
  <si>
    <t>皇家骑士魔防提高26</t>
  </si>
  <si>
    <t>皇家骑士魔防提高28</t>
  </si>
  <si>
    <t>皇家骑士魔防提高30</t>
  </si>
  <si>
    <t>皇家骑士魔防提高32</t>
  </si>
  <si>
    <t>皇家骑士魔防提高34</t>
  </si>
  <si>
    <t>皇家骑士魔防提高36</t>
  </si>
  <si>
    <t>皇家骑士魔防提高38</t>
  </si>
  <si>
    <t>皇家骑士魔防提高40</t>
  </si>
  <si>
    <t>骑兵生命百分比</t>
  </si>
  <si>
    <t>黑暗骑士防御百分比</t>
  </si>
  <si>
    <t>黑暗骑士防御提高2</t>
  </si>
  <si>
    <t>黑暗骑士</t>
  </si>
  <si>
    <t>黑暗骑士防御提高4</t>
  </si>
  <si>
    <t>黑暗骑士防御提高6</t>
  </si>
  <si>
    <t>黑暗骑士防御提高8</t>
  </si>
  <si>
    <t>黑暗骑士防御提高10</t>
  </si>
  <si>
    <t>黑暗骑士防御提高12</t>
  </si>
  <si>
    <t>黑暗骑士防御提高14</t>
  </si>
  <si>
    <t>黑暗骑士防御提高16</t>
  </si>
  <si>
    <t>黑暗骑士防御提高18</t>
  </si>
  <si>
    <t>黑暗骑士防御提高20</t>
  </si>
  <si>
    <t>黑暗骑士防御提高22</t>
  </si>
  <si>
    <t>黑暗骑士防御提高24</t>
  </si>
  <si>
    <t>黑暗骑士防御提高26</t>
  </si>
  <si>
    <t>黑暗骑士防御提高28</t>
  </si>
  <si>
    <t>黑暗骑士防御提高30</t>
  </si>
  <si>
    <t>黑暗骑士防御提高32</t>
  </si>
  <si>
    <t>黑暗骑士防御提高34</t>
  </si>
  <si>
    <t>黑暗骑士防御提高36</t>
  </si>
  <si>
    <t>黑暗骑士防御提高38</t>
  </si>
  <si>
    <t>黑暗骑士防御提高40</t>
  </si>
  <si>
    <t>黑暗骑士攻击百分比</t>
  </si>
  <si>
    <t>黑暗骑士攻击提高3</t>
  </si>
  <si>
    <t>黑暗骑士攻击提高6</t>
  </si>
  <si>
    <t>黑暗骑士攻击提高9</t>
  </si>
  <si>
    <t>黑暗骑士攻击提高12</t>
  </si>
  <si>
    <t>黑暗骑士攻击提高15</t>
  </si>
  <si>
    <t>黑暗骑士攻击提高18</t>
  </si>
  <si>
    <t>黑暗骑士攻击提高21</t>
  </si>
  <si>
    <t>黑暗骑士攻击提高24</t>
  </si>
  <si>
    <t>黑暗骑士攻击提高27</t>
  </si>
  <si>
    <t>黑暗骑士攻击提高30</t>
  </si>
  <si>
    <t>黑暗骑士攻击提高33</t>
  </si>
  <si>
    <t>黑暗骑士攻击提高36</t>
  </si>
  <si>
    <t>黑暗骑士攻击提高39</t>
  </si>
  <si>
    <t>黑暗骑士攻击提高42</t>
  </si>
  <si>
    <t>黑暗骑士攻击提高45</t>
  </si>
  <si>
    <t>黑暗骑士攻击提高48</t>
  </si>
  <si>
    <t>黑暗骑士攻击提高51</t>
  </si>
  <si>
    <t>黑暗骑士攻击提高54</t>
  </si>
  <si>
    <t>黑暗骑士攻击提高57</t>
  </si>
  <si>
    <t>黑暗骑士攻击提高60</t>
  </si>
  <si>
    <t>黑暗骑士魔防百分比</t>
  </si>
  <si>
    <t>黑暗骑士魔防提高2</t>
  </si>
  <si>
    <t>黑暗骑士魔防提高4</t>
  </si>
  <si>
    <t>黑暗骑士魔防提高6</t>
  </si>
  <si>
    <t>黑暗骑士魔防提高8</t>
  </si>
  <si>
    <t>黑暗骑士魔防提高10</t>
  </si>
  <si>
    <t>黑暗骑士魔防提高12</t>
  </si>
  <si>
    <t>黑暗骑士魔防提高14</t>
  </si>
  <si>
    <t>黑暗骑士魔防提高16</t>
  </si>
  <si>
    <t>黑暗骑士魔防提高18</t>
  </si>
  <si>
    <t>黑暗骑士魔防提高20</t>
  </si>
  <si>
    <t>黑暗骑士魔防提高22</t>
  </si>
  <si>
    <t>黑暗骑士魔防提高24</t>
  </si>
  <si>
    <t>黑暗骑士魔防提高26</t>
  </si>
  <si>
    <t>黑暗骑士魔防提高28</t>
  </si>
  <si>
    <t>黑暗骑士魔防提高30</t>
  </si>
  <si>
    <t>黑暗骑士魔防提高32</t>
  </si>
  <si>
    <t>黑暗骑士魔防提高34</t>
  </si>
  <si>
    <t>黑暗骑士魔防提高36</t>
  </si>
  <si>
    <t>黑暗骑士魔防提高38</t>
  </si>
  <si>
    <t>黑暗骑士魔防提高40</t>
  </si>
  <si>
    <t>弓兵生命</t>
  </si>
  <si>
    <t>弓兵防御</t>
  </si>
  <si>
    <t>弓兵攻击</t>
  </si>
  <si>
    <t>弓兵魔防</t>
  </si>
  <si>
    <t>弓兵防御百分比</t>
  </si>
  <si>
    <t>弓兵攻击百分比</t>
  </si>
  <si>
    <t>弓兵魔防百分比</t>
  </si>
  <si>
    <t>幻影射手防御百分比</t>
  </si>
  <si>
    <t>幻影射手防御提高2</t>
  </si>
  <si>
    <t>幻影射手</t>
  </si>
  <si>
    <t>幻影射手防御提高4</t>
  </si>
  <si>
    <t>幻影射手防御提高6</t>
  </si>
  <si>
    <t>幻影射手防御提高8</t>
  </si>
  <si>
    <t>幻影射手防御提高10</t>
  </si>
  <si>
    <t>幻影射手防御提高12</t>
  </si>
  <si>
    <t>幻影射手防御提高14</t>
  </si>
  <si>
    <t>幻影射手防御提高16</t>
  </si>
  <si>
    <t>幻影射手防御提高18</t>
  </si>
  <si>
    <t>幻影射手防御提高20</t>
  </si>
  <si>
    <t>幻影射手防御提高22</t>
  </si>
  <si>
    <t>幻影射手防御提高24</t>
  </si>
  <si>
    <t>幻影射手防御提高26</t>
  </si>
  <si>
    <t>幻影射手防御提高28</t>
  </si>
  <si>
    <t>幻影射手防御提高30</t>
  </si>
  <si>
    <t>幻影射手防御提高32</t>
  </si>
  <si>
    <t>幻影射手防御提高34</t>
  </si>
  <si>
    <t>幻影射手防御提高36</t>
  </si>
  <si>
    <t>幻影射手防御提高38</t>
  </si>
  <si>
    <t>幻影射手防御提高40</t>
  </si>
  <si>
    <t>幻影射手攻击百分比</t>
  </si>
  <si>
    <t>幻影射手攻击提高3</t>
  </si>
  <si>
    <t>幻影射手攻击提高6</t>
  </si>
  <si>
    <t>幻影射手攻击提高9</t>
  </si>
  <si>
    <t>幻影射手攻击提高12</t>
  </si>
  <si>
    <t>幻影射手攻击提高15</t>
  </si>
  <si>
    <t>幻影射手攻击提高18</t>
  </si>
  <si>
    <t>幻影射手攻击提高21</t>
  </si>
  <si>
    <t>幻影射手攻击提高24</t>
  </si>
  <si>
    <t>幻影射手攻击提高27</t>
  </si>
  <si>
    <t>幻影射手攻击提高30</t>
  </si>
  <si>
    <t>幻影射手攻击提高33</t>
  </si>
  <si>
    <t>幻影射手攻击提高36</t>
  </si>
  <si>
    <t>幻影射手攻击提高39</t>
  </si>
  <si>
    <t>幻影射手攻击提高42</t>
  </si>
  <si>
    <t>幻影射手攻击提高45</t>
  </si>
  <si>
    <t>幻影射手攻击提高48</t>
  </si>
  <si>
    <t>幻影射手攻击提高51</t>
  </si>
  <si>
    <t>幻影射手攻击提高54</t>
  </si>
  <si>
    <t>幻影射手攻击提高57</t>
  </si>
  <si>
    <t>幻影射手攻击提高60</t>
  </si>
  <si>
    <t>幻影射手魔防百分比</t>
  </si>
  <si>
    <t>幻影射手魔防提高2</t>
  </si>
  <si>
    <t>幻影射手魔防提高4</t>
  </si>
  <si>
    <t>幻影射手魔防提高6</t>
  </si>
  <si>
    <t>幻影射手魔防提高8</t>
  </si>
  <si>
    <t>幻影射手魔防提高10</t>
  </si>
  <si>
    <t>幻影射手魔防提高12</t>
  </si>
  <si>
    <t>幻影射手魔防提高14</t>
  </si>
  <si>
    <t>幻影射手魔防提高16</t>
  </si>
  <si>
    <t>幻影射手魔防提高18</t>
  </si>
  <si>
    <t>幻影射手魔防提高20</t>
  </si>
  <si>
    <t>幻影射手魔防提高22</t>
  </si>
  <si>
    <t>幻影射手魔防提高24</t>
  </si>
  <si>
    <t>幻影射手魔防提高26</t>
  </si>
  <si>
    <t>幻影射手魔防提高28</t>
  </si>
  <si>
    <t>幻影射手魔防提高30</t>
  </si>
  <si>
    <t>幻影射手魔防提高32</t>
  </si>
  <si>
    <t>幻影射手魔防提高34</t>
  </si>
  <si>
    <t>幻影射手魔防提高36</t>
  </si>
  <si>
    <t>幻影射手魔防提高38</t>
  </si>
  <si>
    <t>幻影射手魔防提高40</t>
  </si>
  <si>
    <t>弓兵生命百分比</t>
  </si>
  <si>
    <t>巡游射手防御百分比</t>
  </si>
  <si>
    <t>巡游射手防御提高2</t>
  </si>
  <si>
    <t>巡游射手</t>
  </si>
  <si>
    <t>巡游射手防御提高4</t>
  </si>
  <si>
    <t>巡游射手防御提高6</t>
  </si>
  <si>
    <t>巡游射手防御提高8</t>
  </si>
  <si>
    <t>巡游射手防御提高10</t>
  </si>
  <si>
    <t>巡游射手防御提高12</t>
  </si>
  <si>
    <t>巡游射手防御提高14</t>
  </si>
  <si>
    <t>巡游射手防御提高16</t>
  </si>
  <si>
    <t>巡游射手防御提高18</t>
  </si>
  <si>
    <t>巡游射手防御提高20</t>
  </si>
  <si>
    <t>巡游射手防御提高22</t>
  </si>
  <si>
    <t>巡游射手防御提高24</t>
  </si>
  <si>
    <t>巡游射手防御提高26</t>
  </si>
  <si>
    <t>巡游射手防御提高28</t>
  </si>
  <si>
    <t>巡游射手防御提高30</t>
  </si>
  <si>
    <t>巡游射手防御提高32</t>
  </si>
  <si>
    <t>巡游射手防御提高34</t>
  </si>
  <si>
    <t>巡游射手防御提高36</t>
  </si>
  <si>
    <t>巡游射手防御提高38</t>
  </si>
  <si>
    <t>巡游射手防御提高40</t>
  </si>
  <si>
    <t>巡游射手攻击百分比</t>
  </si>
  <si>
    <t>巡游射手攻击提高3</t>
  </si>
  <si>
    <t>巡游射手攻击提高6</t>
  </si>
  <si>
    <t>巡游射手攻击提高9</t>
  </si>
  <si>
    <t>巡游射手攻击提高12</t>
  </si>
  <si>
    <t>巡游射手攻击提高15</t>
  </si>
  <si>
    <t>巡游射手攻击提高18</t>
  </si>
  <si>
    <t>巡游射手攻击提高21</t>
  </si>
  <si>
    <t>巡游射手攻击提高24</t>
  </si>
  <si>
    <t>巡游射手攻击提高27</t>
  </si>
  <si>
    <t>巡游射手攻击提高30</t>
  </si>
  <si>
    <t>巡游射手攻击提高33</t>
  </si>
  <si>
    <t>巡游射手攻击提高36</t>
  </si>
  <si>
    <t>巡游射手攻击提高39</t>
  </si>
  <si>
    <t>巡游射手攻击提高42</t>
  </si>
  <si>
    <t>巡游射手攻击提高45</t>
  </si>
  <si>
    <t>巡游射手攻击提高48</t>
  </si>
  <si>
    <t>巡游射手攻击提高51</t>
  </si>
  <si>
    <t>巡游射手攻击提高54</t>
  </si>
  <si>
    <t>巡游射手攻击提高57</t>
  </si>
  <si>
    <t>巡游射手攻击提高60</t>
  </si>
  <si>
    <t>巡游射手魔防百分比</t>
  </si>
  <si>
    <t>巡游射手魔防提高2</t>
  </si>
  <si>
    <t>巡游射手魔防提高4</t>
  </si>
  <si>
    <t>巡游射手魔防提高6</t>
  </si>
  <si>
    <t>巡游射手魔防提高8</t>
  </si>
  <si>
    <t>巡游射手魔防提高10</t>
  </si>
  <si>
    <t>巡游射手魔防提高12</t>
  </si>
  <si>
    <t>巡游射手魔防提高14</t>
  </si>
  <si>
    <t>巡游射手魔防提高16</t>
  </si>
  <si>
    <t>巡游射手魔防提高18</t>
  </si>
  <si>
    <t>巡游射手魔防提高20</t>
  </si>
  <si>
    <t>巡游射手魔防提高22</t>
  </si>
  <si>
    <t>巡游射手魔防提高24</t>
  </si>
  <si>
    <t>巡游射手魔防提高26</t>
  </si>
  <si>
    <t>巡游射手魔防提高28</t>
  </si>
  <si>
    <t>巡游射手魔防提高30</t>
  </si>
  <si>
    <t>巡游射手魔防提高32</t>
  </si>
  <si>
    <t>巡游射手魔防提高34</t>
  </si>
  <si>
    <t>巡游射手魔防提高36</t>
  </si>
  <si>
    <t>巡游射手魔防提高38</t>
  </si>
  <si>
    <t>巡游射手魔防提高40</t>
  </si>
  <si>
    <t>飞兵生命</t>
  </si>
  <si>
    <t>飞兵防御</t>
  </si>
  <si>
    <t>飞兵攻击</t>
  </si>
  <si>
    <t>飞兵魔防</t>
  </si>
  <si>
    <t>飞兵防御百分比</t>
  </si>
  <si>
    <t>飞兵攻击百分比</t>
  </si>
  <si>
    <t>飞兵魔防百分比</t>
  </si>
  <si>
    <t>圣天马骑士防御百分比</t>
  </si>
  <si>
    <t>圣天马骑士防御提高2</t>
  </si>
  <si>
    <t>圣天马骑士</t>
  </si>
  <si>
    <t>圣天马骑士防御提高4</t>
  </si>
  <si>
    <t>圣天马骑士防御提高6</t>
  </si>
  <si>
    <t>圣天马骑士防御提高8</t>
  </si>
  <si>
    <t>圣天马骑士防御提高10</t>
  </si>
  <si>
    <t>圣天马骑士防御提高12</t>
  </si>
  <si>
    <t>圣天马骑士防御提高14</t>
  </si>
  <si>
    <t>圣天马骑士防御提高16</t>
  </si>
  <si>
    <t>圣天马骑士防御提高18</t>
  </si>
  <si>
    <t>圣天马骑士防御提高20</t>
  </si>
  <si>
    <t>圣天马骑士防御提高22</t>
  </si>
  <si>
    <t>圣天马骑士防御提高24</t>
  </si>
  <si>
    <t>圣天马骑士防御提高26</t>
  </si>
  <si>
    <t>圣天马骑士防御提高28</t>
  </si>
  <si>
    <t>圣天马骑士防御提高30</t>
  </si>
  <si>
    <t>圣天马骑士防御提高32</t>
  </si>
  <si>
    <t>圣天马骑士防御提高34</t>
  </si>
  <si>
    <t>圣天马骑士防御提高36</t>
  </si>
  <si>
    <t>圣天马骑士防御提高38</t>
  </si>
  <si>
    <t>圣天马骑士防御提高40</t>
  </si>
  <si>
    <t>圣天马骑士攻击百分比</t>
  </si>
  <si>
    <t>圣天马骑士攻击提高3</t>
  </si>
  <si>
    <t>圣天马骑士攻击提高6</t>
  </si>
  <si>
    <t>圣天马骑士攻击提高9</t>
  </si>
  <si>
    <t>圣天马骑士攻击提高12</t>
  </si>
  <si>
    <t>圣天马骑士攻击提高15</t>
  </si>
  <si>
    <t>圣天马骑士攻击提高18</t>
  </si>
  <si>
    <t>圣天马骑士攻击提高21</t>
  </si>
  <si>
    <t>圣天马骑士攻击提高24</t>
  </si>
  <si>
    <t>圣天马骑士攻击提高27</t>
  </si>
  <si>
    <t>圣天马骑士攻击提高30</t>
  </si>
  <si>
    <t>圣天马骑士攻击提高33</t>
  </si>
  <si>
    <t>圣天马骑士攻击提高36</t>
  </si>
  <si>
    <t>圣天马骑士攻击提高39</t>
  </si>
  <si>
    <t>圣天马骑士攻击提高42</t>
  </si>
  <si>
    <t>圣天马骑士攻击提高45</t>
  </si>
  <si>
    <t>圣天马骑士攻击提高48</t>
  </si>
  <si>
    <t>圣天马骑士攻击提高51</t>
  </si>
  <si>
    <t>圣天马骑士攻击提高54</t>
  </si>
  <si>
    <t>圣天马骑士攻击提高57</t>
  </si>
  <si>
    <t>圣天马骑士攻击提高60</t>
  </si>
  <si>
    <t>圣天马骑士魔防百分比</t>
  </si>
  <si>
    <t>圣天马骑士魔防提高2</t>
  </si>
  <si>
    <t>圣天马骑士魔防提高4</t>
  </si>
  <si>
    <t>圣天马骑士魔防提高6</t>
  </si>
  <si>
    <t>圣天马骑士魔防提高8</t>
  </si>
  <si>
    <t>圣天马骑士魔防提高10</t>
  </si>
  <si>
    <t>圣天马骑士魔防提高12</t>
  </si>
  <si>
    <t>圣天马骑士魔防提高14</t>
  </si>
  <si>
    <t>圣天马骑士魔防提高16</t>
  </si>
  <si>
    <t>圣天马骑士魔防提高18</t>
  </si>
  <si>
    <t>圣天马骑士魔防提高20</t>
  </si>
  <si>
    <t>圣天马骑士魔防提高22</t>
  </si>
  <si>
    <t>圣天马骑士魔防提高24</t>
  </si>
  <si>
    <t>圣天马骑士魔防提高26</t>
  </si>
  <si>
    <t>圣天马骑士魔防提高28</t>
  </si>
  <si>
    <t>圣天马骑士魔防提高30</t>
  </si>
  <si>
    <t>圣天马骑士魔防提高32</t>
  </si>
  <si>
    <t>圣天马骑士魔防提高34</t>
  </si>
  <si>
    <t>圣天马骑士魔防提高36</t>
  </si>
  <si>
    <t>圣天马骑士魔防提高38</t>
  </si>
  <si>
    <t>圣天马骑士魔防提高40</t>
  </si>
  <si>
    <t>飞兵生命百分比</t>
  </si>
  <si>
    <t>飞龙骑士防御百分比</t>
  </si>
  <si>
    <t>飞龙骑士防御提高2</t>
  </si>
  <si>
    <t>飞龙骑士</t>
  </si>
  <si>
    <t>飞龙骑士防御提高4</t>
  </si>
  <si>
    <t>飞龙骑士防御提高6</t>
  </si>
  <si>
    <t>飞龙骑士防御提高8</t>
  </si>
  <si>
    <t>飞龙骑士防御提高10</t>
  </si>
  <si>
    <t>飞龙骑士防御提高12</t>
  </si>
  <si>
    <t>飞龙骑士防御提高14</t>
  </si>
  <si>
    <t>飞龙骑士防御提高16</t>
  </si>
  <si>
    <t>飞龙骑士防御提高18</t>
  </si>
  <si>
    <t>飞龙骑士防御提高20</t>
  </si>
  <si>
    <t>飞龙骑士防御提高22</t>
  </si>
  <si>
    <t>飞龙骑士防御提高24</t>
  </si>
  <si>
    <t>飞龙骑士防御提高26</t>
  </si>
  <si>
    <t>飞龙骑士防御提高28</t>
  </si>
  <si>
    <t>飞龙骑士防御提高30</t>
  </si>
  <si>
    <t>飞龙骑士防御提高32</t>
  </si>
  <si>
    <t>飞龙骑士防御提高34</t>
  </si>
  <si>
    <t>飞龙骑士防御提高36</t>
  </si>
  <si>
    <t>飞龙骑士防御提高38</t>
  </si>
  <si>
    <t>飞龙骑士防御提高40</t>
  </si>
  <si>
    <t>飞龙骑士攻击百分比</t>
  </si>
  <si>
    <t>飞龙骑士攻击提高3</t>
  </si>
  <si>
    <t>飞龙骑士攻击提高6</t>
  </si>
  <si>
    <t>飞龙骑士攻击提高9</t>
  </si>
  <si>
    <t>飞龙骑士攻击提高12</t>
  </si>
  <si>
    <t>飞龙骑士攻击提高15</t>
  </si>
  <si>
    <t>飞龙骑士攻击提高18</t>
  </si>
  <si>
    <t>飞龙骑士攻击提高21</t>
  </si>
  <si>
    <t>飞龙骑士攻击提高24</t>
  </si>
  <si>
    <t>飞龙骑士攻击提高27</t>
  </si>
  <si>
    <t>飞龙骑士攻击提高30</t>
  </si>
  <si>
    <t>飞龙骑士攻击提高33</t>
  </si>
  <si>
    <t>飞龙骑士攻击提高36</t>
  </si>
  <si>
    <t>飞龙骑士攻击提高39</t>
  </si>
  <si>
    <t>飞龙骑士攻击提高42</t>
  </si>
  <si>
    <t>飞龙骑士攻击提高45</t>
  </si>
  <si>
    <t>飞龙骑士攻击提高48</t>
  </si>
  <si>
    <t>飞龙骑士攻击提高51</t>
  </si>
  <si>
    <t>飞龙骑士攻击提高54</t>
  </si>
  <si>
    <t>飞龙骑士攻击提高57</t>
  </si>
  <si>
    <t>飞龙骑士攻击提高60</t>
  </si>
  <si>
    <t>飞龙骑士魔防百分比</t>
  </si>
  <si>
    <t>飞龙骑士魔防提高2</t>
  </si>
  <si>
    <t>飞龙骑士魔防提高4</t>
  </si>
  <si>
    <t>飞龙骑士魔防提高6</t>
  </si>
  <si>
    <t>飞龙骑士魔防提高8</t>
  </si>
  <si>
    <t>飞龙骑士魔防提高10</t>
  </si>
  <si>
    <t>飞龙骑士魔防提高12</t>
  </si>
  <si>
    <t>飞龙骑士魔防提高14</t>
  </si>
  <si>
    <t>飞龙骑士魔防提高16</t>
  </si>
  <si>
    <t>飞龙骑士魔防提高18</t>
  </si>
  <si>
    <t>飞龙骑士魔防提高20</t>
  </si>
  <si>
    <t>飞龙骑士魔防提高22</t>
  </si>
  <si>
    <t>飞龙骑士魔防提高24</t>
  </si>
  <si>
    <t>飞龙骑士魔防提高26</t>
  </si>
  <si>
    <t>飞龙骑士魔防提高28</t>
  </si>
  <si>
    <t>飞龙骑士魔防提高30</t>
  </si>
  <si>
    <t>飞龙骑士魔防提高32</t>
  </si>
  <si>
    <t>飞龙骑士魔防提高34</t>
  </si>
  <si>
    <t>飞龙骑士魔防提高36</t>
  </si>
  <si>
    <t>飞龙骑士魔防提高38</t>
  </si>
  <si>
    <t>飞龙骑士魔防提高40</t>
  </si>
  <si>
    <t>牧师生命</t>
  </si>
  <si>
    <t>牧师防御</t>
  </si>
  <si>
    <t>牧师攻击</t>
  </si>
  <si>
    <t>牧师魔防</t>
  </si>
  <si>
    <t>牧师防御百分比</t>
  </si>
  <si>
    <t>牧师攻击百分比</t>
  </si>
  <si>
    <t>牧师魔防百分比</t>
  </si>
  <si>
    <t>大魔法师防御百分比</t>
  </si>
  <si>
    <t>大魔法师防御提高2</t>
  </si>
  <si>
    <t>大魔法师</t>
  </si>
  <si>
    <t>大魔法师防御提高4</t>
  </si>
  <si>
    <t>大魔法师防御提高6</t>
  </si>
  <si>
    <t>大魔法师防御提高8</t>
  </si>
  <si>
    <t>大魔法师防御提高10</t>
  </si>
  <si>
    <t>大魔法师防御提高12</t>
  </si>
  <si>
    <t>大魔法师防御提高14</t>
  </si>
  <si>
    <t>大魔法师防御提高16</t>
  </si>
  <si>
    <t>大魔法师防御提高18</t>
  </si>
  <si>
    <t>大魔法师防御提高20</t>
  </si>
  <si>
    <t>大魔法师防御提高22</t>
  </si>
  <si>
    <t>大魔法师防御提高24</t>
  </si>
  <si>
    <t>大魔法师防御提高26</t>
  </si>
  <si>
    <t>大魔法师防御提高28</t>
  </si>
  <si>
    <t>大魔法师防御提高30</t>
  </si>
  <si>
    <t>大魔法师防御提高32</t>
  </si>
  <si>
    <t>大魔法师防御提高34</t>
  </si>
  <si>
    <t>大魔法师防御提高36</t>
  </si>
  <si>
    <t>大魔法师防御提高38</t>
  </si>
  <si>
    <t>大魔法师防御提高40</t>
  </si>
  <si>
    <t>大魔法师攻击百分比</t>
  </si>
  <si>
    <t>大魔法师攻击提高3</t>
  </si>
  <si>
    <t>大魔法师攻击提高6</t>
  </si>
  <si>
    <t>大魔法师攻击提高9</t>
  </si>
  <si>
    <t>大魔法师攻击提高12</t>
  </si>
  <si>
    <t>大魔法师攻击提高15</t>
  </si>
  <si>
    <t>大魔法师攻击提高18</t>
  </si>
  <si>
    <t>大魔法师攻击提高21</t>
  </si>
  <si>
    <t>大魔法师攻击提高24</t>
  </si>
  <si>
    <t>大魔法师攻击提高27</t>
  </si>
  <si>
    <t>大魔法师攻击提高30</t>
  </si>
  <si>
    <t>大魔法师攻击提高33</t>
  </si>
  <si>
    <t>大魔法师攻击提高36</t>
  </si>
  <si>
    <t>大魔法师攻击提高39</t>
  </si>
  <si>
    <t>大魔法师攻击提高42</t>
  </si>
  <si>
    <t>大魔法师攻击提高45</t>
  </si>
  <si>
    <t>大魔法师攻击提高48</t>
  </si>
  <si>
    <t>大魔法师攻击提高51</t>
  </si>
  <si>
    <t>大魔法师攻击提高54</t>
  </si>
  <si>
    <t>大魔法师攻击提高57</t>
  </si>
  <si>
    <t>大魔法师攻击提高60</t>
  </si>
  <si>
    <t>大魔法师魔防百分比</t>
  </si>
  <si>
    <t>大魔法师魔防提高2</t>
  </si>
  <si>
    <t>大魔法师魔防提高4</t>
  </si>
  <si>
    <t>大魔法师魔防提高6</t>
  </si>
  <si>
    <t>大魔法师魔防提高8</t>
  </si>
  <si>
    <t>大魔法师魔防提高10</t>
  </si>
  <si>
    <t>大魔法师魔防提高12</t>
  </si>
  <si>
    <t>大魔法师魔防提高14</t>
  </si>
  <si>
    <t>大魔法师魔防提高16</t>
  </si>
  <si>
    <t>大魔法师魔防提高18</t>
  </si>
  <si>
    <t>大魔法师魔防提高20</t>
  </si>
  <si>
    <t>大魔法师魔防提高22</t>
  </si>
  <si>
    <t>大魔法师魔防提高24</t>
  </si>
  <si>
    <t>大魔法师魔防提高26</t>
  </si>
  <si>
    <t>大魔法师魔防提高28</t>
  </si>
  <si>
    <t>大魔法师魔防提高30</t>
  </si>
  <si>
    <t>大魔法师魔防提高32</t>
  </si>
  <si>
    <t>大魔法师魔防提高34</t>
  </si>
  <si>
    <t>大魔法师魔防提高36</t>
  </si>
  <si>
    <t>大魔法师魔防提高38</t>
  </si>
  <si>
    <t>大魔法师魔防提高40</t>
  </si>
  <si>
    <t>牧师生命百分比</t>
  </si>
  <si>
    <t>烈焰之灵防御百分比</t>
  </si>
  <si>
    <t>烈焰之灵防御提高2</t>
  </si>
  <si>
    <t>烈焰之灵</t>
  </si>
  <si>
    <t>烈焰之灵防御提高4</t>
  </si>
  <si>
    <t>烈焰之灵防御提高6</t>
  </si>
  <si>
    <t>烈焰之灵防御提高8</t>
  </si>
  <si>
    <t>烈焰之灵防御提高10</t>
  </si>
  <si>
    <t>烈焰之灵防御提高12</t>
  </si>
  <si>
    <t>烈焰之灵防御提高14</t>
  </si>
  <si>
    <t>烈焰之灵防御提高16</t>
  </si>
  <si>
    <t>烈焰之灵防御提高18</t>
  </si>
  <si>
    <t>烈焰之灵防御提高20</t>
  </si>
  <si>
    <t>烈焰之灵防御提高22</t>
  </si>
  <si>
    <t>烈焰之灵防御提高24</t>
  </si>
  <si>
    <t>烈焰之灵防御提高26</t>
  </si>
  <si>
    <t>烈焰之灵防御提高28</t>
  </si>
  <si>
    <t>烈焰之灵防御提高30</t>
  </si>
  <si>
    <t>烈焰之灵防御提高32</t>
  </si>
  <si>
    <t>烈焰之灵防御提高34</t>
  </si>
  <si>
    <t>烈焰之灵防御提高36</t>
  </si>
  <si>
    <t>烈焰之灵防御提高38</t>
  </si>
  <si>
    <t>烈焰之灵防御提高40</t>
  </si>
  <si>
    <t>烈焰之灵攻击百分比</t>
  </si>
  <si>
    <t>烈焰之灵攻击提高3</t>
  </si>
  <si>
    <t>烈焰之灵攻击提高6</t>
  </si>
  <si>
    <t>烈焰之灵攻击提高9</t>
  </si>
  <si>
    <t>烈焰之灵攻击提高12</t>
  </si>
  <si>
    <t>烈焰之灵攻击提高15</t>
  </si>
  <si>
    <t>烈焰之灵攻击提高18</t>
  </si>
  <si>
    <t>烈焰之灵攻击提高21</t>
  </si>
  <si>
    <t>烈焰之灵攻击提高24</t>
  </si>
  <si>
    <t>烈焰之灵攻击提高27</t>
  </si>
  <si>
    <t>烈焰之灵攻击提高30</t>
  </si>
  <si>
    <t>烈焰之灵攻击提高33</t>
  </si>
  <si>
    <t>烈焰之灵攻击提高36</t>
  </si>
  <si>
    <t>烈焰之灵攻击提高39</t>
  </si>
  <si>
    <t>烈焰之灵攻击提高42</t>
  </si>
  <si>
    <t>烈焰之灵攻击提高45</t>
  </si>
  <si>
    <t>烈焰之灵攻击提高48</t>
  </si>
  <si>
    <t>烈焰之灵攻击提高51</t>
  </si>
  <si>
    <t>烈焰之灵攻击提高54</t>
  </si>
  <si>
    <t>烈焰之灵攻击提高57</t>
  </si>
  <si>
    <t>烈焰之灵攻击提高60</t>
  </si>
  <si>
    <t>烈焰之灵魔防百分比</t>
  </si>
  <si>
    <t>烈焰之灵魔防提高2</t>
  </si>
  <si>
    <t>烈焰之灵魔防提高4</t>
  </si>
  <si>
    <t>烈焰之灵魔防提高6</t>
  </si>
  <si>
    <t>烈焰之灵魔防提高8</t>
  </si>
  <si>
    <t>烈焰之灵魔防提高10</t>
  </si>
  <si>
    <t>烈焰之灵魔防提高12</t>
  </si>
  <si>
    <t>烈焰之灵魔防提高14</t>
  </si>
  <si>
    <t>烈焰之灵魔防提高16</t>
  </si>
  <si>
    <t>烈焰之灵魔防提高18</t>
  </si>
  <si>
    <t>烈焰之灵魔防提高20</t>
  </si>
  <si>
    <t>烈焰之灵魔防提高22</t>
  </si>
  <si>
    <t>烈焰之灵魔防提高24</t>
  </si>
  <si>
    <t>烈焰之灵魔防提高26</t>
  </si>
  <si>
    <t>烈焰之灵魔防提高28</t>
  </si>
  <si>
    <t>烈焰之灵魔防提高30</t>
  </si>
  <si>
    <t>烈焰之灵魔防提高32</t>
  </si>
  <si>
    <t>烈焰之灵魔防提高34</t>
  </si>
  <si>
    <t>烈焰之灵魔防提高36</t>
  </si>
  <si>
    <t>烈焰之灵魔防提高38</t>
  </si>
  <si>
    <t>烈焰之灵魔防提高40</t>
  </si>
  <si>
    <t>大祭司防御百分比</t>
  </si>
  <si>
    <t>mushi01_Lv3</t>
  </si>
  <si>
    <t>大祭司防御提高2</t>
  </si>
  <si>
    <t>大祭司</t>
  </si>
  <si>
    <t>大祭司防御提高4</t>
  </si>
  <si>
    <t>大祭司防御提高6</t>
  </si>
  <si>
    <t>大祭司防御提高8</t>
  </si>
  <si>
    <t>大祭司防御提高10</t>
  </si>
  <si>
    <t>大祭司防御提高12</t>
  </si>
  <si>
    <t>大祭司防御提高14</t>
  </si>
  <si>
    <t>大祭司防御提高16</t>
  </si>
  <si>
    <t>大祭司防御提高18</t>
  </si>
  <si>
    <t>大祭司防御提高20</t>
  </si>
  <si>
    <t>大祭司防御提高22</t>
  </si>
  <si>
    <t>大祭司防御提高24</t>
  </si>
  <si>
    <t>大祭司防御提高26</t>
  </si>
  <si>
    <t>大祭司防御提高28</t>
  </si>
  <si>
    <t>大祭司防御提高30</t>
  </si>
  <si>
    <t>大祭司防御提高32</t>
  </si>
  <si>
    <t>大祭司防御提高34</t>
  </si>
  <si>
    <t>大祭司防御提高36</t>
  </si>
  <si>
    <t>大祭司防御提高38</t>
  </si>
  <si>
    <t>大祭司防御提高40</t>
  </si>
  <si>
    <t>大祭司攻击百分比</t>
  </si>
  <si>
    <t>大祭司攻击提高3</t>
  </si>
  <si>
    <t>大祭司攻击提高6</t>
  </si>
  <si>
    <t>大祭司攻击提高9</t>
  </si>
  <si>
    <t>大祭司攻击提高12</t>
  </si>
  <si>
    <t>大祭司攻击提高15</t>
  </si>
  <si>
    <t>大祭司攻击提高18</t>
  </si>
  <si>
    <t>大祭司攻击提高21</t>
  </si>
  <si>
    <t>大祭司攻击提高24</t>
  </si>
  <si>
    <t>大祭司攻击提高27</t>
  </si>
  <si>
    <t>大祭司攻击提高30</t>
  </si>
  <si>
    <t>大祭司攻击提高33</t>
  </si>
  <si>
    <t>大祭司攻击提高36</t>
  </si>
  <si>
    <t>大祭司攻击提高39</t>
  </si>
  <si>
    <t>大祭司攻击提高42</t>
  </si>
  <si>
    <t>大祭司攻击提高45</t>
  </si>
  <si>
    <t>大祭司攻击提高48</t>
  </si>
  <si>
    <t>大祭司攻击提高51</t>
  </si>
  <si>
    <t>大祭司攻击提高54</t>
  </si>
  <si>
    <t>大祭司攻击提高57</t>
  </si>
  <si>
    <t>大祭司攻击提高60</t>
  </si>
  <si>
    <t>大祭司魔防百分比</t>
  </si>
  <si>
    <t>大祭司魔防提高2</t>
  </si>
  <si>
    <t>大祭司魔防提高4</t>
  </si>
  <si>
    <t>大祭司魔防提高6</t>
  </si>
  <si>
    <t>大祭司魔防提高8</t>
  </si>
  <si>
    <t>大祭司魔防提高10</t>
  </si>
  <si>
    <t>大祭司魔防提高12</t>
  </si>
  <si>
    <t>大祭司魔防提高14</t>
  </si>
  <si>
    <t>大祭司魔防提高16</t>
  </si>
  <si>
    <t>大祭司魔防提高18</t>
  </si>
  <si>
    <t>大祭司魔防提高20</t>
  </si>
  <si>
    <t>大祭司魔防提高22</t>
  </si>
  <si>
    <t>大祭司魔防提高24</t>
  </si>
  <si>
    <t>大祭司魔防提高26</t>
  </si>
  <si>
    <t>大祭司魔防提高28</t>
  </si>
  <si>
    <t>大祭司魔防提高30</t>
  </si>
  <si>
    <t>大祭司魔防提高32</t>
  </si>
  <si>
    <t>大祭司魔防提高34</t>
  </si>
  <si>
    <t>大祭司魔防提高36</t>
  </si>
  <si>
    <t>大祭司魔防提高38</t>
  </si>
  <si>
    <t>大祭司魔防提高40</t>
  </si>
  <si>
    <t>魔物生命</t>
  </si>
  <si>
    <t>魔物防御</t>
  </si>
  <si>
    <t>魔物攻击</t>
  </si>
  <si>
    <t>魔物魔防</t>
  </si>
  <si>
    <t>魔物防御百分比</t>
  </si>
  <si>
    <t>魔物攻击百分比</t>
  </si>
  <si>
    <t>魔物魔防百分比</t>
  </si>
  <si>
    <t>死灵法师防御百分比</t>
  </si>
  <si>
    <t>死灵法师防御提高2</t>
  </si>
  <si>
    <t>死灵法师</t>
  </si>
  <si>
    <t>死灵法师防御提高4</t>
  </si>
  <si>
    <t>死灵法师防御提高6</t>
  </si>
  <si>
    <t>死灵法师防御提高8</t>
  </si>
  <si>
    <t>死灵法师防御提高10</t>
  </si>
  <si>
    <t>死灵法师防御提高12</t>
  </si>
  <si>
    <t>死灵法师防御提高14</t>
  </si>
  <si>
    <t>死灵法师防御提高16</t>
  </si>
  <si>
    <t>死灵法师防御提高18</t>
  </si>
  <si>
    <t>死灵法师防御提高20</t>
  </si>
  <si>
    <t>死灵法师防御提高22</t>
  </si>
  <si>
    <t>死灵法师防御提高24</t>
  </si>
  <si>
    <t>死灵法师防御提高26</t>
  </si>
  <si>
    <t>死灵法师防御提高28</t>
  </si>
  <si>
    <t>死灵法师防御提高30</t>
  </si>
  <si>
    <t>死灵法师防御提高32</t>
  </si>
  <si>
    <t>死灵法师防御提高34</t>
  </si>
  <si>
    <t>死灵法师防御提高36</t>
  </si>
  <si>
    <t>死灵法师防御提高38</t>
  </si>
  <si>
    <t>死灵法师防御提高40</t>
  </si>
  <si>
    <t>死灵法师攻击百分比</t>
  </si>
  <si>
    <t>死灵法师攻击提高3</t>
  </si>
  <si>
    <t>死灵法师攻击提高6</t>
  </si>
  <si>
    <t>死灵法师攻击提高9</t>
  </si>
  <si>
    <t>死灵法师攻击提高12</t>
  </si>
  <si>
    <t>死灵法师攻击提高15</t>
  </si>
  <si>
    <t>死灵法师攻击提高18</t>
  </si>
  <si>
    <t>死灵法师攻击提高21</t>
  </si>
  <si>
    <t>死灵法师攻击提高24</t>
  </si>
  <si>
    <t>死灵法师攻击提高27</t>
  </si>
  <si>
    <t>死灵法师攻击提高30</t>
  </si>
  <si>
    <t>死灵法师攻击提高33</t>
  </si>
  <si>
    <t>死灵法师攻击提高36</t>
  </si>
  <si>
    <t>死灵法师攻击提高39</t>
  </si>
  <si>
    <t>死灵法师攻击提高42</t>
  </si>
  <si>
    <t>死灵法师攻击提高45</t>
  </si>
  <si>
    <t>死灵法师攻击提高48</t>
  </si>
  <si>
    <t>死灵法师攻击提高51</t>
  </si>
  <si>
    <t>死灵法师攻击提高54</t>
  </si>
  <si>
    <t>死灵法师攻击提高57</t>
  </si>
  <si>
    <t>死灵法师攻击提高60</t>
  </si>
  <si>
    <t>死灵法师魔防百分比</t>
  </si>
  <si>
    <t>死灵法师魔防提高2</t>
  </si>
  <si>
    <t>死灵法师魔防提高4</t>
  </si>
  <si>
    <t>死灵法师魔防提高6</t>
  </si>
  <si>
    <t>死灵法师魔防提高8</t>
  </si>
  <si>
    <t>死灵法师魔防提高10</t>
  </si>
  <si>
    <t>死灵法师魔防提高12</t>
  </si>
  <si>
    <t>死灵法师魔防提高14</t>
  </si>
  <si>
    <t>死灵法师魔防提高16</t>
  </si>
  <si>
    <t>死灵法师魔防提高18</t>
  </si>
  <si>
    <t>死灵法师魔防提高20</t>
  </si>
  <si>
    <t>死灵法师魔防提高22</t>
  </si>
  <si>
    <t>死灵法师魔防提高24</t>
  </si>
  <si>
    <t>死灵法师魔防提高26</t>
  </si>
  <si>
    <t>死灵法师魔防提高28</t>
  </si>
  <si>
    <t>死灵法师魔防提高30</t>
  </si>
  <si>
    <t>死灵法师魔防提高32</t>
  </si>
  <si>
    <t>死灵法师魔防提高34</t>
  </si>
  <si>
    <t>死灵法师魔防提高36</t>
  </si>
  <si>
    <t>死灵法师魔防提高38</t>
  </si>
  <si>
    <t>死灵法师魔防提高40</t>
  </si>
  <si>
    <t>伯爵防御百分比</t>
  </si>
  <si>
    <t>伯爵防御提高2</t>
  </si>
  <si>
    <t>伯爵</t>
  </si>
  <si>
    <t>伯爵防御提高4</t>
  </si>
  <si>
    <t>伯爵防御提高6</t>
  </si>
  <si>
    <t>伯爵防御提高8</t>
  </si>
  <si>
    <t>伯爵防御提高10</t>
  </si>
  <si>
    <t>伯爵防御提高12</t>
  </si>
  <si>
    <t>伯爵防御提高14</t>
  </si>
  <si>
    <t>伯爵防御提高16</t>
  </si>
  <si>
    <t>伯爵防御提高18</t>
  </si>
  <si>
    <t>伯爵防御提高20</t>
  </si>
  <si>
    <t>伯爵防御提高22</t>
  </si>
  <si>
    <t>伯爵防御提高24</t>
  </si>
  <si>
    <t>伯爵防御提高26</t>
  </si>
  <si>
    <t>伯爵防御提高28</t>
  </si>
  <si>
    <t>伯爵防御提高30</t>
  </si>
  <si>
    <t>伯爵防御提高32</t>
  </si>
  <si>
    <t>伯爵防御提高34</t>
  </si>
  <si>
    <t>伯爵防御提高36</t>
  </si>
  <si>
    <t>伯爵防御提高38</t>
  </si>
  <si>
    <t>伯爵防御提高40</t>
  </si>
  <si>
    <t>伯爵攻击百分比</t>
  </si>
  <si>
    <t>伯爵攻击提高3</t>
  </si>
  <si>
    <t>伯爵攻击提高6</t>
  </si>
  <si>
    <t>伯爵攻击提高9</t>
  </si>
  <si>
    <t>伯爵攻击提高12</t>
  </si>
  <si>
    <t>伯爵攻击提高15</t>
  </si>
  <si>
    <t>伯爵攻击提高18</t>
  </si>
  <si>
    <t>伯爵攻击提高21</t>
  </si>
  <si>
    <t>伯爵攻击提高24</t>
  </si>
  <si>
    <t>伯爵攻击提高27</t>
  </si>
  <si>
    <t>伯爵攻击提高30</t>
  </si>
  <si>
    <t>伯爵攻击提高33</t>
  </si>
  <si>
    <t>伯爵攻击提高36</t>
  </si>
  <si>
    <t>伯爵攻击提高39</t>
  </si>
  <si>
    <t>伯爵攻击提高42</t>
  </si>
  <si>
    <t>伯爵攻击提高45</t>
  </si>
  <si>
    <t>伯爵攻击提高48</t>
  </si>
  <si>
    <t>伯爵攻击提高51</t>
  </si>
  <si>
    <t>伯爵攻击提高54</t>
  </si>
  <si>
    <t>伯爵攻击提高57</t>
  </si>
  <si>
    <t>伯爵攻击提高60</t>
  </si>
  <si>
    <t>伯爵魔防百分比</t>
  </si>
  <si>
    <t>伯爵魔防提高2</t>
  </si>
  <si>
    <t>伯爵魔防提高4</t>
  </si>
  <si>
    <t>伯爵魔防提高6</t>
  </si>
  <si>
    <t>伯爵魔防提高8</t>
  </si>
  <si>
    <t>伯爵魔防提高10</t>
  </si>
  <si>
    <t>伯爵魔防提高12</t>
  </si>
  <si>
    <t>伯爵魔防提高14</t>
  </si>
  <si>
    <t>伯爵魔防提高16</t>
  </si>
  <si>
    <t>伯爵魔防提高18</t>
  </si>
  <si>
    <t>伯爵魔防提高20</t>
  </si>
  <si>
    <t>伯爵魔防提高22</t>
  </si>
  <si>
    <t>伯爵魔防提高24</t>
  </si>
  <si>
    <t>伯爵魔防提高26</t>
  </si>
  <si>
    <t>伯爵魔防提高28</t>
  </si>
  <si>
    <t>伯爵魔防提高30</t>
  </si>
  <si>
    <t>伯爵魔防提高32</t>
  </si>
  <si>
    <t>伯爵魔防提高34</t>
  </si>
  <si>
    <t>伯爵魔防提高36</t>
  </si>
  <si>
    <t>伯爵魔防提高38</t>
  </si>
  <si>
    <t>伯爵魔防提高40</t>
  </si>
  <si>
    <t>雪原巨人防御百分比</t>
  </si>
  <si>
    <t>yeshou03_lv3</t>
  </si>
  <si>
    <t>雪原巨人防御提高2</t>
  </si>
  <si>
    <t>雪原巨人</t>
  </si>
  <si>
    <t>雪原巨人防御提高4</t>
  </si>
  <si>
    <t>雪原巨人防御提高6</t>
  </si>
  <si>
    <t>雪原巨人防御提高8</t>
  </si>
  <si>
    <t>雪原巨人防御提高10</t>
  </si>
  <si>
    <t>雪原巨人防御提高12</t>
  </si>
  <si>
    <t>雪原巨人防御提高14</t>
  </si>
  <si>
    <t>雪原巨人防御提高16</t>
  </si>
  <si>
    <t>雪原巨人防御提高18</t>
  </si>
  <si>
    <t>雪原巨人防御提高20</t>
  </si>
  <si>
    <t>雪原巨人防御提高22</t>
  </si>
  <si>
    <t>雪原巨人防御提高24</t>
  </si>
  <si>
    <t>雪原巨人防御提高26</t>
  </si>
  <si>
    <t>雪原巨人防御提高28</t>
  </si>
  <si>
    <t>雪原巨人防御提高30</t>
  </si>
  <si>
    <t>雪原巨人防御提高32</t>
  </si>
  <si>
    <t>雪原巨人防御提高34</t>
  </si>
  <si>
    <t>雪原巨人防御提高36</t>
  </si>
  <si>
    <t>雪原巨人防御提高38</t>
  </si>
  <si>
    <t>雪原巨人防御提高40</t>
  </si>
  <si>
    <t>雪原巨人攻击百分比</t>
  </si>
  <si>
    <t>雪原巨人攻击提高3</t>
  </si>
  <si>
    <t>雪原巨人攻击提高6</t>
  </si>
  <si>
    <t>雪原巨人攻击提高9</t>
  </si>
  <si>
    <t>雪原巨人攻击提高12</t>
  </si>
  <si>
    <t>雪原巨人攻击提高15</t>
  </si>
  <si>
    <t>雪原巨人攻击提高18</t>
  </si>
  <si>
    <t>雪原巨人攻击提高21</t>
  </si>
  <si>
    <t>雪原巨人攻击提高24</t>
  </si>
  <si>
    <t>雪原巨人攻击提高27</t>
  </si>
  <si>
    <t>雪原巨人攻击提高30</t>
  </si>
  <si>
    <t>雪原巨人攻击提高33</t>
  </si>
  <si>
    <t>雪原巨人攻击提高36</t>
  </si>
  <si>
    <t>雪原巨人攻击提高39</t>
  </si>
  <si>
    <t>雪原巨人攻击提高42</t>
  </si>
  <si>
    <t>雪原巨人攻击提高45</t>
  </si>
  <si>
    <t>雪原巨人攻击提高48</t>
  </si>
  <si>
    <t>雪原巨人攻击提高51</t>
  </si>
  <si>
    <t>雪原巨人攻击提高54</t>
  </si>
  <si>
    <t>雪原巨人攻击提高57</t>
  </si>
  <si>
    <t>雪原巨人攻击提高60</t>
  </si>
  <si>
    <t>雪原巨人魔防百分比</t>
  </si>
  <si>
    <t>雪原巨人魔防提高2</t>
  </si>
  <si>
    <t>雪原巨人魔防提高4</t>
  </si>
  <si>
    <t>雪原巨人魔防提高6</t>
  </si>
  <si>
    <t>雪原巨人魔防提高8</t>
  </si>
  <si>
    <t>雪原巨人魔防提高10</t>
  </si>
  <si>
    <t>雪原巨人魔防提高12</t>
  </si>
  <si>
    <t>雪原巨人魔防提高14</t>
  </si>
  <si>
    <t>雪原巨人魔防提高16</t>
  </si>
  <si>
    <t>雪原巨人魔防提高18</t>
  </si>
  <si>
    <t>雪原巨人魔防提高20</t>
  </si>
  <si>
    <t>雪原巨人魔防提高22</t>
  </si>
  <si>
    <t>雪原巨人魔防提高24</t>
  </si>
  <si>
    <t>雪原巨人魔防提高26</t>
  </si>
  <si>
    <t>雪原巨人魔防提高28</t>
  </si>
  <si>
    <t>雪原巨人魔防提高30</t>
  </si>
  <si>
    <t>雪原巨人魔防提高32</t>
  </si>
  <si>
    <t>雪原巨人魔防提高34</t>
  </si>
  <si>
    <t>雪原巨人魔防提高36</t>
  </si>
  <si>
    <t>雪原巨人魔防提高38</t>
  </si>
  <si>
    <t>雪原巨人魔防提高40</t>
  </si>
  <si>
    <t>1级生命</t>
  </si>
  <si>
    <t>1级攻击</t>
  </si>
  <si>
    <t>1级防御</t>
  </si>
  <si>
    <t>各项百分比</t>
  </si>
  <si>
    <t>2级生命</t>
  </si>
  <si>
    <t>2级攻击</t>
  </si>
  <si>
    <t>2级防御</t>
  </si>
  <si>
    <t>加成值</t>
  </si>
  <si>
    <t>3级生命</t>
  </si>
  <si>
    <t>3级攻击</t>
  </si>
  <si>
    <t>3级防御</t>
  </si>
  <si>
    <t>金币道具ID</t>
  </si>
  <si>
    <t>|</t>
  </si>
  <si>
    <t>初级</t>
  </si>
  <si>
    <t>中级</t>
  </si>
  <si>
    <t>高级</t>
  </si>
  <si>
    <t>步兵</t>
  </si>
  <si>
    <t>骑兵</t>
  </si>
  <si>
    <t>弓兵</t>
  </si>
  <si>
    <t>飞兵</t>
  </si>
  <si>
    <t>元素</t>
  </si>
  <si>
    <t>生物</t>
  </si>
  <si>
    <t>金币基础基础</t>
  </si>
  <si>
    <t>品质系数</t>
  </si>
  <si>
    <t>等级系数</t>
  </si>
  <si>
    <t>品质</t>
  </si>
  <si>
    <t>等级</t>
  </si>
  <si>
    <t>金币消耗</t>
  </si>
  <si>
    <t>士兵</t>
  </si>
  <si>
    <t>通用1</t>
  </si>
  <si>
    <t>通用2</t>
  </si>
  <si>
    <t>Attributeid</t>
  </si>
  <si>
    <t>type</t>
  </si>
  <si>
    <t>Desc</t>
  </si>
  <si>
    <t>TypeHero</t>
  </si>
  <si>
    <t>属性类型</t>
  </si>
  <si>
    <t>职业</t>
  </si>
  <si>
    <t>物防</t>
  </si>
  <si>
    <t>魔力</t>
  </si>
  <si>
    <t>移速</t>
  </si>
  <si>
    <t>射程</t>
  </si>
  <si>
    <t>攻速</t>
  </si>
  <si>
    <t>物免</t>
  </si>
  <si>
    <t>普攻增伤</t>
  </si>
  <si>
    <t>魔免</t>
  </si>
  <si>
    <t>法术增伤</t>
  </si>
  <si>
    <t>暴击</t>
  </si>
  <si>
    <t>暴伤</t>
  </si>
  <si>
    <t>吸血</t>
  </si>
  <si>
    <t>物穿</t>
  </si>
  <si>
    <t>韧性</t>
  </si>
  <si>
    <t>魔穿</t>
  </si>
  <si>
    <t>闪避</t>
  </si>
  <si>
    <t>命中</t>
  </si>
  <si>
    <t>反伤</t>
  </si>
  <si>
    <t>真实伤害</t>
  </si>
  <si>
    <t>士兵生命</t>
  </si>
  <si>
    <t>士兵攻击</t>
  </si>
  <si>
    <t>士兵物防</t>
  </si>
  <si>
    <t>英雄生命恢复</t>
  </si>
  <si>
    <t>士兵生命恢复</t>
  </si>
  <si>
    <t>技巧</t>
  </si>
  <si>
    <t>士兵魔攻</t>
  </si>
  <si>
    <t>士兵魔防</t>
  </si>
  <si>
    <t>物攻</t>
  </si>
  <si>
    <t>魔攻</t>
  </si>
  <si>
    <t>士兵生命百分比</t>
  </si>
  <si>
    <t>士兵攻击百分比</t>
  </si>
  <si>
    <t>士兵防御百分比</t>
  </si>
  <si>
    <t>士兵魔防百分比</t>
  </si>
  <si>
    <t>士兵魔力百分比</t>
  </si>
  <si>
    <t>步兵魔力</t>
  </si>
  <si>
    <t>步兵魔力百分比</t>
  </si>
  <si>
    <t>骑兵魔力</t>
  </si>
  <si>
    <t>骑兵魔力百分比</t>
  </si>
  <si>
    <t>弓兵魔力</t>
  </si>
  <si>
    <t>弓兵魔力百分比</t>
  </si>
  <si>
    <t>飞兵魔力</t>
  </si>
  <si>
    <t>飞兵魔力百分比</t>
  </si>
  <si>
    <t>牧师魔力</t>
  </si>
  <si>
    <t>牧师魔力百分比</t>
  </si>
  <si>
    <t>法师生命</t>
  </si>
  <si>
    <t>法师攻击</t>
  </si>
  <si>
    <t>法师防御</t>
  </si>
  <si>
    <t>法师魔防</t>
  </si>
  <si>
    <t>法师魔力</t>
  </si>
  <si>
    <t>法师生命百分比</t>
  </si>
  <si>
    <t>法师攻击百分比</t>
  </si>
  <si>
    <t>法师防御百分比</t>
  </si>
  <si>
    <t>法师魔防百分比</t>
  </si>
  <si>
    <t>法师魔力百分比</t>
  </si>
  <si>
    <t>野兽生命</t>
  </si>
  <si>
    <t>野兽攻击</t>
  </si>
  <si>
    <t>野兽防御</t>
  </si>
  <si>
    <t>野兽魔防</t>
  </si>
  <si>
    <t>野兽魔力</t>
  </si>
  <si>
    <t>野兽生命百分比</t>
  </si>
  <si>
    <t>野兽攻击百分比</t>
  </si>
  <si>
    <t>野兽防御百分比</t>
  </si>
  <si>
    <t>野兽魔防百分比</t>
  </si>
  <si>
    <t>野兽魔力百分比</t>
  </si>
  <si>
    <t>魔物魔力</t>
  </si>
  <si>
    <t>魔物生命百分比</t>
  </si>
  <si>
    <t>魔物魔力百分比</t>
  </si>
  <si>
    <t>皇室禁卫生命百分比</t>
  </si>
  <si>
    <t>刀锋战士全属性百分比</t>
  </si>
  <si>
    <t>格斗专家全属性百分比</t>
  </si>
  <si>
    <t>将军全属性百分比</t>
  </si>
  <si>
    <t>皇家骑士全属性百分比</t>
  </si>
  <si>
    <t>黑暗骑士全属性百分比</t>
  </si>
  <si>
    <t>守护骑士全属性百分比</t>
  </si>
  <si>
    <t>幻影射手全属性百分比</t>
  </si>
  <si>
    <t>巡游射手全属性百分比</t>
  </si>
  <si>
    <t>影全属性百分比</t>
  </si>
  <si>
    <t>圣天马骑士全属性百分比</t>
  </si>
  <si>
    <t>飞龙骑士全属性百分比</t>
  </si>
  <si>
    <t>格里芬骑士全属性百分比</t>
  </si>
  <si>
    <t>大魔法师全属性百分比</t>
  </si>
  <si>
    <t>烈焰之灵全属性百分比</t>
  </si>
  <si>
    <t>符文师全属性百分比</t>
  </si>
  <si>
    <t>大祭司全属性百分比</t>
  </si>
  <si>
    <t>占卜师全属性百分比</t>
  </si>
  <si>
    <t>守护星灵全属性百分比</t>
  </si>
  <si>
    <t>亡灵骑士全属性百分比</t>
  </si>
  <si>
    <t>伯爵全属性百分比</t>
  </si>
  <si>
    <t>死灵法师全属性百分比</t>
  </si>
  <si>
    <t>狼王全属性百分比</t>
  </si>
  <si>
    <t>王蜥猎手全属性百分比</t>
  </si>
  <si>
    <t>雪原巨人全属性百分比</t>
  </si>
  <si>
    <t>格斗专家防御百分比</t>
  </si>
  <si>
    <t>格斗专家攻击百分比</t>
  </si>
  <si>
    <t>格斗专家魔防百分比</t>
  </si>
  <si>
    <t>将军防御百分比</t>
  </si>
  <si>
    <t>将军攻击百分比</t>
  </si>
  <si>
    <t>将军魔防百分比</t>
  </si>
  <si>
    <t>守护骑士防御百分比</t>
  </si>
  <si>
    <t>守护骑士攻击百分比</t>
  </si>
  <si>
    <t>守护骑士魔防百分比</t>
  </si>
  <si>
    <t>影防御百分比</t>
  </si>
  <si>
    <t>影攻击百分比</t>
  </si>
  <si>
    <t>影魔防百分比</t>
  </si>
  <si>
    <t>格里芬骑士防御百分比</t>
  </si>
  <si>
    <t>格里芬骑士攻击百分比</t>
  </si>
  <si>
    <t>格里芬骑士魔防百分比</t>
  </si>
  <si>
    <t>符文师防御百分比</t>
  </si>
  <si>
    <t>符文师攻击百分比</t>
  </si>
  <si>
    <t>符文师魔防百分比</t>
  </si>
  <si>
    <t>占卜师防御百分比</t>
  </si>
  <si>
    <t>占卜师攻击百分比</t>
  </si>
  <si>
    <t>占卜师魔防百分比</t>
  </si>
  <si>
    <t>守护星灵防御百分比</t>
  </si>
  <si>
    <t>守护星灵攻击百分比</t>
  </si>
  <si>
    <t>守护星灵魔防百分比</t>
  </si>
  <si>
    <t>狼王防御百分比</t>
  </si>
  <si>
    <t>狼王攻击百分比</t>
  </si>
  <si>
    <t>狼王魔防百分比</t>
  </si>
  <si>
    <t>王蜥猎手防御百分比</t>
  </si>
  <si>
    <t>王蜥猎手攻击百分比</t>
  </si>
  <si>
    <t>王蜥猎手魔防百分比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</si>
</sst>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B05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5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33"/>
  <sheetViews>
    <sheetView tabSelected="1" topLeftCell="E1" workbookViewId="0">
      <pane ySplit="3" topLeftCell="A4" activePane="bottomLeft" state="frozen"/>
      <selection/>
      <selection pane="bottomLeft" activeCell="U14" sqref="U14"/>
    </sheetView>
  </sheetViews>
  <sheetFormatPr defaultColWidth="9" defaultRowHeight="14.25"/>
  <cols>
    <col min="1" max="6" width="9" style="27"/>
    <col min="7" max="7" width="15" style="27" customWidth="1"/>
    <col min="8" max="8" width="12.125" style="27" customWidth="1"/>
    <col min="9" max="9" width="17.75" style="27" customWidth="1"/>
    <col min="10" max="11" width="9" style="27"/>
    <col min="12" max="12" width="22.75" style="27" customWidth="1"/>
    <col min="13" max="13" width="19.75" style="27" customWidth="1"/>
    <col min="14" max="14" width="19.25" style="27" customWidth="1"/>
    <col min="15" max="15" width="16.875" style="27" customWidth="1"/>
    <col min="16" max="16" width="9" style="28"/>
    <col min="17" max="16384" width="9" style="25"/>
  </cols>
  <sheetData>
    <row r="1" s="25" customFormat="1" spans="1:1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</row>
    <row r="2" s="25" customFormat="1" spans="1:16">
      <c r="A2" s="27" t="s">
        <v>16</v>
      </c>
      <c r="B2" s="27" t="s">
        <v>16</v>
      </c>
      <c r="C2" s="27" t="s">
        <v>16</v>
      </c>
      <c r="D2" s="27" t="s">
        <v>16</v>
      </c>
      <c r="E2" s="27" t="s">
        <v>16</v>
      </c>
      <c r="F2" s="27" t="s">
        <v>16</v>
      </c>
      <c r="G2" s="27" t="s">
        <v>17</v>
      </c>
      <c r="H2" s="27" t="s">
        <v>17</v>
      </c>
      <c r="I2" s="27" t="s">
        <v>17</v>
      </c>
      <c r="J2" s="27" t="s">
        <v>16</v>
      </c>
      <c r="K2" s="27" t="s">
        <v>16</v>
      </c>
      <c r="L2" s="27" t="s">
        <v>17</v>
      </c>
      <c r="M2" s="27" t="s">
        <v>17</v>
      </c>
      <c r="N2" s="27" t="s">
        <v>17</v>
      </c>
      <c r="O2" s="27" t="s">
        <v>16</v>
      </c>
      <c r="P2" s="27" t="s">
        <v>17</v>
      </c>
    </row>
    <row r="3" s="25" customFormat="1" spans="1:16">
      <c r="A3" s="27" t="s">
        <v>18</v>
      </c>
      <c r="B3" s="27" t="s">
        <v>19</v>
      </c>
      <c r="C3" s="27" t="s">
        <v>20</v>
      </c>
      <c r="D3" s="27" t="s">
        <v>21</v>
      </c>
      <c r="E3" s="27" t="s">
        <v>22</v>
      </c>
      <c r="F3" s="27" t="s">
        <v>23</v>
      </c>
      <c r="G3" s="27" t="s">
        <v>24</v>
      </c>
      <c r="H3" s="27" t="s">
        <v>25</v>
      </c>
      <c r="I3" s="27" t="s">
        <v>26</v>
      </c>
      <c r="J3" s="27" t="s">
        <v>27</v>
      </c>
      <c r="K3" s="27" t="s">
        <v>28</v>
      </c>
      <c r="L3" s="27" t="s">
        <v>29</v>
      </c>
      <c r="M3" s="27" t="s">
        <v>30</v>
      </c>
      <c r="N3" s="27" t="s">
        <v>31</v>
      </c>
      <c r="O3" s="27" t="s">
        <v>32</v>
      </c>
      <c r="P3" s="27" t="s">
        <v>33</v>
      </c>
    </row>
    <row r="4" s="25" customFormat="1" spans="1:16">
      <c r="A4" s="29" t="s">
        <v>34</v>
      </c>
      <c r="B4" s="29" t="s">
        <v>34</v>
      </c>
      <c r="C4" s="29" t="s">
        <v>35</v>
      </c>
      <c r="D4" s="29" t="s">
        <v>36</v>
      </c>
      <c r="E4" s="29" t="s">
        <v>35</v>
      </c>
      <c r="F4" s="29" t="s">
        <v>35</v>
      </c>
      <c r="G4" s="29" t="s">
        <v>37</v>
      </c>
      <c r="H4" s="29" t="s">
        <v>38</v>
      </c>
      <c r="I4" s="29" t="s">
        <v>39</v>
      </c>
      <c r="J4" s="29" t="s">
        <v>39</v>
      </c>
      <c r="K4" s="29" t="s">
        <v>36</v>
      </c>
      <c r="L4" s="29" t="s">
        <v>40</v>
      </c>
      <c r="M4" s="29" t="s">
        <v>39</v>
      </c>
      <c r="N4" s="29" t="s">
        <v>41</v>
      </c>
      <c r="O4" s="29" t="s">
        <v>35</v>
      </c>
      <c r="P4" s="30" t="s">
        <v>42</v>
      </c>
    </row>
    <row r="5" s="25" customFormat="1" spans="1:16">
      <c r="A5" s="29" t="s">
        <v>36</v>
      </c>
      <c r="B5" s="29" t="s">
        <v>34</v>
      </c>
      <c r="C5" s="29" t="s">
        <v>35</v>
      </c>
      <c r="D5" s="29" t="s">
        <v>36</v>
      </c>
      <c r="E5" s="29" t="s">
        <v>35</v>
      </c>
      <c r="F5" s="29" t="s">
        <v>35</v>
      </c>
      <c r="G5" s="29" t="s">
        <v>37</v>
      </c>
      <c r="H5" s="29" t="s">
        <v>38</v>
      </c>
      <c r="I5" s="29" t="s">
        <v>39</v>
      </c>
      <c r="J5" s="29" t="s">
        <v>35</v>
      </c>
      <c r="K5" s="29" t="s">
        <v>43</v>
      </c>
      <c r="L5" s="29" t="s">
        <v>44</v>
      </c>
      <c r="M5" s="29" t="s">
        <v>39</v>
      </c>
      <c r="N5" s="29" t="s">
        <v>45</v>
      </c>
      <c r="O5" s="29" t="s">
        <v>35</v>
      </c>
      <c r="P5" s="30" t="s">
        <v>46</v>
      </c>
    </row>
    <row r="6" s="25" customFormat="1" spans="1:16">
      <c r="A6" s="29" t="s">
        <v>43</v>
      </c>
      <c r="B6" s="29" t="s">
        <v>34</v>
      </c>
      <c r="C6" s="29" t="s">
        <v>35</v>
      </c>
      <c r="D6" s="29" t="s">
        <v>36</v>
      </c>
      <c r="E6" s="29" t="s">
        <v>35</v>
      </c>
      <c r="F6" s="29" t="s">
        <v>35</v>
      </c>
      <c r="G6" s="29" t="s">
        <v>37</v>
      </c>
      <c r="H6" s="29" t="s">
        <v>38</v>
      </c>
      <c r="I6" s="29" t="s">
        <v>39</v>
      </c>
      <c r="J6" s="29" t="s">
        <v>47</v>
      </c>
      <c r="K6" s="29" t="s">
        <v>48</v>
      </c>
      <c r="L6" s="29" t="s">
        <v>49</v>
      </c>
      <c r="M6" s="29" t="s">
        <v>39</v>
      </c>
      <c r="N6" s="29" t="s">
        <v>45</v>
      </c>
      <c r="O6" s="29" t="s">
        <v>35</v>
      </c>
      <c r="P6" s="30" t="s">
        <v>50</v>
      </c>
    </row>
    <row r="7" s="25" customFormat="1" spans="1:16">
      <c r="A7" s="29" t="s">
        <v>48</v>
      </c>
      <c r="B7" s="29" t="s">
        <v>34</v>
      </c>
      <c r="C7" s="29" t="s">
        <v>35</v>
      </c>
      <c r="D7" s="29" t="s">
        <v>36</v>
      </c>
      <c r="E7" s="29" t="s">
        <v>35</v>
      </c>
      <c r="F7" s="29" t="s">
        <v>35</v>
      </c>
      <c r="G7" s="29" t="s">
        <v>37</v>
      </c>
      <c r="H7" s="29" t="s">
        <v>38</v>
      </c>
      <c r="I7" s="29" t="s">
        <v>39</v>
      </c>
      <c r="J7" s="29" t="s">
        <v>51</v>
      </c>
      <c r="K7" s="29" t="s">
        <v>52</v>
      </c>
      <c r="L7" s="29" t="s">
        <v>53</v>
      </c>
      <c r="M7" s="29" t="s">
        <v>39</v>
      </c>
      <c r="N7" s="29" t="s">
        <v>45</v>
      </c>
      <c r="O7" s="29" t="s">
        <v>35</v>
      </c>
      <c r="P7" s="30" t="s">
        <v>54</v>
      </c>
    </row>
    <row r="8" s="25" customFormat="1" spans="1:16">
      <c r="A8" s="29" t="s">
        <v>52</v>
      </c>
      <c r="B8" s="29" t="s">
        <v>34</v>
      </c>
      <c r="C8" s="29" t="s">
        <v>35</v>
      </c>
      <c r="D8" s="29" t="s">
        <v>36</v>
      </c>
      <c r="E8" s="29" t="s">
        <v>35</v>
      </c>
      <c r="F8" s="29" t="s">
        <v>35</v>
      </c>
      <c r="G8" s="29" t="s">
        <v>37</v>
      </c>
      <c r="H8" s="29" t="s">
        <v>38</v>
      </c>
      <c r="I8" s="29" t="s">
        <v>39</v>
      </c>
      <c r="J8" s="29" t="s">
        <v>55</v>
      </c>
      <c r="K8" s="29" t="s">
        <v>56</v>
      </c>
      <c r="L8" s="29" t="s">
        <v>57</v>
      </c>
      <c r="M8" s="29" t="s">
        <v>39</v>
      </c>
      <c r="N8" s="29" t="s">
        <v>45</v>
      </c>
      <c r="O8" s="29" t="s">
        <v>35</v>
      </c>
      <c r="P8" s="30" t="s">
        <v>58</v>
      </c>
    </row>
    <row r="9" s="25" customFormat="1" spans="1:16">
      <c r="A9" s="29" t="s">
        <v>56</v>
      </c>
      <c r="B9" s="29" t="s">
        <v>34</v>
      </c>
      <c r="C9" s="29" t="s">
        <v>35</v>
      </c>
      <c r="D9" s="29" t="s">
        <v>36</v>
      </c>
      <c r="E9" s="29" t="s">
        <v>35</v>
      </c>
      <c r="F9" s="29" t="s">
        <v>35</v>
      </c>
      <c r="G9" s="29" t="s">
        <v>37</v>
      </c>
      <c r="H9" s="29" t="s">
        <v>38</v>
      </c>
      <c r="I9" s="29" t="s">
        <v>39</v>
      </c>
      <c r="J9" s="29" t="s">
        <v>59</v>
      </c>
      <c r="K9" s="29" t="s">
        <v>39</v>
      </c>
      <c r="L9" s="29" t="s">
        <v>39</v>
      </c>
      <c r="M9" s="29" t="s">
        <v>39</v>
      </c>
      <c r="N9" s="29" t="s">
        <v>45</v>
      </c>
      <c r="O9" s="29" t="s">
        <v>35</v>
      </c>
      <c r="P9" s="30" t="s">
        <v>60</v>
      </c>
    </row>
    <row r="10" s="25" customFormat="1" spans="1:16">
      <c r="A10" s="29" t="s">
        <v>61</v>
      </c>
      <c r="B10" s="29" t="s">
        <v>61</v>
      </c>
      <c r="C10" s="29" t="s">
        <v>35</v>
      </c>
      <c r="D10" s="29" t="s">
        <v>36</v>
      </c>
      <c r="E10" s="29" t="s">
        <v>35</v>
      </c>
      <c r="F10" s="29" t="s">
        <v>35</v>
      </c>
      <c r="G10" s="29" t="s">
        <v>62</v>
      </c>
      <c r="H10" s="29" t="s">
        <v>63</v>
      </c>
      <c r="I10" s="29" t="s">
        <v>39</v>
      </c>
      <c r="J10" s="29" t="s">
        <v>39</v>
      </c>
      <c r="K10" s="29" t="s">
        <v>64</v>
      </c>
      <c r="L10" s="29" t="s">
        <v>40</v>
      </c>
      <c r="M10" s="29" t="s">
        <v>65</v>
      </c>
      <c r="N10" s="29" t="s">
        <v>66</v>
      </c>
      <c r="O10" s="29" t="s">
        <v>47</v>
      </c>
      <c r="P10" s="30" t="s">
        <v>67</v>
      </c>
    </row>
    <row r="11" s="25" customFormat="1" spans="1:16">
      <c r="A11" s="29" t="s">
        <v>64</v>
      </c>
      <c r="B11" s="29" t="s">
        <v>61</v>
      </c>
      <c r="C11" s="29" t="s">
        <v>35</v>
      </c>
      <c r="D11" s="29" t="s">
        <v>36</v>
      </c>
      <c r="E11" s="29" t="s">
        <v>35</v>
      </c>
      <c r="F11" s="29" t="s">
        <v>35</v>
      </c>
      <c r="G11" s="29" t="s">
        <v>62</v>
      </c>
      <c r="H11" s="29" t="s">
        <v>63</v>
      </c>
      <c r="I11" s="29" t="s">
        <v>39</v>
      </c>
      <c r="J11" s="29" t="s">
        <v>35</v>
      </c>
      <c r="K11" s="29" t="s">
        <v>68</v>
      </c>
      <c r="L11" s="29" t="s">
        <v>44</v>
      </c>
      <c r="M11" s="29" t="s">
        <v>65</v>
      </c>
      <c r="N11" s="29" t="s">
        <v>69</v>
      </c>
      <c r="O11" s="29" t="s">
        <v>47</v>
      </c>
      <c r="P11" s="30" t="s">
        <v>70</v>
      </c>
    </row>
    <row r="12" s="25" customFormat="1" spans="1:16">
      <c r="A12" s="29" t="s">
        <v>68</v>
      </c>
      <c r="B12" s="29" t="s">
        <v>61</v>
      </c>
      <c r="C12" s="29" t="s">
        <v>35</v>
      </c>
      <c r="D12" s="29" t="s">
        <v>36</v>
      </c>
      <c r="E12" s="29" t="s">
        <v>35</v>
      </c>
      <c r="F12" s="29" t="s">
        <v>35</v>
      </c>
      <c r="G12" s="29" t="s">
        <v>62</v>
      </c>
      <c r="H12" s="29" t="s">
        <v>63</v>
      </c>
      <c r="I12" s="29" t="s">
        <v>39</v>
      </c>
      <c r="J12" s="29" t="s">
        <v>47</v>
      </c>
      <c r="K12" s="29" t="s">
        <v>71</v>
      </c>
      <c r="L12" s="29" t="s">
        <v>49</v>
      </c>
      <c r="M12" s="29" t="s">
        <v>65</v>
      </c>
      <c r="N12" s="29" t="s">
        <v>69</v>
      </c>
      <c r="O12" s="29" t="s">
        <v>47</v>
      </c>
      <c r="P12" s="30" t="s">
        <v>72</v>
      </c>
    </row>
    <row r="13" s="25" customFormat="1" spans="1:16">
      <c r="A13" s="29" t="s">
        <v>71</v>
      </c>
      <c r="B13" s="29" t="s">
        <v>61</v>
      </c>
      <c r="C13" s="29" t="s">
        <v>35</v>
      </c>
      <c r="D13" s="29" t="s">
        <v>36</v>
      </c>
      <c r="E13" s="29" t="s">
        <v>35</v>
      </c>
      <c r="F13" s="29" t="s">
        <v>35</v>
      </c>
      <c r="G13" s="29" t="s">
        <v>62</v>
      </c>
      <c r="H13" s="29" t="s">
        <v>63</v>
      </c>
      <c r="I13" s="29" t="s">
        <v>39</v>
      </c>
      <c r="J13" s="29" t="s">
        <v>51</v>
      </c>
      <c r="K13" s="29" t="s">
        <v>73</v>
      </c>
      <c r="L13" s="29" t="s">
        <v>53</v>
      </c>
      <c r="M13" s="29" t="s">
        <v>65</v>
      </c>
      <c r="N13" s="29" t="s">
        <v>69</v>
      </c>
      <c r="O13" s="29" t="s">
        <v>47</v>
      </c>
      <c r="P13" s="30" t="s">
        <v>74</v>
      </c>
    </row>
    <row r="14" s="25" customFormat="1" spans="1:16">
      <c r="A14" s="29" t="s">
        <v>73</v>
      </c>
      <c r="B14" s="29" t="s">
        <v>61</v>
      </c>
      <c r="C14" s="29" t="s">
        <v>35</v>
      </c>
      <c r="D14" s="29" t="s">
        <v>36</v>
      </c>
      <c r="E14" s="29" t="s">
        <v>35</v>
      </c>
      <c r="F14" s="29" t="s">
        <v>35</v>
      </c>
      <c r="G14" s="29" t="s">
        <v>62</v>
      </c>
      <c r="H14" s="29" t="s">
        <v>63</v>
      </c>
      <c r="I14" s="29" t="s">
        <v>39</v>
      </c>
      <c r="J14" s="29" t="s">
        <v>55</v>
      </c>
      <c r="K14" s="29" t="s">
        <v>75</v>
      </c>
      <c r="L14" s="29" t="s">
        <v>57</v>
      </c>
      <c r="M14" s="29" t="s">
        <v>65</v>
      </c>
      <c r="N14" s="29" t="s">
        <v>69</v>
      </c>
      <c r="O14" s="29" t="s">
        <v>47</v>
      </c>
      <c r="P14" s="30" t="s">
        <v>76</v>
      </c>
    </row>
    <row r="15" s="25" customFormat="1" spans="1:16">
      <c r="A15" s="29" t="s">
        <v>75</v>
      </c>
      <c r="B15" s="29" t="s">
        <v>61</v>
      </c>
      <c r="C15" s="29" t="s">
        <v>35</v>
      </c>
      <c r="D15" s="29" t="s">
        <v>36</v>
      </c>
      <c r="E15" s="29" t="s">
        <v>35</v>
      </c>
      <c r="F15" s="29" t="s">
        <v>35</v>
      </c>
      <c r="G15" s="29" t="s">
        <v>62</v>
      </c>
      <c r="H15" s="29" t="s">
        <v>63</v>
      </c>
      <c r="I15" s="29" t="s">
        <v>39</v>
      </c>
      <c r="J15" s="29" t="s">
        <v>59</v>
      </c>
      <c r="K15" s="29" t="s">
        <v>39</v>
      </c>
      <c r="L15" s="29" t="s">
        <v>39</v>
      </c>
      <c r="M15" s="29" t="s">
        <v>39</v>
      </c>
      <c r="N15" s="29" t="s">
        <v>69</v>
      </c>
      <c r="O15" s="29" t="s">
        <v>47</v>
      </c>
      <c r="P15" s="30" t="s">
        <v>77</v>
      </c>
    </row>
    <row r="16" s="25" customFormat="1" spans="1:16">
      <c r="A16" s="29" t="s">
        <v>78</v>
      </c>
      <c r="B16" s="29" t="s">
        <v>78</v>
      </c>
      <c r="C16" s="29" t="s">
        <v>35</v>
      </c>
      <c r="D16" s="29" t="s">
        <v>36</v>
      </c>
      <c r="E16" s="29" t="s">
        <v>35</v>
      </c>
      <c r="F16" s="29" t="s">
        <v>35</v>
      </c>
      <c r="G16" s="29" t="s">
        <v>79</v>
      </c>
      <c r="H16" s="29" t="s">
        <v>80</v>
      </c>
      <c r="I16" s="29" t="s">
        <v>39</v>
      </c>
      <c r="J16" s="29" t="s">
        <v>39</v>
      </c>
      <c r="K16" s="29" t="s">
        <v>81</v>
      </c>
      <c r="L16" s="29" t="s">
        <v>40</v>
      </c>
      <c r="M16" s="29" t="s">
        <v>65</v>
      </c>
      <c r="N16" s="29" t="s">
        <v>82</v>
      </c>
      <c r="O16" s="29" t="s">
        <v>51</v>
      </c>
      <c r="P16" s="30" t="s">
        <v>83</v>
      </c>
    </row>
    <row r="17" s="25" customFormat="1" spans="1:16">
      <c r="A17" s="29" t="s">
        <v>81</v>
      </c>
      <c r="B17" s="29" t="s">
        <v>78</v>
      </c>
      <c r="C17" s="29" t="s">
        <v>35</v>
      </c>
      <c r="D17" s="29" t="s">
        <v>36</v>
      </c>
      <c r="E17" s="29" t="s">
        <v>35</v>
      </c>
      <c r="F17" s="29" t="s">
        <v>35</v>
      </c>
      <c r="G17" s="29" t="s">
        <v>79</v>
      </c>
      <c r="H17" s="29" t="s">
        <v>80</v>
      </c>
      <c r="I17" s="29" t="s">
        <v>39</v>
      </c>
      <c r="J17" s="29" t="s">
        <v>35</v>
      </c>
      <c r="K17" s="29" t="s">
        <v>84</v>
      </c>
      <c r="L17" s="29" t="s">
        <v>44</v>
      </c>
      <c r="M17" s="29" t="s">
        <v>65</v>
      </c>
      <c r="N17" s="29" t="s">
        <v>85</v>
      </c>
      <c r="O17" s="29" t="s">
        <v>51</v>
      </c>
      <c r="P17" s="30" t="s">
        <v>86</v>
      </c>
    </row>
    <row r="18" s="25" customFormat="1" spans="1:16">
      <c r="A18" s="29" t="s">
        <v>84</v>
      </c>
      <c r="B18" s="29" t="s">
        <v>78</v>
      </c>
      <c r="C18" s="29" t="s">
        <v>35</v>
      </c>
      <c r="D18" s="29" t="s">
        <v>36</v>
      </c>
      <c r="E18" s="29" t="s">
        <v>35</v>
      </c>
      <c r="F18" s="29" t="s">
        <v>35</v>
      </c>
      <c r="G18" s="29" t="s">
        <v>79</v>
      </c>
      <c r="H18" s="29" t="s">
        <v>80</v>
      </c>
      <c r="I18" s="29" t="s">
        <v>39</v>
      </c>
      <c r="J18" s="29" t="s">
        <v>47</v>
      </c>
      <c r="K18" s="29" t="s">
        <v>87</v>
      </c>
      <c r="L18" s="29" t="s">
        <v>49</v>
      </c>
      <c r="M18" s="29" t="s">
        <v>65</v>
      </c>
      <c r="N18" s="29" t="s">
        <v>85</v>
      </c>
      <c r="O18" s="29" t="s">
        <v>51</v>
      </c>
      <c r="P18" s="30" t="s">
        <v>88</v>
      </c>
    </row>
    <row r="19" s="25" customFormat="1" spans="1:16">
      <c r="A19" s="29" t="s">
        <v>87</v>
      </c>
      <c r="B19" s="29" t="s">
        <v>78</v>
      </c>
      <c r="C19" s="29" t="s">
        <v>35</v>
      </c>
      <c r="D19" s="29" t="s">
        <v>36</v>
      </c>
      <c r="E19" s="29" t="s">
        <v>35</v>
      </c>
      <c r="F19" s="29" t="s">
        <v>35</v>
      </c>
      <c r="G19" s="29" t="s">
        <v>79</v>
      </c>
      <c r="H19" s="29" t="s">
        <v>80</v>
      </c>
      <c r="I19" s="29" t="s">
        <v>39</v>
      </c>
      <c r="J19" s="29" t="s">
        <v>51</v>
      </c>
      <c r="K19" s="29" t="s">
        <v>89</v>
      </c>
      <c r="L19" s="29" t="s">
        <v>53</v>
      </c>
      <c r="M19" s="29" t="s">
        <v>65</v>
      </c>
      <c r="N19" s="29" t="s">
        <v>85</v>
      </c>
      <c r="O19" s="29" t="s">
        <v>51</v>
      </c>
      <c r="P19" s="30" t="s">
        <v>90</v>
      </c>
    </row>
    <row r="20" s="25" customFormat="1" spans="1:16">
      <c r="A20" s="29" t="s">
        <v>89</v>
      </c>
      <c r="B20" s="29" t="s">
        <v>78</v>
      </c>
      <c r="C20" s="29" t="s">
        <v>35</v>
      </c>
      <c r="D20" s="29" t="s">
        <v>36</v>
      </c>
      <c r="E20" s="29" t="s">
        <v>35</v>
      </c>
      <c r="F20" s="29" t="s">
        <v>35</v>
      </c>
      <c r="G20" s="29" t="s">
        <v>79</v>
      </c>
      <c r="H20" s="29" t="s">
        <v>80</v>
      </c>
      <c r="I20" s="29" t="s">
        <v>39</v>
      </c>
      <c r="J20" s="29" t="s">
        <v>55</v>
      </c>
      <c r="K20" s="29" t="s">
        <v>91</v>
      </c>
      <c r="L20" s="29" t="s">
        <v>57</v>
      </c>
      <c r="M20" s="29" t="s">
        <v>65</v>
      </c>
      <c r="N20" s="29" t="s">
        <v>85</v>
      </c>
      <c r="O20" s="29" t="s">
        <v>51</v>
      </c>
      <c r="P20" s="30" t="s">
        <v>92</v>
      </c>
    </row>
    <row r="21" s="25" customFormat="1" spans="1:16">
      <c r="A21" s="29" t="s">
        <v>91</v>
      </c>
      <c r="B21" s="29" t="s">
        <v>78</v>
      </c>
      <c r="C21" s="29" t="s">
        <v>35</v>
      </c>
      <c r="D21" s="29" t="s">
        <v>36</v>
      </c>
      <c r="E21" s="29" t="s">
        <v>35</v>
      </c>
      <c r="F21" s="29" t="s">
        <v>35</v>
      </c>
      <c r="G21" s="29" t="s">
        <v>79</v>
      </c>
      <c r="H21" s="29" t="s">
        <v>80</v>
      </c>
      <c r="I21" s="29" t="s">
        <v>39</v>
      </c>
      <c r="J21" s="29" t="s">
        <v>59</v>
      </c>
      <c r="K21" s="29" t="s">
        <v>39</v>
      </c>
      <c r="L21" s="29" t="s">
        <v>39</v>
      </c>
      <c r="M21" s="29" t="s">
        <v>39</v>
      </c>
      <c r="N21" s="29" t="s">
        <v>85</v>
      </c>
      <c r="O21" s="29" t="s">
        <v>51</v>
      </c>
      <c r="P21" s="30" t="s">
        <v>93</v>
      </c>
    </row>
    <row r="22" s="25" customFormat="1" spans="1:16">
      <c r="A22" s="29" t="s">
        <v>94</v>
      </c>
      <c r="B22" s="29" t="s">
        <v>94</v>
      </c>
      <c r="C22" s="29" t="s">
        <v>35</v>
      </c>
      <c r="D22" s="29" t="s">
        <v>36</v>
      </c>
      <c r="E22" s="29" t="s">
        <v>35</v>
      </c>
      <c r="F22" s="29" t="s">
        <v>35</v>
      </c>
      <c r="G22" s="29" t="s">
        <v>95</v>
      </c>
      <c r="H22" s="29" t="s">
        <v>96</v>
      </c>
      <c r="I22" s="29" t="s">
        <v>39</v>
      </c>
      <c r="J22" s="29" t="s">
        <v>39</v>
      </c>
      <c r="K22" s="29" t="s">
        <v>97</v>
      </c>
      <c r="L22" s="29" t="s">
        <v>40</v>
      </c>
      <c r="M22" s="29" t="s">
        <v>65</v>
      </c>
      <c r="N22" s="29" t="s">
        <v>98</v>
      </c>
      <c r="O22" s="29" t="s">
        <v>55</v>
      </c>
      <c r="P22" s="30" t="s">
        <v>99</v>
      </c>
    </row>
    <row r="23" s="25" customFormat="1" spans="1:16">
      <c r="A23" s="29" t="s">
        <v>97</v>
      </c>
      <c r="B23" s="29" t="s">
        <v>94</v>
      </c>
      <c r="C23" s="29" t="s">
        <v>35</v>
      </c>
      <c r="D23" s="29" t="s">
        <v>36</v>
      </c>
      <c r="E23" s="29" t="s">
        <v>35</v>
      </c>
      <c r="F23" s="29" t="s">
        <v>35</v>
      </c>
      <c r="G23" s="29" t="s">
        <v>95</v>
      </c>
      <c r="H23" s="29" t="s">
        <v>96</v>
      </c>
      <c r="I23" s="29" t="s">
        <v>39</v>
      </c>
      <c r="J23" s="29" t="s">
        <v>35</v>
      </c>
      <c r="K23" s="29" t="s">
        <v>100</v>
      </c>
      <c r="L23" s="29" t="s">
        <v>44</v>
      </c>
      <c r="M23" s="29" t="s">
        <v>65</v>
      </c>
      <c r="N23" s="29" t="s">
        <v>101</v>
      </c>
      <c r="O23" s="29" t="s">
        <v>55</v>
      </c>
      <c r="P23" s="30" t="s">
        <v>102</v>
      </c>
    </row>
    <row r="24" s="25" customFormat="1" spans="1:16">
      <c r="A24" s="29" t="s">
        <v>100</v>
      </c>
      <c r="B24" s="29" t="s">
        <v>94</v>
      </c>
      <c r="C24" s="29" t="s">
        <v>35</v>
      </c>
      <c r="D24" s="29" t="s">
        <v>36</v>
      </c>
      <c r="E24" s="29" t="s">
        <v>35</v>
      </c>
      <c r="F24" s="29" t="s">
        <v>35</v>
      </c>
      <c r="G24" s="29" t="s">
        <v>95</v>
      </c>
      <c r="H24" s="29" t="s">
        <v>96</v>
      </c>
      <c r="I24" s="29" t="s">
        <v>39</v>
      </c>
      <c r="J24" s="29" t="s">
        <v>47</v>
      </c>
      <c r="K24" s="29" t="s">
        <v>103</v>
      </c>
      <c r="L24" s="29" t="s">
        <v>49</v>
      </c>
      <c r="M24" s="29" t="s">
        <v>65</v>
      </c>
      <c r="N24" s="29" t="s">
        <v>101</v>
      </c>
      <c r="O24" s="29" t="s">
        <v>55</v>
      </c>
      <c r="P24" s="30" t="s">
        <v>104</v>
      </c>
    </row>
    <row r="25" s="25" customFormat="1" spans="1:16">
      <c r="A25" s="29" t="s">
        <v>103</v>
      </c>
      <c r="B25" s="29" t="s">
        <v>94</v>
      </c>
      <c r="C25" s="29" t="s">
        <v>35</v>
      </c>
      <c r="D25" s="29" t="s">
        <v>36</v>
      </c>
      <c r="E25" s="29" t="s">
        <v>35</v>
      </c>
      <c r="F25" s="29" t="s">
        <v>35</v>
      </c>
      <c r="G25" s="29" t="s">
        <v>95</v>
      </c>
      <c r="H25" s="29" t="s">
        <v>96</v>
      </c>
      <c r="I25" s="29" t="s">
        <v>39</v>
      </c>
      <c r="J25" s="29" t="s">
        <v>51</v>
      </c>
      <c r="K25" s="29" t="s">
        <v>105</v>
      </c>
      <c r="L25" s="29" t="s">
        <v>53</v>
      </c>
      <c r="M25" s="29" t="s">
        <v>65</v>
      </c>
      <c r="N25" s="29" t="s">
        <v>101</v>
      </c>
      <c r="O25" s="29" t="s">
        <v>55</v>
      </c>
      <c r="P25" s="30" t="s">
        <v>106</v>
      </c>
    </row>
    <row r="26" s="25" customFormat="1" spans="1:16">
      <c r="A26" s="29" t="s">
        <v>105</v>
      </c>
      <c r="B26" s="29" t="s">
        <v>94</v>
      </c>
      <c r="C26" s="29" t="s">
        <v>35</v>
      </c>
      <c r="D26" s="29" t="s">
        <v>36</v>
      </c>
      <c r="E26" s="29" t="s">
        <v>35</v>
      </c>
      <c r="F26" s="29" t="s">
        <v>35</v>
      </c>
      <c r="G26" s="29" t="s">
        <v>95</v>
      </c>
      <c r="H26" s="29" t="s">
        <v>96</v>
      </c>
      <c r="I26" s="29" t="s">
        <v>39</v>
      </c>
      <c r="J26" s="29" t="s">
        <v>55</v>
      </c>
      <c r="K26" s="29" t="s">
        <v>107</v>
      </c>
      <c r="L26" s="29" t="s">
        <v>57</v>
      </c>
      <c r="M26" s="29" t="s">
        <v>65</v>
      </c>
      <c r="N26" s="29" t="s">
        <v>101</v>
      </c>
      <c r="O26" s="29" t="s">
        <v>55</v>
      </c>
      <c r="P26" s="30" t="s">
        <v>108</v>
      </c>
    </row>
    <row r="27" s="25" customFormat="1" spans="1:16">
      <c r="A27" s="29" t="s">
        <v>107</v>
      </c>
      <c r="B27" s="29" t="s">
        <v>94</v>
      </c>
      <c r="C27" s="29" t="s">
        <v>35</v>
      </c>
      <c r="D27" s="29" t="s">
        <v>36</v>
      </c>
      <c r="E27" s="29" t="s">
        <v>35</v>
      </c>
      <c r="F27" s="29" t="s">
        <v>35</v>
      </c>
      <c r="G27" s="29" t="s">
        <v>95</v>
      </c>
      <c r="H27" s="29" t="s">
        <v>96</v>
      </c>
      <c r="I27" s="29" t="s">
        <v>39</v>
      </c>
      <c r="J27" s="29" t="s">
        <v>59</v>
      </c>
      <c r="K27" s="29" t="s">
        <v>39</v>
      </c>
      <c r="L27" s="29" t="s">
        <v>39</v>
      </c>
      <c r="M27" s="29" t="s">
        <v>39</v>
      </c>
      <c r="N27" s="29" t="s">
        <v>101</v>
      </c>
      <c r="O27" s="29" t="s">
        <v>55</v>
      </c>
      <c r="P27" s="30" t="s">
        <v>109</v>
      </c>
    </row>
    <row r="28" s="25" customFormat="1" spans="1:16">
      <c r="A28" s="29" t="s">
        <v>110</v>
      </c>
      <c r="B28" s="29" t="s">
        <v>110</v>
      </c>
      <c r="C28" s="29" t="s">
        <v>35</v>
      </c>
      <c r="D28" s="29" t="s">
        <v>36</v>
      </c>
      <c r="E28" s="29" t="s">
        <v>35</v>
      </c>
      <c r="F28" s="29" t="s">
        <v>35</v>
      </c>
      <c r="G28" s="29" t="s">
        <v>111</v>
      </c>
      <c r="H28" s="29" t="s">
        <v>112</v>
      </c>
      <c r="I28" s="29" t="s">
        <v>39</v>
      </c>
      <c r="J28" s="29" t="s">
        <v>39</v>
      </c>
      <c r="K28" s="29" t="s">
        <v>113</v>
      </c>
      <c r="L28" s="29" t="s">
        <v>40</v>
      </c>
      <c r="M28" s="29" t="s">
        <v>114</v>
      </c>
      <c r="N28" s="29" t="s">
        <v>115</v>
      </c>
      <c r="O28" s="29" t="s">
        <v>59</v>
      </c>
      <c r="P28" s="30" t="s">
        <v>116</v>
      </c>
    </row>
    <row r="29" s="25" customFormat="1" spans="1:16">
      <c r="A29" s="29" t="s">
        <v>113</v>
      </c>
      <c r="B29" s="29" t="s">
        <v>110</v>
      </c>
      <c r="C29" s="29" t="s">
        <v>35</v>
      </c>
      <c r="D29" s="29" t="s">
        <v>36</v>
      </c>
      <c r="E29" s="29" t="s">
        <v>35</v>
      </c>
      <c r="F29" s="29" t="s">
        <v>35</v>
      </c>
      <c r="G29" s="29" t="s">
        <v>111</v>
      </c>
      <c r="H29" s="29" t="s">
        <v>112</v>
      </c>
      <c r="I29" s="29" t="s">
        <v>39</v>
      </c>
      <c r="J29" s="29" t="s">
        <v>35</v>
      </c>
      <c r="K29" s="29" t="s">
        <v>117</v>
      </c>
      <c r="L29" s="29" t="s">
        <v>44</v>
      </c>
      <c r="M29" s="29" t="s">
        <v>114</v>
      </c>
      <c r="N29" s="29" t="s">
        <v>118</v>
      </c>
      <c r="O29" s="29" t="s">
        <v>59</v>
      </c>
      <c r="P29" s="30" t="s">
        <v>119</v>
      </c>
    </row>
    <row r="30" s="25" customFormat="1" spans="1:16">
      <c r="A30" s="29" t="s">
        <v>117</v>
      </c>
      <c r="B30" s="29" t="s">
        <v>110</v>
      </c>
      <c r="C30" s="29" t="s">
        <v>35</v>
      </c>
      <c r="D30" s="29" t="s">
        <v>36</v>
      </c>
      <c r="E30" s="29" t="s">
        <v>35</v>
      </c>
      <c r="F30" s="29" t="s">
        <v>35</v>
      </c>
      <c r="G30" s="29" t="s">
        <v>111</v>
      </c>
      <c r="H30" s="29" t="s">
        <v>112</v>
      </c>
      <c r="I30" s="29" t="s">
        <v>39</v>
      </c>
      <c r="J30" s="29" t="s">
        <v>47</v>
      </c>
      <c r="K30" s="29" t="s">
        <v>120</v>
      </c>
      <c r="L30" s="29" t="s">
        <v>49</v>
      </c>
      <c r="M30" s="29" t="s">
        <v>114</v>
      </c>
      <c r="N30" s="29" t="s">
        <v>118</v>
      </c>
      <c r="O30" s="29" t="s">
        <v>59</v>
      </c>
      <c r="P30" s="30" t="s">
        <v>121</v>
      </c>
    </row>
    <row r="31" s="25" customFormat="1" spans="1:16">
      <c r="A31" s="29" t="s">
        <v>120</v>
      </c>
      <c r="B31" s="29" t="s">
        <v>110</v>
      </c>
      <c r="C31" s="29" t="s">
        <v>35</v>
      </c>
      <c r="D31" s="29" t="s">
        <v>36</v>
      </c>
      <c r="E31" s="29" t="s">
        <v>35</v>
      </c>
      <c r="F31" s="29" t="s">
        <v>35</v>
      </c>
      <c r="G31" s="29" t="s">
        <v>111</v>
      </c>
      <c r="H31" s="29" t="s">
        <v>112</v>
      </c>
      <c r="I31" s="29" t="s">
        <v>39</v>
      </c>
      <c r="J31" s="29" t="s">
        <v>51</v>
      </c>
      <c r="K31" s="29" t="s">
        <v>122</v>
      </c>
      <c r="L31" s="29" t="s">
        <v>53</v>
      </c>
      <c r="M31" s="29" t="s">
        <v>114</v>
      </c>
      <c r="N31" s="29" t="s">
        <v>118</v>
      </c>
      <c r="O31" s="29" t="s">
        <v>59</v>
      </c>
      <c r="P31" s="30" t="s">
        <v>123</v>
      </c>
    </row>
    <row r="32" s="25" customFormat="1" spans="1:16">
      <c r="A32" s="29" t="s">
        <v>122</v>
      </c>
      <c r="B32" s="29" t="s">
        <v>110</v>
      </c>
      <c r="C32" s="29" t="s">
        <v>35</v>
      </c>
      <c r="D32" s="29" t="s">
        <v>36</v>
      </c>
      <c r="E32" s="29" t="s">
        <v>35</v>
      </c>
      <c r="F32" s="29" t="s">
        <v>35</v>
      </c>
      <c r="G32" s="29" t="s">
        <v>111</v>
      </c>
      <c r="H32" s="29" t="s">
        <v>112</v>
      </c>
      <c r="I32" s="29" t="s">
        <v>39</v>
      </c>
      <c r="J32" s="29" t="s">
        <v>55</v>
      </c>
      <c r="K32" s="29" t="s">
        <v>124</v>
      </c>
      <c r="L32" s="29" t="s">
        <v>57</v>
      </c>
      <c r="M32" s="29" t="s">
        <v>114</v>
      </c>
      <c r="N32" s="29" t="s">
        <v>118</v>
      </c>
      <c r="O32" s="29" t="s">
        <v>59</v>
      </c>
      <c r="P32" s="30" t="s">
        <v>125</v>
      </c>
    </row>
    <row r="33" s="25" customFormat="1" spans="1:16">
      <c r="A33" s="29" t="s">
        <v>124</v>
      </c>
      <c r="B33" s="29" t="s">
        <v>110</v>
      </c>
      <c r="C33" s="29" t="s">
        <v>35</v>
      </c>
      <c r="D33" s="29" t="s">
        <v>36</v>
      </c>
      <c r="E33" s="29" t="s">
        <v>35</v>
      </c>
      <c r="F33" s="29" t="s">
        <v>35</v>
      </c>
      <c r="G33" s="29" t="s">
        <v>111</v>
      </c>
      <c r="H33" s="29" t="s">
        <v>112</v>
      </c>
      <c r="I33" s="29" t="s">
        <v>39</v>
      </c>
      <c r="J33" s="29" t="s">
        <v>59</v>
      </c>
      <c r="K33" s="29" t="s">
        <v>126</v>
      </c>
      <c r="L33" s="29" t="s">
        <v>127</v>
      </c>
      <c r="M33" s="29" t="s">
        <v>114</v>
      </c>
      <c r="N33" s="29" t="s">
        <v>118</v>
      </c>
      <c r="O33" s="29" t="s">
        <v>59</v>
      </c>
      <c r="P33" s="30" t="s">
        <v>128</v>
      </c>
    </row>
    <row r="34" s="25" customFormat="1" spans="1:16">
      <c r="A34" s="29" t="s">
        <v>126</v>
      </c>
      <c r="B34" s="29" t="s">
        <v>110</v>
      </c>
      <c r="C34" s="29" t="s">
        <v>35</v>
      </c>
      <c r="D34" s="29" t="s">
        <v>36</v>
      </c>
      <c r="E34" s="29" t="s">
        <v>35</v>
      </c>
      <c r="F34" s="29" t="s">
        <v>35</v>
      </c>
      <c r="G34" s="29" t="s">
        <v>111</v>
      </c>
      <c r="H34" s="29" t="s">
        <v>112</v>
      </c>
      <c r="I34" s="29" t="s">
        <v>39</v>
      </c>
      <c r="J34" s="29" t="s">
        <v>129</v>
      </c>
      <c r="K34" s="29" t="s">
        <v>130</v>
      </c>
      <c r="L34" s="29" t="s">
        <v>131</v>
      </c>
      <c r="M34" s="29" t="s">
        <v>114</v>
      </c>
      <c r="N34" s="29" t="s">
        <v>118</v>
      </c>
      <c r="O34" s="29" t="s">
        <v>59</v>
      </c>
      <c r="P34" s="30" t="s">
        <v>132</v>
      </c>
    </row>
    <row r="35" s="25" customFormat="1" spans="1:16">
      <c r="A35" s="29" t="s">
        <v>130</v>
      </c>
      <c r="B35" s="29" t="s">
        <v>110</v>
      </c>
      <c r="C35" s="29" t="s">
        <v>35</v>
      </c>
      <c r="D35" s="29" t="s">
        <v>36</v>
      </c>
      <c r="E35" s="29" t="s">
        <v>35</v>
      </c>
      <c r="F35" s="29" t="s">
        <v>35</v>
      </c>
      <c r="G35" s="29" t="s">
        <v>111</v>
      </c>
      <c r="H35" s="29" t="s">
        <v>112</v>
      </c>
      <c r="I35" s="29" t="s">
        <v>39</v>
      </c>
      <c r="J35" s="29" t="s">
        <v>133</v>
      </c>
      <c r="K35" s="29" t="s">
        <v>134</v>
      </c>
      <c r="L35" s="29" t="s">
        <v>135</v>
      </c>
      <c r="M35" s="29" t="s">
        <v>114</v>
      </c>
      <c r="N35" s="29" t="s">
        <v>118</v>
      </c>
      <c r="O35" s="29" t="s">
        <v>59</v>
      </c>
      <c r="P35" s="30" t="s">
        <v>136</v>
      </c>
    </row>
    <row r="36" s="25" customFormat="1" spans="1:16">
      <c r="A36" s="29" t="s">
        <v>134</v>
      </c>
      <c r="B36" s="29" t="s">
        <v>110</v>
      </c>
      <c r="C36" s="29" t="s">
        <v>35</v>
      </c>
      <c r="D36" s="29" t="s">
        <v>36</v>
      </c>
      <c r="E36" s="29" t="s">
        <v>35</v>
      </c>
      <c r="F36" s="29" t="s">
        <v>35</v>
      </c>
      <c r="G36" s="29" t="s">
        <v>111</v>
      </c>
      <c r="H36" s="29" t="s">
        <v>112</v>
      </c>
      <c r="I36" s="29" t="s">
        <v>39</v>
      </c>
      <c r="J36" s="29" t="s">
        <v>137</v>
      </c>
      <c r="K36" s="29" t="s">
        <v>138</v>
      </c>
      <c r="L36" s="29" t="s">
        <v>139</v>
      </c>
      <c r="M36" s="29" t="s">
        <v>114</v>
      </c>
      <c r="N36" s="29" t="s">
        <v>118</v>
      </c>
      <c r="O36" s="29" t="s">
        <v>59</v>
      </c>
      <c r="P36" s="30" t="s">
        <v>140</v>
      </c>
    </row>
    <row r="37" s="25" customFormat="1" spans="1:16">
      <c r="A37" s="29" t="s">
        <v>138</v>
      </c>
      <c r="B37" s="29" t="s">
        <v>110</v>
      </c>
      <c r="C37" s="29" t="s">
        <v>35</v>
      </c>
      <c r="D37" s="29" t="s">
        <v>36</v>
      </c>
      <c r="E37" s="29" t="s">
        <v>35</v>
      </c>
      <c r="F37" s="29" t="s">
        <v>35</v>
      </c>
      <c r="G37" s="29" t="s">
        <v>111</v>
      </c>
      <c r="H37" s="29" t="s">
        <v>112</v>
      </c>
      <c r="I37" s="29" t="s">
        <v>39</v>
      </c>
      <c r="J37" s="29" t="s">
        <v>141</v>
      </c>
      <c r="K37" s="29" t="s">
        <v>142</v>
      </c>
      <c r="L37" s="29" t="s">
        <v>143</v>
      </c>
      <c r="M37" s="29" t="s">
        <v>114</v>
      </c>
      <c r="N37" s="29" t="s">
        <v>118</v>
      </c>
      <c r="O37" s="29" t="s">
        <v>59</v>
      </c>
      <c r="P37" s="30" t="s">
        <v>144</v>
      </c>
    </row>
    <row r="38" s="25" customFormat="1" spans="1:16">
      <c r="A38" s="29" t="s">
        <v>142</v>
      </c>
      <c r="B38" s="29" t="s">
        <v>110</v>
      </c>
      <c r="C38" s="29" t="s">
        <v>35</v>
      </c>
      <c r="D38" s="29" t="s">
        <v>36</v>
      </c>
      <c r="E38" s="29" t="s">
        <v>35</v>
      </c>
      <c r="F38" s="29" t="s">
        <v>35</v>
      </c>
      <c r="G38" s="29" t="s">
        <v>111</v>
      </c>
      <c r="H38" s="29" t="s">
        <v>112</v>
      </c>
      <c r="I38" s="29" t="s">
        <v>39</v>
      </c>
      <c r="J38" s="29" t="s">
        <v>145</v>
      </c>
      <c r="K38" s="29" t="s">
        <v>39</v>
      </c>
      <c r="L38" s="29" t="s">
        <v>39</v>
      </c>
      <c r="M38" s="29" t="s">
        <v>39</v>
      </c>
      <c r="N38" s="29" t="s">
        <v>118</v>
      </c>
      <c r="O38" s="29" t="s">
        <v>59</v>
      </c>
      <c r="P38" s="30" t="s">
        <v>146</v>
      </c>
    </row>
    <row r="39" s="25" customFormat="1" spans="1:16">
      <c r="A39" s="29" t="s">
        <v>147</v>
      </c>
      <c r="B39" s="29" t="s">
        <v>147</v>
      </c>
      <c r="C39" s="29" t="s">
        <v>35</v>
      </c>
      <c r="D39" s="29" t="s">
        <v>36</v>
      </c>
      <c r="E39" s="29" t="s">
        <v>35</v>
      </c>
      <c r="F39" s="29" t="s">
        <v>35</v>
      </c>
      <c r="G39" s="29" t="s">
        <v>148</v>
      </c>
      <c r="H39" s="29" t="s">
        <v>149</v>
      </c>
      <c r="I39" s="29" t="s">
        <v>39</v>
      </c>
      <c r="J39" s="29" t="s">
        <v>39</v>
      </c>
      <c r="K39" s="29" t="s">
        <v>150</v>
      </c>
      <c r="L39" s="29" t="s">
        <v>40</v>
      </c>
      <c r="M39" s="29" t="s">
        <v>151</v>
      </c>
      <c r="N39" s="29" t="s">
        <v>152</v>
      </c>
      <c r="O39" s="29" t="s">
        <v>129</v>
      </c>
      <c r="P39" s="30" t="s">
        <v>153</v>
      </c>
    </row>
    <row r="40" s="25" customFormat="1" spans="1:16">
      <c r="A40" s="29" t="s">
        <v>150</v>
      </c>
      <c r="B40" s="29" t="s">
        <v>147</v>
      </c>
      <c r="C40" s="29" t="s">
        <v>35</v>
      </c>
      <c r="D40" s="29" t="s">
        <v>36</v>
      </c>
      <c r="E40" s="29" t="s">
        <v>35</v>
      </c>
      <c r="F40" s="29" t="s">
        <v>35</v>
      </c>
      <c r="G40" s="29" t="s">
        <v>148</v>
      </c>
      <c r="H40" s="29" t="s">
        <v>149</v>
      </c>
      <c r="I40" s="29" t="s">
        <v>39</v>
      </c>
      <c r="J40" s="29" t="s">
        <v>35</v>
      </c>
      <c r="K40" s="29" t="s">
        <v>154</v>
      </c>
      <c r="L40" s="29" t="s">
        <v>44</v>
      </c>
      <c r="M40" s="29" t="s">
        <v>151</v>
      </c>
      <c r="N40" s="29" t="s">
        <v>155</v>
      </c>
      <c r="O40" s="29" t="s">
        <v>129</v>
      </c>
      <c r="P40" s="30" t="s">
        <v>156</v>
      </c>
    </row>
    <row r="41" s="25" customFormat="1" spans="1:16">
      <c r="A41" s="29" t="s">
        <v>154</v>
      </c>
      <c r="B41" s="29" t="s">
        <v>147</v>
      </c>
      <c r="C41" s="29" t="s">
        <v>35</v>
      </c>
      <c r="D41" s="29" t="s">
        <v>36</v>
      </c>
      <c r="E41" s="29" t="s">
        <v>35</v>
      </c>
      <c r="F41" s="29" t="s">
        <v>35</v>
      </c>
      <c r="G41" s="29" t="s">
        <v>148</v>
      </c>
      <c r="H41" s="29" t="s">
        <v>149</v>
      </c>
      <c r="I41" s="29" t="s">
        <v>39</v>
      </c>
      <c r="J41" s="29" t="s">
        <v>47</v>
      </c>
      <c r="K41" s="29" t="s">
        <v>157</v>
      </c>
      <c r="L41" s="29" t="s">
        <v>49</v>
      </c>
      <c r="M41" s="29" t="s">
        <v>151</v>
      </c>
      <c r="N41" s="29" t="s">
        <v>155</v>
      </c>
      <c r="O41" s="29" t="s">
        <v>129</v>
      </c>
      <c r="P41" s="30" t="s">
        <v>158</v>
      </c>
    </row>
    <row r="42" s="25" customFormat="1" spans="1:16">
      <c r="A42" s="29" t="s">
        <v>157</v>
      </c>
      <c r="B42" s="29" t="s">
        <v>147</v>
      </c>
      <c r="C42" s="29" t="s">
        <v>35</v>
      </c>
      <c r="D42" s="29" t="s">
        <v>36</v>
      </c>
      <c r="E42" s="29" t="s">
        <v>35</v>
      </c>
      <c r="F42" s="29" t="s">
        <v>35</v>
      </c>
      <c r="G42" s="29" t="s">
        <v>148</v>
      </c>
      <c r="H42" s="29" t="s">
        <v>149</v>
      </c>
      <c r="I42" s="29" t="s">
        <v>39</v>
      </c>
      <c r="J42" s="29" t="s">
        <v>51</v>
      </c>
      <c r="K42" s="29" t="s">
        <v>159</v>
      </c>
      <c r="L42" s="29" t="s">
        <v>53</v>
      </c>
      <c r="M42" s="29" t="s">
        <v>151</v>
      </c>
      <c r="N42" s="29" t="s">
        <v>155</v>
      </c>
      <c r="O42" s="29" t="s">
        <v>129</v>
      </c>
      <c r="P42" s="30" t="s">
        <v>160</v>
      </c>
    </row>
    <row r="43" s="25" customFormat="1" spans="1:16">
      <c r="A43" s="29" t="s">
        <v>159</v>
      </c>
      <c r="B43" s="29" t="s">
        <v>147</v>
      </c>
      <c r="C43" s="29" t="s">
        <v>35</v>
      </c>
      <c r="D43" s="29" t="s">
        <v>36</v>
      </c>
      <c r="E43" s="29" t="s">
        <v>35</v>
      </c>
      <c r="F43" s="29" t="s">
        <v>35</v>
      </c>
      <c r="G43" s="29" t="s">
        <v>148</v>
      </c>
      <c r="H43" s="29" t="s">
        <v>149</v>
      </c>
      <c r="I43" s="29" t="s">
        <v>39</v>
      </c>
      <c r="J43" s="29" t="s">
        <v>55</v>
      </c>
      <c r="K43" s="29" t="s">
        <v>161</v>
      </c>
      <c r="L43" s="29" t="s">
        <v>57</v>
      </c>
      <c r="M43" s="29" t="s">
        <v>151</v>
      </c>
      <c r="N43" s="29" t="s">
        <v>155</v>
      </c>
      <c r="O43" s="29" t="s">
        <v>129</v>
      </c>
      <c r="P43" s="30" t="s">
        <v>162</v>
      </c>
    </row>
    <row r="44" s="25" customFormat="1" spans="1:16">
      <c r="A44" s="29" t="s">
        <v>161</v>
      </c>
      <c r="B44" s="29" t="s">
        <v>147</v>
      </c>
      <c r="C44" s="29" t="s">
        <v>35</v>
      </c>
      <c r="D44" s="29" t="s">
        <v>36</v>
      </c>
      <c r="E44" s="29" t="s">
        <v>35</v>
      </c>
      <c r="F44" s="29" t="s">
        <v>35</v>
      </c>
      <c r="G44" s="29" t="s">
        <v>148</v>
      </c>
      <c r="H44" s="29" t="s">
        <v>149</v>
      </c>
      <c r="I44" s="29" t="s">
        <v>39</v>
      </c>
      <c r="J44" s="29" t="s">
        <v>59</v>
      </c>
      <c r="K44" s="29" t="s">
        <v>163</v>
      </c>
      <c r="L44" s="29" t="s">
        <v>127</v>
      </c>
      <c r="M44" s="29" t="s">
        <v>151</v>
      </c>
      <c r="N44" s="29" t="s">
        <v>155</v>
      </c>
      <c r="O44" s="29" t="s">
        <v>129</v>
      </c>
      <c r="P44" s="30" t="s">
        <v>164</v>
      </c>
    </row>
    <row r="45" s="25" customFormat="1" spans="1:16">
      <c r="A45" s="29" t="s">
        <v>163</v>
      </c>
      <c r="B45" s="29" t="s">
        <v>147</v>
      </c>
      <c r="C45" s="29" t="s">
        <v>35</v>
      </c>
      <c r="D45" s="29" t="s">
        <v>36</v>
      </c>
      <c r="E45" s="29" t="s">
        <v>35</v>
      </c>
      <c r="F45" s="29" t="s">
        <v>35</v>
      </c>
      <c r="G45" s="29" t="s">
        <v>148</v>
      </c>
      <c r="H45" s="29" t="s">
        <v>149</v>
      </c>
      <c r="I45" s="29" t="s">
        <v>39</v>
      </c>
      <c r="J45" s="29" t="s">
        <v>129</v>
      </c>
      <c r="K45" s="29" t="s">
        <v>165</v>
      </c>
      <c r="L45" s="29" t="s">
        <v>131</v>
      </c>
      <c r="M45" s="29" t="s">
        <v>151</v>
      </c>
      <c r="N45" s="29" t="s">
        <v>155</v>
      </c>
      <c r="O45" s="29" t="s">
        <v>129</v>
      </c>
      <c r="P45" s="30" t="s">
        <v>166</v>
      </c>
    </row>
    <row r="46" s="25" customFormat="1" spans="1:16">
      <c r="A46" s="29" t="s">
        <v>165</v>
      </c>
      <c r="B46" s="29" t="s">
        <v>147</v>
      </c>
      <c r="C46" s="29" t="s">
        <v>35</v>
      </c>
      <c r="D46" s="29" t="s">
        <v>36</v>
      </c>
      <c r="E46" s="29" t="s">
        <v>35</v>
      </c>
      <c r="F46" s="29" t="s">
        <v>35</v>
      </c>
      <c r="G46" s="29" t="s">
        <v>148</v>
      </c>
      <c r="H46" s="29" t="s">
        <v>149</v>
      </c>
      <c r="I46" s="29" t="s">
        <v>39</v>
      </c>
      <c r="J46" s="29" t="s">
        <v>133</v>
      </c>
      <c r="K46" s="29" t="s">
        <v>167</v>
      </c>
      <c r="L46" s="29" t="s">
        <v>135</v>
      </c>
      <c r="M46" s="29" t="s">
        <v>151</v>
      </c>
      <c r="N46" s="29" t="s">
        <v>155</v>
      </c>
      <c r="O46" s="29" t="s">
        <v>129</v>
      </c>
      <c r="P46" s="30" t="s">
        <v>168</v>
      </c>
    </row>
    <row r="47" s="25" customFormat="1" spans="1:16">
      <c r="A47" s="29" t="s">
        <v>167</v>
      </c>
      <c r="B47" s="29" t="s">
        <v>147</v>
      </c>
      <c r="C47" s="29" t="s">
        <v>35</v>
      </c>
      <c r="D47" s="29" t="s">
        <v>36</v>
      </c>
      <c r="E47" s="29" t="s">
        <v>35</v>
      </c>
      <c r="F47" s="29" t="s">
        <v>35</v>
      </c>
      <c r="G47" s="29" t="s">
        <v>148</v>
      </c>
      <c r="H47" s="29" t="s">
        <v>149</v>
      </c>
      <c r="I47" s="29" t="s">
        <v>39</v>
      </c>
      <c r="J47" s="29" t="s">
        <v>137</v>
      </c>
      <c r="K47" s="29" t="s">
        <v>169</v>
      </c>
      <c r="L47" s="29" t="s">
        <v>139</v>
      </c>
      <c r="M47" s="29" t="s">
        <v>151</v>
      </c>
      <c r="N47" s="29" t="s">
        <v>155</v>
      </c>
      <c r="O47" s="29" t="s">
        <v>129</v>
      </c>
      <c r="P47" s="30" t="s">
        <v>170</v>
      </c>
    </row>
    <row r="48" s="25" customFormat="1" spans="1:16">
      <c r="A48" s="29" t="s">
        <v>169</v>
      </c>
      <c r="B48" s="29" t="s">
        <v>147</v>
      </c>
      <c r="C48" s="29" t="s">
        <v>35</v>
      </c>
      <c r="D48" s="29" t="s">
        <v>36</v>
      </c>
      <c r="E48" s="29" t="s">
        <v>35</v>
      </c>
      <c r="F48" s="29" t="s">
        <v>35</v>
      </c>
      <c r="G48" s="29" t="s">
        <v>148</v>
      </c>
      <c r="H48" s="29" t="s">
        <v>149</v>
      </c>
      <c r="I48" s="29" t="s">
        <v>39</v>
      </c>
      <c r="J48" s="29" t="s">
        <v>141</v>
      </c>
      <c r="K48" s="29" t="s">
        <v>171</v>
      </c>
      <c r="L48" s="29" t="s">
        <v>143</v>
      </c>
      <c r="M48" s="29" t="s">
        <v>151</v>
      </c>
      <c r="N48" s="29" t="s">
        <v>155</v>
      </c>
      <c r="O48" s="29" t="s">
        <v>129</v>
      </c>
      <c r="P48" s="30" t="s">
        <v>172</v>
      </c>
    </row>
    <row r="49" s="25" customFormat="1" spans="1:16">
      <c r="A49" s="29" t="s">
        <v>171</v>
      </c>
      <c r="B49" s="29" t="s">
        <v>147</v>
      </c>
      <c r="C49" s="29" t="s">
        <v>35</v>
      </c>
      <c r="D49" s="29" t="s">
        <v>36</v>
      </c>
      <c r="E49" s="29" t="s">
        <v>35</v>
      </c>
      <c r="F49" s="29" t="s">
        <v>35</v>
      </c>
      <c r="G49" s="29" t="s">
        <v>148</v>
      </c>
      <c r="H49" s="29" t="s">
        <v>149</v>
      </c>
      <c r="I49" s="29" t="s">
        <v>39</v>
      </c>
      <c r="J49" s="29" t="s">
        <v>145</v>
      </c>
      <c r="K49" s="29" t="s">
        <v>39</v>
      </c>
      <c r="L49" s="29" t="s">
        <v>39</v>
      </c>
      <c r="M49" s="29" t="s">
        <v>39</v>
      </c>
      <c r="N49" s="29" t="s">
        <v>155</v>
      </c>
      <c r="O49" s="29" t="s">
        <v>129</v>
      </c>
      <c r="P49" s="30" t="s">
        <v>173</v>
      </c>
    </row>
    <row r="50" s="25" customFormat="1" spans="1:16">
      <c r="A50" s="29" t="s">
        <v>174</v>
      </c>
      <c r="B50" s="29" t="s">
        <v>174</v>
      </c>
      <c r="C50" s="29" t="s">
        <v>35</v>
      </c>
      <c r="D50" s="29" t="s">
        <v>36</v>
      </c>
      <c r="E50" s="29" t="s">
        <v>35</v>
      </c>
      <c r="F50" s="29" t="s">
        <v>35</v>
      </c>
      <c r="G50" s="29" t="s">
        <v>175</v>
      </c>
      <c r="H50" s="29" t="s">
        <v>176</v>
      </c>
      <c r="I50" s="29" t="s">
        <v>39</v>
      </c>
      <c r="J50" s="29" t="s">
        <v>39</v>
      </c>
      <c r="K50" s="29" t="s">
        <v>177</v>
      </c>
      <c r="L50" s="29" t="s">
        <v>40</v>
      </c>
      <c r="M50" s="29" t="s">
        <v>178</v>
      </c>
      <c r="N50" s="29" t="s">
        <v>179</v>
      </c>
      <c r="O50" s="29" t="s">
        <v>133</v>
      </c>
      <c r="P50" s="30" t="s">
        <v>180</v>
      </c>
    </row>
    <row r="51" s="25" customFormat="1" spans="1:16">
      <c r="A51" s="29" t="s">
        <v>177</v>
      </c>
      <c r="B51" s="29" t="s">
        <v>174</v>
      </c>
      <c r="C51" s="29" t="s">
        <v>35</v>
      </c>
      <c r="D51" s="29" t="s">
        <v>36</v>
      </c>
      <c r="E51" s="29" t="s">
        <v>35</v>
      </c>
      <c r="F51" s="29" t="s">
        <v>35</v>
      </c>
      <c r="G51" s="29" t="s">
        <v>175</v>
      </c>
      <c r="H51" s="29" t="s">
        <v>176</v>
      </c>
      <c r="I51" s="29" t="s">
        <v>39</v>
      </c>
      <c r="J51" s="29" t="s">
        <v>35</v>
      </c>
      <c r="K51" s="29" t="s">
        <v>181</v>
      </c>
      <c r="L51" s="29" t="s">
        <v>44</v>
      </c>
      <c r="M51" s="29" t="s">
        <v>178</v>
      </c>
      <c r="N51" s="29" t="s">
        <v>182</v>
      </c>
      <c r="O51" s="29" t="s">
        <v>133</v>
      </c>
      <c r="P51" s="30" t="s">
        <v>183</v>
      </c>
    </row>
    <row r="52" s="25" customFormat="1" spans="1:16">
      <c r="A52" s="29" t="s">
        <v>181</v>
      </c>
      <c r="B52" s="29" t="s">
        <v>174</v>
      </c>
      <c r="C52" s="29" t="s">
        <v>35</v>
      </c>
      <c r="D52" s="29" t="s">
        <v>36</v>
      </c>
      <c r="E52" s="29" t="s">
        <v>35</v>
      </c>
      <c r="F52" s="29" t="s">
        <v>35</v>
      </c>
      <c r="G52" s="29" t="s">
        <v>175</v>
      </c>
      <c r="H52" s="29" t="s">
        <v>176</v>
      </c>
      <c r="I52" s="29" t="s">
        <v>39</v>
      </c>
      <c r="J52" s="29" t="s">
        <v>47</v>
      </c>
      <c r="K52" s="29" t="s">
        <v>184</v>
      </c>
      <c r="L52" s="29" t="s">
        <v>49</v>
      </c>
      <c r="M52" s="29" t="s">
        <v>178</v>
      </c>
      <c r="N52" s="29" t="s">
        <v>182</v>
      </c>
      <c r="O52" s="29" t="s">
        <v>133</v>
      </c>
      <c r="P52" s="30" t="s">
        <v>185</v>
      </c>
    </row>
    <row r="53" s="25" customFormat="1" spans="1:16">
      <c r="A53" s="29" t="s">
        <v>184</v>
      </c>
      <c r="B53" s="29" t="s">
        <v>174</v>
      </c>
      <c r="C53" s="29" t="s">
        <v>35</v>
      </c>
      <c r="D53" s="29" t="s">
        <v>36</v>
      </c>
      <c r="E53" s="29" t="s">
        <v>35</v>
      </c>
      <c r="F53" s="29" t="s">
        <v>35</v>
      </c>
      <c r="G53" s="29" t="s">
        <v>175</v>
      </c>
      <c r="H53" s="29" t="s">
        <v>176</v>
      </c>
      <c r="I53" s="29" t="s">
        <v>39</v>
      </c>
      <c r="J53" s="29" t="s">
        <v>51</v>
      </c>
      <c r="K53" s="29" t="s">
        <v>186</v>
      </c>
      <c r="L53" s="29" t="s">
        <v>53</v>
      </c>
      <c r="M53" s="29" t="s">
        <v>178</v>
      </c>
      <c r="N53" s="29" t="s">
        <v>182</v>
      </c>
      <c r="O53" s="29" t="s">
        <v>133</v>
      </c>
      <c r="P53" s="30" t="s">
        <v>187</v>
      </c>
    </row>
    <row r="54" s="25" customFormat="1" spans="1:16">
      <c r="A54" s="29" t="s">
        <v>186</v>
      </c>
      <c r="B54" s="29" t="s">
        <v>174</v>
      </c>
      <c r="C54" s="29" t="s">
        <v>35</v>
      </c>
      <c r="D54" s="29" t="s">
        <v>36</v>
      </c>
      <c r="E54" s="29" t="s">
        <v>35</v>
      </c>
      <c r="F54" s="29" t="s">
        <v>35</v>
      </c>
      <c r="G54" s="29" t="s">
        <v>175</v>
      </c>
      <c r="H54" s="29" t="s">
        <v>176</v>
      </c>
      <c r="I54" s="29" t="s">
        <v>39</v>
      </c>
      <c r="J54" s="29" t="s">
        <v>55</v>
      </c>
      <c r="K54" s="29" t="s">
        <v>188</v>
      </c>
      <c r="L54" s="29" t="s">
        <v>57</v>
      </c>
      <c r="M54" s="29" t="s">
        <v>178</v>
      </c>
      <c r="N54" s="29" t="s">
        <v>182</v>
      </c>
      <c r="O54" s="29" t="s">
        <v>133</v>
      </c>
      <c r="P54" s="30" t="s">
        <v>189</v>
      </c>
    </row>
    <row r="55" s="25" customFormat="1" spans="1:16">
      <c r="A55" s="29" t="s">
        <v>188</v>
      </c>
      <c r="B55" s="29" t="s">
        <v>174</v>
      </c>
      <c r="C55" s="29" t="s">
        <v>35</v>
      </c>
      <c r="D55" s="29" t="s">
        <v>36</v>
      </c>
      <c r="E55" s="29" t="s">
        <v>35</v>
      </c>
      <c r="F55" s="29" t="s">
        <v>35</v>
      </c>
      <c r="G55" s="29" t="s">
        <v>175</v>
      </c>
      <c r="H55" s="29" t="s">
        <v>176</v>
      </c>
      <c r="I55" s="29" t="s">
        <v>39</v>
      </c>
      <c r="J55" s="29" t="s">
        <v>59</v>
      </c>
      <c r="K55" s="29" t="s">
        <v>190</v>
      </c>
      <c r="L55" s="29" t="s">
        <v>127</v>
      </c>
      <c r="M55" s="29" t="s">
        <v>178</v>
      </c>
      <c r="N55" s="29" t="s">
        <v>182</v>
      </c>
      <c r="O55" s="29" t="s">
        <v>133</v>
      </c>
      <c r="P55" s="30" t="s">
        <v>191</v>
      </c>
    </row>
    <row r="56" s="25" customFormat="1" spans="1:16">
      <c r="A56" s="29" t="s">
        <v>190</v>
      </c>
      <c r="B56" s="29" t="s">
        <v>174</v>
      </c>
      <c r="C56" s="29" t="s">
        <v>35</v>
      </c>
      <c r="D56" s="29" t="s">
        <v>36</v>
      </c>
      <c r="E56" s="29" t="s">
        <v>35</v>
      </c>
      <c r="F56" s="29" t="s">
        <v>35</v>
      </c>
      <c r="G56" s="29" t="s">
        <v>175</v>
      </c>
      <c r="H56" s="29" t="s">
        <v>176</v>
      </c>
      <c r="I56" s="29" t="s">
        <v>39</v>
      </c>
      <c r="J56" s="29" t="s">
        <v>129</v>
      </c>
      <c r="K56" s="29" t="s">
        <v>192</v>
      </c>
      <c r="L56" s="29" t="s">
        <v>131</v>
      </c>
      <c r="M56" s="29" t="s">
        <v>178</v>
      </c>
      <c r="N56" s="29" t="s">
        <v>182</v>
      </c>
      <c r="O56" s="29" t="s">
        <v>133</v>
      </c>
      <c r="P56" s="30" t="s">
        <v>193</v>
      </c>
    </row>
    <row r="57" s="25" customFormat="1" spans="1:16">
      <c r="A57" s="29" t="s">
        <v>192</v>
      </c>
      <c r="B57" s="29" t="s">
        <v>174</v>
      </c>
      <c r="C57" s="29" t="s">
        <v>35</v>
      </c>
      <c r="D57" s="29" t="s">
        <v>36</v>
      </c>
      <c r="E57" s="29" t="s">
        <v>35</v>
      </c>
      <c r="F57" s="29" t="s">
        <v>35</v>
      </c>
      <c r="G57" s="29" t="s">
        <v>175</v>
      </c>
      <c r="H57" s="29" t="s">
        <v>176</v>
      </c>
      <c r="I57" s="29" t="s">
        <v>39</v>
      </c>
      <c r="J57" s="29" t="s">
        <v>133</v>
      </c>
      <c r="K57" s="29" t="s">
        <v>194</v>
      </c>
      <c r="L57" s="29" t="s">
        <v>135</v>
      </c>
      <c r="M57" s="29" t="s">
        <v>178</v>
      </c>
      <c r="N57" s="29" t="s">
        <v>182</v>
      </c>
      <c r="O57" s="29" t="s">
        <v>133</v>
      </c>
      <c r="P57" s="30" t="s">
        <v>195</v>
      </c>
    </row>
    <row r="58" s="25" customFormat="1" spans="1:16">
      <c r="A58" s="29" t="s">
        <v>194</v>
      </c>
      <c r="B58" s="29" t="s">
        <v>174</v>
      </c>
      <c r="C58" s="29" t="s">
        <v>35</v>
      </c>
      <c r="D58" s="29" t="s">
        <v>36</v>
      </c>
      <c r="E58" s="29" t="s">
        <v>35</v>
      </c>
      <c r="F58" s="29" t="s">
        <v>35</v>
      </c>
      <c r="G58" s="29" t="s">
        <v>175</v>
      </c>
      <c r="H58" s="29" t="s">
        <v>176</v>
      </c>
      <c r="I58" s="29" t="s">
        <v>39</v>
      </c>
      <c r="J58" s="29" t="s">
        <v>137</v>
      </c>
      <c r="K58" s="29" t="s">
        <v>196</v>
      </c>
      <c r="L58" s="29" t="s">
        <v>139</v>
      </c>
      <c r="M58" s="29" t="s">
        <v>178</v>
      </c>
      <c r="N58" s="29" t="s">
        <v>182</v>
      </c>
      <c r="O58" s="29" t="s">
        <v>133</v>
      </c>
      <c r="P58" s="30" t="s">
        <v>197</v>
      </c>
    </row>
    <row r="59" s="25" customFormat="1" spans="1:16">
      <c r="A59" s="29" t="s">
        <v>196</v>
      </c>
      <c r="B59" s="29" t="s">
        <v>174</v>
      </c>
      <c r="C59" s="29" t="s">
        <v>35</v>
      </c>
      <c r="D59" s="29" t="s">
        <v>36</v>
      </c>
      <c r="E59" s="29" t="s">
        <v>35</v>
      </c>
      <c r="F59" s="29" t="s">
        <v>35</v>
      </c>
      <c r="G59" s="29" t="s">
        <v>175</v>
      </c>
      <c r="H59" s="29" t="s">
        <v>176</v>
      </c>
      <c r="I59" s="29" t="s">
        <v>39</v>
      </c>
      <c r="J59" s="29" t="s">
        <v>141</v>
      </c>
      <c r="K59" s="29" t="s">
        <v>198</v>
      </c>
      <c r="L59" s="29" t="s">
        <v>143</v>
      </c>
      <c r="M59" s="29" t="s">
        <v>178</v>
      </c>
      <c r="N59" s="29" t="s">
        <v>182</v>
      </c>
      <c r="O59" s="29" t="s">
        <v>133</v>
      </c>
      <c r="P59" s="30" t="s">
        <v>199</v>
      </c>
    </row>
    <row r="60" s="25" customFormat="1" spans="1:16">
      <c r="A60" s="29" t="s">
        <v>198</v>
      </c>
      <c r="B60" s="29" t="s">
        <v>174</v>
      </c>
      <c r="C60" s="29" t="s">
        <v>35</v>
      </c>
      <c r="D60" s="29" t="s">
        <v>36</v>
      </c>
      <c r="E60" s="29" t="s">
        <v>35</v>
      </c>
      <c r="F60" s="29" t="s">
        <v>35</v>
      </c>
      <c r="G60" s="29" t="s">
        <v>175</v>
      </c>
      <c r="H60" s="29" t="s">
        <v>176</v>
      </c>
      <c r="I60" s="29" t="s">
        <v>39</v>
      </c>
      <c r="J60" s="29" t="s">
        <v>145</v>
      </c>
      <c r="K60" s="29" t="s">
        <v>39</v>
      </c>
      <c r="L60" s="29" t="s">
        <v>39</v>
      </c>
      <c r="M60" s="29" t="s">
        <v>39</v>
      </c>
      <c r="N60" s="29" t="s">
        <v>182</v>
      </c>
      <c r="O60" s="29" t="s">
        <v>133</v>
      </c>
      <c r="P60" s="30" t="s">
        <v>200</v>
      </c>
    </row>
    <row r="61" s="25" customFormat="1" spans="1:16">
      <c r="A61" s="29" t="s">
        <v>201</v>
      </c>
      <c r="B61" s="29" t="s">
        <v>201</v>
      </c>
      <c r="C61" s="29" t="s">
        <v>35</v>
      </c>
      <c r="D61" s="29" t="s">
        <v>36</v>
      </c>
      <c r="E61" s="29" t="s">
        <v>47</v>
      </c>
      <c r="F61" s="29" t="s">
        <v>35</v>
      </c>
      <c r="G61" s="29" t="s">
        <v>202</v>
      </c>
      <c r="H61" s="29" t="s">
        <v>203</v>
      </c>
      <c r="I61" s="29" t="s">
        <v>204</v>
      </c>
      <c r="J61" s="29" t="s">
        <v>39</v>
      </c>
      <c r="K61" s="29" t="s">
        <v>205</v>
      </c>
      <c r="L61" s="29" t="s">
        <v>206</v>
      </c>
      <c r="M61" s="29" t="s">
        <v>207</v>
      </c>
      <c r="N61" s="29" t="s">
        <v>208</v>
      </c>
      <c r="O61" s="29" t="s">
        <v>137</v>
      </c>
      <c r="P61" s="30" t="s">
        <v>209</v>
      </c>
    </row>
    <row r="62" s="25" customFormat="1" spans="1:16">
      <c r="A62" s="29" t="s">
        <v>205</v>
      </c>
      <c r="B62" s="29" t="s">
        <v>201</v>
      </c>
      <c r="C62" s="29" t="s">
        <v>35</v>
      </c>
      <c r="D62" s="29" t="s">
        <v>36</v>
      </c>
      <c r="E62" s="29" t="s">
        <v>47</v>
      </c>
      <c r="F62" s="29" t="s">
        <v>35</v>
      </c>
      <c r="G62" s="29" t="s">
        <v>202</v>
      </c>
      <c r="H62" s="29" t="s">
        <v>203</v>
      </c>
      <c r="I62" s="29" t="s">
        <v>204</v>
      </c>
      <c r="J62" s="29" t="s">
        <v>35</v>
      </c>
      <c r="K62" s="29" t="s">
        <v>210</v>
      </c>
      <c r="L62" s="29" t="s">
        <v>211</v>
      </c>
      <c r="M62" s="29" t="s">
        <v>207</v>
      </c>
      <c r="N62" s="29" t="s">
        <v>212</v>
      </c>
      <c r="O62" s="29" t="s">
        <v>137</v>
      </c>
      <c r="P62" s="30" t="s">
        <v>213</v>
      </c>
    </row>
    <row r="63" s="25" customFormat="1" spans="1:16">
      <c r="A63" s="29" t="s">
        <v>210</v>
      </c>
      <c r="B63" s="29" t="s">
        <v>201</v>
      </c>
      <c r="C63" s="29" t="s">
        <v>35</v>
      </c>
      <c r="D63" s="29" t="s">
        <v>36</v>
      </c>
      <c r="E63" s="29" t="s">
        <v>47</v>
      </c>
      <c r="F63" s="29" t="s">
        <v>35</v>
      </c>
      <c r="G63" s="29" t="s">
        <v>202</v>
      </c>
      <c r="H63" s="29" t="s">
        <v>203</v>
      </c>
      <c r="I63" s="29" t="s">
        <v>204</v>
      </c>
      <c r="J63" s="29" t="s">
        <v>47</v>
      </c>
      <c r="K63" s="29" t="s">
        <v>214</v>
      </c>
      <c r="L63" s="29" t="s">
        <v>215</v>
      </c>
      <c r="M63" s="29" t="s">
        <v>207</v>
      </c>
      <c r="N63" s="29" t="s">
        <v>212</v>
      </c>
      <c r="O63" s="29" t="s">
        <v>137</v>
      </c>
      <c r="P63" s="30" t="s">
        <v>216</v>
      </c>
    </row>
    <row r="64" s="25" customFormat="1" spans="1:16">
      <c r="A64" s="29" t="s">
        <v>214</v>
      </c>
      <c r="B64" s="29" t="s">
        <v>201</v>
      </c>
      <c r="C64" s="29" t="s">
        <v>35</v>
      </c>
      <c r="D64" s="29" t="s">
        <v>36</v>
      </c>
      <c r="E64" s="29" t="s">
        <v>47</v>
      </c>
      <c r="F64" s="29" t="s">
        <v>35</v>
      </c>
      <c r="G64" s="29" t="s">
        <v>202</v>
      </c>
      <c r="H64" s="29" t="s">
        <v>203</v>
      </c>
      <c r="I64" s="29" t="s">
        <v>204</v>
      </c>
      <c r="J64" s="29" t="s">
        <v>51</v>
      </c>
      <c r="K64" s="29" t="s">
        <v>217</v>
      </c>
      <c r="L64" s="29" t="s">
        <v>218</v>
      </c>
      <c r="M64" s="29" t="s">
        <v>207</v>
      </c>
      <c r="N64" s="29" t="s">
        <v>212</v>
      </c>
      <c r="O64" s="29" t="s">
        <v>137</v>
      </c>
      <c r="P64" s="30" t="s">
        <v>219</v>
      </c>
    </row>
    <row r="65" s="25" customFormat="1" spans="1:16">
      <c r="A65" s="29" t="s">
        <v>217</v>
      </c>
      <c r="B65" s="29" t="s">
        <v>201</v>
      </c>
      <c r="C65" s="29" t="s">
        <v>35</v>
      </c>
      <c r="D65" s="29" t="s">
        <v>36</v>
      </c>
      <c r="E65" s="29" t="s">
        <v>47</v>
      </c>
      <c r="F65" s="29" t="s">
        <v>35</v>
      </c>
      <c r="G65" s="29" t="s">
        <v>202</v>
      </c>
      <c r="H65" s="29" t="s">
        <v>203</v>
      </c>
      <c r="I65" s="29" t="s">
        <v>204</v>
      </c>
      <c r="J65" s="29" t="s">
        <v>55</v>
      </c>
      <c r="K65" s="29" t="s">
        <v>220</v>
      </c>
      <c r="L65" s="29" t="s">
        <v>221</v>
      </c>
      <c r="M65" s="29" t="s">
        <v>207</v>
      </c>
      <c r="N65" s="29" t="s">
        <v>212</v>
      </c>
      <c r="O65" s="29" t="s">
        <v>137</v>
      </c>
      <c r="P65" s="30" t="s">
        <v>222</v>
      </c>
    </row>
    <row r="66" s="25" customFormat="1" spans="1:16">
      <c r="A66" s="29" t="s">
        <v>220</v>
      </c>
      <c r="B66" s="29" t="s">
        <v>201</v>
      </c>
      <c r="C66" s="29" t="s">
        <v>35</v>
      </c>
      <c r="D66" s="29" t="s">
        <v>36</v>
      </c>
      <c r="E66" s="29" t="s">
        <v>47</v>
      </c>
      <c r="F66" s="29" t="s">
        <v>35</v>
      </c>
      <c r="G66" s="29" t="s">
        <v>202</v>
      </c>
      <c r="H66" s="29" t="s">
        <v>203</v>
      </c>
      <c r="I66" s="29" t="s">
        <v>204</v>
      </c>
      <c r="J66" s="29" t="s">
        <v>59</v>
      </c>
      <c r="K66" s="29" t="s">
        <v>223</v>
      </c>
      <c r="L66" s="29" t="s">
        <v>224</v>
      </c>
      <c r="M66" s="29" t="s">
        <v>207</v>
      </c>
      <c r="N66" s="29" t="s">
        <v>212</v>
      </c>
      <c r="O66" s="29" t="s">
        <v>137</v>
      </c>
      <c r="P66" s="30" t="s">
        <v>225</v>
      </c>
    </row>
    <row r="67" s="25" customFormat="1" spans="1:16">
      <c r="A67" s="29" t="s">
        <v>223</v>
      </c>
      <c r="B67" s="29" t="s">
        <v>201</v>
      </c>
      <c r="C67" s="29" t="s">
        <v>35</v>
      </c>
      <c r="D67" s="29" t="s">
        <v>36</v>
      </c>
      <c r="E67" s="29" t="s">
        <v>47</v>
      </c>
      <c r="F67" s="29" t="s">
        <v>35</v>
      </c>
      <c r="G67" s="29" t="s">
        <v>202</v>
      </c>
      <c r="H67" s="29" t="s">
        <v>203</v>
      </c>
      <c r="I67" s="29" t="s">
        <v>204</v>
      </c>
      <c r="J67" s="29" t="s">
        <v>129</v>
      </c>
      <c r="K67" s="29" t="s">
        <v>226</v>
      </c>
      <c r="L67" s="29" t="s">
        <v>227</v>
      </c>
      <c r="M67" s="29" t="s">
        <v>207</v>
      </c>
      <c r="N67" s="29" t="s">
        <v>212</v>
      </c>
      <c r="O67" s="29" t="s">
        <v>137</v>
      </c>
      <c r="P67" s="30" t="s">
        <v>228</v>
      </c>
    </row>
    <row r="68" s="25" customFormat="1" spans="1:16">
      <c r="A68" s="29" t="s">
        <v>226</v>
      </c>
      <c r="B68" s="29" t="s">
        <v>201</v>
      </c>
      <c r="C68" s="29" t="s">
        <v>35</v>
      </c>
      <c r="D68" s="29" t="s">
        <v>36</v>
      </c>
      <c r="E68" s="29" t="s">
        <v>47</v>
      </c>
      <c r="F68" s="29" t="s">
        <v>35</v>
      </c>
      <c r="G68" s="29" t="s">
        <v>202</v>
      </c>
      <c r="H68" s="29" t="s">
        <v>203</v>
      </c>
      <c r="I68" s="29" t="s">
        <v>204</v>
      </c>
      <c r="J68" s="29" t="s">
        <v>133</v>
      </c>
      <c r="K68" s="29" t="s">
        <v>229</v>
      </c>
      <c r="L68" s="29" t="s">
        <v>230</v>
      </c>
      <c r="M68" s="29" t="s">
        <v>207</v>
      </c>
      <c r="N68" s="29" t="s">
        <v>212</v>
      </c>
      <c r="O68" s="29" t="s">
        <v>137</v>
      </c>
      <c r="P68" s="30" t="s">
        <v>231</v>
      </c>
    </row>
    <row r="69" s="25" customFormat="1" spans="1:16">
      <c r="A69" s="29" t="s">
        <v>229</v>
      </c>
      <c r="B69" s="29" t="s">
        <v>201</v>
      </c>
      <c r="C69" s="29" t="s">
        <v>35</v>
      </c>
      <c r="D69" s="29" t="s">
        <v>36</v>
      </c>
      <c r="E69" s="29" t="s">
        <v>47</v>
      </c>
      <c r="F69" s="29" t="s">
        <v>35</v>
      </c>
      <c r="G69" s="29" t="s">
        <v>202</v>
      </c>
      <c r="H69" s="29" t="s">
        <v>203</v>
      </c>
      <c r="I69" s="29" t="s">
        <v>204</v>
      </c>
      <c r="J69" s="29" t="s">
        <v>137</v>
      </c>
      <c r="K69" s="29" t="s">
        <v>232</v>
      </c>
      <c r="L69" s="29" t="s">
        <v>233</v>
      </c>
      <c r="M69" s="29" t="s">
        <v>207</v>
      </c>
      <c r="N69" s="29" t="s">
        <v>212</v>
      </c>
      <c r="O69" s="29" t="s">
        <v>137</v>
      </c>
      <c r="P69" s="30" t="s">
        <v>234</v>
      </c>
    </row>
    <row r="70" s="25" customFormat="1" spans="1:16">
      <c r="A70" s="29" t="s">
        <v>232</v>
      </c>
      <c r="B70" s="29" t="s">
        <v>201</v>
      </c>
      <c r="C70" s="29" t="s">
        <v>35</v>
      </c>
      <c r="D70" s="29" t="s">
        <v>36</v>
      </c>
      <c r="E70" s="29" t="s">
        <v>47</v>
      </c>
      <c r="F70" s="29" t="s">
        <v>35</v>
      </c>
      <c r="G70" s="29" t="s">
        <v>202</v>
      </c>
      <c r="H70" s="29" t="s">
        <v>203</v>
      </c>
      <c r="I70" s="29" t="s">
        <v>204</v>
      </c>
      <c r="J70" s="29" t="s">
        <v>141</v>
      </c>
      <c r="K70" s="29" t="s">
        <v>235</v>
      </c>
      <c r="L70" s="29" t="s">
        <v>236</v>
      </c>
      <c r="M70" s="29" t="s">
        <v>207</v>
      </c>
      <c r="N70" s="29" t="s">
        <v>212</v>
      </c>
      <c r="O70" s="29" t="s">
        <v>137</v>
      </c>
      <c r="P70" s="30" t="s">
        <v>237</v>
      </c>
    </row>
    <row r="71" s="25" customFormat="1" spans="1:16">
      <c r="A71" s="29" t="s">
        <v>235</v>
      </c>
      <c r="B71" s="29" t="s">
        <v>201</v>
      </c>
      <c r="C71" s="29" t="s">
        <v>35</v>
      </c>
      <c r="D71" s="29" t="s">
        <v>36</v>
      </c>
      <c r="E71" s="29" t="s">
        <v>47</v>
      </c>
      <c r="F71" s="29" t="s">
        <v>35</v>
      </c>
      <c r="G71" s="29" t="s">
        <v>202</v>
      </c>
      <c r="H71" s="29" t="s">
        <v>203</v>
      </c>
      <c r="I71" s="29" t="s">
        <v>204</v>
      </c>
      <c r="J71" s="29" t="s">
        <v>145</v>
      </c>
      <c r="K71" s="29" t="s">
        <v>39</v>
      </c>
      <c r="L71" s="29" t="s">
        <v>238</v>
      </c>
      <c r="M71" s="29" t="s">
        <v>207</v>
      </c>
      <c r="N71" s="29" t="s">
        <v>212</v>
      </c>
      <c r="O71" s="29" t="s">
        <v>137</v>
      </c>
      <c r="P71" s="30" t="s">
        <v>239</v>
      </c>
    </row>
    <row r="72" s="25" customFormat="1" spans="1:16">
      <c r="A72" s="29" t="s">
        <v>240</v>
      </c>
      <c r="B72" s="29" t="s">
        <v>240</v>
      </c>
      <c r="C72" s="29" t="s">
        <v>35</v>
      </c>
      <c r="D72" s="29" t="s">
        <v>36</v>
      </c>
      <c r="E72" s="29" t="s">
        <v>47</v>
      </c>
      <c r="F72" s="29" t="s">
        <v>35</v>
      </c>
      <c r="G72" s="29" t="s">
        <v>241</v>
      </c>
      <c r="H72" s="29" t="s">
        <v>242</v>
      </c>
      <c r="I72" s="29" t="s">
        <v>204</v>
      </c>
      <c r="J72" s="29" t="s">
        <v>39</v>
      </c>
      <c r="K72" s="29" t="s">
        <v>243</v>
      </c>
      <c r="L72" s="29" t="s">
        <v>206</v>
      </c>
      <c r="M72" s="29" t="s">
        <v>244</v>
      </c>
      <c r="N72" s="29" t="s">
        <v>245</v>
      </c>
      <c r="O72" s="29" t="s">
        <v>141</v>
      </c>
      <c r="P72" s="30" t="s">
        <v>246</v>
      </c>
    </row>
    <row r="73" s="25" customFormat="1" spans="1:16">
      <c r="A73" s="29" t="s">
        <v>243</v>
      </c>
      <c r="B73" s="29" t="s">
        <v>240</v>
      </c>
      <c r="C73" s="29" t="s">
        <v>35</v>
      </c>
      <c r="D73" s="29" t="s">
        <v>36</v>
      </c>
      <c r="E73" s="29" t="s">
        <v>47</v>
      </c>
      <c r="F73" s="29" t="s">
        <v>35</v>
      </c>
      <c r="G73" s="29" t="s">
        <v>241</v>
      </c>
      <c r="H73" s="29" t="s">
        <v>242</v>
      </c>
      <c r="I73" s="29" t="s">
        <v>204</v>
      </c>
      <c r="J73" s="29" t="s">
        <v>35</v>
      </c>
      <c r="K73" s="29" t="s">
        <v>247</v>
      </c>
      <c r="L73" s="29" t="s">
        <v>211</v>
      </c>
      <c r="M73" s="29" t="s">
        <v>244</v>
      </c>
      <c r="N73" s="29" t="s">
        <v>248</v>
      </c>
      <c r="O73" s="29" t="s">
        <v>141</v>
      </c>
      <c r="P73" s="30" t="s">
        <v>249</v>
      </c>
    </row>
    <row r="74" s="25" customFormat="1" spans="1:16">
      <c r="A74" s="29" t="s">
        <v>247</v>
      </c>
      <c r="B74" s="29" t="s">
        <v>240</v>
      </c>
      <c r="C74" s="29" t="s">
        <v>35</v>
      </c>
      <c r="D74" s="29" t="s">
        <v>36</v>
      </c>
      <c r="E74" s="29" t="s">
        <v>47</v>
      </c>
      <c r="F74" s="29" t="s">
        <v>35</v>
      </c>
      <c r="G74" s="29" t="s">
        <v>241</v>
      </c>
      <c r="H74" s="29" t="s">
        <v>242</v>
      </c>
      <c r="I74" s="29" t="s">
        <v>204</v>
      </c>
      <c r="J74" s="29" t="s">
        <v>47</v>
      </c>
      <c r="K74" s="29" t="s">
        <v>250</v>
      </c>
      <c r="L74" s="29" t="s">
        <v>215</v>
      </c>
      <c r="M74" s="29" t="s">
        <v>244</v>
      </c>
      <c r="N74" s="29" t="s">
        <v>248</v>
      </c>
      <c r="O74" s="29" t="s">
        <v>141</v>
      </c>
      <c r="P74" s="30" t="s">
        <v>251</v>
      </c>
    </row>
    <row r="75" s="25" customFormat="1" spans="1:16">
      <c r="A75" s="29" t="s">
        <v>250</v>
      </c>
      <c r="B75" s="29" t="s">
        <v>240</v>
      </c>
      <c r="C75" s="29" t="s">
        <v>35</v>
      </c>
      <c r="D75" s="29" t="s">
        <v>36</v>
      </c>
      <c r="E75" s="29" t="s">
        <v>47</v>
      </c>
      <c r="F75" s="29" t="s">
        <v>35</v>
      </c>
      <c r="G75" s="29" t="s">
        <v>241</v>
      </c>
      <c r="H75" s="29" t="s">
        <v>242</v>
      </c>
      <c r="I75" s="29" t="s">
        <v>204</v>
      </c>
      <c r="J75" s="29" t="s">
        <v>51</v>
      </c>
      <c r="K75" s="29" t="s">
        <v>252</v>
      </c>
      <c r="L75" s="29" t="s">
        <v>218</v>
      </c>
      <c r="M75" s="29" t="s">
        <v>244</v>
      </c>
      <c r="N75" s="29" t="s">
        <v>248</v>
      </c>
      <c r="O75" s="29" t="s">
        <v>141</v>
      </c>
      <c r="P75" s="30" t="s">
        <v>253</v>
      </c>
    </row>
    <row r="76" s="25" customFormat="1" spans="1:16">
      <c r="A76" s="29" t="s">
        <v>252</v>
      </c>
      <c r="B76" s="29" t="s">
        <v>240</v>
      </c>
      <c r="C76" s="29" t="s">
        <v>35</v>
      </c>
      <c r="D76" s="29" t="s">
        <v>36</v>
      </c>
      <c r="E76" s="29" t="s">
        <v>47</v>
      </c>
      <c r="F76" s="29" t="s">
        <v>35</v>
      </c>
      <c r="G76" s="29" t="s">
        <v>241</v>
      </c>
      <c r="H76" s="29" t="s">
        <v>242</v>
      </c>
      <c r="I76" s="29" t="s">
        <v>204</v>
      </c>
      <c r="J76" s="29" t="s">
        <v>55</v>
      </c>
      <c r="K76" s="29" t="s">
        <v>254</v>
      </c>
      <c r="L76" s="29" t="s">
        <v>221</v>
      </c>
      <c r="M76" s="29" t="s">
        <v>244</v>
      </c>
      <c r="N76" s="29" t="s">
        <v>248</v>
      </c>
      <c r="O76" s="29" t="s">
        <v>141</v>
      </c>
      <c r="P76" s="30" t="s">
        <v>255</v>
      </c>
    </row>
    <row r="77" s="25" customFormat="1" spans="1:16">
      <c r="A77" s="29" t="s">
        <v>254</v>
      </c>
      <c r="B77" s="29" t="s">
        <v>240</v>
      </c>
      <c r="C77" s="29" t="s">
        <v>35</v>
      </c>
      <c r="D77" s="29" t="s">
        <v>36</v>
      </c>
      <c r="E77" s="29" t="s">
        <v>47</v>
      </c>
      <c r="F77" s="29" t="s">
        <v>35</v>
      </c>
      <c r="G77" s="29" t="s">
        <v>241</v>
      </c>
      <c r="H77" s="29" t="s">
        <v>242</v>
      </c>
      <c r="I77" s="29" t="s">
        <v>204</v>
      </c>
      <c r="J77" s="29" t="s">
        <v>59</v>
      </c>
      <c r="K77" s="29" t="s">
        <v>256</v>
      </c>
      <c r="L77" s="29" t="s">
        <v>224</v>
      </c>
      <c r="M77" s="29" t="s">
        <v>244</v>
      </c>
      <c r="N77" s="29" t="s">
        <v>248</v>
      </c>
      <c r="O77" s="29" t="s">
        <v>141</v>
      </c>
      <c r="P77" s="30" t="s">
        <v>257</v>
      </c>
    </row>
    <row r="78" s="25" customFormat="1" spans="1:16">
      <c r="A78" s="29" t="s">
        <v>256</v>
      </c>
      <c r="B78" s="29" t="s">
        <v>240</v>
      </c>
      <c r="C78" s="29" t="s">
        <v>35</v>
      </c>
      <c r="D78" s="29" t="s">
        <v>36</v>
      </c>
      <c r="E78" s="29" t="s">
        <v>47</v>
      </c>
      <c r="F78" s="29" t="s">
        <v>35</v>
      </c>
      <c r="G78" s="29" t="s">
        <v>241</v>
      </c>
      <c r="H78" s="29" t="s">
        <v>242</v>
      </c>
      <c r="I78" s="29" t="s">
        <v>204</v>
      </c>
      <c r="J78" s="29" t="s">
        <v>129</v>
      </c>
      <c r="K78" s="29" t="s">
        <v>258</v>
      </c>
      <c r="L78" s="29" t="s">
        <v>227</v>
      </c>
      <c r="M78" s="29" t="s">
        <v>244</v>
      </c>
      <c r="N78" s="29" t="s">
        <v>248</v>
      </c>
      <c r="O78" s="29" t="s">
        <v>141</v>
      </c>
      <c r="P78" s="30" t="s">
        <v>259</v>
      </c>
    </row>
    <row r="79" s="25" customFormat="1" spans="1:16">
      <c r="A79" s="29" t="s">
        <v>258</v>
      </c>
      <c r="B79" s="29" t="s">
        <v>240</v>
      </c>
      <c r="C79" s="29" t="s">
        <v>35</v>
      </c>
      <c r="D79" s="29" t="s">
        <v>36</v>
      </c>
      <c r="E79" s="29" t="s">
        <v>47</v>
      </c>
      <c r="F79" s="29" t="s">
        <v>35</v>
      </c>
      <c r="G79" s="29" t="s">
        <v>241</v>
      </c>
      <c r="H79" s="29" t="s">
        <v>242</v>
      </c>
      <c r="I79" s="29" t="s">
        <v>204</v>
      </c>
      <c r="J79" s="29" t="s">
        <v>133</v>
      </c>
      <c r="K79" s="29" t="s">
        <v>260</v>
      </c>
      <c r="L79" s="29" t="s">
        <v>230</v>
      </c>
      <c r="M79" s="29" t="s">
        <v>244</v>
      </c>
      <c r="N79" s="29" t="s">
        <v>248</v>
      </c>
      <c r="O79" s="29" t="s">
        <v>141</v>
      </c>
      <c r="P79" s="30" t="s">
        <v>261</v>
      </c>
    </row>
    <row r="80" s="25" customFormat="1" spans="1:16">
      <c r="A80" s="29" t="s">
        <v>260</v>
      </c>
      <c r="B80" s="29" t="s">
        <v>240</v>
      </c>
      <c r="C80" s="29" t="s">
        <v>35</v>
      </c>
      <c r="D80" s="29" t="s">
        <v>36</v>
      </c>
      <c r="E80" s="29" t="s">
        <v>47</v>
      </c>
      <c r="F80" s="29" t="s">
        <v>35</v>
      </c>
      <c r="G80" s="29" t="s">
        <v>241</v>
      </c>
      <c r="H80" s="29" t="s">
        <v>242</v>
      </c>
      <c r="I80" s="29" t="s">
        <v>204</v>
      </c>
      <c r="J80" s="29" t="s">
        <v>137</v>
      </c>
      <c r="K80" s="29" t="s">
        <v>262</v>
      </c>
      <c r="L80" s="29" t="s">
        <v>233</v>
      </c>
      <c r="M80" s="29" t="s">
        <v>244</v>
      </c>
      <c r="N80" s="29" t="s">
        <v>248</v>
      </c>
      <c r="O80" s="29" t="s">
        <v>141</v>
      </c>
      <c r="P80" s="30" t="s">
        <v>263</v>
      </c>
    </row>
    <row r="81" s="25" customFormat="1" spans="1:16">
      <c r="A81" s="29" t="s">
        <v>262</v>
      </c>
      <c r="B81" s="29" t="s">
        <v>240</v>
      </c>
      <c r="C81" s="29" t="s">
        <v>35</v>
      </c>
      <c r="D81" s="29" t="s">
        <v>36</v>
      </c>
      <c r="E81" s="29" t="s">
        <v>47</v>
      </c>
      <c r="F81" s="29" t="s">
        <v>35</v>
      </c>
      <c r="G81" s="29" t="s">
        <v>241</v>
      </c>
      <c r="H81" s="29" t="s">
        <v>242</v>
      </c>
      <c r="I81" s="29" t="s">
        <v>204</v>
      </c>
      <c r="J81" s="29" t="s">
        <v>141</v>
      </c>
      <c r="K81" s="29" t="s">
        <v>264</v>
      </c>
      <c r="L81" s="29" t="s">
        <v>236</v>
      </c>
      <c r="M81" s="29" t="s">
        <v>244</v>
      </c>
      <c r="N81" s="29" t="s">
        <v>248</v>
      </c>
      <c r="O81" s="29" t="s">
        <v>141</v>
      </c>
      <c r="P81" s="30" t="s">
        <v>265</v>
      </c>
    </row>
    <row r="82" s="25" customFormat="1" spans="1:16">
      <c r="A82" s="29" t="s">
        <v>264</v>
      </c>
      <c r="B82" s="29" t="s">
        <v>240</v>
      </c>
      <c r="C82" s="29" t="s">
        <v>35</v>
      </c>
      <c r="D82" s="29" t="s">
        <v>36</v>
      </c>
      <c r="E82" s="29" t="s">
        <v>47</v>
      </c>
      <c r="F82" s="29" t="s">
        <v>35</v>
      </c>
      <c r="G82" s="29" t="s">
        <v>241</v>
      </c>
      <c r="H82" s="29" t="s">
        <v>242</v>
      </c>
      <c r="I82" s="29" t="s">
        <v>204</v>
      </c>
      <c r="J82" s="29" t="s">
        <v>145</v>
      </c>
      <c r="K82" s="29" t="s">
        <v>39</v>
      </c>
      <c r="L82" s="29" t="s">
        <v>238</v>
      </c>
      <c r="M82" s="29" t="s">
        <v>244</v>
      </c>
      <c r="N82" s="29" t="s">
        <v>248</v>
      </c>
      <c r="O82" s="29" t="s">
        <v>141</v>
      </c>
      <c r="P82" s="30" t="s">
        <v>266</v>
      </c>
    </row>
    <row r="83" s="25" customFormat="1" spans="1:16">
      <c r="A83" s="29" t="s">
        <v>267</v>
      </c>
      <c r="B83" s="29" t="s">
        <v>267</v>
      </c>
      <c r="C83" s="29" t="s">
        <v>35</v>
      </c>
      <c r="D83" s="29" t="s">
        <v>36</v>
      </c>
      <c r="E83" s="29" t="s">
        <v>47</v>
      </c>
      <c r="F83" s="29" t="s">
        <v>35</v>
      </c>
      <c r="G83" s="29" t="s">
        <v>268</v>
      </c>
      <c r="H83" s="29" t="s">
        <v>269</v>
      </c>
      <c r="I83" s="29" t="s">
        <v>204</v>
      </c>
      <c r="J83" s="29" t="s">
        <v>39</v>
      </c>
      <c r="K83" s="29" t="s">
        <v>270</v>
      </c>
      <c r="L83" s="29" t="s">
        <v>206</v>
      </c>
      <c r="M83" s="29" t="s">
        <v>271</v>
      </c>
      <c r="N83" s="29" t="s">
        <v>272</v>
      </c>
      <c r="O83" s="29" t="s">
        <v>145</v>
      </c>
      <c r="P83" s="30" t="s">
        <v>273</v>
      </c>
    </row>
    <row r="84" s="25" customFormat="1" spans="1:16">
      <c r="A84" s="29" t="s">
        <v>270</v>
      </c>
      <c r="B84" s="29" t="s">
        <v>267</v>
      </c>
      <c r="C84" s="29" t="s">
        <v>35</v>
      </c>
      <c r="D84" s="29" t="s">
        <v>36</v>
      </c>
      <c r="E84" s="29" t="s">
        <v>47</v>
      </c>
      <c r="F84" s="29" t="s">
        <v>35</v>
      </c>
      <c r="G84" s="29" t="s">
        <v>268</v>
      </c>
      <c r="H84" s="29" t="s">
        <v>269</v>
      </c>
      <c r="I84" s="29" t="s">
        <v>204</v>
      </c>
      <c r="J84" s="29" t="s">
        <v>35</v>
      </c>
      <c r="K84" s="29" t="s">
        <v>274</v>
      </c>
      <c r="L84" s="29" t="s">
        <v>211</v>
      </c>
      <c r="M84" s="29" t="s">
        <v>271</v>
      </c>
      <c r="N84" s="29" t="s">
        <v>275</v>
      </c>
      <c r="O84" s="29" t="s">
        <v>145</v>
      </c>
      <c r="P84" s="30" t="s">
        <v>276</v>
      </c>
    </row>
    <row r="85" s="25" customFormat="1" spans="1:16">
      <c r="A85" s="29" t="s">
        <v>274</v>
      </c>
      <c r="B85" s="29" t="s">
        <v>267</v>
      </c>
      <c r="C85" s="29" t="s">
        <v>35</v>
      </c>
      <c r="D85" s="29" t="s">
        <v>36</v>
      </c>
      <c r="E85" s="29" t="s">
        <v>47</v>
      </c>
      <c r="F85" s="29" t="s">
        <v>35</v>
      </c>
      <c r="G85" s="29" t="s">
        <v>268</v>
      </c>
      <c r="H85" s="29" t="s">
        <v>269</v>
      </c>
      <c r="I85" s="29" t="s">
        <v>204</v>
      </c>
      <c r="J85" s="29" t="s">
        <v>47</v>
      </c>
      <c r="K85" s="29" t="s">
        <v>277</v>
      </c>
      <c r="L85" s="29" t="s">
        <v>215</v>
      </c>
      <c r="M85" s="29" t="s">
        <v>271</v>
      </c>
      <c r="N85" s="29" t="s">
        <v>275</v>
      </c>
      <c r="O85" s="29" t="s">
        <v>145</v>
      </c>
      <c r="P85" s="30" t="s">
        <v>278</v>
      </c>
    </row>
    <row r="86" s="25" customFormat="1" spans="1:16">
      <c r="A86" s="29" t="s">
        <v>277</v>
      </c>
      <c r="B86" s="29" t="s">
        <v>267</v>
      </c>
      <c r="C86" s="29" t="s">
        <v>35</v>
      </c>
      <c r="D86" s="29" t="s">
        <v>36</v>
      </c>
      <c r="E86" s="29" t="s">
        <v>47</v>
      </c>
      <c r="F86" s="29" t="s">
        <v>35</v>
      </c>
      <c r="G86" s="29" t="s">
        <v>268</v>
      </c>
      <c r="H86" s="29" t="s">
        <v>269</v>
      </c>
      <c r="I86" s="29" t="s">
        <v>204</v>
      </c>
      <c r="J86" s="29" t="s">
        <v>51</v>
      </c>
      <c r="K86" s="29" t="s">
        <v>279</v>
      </c>
      <c r="L86" s="29" t="s">
        <v>218</v>
      </c>
      <c r="M86" s="29" t="s">
        <v>271</v>
      </c>
      <c r="N86" s="29" t="s">
        <v>275</v>
      </c>
      <c r="O86" s="29" t="s">
        <v>145</v>
      </c>
      <c r="P86" s="30" t="s">
        <v>280</v>
      </c>
    </row>
    <row r="87" s="25" customFormat="1" spans="1:16">
      <c r="A87" s="29" t="s">
        <v>279</v>
      </c>
      <c r="B87" s="29" t="s">
        <v>267</v>
      </c>
      <c r="C87" s="29" t="s">
        <v>35</v>
      </c>
      <c r="D87" s="29" t="s">
        <v>36</v>
      </c>
      <c r="E87" s="29" t="s">
        <v>47</v>
      </c>
      <c r="F87" s="29" t="s">
        <v>35</v>
      </c>
      <c r="G87" s="29" t="s">
        <v>268</v>
      </c>
      <c r="H87" s="29" t="s">
        <v>269</v>
      </c>
      <c r="I87" s="29" t="s">
        <v>204</v>
      </c>
      <c r="J87" s="29" t="s">
        <v>55</v>
      </c>
      <c r="K87" s="29" t="s">
        <v>281</v>
      </c>
      <c r="L87" s="29" t="s">
        <v>221</v>
      </c>
      <c r="M87" s="29" t="s">
        <v>271</v>
      </c>
      <c r="N87" s="29" t="s">
        <v>275</v>
      </c>
      <c r="O87" s="29" t="s">
        <v>145</v>
      </c>
      <c r="P87" s="30" t="s">
        <v>282</v>
      </c>
    </row>
    <row r="88" s="25" customFormat="1" spans="1:16">
      <c r="A88" s="29" t="s">
        <v>281</v>
      </c>
      <c r="B88" s="29" t="s">
        <v>267</v>
      </c>
      <c r="C88" s="29" t="s">
        <v>35</v>
      </c>
      <c r="D88" s="29" t="s">
        <v>36</v>
      </c>
      <c r="E88" s="29" t="s">
        <v>47</v>
      </c>
      <c r="F88" s="29" t="s">
        <v>35</v>
      </c>
      <c r="G88" s="29" t="s">
        <v>268</v>
      </c>
      <c r="H88" s="29" t="s">
        <v>269</v>
      </c>
      <c r="I88" s="29" t="s">
        <v>204</v>
      </c>
      <c r="J88" s="29" t="s">
        <v>59</v>
      </c>
      <c r="K88" s="29" t="s">
        <v>283</v>
      </c>
      <c r="L88" s="29" t="s">
        <v>224</v>
      </c>
      <c r="M88" s="29" t="s">
        <v>271</v>
      </c>
      <c r="N88" s="29" t="s">
        <v>275</v>
      </c>
      <c r="O88" s="29" t="s">
        <v>145</v>
      </c>
      <c r="P88" s="30" t="s">
        <v>284</v>
      </c>
    </row>
    <row r="89" s="25" customFormat="1" spans="1:16">
      <c r="A89" s="29" t="s">
        <v>283</v>
      </c>
      <c r="B89" s="29" t="s">
        <v>267</v>
      </c>
      <c r="C89" s="29" t="s">
        <v>35</v>
      </c>
      <c r="D89" s="29" t="s">
        <v>36</v>
      </c>
      <c r="E89" s="29" t="s">
        <v>47</v>
      </c>
      <c r="F89" s="29" t="s">
        <v>35</v>
      </c>
      <c r="G89" s="29" t="s">
        <v>268</v>
      </c>
      <c r="H89" s="29" t="s">
        <v>269</v>
      </c>
      <c r="I89" s="29" t="s">
        <v>204</v>
      </c>
      <c r="J89" s="29" t="s">
        <v>129</v>
      </c>
      <c r="K89" s="29" t="s">
        <v>285</v>
      </c>
      <c r="L89" s="29" t="s">
        <v>227</v>
      </c>
      <c r="M89" s="29" t="s">
        <v>271</v>
      </c>
      <c r="N89" s="29" t="s">
        <v>275</v>
      </c>
      <c r="O89" s="29" t="s">
        <v>145</v>
      </c>
      <c r="P89" s="30" t="s">
        <v>286</v>
      </c>
    </row>
    <row r="90" s="25" customFormat="1" spans="1:16">
      <c r="A90" s="29" t="s">
        <v>285</v>
      </c>
      <c r="B90" s="29" t="s">
        <v>267</v>
      </c>
      <c r="C90" s="29" t="s">
        <v>35</v>
      </c>
      <c r="D90" s="29" t="s">
        <v>36</v>
      </c>
      <c r="E90" s="29" t="s">
        <v>47</v>
      </c>
      <c r="F90" s="29" t="s">
        <v>35</v>
      </c>
      <c r="G90" s="29" t="s">
        <v>268</v>
      </c>
      <c r="H90" s="29" t="s">
        <v>269</v>
      </c>
      <c r="I90" s="29" t="s">
        <v>204</v>
      </c>
      <c r="J90" s="29" t="s">
        <v>133</v>
      </c>
      <c r="K90" s="29" t="s">
        <v>287</v>
      </c>
      <c r="L90" s="29" t="s">
        <v>230</v>
      </c>
      <c r="M90" s="29" t="s">
        <v>271</v>
      </c>
      <c r="N90" s="29" t="s">
        <v>275</v>
      </c>
      <c r="O90" s="29" t="s">
        <v>145</v>
      </c>
      <c r="P90" s="30" t="s">
        <v>288</v>
      </c>
    </row>
    <row r="91" s="25" customFormat="1" spans="1:16">
      <c r="A91" s="29" t="s">
        <v>287</v>
      </c>
      <c r="B91" s="29" t="s">
        <v>267</v>
      </c>
      <c r="C91" s="29" t="s">
        <v>35</v>
      </c>
      <c r="D91" s="29" t="s">
        <v>36</v>
      </c>
      <c r="E91" s="29" t="s">
        <v>47</v>
      </c>
      <c r="F91" s="29" t="s">
        <v>35</v>
      </c>
      <c r="G91" s="29" t="s">
        <v>268</v>
      </c>
      <c r="H91" s="29" t="s">
        <v>269</v>
      </c>
      <c r="I91" s="29" t="s">
        <v>204</v>
      </c>
      <c r="J91" s="29" t="s">
        <v>137</v>
      </c>
      <c r="K91" s="29" t="s">
        <v>289</v>
      </c>
      <c r="L91" s="29" t="s">
        <v>233</v>
      </c>
      <c r="M91" s="29" t="s">
        <v>271</v>
      </c>
      <c r="N91" s="29" t="s">
        <v>275</v>
      </c>
      <c r="O91" s="29" t="s">
        <v>145</v>
      </c>
      <c r="P91" s="30" t="s">
        <v>290</v>
      </c>
    </row>
    <row r="92" s="25" customFormat="1" spans="1:16">
      <c r="A92" s="29" t="s">
        <v>289</v>
      </c>
      <c r="B92" s="29" t="s">
        <v>267</v>
      </c>
      <c r="C92" s="29" t="s">
        <v>35</v>
      </c>
      <c r="D92" s="29" t="s">
        <v>36</v>
      </c>
      <c r="E92" s="29" t="s">
        <v>47</v>
      </c>
      <c r="F92" s="29" t="s">
        <v>35</v>
      </c>
      <c r="G92" s="29" t="s">
        <v>268</v>
      </c>
      <c r="H92" s="29" t="s">
        <v>269</v>
      </c>
      <c r="I92" s="29" t="s">
        <v>204</v>
      </c>
      <c r="J92" s="29" t="s">
        <v>141</v>
      </c>
      <c r="K92" s="29" t="s">
        <v>291</v>
      </c>
      <c r="L92" s="29" t="s">
        <v>236</v>
      </c>
      <c r="M92" s="29" t="s">
        <v>271</v>
      </c>
      <c r="N92" s="29" t="s">
        <v>275</v>
      </c>
      <c r="O92" s="29" t="s">
        <v>145</v>
      </c>
      <c r="P92" s="30" t="s">
        <v>292</v>
      </c>
    </row>
    <row r="93" s="25" customFormat="1" spans="1:16">
      <c r="A93" s="29" t="s">
        <v>291</v>
      </c>
      <c r="B93" s="29" t="s">
        <v>267</v>
      </c>
      <c r="C93" s="29" t="s">
        <v>35</v>
      </c>
      <c r="D93" s="29" t="s">
        <v>36</v>
      </c>
      <c r="E93" s="29" t="s">
        <v>47</v>
      </c>
      <c r="F93" s="29" t="s">
        <v>35</v>
      </c>
      <c r="G93" s="29" t="s">
        <v>268</v>
      </c>
      <c r="H93" s="29" t="s">
        <v>269</v>
      </c>
      <c r="I93" s="29" t="s">
        <v>204</v>
      </c>
      <c r="J93" s="29" t="s">
        <v>145</v>
      </c>
      <c r="K93" s="29" t="s">
        <v>39</v>
      </c>
      <c r="L93" s="29" t="s">
        <v>238</v>
      </c>
      <c r="M93" s="29" t="s">
        <v>271</v>
      </c>
      <c r="N93" s="29" t="s">
        <v>275</v>
      </c>
      <c r="O93" s="29" t="s">
        <v>145</v>
      </c>
      <c r="P93" s="30" t="s">
        <v>293</v>
      </c>
    </row>
    <row r="94" s="25" customFormat="1" spans="1:16">
      <c r="A94" s="29" t="s">
        <v>294</v>
      </c>
      <c r="B94" s="29" t="s">
        <v>294</v>
      </c>
      <c r="C94" s="29" t="s">
        <v>35</v>
      </c>
      <c r="D94" s="29" t="s">
        <v>43</v>
      </c>
      <c r="E94" s="29" t="s">
        <v>35</v>
      </c>
      <c r="F94" s="29" t="s">
        <v>47</v>
      </c>
      <c r="G94" s="29" t="s">
        <v>295</v>
      </c>
      <c r="H94" s="29" t="s">
        <v>38</v>
      </c>
      <c r="I94" s="29" t="s">
        <v>39</v>
      </c>
      <c r="J94" s="29" t="s">
        <v>39</v>
      </c>
      <c r="K94" s="29" t="s">
        <v>296</v>
      </c>
      <c r="L94" s="29" t="s">
        <v>297</v>
      </c>
      <c r="M94" s="29" t="s">
        <v>298</v>
      </c>
      <c r="N94" s="29" t="s">
        <v>41</v>
      </c>
      <c r="O94" s="29" t="s">
        <v>35</v>
      </c>
      <c r="P94" s="30" t="s">
        <v>42</v>
      </c>
    </row>
    <row r="95" s="25" customFormat="1" spans="1:16">
      <c r="A95" s="29" t="s">
        <v>296</v>
      </c>
      <c r="B95" s="29" t="s">
        <v>294</v>
      </c>
      <c r="C95" s="29" t="s">
        <v>35</v>
      </c>
      <c r="D95" s="29" t="s">
        <v>43</v>
      </c>
      <c r="E95" s="29" t="s">
        <v>35</v>
      </c>
      <c r="F95" s="29" t="s">
        <v>47</v>
      </c>
      <c r="G95" s="29" t="s">
        <v>295</v>
      </c>
      <c r="H95" s="29" t="s">
        <v>38</v>
      </c>
      <c r="I95" s="29" t="s">
        <v>39</v>
      </c>
      <c r="J95" s="29" t="s">
        <v>35</v>
      </c>
      <c r="K95" s="29" t="s">
        <v>299</v>
      </c>
      <c r="L95" s="29" t="s">
        <v>300</v>
      </c>
      <c r="M95" s="29" t="s">
        <v>298</v>
      </c>
      <c r="N95" s="29" t="s">
        <v>301</v>
      </c>
      <c r="O95" s="29" t="s">
        <v>35</v>
      </c>
      <c r="P95" s="30" t="s">
        <v>302</v>
      </c>
    </row>
    <row r="96" s="25" customFormat="1" spans="1:16">
      <c r="A96" s="29" t="s">
        <v>299</v>
      </c>
      <c r="B96" s="29" t="s">
        <v>294</v>
      </c>
      <c r="C96" s="29" t="s">
        <v>35</v>
      </c>
      <c r="D96" s="29" t="s">
        <v>43</v>
      </c>
      <c r="E96" s="29" t="s">
        <v>35</v>
      </c>
      <c r="F96" s="29" t="s">
        <v>47</v>
      </c>
      <c r="G96" s="29" t="s">
        <v>295</v>
      </c>
      <c r="H96" s="29" t="s">
        <v>38</v>
      </c>
      <c r="I96" s="29" t="s">
        <v>39</v>
      </c>
      <c r="J96" s="29" t="s">
        <v>47</v>
      </c>
      <c r="K96" s="29" t="s">
        <v>303</v>
      </c>
      <c r="L96" s="29" t="s">
        <v>304</v>
      </c>
      <c r="M96" s="29" t="s">
        <v>298</v>
      </c>
      <c r="N96" s="29" t="s">
        <v>301</v>
      </c>
      <c r="O96" s="29" t="s">
        <v>35</v>
      </c>
      <c r="P96" s="30" t="s">
        <v>305</v>
      </c>
    </row>
    <row r="97" s="25" customFormat="1" spans="1:16">
      <c r="A97" s="29" t="s">
        <v>303</v>
      </c>
      <c r="B97" s="29" t="s">
        <v>294</v>
      </c>
      <c r="C97" s="29" t="s">
        <v>35</v>
      </c>
      <c r="D97" s="29" t="s">
        <v>43</v>
      </c>
      <c r="E97" s="29" t="s">
        <v>35</v>
      </c>
      <c r="F97" s="29" t="s">
        <v>47</v>
      </c>
      <c r="G97" s="29" t="s">
        <v>295</v>
      </c>
      <c r="H97" s="29" t="s">
        <v>38</v>
      </c>
      <c r="I97" s="29" t="s">
        <v>39</v>
      </c>
      <c r="J97" s="29" t="s">
        <v>51</v>
      </c>
      <c r="K97" s="29" t="s">
        <v>306</v>
      </c>
      <c r="L97" s="29" t="s">
        <v>307</v>
      </c>
      <c r="M97" s="29" t="s">
        <v>298</v>
      </c>
      <c r="N97" s="29" t="s">
        <v>301</v>
      </c>
      <c r="O97" s="29" t="s">
        <v>35</v>
      </c>
      <c r="P97" s="30" t="s">
        <v>50</v>
      </c>
    </row>
    <row r="98" s="25" customFormat="1" spans="1:16">
      <c r="A98" s="29" t="s">
        <v>306</v>
      </c>
      <c r="B98" s="29" t="s">
        <v>294</v>
      </c>
      <c r="C98" s="29" t="s">
        <v>35</v>
      </c>
      <c r="D98" s="29" t="s">
        <v>43</v>
      </c>
      <c r="E98" s="29" t="s">
        <v>35</v>
      </c>
      <c r="F98" s="29" t="s">
        <v>47</v>
      </c>
      <c r="G98" s="29" t="s">
        <v>295</v>
      </c>
      <c r="H98" s="29" t="s">
        <v>38</v>
      </c>
      <c r="I98" s="29" t="s">
        <v>39</v>
      </c>
      <c r="J98" s="29" t="s">
        <v>55</v>
      </c>
      <c r="K98" s="29" t="s">
        <v>308</v>
      </c>
      <c r="L98" s="29" t="s">
        <v>309</v>
      </c>
      <c r="M98" s="29" t="s">
        <v>298</v>
      </c>
      <c r="N98" s="29" t="s">
        <v>301</v>
      </c>
      <c r="O98" s="29" t="s">
        <v>35</v>
      </c>
      <c r="P98" s="30" t="s">
        <v>310</v>
      </c>
    </row>
    <row r="99" s="25" customFormat="1" spans="1:16">
      <c r="A99" s="29" t="s">
        <v>308</v>
      </c>
      <c r="B99" s="29" t="s">
        <v>294</v>
      </c>
      <c r="C99" s="29" t="s">
        <v>35</v>
      </c>
      <c r="D99" s="29" t="s">
        <v>43</v>
      </c>
      <c r="E99" s="29" t="s">
        <v>35</v>
      </c>
      <c r="F99" s="29" t="s">
        <v>47</v>
      </c>
      <c r="G99" s="29" t="s">
        <v>295</v>
      </c>
      <c r="H99" s="29" t="s">
        <v>38</v>
      </c>
      <c r="I99" s="29" t="s">
        <v>39</v>
      </c>
      <c r="J99" s="29" t="s">
        <v>59</v>
      </c>
      <c r="K99" s="29" t="s">
        <v>311</v>
      </c>
      <c r="L99" s="29" t="s">
        <v>312</v>
      </c>
      <c r="M99" s="29" t="s">
        <v>298</v>
      </c>
      <c r="N99" s="29" t="s">
        <v>301</v>
      </c>
      <c r="O99" s="29" t="s">
        <v>35</v>
      </c>
      <c r="P99" s="30" t="s">
        <v>313</v>
      </c>
    </row>
    <row r="100" s="25" customFormat="1" spans="1:16">
      <c r="A100" s="29" t="s">
        <v>311</v>
      </c>
      <c r="B100" s="29" t="s">
        <v>294</v>
      </c>
      <c r="C100" s="29" t="s">
        <v>35</v>
      </c>
      <c r="D100" s="29" t="s">
        <v>43</v>
      </c>
      <c r="E100" s="29" t="s">
        <v>35</v>
      </c>
      <c r="F100" s="29" t="s">
        <v>47</v>
      </c>
      <c r="G100" s="29" t="s">
        <v>295</v>
      </c>
      <c r="H100" s="29" t="s">
        <v>38</v>
      </c>
      <c r="I100" s="29" t="s">
        <v>39</v>
      </c>
      <c r="J100" s="29" t="s">
        <v>129</v>
      </c>
      <c r="K100" s="29" t="s">
        <v>314</v>
      </c>
      <c r="L100" s="29" t="s">
        <v>315</v>
      </c>
      <c r="M100" s="29" t="s">
        <v>298</v>
      </c>
      <c r="N100" s="29" t="s">
        <v>301</v>
      </c>
      <c r="O100" s="29" t="s">
        <v>35</v>
      </c>
      <c r="P100" s="30" t="s">
        <v>58</v>
      </c>
    </row>
    <row r="101" s="25" customFormat="1" spans="1:16">
      <c r="A101" s="29" t="s">
        <v>314</v>
      </c>
      <c r="B101" s="29" t="s">
        <v>294</v>
      </c>
      <c r="C101" s="29" t="s">
        <v>35</v>
      </c>
      <c r="D101" s="29" t="s">
        <v>43</v>
      </c>
      <c r="E101" s="29" t="s">
        <v>35</v>
      </c>
      <c r="F101" s="29" t="s">
        <v>47</v>
      </c>
      <c r="G101" s="29" t="s">
        <v>295</v>
      </c>
      <c r="H101" s="29" t="s">
        <v>38</v>
      </c>
      <c r="I101" s="29" t="s">
        <v>39</v>
      </c>
      <c r="J101" s="29" t="s">
        <v>133</v>
      </c>
      <c r="K101" s="29" t="s">
        <v>316</v>
      </c>
      <c r="L101" s="29" t="s">
        <v>317</v>
      </c>
      <c r="M101" s="29" t="s">
        <v>298</v>
      </c>
      <c r="N101" s="29" t="s">
        <v>301</v>
      </c>
      <c r="O101" s="29" t="s">
        <v>35</v>
      </c>
      <c r="P101" s="30" t="s">
        <v>318</v>
      </c>
    </row>
    <row r="102" s="25" customFormat="1" spans="1:16">
      <c r="A102" s="29" t="s">
        <v>316</v>
      </c>
      <c r="B102" s="29" t="s">
        <v>294</v>
      </c>
      <c r="C102" s="29" t="s">
        <v>35</v>
      </c>
      <c r="D102" s="29" t="s">
        <v>43</v>
      </c>
      <c r="E102" s="29" t="s">
        <v>35</v>
      </c>
      <c r="F102" s="29" t="s">
        <v>47</v>
      </c>
      <c r="G102" s="29" t="s">
        <v>295</v>
      </c>
      <c r="H102" s="29" t="s">
        <v>38</v>
      </c>
      <c r="I102" s="29" t="s">
        <v>39</v>
      </c>
      <c r="J102" s="29" t="s">
        <v>137</v>
      </c>
      <c r="K102" s="29" t="s">
        <v>319</v>
      </c>
      <c r="L102" s="29" t="s">
        <v>320</v>
      </c>
      <c r="M102" s="29" t="s">
        <v>298</v>
      </c>
      <c r="N102" s="29" t="s">
        <v>301</v>
      </c>
      <c r="O102" s="29" t="s">
        <v>35</v>
      </c>
      <c r="P102" s="30" t="s">
        <v>321</v>
      </c>
    </row>
    <row r="103" s="25" customFormat="1" spans="1:16">
      <c r="A103" s="29" t="s">
        <v>319</v>
      </c>
      <c r="B103" s="29" t="s">
        <v>294</v>
      </c>
      <c r="C103" s="29" t="s">
        <v>35</v>
      </c>
      <c r="D103" s="29" t="s">
        <v>43</v>
      </c>
      <c r="E103" s="29" t="s">
        <v>35</v>
      </c>
      <c r="F103" s="29" t="s">
        <v>47</v>
      </c>
      <c r="G103" s="29" t="s">
        <v>295</v>
      </c>
      <c r="H103" s="29" t="s">
        <v>38</v>
      </c>
      <c r="I103" s="29" t="s">
        <v>39</v>
      </c>
      <c r="J103" s="29" t="s">
        <v>141</v>
      </c>
      <c r="K103" s="29" t="s">
        <v>322</v>
      </c>
      <c r="L103" s="29" t="s">
        <v>323</v>
      </c>
      <c r="M103" s="29" t="s">
        <v>298</v>
      </c>
      <c r="N103" s="29" t="s">
        <v>301</v>
      </c>
      <c r="O103" s="29" t="s">
        <v>35</v>
      </c>
      <c r="P103" s="30" t="s">
        <v>324</v>
      </c>
    </row>
    <row r="104" s="25" customFormat="1" spans="1:16">
      <c r="A104" s="29" t="s">
        <v>322</v>
      </c>
      <c r="B104" s="29" t="s">
        <v>294</v>
      </c>
      <c r="C104" s="29" t="s">
        <v>35</v>
      </c>
      <c r="D104" s="29" t="s">
        <v>43</v>
      </c>
      <c r="E104" s="29" t="s">
        <v>35</v>
      </c>
      <c r="F104" s="29" t="s">
        <v>47</v>
      </c>
      <c r="G104" s="29" t="s">
        <v>295</v>
      </c>
      <c r="H104" s="29" t="s">
        <v>38</v>
      </c>
      <c r="I104" s="29" t="s">
        <v>39</v>
      </c>
      <c r="J104" s="29" t="s">
        <v>145</v>
      </c>
      <c r="K104" s="29" t="s">
        <v>39</v>
      </c>
      <c r="L104" s="29" t="s">
        <v>39</v>
      </c>
      <c r="M104" s="29" t="s">
        <v>39</v>
      </c>
      <c r="N104" s="29" t="s">
        <v>301</v>
      </c>
      <c r="O104" s="29" t="s">
        <v>35</v>
      </c>
      <c r="P104" s="30" t="s">
        <v>325</v>
      </c>
    </row>
    <row r="105" s="25" customFormat="1" spans="1:16">
      <c r="A105" s="29" t="s">
        <v>326</v>
      </c>
      <c r="B105" s="29" t="s">
        <v>326</v>
      </c>
      <c r="C105" s="29" t="s">
        <v>35</v>
      </c>
      <c r="D105" s="29" t="s">
        <v>43</v>
      </c>
      <c r="E105" s="29" t="s">
        <v>35</v>
      </c>
      <c r="F105" s="29" t="s">
        <v>47</v>
      </c>
      <c r="G105" s="29" t="s">
        <v>327</v>
      </c>
      <c r="H105" s="29" t="s">
        <v>63</v>
      </c>
      <c r="I105" s="29" t="s">
        <v>39</v>
      </c>
      <c r="J105" s="29" t="s">
        <v>39</v>
      </c>
      <c r="K105" s="29" t="s">
        <v>328</v>
      </c>
      <c r="L105" s="29" t="s">
        <v>297</v>
      </c>
      <c r="M105" s="29" t="s">
        <v>329</v>
      </c>
      <c r="N105" s="29" t="s">
        <v>66</v>
      </c>
      <c r="O105" s="29" t="s">
        <v>47</v>
      </c>
      <c r="P105" s="30" t="s">
        <v>67</v>
      </c>
    </row>
    <row r="106" s="25" customFormat="1" spans="1:16">
      <c r="A106" s="29" t="s">
        <v>328</v>
      </c>
      <c r="B106" s="29" t="s">
        <v>326</v>
      </c>
      <c r="C106" s="29" t="s">
        <v>35</v>
      </c>
      <c r="D106" s="29" t="s">
        <v>43</v>
      </c>
      <c r="E106" s="29" t="s">
        <v>35</v>
      </c>
      <c r="F106" s="29" t="s">
        <v>47</v>
      </c>
      <c r="G106" s="29" t="s">
        <v>327</v>
      </c>
      <c r="H106" s="29" t="s">
        <v>63</v>
      </c>
      <c r="I106" s="29" t="s">
        <v>39</v>
      </c>
      <c r="J106" s="29" t="s">
        <v>35</v>
      </c>
      <c r="K106" s="29" t="s">
        <v>330</v>
      </c>
      <c r="L106" s="29" t="s">
        <v>300</v>
      </c>
      <c r="M106" s="29" t="s">
        <v>329</v>
      </c>
      <c r="N106" s="29" t="s">
        <v>331</v>
      </c>
      <c r="O106" s="29" t="s">
        <v>47</v>
      </c>
      <c r="P106" s="30" t="s">
        <v>332</v>
      </c>
    </row>
    <row r="107" s="25" customFormat="1" spans="1:16">
      <c r="A107" s="29" t="s">
        <v>330</v>
      </c>
      <c r="B107" s="29" t="s">
        <v>326</v>
      </c>
      <c r="C107" s="29" t="s">
        <v>35</v>
      </c>
      <c r="D107" s="29" t="s">
        <v>43</v>
      </c>
      <c r="E107" s="29" t="s">
        <v>35</v>
      </c>
      <c r="F107" s="29" t="s">
        <v>47</v>
      </c>
      <c r="G107" s="29" t="s">
        <v>327</v>
      </c>
      <c r="H107" s="29" t="s">
        <v>63</v>
      </c>
      <c r="I107" s="29" t="s">
        <v>39</v>
      </c>
      <c r="J107" s="29" t="s">
        <v>47</v>
      </c>
      <c r="K107" s="29" t="s">
        <v>333</v>
      </c>
      <c r="L107" s="29" t="s">
        <v>304</v>
      </c>
      <c r="M107" s="29" t="s">
        <v>329</v>
      </c>
      <c r="N107" s="29" t="s">
        <v>331</v>
      </c>
      <c r="O107" s="29" t="s">
        <v>47</v>
      </c>
      <c r="P107" s="30" t="s">
        <v>334</v>
      </c>
    </row>
    <row r="108" s="25" customFormat="1" spans="1:16">
      <c r="A108" s="29" t="s">
        <v>333</v>
      </c>
      <c r="B108" s="29" t="s">
        <v>326</v>
      </c>
      <c r="C108" s="29" t="s">
        <v>35</v>
      </c>
      <c r="D108" s="29" t="s">
        <v>43</v>
      </c>
      <c r="E108" s="29" t="s">
        <v>35</v>
      </c>
      <c r="F108" s="29" t="s">
        <v>47</v>
      </c>
      <c r="G108" s="29" t="s">
        <v>327</v>
      </c>
      <c r="H108" s="29" t="s">
        <v>63</v>
      </c>
      <c r="I108" s="29" t="s">
        <v>39</v>
      </c>
      <c r="J108" s="29" t="s">
        <v>51</v>
      </c>
      <c r="K108" s="29" t="s">
        <v>335</v>
      </c>
      <c r="L108" s="29" t="s">
        <v>307</v>
      </c>
      <c r="M108" s="29" t="s">
        <v>329</v>
      </c>
      <c r="N108" s="29" t="s">
        <v>331</v>
      </c>
      <c r="O108" s="29" t="s">
        <v>47</v>
      </c>
      <c r="P108" s="30" t="s">
        <v>336</v>
      </c>
    </row>
    <row r="109" s="25" customFormat="1" spans="1:16">
      <c r="A109" s="29" t="s">
        <v>335</v>
      </c>
      <c r="B109" s="29" t="s">
        <v>326</v>
      </c>
      <c r="C109" s="29" t="s">
        <v>35</v>
      </c>
      <c r="D109" s="29" t="s">
        <v>43</v>
      </c>
      <c r="E109" s="29" t="s">
        <v>35</v>
      </c>
      <c r="F109" s="29" t="s">
        <v>47</v>
      </c>
      <c r="G109" s="29" t="s">
        <v>327</v>
      </c>
      <c r="H109" s="29" t="s">
        <v>63</v>
      </c>
      <c r="I109" s="29" t="s">
        <v>39</v>
      </c>
      <c r="J109" s="29" t="s">
        <v>55</v>
      </c>
      <c r="K109" s="29" t="s">
        <v>337</v>
      </c>
      <c r="L109" s="29" t="s">
        <v>309</v>
      </c>
      <c r="M109" s="29" t="s">
        <v>329</v>
      </c>
      <c r="N109" s="29" t="s">
        <v>331</v>
      </c>
      <c r="O109" s="29" t="s">
        <v>47</v>
      </c>
      <c r="P109" s="30" t="s">
        <v>338</v>
      </c>
    </row>
    <row r="110" s="25" customFormat="1" spans="1:16">
      <c r="A110" s="29" t="s">
        <v>337</v>
      </c>
      <c r="B110" s="29" t="s">
        <v>326</v>
      </c>
      <c r="C110" s="29" t="s">
        <v>35</v>
      </c>
      <c r="D110" s="29" t="s">
        <v>43</v>
      </c>
      <c r="E110" s="29" t="s">
        <v>35</v>
      </c>
      <c r="F110" s="29" t="s">
        <v>47</v>
      </c>
      <c r="G110" s="29" t="s">
        <v>327</v>
      </c>
      <c r="H110" s="29" t="s">
        <v>63</v>
      </c>
      <c r="I110" s="29" t="s">
        <v>39</v>
      </c>
      <c r="J110" s="29" t="s">
        <v>59</v>
      </c>
      <c r="K110" s="29" t="s">
        <v>339</v>
      </c>
      <c r="L110" s="29" t="s">
        <v>312</v>
      </c>
      <c r="M110" s="29" t="s">
        <v>329</v>
      </c>
      <c r="N110" s="29" t="s">
        <v>331</v>
      </c>
      <c r="O110" s="29" t="s">
        <v>47</v>
      </c>
      <c r="P110" s="30" t="s">
        <v>340</v>
      </c>
    </row>
    <row r="111" s="25" customFormat="1" spans="1:16">
      <c r="A111" s="29" t="s">
        <v>339</v>
      </c>
      <c r="B111" s="29" t="s">
        <v>326</v>
      </c>
      <c r="C111" s="29" t="s">
        <v>35</v>
      </c>
      <c r="D111" s="29" t="s">
        <v>43</v>
      </c>
      <c r="E111" s="29" t="s">
        <v>35</v>
      </c>
      <c r="F111" s="29" t="s">
        <v>47</v>
      </c>
      <c r="G111" s="29" t="s">
        <v>327</v>
      </c>
      <c r="H111" s="29" t="s">
        <v>63</v>
      </c>
      <c r="I111" s="29" t="s">
        <v>39</v>
      </c>
      <c r="J111" s="29" t="s">
        <v>129</v>
      </c>
      <c r="K111" s="29" t="s">
        <v>341</v>
      </c>
      <c r="L111" s="29" t="s">
        <v>315</v>
      </c>
      <c r="M111" s="29" t="s">
        <v>329</v>
      </c>
      <c r="N111" s="29" t="s">
        <v>331</v>
      </c>
      <c r="O111" s="29" t="s">
        <v>47</v>
      </c>
      <c r="P111" s="30" t="s">
        <v>77</v>
      </c>
    </row>
    <row r="112" s="25" customFormat="1" spans="1:16">
      <c r="A112" s="29" t="s">
        <v>341</v>
      </c>
      <c r="B112" s="29" t="s">
        <v>326</v>
      </c>
      <c r="C112" s="29" t="s">
        <v>35</v>
      </c>
      <c r="D112" s="29" t="s">
        <v>43</v>
      </c>
      <c r="E112" s="29" t="s">
        <v>35</v>
      </c>
      <c r="F112" s="29" t="s">
        <v>47</v>
      </c>
      <c r="G112" s="29" t="s">
        <v>327</v>
      </c>
      <c r="H112" s="29" t="s">
        <v>63</v>
      </c>
      <c r="I112" s="29" t="s">
        <v>39</v>
      </c>
      <c r="J112" s="29" t="s">
        <v>133</v>
      </c>
      <c r="K112" s="29" t="s">
        <v>342</v>
      </c>
      <c r="L112" s="29" t="s">
        <v>317</v>
      </c>
      <c r="M112" s="29" t="s">
        <v>329</v>
      </c>
      <c r="N112" s="29" t="s">
        <v>331</v>
      </c>
      <c r="O112" s="29" t="s">
        <v>47</v>
      </c>
      <c r="P112" s="30" t="s">
        <v>343</v>
      </c>
    </row>
    <row r="113" s="25" customFormat="1" spans="1:16">
      <c r="A113" s="29" t="s">
        <v>342</v>
      </c>
      <c r="B113" s="29" t="s">
        <v>326</v>
      </c>
      <c r="C113" s="29" t="s">
        <v>35</v>
      </c>
      <c r="D113" s="29" t="s">
        <v>43</v>
      </c>
      <c r="E113" s="29" t="s">
        <v>35</v>
      </c>
      <c r="F113" s="29" t="s">
        <v>47</v>
      </c>
      <c r="G113" s="29" t="s">
        <v>327</v>
      </c>
      <c r="H113" s="29" t="s">
        <v>63</v>
      </c>
      <c r="I113" s="29" t="s">
        <v>39</v>
      </c>
      <c r="J113" s="29" t="s">
        <v>137</v>
      </c>
      <c r="K113" s="29" t="s">
        <v>344</v>
      </c>
      <c r="L113" s="29" t="s">
        <v>320</v>
      </c>
      <c r="M113" s="29" t="s">
        <v>329</v>
      </c>
      <c r="N113" s="29" t="s">
        <v>331</v>
      </c>
      <c r="O113" s="29" t="s">
        <v>47</v>
      </c>
      <c r="P113" s="30" t="s">
        <v>345</v>
      </c>
    </row>
    <row r="114" s="25" customFormat="1" spans="1:16">
      <c r="A114" s="29" t="s">
        <v>344</v>
      </c>
      <c r="B114" s="29" t="s">
        <v>326</v>
      </c>
      <c r="C114" s="29" t="s">
        <v>35</v>
      </c>
      <c r="D114" s="29" t="s">
        <v>43</v>
      </c>
      <c r="E114" s="29" t="s">
        <v>35</v>
      </c>
      <c r="F114" s="29" t="s">
        <v>47</v>
      </c>
      <c r="G114" s="29" t="s">
        <v>327</v>
      </c>
      <c r="H114" s="29" t="s">
        <v>63</v>
      </c>
      <c r="I114" s="29" t="s">
        <v>39</v>
      </c>
      <c r="J114" s="29" t="s">
        <v>141</v>
      </c>
      <c r="K114" s="29" t="s">
        <v>346</v>
      </c>
      <c r="L114" s="29" t="s">
        <v>323</v>
      </c>
      <c r="M114" s="29" t="s">
        <v>329</v>
      </c>
      <c r="N114" s="29" t="s">
        <v>331</v>
      </c>
      <c r="O114" s="29" t="s">
        <v>47</v>
      </c>
      <c r="P114" s="30" t="s">
        <v>347</v>
      </c>
    </row>
    <row r="115" s="25" customFormat="1" spans="1:16">
      <c r="A115" s="29" t="s">
        <v>346</v>
      </c>
      <c r="B115" s="29" t="s">
        <v>326</v>
      </c>
      <c r="C115" s="29" t="s">
        <v>35</v>
      </c>
      <c r="D115" s="29" t="s">
        <v>43</v>
      </c>
      <c r="E115" s="29" t="s">
        <v>35</v>
      </c>
      <c r="F115" s="29" t="s">
        <v>47</v>
      </c>
      <c r="G115" s="29" t="s">
        <v>327</v>
      </c>
      <c r="H115" s="29" t="s">
        <v>63</v>
      </c>
      <c r="I115" s="29" t="s">
        <v>39</v>
      </c>
      <c r="J115" s="29" t="s">
        <v>145</v>
      </c>
      <c r="K115" s="29" t="s">
        <v>39</v>
      </c>
      <c r="L115" s="29" t="s">
        <v>39</v>
      </c>
      <c r="M115" s="29" t="s">
        <v>39</v>
      </c>
      <c r="N115" s="29" t="s">
        <v>331</v>
      </c>
      <c r="O115" s="29" t="s">
        <v>47</v>
      </c>
      <c r="P115" s="30" t="s">
        <v>348</v>
      </c>
    </row>
    <row r="116" s="25" customFormat="1" spans="1:16">
      <c r="A116" s="29" t="s">
        <v>349</v>
      </c>
      <c r="B116" s="29" t="s">
        <v>349</v>
      </c>
      <c r="C116" s="29" t="s">
        <v>35</v>
      </c>
      <c r="D116" s="29" t="s">
        <v>43</v>
      </c>
      <c r="E116" s="29" t="s">
        <v>35</v>
      </c>
      <c r="F116" s="29" t="s">
        <v>47</v>
      </c>
      <c r="G116" s="29" t="s">
        <v>350</v>
      </c>
      <c r="H116" s="29" t="s">
        <v>80</v>
      </c>
      <c r="I116" s="29" t="s">
        <v>39</v>
      </c>
      <c r="J116" s="29" t="s">
        <v>39</v>
      </c>
      <c r="K116" s="29" t="s">
        <v>351</v>
      </c>
      <c r="L116" s="29" t="s">
        <v>297</v>
      </c>
      <c r="M116" s="29" t="s">
        <v>329</v>
      </c>
      <c r="N116" s="29" t="s">
        <v>82</v>
      </c>
      <c r="O116" s="29" t="s">
        <v>51</v>
      </c>
      <c r="P116" s="30" t="s">
        <v>83</v>
      </c>
    </row>
    <row r="117" s="25" customFormat="1" spans="1:16">
      <c r="A117" s="29" t="s">
        <v>351</v>
      </c>
      <c r="B117" s="29" t="s">
        <v>349</v>
      </c>
      <c r="C117" s="29" t="s">
        <v>35</v>
      </c>
      <c r="D117" s="29" t="s">
        <v>43</v>
      </c>
      <c r="E117" s="29" t="s">
        <v>35</v>
      </c>
      <c r="F117" s="29" t="s">
        <v>47</v>
      </c>
      <c r="G117" s="29" t="s">
        <v>350</v>
      </c>
      <c r="H117" s="29" t="s">
        <v>80</v>
      </c>
      <c r="I117" s="29" t="s">
        <v>39</v>
      </c>
      <c r="J117" s="29" t="s">
        <v>35</v>
      </c>
      <c r="K117" s="29" t="s">
        <v>352</v>
      </c>
      <c r="L117" s="29" t="s">
        <v>300</v>
      </c>
      <c r="M117" s="29" t="s">
        <v>329</v>
      </c>
      <c r="N117" s="29" t="s">
        <v>353</v>
      </c>
      <c r="O117" s="29" t="s">
        <v>51</v>
      </c>
      <c r="P117" s="30" t="s">
        <v>354</v>
      </c>
    </row>
    <row r="118" s="25" customFormat="1" spans="1:16">
      <c r="A118" s="29" t="s">
        <v>352</v>
      </c>
      <c r="B118" s="29" t="s">
        <v>349</v>
      </c>
      <c r="C118" s="29" t="s">
        <v>35</v>
      </c>
      <c r="D118" s="29" t="s">
        <v>43</v>
      </c>
      <c r="E118" s="29" t="s">
        <v>35</v>
      </c>
      <c r="F118" s="29" t="s">
        <v>47</v>
      </c>
      <c r="G118" s="29" t="s">
        <v>350</v>
      </c>
      <c r="H118" s="29" t="s">
        <v>80</v>
      </c>
      <c r="I118" s="29" t="s">
        <v>39</v>
      </c>
      <c r="J118" s="29" t="s">
        <v>47</v>
      </c>
      <c r="K118" s="29" t="s">
        <v>355</v>
      </c>
      <c r="L118" s="29" t="s">
        <v>304</v>
      </c>
      <c r="M118" s="29" t="s">
        <v>329</v>
      </c>
      <c r="N118" s="29" t="s">
        <v>353</v>
      </c>
      <c r="O118" s="29" t="s">
        <v>51</v>
      </c>
      <c r="P118" s="30" t="s">
        <v>356</v>
      </c>
    </row>
    <row r="119" s="25" customFormat="1" spans="1:16">
      <c r="A119" s="29" t="s">
        <v>355</v>
      </c>
      <c r="B119" s="29" t="s">
        <v>349</v>
      </c>
      <c r="C119" s="29" t="s">
        <v>35</v>
      </c>
      <c r="D119" s="29" t="s">
        <v>43</v>
      </c>
      <c r="E119" s="29" t="s">
        <v>35</v>
      </c>
      <c r="F119" s="29" t="s">
        <v>47</v>
      </c>
      <c r="G119" s="29" t="s">
        <v>350</v>
      </c>
      <c r="H119" s="29" t="s">
        <v>80</v>
      </c>
      <c r="I119" s="29" t="s">
        <v>39</v>
      </c>
      <c r="J119" s="29" t="s">
        <v>51</v>
      </c>
      <c r="K119" s="29" t="s">
        <v>357</v>
      </c>
      <c r="L119" s="29" t="s">
        <v>307</v>
      </c>
      <c r="M119" s="29" t="s">
        <v>329</v>
      </c>
      <c r="N119" s="29" t="s">
        <v>353</v>
      </c>
      <c r="O119" s="29" t="s">
        <v>51</v>
      </c>
      <c r="P119" s="30" t="s">
        <v>358</v>
      </c>
    </row>
    <row r="120" s="25" customFormat="1" spans="1:16">
      <c r="A120" s="29" t="s">
        <v>357</v>
      </c>
      <c r="B120" s="29" t="s">
        <v>349</v>
      </c>
      <c r="C120" s="29" t="s">
        <v>35</v>
      </c>
      <c r="D120" s="29" t="s">
        <v>43</v>
      </c>
      <c r="E120" s="29" t="s">
        <v>35</v>
      </c>
      <c r="F120" s="29" t="s">
        <v>47</v>
      </c>
      <c r="G120" s="29" t="s">
        <v>350</v>
      </c>
      <c r="H120" s="29" t="s">
        <v>80</v>
      </c>
      <c r="I120" s="29" t="s">
        <v>39</v>
      </c>
      <c r="J120" s="29" t="s">
        <v>55</v>
      </c>
      <c r="K120" s="29" t="s">
        <v>359</v>
      </c>
      <c r="L120" s="29" t="s">
        <v>309</v>
      </c>
      <c r="M120" s="29" t="s">
        <v>329</v>
      </c>
      <c r="N120" s="29" t="s">
        <v>353</v>
      </c>
      <c r="O120" s="29" t="s">
        <v>51</v>
      </c>
      <c r="P120" s="30" t="s">
        <v>360</v>
      </c>
    </row>
    <row r="121" s="25" customFormat="1" spans="1:16">
      <c r="A121" s="29" t="s">
        <v>359</v>
      </c>
      <c r="B121" s="29" t="s">
        <v>349</v>
      </c>
      <c r="C121" s="29" t="s">
        <v>35</v>
      </c>
      <c r="D121" s="29" t="s">
        <v>43</v>
      </c>
      <c r="E121" s="29" t="s">
        <v>35</v>
      </c>
      <c r="F121" s="29" t="s">
        <v>47</v>
      </c>
      <c r="G121" s="29" t="s">
        <v>350</v>
      </c>
      <c r="H121" s="29" t="s">
        <v>80</v>
      </c>
      <c r="I121" s="29" t="s">
        <v>39</v>
      </c>
      <c r="J121" s="29" t="s">
        <v>59</v>
      </c>
      <c r="K121" s="29" t="s">
        <v>361</v>
      </c>
      <c r="L121" s="29" t="s">
        <v>312</v>
      </c>
      <c r="M121" s="29" t="s">
        <v>329</v>
      </c>
      <c r="N121" s="29" t="s">
        <v>353</v>
      </c>
      <c r="O121" s="29" t="s">
        <v>51</v>
      </c>
      <c r="P121" s="30" t="s">
        <v>92</v>
      </c>
    </row>
    <row r="122" s="25" customFormat="1" spans="1:16">
      <c r="A122" s="29" t="s">
        <v>361</v>
      </c>
      <c r="B122" s="29" t="s">
        <v>349</v>
      </c>
      <c r="C122" s="29" t="s">
        <v>35</v>
      </c>
      <c r="D122" s="29" t="s">
        <v>43</v>
      </c>
      <c r="E122" s="29" t="s">
        <v>35</v>
      </c>
      <c r="F122" s="29" t="s">
        <v>47</v>
      </c>
      <c r="G122" s="29" t="s">
        <v>350</v>
      </c>
      <c r="H122" s="29" t="s">
        <v>80</v>
      </c>
      <c r="I122" s="29" t="s">
        <v>39</v>
      </c>
      <c r="J122" s="29" t="s">
        <v>129</v>
      </c>
      <c r="K122" s="29" t="s">
        <v>362</v>
      </c>
      <c r="L122" s="29" t="s">
        <v>315</v>
      </c>
      <c r="M122" s="29" t="s">
        <v>329</v>
      </c>
      <c r="N122" s="29" t="s">
        <v>353</v>
      </c>
      <c r="O122" s="29" t="s">
        <v>51</v>
      </c>
      <c r="P122" s="30" t="s">
        <v>363</v>
      </c>
    </row>
    <row r="123" s="25" customFormat="1" spans="1:16">
      <c r="A123" s="29" t="s">
        <v>362</v>
      </c>
      <c r="B123" s="29" t="s">
        <v>349</v>
      </c>
      <c r="C123" s="29" t="s">
        <v>35</v>
      </c>
      <c r="D123" s="29" t="s">
        <v>43</v>
      </c>
      <c r="E123" s="29" t="s">
        <v>35</v>
      </c>
      <c r="F123" s="29" t="s">
        <v>47</v>
      </c>
      <c r="G123" s="29" t="s">
        <v>350</v>
      </c>
      <c r="H123" s="29" t="s">
        <v>80</v>
      </c>
      <c r="I123" s="29" t="s">
        <v>39</v>
      </c>
      <c r="J123" s="29" t="s">
        <v>133</v>
      </c>
      <c r="K123" s="29" t="s">
        <v>364</v>
      </c>
      <c r="L123" s="29" t="s">
        <v>317</v>
      </c>
      <c r="M123" s="29" t="s">
        <v>329</v>
      </c>
      <c r="N123" s="29" t="s">
        <v>353</v>
      </c>
      <c r="O123" s="29" t="s">
        <v>51</v>
      </c>
      <c r="P123" s="30" t="s">
        <v>365</v>
      </c>
    </row>
    <row r="124" s="25" customFormat="1" spans="1:16">
      <c r="A124" s="29" t="s">
        <v>364</v>
      </c>
      <c r="B124" s="29" t="s">
        <v>349</v>
      </c>
      <c r="C124" s="29" t="s">
        <v>35</v>
      </c>
      <c r="D124" s="29" t="s">
        <v>43</v>
      </c>
      <c r="E124" s="29" t="s">
        <v>35</v>
      </c>
      <c r="F124" s="29" t="s">
        <v>47</v>
      </c>
      <c r="G124" s="29" t="s">
        <v>350</v>
      </c>
      <c r="H124" s="29" t="s">
        <v>80</v>
      </c>
      <c r="I124" s="29" t="s">
        <v>39</v>
      </c>
      <c r="J124" s="29" t="s">
        <v>137</v>
      </c>
      <c r="K124" s="29" t="s">
        <v>366</v>
      </c>
      <c r="L124" s="29" t="s">
        <v>320</v>
      </c>
      <c r="M124" s="29" t="s">
        <v>329</v>
      </c>
      <c r="N124" s="29" t="s">
        <v>353</v>
      </c>
      <c r="O124" s="29" t="s">
        <v>51</v>
      </c>
      <c r="P124" s="30" t="s">
        <v>367</v>
      </c>
    </row>
    <row r="125" s="25" customFormat="1" spans="1:16">
      <c r="A125" s="29" t="s">
        <v>366</v>
      </c>
      <c r="B125" s="29" t="s">
        <v>349</v>
      </c>
      <c r="C125" s="29" t="s">
        <v>35</v>
      </c>
      <c r="D125" s="29" t="s">
        <v>43</v>
      </c>
      <c r="E125" s="29" t="s">
        <v>35</v>
      </c>
      <c r="F125" s="29" t="s">
        <v>47</v>
      </c>
      <c r="G125" s="29" t="s">
        <v>350</v>
      </c>
      <c r="H125" s="29" t="s">
        <v>80</v>
      </c>
      <c r="I125" s="29" t="s">
        <v>39</v>
      </c>
      <c r="J125" s="29" t="s">
        <v>141</v>
      </c>
      <c r="K125" s="29" t="s">
        <v>368</v>
      </c>
      <c r="L125" s="29" t="s">
        <v>323</v>
      </c>
      <c r="M125" s="29" t="s">
        <v>329</v>
      </c>
      <c r="N125" s="29" t="s">
        <v>353</v>
      </c>
      <c r="O125" s="29" t="s">
        <v>51</v>
      </c>
      <c r="P125" s="30" t="s">
        <v>369</v>
      </c>
    </row>
    <row r="126" s="25" customFormat="1" spans="1:16">
      <c r="A126" s="29" t="s">
        <v>368</v>
      </c>
      <c r="B126" s="29" t="s">
        <v>349</v>
      </c>
      <c r="C126" s="29" t="s">
        <v>35</v>
      </c>
      <c r="D126" s="29" t="s">
        <v>43</v>
      </c>
      <c r="E126" s="29" t="s">
        <v>35</v>
      </c>
      <c r="F126" s="29" t="s">
        <v>47</v>
      </c>
      <c r="G126" s="29" t="s">
        <v>350</v>
      </c>
      <c r="H126" s="29" t="s">
        <v>80</v>
      </c>
      <c r="I126" s="29" t="s">
        <v>39</v>
      </c>
      <c r="J126" s="29" t="s">
        <v>145</v>
      </c>
      <c r="K126" s="29" t="s">
        <v>39</v>
      </c>
      <c r="L126" s="29" t="s">
        <v>39</v>
      </c>
      <c r="M126" s="29" t="s">
        <v>39</v>
      </c>
      <c r="N126" s="29" t="s">
        <v>353</v>
      </c>
      <c r="O126" s="29" t="s">
        <v>51</v>
      </c>
      <c r="P126" s="30" t="s">
        <v>370</v>
      </c>
    </row>
    <row r="127" s="25" customFormat="1" spans="1:16">
      <c r="A127" s="29" t="s">
        <v>371</v>
      </c>
      <c r="B127" s="29" t="s">
        <v>371</v>
      </c>
      <c r="C127" s="29" t="s">
        <v>35</v>
      </c>
      <c r="D127" s="29" t="s">
        <v>43</v>
      </c>
      <c r="E127" s="29" t="s">
        <v>35</v>
      </c>
      <c r="F127" s="29" t="s">
        <v>47</v>
      </c>
      <c r="G127" s="29" t="s">
        <v>372</v>
      </c>
      <c r="H127" s="29" t="s">
        <v>96</v>
      </c>
      <c r="I127" s="29" t="s">
        <v>39</v>
      </c>
      <c r="J127" s="29" t="s">
        <v>39</v>
      </c>
      <c r="K127" s="29" t="s">
        <v>373</v>
      </c>
      <c r="L127" s="29" t="s">
        <v>297</v>
      </c>
      <c r="M127" s="29" t="s">
        <v>329</v>
      </c>
      <c r="N127" s="29" t="s">
        <v>98</v>
      </c>
      <c r="O127" s="29" t="s">
        <v>55</v>
      </c>
      <c r="P127" s="30" t="s">
        <v>99</v>
      </c>
    </row>
    <row r="128" s="25" customFormat="1" spans="1:16">
      <c r="A128" s="29" t="s">
        <v>373</v>
      </c>
      <c r="B128" s="29" t="s">
        <v>371</v>
      </c>
      <c r="C128" s="29" t="s">
        <v>35</v>
      </c>
      <c r="D128" s="29" t="s">
        <v>43</v>
      </c>
      <c r="E128" s="29" t="s">
        <v>35</v>
      </c>
      <c r="F128" s="29" t="s">
        <v>47</v>
      </c>
      <c r="G128" s="29" t="s">
        <v>372</v>
      </c>
      <c r="H128" s="29" t="s">
        <v>96</v>
      </c>
      <c r="I128" s="29" t="s">
        <v>39</v>
      </c>
      <c r="J128" s="29" t="s">
        <v>35</v>
      </c>
      <c r="K128" s="29" t="s">
        <v>374</v>
      </c>
      <c r="L128" s="29" t="s">
        <v>300</v>
      </c>
      <c r="M128" s="29" t="s">
        <v>329</v>
      </c>
      <c r="N128" s="29" t="s">
        <v>375</v>
      </c>
      <c r="O128" s="29" t="s">
        <v>55</v>
      </c>
      <c r="P128" s="30" t="s">
        <v>376</v>
      </c>
    </row>
    <row r="129" s="25" customFormat="1" spans="1:16">
      <c r="A129" s="29" t="s">
        <v>374</v>
      </c>
      <c r="B129" s="29" t="s">
        <v>371</v>
      </c>
      <c r="C129" s="29" t="s">
        <v>35</v>
      </c>
      <c r="D129" s="29" t="s">
        <v>43</v>
      </c>
      <c r="E129" s="29" t="s">
        <v>35</v>
      </c>
      <c r="F129" s="29" t="s">
        <v>47</v>
      </c>
      <c r="G129" s="29" t="s">
        <v>372</v>
      </c>
      <c r="H129" s="29" t="s">
        <v>96</v>
      </c>
      <c r="I129" s="29" t="s">
        <v>39</v>
      </c>
      <c r="J129" s="29" t="s">
        <v>47</v>
      </c>
      <c r="K129" s="29" t="s">
        <v>377</v>
      </c>
      <c r="L129" s="29" t="s">
        <v>304</v>
      </c>
      <c r="M129" s="29" t="s">
        <v>329</v>
      </c>
      <c r="N129" s="29" t="s">
        <v>375</v>
      </c>
      <c r="O129" s="29" t="s">
        <v>55</v>
      </c>
      <c r="P129" s="30" t="s">
        <v>378</v>
      </c>
    </row>
    <row r="130" s="25" customFormat="1" spans="1:16">
      <c r="A130" s="29" t="s">
        <v>377</v>
      </c>
      <c r="B130" s="29" t="s">
        <v>371</v>
      </c>
      <c r="C130" s="29" t="s">
        <v>35</v>
      </c>
      <c r="D130" s="29" t="s">
        <v>43</v>
      </c>
      <c r="E130" s="29" t="s">
        <v>35</v>
      </c>
      <c r="F130" s="29" t="s">
        <v>47</v>
      </c>
      <c r="G130" s="29" t="s">
        <v>372</v>
      </c>
      <c r="H130" s="29" t="s">
        <v>96</v>
      </c>
      <c r="I130" s="29" t="s">
        <v>39</v>
      </c>
      <c r="J130" s="29" t="s">
        <v>51</v>
      </c>
      <c r="K130" s="29" t="s">
        <v>379</v>
      </c>
      <c r="L130" s="29" t="s">
        <v>307</v>
      </c>
      <c r="M130" s="29" t="s">
        <v>329</v>
      </c>
      <c r="N130" s="29" t="s">
        <v>375</v>
      </c>
      <c r="O130" s="29" t="s">
        <v>55</v>
      </c>
      <c r="P130" s="30" t="s">
        <v>380</v>
      </c>
    </row>
    <row r="131" s="25" customFormat="1" spans="1:16">
      <c r="A131" s="29" t="s">
        <v>379</v>
      </c>
      <c r="B131" s="29" t="s">
        <v>371</v>
      </c>
      <c r="C131" s="29" t="s">
        <v>35</v>
      </c>
      <c r="D131" s="29" t="s">
        <v>43</v>
      </c>
      <c r="E131" s="29" t="s">
        <v>35</v>
      </c>
      <c r="F131" s="29" t="s">
        <v>47</v>
      </c>
      <c r="G131" s="29" t="s">
        <v>372</v>
      </c>
      <c r="H131" s="29" t="s">
        <v>96</v>
      </c>
      <c r="I131" s="29" t="s">
        <v>39</v>
      </c>
      <c r="J131" s="29" t="s">
        <v>55</v>
      </c>
      <c r="K131" s="29" t="s">
        <v>381</v>
      </c>
      <c r="L131" s="29" t="s">
        <v>309</v>
      </c>
      <c r="M131" s="29" t="s">
        <v>329</v>
      </c>
      <c r="N131" s="29" t="s">
        <v>375</v>
      </c>
      <c r="O131" s="29" t="s">
        <v>55</v>
      </c>
      <c r="P131" s="30" t="s">
        <v>382</v>
      </c>
    </row>
    <row r="132" s="25" customFormat="1" spans="1:16">
      <c r="A132" s="29" t="s">
        <v>381</v>
      </c>
      <c r="B132" s="29" t="s">
        <v>371</v>
      </c>
      <c r="C132" s="29" t="s">
        <v>35</v>
      </c>
      <c r="D132" s="29" t="s">
        <v>43</v>
      </c>
      <c r="E132" s="29" t="s">
        <v>35</v>
      </c>
      <c r="F132" s="29" t="s">
        <v>47</v>
      </c>
      <c r="G132" s="29" t="s">
        <v>372</v>
      </c>
      <c r="H132" s="29" t="s">
        <v>96</v>
      </c>
      <c r="I132" s="29" t="s">
        <v>39</v>
      </c>
      <c r="J132" s="29" t="s">
        <v>59</v>
      </c>
      <c r="K132" s="29" t="s">
        <v>383</v>
      </c>
      <c r="L132" s="29" t="s">
        <v>312</v>
      </c>
      <c r="M132" s="29" t="s">
        <v>329</v>
      </c>
      <c r="N132" s="29" t="s">
        <v>375</v>
      </c>
      <c r="O132" s="29" t="s">
        <v>55</v>
      </c>
      <c r="P132" s="30" t="s">
        <v>384</v>
      </c>
    </row>
    <row r="133" s="25" customFormat="1" spans="1:16">
      <c r="A133" s="29" t="s">
        <v>383</v>
      </c>
      <c r="B133" s="29" t="s">
        <v>371</v>
      </c>
      <c r="C133" s="29" t="s">
        <v>35</v>
      </c>
      <c r="D133" s="29" t="s">
        <v>43</v>
      </c>
      <c r="E133" s="29" t="s">
        <v>35</v>
      </c>
      <c r="F133" s="29" t="s">
        <v>47</v>
      </c>
      <c r="G133" s="29" t="s">
        <v>372</v>
      </c>
      <c r="H133" s="29" t="s">
        <v>96</v>
      </c>
      <c r="I133" s="29" t="s">
        <v>39</v>
      </c>
      <c r="J133" s="29" t="s">
        <v>129</v>
      </c>
      <c r="K133" s="29" t="s">
        <v>385</v>
      </c>
      <c r="L133" s="29" t="s">
        <v>315</v>
      </c>
      <c r="M133" s="29" t="s">
        <v>329</v>
      </c>
      <c r="N133" s="29" t="s">
        <v>375</v>
      </c>
      <c r="O133" s="29" t="s">
        <v>55</v>
      </c>
      <c r="P133" s="30" t="s">
        <v>109</v>
      </c>
    </row>
    <row r="134" s="25" customFormat="1" spans="1:16">
      <c r="A134" s="29" t="s">
        <v>385</v>
      </c>
      <c r="B134" s="29" t="s">
        <v>371</v>
      </c>
      <c r="C134" s="29" t="s">
        <v>35</v>
      </c>
      <c r="D134" s="29" t="s">
        <v>43</v>
      </c>
      <c r="E134" s="29" t="s">
        <v>35</v>
      </c>
      <c r="F134" s="29" t="s">
        <v>47</v>
      </c>
      <c r="G134" s="29" t="s">
        <v>372</v>
      </c>
      <c r="H134" s="29" t="s">
        <v>96</v>
      </c>
      <c r="I134" s="29" t="s">
        <v>39</v>
      </c>
      <c r="J134" s="29" t="s">
        <v>133</v>
      </c>
      <c r="K134" s="29" t="s">
        <v>386</v>
      </c>
      <c r="L134" s="29" t="s">
        <v>317</v>
      </c>
      <c r="M134" s="29" t="s">
        <v>329</v>
      </c>
      <c r="N134" s="29" t="s">
        <v>375</v>
      </c>
      <c r="O134" s="29" t="s">
        <v>55</v>
      </c>
      <c r="P134" s="30" t="s">
        <v>387</v>
      </c>
    </row>
    <row r="135" s="25" customFormat="1" spans="1:16">
      <c r="A135" s="29" t="s">
        <v>386</v>
      </c>
      <c r="B135" s="29" t="s">
        <v>371</v>
      </c>
      <c r="C135" s="29" t="s">
        <v>35</v>
      </c>
      <c r="D135" s="29" t="s">
        <v>43</v>
      </c>
      <c r="E135" s="29" t="s">
        <v>35</v>
      </c>
      <c r="F135" s="29" t="s">
        <v>47</v>
      </c>
      <c r="G135" s="29" t="s">
        <v>372</v>
      </c>
      <c r="H135" s="29" t="s">
        <v>96</v>
      </c>
      <c r="I135" s="29" t="s">
        <v>39</v>
      </c>
      <c r="J135" s="29" t="s">
        <v>137</v>
      </c>
      <c r="K135" s="29" t="s">
        <v>388</v>
      </c>
      <c r="L135" s="29" t="s">
        <v>320</v>
      </c>
      <c r="M135" s="29" t="s">
        <v>329</v>
      </c>
      <c r="N135" s="29" t="s">
        <v>375</v>
      </c>
      <c r="O135" s="29" t="s">
        <v>55</v>
      </c>
      <c r="P135" s="30" t="s">
        <v>389</v>
      </c>
    </row>
    <row r="136" s="25" customFormat="1" spans="1:16">
      <c r="A136" s="29" t="s">
        <v>388</v>
      </c>
      <c r="B136" s="29" t="s">
        <v>371</v>
      </c>
      <c r="C136" s="29" t="s">
        <v>35</v>
      </c>
      <c r="D136" s="29" t="s">
        <v>43</v>
      </c>
      <c r="E136" s="29" t="s">
        <v>35</v>
      </c>
      <c r="F136" s="29" t="s">
        <v>47</v>
      </c>
      <c r="G136" s="29" t="s">
        <v>372</v>
      </c>
      <c r="H136" s="29" t="s">
        <v>96</v>
      </c>
      <c r="I136" s="29" t="s">
        <v>39</v>
      </c>
      <c r="J136" s="29" t="s">
        <v>141</v>
      </c>
      <c r="K136" s="29" t="s">
        <v>390</v>
      </c>
      <c r="L136" s="29" t="s">
        <v>323</v>
      </c>
      <c r="M136" s="29" t="s">
        <v>329</v>
      </c>
      <c r="N136" s="29" t="s">
        <v>375</v>
      </c>
      <c r="O136" s="29" t="s">
        <v>55</v>
      </c>
      <c r="P136" s="30" t="s">
        <v>391</v>
      </c>
    </row>
    <row r="137" s="25" customFormat="1" spans="1:16">
      <c r="A137" s="29" t="s">
        <v>390</v>
      </c>
      <c r="B137" s="29" t="s">
        <v>371</v>
      </c>
      <c r="C137" s="29" t="s">
        <v>35</v>
      </c>
      <c r="D137" s="29" t="s">
        <v>43</v>
      </c>
      <c r="E137" s="29" t="s">
        <v>35</v>
      </c>
      <c r="F137" s="29" t="s">
        <v>47</v>
      </c>
      <c r="G137" s="29" t="s">
        <v>372</v>
      </c>
      <c r="H137" s="29" t="s">
        <v>96</v>
      </c>
      <c r="I137" s="29" t="s">
        <v>39</v>
      </c>
      <c r="J137" s="29" t="s">
        <v>145</v>
      </c>
      <c r="K137" s="29" t="s">
        <v>39</v>
      </c>
      <c r="L137" s="29" t="s">
        <v>39</v>
      </c>
      <c r="M137" s="29" t="s">
        <v>39</v>
      </c>
      <c r="N137" s="29" t="s">
        <v>375</v>
      </c>
      <c r="O137" s="29" t="s">
        <v>55</v>
      </c>
      <c r="P137" s="30" t="s">
        <v>392</v>
      </c>
    </row>
    <row r="138" s="25" customFormat="1" spans="1:16">
      <c r="A138" s="29" t="s">
        <v>393</v>
      </c>
      <c r="B138" s="29" t="s">
        <v>393</v>
      </c>
      <c r="C138" s="29" t="s">
        <v>35</v>
      </c>
      <c r="D138" s="29" t="s">
        <v>43</v>
      </c>
      <c r="E138" s="29" t="s">
        <v>35</v>
      </c>
      <c r="F138" s="29" t="s">
        <v>47</v>
      </c>
      <c r="G138" s="29" t="s">
        <v>394</v>
      </c>
      <c r="H138" s="29" t="s">
        <v>112</v>
      </c>
      <c r="I138" s="29" t="s">
        <v>39</v>
      </c>
      <c r="J138" s="29" t="s">
        <v>39</v>
      </c>
      <c r="K138" s="29" t="s">
        <v>395</v>
      </c>
      <c r="L138" s="29" t="s">
        <v>297</v>
      </c>
      <c r="M138" s="29" t="s">
        <v>396</v>
      </c>
      <c r="N138" s="29" t="s">
        <v>115</v>
      </c>
      <c r="O138" s="29" t="s">
        <v>59</v>
      </c>
      <c r="P138" s="30" t="s">
        <v>116</v>
      </c>
    </row>
    <row r="139" s="25" customFormat="1" spans="1:16">
      <c r="A139" s="29" t="s">
        <v>395</v>
      </c>
      <c r="B139" s="29" t="s">
        <v>393</v>
      </c>
      <c r="C139" s="29" t="s">
        <v>35</v>
      </c>
      <c r="D139" s="29" t="s">
        <v>43</v>
      </c>
      <c r="E139" s="29" t="s">
        <v>35</v>
      </c>
      <c r="F139" s="29" t="s">
        <v>47</v>
      </c>
      <c r="G139" s="29" t="s">
        <v>394</v>
      </c>
      <c r="H139" s="29" t="s">
        <v>112</v>
      </c>
      <c r="I139" s="29" t="s">
        <v>39</v>
      </c>
      <c r="J139" s="29" t="s">
        <v>35</v>
      </c>
      <c r="K139" s="29" t="s">
        <v>397</v>
      </c>
      <c r="L139" s="29" t="s">
        <v>300</v>
      </c>
      <c r="M139" s="29" t="s">
        <v>396</v>
      </c>
      <c r="N139" s="29" t="s">
        <v>118</v>
      </c>
      <c r="O139" s="29" t="s">
        <v>59</v>
      </c>
      <c r="P139" s="30" t="s">
        <v>119</v>
      </c>
    </row>
    <row r="140" s="25" customFormat="1" spans="1:16">
      <c r="A140" s="29" t="s">
        <v>397</v>
      </c>
      <c r="B140" s="29" t="s">
        <v>393</v>
      </c>
      <c r="C140" s="29" t="s">
        <v>35</v>
      </c>
      <c r="D140" s="29" t="s">
        <v>43</v>
      </c>
      <c r="E140" s="29" t="s">
        <v>35</v>
      </c>
      <c r="F140" s="29" t="s">
        <v>47</v>
      </c>
      <c r="G140" s="29" t="s">
        <v>394</v>
      </c>
      <c r="H140" s="29" t="s">
        <v>112</v>
      </c>
      <c r="I140" s="29" t="s">
        <v>39</v>
      </c>
      <c r="J140" s="29" t="s">
        <v>47</v>
      </c>
      <c r="K140" s="29" t="s">
        <v>398</v>
      </c>
      <c r="L140" s="29" t="s">
        <v>304</v>
      </c>
      <c r="M140" s="29" t="s">
        <v>396</v>
      </c>
      <c r="N140" s="29" t="s">
        <v>118</v>
      </c>
      <c r="O140" s="29" t="s">
        <v>59</v>
      </c>
      <c r="P140" s="30" t="s">
        <v>121</v>
      </c>
    </row>
    <row r="141" s="25" customFormat="1" spans="1:16">
      <c r="A141" s="29" t="s">
        <v>398</v>
      </c>
      <c r="B141" s="29" t="s">
        <v>393</v>
      </c>
      <c r="C141" s="29" t="s">
        <v>35</v>
      </c>
      <c r="D141" s="29" t="s">
        <v>43</v>
      </c>
      <c r="E141" s="29" t="s">
        <v>35</v>
      </c>
      <c r="F141" s="29" t="s">
        <v>47</v>
      </c>
      <c r="G141" s="29" t="s">
        <v>394</v>
      </c>
      <c r="H141" s="29" t="s">
        <v>112</v>
      </c>
      <c r="I141" s="29" t="s">
        <v>39</v>
      </c>
      <c r="J141" s="29" t="s">
        <v>51</v>
      </c>
      <c r="K141" s="29" t="s">
        <v>399</v>
      </c>
      <c r="L141" s="29" t="s">
        <v>307</v>
      </c>
      <c r="M141" s="29" t="s">
        <v>396</v>
      </c>
      <c r="N141" s="29" t="s">
        <v>118</v>
      </c>
      <c r="O141" s="29" t="s">
        <v>59</v>
      </c>
      <c r="P141" s="30" t="s">
        <v>123</v>
      </c>
    </row>
    <row r="142" s="25" customFormat="1" spans="1:16">
      <c r="A142" s="29" t="s">
        <v>399</v>
      </c>
      <c r="B142" s="29" t="s">
        <v>393</v>
      </c>
      <c r="C142" s="29" t="s">
        <v>35</v>
      </c>
      <c r="D142" s="29" t="s">
        <v>43</v>
      </c>
      <c r="E142" s="29" t="s">
        <v>35</v>
      </c>
      <c r="F142" s="29" t="s">
        <v>47</v>
      </c>
      <c r="G142" s="29" t="s">
        <v>394</v>
      </c>
      <c r="H142" s="29" t="s">
        <v>112</v>
      </c>
      <c r="I142" s="29" t="s">
        <v>39</v>
      </c>
      <c r="J142" s="29" t="s">
        <v>55</v>
      </c>
      <c r="K142" s="29" t="s">
        <v>400</v>
      </c>
      <c r="L142" s="29" t="s">
        <v>309</v>
      </c>
      <c r="M142" s="29" t="s">
        <v>396</v>
      </c>
      <c r="N142" s="29" t="s">
        <v>118</v>
      </c>
      <c r="O142" s="29" t="s">
        <v>59</v>
      </c>
      <c r="P142" s="30" t="s">
        <v>125</v>
      </c>
    </row>
    <row r="143" s="25" customFormat="1" spans="1:16">
      <c r="A143" s="29" t="s">
        <v>400</v>
      </c>
      <c r="B143" s="29" t="s">
        <v>393</v>
      </c>
      <c r="C143" s="29" t="s">
        <v>35</v>
      </c>
      <c r="D143" s="29" t="s">
        <v>43</v>
      </c>
      <c r="E143" s="29" t="s">
        <v>35</v>
      </c>
      <c r="F143" s="29" t="s">
        <v>47</v>
      </c>
      <c r="G143" s="29" t="s">
        <v>394</v>
      </c>
      <c r="H143" s="29" t="s">
        <v>112</v>
      </c>
      <c r="I143" s="29" t="s">
        <v>39</v>
      </c>
      <c r="J143" s="29" t="s">
        <v>59</v>
      </c>
      <c r="K143" s="29" t="s">
        <v>401</v>
      </c>
      <c r="L143" s="29" t="s">
        <v>312</v>
      </c>
      <c r="M143" s="29" t="s">
        <v>396</v>
      </c>
      <c r="N143" s="29" t="s">
        <v>118</v>
      </c>
      <c r="O143" s="29" t="s">
        <v>59</v>
      </c>
      <c r="P143" s="30" t="s">
        <v>128</v>
      </c>
    </row>
    <row r="144" s="25" customFormat="1" spans="1:16">
      <c r="A144" s="29" t="s">
        <v>401</v>
      </c>
      <c r="B144" s="29" t="s">
        <v>393</v>
      </c>
      <c r="C144" s="29" t="s">
        <v>35</v>
      </c>
      <c r="D144" s="29" t="s">
        <v>43</v>
      </c>
      <c r="E144" s="29" t="s">
        <v>35</v>
      </c>
      <c r="F144" s="29" t="s">
        <v>47</v>
      </c>
      <c r="G144" s="29" t="s">
        <v>394</v>
      </c>
      <c r="H144" s="29" t="s">
        <v>112</v>
      </c>
      <c r="I144" s="29" t="s">
        <v>39</v>
      </c>
      <c r="J144" s="29" t="s">
        <v>129</v>
      </c>
      <c r="K144" s="29" t="s">
        <v>402</v>
      </c>
      <c r="L144" s="29" t="s">
        <v>315</v>
      </c>
      <c r="M144" s="29" t="s">
        <v>396</v>
      </c>
      <c r="N144" s="29" t="s">
        <v>118</v>
      </c>
      <c r="O144" s="29" t="s">
        <v>59</v>
      </c>
      <c r="P144" s="30" t="s">
        <v>132</v>
      </c>
    </row>
    <row r="145" s="25" customFormat="1" spans="1:16">
      <c r="A145" s="29" t="s">
        <v>402</v>
      </c>
      <c r="B145" s="29" t="s">
        <v>393</v>
      </c>
      <c r="C145" s="29" t="s">
        <v>35</v>
      </c>
      <c r="D145" s="29" t="s">
        <v>43</v>
      </c>
      <c r="E145" s="29" t="s">
        <v>35</v>
      </c>
      <c r="F145" s="29" t="s">
        <v>47</v>
      </c>
      <c r="G145" s="29" t="s">
        <v>394</v>
      </c>
      <c r="H145" s="29" t="s">
        <v>112</v>
      </c>
      <c r="I145" s="29" t="s">
        <v>39</v>
      </c>
      <c r="J145" s="29" t="s">
        <v>133</v>
      </c>
      <c r="K145" s="29" t="s">
        <v>403</v>
      </c>
      <c r="L145" s="29" t="s">
        <v>317</v>
      </c>
      <c r="M145" s="29" t="s">
        <v>396</v>
      </c>
      <c r="N145" s="29" t="s">
        <v>118</v>
      </c>
      <c r="O145" s="29" t="s">
        <v>59</v>
      </c>
      <c r="P145" s="30" t="s">
        <v>136</v>
      </c>
    </row>
    <row r="146" s="25" customFormat="1" spans="1:16">
      <c r="A146" s="29" t="s">
        <v>403</v>
      </c>
      <c r="B146" s="29" t="s">
        <v>393</v>
      </c>
      <c r="C146" s="29" t="s">
        <v>35</v>
      </c>
      <c r="D146" s="29" t="s">
        <v>43</v>
      </c>
      <c r="E146" s="29" t="s">
        <v>35</v>
      </c>
      <c r="F146" s="29" t="s">
        <v>47</v>
      </c>
      <c r="G146" s="29" t="s">
        <v>394</v>
      </c>
      <c r="H146" s="29" t="s">
        <v>112</v>
      </c>
      <c r="I146" s="29" t="s">
        <v>39</v>
      </c>
      <c r="J146" s="29" t="s">
        <v>137</v>
      </c>
      <c r="K146" s="29" t="s">
        <v>404</v>
      </c>
      <c r="L146" s="29" t="s">
        <v>320</v>
      </c>
      <c r="M146" s="29" t="s">
        <v>396</v>
      </c>
      <c r="N146" s="29" t="s">
        <v>118</v>
      </c>
      <c r="O146" s="29" t="s">
        <v>59</v>
      </c>
      <c r="P146" s="30" t="s">
        <v>140</v>
      </c>
    </row>
    <row r="147" s="25" customFormat="1" spans="1:16">
      <c r="A147" s="29" t="s">
        <v>404</v>
      </c>
      <c r="B147" s="29" t="s">
        <v>393</v>
      </c>
      <c r="C147" s="29" t="s">
        <v>35</v>
      </c>
      <c r="D147" s="29" t="s">
        <v>43</v>
      </c>
      <c r="E147" s="29" t="s">
        <v>35</v>
      </c>
      <c r="F147" s="29" t="s">
        <v>47</v>
      </c>
      <c r="G147" s="29" t="s">
        <v>394</v>
      </c>
      <c r="H147" s="29" t="s">
        <v>112</v>
      </c>
      <c r="I147" s="29" t="s">
        <v>39</v>
      </c>
      <c r="J147" s="29" t="s">
        <v>141</v>
      </c>
      <c r="K147" s="29" t="s">
        <v>405</v>
      </c>
      <c r="L147" s="29" t="s">
        <v>323</v>
      </c>
      <c r="M147" s="29" t="s">
        <v>396</v>
      </c>
      <c r="N147" s="29" t="s">
        <v>118</v>
      </c>
      <c r="O147" s="29" t="s">
        <v>59</v>
      </c>
      <c r="P147" s="30" t="s">
        <v>144</v>
      </c>
    </row>
    <row r="148" s="25" customFormat="1" spans="1:16">
      <c r="A148" s="29" t="s">
        <v>405</v>
      </c>
      <c r="B148" s="29" t="s">
        <v>393</v>
      </c>
      <c r="C148" s="29" t="s">
        <v>35</v>
      </c>
      <c r="D148" s="29" t="s">
        <v>43</v>
      </c>
      <c r="E148" s="29" t="s">
        <v>35</v>
      </c>
      <c r="F148" s="29" t="s">
        <v>47</v>
      </c>
      <c r="G148" s="29" t="s">
        <v>394</v>
      </c>
      <c r="H148" s="29" t="s">
        <v>112</v>
      </c>
      <c r="I148" s="29" t="s">
        <v>39</v>
      </c>
      <c r="J148" s="29" t="s">
        <v>145</v>
      </c>
      <c r="K148" s="29" t="s">
        <v>406</v>
      </c>
      <c r="L148" s="29" t="s">
        <v>407</v>
      </c>
      <c r="M148" s="29" t="s">
        <v>396</v>
      </c>
      <c r="N148" s="29" t="s">
        <v>118</v>
      </c>
      <c r="O148" s="29" t="s">
        <v>59</v>
      </c>
      <c r="P148" s="30" t="s">
        <v>146</v>
      </c>
    </row>
    <row r="149" s="25" customFormat="1" spans="1:16">
      <c r="A149" s="29" t="s">
        <v>406</v>
      </c>
      <c r="B149" s="29" t="s">
        <v>393</v>
      </c>
      <c r="C149" s="29" t="s">
        <v>35</v>
      </c>
      <c r="D149" s="29" t="s">
        <v>43</v>
      </c>
      <c r="E149" s="29" t="s">
        <v>35</v>
      </c>
      <c r="F149" s="29" t="s">
        <v>47</v>
      </c>
      <c r="G149" s="29" t="s">
        <v>394</v>
      </c>
      <c r="H149" s="29" t="s">
        <v>112</v>
      </c>
      <c r="I149" s="29" t="s">
        <v>39</v>
      </c>
      <c r="J149" s="29" t="s">
        <v>408</v>
      </c>
      <c r="K149" s="29" t="s">
        <v>409</v>
      </c>
      <c r="L149" s="29" t="s">
        <v>410</v>
      </c>
      <c r="M149" s="29" t="s">
        <v>396</v>
      </c>
      <c r="N149" s="29" t="s">
        <v>118</v>
      </c>
      <c r="O149" s="29" t="s">
        <v>59</v>
      </c>
      <c r="P149" s="30" t="s">
        <v>411</v>
      </c>
    </row>
    <row r="150" s="25" customFormat="1" spans="1:16">
      <c r="A150" s="29" t="s">
        <v>409</v>
      </c>
      <c r="B150" s="29" t="s">
        <v>393</v>
      </c>
      <c r="C150" s="29" t="s">
        <v>35</v>
      </c>
      <c r="D150" s="29" t="s">
        <v>43</v>
      </c>
      <c r="E150" s="29" t="s">
        <v>35</v>
      </c>
      <c r="F150" s="29" t="s">
        <v>47</v>
      </c>
      <c r="G150" s="29" t="s">
        <v>394</v>
      </c>
      <c r="H150" s="29" t="s">
        <v>112</v>
      </c>
      <c r="I150" s="29" t="s">
        <v>39</v>
      </c>
      <c r="J150" s="29" t="s">
        <v>412</v>
      </c>
      <c r="K150" s="29" t="s">
        <v>413</v>
      </c>
      <c r="L150" s="29" t="s">
        <v>414</v>
      </c>
      <c r="M150" s="29" t="s">
        <v>396</v>
      </c>
      <c r="N150" s="29" t="s">
        <v>118</v>
      </c>
      <c r="O150" s="29" t="s">
        <v>59</v>
      </c>
      <c r="P150" s="30" t="s">
        <v>415</v>
      </c>
    </row>
    <row r="151" s="25" customFormat="1" spans="1:16">
      <c r="A151" s="29" t="s">
        <v>413</v>
      </c>
      <c r="B151" s="29" t="s">
        <v>393</v>
      </c>
      <c r="C151" s="29" t="s">
        <v>35</v>
      </c>
      <c r="D151" s="29" t="s">
        <v>43</v>
      </c>
      <c r="E151" s="29" t="s">
        <v>35</v>
      </c>
      <c r="F151" s="29" t="s">
        <v>47</v>
      </c>
      <c r="G151" s="29" t="s">
        <v>394</v>
      </c>
      <c r="H151" s="29" t="s">
        <v>112</v>
      </c>
      <c r="I151" s="29" t="s">
        <v>39</v>
      </c>
      <c r="J151" s="29" t="s">
        <v>416</v>
      </c>
      <c r="K151" s="29" t="s">
        <v>417</v>
      </c>
      <c r="L151" s="29" t="s">
        <v>418</v>
      </c>
      <c r="M151" s="29" t="s">
        <v>396</v>
      </c>
      <c r="N151" s="29" t="s">
        <v>118</v>
      </c>
      <c r="O151" s="29" t="s">
        <v>59</v>
      </c>
      <c r="P151" s="30" t="s">
        <v>419</v>
      </c>
    </row>
    <row r="152" s="25" customFormat="1" spans="1:16">
      <c r="A152" s="29" t="s">
        <v>417</v>
      </c>
      <c r="B152" s="29" t="s">
        <v>393</v>
      </c>
      <c r="C152" s="29" t="s">
        <v>35</v>
      </c>
      <c r="D152" s="29" t="s">
        <v>43</v>
      </c>
      <c r="E152" s="29" t="s">
        <v>35</v>
      </c>
      <c r="F152" s="29" t="s">
        <v>47</v>
      </c>
      <c r="G152" s="29" t="s">
        <v>394</v>
      </c>
      <c r="H152" s="29" t="s">
        <v>112</v>
      </c>
      <c r="I152" s="29" t="s">
        <v>39</v>
      </c>
      <c r="J152" s="29" t="s">
        <v>420</v>
      </c>
      <c r="K152" s="29" t="s">
        <v>421</v>
      </c>
      <c r="L152" s="29" t="s">
        <v>422</v>
      </c>
      <c r="M152" s="29" t="s">
        <v>396</v>
      </c>
      <c r="N152" s="29" t="s">
        <v>118</v>
      </c>
      <c r="O152" s="29" t="s">
        <v>59</v>
      </c>
      <c r="P152" s="30" t="s">
        <v>423</v>
      </c>
    </row>
    <row r="153" s="25" customFormat="1" spans="1:16">
      <c r="A153" s="29" t="s">
        <v>421</v>
      </c>
      <c r="B153" s="29" t="s">
        <v>393</v>
      </c>
      <c r="C153" s="29" t="s">
        <v>35</v>
      </c>
      <c r="D153" s="29" t="s">
        <v>43</v>
      </c>
      <c r="E153" s="29" t="s">
        <v>35</v>
      </c>
      <c r="F153" s="29" t="s">
        <v>47</v>
      </c>
      <c r="G153" s="29" t="s">
        <v>394</v>
      </c>
      <c r="H153" s="29" t="s">
        <v>112</v>
      </c>
      <c r="I153" s="29" t="s">
        <v>39</v>
      </c>
      <c r="J153" s="29" t="s">
        <v>424</v>
      </c>
      <c r="K153" s="29" t="s">
        <v>39</v>
      </c>
      <c r="L153" s="29" t="s">
        <v>39</v>
      </c>
      <c r="M153" s="29" t="s">
        <v>39</v>
      </c>
      <c r="N153" s="29" t="s">
        <v>118</v>
      </c>
      <c r="O153" s="29" t="s">
        <v>59</v>
      </c>
      <c r="P153" s="30" t="s">
        <v>425</v>
      </c>
    </row>
    <row r="154" s="25" customFormat="1" spans="1:16">
      <c r="A154" s="29" t="s">
        <v>426</v>
      </c>
      <c r="B154" s="29" t="s">
        <v>426</v>
      </c>
      <c r="C154" s="29" t="s">
        <v>35</v>
      </c>
      <c r="D154" s="29" t="s">
        <v>43</v>
      </c>
      <c r="E154" s="29" t="s">
        <v>35</v>
      </c>
      <c r="F154" s="29" t="s">
        <v>47</v>
      </c>
      <c r="G154" s="29" t="s">
        <v>427</v>
      </c>
      <c r="H154" s="29" t="s">
        <v>149</v>
      </c>
      <c r="I154" s="29" t="s">
        <v>39</v>
      </c>
      <c r="J154" s="29" t="s">
        <v>39</v>
      </c>
      <c r="K154" s="29" t="s">
        <v>428</v>
      </c>
      <c r="L154" s="29" t="s">
        <v>297</v>
      </c>
      <c r="M154" s="29" t="s">
        <v>429</v>
      </c>
      <c r="N154" s="29" t="s">
        <v>152</v>
      </c>
      <c r="O154" s="29" t="s">
        <v>129</v>
      </c>
      <c r="P154" s="30" t="s">
        <v>153</v>
      </c>
    </row>
    <row r="155" s="25" customFormat="1" spans="1:16">
      <c r="A155" s="29" t="s">
        <v>428</v>
      </c>
      <c r="B155" s="29" t="s">
        <v>426</v>
      </c>
      <c r="C155" s="29" t="s">
        <v>35</v>
      </c>
      <c r="D155" s="29" t="s">
        <v>43</v>
      </c>
      <c r="E155" s="29" t="s">
        <v>35</v>
      </c>
      <c r="F155" s="29" t="s">
        <v>47</v>
      </c>
      <c r="G155" s="29" t="s">
        <v>427</v>
      </c>
      <c r="H155" s="29" t="s">
        <v>149</v>
      </c>
      <c r="I155" s="29" t="s">
        <v>39</v>
      </c>
      <c r="J155" s="29" t="s">
        <v>35</v>
      </c>
      <c r="K155" s="29" t="s">
        <v>430</v>
      </c>
      <c r="L155" s="29" t="s">
        <v>300</v>
      </c>
      <c r="M155" s="29" t="s">
        <v>429</v>
      </c>
      <c r="N155" s="29" t="s">
        <v>155</v>
      </c>
      <c r="O155" s="29" t="s">
        <v>129</v>
      </c>
      <c r="P155" s="30" t="s">
        <v>156</v>
      </c>
    </row>
    <row r="156" s="25" customFormat="1" spans="1:16">
      <c r="A156" s="29" t="s">
        <v>430</v>
      </c>
      <c r="B156" s="29" t="s">
        <v>426</v>
      </c>
      <c r="C156" s="29" t="s">
        <v>35</v>
      </c>
      <c r="D156" s="29" t="s">
        <v>43</v>
      </c>
      <c r="E156" s="29" t="s">
        <v>35</v>
      </c>
      <c r="F156" s="29" t="s">
        <v>47</v>
      </c>
      <c r="G156" s="29" t="s">
        <v>427</v>
      </c>
      <c r="H156" s="29" t="s">
        <v>149</v>
      </c>
      <c r="I156" s="29" t="s">
        <v>39</v>
      </c>
      <c r="J156" s="29" t="s">
        <v>47</v>
      </c>
      <c r="K156" s="29" t="s">
        <v>431</v>
      </c>
      <c r="L156" s="29" t="s">
        <v>304</v>
      </c>
      <c r="M156" s="29" t="s">
        <v>429</v>
      </c>
      <c r="N156" s="29" t="s">
        <v>155</v>
      </c>
      <c r="O156" s="29" t="s">
        <v>129</v>
      </c>
      <c r="P156" s="30" t="s">
        <v>158</v>
      </c>
    </row>
    <row r="157" s="25" customFormat="1" spans="1:16">
      <c r="A157" s="29" t="s">
        <v>431</v>
      </c>
      <c r="B157" s="29" t="s">
        <v>426</v>
      </c>
      <c r="C157" s="29" t="s">
        <v>35</v>
      </c>
      <c r="D157" s="29" t="s">
        <v>43</v>
      </c>
      <c r="E157" s="29" t="s">
        <v>35</v>
      </c>
      <c r="F157" s="29" t="s">
        <v>47</v>
      </c>
      <c r="G157" s="29" t="s">
        <v>427</v>
      </c>
      <c r="H157" s="29" t="s">
        <v>149</v>
      </c>
      <c r="I157" s="29" t="s">
        <v>39</v>
      </c>
      <c r="J157" s="29" t="s">
        <v>51</v>
      </c>
      <c r="K157" s="29" t="s">
        <v>432</v>
      </c>
      <c r="L157" s="29" t="s">
        <v>307</v>
      </c>
      <c r="M157" s="29" t="s">
        <v>429</v>
      </c>
      <c r="N157" s="29" t="s">
        <v>155</v>
      </c>
      <c r="O157" s="29" t="s">
        <v>129</v>
      </c>
      <c r="P157" s="30" t="s">
        <v>160</v>
      </c>
    </row>
    <row r="158" s="25" customFormat="1" spans="1:16">
      <c r="A158" s="29" t="s">
        <v>432</v>
      </c>
      <c r="B158" s="29" t="s">
        <v>426</v>
      </c>
      <c r="C158" s="29" t="s">
        <v>35</v>
      </c>
      <c r="D158" s="29" t="s">
        <v>43</v>
      </c>
      <c r="E158" s="29" t="s">
        <v>35</v>
      </c>
      <c r="F158" s="29" t="s">
        <v>47</v>
      </c>
      <c r="G158" s="29" t="s">
        <v>427</v>
      </c>
      <c r="H158" s="29" t="s">
        <v>149</v>
      </c>
      <c r="I158" s="29" t="s">
        <v>39</v>
      </c>
      <c r="J158" s="29" t="s">
        <v>55</v>
      </c>
      <c r="K158" s="29" t="s">
        <v>433</v>
      </c>
      <c r="L158" s="29" t="s">
        <v>309</v>
      </c>
      <c r="M158" s="29" t="s">
        <v>429</v>
      </c>
      <c r="N158" s="29" t="s">
        <v>155</v>
      </c>
      <c r="O158" s="29" t="s">
        <v>129</v>
      </c>
      <c r="P158" s="30" t="s">
        <v>162</v>
      </c>
    </row>
    <row r="159" s="25" customFormat="1" spans="1:16">
      <c r="A159" s="29" t="s">
        <v>433</v>
      </c>
      <c r="B159" s="29" t="s">
        <v>426</v>
      </c>
      <c r="C159" s="29" t="s">
        <v>35</v>
      </c>
      <c r="D159" s="29" t="s">
        <v>43</v>
      </c>
      <c r="E159" s="29" t="s">
        <v>35</v>
      </c>
      <c r="F159" s="29" t="s">
        <v>47</v>
      </c>
      <c r="G159" s="29" t="s">
        <v>427</v>
      </c>
      <c r="H159" s="29" t="s">
        <v>149</v>
      </c>
      <c r="I159" s="29" t="s">
        <v>39</v>
      </c>
      <c r="J159" s="29" t="s">
        <v>59</v>
      </c>
      <c r="K159" s="29" t="s">
        <v>434</v>
      </c>
      <c r="L159" s="29" t="s">
        <v>312</v>
      </c>
      <c r="M159" s="29" t="s">
        <v>429</v>
      </c>
      <c r="N159" s="29" t="s">
        <v>155</v>
      </c>
      <c r="O159" s="29" t="s">
        <v>129</v>
      </c>
      <c r="P159" s="30" t="s">
        <v>164</v>
      </c>
    </row>
    <row r="160" s="25" customFormat="1" spans="1:16">
      <c r="A160" s="29" t="s">
        <v>434</v>
      </c>
      <c r="B160" s="29" t="s">
        <v>426</v>
      </c>
      <c r="C160" s="29" t="s">
        <v>35</v>
      </c>
      <c r="D160" s="29" t="s">
        <v>43</v>
      </c>
      <c r="E160" s="29" t="s">
        <v>35</v>
      </c>
      <c r="F160" s="29" t="s">
        <v>47</v>
      </c>
      <c r="G160" s="29" t="s">
        <v>427</v>
      </c>
      <c r="H160" s="29" t="s">
        <v>149</v>
      </c>
      <c r="I160" s="29" t="s">
        <v>39</v>
      </c>
      <c r="J160" s="29" t="s">
        <v>129</v>
      </c>
      <c r="K160" s="29" t="s">
        <v>435</v>
      </c>
      <c r="L160" s="29" t="s">
        <v>315</v>
      </c>
      <c r="M160" s="29" t="s">
        <v>429</v>
      </c>
      <c r="N160" s="29" t="s">
        <v>155</v>
      </c>
      <c r="O160" s="29" t="s">
        <v>129</v>
      </c>
      <c r="P160" s="30" t="s">
        <v>166</v>
      </c>
    </row>
    <row r="161" s="25" customFormat="1" spans="1:16">
      <c r="A161" s="29" t="s">
        <v>435</v>
      </c>
      <c r="B161" s="29" t="s">
        <v>426</v>
      </c>
      <c r="C161" s="29" t="s">
        <v>35</v>
      </c>
      <c r="D161" s="29" t="s">
        <v>43</v>
      </c>
      <c r="E161" s="29" t="s">
        <v>35</v>
      </c>
      <c r="F161" s="29" t="s">
        <v>47</v>
      </c>
      <c r="G161" s="29" t="s">
        <v>427</v>
      </c>
      <c r="H161" s="29" t="s">
        <v>149</v>
      </c>
      <c r="I161" s="29" t="s">
        <v>39</v>
      </c>
      <c r="J161" s="29" t="s">
        <v>133</v>
      </c>
      <c r="K161" s="29" t="s">
        <v>436</v>
      </c>
      <c r="L161" s="29" t="s">
        <v>317</v>
      </c>
      <c r="M161" s="29" t="s">
        <v>429</v>
      </c>
      <c r="N161" s="29" t="s">
        <v>155</v>
      </c>
      <c r="O161" s="29" t="s">
        <v>129</v>
      </c>
      <c r="P161" s="30" t="s">
        <v>168</v>
      </c>
    </row>
    <row r="162" s="25" customFormat="1" spans="1:16">
      <c r="A162" s="29" t="s">
        <v>436</v>
      </c>
      <c r="B162" s="29" t="s">
        <v>426</v>
      </c>
      <c r="C162" s="29" t="s">
        <v>35</v>
      </c>
      <c r="D162" s="29" t="s">
        <v>43</v>
      </c>
      <c r="E162" s="29" t="s">
        <v>35</v>
      </c>
      <c r="F162" s="29" t="s">
        <v>47</v>
      </c>
      <c r="G162" s="29" t="s">
        <v>427</v>
      </c>
      <c r="H162" s="29" t="s">
        <v>149</v>
      </c>
      <c r="I162" s="29" t="s">
        <v>39</v>
      </c>
      <c r="J162" s="29" t="s">
        <v>137</v>
      </c>
      <c r="K162" s="29" t="s">
        <v>437</v>
      </c>
      <c r="L162" s="29" t="s">
        <v>320</v>
      </c>
      <c r="M162" s="29" t="s">
        <v>429</v>
      </c>
      <c r="N162" s="29" t="s">
        <v>155</v>
      </c>
      <c r="O162" s="29" t="s">
        <v>129</v>
      </c>
      <c r="P162" s="30" t="s">
        <v>170</v>
      </c>
    </row>
    <row r="163" s="25" customFormat="1" spans="1:16">
      <c r="A163" s="29" t="s">
        <v>437</v>
      </c>
      <c r="B163" s="29" t="s">
        <v>426</v>
      </c>
      <c r="C163" s="29" t="s">
        <v>35</v>
      </c>
      <c r="D163" s="29" t="s">
        <v>43</v>
      </c>
      <c r="E163" s="29" t="s">
        <v>35</v>
      </c>
      <c r="F163" s="29" t="s">
        <v>47</v>
      </c>
      <c r="G163" s="29" t="s">
        <v>427</v>
      </c>
      <c r="H163" s="29" t="s">
        <v>149</v>
      </c>
      <c r="I163" s="29" t="s">
        <v>39</v>
      </c>
      <c r="J163" s="29" t="s">
        <v>141</v>
      </c>
      <c r="K163" s="29" t="s">
        <v>438</v>
      </c>
      <c r="L163" s="29" t="s">
        <v>323</v>
      </c>
      <c r="M163" s="29" t="s">
        <v>429</v>
      </c>
      <c r="N163" s="29" t="s">
        <v>155</v>
      </c>
      <c r="O163" s="29" t="s">
        <v>129</v>
      </c>
      <c r="P163" s="30" t="s">
        <v>172</v>
      </c>
    </row>
    <row r="164" s="25" customFormat="1" spans="1:16">
      <c r="A164" s="29" t="s">
        <v>438</v>
      </c>
      <c r="B164" s="29" t="s">
        <v>426</v>
      </c>
      <c r="C164" s="29" t="s">
        <v>35</v>
      </c>
      <c r="D164" s="29" t="s">
        <v>43</v>
      </c>
      <c r="E164" s="29" t="s">
        <v>35</v>
      </c>
      <c r="F164" s="29" t="s">
        <v>47</v>
      </c>
      <c r="G164" s="29" t="s">
        <v>427</v>
      </c>
      <c r="H164" s="29" t="s">
        <v>149</v>
      </c>
      <c r="I164" s="29" t="s">
        <v>39</v>
      </c>
      <c r="J164" s="29" t="s">
        <v>145</v>
      </c>
      <c r="K164" s="29" t="s">
        <v>439</v>
      </c>
      <c r="L164" s="29" t="s">
        <v>407</v>
      </c>
      <c r="M164" s="29" t="s">
        <v>429</v>
      </c>
      <c r="N164" s="29" t="s">
        <v>155</v>
      </c>
      <c r="O164" s="29" t="s">
        <v>129</v>
      </c>
      <c r="P164" s="30" t="s">
        <v>173</v>
      </c>
    </row>
    <row r="165" s="25" customFormat="1" spans="1:16">
      <c r="A165" s="29" t="s">
        <v>439</v>
      </c>
      <c r="B165" s="29" t="s">
        <v>426</v>
      </c>
      <c r="C165" s="29" t="s">
        <v>35</v>
      </c>
      <c r="D165" s="29" t="s">
        <v>43</v>
      </c>
      <c r="E165" s="29" t="s">
        <v>35</v>
      </c>
      <c r="F165" s="29" t="s">
        <v>47</v>
      </c>
      <c r="G165" s="29" t="s">
        <v>427</v>
      </c>
      <c r="H165" s="29" t="s">
        <v>149</v>
      </c>
      <c r="I165" s="29" t="s">
        <v>39</v>
      </c>
      <c r="J165" s="29" t="s">
        <v>408</v>
      </c>
      <c r="K165" s="29" t="s">
        <v>440</v>
      </c>
      <c r="L165" s="29" t="s">
        <v>410</v>
      </c>
      <c r="M165" s="29" t="s">
        <v>429</v>
      </c>
      <c r="N165" s="29" t="s">
        <v>155</v>
      </c>
      <c r="O165" s="29" t="s">
        <v>129</v>
      </c>
      <c r="P165" s="30" t="s">
        <v>441</v>
      </c>
    </row>
    <row r="166" s="25" customFormat="1" spans="1:16">
      <c r="A166" s="29" t="s">
        <v>440</v>
      </c>
      <c r="B166" s="29" t="s">
        <v>426</v>
      </c>
      <c r="C166" s="29" t="s">
        <v>35</v>
      </c>
      <c r="D166" s="29" t="s">
        <v>43</v>
      </c>
      <c r="E166" s="29" t="s">
        <v>35</v>
      </c>
      <c r="F166" s="29" t="s">
        <v>47</v>
      </c>
      <c r="G166" s="29" t="s">
        <v>427</v>
      </c>
      <c r="H166" s="29" t="s">
        <v>149</v>
      </c>
      <c r="I166" s="29" t="s">
        <v>39</v>
      </c>
      <c r="J166" s="29" t="s">
        <v>412</v>
      </c>
      <c r="K166" s="29" t="s">
        <v>442</v>
      </c>
      <c r="L166" s="29" t="s">
        <v>414</v>
      </c>
      <c r="M166" s="29" t="s">
        <v>429</v>
      </c>
      <c r="N166" s="29" t="s">
        <v>155</v>
      </c>
      <c r="O166" s="29" t="s">
        <v>129</v>
      </c>
      <c r="P166" s="30" t="s">
        <v>443</v>
      </c>
    </row>
    <row r="167" s="25" customFormat="1" spans="1:16">
      <c r="A167" s="29" t="s">
        <v>442</v>
      </c>
      <c r="B167" s="29" t="s">
        <v>426</v>
      </c>
      <c r="C167" s="29" t="s">
        <v>35</v>
      </c>
      <c r="D167" s="29" t="s">
        <v>43</v>
      </c>
      <c r="E167" s="29" t="s">
        <v>35</v>
      </c>
      <c r="F167" s="29" t="s">
        <v>47</v>
      </c>
      <c r="G167" s="29" t="s">
        <v>427</v>
      </c>
      <c r="H167" s="29" t="s">
        <v>149</v>
      </c>
      <c r="I167" s="29" t="s">
        <v>39</v>
      </c>
      <c r="J167" s="29" t="s">
        <v>416</v>
      </c>
      <c r="K167" s="29" t="s">
        <v>444</v>
      </c>
      <c r="L167" s="29" t="s">
        <v>418</v>
      </c>
      <c r="M167" s="29" t="s">
        <v>429</v>
      </c>
      <c r="N167" s="29" t="s">
        <v>155</v>
      </c>
      <c r="O167" s="29" t="s">
        <v>129</v>
      </c>
      <c r="P167" s="30" t="s">
        <v>445</v>
      </c>
    </row>
    <row r="168" s="25" customFormat="1" spans="1:16">
      <c r="A168" s="29" t="s">
        <v>444</v>
      </c>
      <c r="B168" s="29" t="s">
        <v>426</v>
      </c>
      <c r="C168" s="29" t="s">
        <v>35</v>
      </c>
      <c r="D168" s="29" t="s">
        <v>43</v>
      </c>
      <c r="E168" s="29" t="s">
        <v>35</v>
      </c>
      <c r="F168" s="29" t="s">
        <v>47</v>
      </c>
      <c r="G168" s="29" t="s">
        <v>427</v>
      </c>
      <c r="H168" s="29" t="s">
        <v>149</v>
      </c>
      <c r="I168" s="29" t="s">
        <v>39</v>
      </c>
      <c r="J168" s="29" t="s">
        <v>420</v>
      </c>
      <c r="K168" s="29" t="s">
        <v>446</v>
      </c>
      <c r="L168" s="29" t="s">
        <v>422</v>
      </c>
      <c r="M168" s="29" t="s">
        <v>429</v>
      </c>
      <c r="N168" s="29" t="s">
        <v>155</v>
      </c>
      <c r="O168" s="29" t="s">
        <v>129</v>
      </c>
      <c r="P168" s="30" t="s">
        <v>447</v>
      </c>
    </row>
    <row r="169" s="25" customFormat="1" spans="1:16">
      <c r="A169" s="29" t="s">
        <v>446</v>
      </c>
      <c r="B169" s="29" t="s">
        <v>426</v>
      </c>
      <c r="C169" s="29" t="s">
        <v>35</v>
      </c>
      <c r="D169" s="29" t="s">
        <v>43</v>
      </c>
      <c r="E169" s="29" t="s">
        <v>35</v>
      </c>
      <c r="F169" s="29" t="s">
        <v>47</v>
      </c>
      <c r="G169" s="29" t="s">
        <v>427</v>
      </c>
      <c r="H169" s="29" t="s">
        <v>149</v>
      </c>
      <c r="I169" s="29" t="s">
        <v>39</v>
      </c>
      <c r="J169" s="29" t="s">
        <v>424</v>
      </c>
      <c r="K169" s="29" t="s">
        <v>39</v>
      </c>
      <c r="L169" s="29" t="s">
        <v>39</v>
      </c>
      <c r="M169" s="29" t="s">
        <v>39</v>
      </c>
      <c r="N169" s="29" t="s">
        <v>155</v>
      </c>
      <c r="O169" s="29" t="s">
        <v>129</v>
      </c>
      <c r="P169" s="30" t="s">
        <v>448</v>
      </c>
    </row>
    <row r="170" s="25" customFormat="1" spans="1:16">
      <c r="A170" s="29" t="s">
        <v>449</v>
      </c>
      <c r="B170" s="29" t="s">
        <v>449</v>
      </c>
      <c r="C170" s="29" t="s">
        <v>35</v>
      </c>
      <c r="D170" s="29" t="s">
        <v>43</v>
      </c>
      <c r="E170" s="29" t="s">
        <v>35</v>
      </c>
      <c r="F170" s="29" t="s">
        <v>47</v>
      </c>
      <c r="G170" s="29" t="s">
        <v>450</v>
      </c>
      <c r="H170" s="29" t="s">
        <v>176</v>
      </c>
      <c r="I170" s="29" t="s">
        <v>39</v>
      </c>
      <c r="J170" s="29" t="s">
        <v>39</v>
      </c>
      <c r="K170" s="29" t="s">
        <v>451</v>
      </c>
      <c r="L170" s="29" t="s">
        <v>297</v>
      </c>
      <c r="M170" s="29" t="s">
        <v>452</v>
      </c>
      <c r="N170" s="29" t="s">
        <v>179</v>
      </c>
      <c r="O170" s="29" t="s">
        <v>133</v>
      </c>
      <c r="P170" s="30" t="s">
        <v>180</v>
      </c>
    </row>
    <row r="171" s="25" customFormat="1" spans="1:16">
      <c r="A171" s="29" t="s">
        <v>451</v>
      </c>
      <c r="B171" s="29" t="s">
        <v>449</v>
      </c>
      <c r="C171" s="29" t="s">
        <v>35</v>
      </c>
      <c r="D171" s="29" t="s">
        <v>43</v>
      </c>
      <c r="E171" s="29" t="s">
        <v>35</v>
      </c>
      <c r="F171" s="29" t="s">
        <v>47</v>
      </c>
      <c r="G171" s="29" t="s">
        <v>450</v>
      </c>
      <c r="H171" s="29" t="s">
        <v>176</v>
      </c>
      <c r="I171" s="29" t="s">
        <v>39</v>
      </c>
      <c r="J171" s="29" t="s">
        <v>35</v>
      </c>
      <c r="K171" s="29" t="s">
        <v>453</v>
      </c>
      <c r="L171" s="29" t="s">
        <v>300</v>
      </c>
      <c r="M171" s="29" t="s">
        <v>452</v>
      </c>
      <c r="N171" s="29" t="s">
        <v>182</v>
      </c>
      <c r="O171" s="29" t="s">
        <v>133</v>
      </c>
      <c r="P171" s="30" t="s">
        <v>183</v>
      </c>
    </row>
    <row r="172" s="25" customFormat="1" spans="1:16">
      <c r="A172" s="29" t="s">
        <v>453</v>
      </c>
      <c r="B172" s="29" t="s">
        <v>449</v>
      </c>
      <c r="C172" s="29" t="s">
        <v>35</v>
      </c>
      <c r="D172" s="29" t="s">
        <v>43</v>
      </c>
      <c r="E172" s="29" t="s">
        <v>35</v>
      </c>
      <c r="F172" s="29" t="s">
        <v>47</v>
      </c>
      <c r="G172" s="29" t="s">
        <v>450</v>
      </c>
      <c r="H172" s="29" t="s">
        <v>176</v>
      </c>
      <c r="I172" s="29" t="s">
        <v>39</v>
      </c>
      <c r="J172" s="29" t="s">
        <v>47</v>
      </c>
      <c r="K172" s="29" t="s">
        <v>454</v>
      </c>
      <c r="L172" s="29" t="s">
        <v>304</v>
      </c>
      <c r="M172" s="29" t="s">
        <v>452</v>
      </c>
      <c r="N172" s="29" t="s">
        <v>182</v>
      </c>
      <c r="O172" s="29" t="s">
        <v>133</v>
      </c>
      <c r="P172" s="30" t="s">
        <v>185</v>
      </c>
    </row>
    <row r="173" s="25" customFormat="1" spans="1:16">
      <c r="A173" s="29" t="s">
        <v>454</v>
      </c>
      <c r="B173" s="29" t="s">
        <v>449</v>
      </c>
      <c r="C173" s="29" t="s">
        <v>35</v>
      </c>
      <c r="D173" s="29" t="s">
        <v>43</v>
      </c>
      <c r="E173" s="29" t="s">
        <v>35</v>
      </c>
      <c r="F173" s="29" t="s">
        <v>47</v>
      </c>
      <c r="G173" s="29" t="s">
        <v>450</v>
      </c>
      <c r="H173" s="29" t="s">
        <v>176</v>
      </c>
      <c r="I173" s="29" t="s">
        <v>39</v>
      </c>
      <c r="J173" s="29" t="s">
        <v>51</v>
      </c>
      <c r="K173" s="29" t="s">
        <v>455</v>
      </c>
      <c r="L173" s="29" t="s">
        <v>307</v>
      </c>
      <c r="M173" s="29" t="s">
        <v>452</v>
      </c>
      <c r="N173" s="29" t="s">
        <v>182</v>
      </c>
      <c r="O173" s="29" t="s">
        <v>133</v>
      </c>
      <c r="P173" s="30" t="s">
        <v>187</v>
      </c>
    </row>
    <row r="174" s="25" customFormat="1" spans="1:16">
      <c r="A174" s="29" t="s">
        <v>455</v>
      </c>
      <c r="B174" s="29" t="s">
        <v>449</v>
      </c>
      <c r="C174" s="29" t="s">
        <v>35</v>
      </c>
      <c r="D174" s="29" t="s">
        <v>43</v>
      </c>
      <c r="E174" s="29" t="s">
        <v>35</v>
      </c>
      <c r="F174" s="29" t="s">
        <v>47</v>
      </c>
      <c r="G174" s="29" t="s">
        <v>450</v>
      </c>
      <c r="H174" s="29" t="s">
        <v>176</v>
      </c>
      <c r="I174" s="29" t="s">
        <v>39</v>
      </c>
      <c r="J174" s="29" t="s">
        <v>55</v>
      </c>
      <c r="K174" s="29" t="s">
        <v>456</v>
      </c>
      <c r="L174" s="29" t="s">
        <v>309</v>
      </c>
      <c r="M174" s="29" t="s">
        <v>452</v>
      </c>
      <c r="N174" s="29" t="s">
        <v>182</v>
      </c>
      <c r="O174" s="29" t="s">
        <v>133</v>
      </c>
      <c r="P174" s="30" t="s">
        <v>189</v>
      </c>
    </row>
    <row r="175" s="25" customFormat="1" spans="1:16">
      <c r="A175" s="29" t="s">
        <v>456</v>
      </c>
      <c r="B175" s="29" t="s">
        <v>449</v>
      </c>
      <c r="C175" s="29" t="s">
        <v>35</v>
      </c>
      <c r="D175" s="29" t="s">
        <v>43</v>
      </c>
      <c r="E175" s="29" t="s">
        <v>35</v>
      </c>
      <c r="F175" s="29" t="s">
        <v>47</v>
      </c>
      <c r="G175" s="29" t="s">
        <v>450</v>
      </c>
      <c r="H175" s="29" t="s">
        <v>176</v>
      </c>
      <c r="I175" s="29" t="s">
        <v>39</v>
      </c>
      <c r="J175" s="29" t="s">
        <v>59</v>
      </c>
      <c r="K175" s="29" t="s">
        <v>457</v>
      </c>
      <c r="L175" s="29" t="s">
        <v>312</v>
      </c>
      <c r="M175" s="29" t="s">
        <v>452</v>
      </c>
      <c r="N175" s="29" t="s">
        <v>182</v>
      </c>
      <c r="O175" s="29" t="s">
        <v>133</v>
      </c>
      <c r="P175" s="30" t="s">
        <v>191</v>
      </c>
    </row>
    <row r="176" s="25" customFormat="1" spans="1:16">
      <c r="A176" s="29" t="s">
        <v>457</v>
      </c>
      <c r="B176" s="29" t="s">
        <v>449</v>
      </c>
      <c r="C176" s="29" t="s">
        <v>35</v>
      </c>
      <c r="D176" s="29" t="s">
        <v>43</v>
      </c>
      <c r="E176" s="29" t="s">
        <v>35</v>
      </c>
      <c r="F176" s="29" t="s">
        <v>47</v>
      </c>
      <c r="G176" s="29" t="s">
        <v>450</v>
      </c>
      <c r="H176" s="29" t="s">
        <v>176</v>
      </c>
      <c r="I176" s="29" t="s">
        <v>39</v>
      </c>
      <c r="J176" s="29" t="s">
        <v>129</v>
      </c>
      <c r="K176" s="29" t="s">
        <v>458</v>
      </c>
      <c r="L176" s="29" t="s">
        <v>315</v>
      </c>
      <c r="M176" s="29" t="s">
        <v>452</v>
      </c>
      <c r="N176" s="29" t="s">
        <v>182</v>
      </c>
      <c r="O176" s="29" t="s">
        <v>133</v>
      </c>
      <c r="P176" s="30" t="s">
        <v>193</v>
      </c>
    </row>
    <row r="177" s="25" customFormat="1" spans="1:16">
      <c r="A177" s="29" t="s">
        <v>458</v>
      </c>
      <c r="B177" s="29" t="s">
        <v>449</v>
      </c>
      <c r="C177" s="29" t="s">
        <v>35</v>
      </c>
      <c r="D177" s="29" t="s">
        <v>43</v>
      </c>
      <c r="E177" s="29" t="s">
        <v>35</v>
      </c>
      <c r="F177" s="29" t="s">
        <v>47</v>
      </c>
      <c r="G177" s="29" t="s">
        <v>450</v>
      </c>
      <c r="H177" s="29" t="s">
        <v>176</v>
      </c>
      <c r="I177" s="29" t="s">
        <v>39</v>
      </c>
      <c r="J177" s="29" t="s">
        <v>133</v>
      </c>
      <c r="K177" s="29" t="s">
        <v>459</v>
      </c>
      <c r="L177" s="29" t="s">
        <v>317</v>
      </c>
      <c r="M177" s="29" t="s">
        <v>452</v>
      </c>
      <c r="N177" s="29" t="s">
        <v>182</v>
      </c>
      <c r="O177" s="29" t="s">
        <v>133</v>
      </c>
      <c r="P177" s="30" t="s">
        <v>195</v>
      </c>
    </row>
    <row r="178" s="25" customFormat="1" spans="1:16">
      <c r="A178" s="29" t="s">
        <v>459</v>
      </c>
      <c r="B178" s="29" t="s">
        <v>449</v>
      </c>
      <c r="C178" s="29" t="s">
        <v>35</v>
      </c>
      <c r="D178" s="29" t="s">
        <v>43</v>
      </c>
      <c r="E178" s="29" t="s">
        <v>35</v>
      </c>
      <c r="F178" s="29" t="s">
        <v>47</v>
      </c>
      <c r="G178" s="29" t="s">
        <v>450</v>
      </c>
      <c r="H178" s="29" t="s">
        <v>176</v>
      </c>
      <c r="I178" s="29" t="s">
        <v>39</v>
      </c>
      <c r="J178" s="29" t="s">
        <v>137</v>
      </c>
      <c r="K178" s="29" t="s">
        <v>460</v>
      </c>
      <c r="L178" s="29" t="s">
        <v>320</v>
      </c>
      <c r="M178" s="29" t="s">
        <v>452</v>
      </c>
      <c r="N178" s="29" t="s">
        <v>182</v>
      </c>
      <c r="O178" s="29" t="s">
        <v>133</v>
      </c>
      <c r="P178" s="30" t="s">
        <v>197</v>
      </c>
    </row>
    <row r="179" s="25" customFormat="1" spans="1:16">
      <c r="A179" s="29" t="s">
        <v>460</v>
      </c>
      <c r="B179" s="29" t="s">
        <v>449</v>
      </c>
      <c r="C179" s="29" t="s">
        <v>35</v>
      </c>
      <c r="D179" s="29" t="s">
        <v>43</v>
      </c>
      <c r="E179" s="29" t="s">
        <v>35</v>
      </c>
      <c r="F179" s="29" t="s">
        <v>47</v>
      </c>
      <c r="G179" s="29" t="s">
        <v>450</v>
      </c>
      <c r="H179" s="29" t="s">
        <v>176</v>
      </c>
      <c r="I179" s="29" t="s">
        <v>39</v>
      </c>
      <c r="J179" s="29" t="s">
        <v>141</v>
      </c>
      <c r="K179" s="29" t="s">
        <v>461</v>
      </c>
      <c r="L179" s="29" t="s">
        <v>323</v>
      </c>
      <c r="M179" s="29" t="s">
        <v>452</v>
      </c>
      <c r="N179" s="29" t="s">
        <v>182</v>
      </c>
      <c r="O179" s="29" t="s">
        <v>133</v>
      </c>
      <c r="P179" s="30" t="s">
        <v>199</v>
      </c>
    </row>
    <row r="180" s="25" customFormat="1" spans="1:16">
      <c r="A180" s="29" t="s">
        <v>461</v>
      </c>
      <c r="B180" s="29" t="s">
        <v>449</v>
      </c>
      <c r="C180" s="29" t="s">
        <v>35</v>
      </c>
      <c r="D180" s="29" t="s">
        <v>43</v>
      </c>
      <c r="E180" s="29" t="s">
        <v>35</v>
      </c>
      <c r="F180" s="29" t="s">
        <v>47</v>
      </c>
      <c r="G180" s="29" t="s">
        <v>450</v>
      </c>
      <c r="H180" s="29" t="s">
        <v>176</v>
      </c>
      <c r="I180" s="29" t="s">
        <v>39</v>
      </c>
      <c r="J180" s="29" t="s">
        <v>145</v>
      </c>
      <c r="K180" s="29" t="s">
        <v>462</v>
      </c>
      <c r="L180" s="29" t="s">
        <v>407</v>
      </c>
      <c r="M180" s="29" t="s">
        <v>452</v>
      </c>
      <c r="N180" s="29" t="s">
        <v>182</v>
      </c>
      <c r="O180" s="29" t="s">
        <v>133</v>
      </c>
      <c r="P180" s="30" t="s">
        <v>200</v>
      </c>
    </row>
    <row r="181" s="25" customFormat="1" spans="1:16">
      <c r="A181" s="29" t="s">
        <v>462</v>
      </c>
      <c r="B181" s="29" t="s">
        <v>449</v>
      </c>
      <c r="C181" s="29" t="s">
        <v>35</v>
      </c>
      <c r="D181" s="29" t="s">
        <v>43</v>
      </c>
      <c r="E181" s="29" t="s">
        <v>35</v>
      </c>
      <c r="F181" s="29" t="s">
        <v>47</v>
      </c>
      <c r="G181" s="29" t="s">
        <v>450</v>
      </c>
      <c r="H181" s="29" t="s">
        <v>176</v>
      </c>
      <c r="I181" s="29" t="s">
        <v>39</v>
      </c>
      <c r="J181" s="29" t="s">
        <v>408</v>
      </c>
      <c r="K181" s="29" t="s">
        <v>463</v>
      </c>
      <c r="L181" s="29" t="s">
        <v>410</v>
      </c>
      <c r="M181" s="29" t="s">
        <v>452</v>
      </c>
      <c r="N181" s="29" t="s">
        <v>182</v>
      </c>
      <c r="O181" s="29" t="s">
        <v>133</v>
      </c>
      <c r="P181" s="30" t="s">
        <v>464</v>
      </c>
    </row>
    <row r="182" s="25" customFormat="1" spans="1:16">
      <c r="A182" s="29" t="s">
        <v>463</v>
      </c>
      <c r="B182" s="29" t="s">
        <v>449</v>
      </c>
      <c r="C182" s="29" t="s">
        <v>35</v>
      </c>
      <c r="D182" s="29" t="s">
        <v>43</v>
      </c>
      <c r="E182" s="29" t="s">
        <v>35</v>
      </c>
      <c r="F182" s="29" t="s">
        <v>47</v>
      </c>
      <c r="G182" s="29" t="s">
        <v>450</v>
      </c>
      <c r="H182" s="29" t="s">
        <v>176</v>
      </c>
      <c r="I182" s="29" t="s">
        <v>39</v>
      </c>
      <c r="J182" s="29" t="s">
        <v>412</v>
      </c>
      <c r="K182" s="29" t="s">
        <v>465</v>
      </c>
      <c r="L182" s="29" t="s">
        <v>414</v>
      </c>
      <c r="M182" s="29" t="s">
        <v>452</v>
      </c>
      <c r="N182" s="29" t="s">
        <v>182</v>
      </c>
      <c r="O182" s="29" t="s">
        <v>133</v>
      </c>
      <c r="P182" s="30" t="s">
        <v>466</v>
      </c>
    </row>
    <row r="183" s="25" customFormat="1" spans="1:16">
      <c r="A183" s="29" t="s">
        <v>465</v>
      </c>
      <c r="B183" s="29" t="s">
        <v>449</v>
      </c>
      <c r="C183" s="29" t="s">
        <v>35</v>
      </c>
      <c r="D183" s="29" t="s">
        <v>43</v>
      </c>
      <c r="E183" s="29" t="s">
        <v>35</v>
      </c>
      <c r="F183" s="29" t="s">
        <v>47</v>
      </c>
      <c r="G183" s="29" t="s">
        <v>450</v>
      </c>
      <c r="H183" s="29" t="s">
        <v>176</v>
      </c>
      <c r="I183" s="29" t="s">
        <v>39</v>
      </c>
      <c r="J183" s="29" t="s">
        <v>416</v>
      </c>
      <c r="K183" s="29" t="s">
        <v>467</v>
      </c>
      <c r="L183" s="29" t="s">
        <v>418</v>
      </c>
      <c r="M183" s="29" t="s">
        <v>452</v>
      </c>
      <c r="N183" s="29" t="s">
        <v>182</v>
      </c>
      <c r="O183" s="29" t="s">
        <v>133</v>
      </c>
      <c r="P183" s="30" t="s">
        <v>468</v>
      </c>
    </row>
    <row r="184" s="25" customFormat="1" spans="1:16">
      <c r="A184" s="29" t="s">
        <v>467</v>
      </c>
      <c r="B184" s="29" t="s">
        <v>449</v>
      </c>
      <c r="C184" s="29" t="s">
        <v>35</v>
      </c>
      <c r="D184" s="29" t="s">
        <v>43</v>
      </c>
      <c r="E184" s="29" t="s">
        <v>35</v>
      </c>
      <c r="F184" s="29" t="s">
        <v>47</v>
      </c>
      <c r="G184" s="29" t="s">
        <v>450</v>
      </c>
      <c r="H184" s="29" t="s">
        <v>176</v>
      </c>
      <c r="I184" s="29" t="s">
        <v>39</v>
      </c>
      <c r="J184" s="29" t="s">
        <v>420</v>
      </c>
      <c r="K184" s="29" t="s">
        <v>469</v>
      </c>
      <c r="L184" s="29" t="s">
        <v>422</v>
      </c>
      <c r="M184" s="29" t="s">
        <v>452</v>
      </c>
      <c r="N184" s="29" t="s">
        <v>182</v>
      </c>
      <c r="O184" s="29" t="s">
        <v>133</v>
      </c>
      <c r="P184" s="30" t="s">
        <v>470</v>
      </c>
    </row>
    <row r="185" s="25" customFormat="1" spans="1:16">
      <c r="A185" s="29" t="s">
        <v>469</v>
      </c>
      <c r="B185" s="29" t="s">
        <v>449</v>
      </c>
      <c r="C185" s="29" t="s">
        <v>35</v>
      </c>
      <c r="D185" s="29" t="s">
        <v>43</v>
      </c>
      <c r="E185" s="29" t="s">
        <v>35</v>
      </c>
      <c r="F185" s="29" t="s">
        <v>47</v>
      </c>
      <c r="G185" s="29" t="s">
        <v>450</v>
      </c>
      <c r="H185" s="29" t="s">
        <v>176</v>
      </c>
      <c r="I185" s="29" t="s">
        <v>39</v>
      </c>
      <c r="J185" s="29" t="s">
        <v>424</v>
      </c>
      <c r="K185" s="29" t="s">
        <v>39</v>
      </c>
      <c r="L185" s="29" t="s">
        <v>39</v>
      </c>
      <c r="M185" s="29" t="s">
        <v>39</v>
      </c>
      <c r="N185" s="29" t="s">
        <v>182</v>
      </c>
      <c r="O185" s="29" t="s">
        <v>133</v>
      </c>
      <c r="P185" s="30" t="s">
        <v>471</v>
      </c>
    </row>
    <row r="186" s="25" customFormat="1" spans="1:16">
      <c r="A186" s="29" t="s">
        <v>472</v>
      </c>
      <c r="B186" s="29" t="s">
        <v>472</v>
      </c>
      <c r="C186" s="29" t="s">
        <v>35</v>
      </c>
      <c r="D186" s="29" t="s">
        <v>43</v>
      </c>
      <c r="E186" s="29" t="s">
        <v>47</v>
      </c>
      <c r="F186" s="29" t="s">
        <v>47</v>
      </c>
      <c r="G186" s="29" t="s">
        <v>202</v>
      </c>
      <c r="H186" s="29" t="s">
        <v>203</v>
      </c>
      <c r="I186" s="29" t="s">
        <v>204</v>
      </c>
      <c r="J186" s="29" t="s">
        <v>39</v>
      </c>
      <c r="K186" s="29" t="s">
        <v>473</v>
      </c>
      <c r="L186" s="29" t="s">
        <v>206</v>
      </c>
      <c r="M186" s="29" t="s">
        <v>474</v>
      </c>
      <c r="N186" s="29" t="s">
        <v>475</v>
      </c>
      <c r="O186" s="29" t="s">
        <v>137</v>
      </c>
      <c r="P186" s="30" t="s">
        <v>209</v>
      </c>
    </row>
    <row r="187" s="25" customFormat="1" spans="1:16">
      <c r="A187" s="29" t="s">
        <v>473</v>
      </c>
      <c r="B187" s="29" t="s">
        <v>472</v>
      </c>
      <c r="C187" s="29" t="s">
        <v>35</v>
      </c>
      <c r="D187" s="29" t="s">
        <v>43</v>
      </c>
      <c r="E187" s="29" t="s">
        <v>47</v>
      </c>
      <c r="F187" s="29" t="s">
        <v>47</v>
      </c>
      <c r="G187" s="29" t="s">
        <v>202</v>
      </c>
      <c r="H187" s="29" t="s">
        <v>203</v>
      </c>
      <c r="I187" s="29" t="s">
        <v>204</v>
      </c>
      <c r="J187" s="29" t="s">
        <v>35</v>
      </c>
      <c r="K187" s="29" t="s">
        <v>476</v>
      </c>
      <c r="L187" s="29" t="s">
        <v>211</v>
      </c>
      <c r="M187" s="29" t="s">
        <v>474</v>
      </c>
      <c r="N187" s="29" t="s">
        <v>477</v>
      </c>
      <c r="O187" s="29" t="s">
        <v>137</v>
      </c>
      <c r="P187" s="30" t="s">
        <v>213</v>
      </c>
    </row>
    <row r="188" s="25" customFormat="1" spans="1:16">
      <c r="A188" s="29" t="s">
        <v>476</v>
      </c>
      <c r="B188" s="29" t="s">
        <v>472</v>
      </c>
      <c r="C188" s="29" t="s">
        <v>35</v>
      </c>
      <c r="D188" s="29" t="s">
        <v>43</v>
      </c>
      <c r="E188" s="29" t="s">
        <v>47</v>
      </c>
      <c r="F188" s="29" t="s">
        <v>47</v>
      </c>
      <c r="G188" s="29" t="s">
        <v>202</v>
      </c>
      <c r="H188" s="29" t="s">
        <v>203</v>
      </c>
      <c r="I188" s="29" t="s">
        <v>204</v>
      </c>
      <c r="J188" s="29" t="s">
        <v>47</v>
      </c>
      <c r="K188" s="29" t="s">
        <v>478</v>
      </c>
      <c r="L188" s="29" t="s">
        <v>215</v>
      </c>
      <c r="M188" s="29" t="s">
        <v>474</v>
      </c>
      <c r="N188" s="29" t="s">
        <v>477</v>
      </c>
      <c r="O188" s="29" t="s">
        <v>137</v>
      </c>
      <c r="P188" s="30" t="s">
        <v>216</v>
      </c>
    </row>
    <row r="189" s="25" customFormat="1" spans="1:16">
      <c r="A189" s="29" t="s">
        <v>478</v>
      </c>
      <c r="B189" s="29" t="s">
        <v>472</v>
      </c>
      <c r="C189" s="29" t="s">
        <v>35</v>
      </c>
      <c r="D189" s="29" t="s">
        <v>43</v>
      </c>
      <c r="E189" s="29" t="s">
        <v>47</v>
      </c>
      <c r="F189" s="29" t="s">
        <v>47</v>
      </c>
      <c r="G189" s="29" t="s">
        <v>202</v>
      </c>
      <c r="H189" s="29" t="s">
        <v>203</v>
      </c>
      <c r="I189" s="29" t="s">
        <v>204</v>
      </c>
      <c r="J189" s="29" t="s">
        <v>51</v>
      </c>
      <c r="K189" s="29" t="s">
        <v>479</v>
      </c>
      <c r="L189" s="29" t="s">
        <v>218</v>
      </c>
      <c r="M189" s="29" t="s">
        <v>474</v>
      </c>
      <c r="N189" s="29" t="s">
        <v>477</v>
      </c>
      <c r="O189" s="29" t="s">
        <v>137</v>
      </c>
      <c r="P189" s="30" t="s">
        <v>219</v>
      </c>
    </row>
    <row r="190" s="25" customFormat="1" spans="1:16">
      <c r="A190" s="29" t="s">
        <v>479</v>
      </c>
      <c r="B190" s="29" t="s">
        <v>472</v>
      </c>
      <c r="C190" s="29" t="s">
        <v>35</v>
      </c>
      <c r="D190" s="29" t="s">
        <v>43</v>
      </c>
      <c r="E190" s="29" t="s">
        <v>47</v>
      </c>
      <c r="F190" s="29" t="s">
        <v>47</v>
      </c>
      <c r="G190" s="29" t="s">
        <v>202</v>
      </c>
      <c r="H190" s="29" t="s">
        <v>203</v>
      </c>
      <c r="I190" s="29" t="s">
        <v>204</v>
      </c>
      <c r="J190" s="29" t="s">
        <v>55</v>
      </c>
      <c r="K190" s="29" t="s">
        <v>480</v>
      </c>
      <c r="L190" s="29" t="s">
        <v>221</v>
      </c>
      <c r="M190" s="29" t="s">
        <v>474</v>
      </c>
      <c r="N190" s="29" t="s">
        <v>477</v>
      </c>
      <c r="O190" s="29" t="s">
        <v>137</v>
      </c>
      <c r="P190" s="30" t="s">
        <v>222</v>
      </c>
    </row>
    <row r="191" s="25" customFormat="1" spans="1:16">
      <c r="A191" s="29" t="s">
        <v>480</v>
      </c>
      <c r="B191" s="29" t="s">
        <v>472</v>
      </c>
      <c r="C191" s="29" t="s">
        <v>35</v>
      </c>
      <c r="D191" s="29" t="s">
        <v>43</v>
      </c>
      <c r="E191" s="29" t="s">
        <v>47</v>
      </c>
      <c r="F191" s="29" t="s">
        <v>47</v>
      </c>
      <c r="G191" s="29" t="s">
        <v>202</v>
      </c>
      <c r="H191" s="29" t="s">
        <v>203</v>
      </c>
      <c r="I191" s="29" t="s">
        <v>204</v>
      </c>
      <c r="J191" s="29" t="s">
        <v>59</v>
      </c>
      <c r="K191" s="29" t="s">
        <v>481</v>
      </c>
      <c r="L191" s="29" t="s">
        <v>224</v>
      </c>
      <c r="M191" s="29" t="s">
        <v>474</v>
      </c>
      <c r="N191" s="29" t="s">
        <v>477</v>
      </c>
      <c r="O191" s="29" t="s">
        <v>137</v>
      </c>
      <c r="P191" s="30" t="s">
        <v>225</v>
      </c>
    </row>
    <row r="192" s="25" customFormat="1" spans="1:16">
      <c r="A192" s="29" t="s">
        <v>481</v>
      </c>
      <c r="B192" s="29" t="s">
        <v>472</v>
      </c>
      <c r="C192" s="29" t="s">
        <v>35</v>
      </c>
      <c r="D192" s="29" t="s">
        <v>43</v>
      </c>
      <c r="E192" s="29" t="s">
        <v>47</v>
      </c>
      <c r="F192" s="29" t="s">
        <v>47</v>
      </c>
      <c r="G192" s="29" t="s">
        <v>202</v>
      </c>
      <c r="H192" s="29" t="s">
        <v>203</v>
      </c>
      <c r="I192" s="29" t="s">
        <v>204</v>
      </c>
      <c r="J192" s="29" t="s">
        <v>129</v>
      </c>
      <c r="K192" s="29" t="s">
        <v>482</v>
      </c>
      <c r="L192" s="29" t="s">
        <v>227</v>
      </c>
      <c r="M192" s="29" t="s">
        <v>474</v>
      </c>
      <c r="N192" s="29" t="s">
        <v>477</v>
      </c>
      <c r="O192" s="29" t="s">
        <v>137</v>
      </c>
      <c r="P192" s="30" t="s">
        <v>228</v>
      </c>
    </row>
    <row r="193" s="25" customFormat="1" spans="1:16">
      <c r="A193" s="29" t="s">
        <v>482</v>
      </c>
      <c r="B193" s="29" t="s">
        <v>472</v>
      </c>
      <c r="C193" s="29" t="s">
        <v>35</v>
      </c>
      <c r="D193" s="29" t="s">
        <v>43</v>
      </c>
      <c r="E193" s="29" t="s">
        <v>47</v>
      </c>
      <c r="F193" s="29" t="s">
        <v>47</v>
      </c>
      <c r="G193" s="29" t="s">
        <v>202</v>
      </c>
      <c r="H193" s="29" t="s">
        <v>203</v>
      </c>
      <c r="I193" s="29" t="s">
        <v>204</v>
      </c>
      <c r="J193" s="29" t="s">
        <v>133</v>
      </c>
      <c r="K193" s="29" t="s">
        <v>483</v>
      </c>
      <c r="L193" s="29" t="s">
        <v>230</v>
      </c>
      <c r="M193" s="29" t="s">
        <v>474</v>
      </c>
      <c r="N193" s="29" t="s">
        <v>477</v>
      </c>
      <c r="O193" s="29" t="s">
        <v>137</v>
      </c>
      <c r="P193" s="30" t="s">
        <v>231</v>
      </c>
    </row>
    <row r="194" s="25" customFormat="1" spans="1:16">
      <c r="A194" s="29" t="s">
        <v>483</v>
      </c>
      <c r="B194" s="29" t="s">
        <v>472</v>
      </c>
      <c r="C194" s="29" t="s">
        <v>35</v>
      </c>
      <c r="D194" s="29" t="s">
        <v>43</v>
      </c>
      <c r="E194" s="29" t="s">
        <v>47</v>
      </c>
      <c r="F194" s="29" t="s">
        <v>47</v>
      </c>
      <c r="G194" s="29" t="s">
        <v>202</v>
      </c>
      <c r="H194" s="29" t="s">
        <v>203</v>
      </c>
      <c r="I194" s="29" t="s">
        <v>204</v>
      </c>
      <c r="J194" s="29" t="s">
        <v>137</v>
      </c>
      <c r="K194" s="29" t="s">
        <v>484</v>
      </c>
      <c r="L194" s="29" t="s">
        <v>233</v>
      </c>
      <c r="M194" s="29" t="s">
        <v>474</v>
      </c>
      <c r="N194" s="29" t="s">
        <v>477</v>
      </c>
      <c r="O194" s="29" t="s">
        <v>137</v>
      </c>
      <c r="P194" s="30" t="s">
        <v>234</v>
      </c>
    </row>
    <row r="195" s="25" customFormat="1" spans="1:16">
      <c r="A195" s="29" t="s">
        <v>484</v>
      </c>
      <c r="B195" s="29" t="s">
        <v>472</v>
      </c>
      <c r="C195" s="29" t="s">
        <v>35</v>
      </c>
      <c r="D195" s="29" t="s">
        <v>43</v>
      </c>
      <c r="E195" s="29" t="s">
        <v>47</v>
      </c>
      <c r="F195" s="29" t="s">
        <v>47</v>
      </c>
      <c r="G195" s="29" t="s">
        <v>202</v>
      </c>
      <c r="H195" s="29" t="s">
        <v>203</v>
      </c>
      <c r="I195" s="29" t="s">
        <v>204</v>
      </c>
      <c r="J195" s="29" t="s">
        <v>141</v>
      </c>
      <c r="K195" s="29" t="s">
        <v>485</v>
      </c>
      <c r="L195" s="29" t="s">
        <v>236</v>
      </c>
      <c r="M195" s="29" t="s">
        <v>474</v>
      </c>
      <c r="N195" s="29" t="s">
        <v>477</v>
      </c>
      <c r="O195" s="29" t="s">
        <v>137</v>
      </c>
      <c r="P195" s="30" t="s">
        <v>237</v>
      </c>
    </row>
    <row r="196" s="25" customFormat="1" spans="1:16">
      <c r="A196" s="29" t="s">
        <v>485</v>
      </c>
      <c r="B196" s="29" t="s">
        <v>472</v>
      </c>
      <c r="C196" s="29" t="s">
        <v>35</v>
      </c>
      <c r="D196" s="29" t="s">
        <v>43</v>
      </c>
      <c r="E196" s="29" t="s">
        <v>47</v>
      </c>
      <c r="F196" s="29" t="s">
        <v>47</v>
      </c>
      <c r="G196" s="29" t="s">
        <v>202</v>
      </c>
      <c r="H196" s="29" t="s">
        <v>203</v>
      </c>
      <c r="I196" s="29" t="s">
        <v>204</v>
      </c>
      <c r="J196" s="29" t="s">
        <v>145</v>
      </c>
      <c r="K196" s="29" t="s">
        <v>39</v>
      </c>
      <c r="L196" s="29" t="s">
        <v>238</v>
      </c>
      <c r="M196" s="29" t="s">
        <v>474</v>
      </c>
      <c r="N196" s="29" t="s">
        <v>477</v>
      </c>
      <c r="O196" s="29" t="s">
        <v>137</v>
      </c>
      <c r="P196" s="30" t="s">
        <v>239</v>
      </c>
    </row>
    <row r="197" s="25" customFormat="1" spans="1:16">
      <c r="A197" s="29" t="s">
        <v>486</v>
      </c>
      <c r="B197" s="29" t="s">
        <v>486</v>
      </c>
      <c r="C197" s="29" t="s">
        <v>35</v>
      </c>
      <c r="D197" s="29" t="s">
        <v>43</v>
      </c>
      <c r="E197" s="29" t="s">
        <v>47</v>
      </c>
      <c r="F197" s="29" t="s">
        <v>47</v>
      </c>
      <c r="G197" s="29" t="s">
        <v>241</v>
      </c>
      <c r="H197" s="29" t="s">
        <v>242</v>
      </c>
      <c r="I197" s="29" t="s">
        <v>204</v>
      </c>
      <c r="J197" s="29" t="s">
        <v>39</v>
      </c>
      <c r="K197" s="29" t="s">
        <v>487</v>
      </c>
      <c r="L197" s="29" t="s">
        <v>206</v>
      </c>
      <c r="M197" s="29" t="s">
        <v>488</v>
      </c>
      <c r="N197" s="29" t="s">
        <v>489</v>
      </c>
      <c r="O197" s="29" t="s">
        <v>141</v>
      </c>
      <c r="P197" s="30" t="s">
        <v>246</v>
      </c>
    </row>
    <row r="198" s="25" customFormat="1" spans="1:16">
      <c r="A198" s="29" t="s">
        <v>487</v>
      </c>
      <c r="B198" s="29" t="s">
        <v>486</v>
      </c>
      <c r="C198" s="29" t="s">
        <v>35</v>
      </c>
      <c r="D198" s="29" t="s">
        <v>43</v>
      </c>
      <c r="E198" s="29" t="s">
        <v>47</v>
      </c>
      <c r="F198" s="29" t="s">
        <v>47</v>
      </c>
      <c r="G198" s="29" t="s">
        <v>241</v>
      </c>
      <c r="H198" s="29" t="s">
        <v>242</v>
      </c>
      <c r="I198" s="29" t="s">
        <v>204</v>
      </c>
      <c r="J198" s="29" t="s">
        <v>35</v>
      </c>
      <c r="K198" s="29" t="s">
        <v>490</v>
      </c>
      <c r="L198" s="29" t="s">
        <v>211</v>
      </c>
      <c r="M198" s="29" t="s">
        <v>488</v>
      </c>
      <c r="N198" s="29" t="s">
        <v>491</v>
      </c>
      <c r="O198" s="29" t="s">
        <v>141</v>
      </c>
      <c r="P198" s="30" t="s">
        <v>249</v>
      </c>
    </row>
    <row r="199" s="25" customFormat="1" spans="1:16">
      <c r="A199" s="29" t="s">
        <v>490</v>
      </c>
      <c r="B199" s="29" t="s">
        <v>486</v>
      </c>
      <c r="C199" s="29" t="s">
        <v>35</v>
      </c>
      <c r="D199" s="29" t="s">
        <v>43</v>
      </c>
      <c r="E199" s="29" t="s">
        <v>47</v>
      </c>
      <c r="F199" s="29" t="s">
        <v>47</v>
      </c>
      <c r="G199" s="29" t="s">
        <v>241</v>
      </c>
      <c r="H199" s="29" t="s">
        <v>242</v>
      </c>
      <c r="I199" s="29" t="s">
        <v>204</v>
      </c>
      <c r="J199" s="29" t="s">
        <v>47</v>
      </c>
      <c r="K199" s="29" t="s">
        <v>492</v>
      </c>
      <c r="L199" s="29" t="s">
        <v>215</v>
      </c>
      <c r="M199" s="29" t="s">
        <v>488</v>
      </c>
      <c r="N199" s="29" t="s">
        <v>491</v>
      </c>
      <c r="O199" s="29" t="s">
        <v>141</v>
      </c>
      <c r="P199" s="30" t="s">
        <v>251</v>
      </c>
    </row>
    <row r="200" s="25" customFormat="1" spans="1:16">
      <c r="A200" s="29" t="s">
        <v>492</v>
      </c>
      <c r="B200" s="29" t="s">
        <v>486</v>
      </c>
      <c r="C200" s="29" t="s">
        <v>35</v>
      </c>
      <c r="D200" s="29" t="s">
        <v>43</v>
      </c>
      <c r="E200" s="29" t="s">
        <v>47</v>
      </c>
      <c r="F200" s="29" t="s">
        <v>47</v>
      </c>
      <c r="G200" s="29" t="s">
        <v>241</v>
      </c>
      <c r="H200" s="29" t="s">
        <v>242</v>
      </c>
      <c r="I200" s="29" t="s">
        <v>204</v>
      </c>
      <c r="J200" s="29" t="s">
        <v>51</v>
      </c>
      <c r="K200" s="29" t="s">
        <v>493</v>
      </c>
      <c r="L200" s="29" t="s">
        <v>218</v>
      </c>
      <c r="M200" s="29" t="s">
        <v>488</v>
      </c>
      <c r="N200" s="29" t="s">
        <v>491</v>
      </c>
      <c r="O200" s="29" t="s">
        <v>141</v>
      </c>
      <c r="P200" s="30" t="s">
        <v>253</v>
      </c>
    </row>
    <row r="201" s="25" customFormat="1" spans="1:16">
      <c r="A201" s="29" t="s">
        <v>493</v>
      </c>
      <c r="B201" s="29" t="s">
        <v>486</v>
      </c>
      <c r="C201" s="29" t="s">
        <v>35</v>
      </c>
      <c r="D201" s="29" t="s">
        <v>43</v>
      </c>
      <c r="E201" s="29" t="s">
        <v>47</v>
      </c>
      <c r="F201" s="29" t="s">
        <v>47</v>
      </c>
      <c r="G201" s="29" t="s">
        <v>241</v>
      </c>
      <c r="H201" s="29" t="s">
        <v>242</v>
      </c>
      <c r="I201" s="29" t="s">
        <v>204</v>
      </c>
      <c r="J201" s="29" t="s">
        <v>55</v>
      </c>
      <c r="K201" s="29" t="s">
        <v>494</v>
      </c>
      <c r="L201" s="29" t="s">
        <v>221</v>
      </c>
      <c r="M201" s="29" t="s">
        <v>488</v>
      </c>
      <c r="N201" s="29" t="s">
        <v>491</v>
      </c>
      <c r="O201" s="29" t="s">
        <v>141</v>
      </c>
      <c r="P201" s="30" t="s">
        <v>255</v>
      </c>
    </row>
    <row r="202" s="25" customFormat="1" spans="1:16">
      <c r="A202" s="29" t="s">
        <v>494</v>
      </c>
      <c r="B202" s="29" t="s">
        <v>486</v>
      </c>
      <c r="C202" s="29" t="s">
        <v>35</v>
      </c>
      <c r="D202" s="29" t="s">
        <v>43</v>
      </c>
      <c r="E202" s="29" t="s">
        <v>47</v>
      </c>
      <c r="F202" s="29" t="s">
        <v>47</v>
      </c>
      <c r="G202" s="29" t="s">
        <v>241</v>
      </c>
      <c r="H202" s="29" t="s">
        <v>242</v>
      </c>
      <c r="I202" s="29" t="s">
        <v>204</v>
      </c>
      <c r="J202" s="29" t="s">
        <v>59</v>
      </c>
      <c r="K202" s="29" t="s">
        <v>495</v>
      </c>
      <c r="L202" s="29" t="s">
        <v>224</v>
      </c>
      <c r="M202" s="29" t="s">
        <v>488</v>
      </c>
      <c r="N202" s="29" t="s">
        <v>491</v>
      </c>
      <c r="O202" s="29" t="s">
        <v>141</v>
      </c>
      <c r="P202" s="30" t="s">
        <v>257</v>
      </c>
    </row>
    <row r="203" s="25" customFormat="1" spans="1:16">
      <c r="A203" s="29" t="s">
        <v>495</v>
      </c>
      <c r="B203" s="29" t="s">
        <v>486</v>
      </c>
      <c r="C203" s="29" t="s">
        <v>35</v>
      </c>
      <c r="D203" s="29" t="s">
        <v>43</v>
      </c>
      <c r="E203" s="29" t="s">
        <v>47</v>
      </c>
      <c r="F203" s="29" t="s">
        <v>47</v>
      </c>
      <c r="G203" s="29" t="s">
        <v>241</v>
      </c>
      <c r="H203" s="29" t="s">
        <v>242</v>
      </c>
      <c r="I203" s="29" t="s">
        <v>204</v>
      </c>
      <c r="J203" s="29" t="s">
        <v>129</v>
      </c>
      <c r="K203" s="29" t="s">
        <v>496</v>
      </c>
      <c r="L203" s="29" t="s">
        <v>227</v>
      </c>
      <c r="M203" s="29" t="s">
        <v>488</v>
      </c>
      <c r="N203" s="29" t="s">
        <v>491</v>
      </c>
      <c r="O203" s="29" t="s">
        <v>141</v>
      </c>
      <c r="P203" s="30" t="s">
        <v>259</v>
      </c>
    </row>
    <row r="204" s="25" customFormat="1" spans="1:16">
      <c r="A204" s="29" t="s">
        <v>496</v>
      </c>
      <c r="B204" s="29" t="s">
        <v>486</v>
      </c>
      <c r="C204" s="29" t="s">
        <v>35</v>
      </c>
      <c r="D204" s="29" t="s">
        <v>43</v>
      </c>
      <c r="E204" s="29" t="s">
        <v>47</v>
      </c>
      <c r="F204" s="29" t="s">
        <v>47</v>
      </c>
      <c r="G204" s="29" t="s">
        <v>241</v>
      </c>
      <c r="H204" s="29" t="s">
        <v>242</v>
      </c>
      <c r="I204" s="29" t="s">
        <v>204</v>
      </c>
      <c r="J204" s="29" t="s">
        <v>133</v>
      </c>
      <c r="K204" s="29" t="s">
        <v>497</v>
      </c>
      <c r="L204" s="29" t="s">
        <v>230</v>
      </c>
      <c r="M204" s="29" t="s">
        <v>488</v>
      </c>
      <c r="N204" s="29" t="s">
        <v>491</v>
      </c>
      <c r="O204" s="29" t="s">
        <v>141</v>
      </c>
      <c r="P204" s="30" t="s">
        <v>261</v>
      </c>
    </row>
    <row r="205" s="25" customFormat="1" spans="1:16">
      <c r="A205" s="29" t="s">
        <v>497</v>
      </c>
      <c r="B205" s="29" t="s">
        <v>486</v>
      </c>
      <c r="C205" s="29" t="s">
        <v>35</v>
      </c>
      <c r="D205" s="29" t="s">
        <v>43</v>
      </c>
      <c r="E205" s="29" t="s">
        <v>47</v>
      </c>
      <c r="F205" s="29" t="s">
        <v>47</v>
      </c>
      <c r="G205" s="29" t="s">
        <v>241</v>
      </c>
      <c r="H205" s="29" t="s">
        <v>242</v>
      </c>
      <c r="I205" s="29" t="s">
        <v>204</v>
      </c>
      <c r="J205" s="29" t="s">
        <v>137</v>
      </c>
      <c r="K205" s="29" t="s">
        <v>498</v>
      </c>
      <c r="L205" s="29" t="s">
        <v>233</v>
      </c>
      <c r="M205" s="29" t="s">
        <v>488</v>
      </c>
      <c r="N205" s="29" t="s">
        <v>491</v>
      </c>
      <c r="O205" s="29" t="s">
        <v>141</v>
      </c>
      <c r="P205" s="30" t="s">
        <v>263</v>
      </c>
    </row>
    <row r="206" s="25" customFormat="1" spans="1:16">
      <c r="A206" s="29" t="s">
        <v>498</v>
      </c>
      <c r="B206" s="29" t="s">
        <v>486</v>
      </c>
      <c r="C206" s="29" t="s">
        <v>35</v>
      </c>
      <c r="D206" s="29" t="s">
        <v>43</v>
      </c>
      <c r="E206" s="29" t="s">
        <v>47</v>
      </c>
      <c r="F206" s="29" t="s">
        <v>47</v>
      </c>
      <c r="G206" s="29" t="s">
        <v>241</v>
      </c>
      <c r="H206" s="29" t="s">
        <v>242</v>
      </c>
      <c r="I206" s="29" t="s">
        <v>204</v>
      </c>
      <c r="J206" s="29" t="s">
        <v>141</v>
      </c>
      <c r="K206" s="29" t="s">
        <v>499</v>
      </c>
      <c r="L206" s="29" t="s">
        <v>236</v>
      </c>
      <c r="M206" s="29" t="s">
        <v>488</v>
      </c>
      <c r="N206" s="29" t="s">
        <v>491</v>
      </c>
      <c r="O206" s="29" t="s">
        <v>141</v>
      </c>
      <c r="P206" s="30" t="s">
        <v>265</v>
      </c>
    </row>
    <row r="207" s="25" customFormat="1" spans="1:16">
      <c r="A207" s="29" t="s">
        <v>499</v>
      </c>
      <c r="B207" s="29" t="s">
        <v>486</v>
      </c>
      <c r="C207" s="29" t="s">
        <v>35</v>
      </c>
      <c r="D207" s="29" t="s">
        <v>43</v>
      </c>
      <c r="E207" s="29" t="s">
        <v>47</v>
      </c>
      <c r="F207" s="29" t="s">
        <v>47</v>
      </c>
      <c r="G207" s="29" t="s">
        <v>241</v>
      </c>
      <c r="H207" s="29" t="s">
        <v>242</v>
      </c>
      <c r="I207" s="29" t="s">
        <v>204</v>
      </c>
      <c r="J207" s="29" t="s">
        <v>145</v>
      </c>
      <c r="K207" s="29" t="s">
        <v>39</v>
      </c>
      <c r="L207" s="29" t="s">
        <v>238</v>
      </c>
      <c r="M207" s="29" t="s">
        <v>488</v>
      </c>
      <c r="N207" s="29" t="s">
        <v>491</v>
      </c>
      <c r="O207" s="29" t="s">
        <v>141</v>
      </c>
      <c r="P207" s="30" t="s">
        <v>266</v>
      </c>
    </row>
    <row r="208" s="25" customFormat="1" spans="1:16">
      <c r="A208" s="29" t="s">
        <v>500</v>
      </c>
      <c r="B208" s="29" t="s">
        <v>500</v>
      </c>
      <c r="C208" s="29" t="s">
        <v>35</v>
      </c>
      <c r="D208" s="29" t="s">
        <v>43</v>
      </c>
      <c r="E208" s="29" t="s">
        <v>47</v>
      </c>
      <c r="F208" s="29" t="s">
        <v>47</v>
      </c>
      <c r="G208" s="29" t="s">
        <v>268</v>
      </c>
      <c r="H208" s="29" t="s">
        <v>269</v>
      </c>
      <c r="I208" s="29" t="s">
        <v>204</v>
      </c>
      <c r="J208" s="29" t="s">
        <v>39</v>
      </c>
      <c r="K208" s="29" t="s">
        <v>501</v>
      </c>
      <c r="L208" s="29" t="s">
        <v>206</v>
      </c>
      <c r="M208" s="29" t="s">
        <v>502</v>
      </c>
      <c r="N208" s="29" t="s">
        <v>503</v>
      </c>
      <c r="O208" s="29" t="s">
        <v>145</v>
      </c>
      <c r="P208" s="30" t="s">
        <v>273</v>
      </c>
    </row>
    <row r="209" s="25" customFormat="1" spans="1:16">
      <c r="A209" s="29" t="s">
        <v>501</v>
      </c>
      <c r="B209" s="29" t="s">
        <v>500</v>
      </c>
      <c r="C209" s="29" t="s">
        <v>35</v>
      </c>
      <c r="D209" s="29" t="s">
        <v>43</v>
      </c>
      <c r="E209" s="29" t="s">
        <v>47</v>
      </c>
      <c r="F209" s="29" t="s">
        <v>47</v>
      </c>
      <c r="G209" s="29" t="s">
        <v>268</v>
      </c>
      <c r="H209" s="29" t="s">
        <v>269</v>
      </c>
      <c r="I209" s="29" t="s">
        <v>204</v>
      </c>
      <c r="J209" s="29" t="s">
        <v>35</v>
      </c>
      <c r="K209" s="29" t="s">
        <v>504</v>
      </c>
      <c r="L209" s="29" t="s">
        <v>211</v>
      </c>
      <c r="M209" s="29" t="s">
        <v>502</v>
      </c>
      <c r="N209" s="29" t="s">
        <v>505</v>
      </c>
      <c r="O209" s="29" t="s">
        <v>145</v>
      </c>
      <c r="P209" s="30" t="s">
        <v>276</v>
      </c>
    </row>
    <row r="210" s="25" customFormat="1" spans="1:16">
      <c r="A210" s="29" t="s">
        <v>504</v>
      </c>
      <c r="B210" s="29" t="s">
        <v>500</v>
      </c>
      <c r="C210" s="29" t="s">
        <v>35</v>
      </c>
      <c r="D210" s="29" t="s">
        <v>43</v>
      </c>
      <c r="E210" s="29" t="s">
        <v>47</v>
      </c>
      <c r="F210" s="29" t="s">
        <v>47</v>
      </c>
      <c r="G210" s="29" t="s">
        <v>268</v>
      </c>
      <c r="H210" s="29" t="s">
        <v>269</v>
      </c>
      <c r="I210" s="29" t="s">
        <v>204</v>
      </c>
      <c r="J210" s="29" t="s">
        <v>47</v>
      </c>
      <c r="K210" s="29" t="s">
        <v>506</v>
      </c>
      <c r="L210" s="29" t="s">
        <v>215</v>
      </c>
      <c r="M210" s="29" t="s">
        <v>502</v>
      </c>
      <c r="N210" s="29" t="s">
        <v>505</v>
      </c>
      <c r="O210" s="29" t="s">
        <v>145</v>
      </c>
      <c r="P210" s="30" t="s">
        <v>278</v>
      </c>
    </row>
    <row r="211" s="25" customFormat="1" spans="1:16">
      <c r="A211" s="29" t="s">
        <v>506</v>
      </c>
      <c r="B211" s="29" t="s">
        <v>500</v>
      </c>
      <c r="C211" s="29" t="s">
        <v>35</v>
      </c>
      <c r="D211" s="29" t="s">
        <v>43</v>
      </c>
      <c r="E211" s="29" t="s">
        <v>47</v>
      </c>
      <c r="F211" s="29" t="s">
        <v>47</v>
      </c>
      <c r="G211" s="29" t="s">
        <v>268</v>
      </c>
      <c r="H211" s="29" t="s">
        <v>269</v>
      </c>
      <c r="I211" s="29" t="s">
        <v>204</v>
      </c>
      <c r="J211" s="29" t="s">
        <v>51</v>
      </c>
      <c r="K211" s="29" t="s">
        <v>507</v>
      </c>
      <c r="L211" s="29" t="s">
        <v>218</v>
      </c>
      <c r="M211" s="29" t="s">
        <v>502</v>
      </c>
      <c r="N211" s="29" t="s">
        <v>505</v>
      </c>
      <c r="O211" s="29" t="s">
        <v>145</v>
      </c>
      <c r="P211" s="30" t="s">
        <v>280</v>
      </c>
    </row>
    <row r="212" s="25" customFormat="1" spans="1:16">
      <c r="A212" s="29" t="s">
        <v>507</v>
      </c>
      <c r="B212" s="29" t="s">
        <v>500</v>
      </c>
      <c r="C212" s="29" t="s">
        <v>35</v>
      </c>
      <c r="D212" s="29" t="s">
        <v>43</v>
      </c>
      <c r="E212" s="29" t="s">
        <v>47</v>
      </c>
      <c r="F212" s="29" t="s">
        <v>47</v>
      </c>
      <c r="G212" s="29" t="s">
        <v>268</v>
      </c>
      <c r="H212" s="29" t="s">
        <v>269</v>
      </c>
      <c r="I212" s="29" t="s">
        <v>204</v>
      </c>
      <c r="J212" s="29" t="s">
        <v>55</v>
      </c>
      <c r="K212" s="29" t="s">
        <v>508</v>
      </c>
      <c r="L212" s="29" t="s">
        <v>221</v>
      </c>
      <c r="M212" s="29" t="s">
        <v>502</v>
      </c>
      <c r="N212" s="29" t="s">
        <v>505</v>
      </c>
      <c r="O212" s="29" t="s">
        <v>145</v>
      </c>
      <c r="P212" s="30" t="s">
        <v>282</v>
      </c>
    </row>
    <row r="213" s="25" customFormat="1" spans="1:16">
      <c r="A213" s="29" t="s">
        <v>508</v>
      </c>
      <c r="B213" s="29" t="s">
        <v>500</v>
      </c>
      <c r="C213" s="29" t="s">
        <v>35</v>
      </c>
      <c r="D213" s="29" t="s">
        <v>43</v>
      </c>
      <c r="E213" s="29" t="s">
        <v>47</v>
      </c>
      <c r="F213" s="29" t="s">
        <v>47</v>
      </c>
      <c r="G213" s="29" t="s">
        <v>268</v>
      </c>
      <c r="H213" s="29" t="s">
        <v>269</v>
      </c>
      <c r="I213" s="29" t="s">
        <v>204</v>
      </c>
      <c r="J213" s="29" t="s">
        <v>59</v>
      </c>
      <c r="K213" s="29" t="s">
        <v>509</v>
      </c>
      <c r="L213" s="29" t="s">
        <v>224</v>
      </c>
      <c r="M213" s="29" t="s">
        <v>502</v>
      </c>
      <c r="N213" s="29" t="s">
        <v>505</v>
      </c>
      <c r="O213" s="29" t="s">
        <v>145</v>
      </c>
      <c r="P213" s="30" t="s">
        <v>284</v>
      </c>
    </row>
    <row r="214" s="25" customFormat="1" spans="1:16">
      <c r="A214" s="29" t="s">
        <v>509</v>
      </c>
      <c r="B214" s="29" t="s">
        <v>500</v>
      </c>
      <c r="C214" s="29" t="s">
        <v>35</v>
      </c>
      <c r="D214" s="29" t="s">
        <v>43</v>
      </c>
      <c r="E214" s="29" t="s">
        <v>47</v>
      </c>
      <c r="F214" s="29" t="s">
        <v>47</v>
      </c>
      <c r="G214" s="29" t="s">
        <v>268</v>
      </c>
      <c r="H214" s="29" t="s">
        <v>269</v>
      </c>
      <c r="I214" s="29" t="s">
        <v>204</v>
      </c>
      <c r="J214" s="29" t="s">
        <v>129</v>
      </c>
      <c r="K214" s="29" t="s">
        <v>510</v>
      </c>
      <c r="L214" s="29" t="s">
        <v>227</v>
      </c>
      <c r="M214" s="29" t="s">
        <v>502</v>
      </c>
      <c r="N214" s="29" t="s">
        <v>505</v>
      </c>
      <c r="O214" s="29" t="s">
        <v>145</v>
      </c>
      <c r="P214" s="30" t="s">
        <v>286</v>
      </c>
    </row>
    <row r="215" s="25" customFormat="1" spans="1:16">
      <c r="A215" s="29" t="s">
        <v>510</v>
      </c>
      <c r="B215" s="29" t="s">
        <v>500</v>
      </c>
      <c r="C215" s="29" t="s">
        <v>35</v>
      </c>
      <c r="D215" s="29" t="s">
        <v>43</v>
      </c>
      <c r="E215" s="29" t="s">
        <v>47</v>
      </c>
      <c r="F215" s="29" t="s">
        <v>47</v>
      </c>
      <c r="G215" s="29" t="s">
        <v>268</v>
      </c>
      <c r="H215" s="29" t="s">
        <v>269</v>
      </c>
      <c r="I215" s="29" t="s">
        <v>204</v>
      </c>
      <c r="J215" s="29" t="s">
        <v>133</v>
      </c>
      <c r="K215" s="29" t="s">
        <v>511</v>
      </c>
      <c r="L215" s="29" t="s">
        <v>230</v>
      </c>
      <c r="M215" s="29" t="s">
        <v>502</v>
      </c>
      <c r="N215" s="29" t="s">
        <v>505</v>
      </c>
      <c r="O215" s="29" t="s">
        <v>145</v>
      </c>
      <c r="P215" s="30" t="s">
        <v>288</v>
      </c>
    </row>
    <row r="216" s="25" customFormat="1" spans="1:16">
      <c r="A216" s="29" t="s">
        <v>511</v>
      </c>
      <c r="B216" s="29" t="s">
        <v>500</v>
      </c>
      <c r="C216" s="29" t="s">
        <v>35</v>
      </c>
      <c r="D216" s="29" t="s">
        <v>43</v>
      </c>
      <c r="E216" s="29" t="s">
        <v>47</v>
      </c>
      <c r="F216" s="29" t="s">
        <v>47</v>
      </c>
      <c r="G216" s="29" t="s">
        <v>268</v>
      </c>
      <c r="H216" s="29" t="s">
        <v>269</v>
      </c>
      <c r="I216" s="29" t="s">
        <v>204</v>
      </c>
      <c r="J216" s="29" t="s">
        <v>137</v>
      </c>
      <c r="K216" s="29" t="s">
        <v>512</v>
      </c>
      <c r="L216" s="29" t="s">
        <v>233</v>
      </c>
      <c r="M216" s="29" t="s">
        <v>502</v>
      </c>
      <c r="N216" s="29" t="s">
        <v>505</v>
      </c>
      <c r="O216" s="29" t="s">
        <v>145</v>
      </c>
      <c r="P216" s="30" t="s">
        <v>290</v>
      </c>
    </row>
    <row r="217" s="25" customFormat="1" spans="1:16">
      <c r="A217" s="29" t="s">
        <v>512</v>
      </c>
      <c r="B217" s="29" t="s">
        <v>500</v>
      </c>
      <c r="C217" s="29" t="s">
        <v>35</v>
      </c>
      <c r="D217" s="29" t="s">
        <v>43</v>
      </c>
      <c r="E217" s="29" t="s">
        <v>47</v>
      </c>
      <c r="F217" s="29" t="s">
        <v>47</v>
      </c>
      <c r="G217" s="29" t="s">
        <v>268</v>
      </c>
      <c r="H217" s="29" t="s">
        <v>269</v>
      </c>
      <c r="I217" s="29" t="s">
        <v>204</v>
      </c>
      <c r="J217" s="29" t="s">
        <v>141</v>
      </c>
      <c r="K217" s="29" t="s">
        <v>513</v>
      </c>
      <c r="L217" s="29" t="s">
        <v>236</v>
      </c>
      <c r="M217" s="29" t="s">
        <v>502</v>
      </c>
      <c r="N217" s="29" t="s">
        <v>505</v>
      </c>
      <c r="O217" s="29" t="s">
        <v>145</v>
      </c>
      <c r="P217" s="30" t="s">
        <v>292</v>
      </c>
    </row>
    <row r="218" s="25" customFormat="1" spans="1:16">
      <c r="A218" s="29" t="s">
        <v>513</v>
      </c>
      <c r="B218" s="29" t="s">
        <v>500</v>
      </c>
      <c r="C218" s="29" t="s">
        <v>35</v>
      </c>
      <c r="D218" s="29" t="s">
        <v>43</v>
      </c>
      <c r="E218" s="29" t="s">
        <v>47</v>
      </c>
      <c r="F218" s="29" t="s">
        <v>47</v>
      </c>
      <c r="G218" s="29" t="s">
        <v>268</v>
      </c>
      <c r="H218" s="29" t="s">
        <v>269</v>
      </c>
      <c r="I218" s="29" t="s">
        <v>204</v>
      </c>
      <c r="J218" s="29" t="s">
        <v>145</v>
      </c>
      <c r="K218" s="29" t="s">
        <v>39</v>
      </c>
      <c r="L218" s="29" t="s">
        <v>238</v>
      </c>
      <c r="M218" s="29" t="s">
        <v>502</v>
      </c>
      <c r="N218" s="29" t="s">
        <v>505</v>
      </c>
      <c r="O218" s="29" t="s">
        <v>145</v>
      </c>
      <c r="P218" s="30" t="s">
        <v>293</v>
      </c>
    </row>
    <row r="219" s="25" customFormat="1" spans="1:16">
      <c r="A219" s="29" t="s">
        <v>514</v>
      </c>
      <c r="B219" s="29" t="s">
        <v>514</v>
      </c>
      <c r="C219" s="29" t="s">
        <v>35</v>
      </c>
      <c r="D219" s="29" t="s">
        <v>48</v>
      </c>
      <c r="E219" s="29" t="s">
        <v>35</v>
      </c>
      <c r="F219" s="29" t="s">
        <v>51</v>
      </c>
      <c r="G219" s="29" t="s">
        <v>515</v>
      </c>
      <c r="H219" s="29" t="s">
        <v>38</v>
      </c>
      <c r="I219" s="29" t="s">
        <v>39</v>
      </c>
      <c r="J219" s="29" t="s">
        <v>39</v>
      </c>
      <c r="K219" s="29" t="s">
        <v>516</v>
      </c>
      <c r="L219" s="29" t="s">
        <v>206</v>
      </c>
      <c r="M219" s="29" t="s">
        <v>517</v>
      </c>
      <c r="N219" s="29" t="s">
        <v>41</v>
      </c>
      <c r="O219" s="29" t="s">
        <v>35</v>
      </c>
      <c r="P219" s="30" t="s">
        <v>42</v>
      </c>
    </row>
    <row r="220" s="25" customFormat="1" spans="1:16">
      <c r="A220" s="29" t="s">
        <v>516</v>
      </c>
      <c r="B220" s="29" t="s">
        <v>514</v>
      </c>
      <c r="C220" s="29" t="s">
        <v>35</v>
      </c>
      <c r="D220" s="29" t="s">
        <v>48</v>
      </c>
      <c r="E220" s="29" t="s">
        <v>35</v>
      </c>
      <c r="F220" s="29" t="s">
        <v>51</v>
      </c>
      <c r="G220" s="29" t="s">
        <v>515</v>
      </c>
      <c r="H220" s="29" t="s">
        <v>38</v>
      </c>
      <c r="I220" s="29" t="s">
        <v>39</v>
      </c>
      <c r="J220" s="29" t="s">
        <v>35</v>
      </c>
      <c r="K220" s="29" t="s">
        <v>518</v>
      </c>
      <c r="L220" s="29" t="s">
        <v>211</v>
      </c>
      <c r="M220" s="29" t="s">
        <v>517</v>
      </c>
      <c r="N220" s="29" t="s">
        <v>301</v>
      </c>
      <c r="O220" s="29" t="s">
        <v>35</v>
      </c>
      <c r="P220" s="30" t="s">
        <v>302</v>
      </c>
    </row>
    <row r="221" s="25" customFormat="1" spans="1:16">
      <c r="A221" s="29" t="s">
        <v>518</v>
      </c>
      <c r="B221" s="29" t="s">
        <v>514</v>
      </c>
      <c r="C221" s="29" t="s">
        <v>35</v>
      </c>
      <c r="D221" s="29" t="s">
        <v>48</v>
      </c>
      <c r="E221" s="29" t="s">
        <v>35</v>
      </c>
      <c r="F221" s="29" t="s">
        <v>51</v>
      </c>
      <c r="G221" s="29" t="s">
        <v>515</v>
      </c>
      <c r="H221" s="29" t="s">
        <v>38</v>
      </c>
      <c r="I221" s="29" t="s">
        <v>39</v>
      </c>
      <c r="J221" s="29" t="s">
        <v>47</v>
      </c>
      <c r="K221" s="29" t="s">
        <v>519</v>
      </c>
      <c r="L221" s="29" t="s">
        <v>215</v>
      </c>
      <c r="M221" s="29" t="s">
        <v>517</v>
      </c>
      <c r="N221" s="29" t="s">
        <v>301</v>
      </c>
      <c r="O221" s="29" t="s">
        <v>35</v>
      </c>
      <c r="P221" s="30" t="s">
        <v>305</v>
      </c>
    </row>
    <row r="222" s="25" customFormat="1" spans="1:16">
      <c r="A222" s="29" t="s">
        <v>519</v>
      </c>
      <c r="B222" s="29" t="s">
        <v>514</v>
      </c>
      <c r="C222" s="29" t="s">
        <v>35</v>
      </c>
      <c r="D222" s="29" t="s">
        <v>48</v>
      </c>
      <c r="E222" s="29" t="s">
        <v>35</v>
      </c>
      <c r="F222" s="29" t="s">
        <v>51</v>
      </c>
      <c r="G222" s="29" t="s">
        <v>515</v>
      </c>
      <c r="H222" s="29" t="s">
        <v>38</v>
      </c>
      <c r="I222" s="29" t="s">
        <v>39</v>
      </c>
      <c r="J222" s="29" t="s">
        <v>51</v>
      </c>
      <c r="K222" s="29" t="s">
        <v>520</v>
      </c>
      <c r="L222" s="29" t="s">
        <v>218</v>
      </c>
      <c r="M222" s="29" t="s">
        <v>517</v>
      </c>
      <c r="N222" s="29" t="s">
        <v>301</v>
      </c>
      <c r="O222" s="29" t="s">
        <v>35</v>
      </c>
      <c r="P222" s="30" t="s">
        <v>50</v>
      </c>
    </row>
    <row r="223" s="25" customFormat="1" spans="1:16">
      <c r="A223" s="29" t="s">
        <v>520</v>
      </c>
      <c r="B223" s="29" t="s">
        <v>514</v>
      </c>
      <c r="C223" s="29" t="s">
        <v>35</v>
      </c>
      <c r="D223" s="29" t="s">
        <v>48</v>
      </c>
      <c r="E223" s="29" t="s">
        <v>35</v>
      </c>
      <c r="F223" s="29" t="s">
        <v>51</v>
      </c>
      <c r="G223" s="29" t="s">
        <v>515</v>
      </c>
      <c r="H223" s="29" t="s">
        <v>38</v>
      </c>
      <c r="I223" s="29" t="s">
        <v>39</v>
      </c>
      <c r="J223" s="29" t="s">
        <v>55</v>
      </c>
      <c r="K223" s="29" t="s">
        <v>521</v>
      </c>
      <c r="L223" s="29" t="s">
        <v>221</v>
      </c>
      <c r="M223" s="29" t="s">
        <v>517</v>
      </c>
      <c r="N223" s="29" t="s">
        <v>301</v>
      </c>
      <c r="O223" s="29" t="s">
        <v>35</v>
      </c>
      <c r="P223" s="30" t="s">
        <v>310</v>
      </c>
    </row>
    <row r="224" s="25" customFormat="1" spans="1:16">
      <c r="A224" s="29" t="s">
        <v>521</v>
      </c>
      <c r="B224" s="29" t="s">
        <v>514</v>
      </c>
      <c r="C224" s="29" t="s">
        <v>35</v>
      </c>
      <c r="D224" s="29" t="s">
        <v>48</v>
      </c>
      <c r="E224" s="29" t="s">
        <v>35</v>
      </c>
      <c r="F224" s="29" t="s">
        <v>51</v>
      </c>
      <c r="G224" s="29" t="s">
        <v>515</v>
      </c>
      <c r="H224" s="29" t="s">
        <v>38</v>
      </c>
      <c r="I224" s="29" t="s">
        <v>39</v>
      </c>
      <c r="J224" s="29" t="s">
        <v>59</v>
      </c>
      <c r="K224" s="29" t="s">
        <v>522</v>
      </c>
      <c r="L224" s="29" t="s">
        <v>224</v>
      </c>
      <c r="M224" s="29" t="s">
        <v>517</v>
      </c>
      <c r="N224" s="29" t="s">
        <v>301</v>
      </c>
      <c r="O224" s="29" t="s">
        <v>35</v>
      </c>
      <c r="P224" s="30" t="s">
        <v>313</v>
      </c>
    </row>
    <row r="225" s="25" customFormat="1" spans="1:16">
      <c r="A225" s="29" t="s">
        <v>522</v>
      </c>
      <c r="B225" s="29" t="s">
        <v>514</v>
      </c>
      <c r="C225" s="29" t="s">
        <v>35</v>
      </c>
      <c r="D225" s="29" t="s">
        <v>48</v>
      </c>
      <c r="E225" s="29" t="s">
        <v>35</v>
      </c>
      <c r="F225" s="29" t="s">
        <v>51</v>
      </c>
      <c r="G225" s="29" t="s">
        <v>515</v>
      </c>
      <c r="H225" s="29" t="s">
        <v>38</v>
      </c>
      <c r="I225" s="29" t="s">
        <v>39</v>
      </c>
      <c r="J225" s="29" t="s">
        <v>129</v>
      </c>
      <c r="K225" s="29" t="s">
        <v>523</v>
      </c>
      <c r="L225" s="29" t="s">
        <v>227</v>
      </c>
      <c r="M225" s="29" t="s">
        <v>517</v>
      </c>
      <c r="N225" s="29" t="s">
        <v>301</v>
      </c>
      <c r="O225" s="29" t="s">
        <v>35</v>
      </c>
      <c r="P225" s="30" t="s">
        <v>58</v>
      </c>
    </row>
    <row r="226" s="25" customFormat="1" spans="1:16">
      <c r="A226" s="29" t="s">
        <v>523</v>
      </c>
      <c r="B226" s="29" t="s">
        <v>514</v>
      </c>
      <c r="C226" s="29" t="s">
        <v>35</v>
      </c>
      <c r="D226" s="29" t="s">
        <v>48</v>
      </c>
      <c r="E226" s="29" t="s">
        <v>35</v>
      </c>
      <c r="F226" s="29" t="s">
        <v>51</v>
      </c>
      <c r="G226" s="29" t="s">
        <v>515</v>
      </c>
      <c r="H226" s="29" t="s">
        <v>38</v>
      </c>
      <c r="I226" s="29" t="s">
        <v>39</v>
      </c>
      <c r="J226" s="29" t="s">
        <v>133</v>
      </c>
      <c r="K226" s="29" t="s">
        <v>524</v>
      </c>
      <c r="L226" s="29" t="s">
        <v>230</v>
      </c>
      <c r="M226" s="29" t="s">
        <v>517</v>
      </c>
      <c r="N226" s="29" t="s">
        <v>301</v>
      </c>
      <c r="O226" s="29" t="s">
        <v>35</v>
      </c>
      <c r="P226" s="30" t="s">
        <v>318</v>
      </c>
    </row>
    <row r="227" s="25" customFormat="1" spans="1:16">
      <c r="A227" s="29" t="s">
        <v>524</v>
      </c>
      <c r="B227" s="29" t="s">
        <v>514</v>
      </c>
      <c r="C227" s="29" t="s">
        <v>35</v>
      </c>
      <c r="D227" s="29" t="s">
        <v>48</v>
      </c>
      <c r="E227" s="29" t="s">
        <v>35</v>
      </c>
      <c r="F227" s="29" t="s">
        <v>51</v>
      </c>
      <c r="G227" s="29" t="s">
        <v>515</v>
      </c>
      <c r="H227" s="29" t="s">
        <v>38</v>
      </c>
      <c r="I227" s="29" t="s">
        <v>39</v>
      </c>
      <c r="J227" s="29" t="s">
        <v>137</v>
      </c>
      <c r="K227" s="29" t="s">
        <v>525</v>
      </c>
      <c r="L227" s="29" t="s">
        <v>233</v>
      </c>
      <c r="M227" s="29" t="s">
        <v>517</v>
      </c>
      <c r="N227" s="29" t="s">
        <v>301</v>
      </c>
      <c r="O227" s="29" t="s">
        <v>35</v>
      </c>
      <c r="P227" s="30" t="s">
        <v>321</v>
      </c>
    </row>
    <row r="228" s="25" customFormat="1" spans="1:16">
      <c r="A228" s="29" t="s">
        <v>525</v>
      </c>
      <c r="B228" s="29" t="s">
        <v>514</v>
      </c>
      <c r="C228" s="29" t="s">
        <v>35</v>
      </c>
      <c r="D228" s="29" t="s">
        <v>48</v>
      </c>
      <c r="E228" s="29" t="s">
        <v>35</v>
      </c>
      <c r="F228" s="29" t="s">
        <v>51</v>
      </c>
      <c r="G228" s="29" t="s">
        <v>515</v>
      </c>
      <c r="H228" s="29" t="s">
        <v>38</v>
      </c>
      <c r="I228" s="29" t="s">
        <v>39</v>
      </c>
      <c r="J228" s="29" t="s">
        <v>141</v>
      </c>
      <c r="K228" s="29" t="s">
        <v>526</v>
      </c>
      <c r="L228" s="29" t="s">
        <v>236</v>
      </c>
      <c r="M228" s="29" t="s">
        <v>517</v>
      </c>
      <c r="N228" s="29" t="s">
        <v>301</v>
      </c>
      <c r="O228" s="29" t="s">
        <v>35</v>
      </c>
      <c r="P228" s="30" t="s">
        <v>324</v>
      </c>
    </row>
    <row r="229" s="25" customFormat="1" spans="1:16">
      <c r="A229" s="29" t="s">
        <v>526</v>
      </c>
      <c r="B229" s="29" t="s">
        <v>514</v>
      </c>
      <c r="C229" s="29" t="s">
        <v>35</v>
      </c>
      <c r="D229" s="29" t="s">
        <v>48</v>
      </c>
      <c r="E229" s="29" t="s">
        <v>35</v>
      </c>
      <c r="F229" s="29" t="s">
        <v>51</v>
      </c>
      <c r="G229" s="29" t="s">
        <v>515</v>
      </c>
      <c r="H229" s="29" t="s">
        <v>38</v>
      </c>
      <c r="I229" s="29" t="s">
        <v>39</v>
      </c>
      <c r="J229" s="29" t="s">
        <v>145</v>
      </c>
      <c r="K229" s="29" t="s">
        <v>527</v>
      </c>
      <c r="L229" s="29" t="s">
        <v>238</v>
      </c>
      <c r="M229" s="29" t="s">
        <v>517</v>
      </c>
      <c r="N229" s="29" t="s">
        <v>301</v>
      </c>
      <c r="O229" s="29" t="s">
        <v>35</v>
      </c>
      <c r="P229" s="30" t="s">
        <v>325</v>
      </c>
    </row>
    <row r="230" s="25" customFormat="1" spans="1:16">
      <c r="A230" s="29" t="s">
        <v>527</v>
      </c>
      <c r="B230" s="29" t="s">
        <v>514</v>
      </c>
      <c r="C230" s="29" t="s">
        <v>35</v>
      </c>
      <c r="D230" s="29" t="s">
        <v>48</v>
      </c>
      <c r="E230" s="29" t="s">
        <v>35</v>
      </c>
      <c r="F230" s="29" t="s">
        <v>51</v>
      </c>
      <c r="G230" s="29" t="s">
        <v>515</v>
      </c>
      <c r="H230" s="29" t="s">
        <v>38</v>
      </c>
      <c r="I230" s="29" t="s">
        <v>39</v>
      </c>
      <c r="J230" s="29" t="s">
        <v>408</v>
      </c>
      <c r="K230" s="29" t="s">
        <v>528</v>
      </c>
      <c r="L230" s="29" t="s">
        <v>529</v>
      </c>
      <c r="M230" s="29" t="s">
        <v>517</v>
      </c>
      <c r="N230" s="29" t="s">
        <v>301</v>
      </c>
      <c r="O230" s="29" t="s">
        <v>35</v>
      </c>
      <c r="P230" s="30" t="s">
        <v>530</v>
      </c>
    </row>
    <row r="231" s="25" customFormat="1" spans="1:16">
      <c r="A231" s="29" t="s">
        <v>528</v>
      </c>
      <c r="B231" s="29" t="s">
        <v>514</v>
      </c>
      <c r="C231" s="29" t="s">
        <v>35</v>
      </c>
      <c r="D231" s="29" t="s">
        <v>48</v>
      </c>
      <c r="E231" s="29" t="s">
        <v>35</v>
      </c>
      <c r="F231" s="29" t="s">
        <v>51</v>
      </c>
      <c r="G231" s="29" t="s">
        <v>515</v>
      </c>
      <c r="H231" s="29" t="s">
        <v>38</v>
      </c>
      <c r="I231" s="29" t="s">
        <v>39</v>
      </c>
      <c r="J231" s="29" t="s">
        <v>412</v>
      </c>
      <c r="K231" s="29" t="s">
        <v>531</v>
      </c>
      <c r="L231" s="29" t="s">
        <v>532</v>
      </c>
      <c r="M231" s="29" t="s">
        <v>517</v>
      </c>
      <c r="N231" s="29" t="s">
        <v>301</v>
      </c>
      <c r="O231" s="29" t="s">
        <v>35</v>
      </c>
      <c r="P231" s="30" t="s">
        <v>533</v>
      </c>
    </row>
    <row r="232" s="25" customFormat="1" spans="1:16">
      <c r="A232" s="29" t="s">
        <v>531</v>
      </c>
      <c r="B232" s="29" t="s">
        <v>514</v>
      </c>
      <c r="C232" s="29" t="s">
        <v>35</v>
      </c>
      <c r="D232" s="29" t="s">
        <v>48</v>
      </c>
      <c r="E232" s="29" t="s">
        <v>35</v>
      </c>
      <c r="F232" s="29" t="s">
        <v>51</v>
      </c>
      <c r="G232" s="29" t="s">
        <v>515</v>
      </c>
      <c r="H232" s="29" t="s">
        <v>38</v>
      </c>
      <c r="I232" s="29" t="s">
        <v>39</v>
      </c>
      <c r="J232" s="29" t="s">
        <v>416</v>
      </c>
      <c r="K232" s="29" t="s">
        <v>534</v>
      </c>
      <c r="L232" s="29" t="s">
        <v>535</v>
      </c>
      <c r="M232" s="29" t="s">
        <v>517</v>
      </c>
      <c r="N232" s="29" t="s">
        <v>301</v>
      </c>
      <c r="O232" s="29" t="s">
        <v>35</v>
      </c>
      <c r="P232" s="30" t="s">
        <v>536</v>
      </c>
    </row>
    <row r="233" s="25" customFormat="1" spans="1:16">
      <c r="A233" s="29" t="s">
        <v>534</v>
      </c>
      <c r="B233" s="29" t="s">
        <v>514</v>
      </c>
      <c r="C233" s="29" t="s">
        <v>35</v>
      </c>
      <c r="D233" s="29" t="s">
        <v>48</v>
      </c>
      <c r="E233" s="29" t="s">
        <v>35</v>
      </c>
      <c r="F233" s="29" t="s">
        <v>51</v>
      </c>
      <c r="G233" s="29" t="s">
        <v>515</v>
      </c>
      <c r="H233" s="29" t="s">
        <v>38</v>
      </c>
      <c r="I233" s="29" t="s">
        <v>39</v>
      </c>
      <c r="J233" s="29" t="s">
        <v>420</v>
      </c>
      <c r="K233" s="29" t="s">
        <v>537</v>
      </c>
      <c r="L233" s="29" t="s">
        <v>538</v>
      </c>
      <c r="M233" s="29" t="s">
        <v>517</v>
      </c>
      <c r="N233" s="29" t="s">
        <v>301</v>
      </c>
      <c r="O233" s="29" t="s">
        <v>35</v>
      </c>
      <c r="P233" s="30" t="s">
        <v>539</v>
      </c>
    </row>
    <row r="234" s="25" customFormat="1" spans="1:16">
      <c r="A234" s="29" t="s">
        <v>537</v>
      </c>
      <c r="B234" s="29" t="s">
        <v>514</v>
      </c>
      <c r="C234" s="29" t="s">
        <v>35</v>
      </c>
      <c r="D234" s="29" t="s">
        <v>48</v>
      </c>
      <c r="E234" s="29" t="s">
        <v>35</v>
      </c>
      <c r="F234" s="29" t="s">
        <v>51</v>
      </c>
      <c r="G234" s="29" t="s">
        <v>515</v>
      </c>
      <c r="H234" s="29" t="s">
        <v>38</v>
      </c>
      <c r="I234" s="29" t="s">
        <v>39</v>
      </c>
      <c r="J234" s="29" t="s">
        <v>424</v>
      </c>
      <c r="K234" s="29" t="s">
        <v>39</v>
      </c>
      <c r="L234" s="29" t="s">
        <v>540</v>
      </c>
      <c r="M234" s="29" t="s">
        <v>517</v>
      </c>
      <c r="N234" s="29" t="s">
        <v>301</v>
      </c>
      <c r="O234" s="29" t="s">
        <v>35</v>
      </c>
      <c r="P234" s="30" t="s">
        <v>541</v>
      </c>
    </row>
    <row r="235" s="25" customFormat="1" spans="1:16">
      <c r="A235" s="29" t="s">
        <v>542</v>
      </c>
      <c r="B235" s="29" t="s">
        <v>542</v>
      </c>
      <c r="C235" s="29" t="s">
        <v>35</v>
      </c>
      <c r="D235" s="29" t="s">
        <v>48</v>
      </c>
      <c r="E235" s="29" t="s">
        <v>35</v>
      </c>
      <c r="F235" s="29" t="s">
        <v>51</v>
      </c>
      <c r="G235" s="29" t="s">
        <v>543</v>
      </c>
      <c r="H235" s="29" t="s">
        <v>63</v>
      </c>
      <c r="I235" s="29" t="s">
        <v>39</v>
      </c>
      <c r="J235" s="29" t="s">
        <v>39</v>
      </c>
      <c r="K235" s="29" t="s">
        <v>544</v>
      </c>
      <c r="L235" s="29" t="s">
        <v>206</v>
      </c>
      <c r="M235" s="29" t="s">
        <v>545</v>
      </c>
      <c r="N235" s="29" t="s">
        <v>66</v>
      </c>
      <c r="O235" s="29" t="s">
        <v>47</v>
      </c>
      <c r="P235" s="30" t="s">
        <v>67</v>
      </c>
    </row>
    <row r="236" s="25" customFormat="1" spans="1:16">
      <c r="A236" s="29" t="s">
        <v>544</v>
      </c>
      <c r="B236" s="29" t="s">
        <v>542</v>
      </c>
      <c r="C236" s="29" t="s">
        <v>35</v>
      </c>
      <c r="D236" s="29" t="s">
        <v>48</v>
      </c>
      <c r="E236" s="29" t="s">
        <v>35</v>
      </c>
      <c r="F236" s="29" t="s">
        <v>51</v>
      </c>
      <c r="G236" s="29" t="s">
        <v>543</v>
      </c>
      <c r="H236" s="29" t="s">
        <v>63</v>
      </c>
      <c r="I236" s="29" t="s">
        <v>39</v>
      </c>
      <c r="J236" s="29" t="s">
        <v>35</v>
      </c>
      <c r="K236" s="29" t="s">
        <v>546</v>
      </c>
      <c r="L236" s="29" t="s">
        <v>211</v>
      </c>
      <c r="M236" s="29" t="s">
        <v>545</v>
      </c>
      <c r="N236" s="29" t="s">
        <v>331</v>
      </c>
      <c r="O236" s="29" t="s">
        <v>47</v>
      </c>
      <c r="P236" s="30" t="s">
        <v>332</v>
      </c>
    </row>
    <row r="237" s="25" customFormat="1" spans="1:16">
      <c r="A237" s="29" t="s">
        <v>546</v>
      </c>
      <c r="B237" s="29" t="s">
        <v>542</v>
      </c>
      <c r="C237" s="29" t="s">
        <v>35</v>
      </c>
      <c r="D237" s="29" t="s">
        <v>48</v>
      </c>
      <c r="E237" s="29" t="s">
        <v>35</v>
      </c>
      <c r="F237" s="29" t="s">
        <v>51</v>
      </c>
      <c r="G237" s="29" t="s">
        <v>543</v>
      </c>
      <c r="H237" s="29" t="s">
        <v>63</v>
      </c>
      <c r="I237" s="29" t="s">
        <v>39</v>
      </c>
      <c r="J237" s="29" t="s">
        <v>47</v>
      </c>
      <c r="K237" s="29" t="s">
        <v>547</v>
      </c>
      <c r="L237" s="29" t="s">
        <v>215</v>
      </c>
      <c r="M237" s="29" t="s">
        <v>545</v>
      </c>
      <c r="N237" s="29" t="s">
        <v>331</v>
      </c>
      <c r="O237" s="29" t="s">
        <v>47</v>
      </c>
      <c r="P237" s="30" t="s">
        <v>334</v>
      </c>
    </row>
    <row r="238" s="25" customFormat="1" spans="1:16">
      <c r="A238" s="29" t="s">
        <v>547</v>
      </c>
      <c r="B238" s="29" t="s">
        <v>542</v>
      </c>
      <c r="C238" s="29" t="s">
        <v>35</v>
      </c>
      <c r="D238" s="29" t="s">
        <v>48</v>
      </c>
      <c r="E238" s="29" t="s">
        <v>35</v>
      </c>
      <c r="F238" s="29" t="s">
        <v>51</v>
      </c>
      <c r="G238" s="29" t="s">
        <v>543</v>
      </c>
      <c r="H238" s="29" t="s">
        <v>63</v>
      </c>
      <c r="I238" s="29" t="s">
        <v>39</v>
      </c>
      <c r="J238" s="29" t="s">
        <v>51</v>
      </c>
      <c r="K238" s="29" t="s">
        <v>548</v>
      </c>
      <c r="L238" s="29" t="s">
        <v>218</v>
      </c>
      <c r="M238" s="29" t="s">
        <v>545</v>
      </c>
      <c r="N238" s="29" t="s">
        <v>331</v>
      </c>
      <c r="O238" s="29" t="s">
        <v>47</v>
      </c>
      <c r="P238" s="30" t="s">
        <v>336</v>
      </c>
    </row>
    <row r="239" s="25" customFormat="1" spans="1:16">
      <c r="A239" s="29" t="s">
        <v>548</v>
      </c>
      <c r="B239" s="29" t="s">
        <v>542</v>
      </c>
      <c r="C239" s="29" t="s">
        <v>35</v>
      </c>
      <c r="D239" s="29" t="s">
        <v>48</v>
      </c>
      <c r="E239" s="29" t="s">
        <v>35</v>
      </c>
      <c r="F239" s="29" t="s">
        <v>51</v>
      </c>
      <c r="G239" s="29" t="s">
        <v>543</v>
      </c>
      <c r="H239" s="29" t="s">
        <v>63</v>
      </c>
      <c r="I239" s="29" t="s">
        <v>39</v>
      </c>
      <c r="J239" s="29" t="s">
        <v>55</v>
      </c>
      <c r="K239" s="29" t="s">
        <v>549</v>
      </c>
      <c r="L239" s="29" t="s">
        <v>221</v>
      </c>
      <c r="M239" s="29" t="s">
        <v>545</v>
      </c>
      <c r="N239" s="29" t="s">
        <v>331</v>
      </c>
      <c r="O239" s="29" t="s">
        <v>47</v>
      </c>
      <c r="P239" s="30" t="s">
        <v>338</v>
      </c>
    </row>
    <row r="240" s="25" customFormat="1" spans="1:16">
      <c r="A240" s="29" t="s">
        <v>549</v>
      </c>
      <c r="B240" s="29" t="s">
        <v>542</v>
      </c>
      <c r="C240" s="29" t="s">
        <v>35</v>
      </c>
      <c r="D240" s="29" t="s">
        <v>48</v>
      </c>
      <c r="E240" s="29" t="s">
        <v>35</v>
      </c>
      <c r="F240" s="29" t="s">
        <v>51</v>
      </c>
      <c r="G240" s="29" t="s">
        <v>543</v>
      </c>
      <c r="H240" s="29" t="s">
        <v>63</v>
      </c>
      <c r="I240" s="29" t="s">
        <v>39</v>
      </c>
      <c r="J240" s="29" t="s">
        <v>59</v>
      </c>
      <c r="K240" s="29" t="s">
        <v>550</v>
      </c>
      <c r="L240" s="29" t="s">
        <v>224</v>
      </c>
      <c r="M240" s="29" t="s">
        <v>545</v>
      </c>
      <c r="N240" s="29" t="s">
        <v>331</v>
      </c>
      <c r="O240" s="29" t="s">
        <v>47</v>
      </c>
      <c r="P240" s="30" t="s">
        <v>340</v>
      </c>
    </row>
    <row r="241" s="25" customFormat="1" spans="1:16">
      <c r="A241" s="29" t="s">
        <v>550</v>
      </c>
      <c r="B241" s="29" t="s">
        <v>542</v>
      </c>
      <c r="C241" s="29" t="s">
        <v>35</v>
      </c>
      <c r="D241" s="29" t="s">
        <v>48</v>
      </c>
      <c r="E241" s="29" t="s">
        <v>35</v>
      </c>
      <c r="F241" s="29" t="s">
        <v>51</v>
      </c>
      <c r="G241" s="29" t="s">
        <v>543</v>
      </c>
      <c r="H241" s="29" t="s">
        <v>63</v>
      </c>
      <c r="I241" s="29" t="s">
        <v>39</v>
      </c>
      <c r="J241" s="29" t="s">
        <v>129</v>
      </c>
      <c r="K241" s="29" t="s">
        <v>551</v>
      </c>
      <c r="L241" s="29" t="s">
        <v>227</v>
      </c>
      <c r="M241" s="29" t="s">
        <v>545</v>
      </c>
      <c r="N241" s="29" t="s">
        <v>331</v>
      </c>
      <c r="O241" s="29" t="s">
        <v>47</v>
      </c>
      <c r="P241" s="30" t="s">
        <v>77</v>
      </c>
    </row>
    <row r="242" s="25" customFormat="1" spans="1:16">
      <c r="A242" s="29" t="s">
        <v>551</v>
      </c>
      <c r="B242" s="29" t="s">
        <v>542</v>
      </c>
      <c r="C242" s="29" t="s">
        <v>35</v>
      </c>
      <c r="D242" s="29" t="s">
        <v>48</v>
      </c>
      <c r="E242" s="29" t="s">
        <v>35</v>
      </c>
      <c r="F242" s="29" t="s">
        <v>51</v>
      </c>
      <c r="G242" s="29" t="s">
        <v>543</v>
      </c>
      <c r="H242" s="29" t="s">
        <v>63</v>
      </c>
      <c r="I242" s="29" t="s">
        <v>39</v>
      </c>
      <c r="J242" s="29" t="s">
        <v>133</v>
      </c>
      <c r="K242" s="29" t="s">
        <v>552</v>
      </c>
      <c r="L242" s="29" t="s">
        <v>230</v>
      </c>
      <c r="M242" s="29" t="s">
        <v>545</v>
      </c>
      <c r="N242" s="29" t="s">
        <v>331</v>
      </c>
      <c r="O242" s="29" t="s">
        <v>47</v>
      </c>
      <c r="P242" s="30" t="s">
        <v>343</v>
      </c>
    </row>
    <row r="243" s="25" customFormat="1" spans="1:16">
      <c r="A243" s="29" t="s">
        <v>552</v>
      </c>
      <c r="B243" s="29" t="s">
        <v>542</v>
      </c>
      <c r="C243" s="29" t="s">
        <v>35</v>
      </c>
      <c r="D243" s="29" t="s">
        <v>48</v>
      </c>
      <c r="E243" s="29" t="s">
        <v>35</v>
      </c>
      <c r="F243" s="29" t="s">
        <v>51</v>
      </c>
      <c r="G243" s="29" t="s">
        <v>543</v>
      </c>
      <c r="H243" s="29" t="s">
        <v>63</v>
      </c>
      <c r="I243" s="29" t="s">
        <v>39</v>
      </c>
      <c r="J243" s="29" t="s">
        <v>137</v>
      </c>
      <c r="K243" s="29" t="s">
        <v>553</v>
      </c>
      <c r="L243" s="29" t="s">
        <v>233</v>
      </c>
      <c r="M243" s="29" t="s">
        <v>545</v>
      </c>
      <c r="N243" s="29" t="s">
        <v>331</v>
      </c>
      <c r="O243" s="29" t="s">
        <v>47</v>
      </c>
      <c r="P243" s="30" t="s">
        <v>345</v>
      </c>
    </row>
    <row r="244" s="25" customFormat="1" spans="1:16">
      <c r="A244" s="29" t="s">
        <v>553</v>
      </c>
      <c r="B244" s="29" t="s">
        <v>542</v>
      </c>
      <c r="C244" s="29" t="s">
        <v>35</v>
      </c>
      <c r="D244" s="29" t="s">
        <v>48</v>
      </c>
      <c r="E244" s="29" t="s">
        <v>35</v>
      </c>
      <c r="F244" s="29" t="s">
        <v>51</v>
      </c>
      <c r="G244" s="29" t="s">
        <v>543</v>
      </c>
      <c r="H244" s="29" t="s">
        <v>63</v>
      </c>
      <c r="I244" s="29" t="s">
        <v>39</v>
      </c>
      <c r="J244" s="29" t="s">
        <v>141</v>
      </c>
      <c r="K244" s="29" t="s">
        <v>554</v>
      </c>
      <c r="L244" s="29" t="s">
        <v>236</v>
      </c>
      <c r="M244" s="29" t="s">
        <v>545</v>
      </c>
      <c r="N244" s="29" t="s">
        <v>331</v>
      </c>
      <c r="O244" s="29" t="s">
        <v>47</v>
      </c>
      <c r="P244" s="30" t="s">
        <v>347</v>
      </c>
    </row>
    <row r="245" s="25" customFormat="1" spans="1:16">
      <c r="A245" s="29" t="s">
        <v>554</v>
      </c>
      <c r="B245" s="29" t="s">
        <v>542</v>
      </c>
      <c r="C245" s="29" t="s">
        <v>35</v>
      </c>
      <c r="D245" s="29" t="s">
        <v>48</v>
      </c>
      <c r="E245" s="29" t="s">
        <v>35</v>
      </c>
      <c r="F245" s="29" t="s">
        <v>51</v>
      </c>
      <c r="G245" s="29" t="s">
        <v>543</v>
      </c>
      <c r="H245" s="29" t="s">
        <v>63</v>
      </c>
      <c r="I245" s="29" t="s">
        <v>39</v>
      </c>
      <c r="J245" s="29" t="s">
        <v>145</v>
      </c>
      <c r="K245" s="29" t="s">
        <v>555</v>
      </c>
      <c r="L245" s="29" t="s">
        <v>238</v>
      </c>
      <c r="M245" s="29" t="s">
        <v>545</v>
      </c>
      <c r="N245" s="29" t="s">
        <v>331</v>
      </c>
      <c r="O245" s="29" t="s">
        <v>47</v>
      </c>
      <c r="P245" s="30" t="s">
        <v>348</v>
      </c>
    </row>
    <row r="246" s="25" customFormat="1" spans="1:16">
      <c r="A246" s="29" t="s">
        <v>555</v>
      </c>
      <c r="B246" s="29" t="s">
        <v>542</v>
      </c>
      <c r="C246" s="29" t="s">
        <v>35</v>
      </c>
      <c r="D246" s="29" t="s">
        <v>48</v>
      </c>
      <c r="E246" s="29" t="s">
        <v>35</v>
      </c>
      <c r="F246" s="29" t="s">
        <v>51</v>
      </c>
      <c r="G246" s="29" t="s">
        <v>543</v>
      </c>
      <c r="H246" s="29" t="s">
        <v>63</v>
      </c>
      <c r="I246" s="29" t="s">
        <v>39</v>
      </c>
      <c r="J246" s="29" t="s">
        <v>408</v>
      </c>
      <c r="K246" s="29" t="s">
        <v>556</v>
      </c>
      <c r="L246" s="29" t="s">
        <v>529</v>
      </c>
      <c r="M246" s="29" t="s">
        <v>545</v>
      </c>
      <c r="N246" s="29" t="s">
        <v>331</v>
      </c>
      <c r="O246" s="29" t="s">
        <v>47</v>
      </c>
      <c r="P246" s="30" t="s">
        <v>557</v>
      </c>
    </row>
    <row r="247" s="25" customFormat="1" spans="1:16">
      <c r="A247" s="29" t="s">
        <v>556</v>
      </c>
      <c r="B247" s="29" t="s">
        <v>542</v>
      </c>
      <c r="C247" s="29" t="s">
        <v>35</v>
      </c>
      <c r="D247" s="29" t="s">
        <v>48</v>
      </c>
      <c r="E247" s="29" t="s">
        <v>35</v>
      </c>
      <c r="F247" s="29" t="s">
        <v>51</v>
      </c>
      <c r="G247" s="29" t="s">
        <v>543</v>
      </c>
      <c r="H247" s="29" t="s">
        <v>63</v>
      </c>
      <c r="I247" s="29" t="s">
        <v>39</v>
      </c>
      <c r="J247" s="29" t="s">
        <v>412</v>
      </c>
      <c r="K247" s="29" t="s">
        <v>558</v>
      </c>
      <c r="L247" s="29" t="s">
        <v>532</v>
      </c>
      <c r="M247" s="29" t="s">
        <v>545</v>
      </c>
      <c r="N247" s="29" t="s">
        <v>331</v>
      </c>
      <c r="O247" s="29" t="s">
        <v>47</v>
      </c>
      <c r="P247" s="30" t="s">
        <v>559</v>
      </c>
    </row>
    <row r="248" s="25" customFormat="1" spans="1:16">
      <c r="A248" s="29" t="s">
        <v>558</v>
      </c>
      <c r="B248" s="29" t="s">
        <v>542</v>
      </c>
      <c r="C248" s="29" t="s">
        <v>35</v>
      </c>
      <c r="D248" s="29" t="s">
        <v>48</v>
      </c>
      <c r="E248" s="29" t="s">
        <v>35</v>
      </c>
      <c r="F248" s="29" t="s">
        <v>51</v>
      </c>
      <c r="G248" s="29" t="s">
        <v>543</v>
      </c>
      <c r="H248" s="29" t="s">
        <v>63</v>
      </c>
      <c r="I248" s="29" t="s">
        <v>39</v>
      </c>
      <c r="J248" s="29" t="s">
        <v>416</v>
      </c>
      <c r="K248" s="29" t="s">
        <v>560</v>
      </c>
      <c r="L248" s="29" t="s">
        <v>561</v>
      </c>
      <c r="M248" s="29" t="s">
        <v>545</v>
      </c>
      <c r="N248" s="29" t="s">
        <v>331</v>
      </c>
      <c r="O248" s="29" t="s">
        <v>47</v>
      </c>
      <c r="P248" s="30" t="s">
        <v>562</v>
      </c>
    </row>
    <row r="249" s="25" customFormat="1" spans="1:16">
      <c r="A249" s="29" t="s">
        <v>560</v>
      </c>
      <c r="B249" s="29" t="s">
        <v>542</v>
      </c>
      <c r="C249" s="29" t="s">
        <v>35</v>
      </c>
      <c r="D249" s="29" t="s">
        <v>48</v>
      </c>
      <c r="E249" s="29" t="s">
        <v>35</v>
      </c>
      <c r="F249" s="29" t="s">
        <v>51</v>
      </c>
      <c r="G249" s="29" t="s">
        <v>543</v>
      </c>
      <c r="H249" s="29" t="s">
        <v>63</v>
      </c>
      <c r="I249" s="29" t="s">
        <v>39</v>
      </c>
      <c r="J249" s="29" t="s">
        <v>420</v>
      </c>
      <c r="K249" s="29" t="s">
        <v>563</v>
      </c>
      <c r="L249" s="29" t="s">
        <v>564</v>
      </c>
      <c r="M249" s="29" t="s">
        <v>545</v>
      </c>
      <c r="N249" s="29" t="s">
        <v>331</v>
      </c>
      <c r="O249" s="29" t="s">
        <v>47</v>
      </c>
      <c r="P249" s="30" t="s">
        <v>565</v>
      </c>
    </row>
    <row r="250" s="25" customFormat="1" spans="1:16">
      <c r="A250" s="29" t="s">
        <v>563</v>
      </c>
      <c r="B250" s="29" t="s">
        <v>542</v>
      </c>
      <c r="C250" s="29" t="s">
        <v>35</v>
      </c>
      <c r="D250" s="29" t="s">
        <v>48</v>
      </c>
      <c r="E250" s="29" t="s">
        <v>35</v>
      </c>
      <c r="F250" s="29" t="s">
        <v>51</v>
      </c>
      <c r="G250" s="29" t="s">
        <v>543</v>
      </c>
      <c r="H250" s="29" t="s">
        <v>63</v>
      </c>
      <c r="I250" s="29" t="s">
        <v>39</v>
      </c>
      <c r="J250" s="29" t="s">
        <v>424</v>
      </c>
      <c r="K250" s="29" t="s">
        <v>39</v>
      </c>
      <c r="L250" s="29" t="s">
        <v>39</v>
      </c>
      <c r="M250" s="29" t="s">
        <v>39</v>
      </c>
      <c r="N250" s="29" t="s">
        <v>331</v>
      </c>
      <c r="O250" s="29" t="s">
        <v>47</v>
      </c>
      <c r="P250" s="30" t="s">
        <v>566</v>
      </c>
    </row>
    <row r="251" s="25" customFormat="1" spans="1:16">
      <c r="A251" s="29" t="s">
        <v>567</v>
      </c>
      <c r="B251" s="29" t="s">
        <v>567</v>
      </c>
      <c r="C251" s="29" t="s">
        <v>35</v>
      </c>
      <c r="D251" s="29" t="s">
        <v>48</v>
      </c>
      <c r="E251" s="29" t="s">
        <v>35</v>
      </c>
      <c r="F251" s="29" t="s">
        <v>51</v>
      </c>
      <c r="G251" s="29" t="s">
        <v>568</v>
      </c>
      <c r="H251" s="29" t="s">
        <v>80</v>
      </c>
      <c r="I251" s="29" t="s">
        <v>39</v>
      </c>
      <c r="J251" s="29" t="s">
        <v>39</v>
      </c>
      <c r="K251" s="29" t="s">
        <v>569</v>
      </c>
      <c r="L251" s="29" t="s">
        <v>206</v>
      </c>
      <c r="M251" s="29" t="s">
        <v>545</v>
      </c>
      <c r="N251" s="29" t="s">
        <v>82</v>
      </c>
      <c r="O251" s="29" t="s">
        <v>51</v>
      </c>
      <c r="P251" s="30" t="s">
        <v>83</v>
      </c>
    </row>
    <row r="252" s="25" customFormat="1" spans="1:16">
      <c r="A252" s="29" t="s">
        <v>569</v>
      </c>
      <c r="B252" s="29" t="s">
        <v>567</v>
      </c>
      <c r="C252" s="29" t="s">
        <v>35</v>
      </c>
      <c r="D252" s="29" t="s">
        <v>48</v>
      </c>
      <c r="E252" s="29" t="s">
        <v>35</v>
      </c>
      <c r="F252" s="29" t="s">
        <v>51</v>
      </c>
      <c r="G252" s="29" t="s">
        <v>568</v>
      </c>
      <c r="H252" s="29" t="s">
        <v>80</v>
      </c>
      <c r="I252" s="29" t="s">
        <v>39</v>
      </c>
      <c r="J252" s="29" t="s">
        <v>35</v>
      </c>
      <c r="K252" s="29" t="s">
        <v>570</v>
      </c>
      <c r="L252" s="29" t="s">
        <v>211</v>
      </c>
      <c r="M252" s="29" t="s">
        <v>545</v>
      </c>
      <c r="N252" s="29" t="s">
        <v>353</v>
      </c>
      <c r="O252" s="29" t="s">
        <v>51</v>
      </c>
      <c r="P252" s="30" t="s">
        <v>354</v>
      </c>
    </row>
    <row r="253" s="25" customFormat="1" spans="1:16">
      <c r="A253" s="29" t="s">
        <v>570</v>
      </c>
      <c r="B253" s="29" t="s">
        <v>567</v>
      </c>
      <c r="C253" s="29" t="s">
        <v>35</v>
      </c>
      <c r="D253" s="29" t="s">
        <v>48</v>
      </c>
      <c r="E253" s="29" t="s">
        <v>35</v>
      </c>
      <c r="F253" s="29" t="s">
        <v>51</v>
      </c>
      <c r="G253" s="29" t="s">
        <v>568</v>
      </c>
      <c r="H253" s="29" t="s">
        <v>80</v>
      </c>
      <c r="I253" s="29" t="s">
        <v>39</v>
      </c>
      <c r="J253" s="29" t="s">
        <v>47</v>
      </c>
      <c r="K253" s="29" t="s">
        <v>571</v>
      </c>
      <c r="L253" s="29" t="s">
        <v>215</v>
      </c>
      <c r="M253" s="29" t="s">
        <v>545</v>
      </c>
      <c r="N253" s="29" t="s">
        <v>353</v>
      </c>
      <c r="O253" s="29" t="s">
        <v>51</v>
      </c>
      <c r="P253" s="30" t="s">
        <v>356</v>
      </c>
    </row>
    <row r="254" s="25" customFormat="1" spans="1:16">
      <c r="A254" s="29" t="s">
        <v>571</v>
      </c>
      <c r="B254" s="29" t="s">
        <v>567</v>
      </c>
      <c r="C254" s="29" t="s">
        <v>35</v>
      </c>
      <c r="D254" s="29" t="s">
        <v>48</v>
      </c>
      <c r="E254" s="29" t="s">
        <v>35</v>
      </c>
      <c r="F254" s="29" t="s">
        <v>51</v>
      </c>
      <c r="G254" s="29" t="s">
        <v>568</v>
      </c>
      <c r="H254" s="29" t="s">
        <v>80</v>
      </c>
      <c r="I254" s="29" t="s">
        <v>39</v>
      </c>
      <c r="J254" s="29" t="s">
        <v>51</v>
      </c>
      <c r="K254" s="29" t="s">
        <v>572</v>
      </c>
      <c r="L254" s="29" t="s">
        <v>218</v>
      </c>
      <c r="M254" s="29" t="s">
        <v>545</v>
      </c>
      <c r="N254" s="29" t="s">
        <v>353</v>
      </c>
      <c r="O254" s="29" t="s">
        <v>51</v>
      </c>
      <c r="P254" s="30" t="s">
        <v>358</v>
      </c>
    </row>
    <row r="255" s="25" customFormat="1" spans="1:16">
      <c r="A255" s="29" t="s">
        <v>572</v>
      </c>
      <c r="B255" s="29" t="s">
        <v>567</v>
      </c>
      <c r="C255" s="29" t="s">
        <v>35</v>
      </c>
      <c r="D255" s="29" t="s">
        <v>48</v>
      </c>
      <c r="E255" s="29" t="s">
        <v>35</v>
      </c>
      <c r="F255" s="29" t="s">
        <v>51</v>
      </c>
      <c r="G255" s="29" t="s">
        <v>568</v>
      </c>
      <c r="H255" s="29" t="s">
        <v>80</v>
      </c>
      <c r="I255" s="29" t="s">
        <v>39</v>
      </c>
      <c r="J255" s="29" t="s">
        <v>55</v>
      </c>
      <c r="K255" s="29" t="s">
        <v>573</v>
      </c>
      <c r="L255" s="29" t="s">
        <v>221</v>
      </c>
      <c r="M255" s="29" t="s">
        <v>545</v>
      </c>
      <c r="N255" s="29" t="s">
        <v>353</v>
      </c>
      <c r="O255" s="29" t="s">
        <v>51</v>
      </c>
      <c r="P255" s="30" t="s">
        <v>360</v>
      </c>
    </row>
    <row r="256" s="25" customFormat="1" spans="1:16">
      <c r="A256" s="29" t="s">
        <v>573</v>
      </c>
      <c r="B256" s="29" t="s">
        <v>567</v>
      </c>
      <c r="C256" s="29" t="s">
        <v>35</v>
      </c>
      <c r="D256" s="29" t="s">
        <v>48</v>
      </c>
      <c r="E256" s="29" t="s">
        <v>35</v>
      </c>
      <c r="F256" s="29" t="s">
        <v>51</v>
      </c>
      <c r="G256" s="29" t="s">
        <v>568</v>
      </c>
      <c r="H256" s="29" t="s">
        <v>80</v>
      </c>
      <c r="I256" s="29" t="s">
        <v>39</v>
      </c>
      <c r="J256" s="29" t="s">
        <v>59</v>
      </c>
      <c r="K256" s="29" t="s">
        <v>574</v>
      </c>
      <c r="L256" s="29" t="s">
        <v>224</v>
      </c>
      <c r="M256" s="29" t="s">
        <v>545</v>
      </c>
      <c r="N256" s="29" t="s">
        <v>353</v>
      </c>
      <c r="O256" s="29" t="s">
        <v>51</v>
      </c>
      <c r="P256" s="30" t="s">
        <v>92</v>
      </c>
    </row>
    <row r="257" s="25" customFormat="1" spans="1:16">
      <c r="A257" s="29" t="s">
        <v>574</v>
      </c>
      <c r="B257" s="29" t="s">
        <v>567</v>
      </c>
      <c r="C257" s="29" t="s">
        <v>35</v>
      </c>
      <c r="D257" s="29" t="s">
        <v>48</v>
      </c>
      <c r="E257" s="29" t="s">
        <v>35</v>
      </c>
      <c r="F257" s="29" t="s">
        <v>51</v>
      </c>
      <c r="G257" s="29" t="s">
        <v>568</v>
      </c>
      <c r="H257" s="29" t="s">
        <v>80</v>
      </c>
      <c r="I257" s="29" t="s">
        <v>39</v>
      </c>
      <c r="J257" s="29" t="s">
        <v>129</v>
      </c>
      <c r="K257" s="29" t="s">
        <v>575</v>
      </c>
      <c r="L257" s="29" t="s">
        <v>227</v>
      </c>
      <c r="M257" s="29" t="s">
        <v>545</v>
      </c>
      <c r="N257" s="29" t="s">
        <v>353</v>
      </c>
      <c r="O257" s="29" t="s">
        <v>51</v>
      </c>
      <c r="P257" s="30" t="s">
        <v>363</v>
      </c>
    </row>
    <row r="258" s="25" customFormat="1" spans="1:16">
      <c r="A258" s="29" t="s">
        <v>575</v>
      </c>
      <c r="B258" s="29" t="s">
        <v>567</v>
      </c>
      <c r="C258" s="29" t="s">
        <v>35</v>
      </c>
      <c r="D258" s="29" t="s">
        <v>48</v>
      </c>
      <c r="E258" s="29" t="s">
        <v>35</v>
      </c>
      <c r="F258" s="29" t="s">
        <v>51</v>
      </c>
      <c r="G258" s="29" t="s">
        <v>568</v>
      </c>
      <c r="H258" s="29" t="s">
        <v>80</v>
      </c>
      <c r="I258" s="29" t="s">
        <v>39</v>
      </c>
      <c r="J258" s="29" t="s">
        <v>133</v>
      </c>
      <c r="K258" s="29" t="s">
        <v>576</v>
      </c>
      <c r="L258" s="29" t="s">
        <v>230</v>
      </c>
      <c r="M258" s="29" t="s">
        <v>545</v>
      </c>
      <c r="N258" s="29" t="s">
        <v>353</v>
      </c>
      <c r="O258" s="29" t="s">
        <v>51</v>
      </c>
      <c r="P258" s="30" t="s">
        <v>365</v>
      </c>
    </row>
    <row r="259" s="25" customFormat="1" spans="1:16">
      <c r="A259" s="29" t="s">
        <v>576</v>
      </c>
      <c r="B259" s="29" t="s">
        <v>567</v>
      </c>
      <c r="C259" s="29" t="s">
        <v>35</v>
      </c>
      <c r="D259" s="29" t="s">
        <v>48</v>
      </c>
      <c r="E259" s="29" t="s">
        <v>35</v>
      </c>
      <c r="F259" s="29" t="s">
        <v>51</v>
      </c>
      <c r="G259" s="29" t="s">
        <v>568</v>
      </c>
      <c r="H259" s="29" t="s">
        <v>80</v>
      </c>
      <c r="I259" s="29" t="s">
        <v>39</v>
      </c>
      <c r="J259" s="29" t="s">
        <v>137</v>
      </c>
      <c r="K259" s="29" t="s">
        <v>577</v>
      </c>
      <c r="L259" s="29" t="s">
        <v>233</v>
      </c>
      <c r="M259" s="29" t="s">
        <v>545</v>
      </c>
      <c r="N259" s="29" t="s">
        <v>353</v>
      </c>
      <c r="O259" s="29" t="s">
        <v>51</v>
      </c>
      <c r="P259" s="30" t="s">
        <v>367</v>
      </c>
    </row>
    <row r="260" s="25" customFormat="1" spans="1:16">
      <c r="A260" s="29" t="s">
        <v>577</v>
      </c>
      <c r="B260" s="29" t="s">
        <v>567</v>
      </c>
      <c r="C260" s="29" t="s">
        <v>35</v>
      </c>
      <c r="D260" s="29" t="s">
        <v>48</v>
      </c>
      <c r="E260" s="29" t="s">
        <v>35</v>
      </c>
      <c r="F260" s="29" t="s">
        <v>51</v>
      </c>
      <c r="G260" s="29" t="s">
        <v>568</v>
      </c>
      <c r="H260" s="29" t="s">
        <v>80</v>
      </c>
      <c r="I260" s="29" t="s">
        <v>39</v>
      </c>
      <c r="J260" s="29" t="s">
        <v>141</v>
      </c>
      <c r="K260" s="29" t="s">
        <v>578</v>
      </c>
      <c r="L260" s="29" t="s">
        <v>236</v>
      </c>
      <c r="M260" s="29" t="s">
        <v>545</v>
      </c>
      <c r="N260" s="29" t="s">
        <v>353</v>
      </c>
      <c r="O260" s="29" t="s">
        <v>51</v>
      </c>
      <c r="P260" s="30" t="s">
        <v>369</v>
      </c>
    </row>
    <row r="261" s="25" customFormat="1" spans="1:16">
      <c r="A261" s="29" t="s">
        <v>578</v>
      </c>
      <c r="B261" s="29" t="s">
        <v>567</v>
      </c>
      <c r="C261" s="29" t="s">
        <v>35</v>
      </c>
      <c r="D261" s="29" t="s">
        <v>48</v>
      </c>
      <c r="E261" s="29" t="s">
        <v>35</v>
      </c>
      <c r="F261" s="29" t="s">
        <v>51</v>
      </c>
      <c r="G261" s="29" t="s">
        <v>568</v>
      </c>
      <c r="H261" s="29" t="s">
        <v>80</v>
      </c>
      <c r="I261" s="29" t="s">
        <v>39</v>
      </c>
      <c r="J261" s="29" t="s">
        <v>145</v>
      </c>
      <c r="K261" s="29" t="s">
        <v>579</v>
      </c>
      <c r="L261" s="29" t="s">
        <v>238</v>
      </c>
      <c r="M261" s="29" t="s">
        <v>545</v>
      </c>
      <c r="N261" s="29" t="s">
        <v>353</v>
      </c>
      <c r="O261" s="29" t="s">
        <v>51</v>
      </c>
      <c r="P261" s="30" t="s">
        <v>370</v>
      </c>
    </row>
    <row r="262" s="25" customFormat="1" spans="1:16">
      <c r="A262" s="29" t="s">
        <v>579</v>
      </c>
      <c r="B262" s="29" t="s">
        <v>567</v>
      </c>
      <c r="C262" s="29" t="s">
        <v>35</v>
      </c>
      <c r="D262" s="29" t="s">
        <v>48</v>
      </c>
      <c r="E262" s="29" t="s">
        <v>35</v>
      </c>
      <c r="F262" s="29" t="s">
        <v>51</v>
      </c>
      <c r="G262" s="29" t="s">
        <v>568</v>
      </c>
      <c r="H262" s="29" t="s">
        <v>80</v>
      </c>
      <c r="I262" s="29" t="s">
        <v>39</v>
      </c>
      <c r="J262" s="29" t="s">
        <v>408</v>
      </c>
      <c r="K262" s="29" t="s">
        <v>580</v>
      </c>
      <c r="L262" s="29" t="s">
        <v>529</v>
      </c>
      <c r="M262" s="29" t="s">
        <v>545</v>
      </c>
      <c r="N262" s="29" t="s">
        <v>353</v>
      </c>
      <c r="O262" s="29" t="s">
        <v>51</v>
      </c>
      <c r="P262" s="30" t="s">
        <v>581</v>
      </c>
    </row>
    <row r="263" s="25" customFormat="1" spans="1:16">
      <c r="A263" s="29" t="s">
        <v>580</v>
      </c>
      <c r="B263" s="29" t="s">
        <v>567</v>
      </c>
      <c r="C263" s="29" t="s">
        <v>35</v>
      </c>
      <c r="D263" s="29" t="s">
        <v>48</v>
      </c>
      <c r="E263" s="29" t="s">
        <v>35</v>
      </c>
      <c r="F263" s="29" t="s">
        <v>51</v>
      </c>
      <c r="G263" s="29" t="s">
        <v>568</v>
      </c>
      <c r="H263" s="29" t="s">
        <v>80</v>
      </c>
      <c r="I263" s="29" t="s">
        <v>39</v>
      </c>
      <c r="J263" s="29" t="s">
        <v>412</v>
      </c>
      <c r="K263" s="29" t="s">
        <v>582</v>
      </c>
      <c r="L263" s="29" t="s">
        <v>532</v>
      </c>
      <c r="M263" s="29" t="s">
        <v>545</v>
      </c>
      <c r="N263" s="29" t="s">
        <v>353</v>
      </c>
      <c r="O263" s="29" t="s">
        <v>51</v>
      </c>
      <c r="P263" s="30" t="s">
        <v>583</v>
      </c>
    </row>
    <row r="264" s="25" customFormat="1" spans="1:16">
      <c r="A264" s="29" t="s">
        <v>582</v>
      </c>
      <c r="B264" s="29" t="s">
        <v>567</v>
      </c>
      <c r="C264" s="29" t="s">
        <v>35</v>
      </c>
      <c r="D264" s="29" t="s">
        <v>48</v>
      </c>
      <c r="E264" s="29" t="s">
        <v>35</v>
      </c>
      <c r="F264" s="29" t="s">
        <v>51</v>
      </c>
      <c r="G264" s="29" t="s">
        <v>568</v>
      </c>
      <c r="H264" s="29" t="s">
        <v>80</v>
      </c>
      <c r="I264" s="29" t="s">
        <v>39</v>
      </c>
      <c r="J264" s="29" t="s">
        <v>416</v>
      </c>
      <c r="K264" s="29" t="s">
        <v>584</v>
      </c>
      <c r="L264" s="29" t="s">
        <v>561</v>
      </c>
      <c r="M264" s="29" t="s">
        <v>545</v>
      </c>
      <c r="N264" s="29" t="s">
        <v>353</v>
      </c>
      <c r="O264" s="29" t="s">
        <v>51</v>
      </c>
      <c r="P264" s="30" t="s">
        <v>585</v>
      </c>
    </row>
    <row r="265" s="25" customFormat="1" spans="1:16">
      <c r="A265" s="29" t="s">
        <v>584</v>
      </c>
      <c r="B265" s="29" t="s">
        <v>567</v>
      </c>
      <c r="C265" s="29" t="s">
        <v>35</v>
      </c>
      <c r="D265" s="29" t="s">
        <v>48</v>
      </c>
      <c r="E265" s="29" t="s">
        <v>35</v>
      </c>
      <c r="F265" s="29" t="s">
        <v>51</v>
      </c>
      <c r="G265" s="29" t="s">
        <v>568</v>
      </c>
      <c r="H265" s="29" t="s">
        <v>80</v>
      </c>
      <c r="I265" s="29" t="s">
        <v>39</v>
      </c>
      <c r="J265" s="29" t="s">
        <v>420</v>
      </c>
      <c r="K265" s="29" t="s">
        <v>586</v>
      </c>
      <c r="L265" s="29" t="s">
        <v>564</v>
      </c>
      <c r="M265" s="29" t="s">
        <v>545</v>
      </c>
      <c r="N265" s="29" t="s">
        <v>353</v>
      </c>
      <c r="O265" s="29" t="s">
        <v>51</v>
      </c>
      <c r="P265" s="30" t="s">
        <v>587</v>
      </c>
    </row>
    <row r="266" s="25" customFormat="1" spans="1:16">
      <c r="A266" s="29" t="s">
        <v>586</v>
      </c>
      <c r="B266" s="29" t="s">
        <v>567</v>
      </c>
      <c r="C266" s="29" t="s">
        <v>35</v>
      </c>
      <c r="D266" s="29" t="s">
        <v>48</v>
      </c>
      <c r="E266" s="29" t="s">
        <v>35</v>
      </c>
      <c r="F266" s="29" t="s">
        <v>51</v>
      </c>
      <c r="G266" s="29" t="s">
        <v>568</v>
      </c>
      <c r="H266" s="29" t="s">
        <v>80</v>
      </c>
      <c r="I266" s="29" t="s">
        <v>39</v>
      </c>
      <c r="J266" s="29" t="s">
        <v>424</v>
      </c>
      <c r="K266" s="29" t="s">
        <v>39</v>
      </c>
      <c r="L266" s="29" t="s">
        <v>39</v>
      </c>
      <c r="M266" s="29" t="s">
        <v>39</v>
      </c>
      <c r="N266" s="29" t="s">
        <v>353</v>
      </c>
      <c r="O266" s="29" t="s">
        <v>51</v>
      </c>
      <c r="P266" s="30" t="s">
        <v>588</v>
      </c>
    </row>
    <row r="267" s="25" customFormat="1" spans="1:16">
      <c r="A267" s="29" t="s">
        <v>589</v>
      </c>
      <c r="B267" s="29" t="s">
        <v>589</v>
      </c>
      <c r="C267" s="29" t="s">
        <v>35</v>
      </c>
      <c r="D267" s="29" t="s">
        <v>48</v>
      </c>
      <c r="E267" s="29" t="s">
        <v>35</v>
      </c>
      <c r="F267" s="29" t="s">
        <v>51</v>
      </c>
      <c r="G267" s="29" t="s">
        <v>590</v>
      </c>
      <c r="H267" s="29" t="s">
        <v>96</v>
      </c>
      <c r="I267" s="29" t="s">
        <v>39</v>
      </c>
      <c r="J267" s="29" t="s">
        <v>39</v>
      </c>
      <c r="K267" s="29" t="s">
        <v>591</v>
      </c>
      <c r="L267" s="29" t="s">
        <v>206</v>
      </c>
      <c r="M267" s="29" t="s">
        <v>545</v>
      </c>
      <c r="N267" s="29" t="s">
        <v>98</v>
      </c>
      <c r="O267" s="29" t="s">
        <v>55</v>
      </c>
      <c r="P267" s="30" t="s">
        <v>99</v>
      </c>
    </row>
    <row r="268" s="25" customFormat="1" spans="1:16">
      <c r="A268" s="29" t="s">
        <v>591</v>
      </c>
      <c r="B268" s="29" t="s">
        <v>589</v>
      </c>
      <c r="C268" s="29" t="s">
        <v>35</v>
      </c>
      <c r="D268" s="29" t="s">
        <v>48</v>
      </c>
      <c r="E268" s="29" t="s">
        <v>35</v>
      </c>
      <c r="F268" s="29" t="s">
        <v>51</v>
      </c>
      <c r="G268" s="29" t="s">
        <v>590</v>
      </c>
      <c r="H268" s="29" t="s">
        <v>96</v>
      </c>
      <c r="I268" s="29" t="s">
        <v>39</v>
      </c>
      <c r="J268" s="29" t="s">
        <v>35</v>
      </c>
      <c r="K268" s="29" t="s">
        <v>592</v>
      </c>
      <c r="L268" s="29" t="s">
        <v>211</v>
      </c>
      <c r="M268" s="29" t="s">
        <v>545</v>
      </c>
      <c r="N268" s="29" t="s">
        <v>375</v>
      </c>
      <c r="O268" s="29" t="s">
        <v>55</v>
      </c>
      <c r="P268" s="30" t="s">
        <v>376</v>
      </c>
    </row>
    <row r="269" s="25" customFormat="1" spans="1:16">
      <c r="A269" s="29" t="s">
        <v>592</v>
      </c>
      <c r="B269" s="29" t="s">
        <v>589</v>
      </c>
      <c r="C269" s="29" t="s">
        <v>35</v>
      </c>
      <c r="D269" s="29" t="s">
        <v>48</v>
      </c>
      <c r="E269" s="29" t="s">
        <v>35</v>
      </c>
      <c r="F269" s="29" t="s">
        <v>51</v>
      </c>
      <c r="G269" s="29" t="s">
        <v>590</v>
      </c>
      <c r="H269" s="29" t="s">
        <v>96</v>
      </c>
      <c r="I269" s="29" t="s">
        <v>39</v>
      </c>
      <c r="J269" s="29" t="s">
        <v>47</v>
      </c>
      <c r="K269" s="29" t="s">
        <v>593</v>
      </c>
      <c r="L269" s="29" t="s">
        <v>215</v>
      </c>
      <c r="M269" s="29" t="s">
        <v>545</v>
      </c>
      <c r="N269" s="29" t="s">
        <v>375</v>
      </c>
      <c r="O269" s="29" t="s">
        <v>55</v>
      </c>
      <c r="P269" s="30" t="s">
        <v>378</v>
      </c>
    </row>
    <row r="270" s="25" customFormat="1" spans="1:16">
      <c r="A270" s="29" t="s">
        <v>593</v>
      </c>
      <c r="B270" s="29" t="s">
        <v>589</v>
      </c>
      <c r="C270" s="29" t="s">
        <v>35</v>
      </c>
      <c r="D270" s="29" t="s">
        <v>48</v>
      </c>
      <c r="E270" s="29" t="s">
        <v>35</v>
      </c>
      <c r="F270" s="29" t="s">
        <v>51</v>
      </c>
      <c r="G270" s="29" t="s">
        <v>590</v>
      </c>
      <c r="H270" s="29" t="s">
        <v>96</v>
      </c>
      <c r="I270" s="29" t="s">
        <v>39</v>
      </c>
      <c r="J270" s="29" t="s">
        <v>51</v>
      </c>
      <c r="K270" s="29" t="s">
        <v>594</v>
      </c>
      <c r="L270" s="29" t="s">
        <v>218</v>
      </c>
      <c r="M270" s="29" t="s">
        <v>545</v>
      </c>
      <c r="N270" s="29" t="s">
        <v>375</v>
      </c>
      <c r="O270" s="29" t="s">
        <v>55</v>
      </c>
      <c r="P270" s="30" t="s">
        <v>380</v>
      </c>
    </row>
    <row r="271" s="25" customFormat="1" spans="1:16">
      <c r="A271" s="29" t="s">
        <v>594</v>
      </c>
      <c r="B271" s="29" t="s">
        <v>589</v>
      </c>
      <c r="C271" s="29" t="s">
        <v>35</v>
      </c>
      <c r="D271" s="29" t="s">
        <v>48</v>
      </c>
      <c r="E271" s="29" t="s">
        <v>35</v>
      </c>
      <c r="F271" s="29" t="s">
        <v>51</v>
      </c>
      <c r="G271" s="29" t="s">
        <v>590</v>
      </c>
      <c r="H271" s="29" t="s">
        <v>96</v>
      </c>
      <c r="I271" s="29" t="s">
        <v>39</v>
      </c>
      <c r="J271" s="29" t="s">
        <v>55</v>
      </c>
      <c r="K271" s="29" t="s">
        <v>595</v>
      </c>
      <c r="L271" s="29" t="s">
        <v>221</v>
      </c>
      <c r="M271" s="29" t="s">
        <v>545</v>
      </c>
      <c r="N271" s="29" t="s">
        <v>375</v>
      </c>
      <c r="O271" s="29" t="s">
        <v>55</v>
      </c>
      <c r="P271" s="30" t="s">
        <v>382</v>
      </c>
    </row>
    <row r="272" s="25" customFormat="1" spans="1:16">
      <c r="A272" s="29" t="s">
        <v>595</v>
      </c>
      <c r="B272" s="29" t="s">
        <v>589</v>
      </c>
      <c r="C272" s="29" t="s">
        <v>35</v>
      </c>
      <c r="D272" s="29" t="s">
        <v>48</v>
      </c>
      <c r="E272" s="29" t="s">
        <v>35</v>
      </c>
      <c r="F272" s="29" t="s">
        <v>51</v>
      </c>
      <c r="G272" s="29" t="s">
        <v>590</v>
      </c>
      <c r="H272" s="29" t="s">
        <v>96</v>
      </c>
      <c r="I272" s="29" t="s">
        <v>39</v>
      </c>
      <c r="J272" s="29" t="s">
        <v>59</v>
      </c>
      <c r="K272" s="29" t="s">
        <v>596</v>
      </c>
      <c r="L272" s="29" t="s">
        <v>224</v>
      </c>
      <c r="M272" s="29" t="s">
        <v>545</v>
      </c>
      <c r="N272" s="29" t="s">
        <v>375</v>
      </c>
      <c r="O272" s="29" t="s">
        <v>55</v>
      </c>
      <c r="P272" s="30" t="s">
        <v>384</v>
      </c>
    </row>
    <row r="273" s="25" customFormat="1" spans="1:16">
      <c r="A273" s="29" t="s">
        <v>596</v>
      </c>
      <c r="B273" s="29" t="s">
        <v>589</v>
      </c>
      <c r="C273" s="29" t="s">
        <v>35</v>
      </c>
      <c r="D273" s="29" t="s">
        <v>48</v>
      </c>
      <c r="E273" s="29" t="s">
        <v>35</v>
      </c>
      <c r="F273" s="29" t="s">
        <v>51</v>
      </c>
      <c r="G273" s="29" t="s">
        <v>590</v>
      </c>
      <c r="H273" s="29" t="s">
        <v>96</v>
      </c>
      <c r="I273" s="29" t="s">
        <v>39</v>
      </c>
      <c r="J273" s="29" t="s">
        <v>129</v>
      </c>
      <c r="K273" s="29" t="s">
        <v>597</v>
      </c>
      <c r="L273" s="29" t="s">
        <v>227</v>
      </c>
      <c r="M273" s="29" t="s">
        <v>545</v>
      </c>
      <c r="N273" s="29" t="s">
        <v>375</v>
      </c>
      <c r="O273" s="29" t="s">
        <v>55</v>
      </c>
      <c r="P273" s="30" t="s">
        <v>109</v>
      </c>
    </row>
    <row r="274" s="25" customFormat="1" spans="1:16">
      <c r="A274" s="29" t="s">
        <v>597</v>
      </c>
      <c r="B274" s="29" t="s">
        <v>589</v>
      </c>
      <c r="C274" s="29" t="s">
        <v>35</v>
      </c>
      <c r="D274" s="29" t="s">
        <v>48</v>
      </c>
      <c r="E274" s="29" t="s">
        <v>35</v>
      </c>
      <c r="F274" s="29" t="s">
        <v>51</v>
      </c>
      <c r="G274" s="29" t="s">
        <v>590</v>
      </c>
      <c r="H274" s="29" t="s">
        <v>96</v>
      </c>
      <c r="I274" s="29" t="s">
        <v>39</v>
      </c>
      <c r="J274" s="29" t="s">
        <v>133</v>
      </c>
      <c r="K274" s="29" t="s">
        <v>598</v>
      </c>
      <c r="L274" s="29" t="s">
        <v>230</v>
      </c>
      <c r="M274" s="29" t="s">
        <v>545</v>
      </c>
      <c r="N274" s="29" t="s">
        <v>375</v>
      </c>
      <c r="O274" s="29" t="s">
        <v>55</v>
      </c>
      <c r="P274" s="30" t="s">
        <v>387</v>
      </c>
    </row>
    <row r="275" s="25" customFormat="1" spans="1:16">
      <c r="A275" s="29" t="s">
        <v>598</v>
      </c>
      <c r="B275" s="29" t="s">
        <v>589</v>
      </c>
      <c r="C275" s="29" t="s">
        <v>35</v>
      </c>
      <c r="D275" s="29" t="s">
        <v>48</v>
      </c>
      <c r="E275" s="29" t="s">
        <v>35</v>
      </c>
      <c r="F275" s="29" t="s">
        <v>51</v>
      </c>
      <c r="G275" s="29" t="s">
        <v>590</v>
      </c>
      <c r="H275" s="29" t="s">
        <v>96</v>
      </c>
      <c r="I275" s="29" t="s">
        <v>39</v>
      </c>
      <c r="J275" s="29" t="s">
        <v>137</v>
      </c>
      <c r="K275" s="29" t="s">
        <v>599</v>
      </c>
      <c r="L275" s="29" t="s">
        <v>233</v>
      </c>
      <c r="M275" s="29" t="s">
        <v>545</v>
      </c>
      <c r="N275" s="29" t="s">
        <v>375</v>
      </c>
      <c r="O275" s="29" t="s">
        <v>55</v>
      </c>
      <c r="P275" s="30" t="s">
        <v>389</v>
      </c>
    </row>
    <row r="276" s="25" customFormat="1" spans="1:16">
      <c r="A276" s="29" t="s">
        <v>599</v>
      </c>
      <c r="B276" s="29" t="s">
        <v>589</v>
      </c>
      <c r="C276" s="29" t="s">
        <v>35</v>
      </c>
      <c r="D276" s="29" t="s">
        <v>48</v>
      </c>
      <c r="E276" s="29" t="s">
        <v>35</v>
      </c>
      <c r="F276" s="29" t="s">
        <v>51</v>
      </c>
      <c r="G276" s="29" t="s">
        <v>590</v>
      </c>
      <c r="H276" s="29" t="s">
        <v>96</v>
      </c>
      <c r="I276" s="29" t="s">
        <v>39</v>
      </c>
      <c r="J276" s="29" t="s">
        <v>141</v>
      </c>
      <c r="K276" s="29" t="s">
        <v>600</v>
      </c>
      <c r="L276" s="29" t="s">
        <v>236</v>
      </c>
      <c r="M276" s="29" t="s">
        <v>545</v>
      </c>
      <c r="N276" s="29" t="s">
        <v>375</v>
      </c>
      <c r="O276" s="29" t="s">
        <v>55</v>
      </c>
      <c r="P276" s="30" t="s">
        <v>391</v>
      </c>
    </row>
    <row r="277" s="25" customFormat="1" spans="1:16">
      <c r="A277" s="29" t="s">
        <v>600</v>
      </c>
      <c r="B277" s="29" t="s">
        <v>589</v>
      </c>
      <c r="C277" s="29" t="s">
        <v>35</v>
      </c>
      <c r="D277" s="29" t="s">
        <v>48</v>
      </c>
      <c r="E277" s="29" t="s">
        <v>35</v>
      </c>
      <c r="F277" s="29" t="s">
        <v>51</v>
      </c>
      <c r="G277" s="29" t="s">
        <v>590</v>
      </c>
      <c r="H277" s="29" t="s">
        <v>96</v>
      </c>
      <c r="I277" s="29" t="s">
        <v>39</v>
      </c>
      <c r="J277" s="29" t="s">
        <v>145</v>
      </c>
      <c r="K277" s="29" t="s">
        <v>601</v>
      </c>
      <c r="L277" s="29" t="s">
        <v>238</v>
      </c>
      <c r="M277" s="29" t="s">
        <v>545</v>
      </c>
      <c r="N277" s="29" t="s">
        <v>375</v>
      </c>
      <c r="O277" s="29" t="s">
        <v>55</v>
      </c>
      <c r="P277" s="30" t="s">
        <v>392</v>
      </c>
    </row>
    <row r="278" s="25" customFormat="1" spans="1:16">
      <c r="A278" s="29" t="s">
        <v>601</v>
      </c>
      <c r="B278" s="29" t="s">
        <v>589</v>
      </c>
      <c r="C278" s="29" t="s">
        <v>35</v>
      </c>
      <c r="D278" s="29" t="s">
        <v>48</v>
      </c>
      <c r="E278" s="29" t="s">
        <v>35</v>
      </c>
      <c r="F278" s="29" t="s">
        <v>51</v>
      </c>
      <c r="G278" s="29" t="s">
        <v>590</v>
      </c>
      <c r="H278" s="29" t="s">
        <v>96</v>
      </c>
      <c r="I278" s="29" t="s">
        <v>39</v>
      </c>
      <c r="J278" s="29" t="s">
        <v>408</v>
      </c>
      <c r="K278" s="29" t="s">
        <v>602</v>
      </c>
      <c r="L278" s="29" t="s">
        <v>529</v>
      </c>
      <c r="M278" s="29" t="s">
        <v>545</v>
      </c>
      <c r="N278" s="29" t="s">
        <v>375</v>
      </c>
      <c r="O278" s="29" t="s">
        <v>55</v>
      </c>
      <c r="P278" s="30" t="s">
        <v>603</v>
      </c>
    </row>
    <row r="279" s="25" customFormat="1" spans="1:16">
      <c r="A279" s="29" t="s">
        <v>602</v>
      </c>
      <c r="B279" s="29" t="s">
        <v>589</v>
      </c>
      <c r="C279" s="29" t="s">
        <v>35</v>
      </c>
      <c r="D279" s="29" t="s">
        <v>48</v>
      </c>
      <c r="E279" s="29" t="s">
        <v>35</v>
      </c>
      <c r="F279" s="29" t="s">
        <v>51</v>
      </c>
      <c r="G279" s="29" t="s">
        <v>590</v>
      </c>
      <c r="H279" s="29" t="s">
        <v>96</v>
      </c>
      <c r="I279" s="29" t="s">
        <v>39</v>
      </c>
      <c r="J279" s="29" t="s">
        <v>412</v>
      </c>
      <c r="K279" s="29" t="s">
        <v>604</v>
      </c>
      <c r="L279" s="29" t="s">
        <v>532</v>
      </c>
      <c r="M279" s="29" t="s">
        <v>545</v>
      </c>
      <c r="N279" s="29" t="s">
        <v>375</v>
      </c>
      <c r="O279" s="29" t="s">
        <v>55</v>
      </c>
      <c r="P279" s="30" t="s">
        <v>605</v>
      </c>
    </row>
    <row r="280" s="25" customFormat="1" spans="1:16">
      <c r="A280" s="29" t="s">
        <v>604</v>
      </c>
      <c r="B280" s="29" t="s">
        <v>589</v>
      </c>
      <c r="C280" s="29" t="s">
        <v>35</v>
      </c>
      <c r="D280" s="29" t="s">
        <v>48</v>
      </c>
      <c r="E280" s="29" t="s">
        <v>35</v>
      </c>
      <c r="F280" s="29" t="s">
        <v>51</v>
      </c>
      <c r="G280" s="29" t="s">
        <v>590</v>
      </c>
      <c r="H280" s="29" t="s">
        <v>96</v>
      </c>
      <c r="I280" s="29" t="s">
        <v>39</v>
      </c>
      <c r="J280" s="29" t="s">
        <v>416</v>
      </c>
      <c r="K280" s="29" t="s">
        <v>606</v>
      </c>
      <c r="L280" s="29" t="s">
        <v>561</v>
      </c>
      <c r="M280" s="29" t="s">
        <v>545</v>
      </c>
      <c r="N280" s="29" t="s">
        <v>375</v>
      </c>
      <c r="O280" s="29" t="s">
        <v>55</v>
      </c>
      <c r="P280" s="30" t="s">
        <v>607</v>
      </c>
    </row>
    <row r="281" s="25" customFormat="1" spans="1:16">
      <c r="A281" s="29" t="s">
        <v>606</v>
      </c>
      <c r="B281" s="29" t="s">
        <v>589</v>
      </c>
      <c r="C281" s="29" t="s">
        <v>35</v>
      </c>
      <c r="D281" s="29" t="s">
        <v>48</v>
      </c>
      <c r="E281" s="29" t="s">
        <v>35</v>
      </c>
      <c r="F281" s="29" t="s">
        <v>51</v>
      </c>
      <c r="G281" s="29" t="s">
        <v>590</v>
      </c>
      <c r="H281" s="29" t="s">
        <v>96</v>
      </c>
      <c r="I281" s="29" t="s">
        <v>39</v>
      </c>
      <c r="J281" s="29" t="s">
        <v>420</v>
      </c>
      <c r="K281" s="29" t="s">
        <v>608</v>
      </c>
      <c r="L281" s="29" t="s">
        <v>564</v>
      </c>
      <c r="M281" s="29" t="s">
        <v>545</v>
      </c>
      <c r="N281" s="29" t="s">
        <v>375</v>
      </c>
      <c r="O281" s="29" t="s">
        <v>55</v>
      </c>
      <c r="P281" s="30" t="s">
        <v>609</v>
      </c>
    </row>
    <row r="282" s="25" customFormat="1" spans="1:16">
      <c r="A282" s="29" t="s">
        <v>608</v>
      </c>
      <c r="B282" s="29" t="s">
        <v>589</v>
      </c>
      <c r="C282" s="29" t="s">
        <v>35</v>
      </c>
      <c r="D282" s="29" t="s">
        <v>48</v>
      </c>
      <c r="E282" s="29" t="s">
        <v>35</v>
      </c>
      <c r="F282" s="29" t="s">
        <v>51</v>
      </c>
      <c r="G282" s="29" t="s">
        <v>590</v>
      </c>
      <c r="H282" s="29" t="s">
        <v>96</v>
      </c>
      <c r="I282" s="29" t="s">
        <v>39</v>
      </c>
      <c r="J282" s="29" t="s">
        <v>424</v>
      </c>
      <c r="K282" s="29" t="s">
        <v>39</v>
      </c>
      <c r="L282" s="29" t="s">
        <v>39</v>
      </c>
      <c r="M282" s="29" t="s">
        <v>39</v>
      </c>
      <c r="N282" s="29" t="s">
        <v>375</v>
      </c>
      <c r="O282" s="29" t="s">
        <v>55</v>
      </c>
      <c r="P282" s="30" t="s">
        <v>610</v>
      </c>
    </row>
    <row r="283" s="25" customFormat="1" spans="1:16">
      <c r="A283" s="29" t="s">
        <v>611</v>
      </c>
      <c r="B283" s="29" t="s">
        <v>611</v>
      </c>
      <c r="C283" s="29" t="s">
        <v>35</v>
      </c>
      <c r="D283" s="29" t="s">
        <v>48</v>
      </c>
      <c r="E283" s="29" t="s">
        <v>35</v>
      </c>
      <c r="F283" s="29" t="s">
        <v>51</v>
      </c>
      <c r="G283" s="29" t="s">
        <v>612</v>
      </c>
      <c r="H283" s="29" t="s">
        <v>112</v>
      </c>
      <c r="I283" s="29" t="s">
        <v>39</v>
      </c>
      <c r="J283" s="29" t="s">
        <v>39</v>
      </c>
      <c r="K283" s="29" t="s">
        <v>613</v>
      </c>
      <c r="L283" s="29" t="s">
        <v>206</v>
      </c>
      <c r="M283" s="29" t="s">
        <v>614</v>
      </c>
      <c r="N283" s="29" t="s">
        <v>115</v>
      </c>
      <c r="O283" s="29" t="s">
        <v>59</v>
      </c>
      <c r="P283" s="30" t="s">
        <v>116</v>
      </c>
    </row>
    <row r="284" s="25" customFormat="1" spans="1:16">
      <c r="A284" s="29" t="s">
        <v>613</v>
      </c>
      <c r="B284" s="29" t="s">
        <v>611</v>
      </c>
      <c r="C284" s="29" t="s">
        <v>35</v>
      </c>
      <c r="D284" s="29" t="s">
        <v>48</v>
      </c>
      <c r="E284" s="29" t="s">
        <v>35</v>
      </c>
      <c r="F284" s="29" t="s">
        <v>51</v>
      </c>
      <c r="G284" s="29" t="s">
        <v>612</v>
      </c>
      <c r="H284" s="29" t="s">
        <v>112</v>
      </c>
      <c r="I284" s="29" t="s">
        <v>39</v>
      </c>
      <c r="J284" s="29" t="s">
        <v>35</v>
      </c>
      <c r="K284" s="29" t="s">
        <v>615</v>
      </c>
      <c r="L284" s="29" t="s">
        <v>211</v>
      </c>
      <c r="M284" s="29" t="s">
        <v>614</v>
      </c>
      <c r="N284" s="29" t="s">
        <v>118</v>
      </c>
      <c r="O284" s="29" t="s">
        <v>59</v>
      </c>
      <c r="P284" s="30" t="s">
        <v>119</v>
      </c>
    </row>
    <row r="285" s="25" customFormat="1" spans="1:16">
      <c r="A285" s="29" t="s">
        <v>615</v>
      </c>
      <c r="B285" s="29" t="s">
        <v>611</v>
      </c>
      <c r="C285" s="29" t="s">
        <v>35</v>
      </c>
      <c r="D285" s="29" t="s">
        <v>48</v>
      </c>
      <c r="E285" s="29" t="s">
        <v>35</v>
      </c>
      <c r="F285" s="29" t="s">
        <v>51</v>
      </c>
      <c r="G285" s="29" t="s">
        <v>612</v>
      </c>
      <c r="H285" s="29" t="s">
        <v>112</v>
      </c>
      <c r="I285" s="29" t="s">
        <v>39</v>
      </c>
      <c r="J285" s="29" t="s">
        <v>47</v>
      </c>
      <c r="K285" s="29" t="s">
        <v>616</v>
      </c>
      <c r="L285" s="29" t="s">
        <v>215</v>
      </c>
      <c r="M285" s="29" t="s">
        <v>614</v>
      </c>
      <c r="N285" s="29" t="s">
        <v>118</v>
      </c>
      <c r="O285" s="29" t="s">
        <v>59</v>
      </c>
      <c r="P285" s="30" t="s">
        <v>121</v>
      </c>
    </row>
    <row r="286" s="25" customFormat="1" spans="1:16">
      <c r="A286" s="29" t="s">
        <v>616</v>
      </c>
      <c r="B286" s="29" t="s">
        <v>611</v>
      </c>
      <c r="C286" s="29" t="s">
        <v>35</v>
      </c>
      <c r="D286" s="29" t="s">
        <v>48</v>
      </c>
      <c r="E286" s="29" t="s">
        <v>35</v>
      </c>
      <c r="F286" s="29" t="s">
        <v>51</v>
      </c>
      <c r="G286" s="29" t="s">
        <v>612</v>
      </c>
      <c r="H286" s="29" t="s">
        <v>112</v>
      </c>
      <c r="I286" s="29" t="s">
        <v>39</v>
      </c>
      <c r="J286" s="29" t="s">
        <v>51</v>
      </c>
      <c r="K286" s="29" t="s">
        <v>617</v>
      </c>
      <c r="L286" s="29" t="s">
        <v>218</v>
      </c>
      <c r="M286" s="29" t="s">
        <v>614</v>
      </c>
      <c r="N286" s="29" t="s">
        <v>118</v>
      </c>
      <c r="O286" s="29" t="s">
        <v>59</v>
      </c>
      <c r="P286" s="30" t="s">
        <v>123</v>
      </c>
    </row>
    <row r="287" s="25" customFormat="1" spans="1:16">
      <c r="A287" s="29" t="s">
        <v>617</v>
      </c>
      <c r="B287" s="29" t="s">
        <v>611</v>
      </c>
      <c r="C287" s="29" t="s">
        <v>35</v>
      </c>
      <c r="D287" s="29" t="s">
        <v>48</v>
      </c>
      <c r="E287" s="29" t="s">
        <v>35</v>
      </c>
      <c r="F287" s="29" t="s">
        <v>51</v>
      </c>
      <c r="G287" s="29" t="s">
        <v>612</v>
      </c>
      <c r="H287" s="29" t="s">
        <v>112</v>
      </c>
      <c r="I287" s="29" t="s">
        <v>39</v>
      </c>
      <c r="J287" s="29" t="s">
        <v>55</v>
      </c>
      <c r="K287" s="29" t="s">
        <v>618</v>
      </c>
      <c r="L287" s="29" t="s">
        <v>221</v>
      </c>
      <c r="M287" s="29" t="s">
        <v>614</v>
      </c>
      <c r="N287" s="29" t="s">
        <v>118</v>
      </c>
      <c r="O287" s="29" t="s">
        <v>59</v>
      </c>
      <c r="P287" s="30" t="s">
        <v>125</v>
      </c>
    </row>
    <row r="288" s="25" customFormat="1" spans="1:16">
      <c r="A288" s="29" t="s">
        <v>618</v>
      </c>
      <c r="B288" s="29" t="s">
        <v>611</v>
      </c>
      <c r="C288" s="29" t="s">
        <v>35</v>
      </c>
      <c r="D288" s="29" t="s">
        <v>48</v>
      </c>
      <c r="E288" s="29" t="s">
        <v>35</v>
      </c>
      <c r="F288" s="29" t="s">
        <v>51</v>
      </c>
      <c r="G288" s="29" t="s">
        <v>612</v>
      </c>
      <c r="H288" s="29" t="s">
        <v>112</v>
      </c>
      <c r="I288" s="29" t="s">
        <v>39</v>
      </c>
      <c r="J288" s="29" t="s">
        <v>59</v>
      </c>
      <c r="K288" s="29" t="s">
        <v>619</v>
      </c>
      <c r="L288" s="29" t="s">
        <v>224</v>
      </c>
      <c r="M288" s="29" t="s">
        <v>614</v>
      </c>
      <c r="N288" s="29" t="s">
        <v>118</v>
      </c>
      <c r="O288" s="29" t="s">
        <v>59</v>
      </c>
      <c r="P288" s="30" t="s">
        <v>128</v>
      </c>
    </row>
    <row r="289" s="25" customFormat="1" spans="1:16">
      <c r="A289" s="29" t="s">
        <v>619</v>
      </c>
      <c r="B289" s="29" t="s">
        <v>611</v>
      </c>
      <c r="C289" s="29" t="s">
        <v>35</v>
      </c>
      <c r="D289" s="29" t="s">
        <v>48</v>
      </c>
      <c r="E289" s="29" t="s">
        <v>35</v>
      </c>
      <c r="F289" s="29" t="s">
        <v>51</v>
      </c>
      <c r="G289" s="29" t="s">
        <v>612</v>
      </c>
      <c r="H289" s="29" t="s">
        <v>112</v>
      </c>
      <c r="I289" s="29" t="s">
        <v>39</v>
      </c>
      <c r="J289" s="29" t="s">
        <v>129</v>
      </c>
      <c r="K289" s="29" t="s">
        <v>620</v>
      </c>
      <c r="L289" s="29" t="s">
        <v>227</v>
      </c>
      <c r="M289" s="29" t="s">
        <v>614</v>
      </c>
      <c r="N289" s="29" t="s">
        <v>118</v>
      </c>
      <c r="O289" s="29" t="s">
        <v>59</v>
      </c>
      <c r="P289" s="30" t="s">
        <v>132</v>
      </c>
    </row>
    <row r="290" s="26" customFormat="1" spans="1:18">
      <c r="A290" s="29" t="s">
        <v>620</v>
      </c>
      <c r="B290" s="29" t="s">
        <v>611</v>
      </c>
      <c r="C290" s="29" t="s">
        <v>35</v>
      </c>
      <c r="D290" s="29" t="s">
        <v>48</v>
      </c>
      <c r="E290" s="29" t="s">
        <v>35</v>
      </c>
      <c r="F290" s="29" t="s">
        <v>51</v>
      </c>
      <c r="G290" s="29" t="s">
        <v>612</v>
      </c>
      <c r="H290" s="29" t="s">
        <v>112</v>
      </c>
      <c r="I290" s="29" t="s">
        <v>39</v>
      </c>
      <c r="J290" s="29" t="s">
        <v>133</v>
      </c>
      <c r="K290" s="29" t="s">
        <v>621</v>
      </c>
      <c r="L290" s="29" t="s">
        <v>230</v>
      </c>
      <c r="M290" s="29" t="s">
        <v>614</v>
      </c>
      <c r="N290" s="29" t="s">
        <v>118</v>
      </c>
      <c r="O290" s="29" t="s">
        <v>59</v>
      </c>
      <c r="P290" s="30" t="s">
        <v>136</v>
      </c>
      <c r="Q290" s="25"/>
      <c r="R290" s="25"/>
    </row>
    <row r="291" s="25" customFormat="1" spans="1:16">
      <c r="A291" s="29" t="s">
        <v>621</v>
      </c>
      <c r="B291" s="29" t="s">
        <v>611</v>
      </c>
      <c r="C291" s="29" t="s">
        <v>35</v>
      </c>
      <c r="D291" s="29" t="s">
        <v>48</v>
      </c>
      <c r="E291" s="29" t="s">
        <v>35</v>
      </c>
      <c r="F291" s="29" t="s">
        <v>51</v>
      </c>
      <c r="G291" s="29" t="s">
        <v>612</v>
      </c>
      <c r="H291" s="29" t="s">
        <v>112</v>
      </c>
      <c r="I291" s="29" t="s">
        <v>39</v>
      </c>
      <c r="J291" s="29" t="s">
        <v>137</v>
      </c>
      <c r="K291" s="29" t="s">
        <v>622</v>
      </c>
      <c r="L291" s="29" t="s">
        <v>233</v>
      </c>
      <c r="M291" s="29" t="s">
        <v>614</v>
      </c>
      <c r="N291" s="29" t="s">
        <v>118</v>
      </c>
      <c r="O291" s="29" t="s">
        <v>59</v>
      </c>
      <c r="P291" s="30" t="s">
        <v>140</v>
      </c>
    </row>
    <row r="292" s="25" customFormat="1" spans="1:16">
      <c r="A292" s="29" t="s">
        <v>622</v>
      </c>
      <c r="B292" s="29" t="s">
        <v>611</v>
      </c>
      <c r="C292" s="29" t="s">
        <v>35</v>
      </c>
      <c r="D292" s="29" t="s">
        <v>48</v>
      </c>
      <c r="E292" s="29" t="s">
        <v>35</v>
      </c>
      <c r="F292" s="29" t="s">
        <v>51</v>
      </c>
      <c r="G292" s="29" t="s">
        <v>612</v>
      </c>
      <c r="H292" s="29" t="s">
        <v>112</v>
      </c>
      <c r="I292" s="29" t="s">
        <v>39</v>
      </c>
      <c r="J292" s="29" t="s">
        <v>141</v>
      </c>
      <c r="K292" s="29" t="s">
        <v>623</v>
      </c>
      <c r="L292" s="29" t="s">
        <v>236</v>
      </c>
      <c r="M292" s="29" t="s">
        <v>614</v>
      </c>
      <c r="N292" s="29" t="s">
        <v>118</v>
      </c>
      <c r="O292" s="29" t="s">
        <v>59</v>
      </c>
      <c r="P292" s="30" t="s">
        <v>144</v>
      </c>
    </row>
    <row r="293" s="25" customFormat="1" spans="1:16">
      <c r="A293" s="29" t="s">
        <v>623</v>
      </c>
      <c r="B293" s="29" t="s">
        <v>611</v>
      </c>
      <c r="C293" s="29" t="s">
        <v>35</v>
      </c>
      <c r="D293" s="29" t="s">
        <v>48</v>
      </c>
      <c r="E293" s="29" t="s">
        <v>35</v>
      </c>
      <c r="F293" s="29" t="s">
        <v>51</v>
      </c>
      <c r="G293" s="29" t="s">
        <v>612</v>
      </c>
      <c r="H293" s="29" t="s">
        <v>112</v>
      </c>
      <c r="I293" s="29" t="s">
        <v>39</v>
      </c>
      <c r="J293" s="29" t="s">
        <v>145</v>
      </c>
      <c r="K293" s="29" t="s">
        <v>624</v>
      </c>
      <c r="L293" s="29" t="s">
        <v>238</v>
      </c>
      <c r="M293" s="29" t="s">
        <v>614</v>
      </c>
      <c r="N293" s="29" t="s">
        <v>118</v>
      </c>
      <c r="O293" s="29" t="s">
        <v>59</v>
      </c>
      <c r="P293" s="30" t="s">
        <v>146</v>
      </c>
    </row>
    <row r="294" s="25" customFormat="1" spans="1:16">
      <c r="A294" s="29" t="s">
        <v>624</v>
      </c>
      <c r="B294" s="29" t="s">
        <v>611</v>
      </c>
      <c r="C294" s="29" t="s">
        <v>35</v>
      </c>
      <c r="D294" s="29" t="s">
        <v>48</v>
      </c>
      <c r="E294" s="29" t="s">
        <v>35</v>
      </c>
      <c r="F294" s="29" t="s">
        <v>51</v>
      </c>
      <c r="G294" s="29" t="s">
        <v>612</v>
      </c>
      <c r="H294" s="29" t="s">
        <v>112</v>
      </c>
      <c r="I294" s="29" t="s">
        <v>39</v>
      </c>
      <c r="J294" s="29" t="s">
        <v>408</v>
      </c>
      <c r="K294" s="29" t="s">
        <v>625</v>
      </c>
      <c r="L294" s="29" t="s">
        <v>529</v>
      </c>
      <c r="M294" s="29" t="s">
        <v>614</v>
      </c>
      <c r="N294" s="29" t="s">
        <v>118</v>
      </c>
      <c r="O294" s="29" t="s">
        <v>59</v>
      </c>
      <c r="P294" s="30" t="s">
        <v>411</v>
      </c>
    </row>
    <row r="295" s="25" customFormat="1" spans="1:16">
      <c r="A295" s="29" t="s">
        <v>625</v>
      </c>
      <c r="B295" s="29" t="s">
        <v>611</v>
      </c>
      <c r="C295" s="29" t="s">
        <v>35</v>
      </c>
      <c r="D295" s="29" t="s">
        <v>48</v>
      </c>
      <c r="E295" s="29" t="s">
        <v>35</v>
      </c>
      <c r="F295" s="29" t="s">
        <v>51</v>
      </c>
      <c r="G295" s="29" t="s">
        <v>612</v>
      </c>
      <c r="H295" s="29" t="s">
        <v>112</v>
      </c>
      <c r="I295" s="29" t="s">
        <v>39</v>
      </c>
      <c r="J295" s="29" t="s">
        <v>412</v>
      </c>
      <c r="K295" s="29" t="s">
        <v>626</v>
      </c>
      <c r="L295" s="29" t="s">
        <v>532</v>
      </c>
      <c r="M295" s="29" t="s">
        <v>614</v>
      </c>
      <c r="N295" s="29" t="s">
        <v>118</v>
      </c>
      <c r="O295" s="29" t="s">
        <v>59</v>
      </c>
      <c r="P295" s="30" t="s">
        <v>415</v>
      </c>
    </row>
    <row r="296" s="25" customFormat="1" spans="1:16">
      <c r="A296" s="29" t="s">
        <v>626</v>
      </c>
      <c r="B296" s="29" t="s">
        <v>611</v>
      </c>
      <c r="C296" s="29" t="s">
        <v>35</v>
      </c>
      <c r="D296" s="29" t="s">
        <v>48</v>
      </c>
      <c r="E296" s="29" t="s">
        <v>35</v>
      </c>
      <c r="F296" s="29" t="s">
        <v>51</v>
      </c>
      <c r="G296" s="29" t="s">
        <v>612</v>
      </c>
      <c r="H296" s="29" t="s">
        <v>112</v>
      </c>
      <c r="I296" s="29" t="s">
        <v>39</v>
      </c>
      <c r="J296" s="29" t="s">
        <v>416</v>
      </c>
      <c r="K296" s="29" t="s">
        <v>627</v>
      </c>
      <c r="L296" s="29" t="s">
        <v>561</v>
      </c>
      <c r="M296" s="29" t="s">
        <v>614</v>
      </c>
      <c r="N296" s="29" t="s">
        <v>118</v>
      </c>
      <c r="O296" s="29" t="s">
        <v>59</v>
      </c>
      <c r="P296" s="30" t="s">
        <v>419</v>
      </c>
    </row>
    <row r="297" s="25" customFormat="1" spans="1:16">
      <c r="A297" s="29" t="s">
        <v>627</v>
      </c>
      <c r="B297" s="29" t="s">
        <v>611</v>
      </c>
      <c r="C297" s="29" t="s">
        <v>35</v>
      </c>
      <c r="D297" s="29" t="s">
        <v>48</v>
      </c>
      <c r="E297" s="29" t="s">
        <v>35</v>
      </c>
      <c r="F297" s="29" t="s">
        <v>51</v>
      </c>
      <c r="G297" s="29" t="s">
        <v>612</v>
      </c>
      <c r="H297" s="29" t="s">
        <v>112</v>
      </c>
      <c r="I297" s="29" t="s">
        <v>39</v>
      </c>
      <c r="J297" s="29" t="s">
        <v>420</v>
      </c>
      <c r="K297" s="29" t="s">
        <v>628</v>
      </c>
      <c r="L297" s="29" t="s">
        <v>564</v>
      </c>
      <c r="M297" s="29" t="s">
        <v>614</v>
      </c>
      <c r="N297" s="29" t="s">
        <v>118</v>
      </c>
      <c r="O297" s="29" t="s">
        <v>59</v>
      </c>
      <c r="P297" s="30" t="s">
        <v>423</v>
      </c>
    </row>
    <row r="298" s="25" customFormat="1" spans="1:16">
      <c r="A298" s="29" t="s">
        <v>628</v>
      </c>
      <c r="B298" s="29" t="s">
        <v>611</v>
      </c>
      <c r="C298" s="29" t="s">
        <v>35</v>
      </c>
      <c r="D298" s="29" t="s">
        <v>48</v>
      </c>
      <c r="E298" s="29" t="s">
        <v>35</v>
      </c>
      <c r="F298" s="29" t="s">
        <v>51</v>
      </c>
      <c r="G298" s="29" t="s">
        <v>612</v>
      </c>
      <c r="H298" s="29" t="s">
        <v>112</v>
      </c>
      <c r="I298" s="29" t="s">
        <v>39</v>
      </c>
      <c r="J298" s="29" t="s">
        <v>424</v>
      </c>
      <c r="K298" s="29" t="s">
        <v>629</v>
      </c>
      <c r="L298" s="29" t="s">
        <v>630</v>
      </c>
      <c r="M298" s="29" t="s">
        <v>614</v>
      </c>
      <c r="N298" s="29" t="s">
        <v>118</v>
      </c>
      <c r="O298" s="29" t="s">
        <v>59</v>
      </c>
      <c r="P298" s="30" t="s">
        <v>425</v>
      </c>
    </row>
    <row r="299" s="25" customFormat="1" spans="1:16">
      <c r="A299" s="29" t="s">
        <v>629</v>
      </c>
      <c r="B299" s="29" t="s">
        <v>611</v>
      </c>
      <c r="C299" s="29" t="s">
        <v>35</v>
      </c>
      <c r="D299" s="29" t="s">
        <v>48</v>
      </c>
      <c r="E299" s="29" t="s">
        <v>35</v>
      </c>
      <c r="F299" s="29" t="s">
        <v>51</v>
      </c>
      <c r="G299" s="29" t="s">
        <v>612</v>
      </c>
      <c r="H299" s="29" t="s">
        <v>112</v>
      </c>
      <c r="I299" s="29" t="s">
        <v>39</v>
      </c>
      <c r="J299" s="29" t="s">
        <v>631</v>
      </c>
      <c r="K299" s="29" t="s">
        <v>632</v>
      </c>
      <c r="L299" s="29" t="s">
        <v>633</v>
      </c>
      <c r="M299" s="29" t="s">
        <v>614</v>
      </c>
      <c r="N299" s="29" t="s">
        <v>118</v>
      </c>
      <c r="O299" s="29" t="s">
        <v>59</v>
      </c>
      <c r="P299" s="30" t="s">
        <v>634</v>
      </c>
    </row>
    <row r="300" s="25" customFormat="1" spans="1:16">
      <c r="A300" s="29" t="s">
        <v>632</v>
      </c>
      <c r="B300" s="29" t="s">
        <v>611</v>
      </c>
      <c r="C300" s="29" t="s">
        <v>35</v>
      </c>
      <c r="D300" s="29" t="s">
        <v>48</v>
      </c>
      <c r="E300" s="29" t="s">
        <v>35</v>
      </c>
      <c r="F300" s="29" t="s">
        <v>51</v>
      </c>
      <c r="G300" s="29" t="s">
        <v>612</v>
      </c>
      <c r="H300" s="29" t="s">
        <v>112</v>
      </c>
      <c r="I300" s="29" t="s">
        <v>39</v>
      </c>
      <c r="J300" s="29" t="s">
        <v>635</v>
      </c>
      <c r="K300" s="29" t="s">
        <v>636</v>
      </c>
      <c r="L300" s="29" t="s">
        <v>637</v>
      </c>
      <c r="M300" s="29" t="s">
        <v>614</v>
      </c>
      <c r="N300" s="29" t="s">
        <v>118</v>
      </c>
      <c r="O300" s="29" t="s">
        <v>59</v>
      </c>
      <c r="P300" s="30" t="s">
        <v>638</v>
      </c>
    </row>
    <row r="301" s="26" customFormat="1" spans="1:18">
      <c r="A301" s="29" t="s">
        <v>636</v>
      </c>
      <c r="B301" s="29" t="s">
        <v>611</v>
      </c>
      <c r="C301" s="29" t="s">
        <v>35</v>
      </c>
      <c r="D301" s="29" t="s">
        <v>48</v>
      </c>
      <c r="E301" s="29" t="s">
        <v>35</v>
      </c>
      <c r="F301" s="29" t="s">
        <v>51</v>
      </c>
      <c r="G301" s="29" t="s">
        <v>612</v>
      </c>
      <c r="H301" s="29" t="s">
        <v>112</v>
      </c>
      <c r="I301" s="29" t="s">
        <v>39</v>
      </c>
      <c r="J301" s="29" t="s">
        <v>639</v>
      </c>
      <c r="K301" s="29" t="s">
        <v>640</v>
      </c>
      <c r="L301" s="29" t="s">
        <v>641</v>
      </c>
      <c r="M301" s="29" t="s">
        <v>614</v>
      </c>
      <c r="N301" s="29" t="s">
        <v>118</v>
      </c>
      <c r="O301" s="29" t="s">
        <v>59</v>
      </c>
      <c r="P301" s="30" t="s">
        <v>642</v>
      </c>
      <c r="Q301" s="25"/>
      <c r="R301" s="25"/>
    </row>
    <row r="302" s="25" customFormat="1" spans="1:16">
      <c r="A302" s="29" t="s">
        <v>640</v>
      </c>
      <c r="B302" s="29" t="s">
        <v>611</v>
      </c>
      <c r="C302" s="29" t="s">
        <v>35</v>
      </c>
      <c r="D302" s="29" t="s">
        <v>48</v>
      </c>
      <c r="E302" s="29" t="s">
        <v>35</v>
      </c>
      <c r="F302" s="29" t="s">
        <v>51</v>
      </c>
      <c r="G302" s="29" t="s">
        <v>612</v>
      </c>
      <c r="H302" s="29" t="s">
        <v>112</v>
      </c>
      <c r="I302" s="29" t="s">
        <v>39</v>
      </c>
      <c r="J302" s="29" t="s">
        <v>643</v>
      </c>
      <c r="K302" s="29" t="s">
        <v>644</v>
      </c>
      <c r="L302" s="29" t="s">
        <v>645</v>
      </c>
      <c r="M302" s="29" t="s">
        <v>614</v>
      </c>
      <c r="N302" s="29" t="s">
        <v>118</v>
      </c>
      <c r="O302" s="29" t="s">
        <v>59</v>
      </c>
      <c r="P302" s="30" t="s">
        <v>646</v>
      </c>
    </row>
    <row r="303" s="25" customFormat="1" spans="1:16">
      <c r="A303" s="29" t="s">
        <v>644</v>
      </c>
      <c r="B303" s="29" t="s">
        <v>611</v>
      </c>
      <c r="C303" s="29" t="s">
        <v>35</v>
      </c>
      <c r="D303" s="29" t="s">
        <v>48</v>
      </c>
      <c r="E303" s="29" t="s">
        <v>35</v>
      </c>
      <c r="F303" s="29" t="s">
        <v>51</v>
      </c>
      <c r="G303" s="29" t="s">
        <v>612</v>
      </c>
      <c r="H303" s="29" t="s">
        <v>112</v>
      </c>
      <c r="I303" s="29" t="s">
        <v>39</v>
      </c>
      <c r="J303" s="29" t="s">
        <v>647</v>
      </c>
      <c r="K303" s="29" t="s">
        <v>39</v>
      </c>
      <c r="L303" s="29" t="s">
        <v>39</v>
      </c>
      <c r="M303" s="29" t="s">
        <v>39</v>
      </c>
      <c r="N303" s="29" t="s">
        <v>118</v>
      </c>
      <c r="O303" s="29" t="s">
        <v>59</v>
      </c>
      <c r="P303" s="30" t="s">
        <v>648</v>
      </c>
    </row>
    <row r="304" s="25" customFormat="1" spans="1:16">
      <c r="A304" s="29" t="s">
        <v>649</v>
      </c>
      <c r="B304" s="29" t="s">
        <v>649</v>
      </c>
      <c r="C304" s="29" t="s">
        <v>35</v>
      </c>
      <c r="D304" s="29" t="s">
        <v>48</v>
      </c>
      <c r="E304" s="29" t="s">
        <v>35</v>
      </c>
      <c r="F304" s="29" t="s">
        <v>51</v>
      </c>
      <c r="G304" s="29" t="s">
        <v>650</v>
      </c>
      <c r="H304" s="29" t="s">
        <v>149</v>
      </c>
      <c r="I304" s="29" t="s">
        <v>39</v>
      </c>
      <c r="J304" s="29" t="s">
        <v>39</v>
      </c>
      <c r="K304" s="29" t="s">
        <v>651</v>
      </c>
      <c r="L304" s="29" t="s">
        <v>206</v>
      </c>
      <c r="M304" s="29" t="s">
        <v>652</v>
      </c>
      <c r="N304" s="29" t="s">
        <v>152</v>
      </c>
      <c r="O304" s="29" t="s">
        <v>129</v>
      </c>
      <c r="P304" s="30" t="s">
        <v>153</v>
      </c>
    </row>
    <row r="305" s="25" customFormat="1" spans="1:16">
      <c r="A305" s="29" t="s">
        <v>651</v>
      </c>
      <c r="B305" s="29" t="s">
        <v>649</v>
      </c>
      <c r="C305" s="29" t="s">
        <v>35</v>
      </c>
      <c r="D305" s="29" t="s">
        <v>48</v>
      </c>
      <c r="E305" s="29" t="s">
        <v>35</v>
      </c>
      <c r="F305" s="29" t="s">
        <v>51</v>
      </c>
      <c r="G305" s="29" t="s">
        <v>650</v>
      </c>
      <c r="H305" s="29" t="s">
        <v>149</v>
      </c>
      <c r="I305" s="29" t="s">
        <v>39</v>
      </c>
      <c r="J305" s="29" t="s">
        <v>35</v>
      </c>
      <c r="K305" s="29" t="s">
        <v>653</v>
      </c>
      <c r="L305" s="29" t="s">
        <v>211</v>
      </c>
      <c r="M305" s="29" t="s">
        <v>652</v>
      </c>
      <c r="N305" s="29" t="s">
        <v>155</v>
      </c>
      <c r="O305" s="29" t="s">
        <v>129</v>
      </c>
      <c r="P305" s="30" t="s">
        <v>156</v>
      </c>
    </row>
    <row r="306" s="25" customFormat="1" spans="1:16">
      <c r="A306" s="29" t="s">
        <v>653</v>
      </c>
      <c r="B306" s="29" t="s">
        <v>649</v>
      </c>
      <c r="C306" s="29" t="s">
        <v>35</v>
      </c>
      <c r="D306" s="29" t="s">
        <v>48</v>
      </c>
      <c r="E306" s="29" t="s">
        <v>35</v>
      </c>
      <c r="F306" s="29" t="s">
        <v>51</v>
      </c>
      <c r="G306" s="29" t="s">
        <v>650</v>
      </c>
      <c r="H306" s="29" t="s">
        <v>149</v>
      </c>
      <c r="I306" s="29" t="s">
        <v>39</v>
      </c>
      <c r="J306" s="29" t="s">
        <v>47</v>
      </c>
      <c r="K306" s="29" t="s">
        <v>654</v>
      </c>
      <c r="L306" s="29" t="s">
        <v>215</v>
      </c>
      <c r="M306" s="29" t="s">
        <v>652</v>
      </c>
      <c r="N306" s="29" t="s">
        <v>155</v>
      </c>
      <c r="O306" s="29" t="s">
        <v>129</v>
      </c>
      <c r="P306" s="30" t="s">
        <v>158</v>
      </c>
    </row>
    <row r="307" s="25" customFormat="1" spans="1:16">
      <c r="A307" s="29" t="s">
        <v>654</v>
      </c>
      <c r="B307" s="29" t="s">
        <v>649</v>
      </c>
      <c r="C307" s="29" t="s">
        <v>35</v>
      </c>
      <c r="D307" s="29" t="s">
        <v>48</v>
      </c>
      <c r="E307" s="29" t="s">
        <v>35</v>
      </c>
      <c r="F307" s="29" t="s">
        <v>51</v>
      </c>
      <c r="G307" s="29" t="s">
        <v>650</v>
      </c>
      <c r="H307" s="29" t="s">
        <v>149</v>
      </c>
      <c r="I307" s="29" t="s">
        <v>39</v>
      </c>
      <c r="J307" s="29" t="s">
        <v>51</v>
      </c>
      <c r="K307" s="29" t="s">
        <v>655</v>
      </c>
      <c r="L307" s="29" t="s">
        <v>218</v>
      </c>
      <c r="M307" s="29" t="s">
        <v>652</v>
      </c>
      <c r="N307" s="29" t="s">
        <v>155</v>
      </c>
      <c r="O307" s="29" t="s">
        <v>129</v>
      </c>
      <c r="P307" s="30" t="s">
        <v>160</v>
      </c>
    </row>
    <row r="308" s="25" customFormat="1" spans="1:16">
      <c r="A308" s="29" t="s">
        <v>655</v>
      </c>
      <c r="B308" s="29" t="s">
        <v>649</v>
      </c>
      <c r="C308" s="29" t="s">
        <v>35</v>
      </c>
      <c r="D308" s="29" t="s">
        <v>48</v>
      </c>
      <c r="E308" s="29" t="s">
        <v>35</v>
      </c>
      <c r="F308" s="29" t="s">
        <v>51</v>
      </c>
      <c r="G308" s="29" t="s">
        <v>650</v>
      </c>
      <c r="H308" s="29" t="s">
        <v>149</v>
      </c>
      <c r="I308" s="29" t="s">
        <v>39</v>
      </c>
      <c r="J308" s="29" t="s">
        <v>55</v>
      </c>
      <c r="K308" s="29" t="s">
        <v>656</v>
      </c>
      <c r="L308" s="29" t="s">
        <v>221</v>
      </c>
      <c r="M308" s="29" t="s">
        <v>652</v>
      </c>
      <c r="N308" s="29" t="s">
        <v>155</v>
      </c>
      <c r="O308" s="29" t="s">
        <v>129</v>
      </c>
      <c r="P308" s="30" t="s">
        <v>162</v>
      </c>
    </row>
    <row r="309" s="25" customFormat="1" spans="1:16">
      <c r="A309" s="29" t="s">
        <v>656</v>
      </c>
      <c r="B309" s="29" t="s">
        <v>649</v>
      </c>
      <c r="C309" s="29" t="s">
        <v>35</v>
      </c>
      <c r="D309" s="29" t="s">
        <v>48</v>
      </c>
      <c r="E309" s="29" t="s">
        <v>35</v>
      </c>
      <c r="F309" s="29" t="s">
        <v>51</v>
      </c>
      <c r="G309" s="29" t="s">
        <v>650</v>
      </c>
      <c r="H309" s="29" t="s">
        <v>149</v>
      </c>
      <c r="I309" s="29" t="s">
        <v>39</v>
      </c>
      <c r="J309" s="29" t="s">
        <v>59</v>
      </c>
      <c r="K309" s="29" t="s">
        <v>657</v>
      </c>
      <c r="L309" s="29" t="s">
        <v>224</v>
      </c>
      <c r="M309" s="29" t="s">
        <v>652</v>
      </c>
      <c r="N309" s="29" t="s">
        <v>155</v>
      </c>
      <c r="O309" s="29" t="s">
        <v>129</v>
      </c>
      <c r="P309" s="30" t="s">
        <v>164</v>
      </c>
    </row>
    <row r="310" s="25" customFormat="1" spans="1:16">
      <c r="A310" s="29" t="s">
        <v>657</v>
      </c>
      <c r="B310" s="29" t="s">
        <v>649</v>
      </c>
      <c r="C310" s="29" t="s">
        <v>35</v>
      </c>
      <c r="D310" s="29" t="s">
        <v>48</v>
      </c>
      <c r="E310" s="29" t="s">
        <v>35</v>
      </c>
      <c r="F310" s="29" t="s">
        <v>51</v>
      </c>
      <c r="G310" s="29" t="s">
        <v>650</v>
      </c>
      <c r="H310" s="29" t="s">
        <v>149</v>
      </c>
      <c r="I310" s="29" t="s">
        <v>39</v>
      </c>
      <c r="J310" s="29" t="s">
        <v>129</v>
      </c>
      <c r="K310" s="29" t="s">
        <v>658</v>
      </c>
      <c r="L310" s="29" t="s">
        <v>227</v>
      </c>
      <c r="M310" s="29" t="s">
        <v>652</v>
      </c>
      <c r="N310" s="29" t="s">
        <v>155</v>
      </c>
      <c r="O310" s="29" t="s">
        <v>129</v>
      </c>
      <c r="P310" s="30" t="s">
        <v>166</v>
      </c>
    </row>
    <row r="311" s="25" customFormat="1" spans="1:16">
      <c r="A311" s="29" t="s">
        <v>658</v>
      </c>
      <c r="B311" s="29" t="s">
        <v>649</v>
      </c>
      <c r="C311" s="29" t="s">
        <v>35</v>
      </c>
      <c r="D311" s="29" t="s">
        <v>48</v>
      </c>
      <c r="E311" s="29" t="s">
        <v>35</v>
      </c>
      <c r="F311" s="29" t="s">
        <v>51</v>
      </c>
      <c r="G311" s="29" t="s">
        <v>650</v>
      </c>
      <c r="H311" s="29" t="s">
        <v>149</v>
      </c>
      <c r="I311" s="29" t="s">
        <v>39</v>
      </c>
      <c r="J311" s="29" t="s">
        <v>133</v>
      </c>
      <c r="K311" s="29" t="s">
        <v>659</v>
      </c>
      <c r="L311" s="29" t="s">
        <v>230</v>
      </c>
      <c r="M311" s="29" t="s">
        <v>652</v>
      </c>
      <c r="N311" s="29" t="s">
        <v>155</v>
      </c>
      <c r="O311" s="29" t="s">
        <v>129</v>
      </c>
      <c r="P311" s="30" t="s">
        <v>168</v>
      </c>
    </row>
    <row r="312" s="26" customFormat="1" spans="1:18">
      <c r="A312" s="29" t="s">
        <v>659</v>
      </c>
      <c r="B312" s="29" t="s">
        <v>649</v>
      </c>
      <c r="C312" s="29" t="s">
        <v>35</v>
      </c>
      <c r="D312" s="29" t="s">
        <v>48</v>
      </c>
      <c r="E312" s="29" t="s">
        <v>35</v>
      </c>
      <c r="F312" s="29" t="s">
        <v>51</v>
      </c>
      <c r="G312" s="29" t="s">
        <v>650</v>
      </c>
      <c r="H312" s="29" t="s">
        <v>149</v>
      </c>
      <c r="I312" s="29" t="s">
        <v>39</v>
      </c>
      <c r="J312" s="29" t="s">
        <v>137</v>
      </c>
      <c r="K312" s="29" t="s">
        <v>660</v>
      </c>
      <c r="L312" s="29" t="s">
        <v>233</v>
      </c>
      <c r="M312" s="29" t="s">
        <v>652</v>
      </c>
      <c r="N312" s="29" t="s">
        <v>155</v>
      </c>
      <c r="O312" s="29" t="s">
        <v>129</v>
      </c>
      <c r="P312" s="30" t="s">
        <v>170</v>
      </c>
      <c r="Q312" s="25"/>
      <c r="R312" s="25"/>
    </row>
    <row r="313" s="25" customFormat="1" spans="1:16">
      <c r="A313" s="29" t="s">
        <v>660</v>
      </c>
      <c r="B313" s="29" t="s">
        <v>649</v>
      </c>
      <c r="C313" s="29" t="s">
        <v>35</v>
      </c>
      <c r="D313" s="29" t="s">
        <v>48</v>
      </c>
      <c r="E313" s="29" t="s">
        <v>35</v>
      </c>
      <c r="F313" s="29" t="s">
        <v>51</v>
      </c>
      <c r="G313" s="29" t="s">
        <v>650</v>
      </c>
      <c r="H313" s="29" t="s">
        <v>149</v>
      </c>
      <c r="I313" s="29" t="s">
        <v>39</v>
      </c>
      <c r="J313" s="29" t="s">
        <v>141</v>
      </c>
      <c r="K313" s="29" t="s">
        <v>661</v>
      </c>
      <c r="L313" s="29" t="s">
        <v>236</v>
      </c>
      <c r="M313" s="29" t="s">
        <v>652</v>
      </c>
      <c r="N313" s="29" t="s">
        <v>155</v>
      </c>
      <c r="O313" s="29" t="s">
        <v>129</v>
      </c>
      <c r="P313" s="30" t="s">
        <v>172</v>
      </c>
    </row>
    <row r="314" s="25" customFormat="1" spans="1:16">
      <c r="A314" s="29" t="s">
        <v>661</v>
      </c>
      <c r="B314" s="29" t="s">
        <v>649</v>
      </c>
      <c r="C314" s="29" t="s">
        <v>35</v>
      </c>
      <c r="D314" s="29" t="s">
        <v>48</v>
      </c>
      <c r="E314" s="29" t="s">
        <v>35</v>
      </c>
      <c r="F314" s="29" t="s">
        <v>51</v>
      </c>
      <c r="G314" s="29" t="s">
        <v>650</v>
      </c>
      <c r="H314" s="29" t="s">
        <v>149</v>
      </c>
      <c r="I314" s="29" t="s">
        <v>39</v>
      </c>
      <c r="J314" s="29" t="s">
        <v>145</v>
      </c>
      <c r="K314" s="29" t="s">
        <v>662</v>
      </c>
      <c r="L314" s="29" t="s">
        <v>238</v>
      </c>
      <c r="M314" s="29" t="s">
        <v>652</v>
      </c>
      <c r="N314" s="29" t="s">
        <v>155</v>
      </c>
      <c r="O314" s="29" t="s">
        <v>129</v>
      </c>
      <c r="P314" s="30" t="s">
        <v>173</v>
      </c>
    </row>
    <row r="315" s="25" customFormat="1" spans="1:16">
      <c r="A315" s="29" t="s">
        <v>662</v>
      </c>
      <c r="B315" s="29" t="s">
        <v>649</v>
      </c>
      <c r="C315" s="29" t="s">
        <v>35</v>
      </c>
      <c r="D315" s="29" t="s">
        <v>48</v>
      </c>
      <c r="E315" s="29" t="s">
        <v>35</v>
      </c>
      <c r="F315" s="29" t="s">
        <v>51</v>
      </c>
      <c r="G315" s="29" t="s">
        <v>650</v>
      </c>
      <c r="H315" s="29" t="s">
        <v>149</v>
      </c>
      <c r="I315" s="29" t="s">
        <v>39</v>
      </c>
      <c r="J315" s="29" t="s">
        <v>408</v>
      </c>
      <c r="K315" s="29" t="s">
        <v>663</v>
      </c>
      <c r="L315" s="29" t="s">
        <v>529</v>
      </c>
      <c r="M315" s="29" t="s">
        <v>652</v>
      </c>
      <c r="N315" s="29" t="s">
        <v>155</v>
      </c>
      <c r="O315" s="29" t="s">
        <v>129</v>
      </c>
      <c r="P315" s="30" t="s">
        <v>441</v>
      </c>
    </row>
    <row r="316" s="25" customFormat="1" spans="1:16">
      <c r="A316" s="29" t="s">
        <v>663</v>
      </c>
      <c r="B316" s="29" t="s">
        <v>649</v>
      </c>
      <c r="C316" s="29" t="s">
        <v>35</v>
      </c>
      <c r="D316" s="29" t="s">
        <v>48</v>
      </c>
      <c r="E316" s="29" t="s">
        <v>35</v>
      </c>
      <c r="F316" s="29" t="s">
        <v>51</v>
      </c>
      <c r="G316" s="29" t="s">
        <v>650</v>
      </c>
      <c r="H316" s="29" t="s">
        <v>149</v>
      </c>
      <c r="I316" s="29" t="s">
        <v>39</v>
      </c>
      <c r="J316" s="29" t="s">
        <v>412</v>
      </c>
      <c r="K316" s="29" t="s">
        <v>664</v>
      </c>
      <c r="L316" s="29" t="s">
        <v>532</v>
      </c>
      <c r="M316" s="29" t="s">
        <v>652</v>
      </c>
      <c r="N316" s="29" t="s">
        <v>155</v>
      </c>
      <c r="O316" s="29" t="s">
        <v>129</v>
      </c>
      <c r="P316" s="30" t="s">
        <v>443</v>
      </c>
    </row>
    <row r="317" s="25" customFormat="1" spans="1:16">
      <c r="A317" s="29" t="s">
        <v>664</v>
      </c>
      <c r="B317" s="29" t="s">
        <v>649</v>
      </c>
      <c r="C317" s="29" t="s">
        <v>35</v>
      </c>
      <c r="D317" s="29" t="s">
        <v>48</v>
      </c>
      <c r="E317" s="29" t="s">
        <v>35</v>
      </c>
      <c r="F317" s="29" t="s">
        <v>51</v>
      </c>
      <c r="G317" s="29" t="s">
        <v>650</v>
      </c>
      <c r="H317" s="29" t="s">
        <v>149</v>
      </c>
      <c r="I317" s="29" t="s">
        <v>39</v>
      </c>
      <c r="J317" s="29" t="s">
        <v>416</v>
      </c>
      <c r="K317" s="29" t="s">
        <v>665</v>
      </c>
      <c r="L317" s="29" t="s">
        <v>561</v>
      </c>
      <c r="M317" s="29" t="s">
        <v>652</v>
      </c>
      <c r="N317" s="29" t="s">
        <v>155</v>
      </c>
      <c r="O317" s="29" t="s">
        <v>129</v>
      </c>
      <c r="P317" s="30" t="s">
        <v>445</v>
      </c>
    </row>
    <row r="318" s="25" customFormat="1" spans="1:16">
      <c r="A318" s="29" t="s">
        <v>665</v>
      </c>
      <c r="B318" s="29" t="s">
        <v>649</v>
      </c>
      <c r="C318" s="29" t="s">
        <v>35</v>
      </c>
      <c r="D318" s="29" t="s">
        <v>48</v>
      </c>
      <c r="E318" s="29" t="s">
        <v>35</v>
      </c>
      <c r="F318" s="29" t="s">
        <v>51</v>
      </c>
      <c r="G318" s="29" t="s">
        <v>650</v>
      </c>
      <c r="H318" s="29" t="s">
        <v>149</v>
      </c>
      <c r="I318" s="29" t="s">
        <v>39</v>
      </c>
      <c r="J318" s="29" t="s">
        <v>420</v>
      </c>
      <c r="K318" s="29" t="s">
        <v>666</v>
      </c>
      <c r="L318" s="29" t="s">
        <v>564</v>
      </c>
      <c r="M318" s="29" t="s">
        <v>652</v>
      </c>
      <c r="N318" s="29" t="s">
        <v>155</v>
      </c>
      <c r="O318" s="29" t="s">
        <v>129</v>
      </c>
      <c r="P318" s="30" t="s">
        <v>447</v>
      </c>
    </row>
    <row r="319" s="25" customFormat="1" spans="1:16">
      <c r="A319" s="29" t="s">
        <v>666</v>
      </c>
      <c r="B319" s="29" t="s">
        <v>649</v>
      </c>
      <c r="C319" s="29" t="s">
        <v>35</v>
      </c>
      <c r="D319" s="29" t="s">
        <v>48</v>
      </c>
      <c r="E319" s="29" t="s">
        <v>35</v>
      </c>
      <c r="F319" s="29" t="s">
        <v>51</v>
      </c>
      <c r="G319" s="29" t="s">
        <v>650</v>
      </c>
      <c r="H319" s="29" t="s">
        <v>149</v>
      </c>
      <c r="I319" s="29" t="s">
        <v>39</v>
      </c>
      <c r="J319" s="29" t="s">
        <v>424</v>
      </c>
      <c r="K319" s="29" t="s">
        <v>667</v>
      </c>
      <c r="L319" s="29" t="s">
        <v>630</v>
      </c>
      <c r="M319" s="29" t="s">
        <v>652</v>
      </c>
      <c r="N319" s="29" t="s">
        <v>155</v>
      </c>
      <c r="O319" s="29" t="s">
        <v>129</v>
      </c>
      <c r="P319" s="30" t="s">
        <v>448</v>
      </c>
    </row>
    <row r="320" s="25" customFormat="1" spans="1:16">
      <c r="A320" s="29" t="s">
        <v>667</v>
      </c>
      <c r="B320" s="29" t="s">
        <v>649</v>
      </c>
      <c r="C320" s="29" t="s">
        <v>35</v>
      </c>
      <c r="D320" s="29" t="s">
        <v>48</v>
      </c>
      <c r="E320" s="29" t="s">
        <v>35</v>
      </c>
      <c r="F320" s="29" t="s">
        <v>51</v>
      </c>
      <c r="G320" s="29" t="s">
        <v>650</v>
      </c>
      <c r="H320" s="29" t="s">
        <v>149</v>
      </c>
      <c r="I320" s="29" t="s">
        <v>39</v>
      </c>
      <c r="J320" s="29" t="s">
        <v>631</v>
      </c>
      <c r="K320" s="29" t="s">
        <v>668</v>
      </c>
      <c r="L320" s="29" t="s">
        <v>633</v>
      </c>
      <c r="M320" s="29" t="s">
        <v>652</v>
      </c>
      <c r="N320" s="29" t="s">
        <v>155</v>
      </c>
      <c r="O320" s="29" t="s">
        <v>129</v>
      </c>
      <c r="P320" s="30" t="s">
        <v>669</v>
      </c>
    </row>
    <row r="321" s="25" customFormat="1" spans="1:16">
      <c r="A321" s="29" t="s">
        <v>668</v>
      </c>
      <c r="B321" s="29" t="s">
        <v>649</v>
      </c>
      <c r="C321" s="29" t="s">
        <v>35</v>
      </c>
      <c r="D321" s="29" t="s">
        <v>48</v>
      </c>
      <c r="E321" s="29" t="s">
        <v>35</v>
      </c>
      <c r="F321" s="29" t="s">
        <v>51</v>
      </c>
      <c r="G321" s="29" t="s">
        <v>650</v>
      </c>
      <c r="H321" s="29" t="s">
        <v>149</v>
      </c>
      <c r="I321" s="29" t="s">
        <v>39</v>
      </c>
      <c r="J321" s="29" t="s">
        <v>635</v>
      </c>
      <c r="K321" s="29" t="s">
        <v>670</v>
      </c>
      <c r="L321" s="29" t="s">
        <v>637</v>
      </c>
      <c r="M321" s="29" t="s">
        <v>652</v>
      </c>
      <c r="N321" s="29" t="s">
        <v>155</v>
      </c>
      <c r="O321" s="29" t="s">
        <v>129</v>
      </c>
      <c r="P321" s="30" t="s">
        <v>671</v>
      </c>
    </row>
    <row r="322" s="25" customFormat="1" spans="1:16">
      <c r="A322" s="29" t="s">
        <v>670</v>
      </c>
      <c r="B322" s="29" t="s">
        <v>649</v>
      </c>
      <c r="C322" s="29" t="s">
        <v>35</v>
      </c>
      <c r="D322" s="29" t="s">
        <v>48</v>
      </c>
      <c r="E322" s="29" t="s">
        <v>35</v>
      </c>
      <c r="F322" s="29" t="s">
        <v>51</v>
      </c>
      <c r="G322" s="29" t="s">
        <v>650</v>
      </c>
      <c r="H322" s="29" t="s">
        <v>149</v>
      </c>
      <c r="I322" s="29" t="s">
        <v>39</v>
      </c>
      <c r="J322" s="29" t="s">
        <v>639</v>
      </c>
      <c r="K322" s="29" t="s">
        <v>672</v>
      </c>
      <c r="L322" s="29" t="s">
        <v>641</v>
      </c>
      <c r="M322" s="29" t="s">
        <v>652</v>
      </c>
      <c r="N322" s="29" t="s">
        <v>155</v>
      </c>
      <c r="O322" s="29" t="s">
        <v>129</v>
      </c>
      <c r="P322" s="30" t="s">
        <v>673</v>
      </c>
    </row>
    <row r="323" s="26" customFormat="1" spans="1:18">
      <c r="A323" s="29" t="s">
        <v>672</v>
      </c>
      <c r="B323" s="29" t="s">
        <v>649</v>
      </c>
      <c r="C323" s="29" t="s">
        <v>35</v>
      </c>
      <c r="D323" s="29" t="s">
        <v>48</v>
      </c>
      <c r="E323" s="29" t="s">
        <v>35</v>
      </c>
      <c r="F323" s="29" t="s">
        <v>51</v>
      </c>
      <c r="G323" s="29" t="s">
        <v>650</v>
      </c>
      <c r="H323" s="29" t="s">
        <v>149</v>
      </c>
      <c r="I323" s="29" t="s">
        <v>39</v>
      </c>
      <c r="J323" s="29" t="s">
        <v>643</v>
      </c>
      <c r="K323" s="29" t="s">
        <v>674</v>
      </c>
      <c r="L323" s="29" t="s">
        <v>645</v>
      </c>
      <c r="M323" s="29" t="s">
        <v>652</v>
      </c>
      <c r="N323" s="29" t="s">
        <v>155</v>
      </c>
      <c r="O323" s="29" t="s">
        <v>129</v>
      </c>
      <c r="P323" s="30" t="s">
        <v>675</v>
      </c>
      <c r="Q323" s="25"/>
      <c r="R323" s="25"/>
    </row>
    <row r="324" s="25" customFormat="1" spans="1:16">
      <c r="A324" s="29" t="s">
        <v>674</v>
      </c>
      <c r="B324" s="29" t="s">
        <v>649</v>
      </c>
      <c r="C324" s="29" t="s">
        <v>35</v>
      </c>
      <c r="D324" s="29" t="s">
        <v>48</v>
      </c>
      <c r="E324" s="29" t="s">
        <v>35</v>
      </c>
      <c r="F324" s="29" t="s">
        <v>51</v>
      </c>
      <c r="G324" s="29" t="s">
        <v>650</v>
      </c>
      <c r="H324" s="29" t="s">
        <v>149</v>
      </c>
      <c r="I324" s="29" t="s">
        <v>39</v>
      </c>
      <c r="J324" s="29" t="s">
        <v>647</v>
      </c>
      <c r="K324" s="29" t="s">
        <v>39</v>
      </c>
      <c r="L324" s="29" t="s">
        <v>39</v>
      </c>
      <c r="M324" s="29" t="s">
        <v>39</v>
      </c>
      <c r="N324" s="29" t="s">
        <v>155</v>
      </c>
      <c r="O324" s="29" t="s">
        <v>129</v>
      </c>
      <c r="P324" s="30" t="s">
        <v>676</v>
      </c>
    </row>
    <row r="325" s="25" customFormat="1" spans="1:16">
      <c r="A325" s="29" t="s">
        <v>677</v>
      </c>
      <c r="B325" s="29" t="s">
        <v>677</v>
      </c>
      <c r="C325" s="29" t="s">
        <v>35</v>
      </c>
      <c r="D325" s="29" t="s">
        <v>48</v>
      </c>
      <c r="E325" s="29" t="s">
        <v>35</v>
      </c>
      <c r="F325" s="29" t="s">
        <v>51</v>
      </c>
      <c r="G325" s="29" t="s">
        <v>678</v>
      </c>
      <c r="H325" s="29" t="s">
        <v>176</v>
      </c>
      <c r="I325" s="29" t="s">
        <v>39</v>
      </c>
      <c r="J325" s="29" t="s">
        <v>39</v>
      </c>
      <c r="K325" s="29" t="s">
        <v>679</v>
      </c>
      <c r="L325" s="29" t="s">
        <v>206</v>
      </c>
      <c r="M325" s="29" t="s">
        <v>680</v>
      </c>
      <c r="N325" s="29" t="s">
        <v>681</v>
      </c>
      <c r="O325" s="29" t="s">
        <v>133</v>
      </c>
      <c r="P325" s="30" t="s">
        <v>180</v>
      </c>
    </row>
    <row r="326" s="25" customFormat="1" spans="1:16">
      <c r="A326" s="29" t="s">
        <v>679</v>
      </c>
      <c r="B326" s="29" t="s">
        <v>677</v>
      </c>
      <c r="C326" s="29" t="s">
        <v>35</v>
      </c>
      <c r="D326" s="29" t="s">
        <v>48</v>
      </c>
      <c r="E326" s="29" t="s">
        <v>35</v>
      </c>
      <c r="F326" s="29" t="s">
        <v>51</v>
      </c>
      <c r="G326" s="29" t="s">
        <v>678</v>
      </c>
      <c r="H326" s="29" t="s">
        <v>176</v>
      </c>
      <c r="I326" s="29" t="s">
        <v>39</v>
      </c>
      <c r="J326" s="29" t="s">
        <v>35</v>
      </c>
      <c r="K326" s="29" t="s">
        <v>682</v>
      </c>
      <c r="L326" s="29" t="s">
        <v>211</v>
      </c>
      <c r="M326" s="29" t="s">
        <v>680</v>
      </c>
      <c r="N326" s="29" t="s">
        <v>683</v>
      </c>
      <c r="O326" s="29" t="s">
        <v>133</v>
      </c>
      <c r="P326" s="30" t="s">
        <v>183</v>
      </c>
    </row>
    <row r="327" s="25" customFormat="1" spans="1:16">
      <c r="A327" s="29" t="s">
        <v>682</v>
      </c>
      <c r="B327" s="29" t="s">
        <v>677</v>
      </c>
      <c r="C327" s="29" t="s">
        <v>35</v>
      </c>
      <c r="D327" s="29" t="s">
        <v>48</v>
      </c>
      <c r="E327" s="29" t="s">
        <v>35</v>
      </c>
      <c r="F327" s="29" t="s">
        <v>51</v>
      </c>
      <c r="G327" s="29" t="s">
        <v>678</v>
      </c>
      <c r="H327" s="29" t="s">
        <v>176</v>
      </c>
      <c r="I327" s="29" t="s">
        <v>39</v>
      </c>
      <c r="J327" s="29" t="s">
        <v>47</v>
      </c>
      <c r="K327" s="29" t="s">
        <v>684</v>
      </c>
      <c r="L327" s="29" t="s">
        <v>215</v>
      </c>
      <c r="M327" s="29" t="s">
        <v>680</v>
      </c>
      <c r="N327" s="29" t="s">
        <v>683</v>
      </c>
      <c r="O327" s="29" t="s">
        <v>133</v>
      </c>
      <c r="P327" s="30" t="s">
        <v>185</v>
      </c>
    </row>
    <row r="328" s="25" customFormat="1" spans="1:16">
      <c r="A328" s="29" t="s">
        <v>684</v>
      </c>
      <c r="B328" s="29" t="s">
        <v>677</v>
      </c>
      <c r="C328" s="29" t="s">
        <v>35</v>
      </c>
      <c r="D328" s="29" t="s">
        <v>48</v>
      </c>
      <c r="E328" s="29" t="s">
        <v>35</v>
      </c>
      <c r="F328" s="29" t="s">
        <v>51</v>
      </c>
      <c r="G328" s="29" t="s">
        <v>678</v>
      </c>
      <c r="H328" s="29" t="s">
        <v>176</v>
      </c>
      <c r="I328" s="29" t="s">
        <v>39</v>
      </c>
      <c r="J328" s="29" t="s">
        <v>51</v>
      </c>
      <c r="K328" s="29" t="s">
        <v>685</v>
      </c>
      <c r="L328" s="29" t="s">
        <v>218</v>
      </c>
      <c r="M328" s="29" t="s">
        <v>680</v>
      </c>
      <c r="N328" s="29" t="s">
        <v>683</v>
      </c>
      <c r="O328" s="29" t="s">
        <v>133</v>
      </c>
      <c r="P328" s="30" t="s">
        <v>187</v>
      </c>
    </row>
    <row r="329" s="25" customFormat="1" spans="1:16">
      <c r="A329" s="29" t="s">
        <v>685</v>
      </c>
      <c r="B329" s="29" t="s">
        <v>677</v>
      </c>
      <c r="C329" s="29" t="s">
        <v>35</v>
      </c>
      <c r="D329" s="29" t="s">
        <v>48</v>
      </c>
      <c r="E329" s="29" t="s">
        <v>35</v>
      </c>
      <c r="F329" s="29" t="s">
        <v>51</v>
      </c>
      <c r="G329" s="29" t="s">
        <v>678</v>
      </c>
      <c r="H329" s="29" t="s">
        <v>176</v>
      </c>
      <c r="I329" s="29" t="s">
        <v>39</v>
      </c>
      <c r="J329" s="29" t="s">
        <v>55</v>
      </c>
      <c r="K329" s="29" t="s">
        <v>686</v>
      </c>
      <c r="L329" s="29" t="s">
        <v>221</v>
      </c>
      <c r="M329" s="29" t="s">
        <v>680</v>
      </c>
      <c r="N329" s="29" t="s">
        <v>683</v>
      </c>
      <c r="O329" s="29" t="s">
        <v>133</v>
      </c>
      <c r="P329" s="30" t="s">
        <v>189</v>
      </c>
    </row>
    <row r="330" s="25" customFormat="1" spans="1:16">
      <c r="A330" s="29" t="s">
        <v>686</v>
      </c>
      <c r="B330" s="29" t="s">
        <v>677</v>
      </c>
      <c r="C330" s="29" t="s">
        <v>35</v>
      </c>
      <c r="D330" s="29" t="s">
        <v>48</v>
      </c>
      <c r="E330" s="29" t="s">
        <v>35</v>
      </c>
      <c r="F330" s="29" t="s">
        <v>51</v>
      </c>
      <c r="G330" s="29" t="s">
        <v>678</v>
      </c>
      <c r="H330" s="29" t="s">
        <v>176</v>
      </c>
      <c r="I330" s="29" t="s">
        <v>39</v>
      </c>
      <c r="J330" s="29" t="s">
        <v>59</v>
      </c>
      <c r="K330" s="29" t="s">
        <v>687</v>
      </c>
      <c r="L330" s="29" t="s">
        <v>224</v>
      </c>
      <c r="M330" s="29" t="s">
        <v>680</v>
      </c>
      <c r="N330" s="29" t="s">
        <v>683</v>
      </c>
      <c r="O330" s="29" t="s">
        <v>133</v>
      </c>
      <c r="P330" s="30" t="s">
        <v>191</v>
      </c>
    </row>
    <row r="331" s="25" customFormat="1" spans="1:16">
      <c r="A331" s="29" t="s">
        <v>687</v>
      </c>
      <c r="B331" s="29" t="s">
        <v>677</v>
      </c>
      <c r="C331" s="29" t="s">
        <v>35</v>
      </c>
      <c r="D331" s="29" t="s">
        <v>48</v>
      </c>
      <c r="E331" s="29" t="s">
        <v>35</v>
      </c>
      <c r="F331" s="29" t="s">
        <v>51</v>
      </c>
      <c r="G331" s="29" t="s">
        <v>678</v>
      </c>
      <c r="H331" s="29" t="s">
        <v>176</v>
      </c>
      <c r="I331" s="29" t="s">
        <v>39</v>
      </c>
      <c r="J331" s="29" t="s">
        <v>129</v>
      </c>
      <c r="K331" s="29" t="s">
        <v>688</v>
      </c>
      <c r="L331" s="29" t="s">
        <v>227</v>
      </c>
      <c r="M331" s="29" t="s">
        <v>680</v>
      </c>
      <c r="N331" s="29" t="s">
        <v>683</v>
      </c>
      <c r="O331" s="29" t="s">
        <v>133</v>
      </c>
      <c r="P331" s="30" t="s">
        <v>193</v>
      </c>
    </row>
    <row r="332" s="25" customFormat="1" spans="1:16">
      <c r="A332" s="29" t="s">
        <v>688</v>
      </c>
      <c r="B332" s="29" t="s">
        <v>677</v>
      </c>
      <c r="C332" s="29" t="s">
        <v>35</v>
      </c>
      <c r="D332" s="29" t="s">
        <v>48</v>
      </c>
      <c r="E332" s="29" t="s">
        <v>35</v>
      </c>
      <c r="F332" s="29" t="s">
        <v>51</v>
      </c>
      <c r="G332" s="29" t="s">
        <v>678</v>
      </c>
      <c r="H332" s="29" t="s">
        <v>176</v>
      </c>
      <c r="I332" s="29" t="s">
        <v>39</v>
      </c>
      <c r="J332" s="29" t="s">
        <v>133</v>
      </c>
      <c r="K332" s="29" t="s">
        <v>689</v>
      </c>
      <c r="L332" s="29" t="s">
        <v>230</v>
      </c>
      <c r="M332" s="29" t="s">
        <v>680</v>
      </c>
      <c r="N332" s="29" t="s">
        <v>683</v>
      </c>
      <c r="O332" s="29" t="s">
        <v>133</v>
      </c>
      <c r="P332" s="30" t="s">
        <v>195</v>
      </c>
    </row>
    <row r="333" s="25" customFormat="1" spans="1:16">
      <c r="A333" s="29" t="s">
        <v>689</v>
      </c>
      <c r="B333" s="29" t="s">
        <v>677</v>
      </c>
      <c r="C333" s="29" t="s">
        <v>35</v>
      </c>
      <c r="D333" s="29" t="s">
        <v>48</v>
      </c>
      <c r="E333" s="29" t="s">
        <v>35</v>
      </c>
      <c r="F333" s="29" t="s">
        <v>51</v>
      </c>
      <c r="G333" s="29" t="s">
        <v>678</v>
      </c>
      <c r="H333" s="29" t="s">
        <v>176</v>
      </c>
      <c r="I333" s="29" t="s">
        <v>39</v>
      </c>
      <c r="J333" s="29" t="s">
        <v>137</v>
      </c>
      <c r="K333" s="29" t="s">
        <v>690</v>
      </c>
      <c r="L333" s="29" t="s">
        <v>233</v>
      </c>
      <c r="M333" s="29" t="s">
        <v>680</v>
      </c>
      <c r="N333" s="29" t="s">
        <v>683</v>
      </c>
      <c r="O333" s="29" t="s">
        <v>133</v>
      </c>
      <c r="P333" s="30" t="s">
        <v>197</v>
      </c>
    </row>
    <row r="334" s="26" customFormat="1" spans="1:18">
      <c r="A334" s="29" t="s">
        <v>690</v>
      </c>
      <c r="B334" s="29" t="s">
        <v>677</v>
      </c>
      <c r="C334" s="29" t="s">
        <v>35</v>
      </c>
      <c r="D334" s="29" t="s">
        <v>48</v>
      </c>
      <c r="E334" s="29" t="s">
        <v>35</v>
      </c>
      <c r="F334" s="29" t="s">
        <v>51</v>
      </c>
      <c r="G334" s="29" t="s">
        <v>678</v>
      </c>
      <c r="H334" s="29" t="s">
        <v>176</v>
      </c>
      <c r="I334" s="29" t="s">
        <v>39</v>
      </c>
      <c r="J334" s="29" t="s">
        <v>141</v>
      </c>
      <c r="K334" s="29" t="s">
        <v>691</v>
      </c>
      <c r="L334" s="29" t="s">
        <v>236</v>
      </c>
      <c r="M334" s="29" t="s">
        <v>680</v>
      </c>
      <c r="N334" s="29" t="s">
        <v>683</v>
      </c>
      <c r="O334" s="29" t="s">
        <v>133</v>
      </c>
      <c r="P334" s="30" t="s">
        <v>199</v>
      </c>
      <c r="Q334" s="25"/>
      <c r="R334" s="25"/>
    </row>
    <row r="335" s="25" customFormat="1" spans="1:16">
      <c r="A335" s="29" t="s">
        <v>691</v>
      </c>
      <c r="B335" s="29" t="s">
        <v>677</v>
      </c>
      <c r="C335" s="29" t="s">
        <v>35</v>
      </c>
      <c r="D335" s="29" t="s">
        <v>48</v>
      </c>
      <c r="E335" s="29" t="s">
        <v>35</v>
      </c>
      <c r="F335" s="29" t="s">
        <v>51</v>
      </c>
      <c r="G335" s="29" t="s">
        <v>678</v>
      </c>
      <c r="H335" s="29" t="s">
        <v>176</v>
      </c>
      <c r="I335" s="29" t="s">
        <v>39</v>
      </c>
      <c r="J335" s="29" t="s">
        <v>145</v>
      </c>
      <c r="K335" s="29" t="s">
        <v>692</v>
      </c>
      <c r="L335" s="29" t="s">
        <v>238</v>
      </c>
      <c r="M335" s="29" t="s">
        <v>680</v>
      </c>
      <c r="N335" s="29" t="s">
        <v>683</v>
      </c>
      <c r="O335" s="29" t="s">
        <v>133</v>
      </c>
      <c r="P335" s="30" t="s">
        <v>200</v>
      </c>
    </row>
    <row r="336" s="25" customFormat="1" spans="1:16">
      <c r="A336" s="29" t="s">
        <v>692</v>
      </c>
      <c r="B336" s="29" t="s">
        <v>677</v>
      </c>
      <c r="C336" s="29" t="s">
        <v>35</v>
      </c>
      <c r="D336" s="29" t="s">
        <v>48</v>
      </c>
      <c r="E336" s="29" t="s">
        <v>35</v>
      </c>
      <c r="F336" s="29" t="s">
        <v>51</v>
      </c>
      <c r="G336" s="29" t="s">
        <v>678</v>
      </c>
      <c r="H336" s="29" t="s">
        <v>176</v>
      </c>
      <c r="I336" s="29" t="s">
        <v>39</v>
      </c>
      <c r="J336" s="29" t="s">
        <v>408</v>
      </c>
      <c r="K336" s="29" t="s">
        <v>693</v>
      </c>
      <c r="L336" s="29" t="s">
        <v>529</v>
      </c>
      <c r="M336" s="29" t="s">
        <v>680</v>
      </c>
      <c r="N336" s="29" t="s">
        <v>683</v>
      </c>
      <c r="O336" s="29" t="s">
        <v>133</v>
      </c>
      <c r="P336" s="30" t="s">
        <v>464</v>
      </c>
    </row>
    <row r="337" s="25" customFormat="1" spans="1:16">
      <c r="A337" s="29" t="s">
        <v>693</v>
      </c>
      <c r="B337" s="29" t="s">
        <v>677</v>
      </c>
      <c r="C337" s="29" t="s">
        <v>35</v>
      </c>
      <c r="D337" s="29" t="s">
        <v>48</v>
      </c>
      <c r="E337" s="29" t="s">
        <v>35</v>
      </c>
      <c r="F337" s="29" t="s">
        <v>51</v>
      </c>
      <c r="G337" s="29" t="s">
        <v>678</v>
      </c>
      <c r="H337" s="29" t="s">
        <v>176</v>
      </c>
      <c r="I337" s="29" t="s">
        <v>39</v>
      </c>
      <c r="J337" s="29" t="s">
        <v>412</v>
      </c>
      <c r="K337" s="29" t="s">
        <v>694</v>
      </c>
      <c r="L337" s="29" t="s">
        <v>532</v>
      </c>
      <c r="M337" s="29" t="s">
        <v>680</v>
      </c>
      <c r="N337" s="29" t="s">
        <v>683</v>
      </c>
      <c r="O337" s="29" t="s">
        <v>133</v>
      </c>
      <c r="P337" s="30" t="s">
        <v>466</v>
      </c>
    </row>
    <row r="338" s="25" customFormat="1" spans="1:16">
      <c r="A338" s="29" t="s">
        <v>694</v>
      </c>
      <c r="B338" s="29" t="s">
        <v>677</v>
      </c>
      <c r="C338" s="29" t="s">
        <v>35</v>
      </c>
      <c r="D338" s="29" t="s">
        <v>48</v>
      </c>
      <c r="E338" s="29" t="s">
        <v>35</v>
      </c>
      <c r="F338" s="29" t="s">
        <v>51</v>
      </c>
      <c r="G338" s="29" t="s">
        <v>678</v>
      </c>
      <c r="H338" s="29" t="s">
        <v>176</v>
      </c>
      <c r="I338" s="29" t="s">
        <v>39</v>
      </c>
      <c r="J338" s="29" t="s">
        <v>416</v>
      </c>
      <c r="K338" s="29" t="s">
        <v>695</v>
      </c>
      <c r="L338" s="29" t="s">
        <v>561</v>
      </c>
      <c r="M338" s="29" t="s">
        <v>680</v>
      </c>
      <c r="N338" s="29" t="s">
        <v>683</v>
      </c>
      <c r="O338" s="29" t="s">
        <v>133</v>
      </c>
      <c r="P338" s="30" t="s">
        <v>468</v>
      </c>
    </row>
    <row r="339" s="25" customFormat="1" spans="1:16">
      <c r="A339" s="29" t="s">
        <v>695</v>
      </c>
      <c r="B339" s="29" t="s">
        <v>677</v>
      </c>
      <c r="C339" s="29" t="s">
        <v>35</v>
      </c>
      <c r="D339" s="29" t="s">
        <v>48</v>
      </c>
      <c r="E339" s="29" t="s">
        <v>35</v>
      </c>
      <c r="F339" s="29" t="s">
        <v>51</v>
      </c>
      <c r="G339" s="29" t="s">
        <v>678</v>
      </c>
      <c r="H339" s="29" t="s">
        <v>176</v>
      </c>
      <c r="I339" s="29" t="s">
        <v>39</v>
      </c>
      <c r="J339" s="29" t="s">
        <v>420</v>
      </c>
      <c r="K339" s="29" t="s">
        <v>696</v>
      </c>
      <c r="L339" s="29" t="s">
        <v>564</v>
      </c>
      <c r="M339" s="29" t="s">
        <v>680</v>
      </c>
      <c r="N339" s="29" t="s">
        <v>683</v>
      </c>
      <c r="O339" s="29" t="s">
        <v>133</v>
      </c>
      <c r="P339" s="30" t="s">
        <v>470</v>
      </c>
    </row>
    <row r="340" s="25" customFormat="1" spans="1:16">
      <c r="A340" s="29" t="s">
        <v>696</v>
      </c>
      <c r="B340" s="29" t="s">
        <v>677</v>
      </c>
      <c r="C340" s="29" t="s">
        <v>35</v>
      </c>
      <c r="D340" s="29" t="s">
        <v>48</v>
      </c>
      <c r="E340" s="29" t="s">
        <v>35</v>
      </c>
      <c r="F340" s="29" t="s">
        <v>51</v>
      </c>
      <c r="G340" s="29" t="s">
        <v>678</v>
      </c>
      <c r="H340" s="29" t="s">
        <v>176</v>
      </c>
      <c r="I340" s="29" t="s">
        <v>39</v>
      </c>
      <c r="J340" s="29" t="s">
        <v>424</v>
      </c>
      <c r="K340" s="29" t="s">
        <v>697</v>
      </c>
      <c r="L340" s="29" t="s">
        <v>630</v>
      </c>
      <c r="M340" s="29" t="s">
        <v>680</v>
      </c>
      <c r="N340" s="29" t="s">
        <v>683</v>
      </c>
      <c r="O340" s="29" t="s">
        <v>133</v>
      </c>
      <c r="P340" s="30" t="s">
        <v>471</v>
      </c>
    </row>
    <row r="341" s="25" customFormat="1" spans="1:16">
      <c r="A341" s="29" t="s">
        <v>697</v>
      </c>
      <c r="B341" s="29" t="s">
        <v>677</v>
      </c>
      <c r="C341" s="29" t="s">
        <v>35</v>
      </c>
      <c r="D341" s="29" t="s">
        <v>48</v>
      </c>
      <c r="E341" s="29" t="s">
        <v>35</v>
      </c>
      <c r="F341" s="29" t="s">
        <v>51</v>
      </c>
      <c r="G341" s="29" t="s">
        <v>678</v>
      </c>
      <c r="H341" s="29" t="s">
        <v>176</v>
      </c>
      <c r="I341" s="29" t="s">
        <v>39</v>
      </c>
      <c r="J341" s="29" t="s">
        <v>631</v>
      </c>
      <c r="K341" s="29" t="s">
        <v>698</v>
      </c>
      <c r="L341" s="29" t="s">
        <v>633</v>
      </c>
      <c r="M341" s="29" t="s">
        <v>680</v>
      </c>
      <c r="N341" s="29" t="s">
        <v>683</v>
      </c>
      <c r="O341" s="29" t="s">
        <v>133</v>
      </c>
      <c r="P341" s="30" t="s">
        <v>699</v>
      </c>
    </row>
    <row r="342" s="25" customFormat="1" spans="1:16">
      <c r="A342" s="29" t="s">
        <v>698</v>
      </c>
      <c r="B342" s="29" t="s">
        <v>677</v>
      </c>
      <c r="C342" s="29" t="s">
        <v>35</v>
      </c>
      <c r="D342" s="29" t="s">
        <v>48</v>
      </c>
      <c r="E342" s="29" t="s">
        <v>35</v>
      </c>
      <c r="F342" s="29" t="s">
        <v>51</v>
      </c>
      <c r="G342" s="29" t="s">
        <v>678</v>
      </c>
      <c r="H342" s="29" t="s">
        <v>176</v>
      </c>
      <c r="I342" s="29" t="s">
        <v>39</v>
      </c>
      <c r="J342" s="29" t="s">
        <v>635</v>
      </c>
      <c r="K342" s="29" t="s">
        <v>700</v>
      </c>
      <c r="L342" s="29" t="s">
        <v>637</v>
      </c>
      <c r="M342" s="29" t="s">
        <v>680</v>
      </c>
      <c r="N342" s="29" t="s">
        <v>683</v>
      </c>
      <c r="O342" s="29" t="s">
        <v>133</v>
      </c>
      <c r="P342" s="30" t="s">
        <v>701</v>
      </c>
    </row>
    <row r="343" s="25" customFormat="1" spans="1:16">
      <c r="A343" s="29" t="s">
        <v>700</v>
      </c>
      <c r="B343" s="29" t="s">
        <v>677</v>
      </c>
      <c r="C343" s="29" t="s">
        <v>35</v>
      </c>
      <c r="D343" s="29" t="s">
        <v>48</v>
      </c>
      <c r="E343" s="29" t="s">
        <v>35</v>
      </c>
      <c r="F343" s="29" t="s">
        <v>51</v>
      </c>
      <c r="G343" s="29" t="s">
        <v>678</v>
      </c>
      <c r="H343" s="29" t="s">
        <v>176</v>
      </c>
      <c r="I343" s="29" t="s">
        <v>39</v>
      </c>
      <c r="J343" s="29" t="s">
        <v>639</v>
      </c>
      <c r="K343" s="29" t="s">
        <v>702</v>
      </c>
      <c r="L343" s="29" t="s">
        <v>641</v>
      </c>
      <c r="M343" s="29" t="s">
        <v>680</v>
      </c>
      <c r="N343" s="29" t="s">
        <v>683</v>
      </c>
      <c r="O343" s="29" t="s">
        <v>133</v>
      </c>
      <c r="P343" s="30" t="s">
        <v>703</v>
      </c>
    </row>
    <row r="344" s="25" customFormat="1" spans="1:16">
      <c r="A344" s="29" t="s">
        <v>702</v>
      </c>
      <c r="B344" s="29" t="s">
        <v>677</v>
      </c>
      <c r="C344" s="29" t="s">
        <v>35</v>
      </c>
      <c r="D344" s="29" t="s">
        <v>48</v>
      </c>
      <c r="E344" s="29" t="s">
        <v>35</v>
      </c>
      <c r="F344" s="29" t="s">
        <v>51</v>
      </c>
      <c r="G344" s="29" t="s">
        <v>678</v>
      </c>
      <c r="H344" s="29" t="s">
        <v>176</v>
      </c>
      <c r="I344" s="29" t="s">
        <v>39</v>
      </c>
      <c r="J344" s="29" t="s">
        <v>643</v>
      </c>
      <c r="K344" s="29" t="s">
        <v>704</v>
      </c>
      <c r="L344" s="29" t="s">
        <v>645</v>
      </c>
      <c r="M344" s="29" t="s">
        <v>680</v>
      </c>
      <c r="N344" s="29" t="s">
        <v>683</v>
      </c>
      <c r="O344" s="29" t="s">
        <v>133</v>
      </c>
      <c r="P344" s="30" t="s">
        <v>705</v>
      </c>
    </row>
    <row r="345" s="26" customFormat="1" spans="1:18">
      <c r="A345" s="29" t="s">
        <v>704</v>
      </c>
      <c r="B345" s="29" t="s">
        <v>677</v>
      </c>
      <c r="C345" s="29" t="s">
        <v>35</v>
      </c>
      <c r="D345" s="29" t="s">
        <v>48</v>
      </c>
      <c r="E345" s="29" t="s">
        <v>35</v>
      </c>
      <c r="F345" s="29" t="s">
        <v>51</v>
      </c>
      <c r="G345" s="29" t="s">
        <v>678</v>
      </c>
      <c r="H345" s="29" t="s">
        <v>176</v>
      </c>
      <c r="I345" s="29" t="s">
        <v>39</v>
      </c>
      <c r="J345" s="29" t="s">
        <v>647</v>
      </c>
      <c r="K345" s="29" t="s">
        <v>39</v>
      </c>
      <c r="L345" s="29" t="s">
        <v>39</v>
      </c>
      <c r="M345" s="29" t="s">
        <v>39</v>
      </c>
      <c r="N345" s="29" t="s">
        <v>683</v>
      </c>
      <c r="O345" s="29" t="s">
        <v>133</v>
      </c>
      <c r="P345" s="30" t="s">
        <v>706</v>
      </c>
      <c r="Q345" s="25"/>
      <c r="R345" s="25"/>
    </row>
    <row r="346" s="25" customFormat="1" spans="1:16">
      <c r="A346" s="29" t="s">
        <v>707</v>
      </c>
      <c r="B346" s="29" t="s">
        <v>707</v>
      </c>
      <c r="C346" s="29" t="s">
        <v>35</v>
      </c>
      <c r="D346" s="29" t="s">
        <v>48</v>
      </c>
      <c r="E346" s="29" t="s">
        <v>47</v>
      </c>
      <c r="F346" s="29" t="s">
        <v>51</v>
      </c>
      <c r="G346" s="29" t="s">
        <v>202</v>
      </c>
      <c r="H346" s="29" t="s">
        <v>203</v>
      </c>
      <c r="I346" s="29" t="s">
        <v>204</v>
      </c>
      <c r="J346" s="29" t="s">
        <v>39</v>
      </c>
      <c r="K346" s="29" t="s">
        <v>708</v>
      </c>
      <c r="L346" s="29" t="s">
        <v>206</v>
      </c>
      <c r="M346" s="29" t="s">
        <v>709</v>
      </c>
      <c r="N346" s="29" t="s">
        <v>475</v>
      </c>
      <c r="O346" s="29" t="s">
        <v>137</v>
      </c>
      <c r="P346" s="30" t="s">
        <v>209</v>
      </c>
    </row>
    <row r="347" s="25" customFormat="1" spans="1:16">
      <c r="A347" s="29" t="s">
        <v>708</v>
      </c>
      <c r="B347" s="29" t="s">
        <v>707</v>
      </c>
      <c r="C347" s="29" t="s">
        <v>35</v>
      </c>
      <c r="D347" s="29" t="s">
        <v>48</v>
      </c>
      <c r="E347" s="29" t="s">
        <v>47</v>
      </c>
      <c r="F347" s="29" t="s">
        <v>51</v>
      </c>
      <c r="G347" s="29" t="s">
        <v>202</v>
      </c>
      <c r="H347" s="29" t="s">
        <v>203</v>
      </c>
      <c r="I347" s="29" t="s">
        <v>204</v>
      </c>
      <c r="J347" s="29" t="s">
        <v>35</v>
      </c>
      <c r="K347" s="29" t="s">
        <v>710</v>
      </c>
      <c r="L347" s="29" t="s">
        <v>211</v>
      </c>
      <c r="M347" s="29" t="s">
        <v>709</v>
      </c>
      <c r="N347" s="29" t="s">
        <v>477</v>
      </c>
      <c r="O347" s="29" t="s">
        <v>137</v>
      </c>
      <c r="P347" s="30" t="s">
        <v>213</v>
      </c>
    </row>
    <row r="348" s="25" customFormat="1" spans="1:16">
      <c r="A348" s="29" t="s">
        <v>710</v>
      </c>
      <c r="B348" s="29" t="s">
        <v>707</v>
      </c>
      <c r="C348" s="29" t="s">
        <v>35</v>
      </c>
      <c r="D348" s="29" t="s">
        <v>48</v>
      </c>
      <c r="E348" s="29" t="s">
        <v>47</v>
      </c>
      <c r="F348" s="29" t="s">
        <v>51</v>
      </c>
      <c r="G348" s="29" t="s">
        <v>202</v>
      </c>
      <c r="H348" s="29" t="s">
        <v>203</v>
      </c>
      <c r="I348" s="29" t="s">
        <v>204</v>
      </c>
      <c r="J348" s="29" t="s">
        <v>47</v>
      </c>
      <c r="K348" s="29" t="s">
        <v>711</v>
      </c>
      <c r="L348" s="29" t="s">
        <v>215</v>
      </c>
      <c r="M348" s="29" t="s">
        <v>709</v>
      </c>
      <c r="N348" s="29" t="s">
        <v>477</v>
      </c>
      <c r="O348" s="29" t="s">
        <v>137</v>
      </c>
      <c r="P348" s="30" t="s">
        <v>216</v>
      </c>
    </row>
    <row r="349" s="25" customFormat="1" spans="1:16">
      <c r="A349" s="29" t="s">
        <v>711</v>
      </c>
      <c r="B349" s="29" t="s">
        <v>707</v>
      </c>
      <c r="C349" s="29" t="s">
        <v>35</v>
      </c>
      <c r="D349" s="29" t="s">
        <v>48</v>
      </c>
      <c r="E349" s="29" t="s">
        <v>47</v>
      </c>
      <c r="F349" s="29" t="s">
        <v>51</v>
      </c>
      <c r="G349" s="29" t="s">
        <v>202</v>
      </c>
      <c r="H349" s="29" t="s">
        <v>203</v>
      </c>
      <c r="I349" s="29" t="s">
        <v>204</v>
      </c>
      <c r="J349" s="29" t="s">
        <v>51</v>
      </c>
      <c r="K349" s="29" t="s">
        <v>712</v>
      </c>
      <c r="L349" s="29" t="s">
        <v>218</v>
      </c>
      <c r="M349" s="29" t="s">
        <v>709</v>
      </c>
      <c r="N349" s="29" t="s">
        <v>477</v>
      </c>
      <c r="O349" s="29" t="s">
        <v>137</v>
      </c>
      <c r="P349" s="30" t="s">
        <v>219</v>
      </c>
    </row>
    <row r="350" s="25" customFormat="1" spans="1:16">
      <c r="A350" s="29" t="s">
        <v>712</v>
      </c>
      <c r="B350" s="29" t="s">
        <v>707</v>
      </c>
      <c r="C350" s="29" t="s">
        <v>35</v>
      </c>
      <c r="D350" s="29" t="s">
        <v>48</v>
      </c>
      <c r="E350" s="29" t="s">
        <v>47</v>
      </c>
      <c r="F350" s="29" t="s">
        <v>51</v>
      </c>
      <c r="G350" s="29" t="s">
        <v>202</v>
      </c>
      <c r="H350" s="29" t="s">
        <v>203</v>
      </c>
      <c r="I350" s="29" t="s">
        <v>204</v>
      </c>
      <c r="J350" s="29" t="s">
        <v>55</v>
      </c>
      <c r="K350" s="29" t="s">
        <v>713</v>
      </c>
      <c r="L350" s="29" t="s">
        <v>221</v>
      </c>
      <c r="M350" s="29" t="s">
        <v>709</v>
      </c>
      <c r="N350" s="29" t="s">
        <v>477</v>
      </c>
      <c r="O350" s="29" t="s">
        <v>137</v>
      </c>
      <c r="P350" s="30" t="s">
        <v>222</v>
      </c>
    </row>
    <row r="351" s="25" customFormat="1" spans="1:16">
      <c r="A351" s="29" t="s">
        <v>713</v>
      </c>
      <c r="B351" s="29" t="s">
        <v>707</v>
      </c>
      <c r="C351" s="29" t="s">
        <v>35</v>
      </c>
      <c r="D351" s="29" t="s">
        <v>48</v>
      </c>
      <c r="E351" s="29" t="s">
        <v>47</v>
      </c>
      <c r="F351" s="29" t="s">
        <v>51</v>
      </c>
      <c r="G351" s="29" t="s">
        <v>202</v>
      </c>
      <c r="H351" s="29" t="s">
        <v>203</v>
      </c>
      <c r="I351" s="29" t="s">
        <v>204</v>
      </c>
      <c r="J351" s="29" t="s">
        <v>59</v>
      </c>
      <c r="K351" s="29" t="s">
        <v>714</v>
      </c>
      <c r="L351" s="29" t="s">
        <v>224</v>
      </c>
      <c r="M351" s="29" t="s">
        <v>709</v>
      </c>
      <c r="N351" s="29" t="s">
        <v>477</v>
      </c>
      <c r="O351" s="29" t="s">
        <v>137</v>
      </c>
      <c r="P351" s="30" t="s">
        <v>225</v>
      </c>
    </row>
    <row r="352" s="25" customFormat="1" spans="1:16">
      <c r="A352" s="29" t="s">
        <v>714</v>
      </c>
      <c r="B352" s="29" t="s">
        <v>707</v>
      </c>
      <c r="C352" s="29" t="s">
        <v>35</v>
      </c>
      <c r="D352" s="29" t="s">
        <v>48</v>
      </c>
      <c r="E352" s="29" t="s">
        <v>47</v>
      </c>
      <c r="F352" s="29" t="s">
        <v>51</v>
      </c>
      <c r="G352" s="29" t="s">
        <v>202</v>
      </c>
      <c r="H352" s="29" t="s">
        <v>203</v>
      </c>
      <c r="I352" s="29" t="s">
        <v>204</v>
      </c>
      <c r="J352" s="29" t="s">
        <v>129</v>
      </c>
      <c r="K352" s="29" t="s">
        <v>715</v>
      </c>
      <c r="L352" s="29" t="s">
        <v>227</v>
      </c>
      <c r="M352" s="29" t="s">
        <v>709</v>
      </c>
      <c r="N352" s="29" t="s">
        <v>477</v>
      </c>
      <c r="O352" s="29" t="s">
        <v>137</v>
      </c>
      <c r="P352" s="30" t="s">
        <v>228</v>
      </c>
    </row>
    <row r="353" s="25" customFormat="1" spans="1:16">
      <c r="A353" s="29" t="s">
        <v>715</v>
      </c>
      <c r="B353" s="29" t="s">
        <v>707</v>
      </c>
      <c r="C353" s="29" t="s">
        <v>35</v>
      </c>
      <c r="D353" s="29" t="s">
        <v>48</v>
      </c>
      <c r="E353" s="29" t="s">
        <v>47</v>
      </c>
      <c r="F353" s="29" t="s">
        <v>51</v>
      </c>
      <c r="G353" s="29" t="s">
        <v>202</v>
      </c>
      <c r="H353" s="29" t="s">
        <v>203</v>
      </c>
      <c r="I353" s="29" t="s">
        <v>204</v>
      </c>
      <c r="J353" s="29" t="s">
        <v>133</v>
      </c>
      <c r="K353" s="29" t="s">
        <v>716</v>
      </c>
      <c r="L353" s="29" t="s">
        <v>230</v>
      </c>
      <c r="M353" s="29" t="s">
        <v>709</v>
      </c>
      <c r="N353" s="29" t="s">
        <v>477</v>
      </c>
      <c r="O353" s="29" t="s">
        <v>137</v>
      </c>
      <c r="P353" s="30" t="s">
        <v>231</v>
      </c>
    </row>
    <row r="354" s="25" customFormat="1" spans="1:16">
      <c r="A354" s="29" t="s">
        <v>716</v>
      </c>
      <c r="B354" s="29" t="s">
        <v>707</v>
      </c>
      <c r="C354" s="29" t="s">
        <v>35</v>
      </c>
      <c r="D354" s="29" t="s">
        <v>48</v>
      </c>
      <c r="E354" s="29" t="s">
        <v>47</v>
      </c>
      <c r="F354" s="29" t="s">
        <v>51</v>
      </c>
      <c r="G354" s="29" t="s">
        <v>202</v>
      </c>
      <c r="H354" s="29" t="s">
        <v>203</v>
      </c>
      <c r="I354" s="29" t="s">
        <v>204</v>
      </c>
      <c r="J354" s="29" t="s">
        <v>137</v>
      </c>
      <c r="K354" s="29" t="s">
        <v>717</v>
      </c>
      <c r="L354" s="29" t="s">
        <v>233</v>
      </c>
      <c r="M354" s="29" t="s">
        <v>709</v>
      </c>
      <c r="N354" s="29" t="s">
        <v>477</v>
      </c>
      <c r="O354" s="29" t="s">
        <v>137</v>
      </c>
      <c r="P354" s="30" t="s">
        <v>234</v>
      </c>
    </row>
    <row r="355" s="25" customFormat="1" spans="1:16">
      <c r="A355" s="29" t="s">
        <v>717</v>
      </c>
      <c r="B355" s="29" t="s">
        <v>707</v>
      </c>
      <c r="C355" s="29" t="s">
        <v>35</v>
      </c>
      <c r="D355" s="29" t="s">
        <v>48</v>
      </c>
      <c r="E355" s="29" t="s">
        <v>47</v>
      </c>
      <c r="F355" s="29" t="s">
        <v>51</v>
      </c>
      <c r="G355" s="29" t="s">
        <v>202</v>
      </c>
      <c r="H355" s="29" t="s">
        <v>203</v>
      </c>
      <c r="I355" s="29" t="s">
        <v>204</v>
      </c>
      <c r="J355" s="29" t="s">
        <v>141</v>
      </c>
      <c r="K355" s="29" t="s">
        <v>718</v>
      </c>
      <c r="L355" s="29" t="s">
        <v>236</v>
      </c>
      <c r="M355" s="29" t="s">
        <v>709</v>
      </c>
      <c r="N355" s="29" t="s">
        <v>477</v>
      </c>
      <c r="O355" s="29" t="s">
        <v>137</v>
      </c>
      <c r="P355" s="30" t="s">
        <v>237</v>
      </c>
    </row>
    <row r="356" s="26" customFormat="1" spans="1:18">
      <c r="A356" s="29" t="s">
        <v>718</v>
      </c>
      <c r="B356" s="29" t="s">
        <v>707</v>
      </c>
      <c r="C356" s="29" t="s">
        <v>35</v>
      </c>
      <c r="D356" s="29" t="s">
        <v>48</v>
      </c>
      <c r="E356" s="29" t="s">
        <v>47</v>
      </c>
      <c r="F356" s="29" t="s">
        <v>51</v>
      </c>
      <c r="G356" s="29" t="s">
        <v>202</v>
      </c>
      <c r="H356" s="29" t="s">
        <v>203</v>
      </c>
      <c r="I356" s="29" t="s">
        <v>204</v>
      </c>
      <c r="J356" s="29" t="s">
        <v>145</v>
      </c>
      <c r="K356" s="29" t="s">
        <v>719</v>
      </c>
      <c r="L356" s="29" t="s">
        <v>238</v>
      </c>
      <c r="M356" s="29" t="s">
        <v>709</v>
      </c>
      <c r="N356" s="29" t="s">
        <v>477</v>
      </c>
      <c r="O356" s="29" t="s">
        <v>137</v>
      </c>
      <c r="P356" s="30" t="s">
        <v>239</v>
      </c>
      <c r="Q356" s="25"/>
      <c r="R356" s="25"/>
    </row>
    <row r="357" s="25" customFormat="1" spans="1:16">
      <c r="A357" s="29" t="s">
        <v>719</v>
      </c>
      <c r="B357" s="29" t="s">
        <v>707</v>
      </c>
      <c r="C357" s="29" t="s">
        <v>35</v>
      </c>
      <c r="D357" s="29" t="s">
        <v>48</v>
      </c>
      <c r="E357" s="29" t="s">
        <v>47</v>
      </c>
      <c r="F357" s="29" t="s">
        <v>51</v>
      </c>
      <c r="G357" s="29" t="s">
        <v>202</v>
      </c>
      <c r="H357" s="29" t="s">
        <v>203</v>
      </c>
      <c r="I357" s="29" t="s">
        <v>204</v>
      </c>
      <c r="J357" s="29" t="s">
        <v>408</v>
      </c>
      <c r="K357" s="29" t="s">
        <v>720</v>
      </c>
      <c r="L357" s="29" t="s">
        <v>529</v>
      </c>
      <c r="M357" s="29" t="s">
        <v>709</v>
      </c>
      <c r="N357" s="29" t="s">
        <v>477</v>
      </c>
      <c r="O357" s="29" t="s">
        <v>137</v>
      </c>
      <c r="P357" s="30" t="s">
        <v>721</v>
      </c>
    </row>
    <row r="358" s="25" customFormat="1" spans="1:16">
      <c r="A358" s="29" t="s">
        <v>720</v>
      </c>
      <c r="B358" s="29" t="s">
        <v>707</v>
      </c>
      <c r="C358" s="29" t="s">
        <v>35</v>
      </c>
      <c r="D358" s="29" t="s">
        <v>48</v>
      </c>
      <c r="E358" s="29" t="s">
        <v>47</v>
      </c>
      <c r="F358" s="29" t="s">
        <v>51</v>
      </c>
      <c r="G358" s="29" t="s">
        <v>202</v>
      </c>
      <c r="H358" s="29" t="s">
        <v>203</v>
      </c>
      <c r="I358" s="29" t="s">
        <v>204</v>
      </c>
      <c r="J358" s="29" t="s">
        <v>412</v>
      </c>
      <c r="K358" s="29" t="s">
        <v>722</v>
      </c>
      <c r="L358" s="29" t="s">
        <v>532</v>
      </c>
      <c r="M358" s="29" t="s">
        <v>709</v>
      </c>
      <c r="N358" s="29" t="s">
        <v>477</v>
      </c>
      <c r="O358" s="29" t="s">
        <v>137</v>
      </c>
      <c r="P358" s="30" t="s">
        <v>723</v>
      </c>
    </row>
    <row r="359" s="25" customFormat="1" spans="1:16">
      <c r="A359" s="29" t="s">
        <v>722</v>
      </c>
      <c r="B359" s="29" t="s">
        <v>707</v>
      </c>
      <c r="C359" s="29" t="s">
        <v>35</v>
      </c>
      <c r="D359" s="29" t="s">
        <v>48</v>
      </c>
      <c r="E359" s="29" t="s">
        <v>47</v>
      </c>
      <c r="F359" s="29" t="s">
        <v>51</v>
      </c>
      <c r="G359" s="29" t="s">
        <v>202</v>
      </c>
      <c r="H359" s="29" t="s">
        <v>203</v>
      </c>
      <c r="I359" s="29" t="s">
        <v>204</v>
      </c>
      <c r="J359" s="29" t="s">
        <v>416</v>
      </c>
      <c r="K359" s="29" t="s">
        <v>724</v>
      </c>
      <c r="L359" s="29" t="s">
        <v>561</v>
      </c>
      <c r="M359" s="29" t="s">
        <v>709</v>
      </c>
      <c r="N359" s="29" t="s">
        <v>477</v>
      </c>
      <c r="O359" s="29" t="s">
        <v>137</v>
      </c>
      <c r="P359" s="30" t="s">
        <v>725</v>
      </c>
    </row>
    <row r="360" s="25" customFormat="1" spans="1:16">
      <c r="A360" s="29" t="s">
        <v>724</v>
      </c>
      <c r="B360" s="29" t="s">
        <v>707</v>
      </c>
      <c r="C360" s="29" t="s">
        <v>35</v>
      </c>
      <c r="D360" s="29" t="s">
        <v>48</v>
      </c>
      <c r="E360" s="29" t="s">
        <v>47</v>
      </c>
      <c r="F360" s="29" t="s">
        <v>51</v>
      </c>
      <c r="G360" s="29" t="s">
        <v>202</v>
      </c>
      <c r="H360" s="29" t="s">
        <v>203</v>
      </c>
      <c r="I360" s="29" t="s">
        <v>204</v>
      </c>
      <c r="J360" s="29" t="s">
        <v>420</v>
      </c>
      <c r="K360" s="29" t="s">
        <v>726</v>
      </c>
      <c r="L360" s="29" t="s">
        <v>564</v>
      </c>
      <c r="M360" s="29" t="s">
        <v>709</v>
      </c>
      <c r="N360" s="29" t="s">
        <v>477</v>
      </c>
      <c r="O360" s="29" t="s">
        <v>137</v>
      </c>
      <c r="P360" s="30" t="s">
        <v>727</v>
      </c>
    </row>
    <row r="361" s="25" customFormat="1" spans="1:16">
      <c r="A361" s="29" t="s">
        <v>726</v>
      </c>
      <c r="B361" s="29" t="s">
        <v>707</v>
      </c>
      <c r="C361" s="29" t="s">
        <v>35</v>
      </c>
      <c r="D361" s="29" t="s">
        <v>48</v>
      </c>
      <c r="E361" s="29" t="s">
        <v>47</v>
      </c>
      <c r="F361" s="29" t="s">
        <v>51</v>
      </c>
      <c r="G361" s="29" t="s">
        <v>202</v>
      </c>
      <c r="H361" s="29" t="s">
        <v>203</v>
      </c>
      <c r="I361" s="29" t="s">
        <v>204</v>
      </c>
      <c r="J361" s="29" t="s">
        <v>424</v>
      </c>
      <c r="K361" s="29" t="s">
        <v>728</v>
      </c>
      <c r="L361" s="29" t="s">
        <v>630</v>
      </c>
      <c r="M361" s="29" t="s">
        <v>709</v>
      </c>
      <c r="N361" s="29" t="s">
        <v>477</v>
      </c>
      <c r="O361" s="29" t="s">
        <v>137</v>
      </c>
      <c r="P361" s="30" t="s">
        <v>729</v>
      </c>
    </row>
    <row r="362" s="25" customFormat="1" spans="1:16">
      <c r="A362" s="29" t="s">
        <v>728</v>
      </c>
      <c r="B362" s="29" t="s">
        <v>707</v>
      </c>
      <c r="C362" s="29" t="s">
        <v>35</v>
      </c>
      <c r="D362" s="29" t="s">
        <v>48</v>
      </c>
      <c r="E362" s="29" t="s">
        <v>47</v>
      </c>
      <c r="F362" s="29" t="s">
        <v>51</v>
      </c>
      <c r="G362" s="29" t="s">
        <v>202</v>
      </c>
      <c r="H362" s="29" t="s">
        <v>203</v>
      </c>
      <c r="I362" s="29" t="s">
        <v>204</v>
      </c>
      <c r="J362" s="29" t="s">
        <v>631</v>
      </c>
      <c r="K362" s="29" t="s">
        <v>730</v>
      </c>
      <c r="L362" s="29" t="s">
        <v>633</v>
      </c>
      <c r="M362" s="29" t="s">
        <v>709</v>
      </c>
      <c r="N362" s="29" t="s">
        <v>477</v>
      </c>
      <c r="O362" s="29" t="s">
        <v>137</v>
      </c>
      <c r="P362" s="30" t="s">
        <v>731</v>
      </c>
    </row>
    <row r="363" s="25" customFormat="1" spans="1:16">
      <c r="A363" s="29" t="s">
        <v>730</v>
      </c>
      <c r="B363" s="29" t="s">
        <v>707</v>
      </c>
      <c r="C363" s="29" t="s">
        <v>35</v>
      </c>
      <c r="D363" s="29" t="s">
        <v>48</v>
      </c>
      <c r="E363" s="29" t="s">
        <v>47</v>
      </c>
      <c r="F363" s="29" t="s">
        <v>51</v>
      </c>
      <c r="G363" s="29" t="s">
        <v>202</v>
      </c>
      <c r="H363" s="29" t="s">
        <v>203</v>
      </c>
      <c r="I363" s="29" t="s">
        <v>204</v>
      </c>
      <c r="J363" s="29" t="s">
        <v>635</v>
      </c>
      <c r="K363" s="29" t="s">
        <v>732</v>
      </c>
      <c r="L363" s="29" t="s">
        <v>637</v>
      </c>
      <c r="M363" s="29" t="s">
        <v>709</v>
      </c>
      <c r="N363" s="29" t="s">
        <v>477</v>
      </c>
      <c r="O363" s="29" t="s">
        <v>137</v>
      </c>
      <c r="P363" s="30" t="s">
        <v>733</v>
      </c>
    </row>
    <row r="364" s="25" customFormat="1" spans="1:16">
      <c r="A364" s="29" t="s">
        <v>732</v>
      </c>
      <c r="B364" s="29" t="s">
        <v>707</v>
      </c>
      <c r="C364" s="29" t="s">
        <v>35</v>
      </c>
      <c r="D364" s="29" t="s">
        <v>48</v>
      </c>
      <c r="E364" s="29" t="s">
        <v>47</v>
      </c>
      <c r="F364" s="29" t="s">
        <v>51</v>
      </c>
      <c r="G364" s="29" t="s">
        <v>202</v>
      </c>
      <c r="H364" s="29" t="s">
        <v>203</v>
      </c>
      <c r="I364" s="29" t="s">
        <v>204</v>
      </c>
      <c r="J364" s="29" t="s">
        <v>639</v>
      </c>
      <c r="K364" s="29" t="s">
        <v>734</v>
      </c>
      <c r="L364" s="29" t="s">
        <v>641</v>
      </c>
      <c r="M364" s="29" t="s">
        <v>709</v>
      </c>
      <c r="N364" s="29" t="s">
        <v>477</v>
      </c>
      <c r="O364" s="29" t="s">
        <v>137</v>
      </c>
      <c r="P364" s="30" t="s">
        <v>735</v>
      </c>
    </row>
    <row r="365" s="25" customFormat="1" spans="1:16">
      <c r="A365" s="29" t="s">
        <v>734</v>
      </c>
      <c r="B365" s="29" t="s">
        <v>707</v>
      </c>
      <c r="C365" s="29" t="s">
        <v>35</v>
      </c>
      <c r="D365" s="29" t="s">
        <v>48</v>
      </c>
      <c r="E365" s="29" t="s">
        <v>47</v>
      </c>
      <c r="F365" s="29" t="s">
        <v>51</v>
      </c>
      <c r="G365" s="29" t="s">
        <v>202</v>
      </c>
      <c r="H365" s="29" t="s">
        <v>203</v>
      </c>
      <c r="I365" s="29" t="s">
        <v>204</v>
      </c>
      <c r="J365" s="29" t="s">
        <v>643</v>
      </c>
      <c r="K365" s="29" t="s">
        <v>736</v>
      </c>
      <c r="L365" s="29" t="s">
        <v>645</v>
      </c>
      <c r="M365" s="29" t="s">
        <v>709</v>
      </c>
      <c r="N365" s="29" t="s">
        <v>477</v>
      </c>
      <c r="O365" s="29" t="s">
        <v>137</v>
      </c>
      <c r="P365" s="30" t="s">
        <v>737</v>
      </c>
    </row>
    <row r="366" s="25" customFormat="1" spans="1:16">
      <c r="A366" s="29" t="s">
        <v>736</v>
      </c>
      <c r="B366" s="29" t="s">
        <v>707</v>
      </c>
      <c r="C366" s="29" t="s">
        <v>35</v>
      </c>
      <c r="D366" s="29" t="s">
        <v>48</v>
      </c>
      <c r="E366" s="29" t="s">
        <v>47</v>
      </c>
      <c r="F366" s="29" t="s">
        <v>51</v>
      </c>
      <c r="G366" s="29" t="s">
        <v>202</v>
      </c>
      <c r="H366" s="29" t="s">
        <v>203</v>
      </c>
      <c r="I366" s="29" t="s">
        <v>204</v>
      </c>
      <c r="J366" s="29" t="s">
        <v>647</v>
      </c>
      <c r="K366" s="29" t="s">
        <v>39</v>
      </c>
      <c r="L366" s="29" t="s">
        <v>39</v>
      </c>
      <c r="M366" s="29" t="s">
        <v>39</v>
      </c>
      <c r="N366" s="29" t="s">
        <v>477</v>
      </c>
      <c r="O366" s="29" t="s">
        <v>137</v>
      </c>
      <c r="P366" s="30" t="s">
        <v>738</v>
      </c>
    </row>
    <row r="367" s="25" customFormat="1" spans="1:16">
      <c r="A367" s="29" t="s">
        <v>739</v>
      </c>
      <c r="B367" s="29" t="s">
        <v>739</v>
      </c>
      <c r="C367" s="29" t="s">
        <v>35</v>
      </c>
      <c r="D367" s="29" t="s">
        <v>48</v>
      </c>
      <c r="E367" s="29" t="s">
        <v>47</v>
      </c>
      <c r="F367" s="29" t="s">
        <v>51</v>
      </c>
      <c r="G367" s="29" t="s">
        <v>241</v>
      </c>
      <c r="H367" s="29" t="s">
        <v>242</v>
      </c>
      <c r="I367" s="29" t="s">
        <v>204</v>
      </c>
      <c r="J367" s="29" t="s">
        <v>39</v>
      </c>
      <c r="K367" s="29" t="s">
        <v>740</v>
      </c>
      <c r="L367" s="29" t="s">
        <v>206</v>
      </c>
      <c r="M367" s="29" t="s">
        <v>741</v>
      </c>
      <c r="N367" s="29" t="s">
        <v>489</v>
      </c>
      <c r="O367" s="29" t="s">
        <v>141</v>
      </c>
      <c r="P367" s="30" t="s">
        <v>246</v>
      </c>
    </row>
    <row r="368" s="25" customFormat="1" spans="1:16">
      <c r="A368" s="29" t="s">
        <v>740</v>
      </c>
      <c r="B368" s="29" t="s">
        <v>739</v>
      </c>
      <c r="C368" s="29" t="s">
        <v>35</v>
      </c>
      <c r="D368" s="29" t="s">
        <v>48</v>
      </c>
      <c r="E368" s="29" t="s">
        <v>47</v>
      </c>
      <c r="F368" s="29" t="s">
        <v>51</v>
      </c>
      <c r="G368" s="29" t="s">
        <v>241</v>
      </c>
      <c r="H368" s="29" t="s">
        <v>242</v>
      </c>
      <c r="I368" s="29" t="s">
        <v>204</v>
      </c>
      <c r="J368" s="29" t="s">
        <v>35</v>
      </c>
      <c r="K368" s="29" t="s">
        <v>742</v>
      </c>
      <c r="L368" s="29" t="s">
        <v>211</v>
      </c>
      <c r="M368" s="29" t="s">
        <v>741</v>
      </c>
      <c r="N368" s="29" t="s">
        <v>491</v>
      </c>
      <c r="O368" s="29" t="s">
        <v>141</v>
      </c>
      <c r="P368" s="30" t="s">
        <v>249</v>
      </c>
    </row>
    <row r="369" s="25" customFormat="1" spans="1:16">
      <c r="A369" s="29" t="s">
        <v>742</v>
      </c>
      <c r="B369" s="29" t="s">
        <v>739</v>
      </c>
      <c r="C369" s="29" t="s">
        <v>35</v>
      </c>
      <c r="D369" s="29" t="s">
        <v>48</v>
      </c>
      <c r="E369" s="29" t="s">
        <v>47</v>
      </c>
      <c r="F369" s="29" t="s">
        <v>51</v>
      </c>
      <c r="G369" s="29" t="s">
        <v>241</v>
      </c>
      <c r="H369" s="29" t="s">
        <v>242</v>
      </c>
      <c r="I369" s="29" t="s">
        <v>204</v>
      </c>
      <c r="J369" s="29" t="s">
        <v>47</v>
      </c>
      <c r="K369" s="29" t="s">
        <v>743</v>
      </c>
      <c r="L369" s="29" t="s">
        <v>215</v>
      </c>
      <c r="M369" s="29" t="s">
        <v>741</v>
      </c>
      <c r="N369" s="29" t="s">
        <v>491</v>
      </c>
      <c r="O369" s="29" t="s">
        <v>141</v>
      </c>
      <c r="P369" s="30" t="s">
        <v>251</v>
      </c>
    </row>
    <row r="370" s="25" customFormat="1" spans="1:16">
      <c r="A370" s="29" t="s">
        <v>743</v>
      </c>
      <c r="B370" s="29" t="s">
        <v>739</v>
      </c>
      <c r="C370" s="29" t="s">
        <v>35</v>
      </c>
      <c r="D370" s="29" t="s">
        <v>48</v>
      </c>
      <c r="E370" s="29" t="s">
        <v>47</v>
      </c>
      <c r="F370" s="29" t="s">
        <v>51</v>
      </c>
      <c r="G370" s="29" t="s">
        <v>241</v>
      </c>
      <c r="H370" s="29" t="s">
        <v>242</v>
      </c>
      <c r="I370" s="29" t="s">
        <v>204</v>
      </c>
      <c r="J370" s="29" t="s">
        <v>51</v>
      </c>
      <c r="K370" s="29" t="s">
        <v>744</v>
      </c>
      <c r="L370" s="29" t="s">
        <v>218</v>
      </c>
      <c r="M370" s="29" t="s">
        <v>741</v>
      </c>
      <c r="N370" s="29" t="s">
        <v>491</v>
      </c>
      <c r="O370" s="29" t="s">
        <v>141</v>
      </c>
      <c r="P370" s="30" t="s">
        <v>253</v>
      </c>
    </row>
    <row r="371" s="25" customFormat="1" spans="1:16">
      <c r="A371" s="29" t="s">
        <v>744</v>
      </c>
      <c r="B371" s="29" t="s">
        <v>739</v>
      </c>
      <c r="C371" s="29" t="s">
        <v>35</v>
      </c>
      <c r="D371" s="29" t="s">
        <v>48</v>
      </c>
      <c r="E371" s="29" t="s">
        <v>47</v>
      </c>
      <c r="F371" s="29" t="s">
        <v>51</v>
      </c>
      <c r="G371" s="29" t="s">
        <v>241</v>
      </c>
      <c r="H371" s="29" t="s">
        <v>242</v>
      </c>
      <c r="I371" s="29" t="s">
        <v>204</v>
      </c>
      <c r="J371" s="29" t="s">
        <v>55</v>
      </c>
      <c r="K371" s="29" t="s">
        <v>745</v>
      </c>
      <c r="L371" s="29" t="s">
        <v>221</v>
      </c>
      <c r="M371" s="29" t="s">
        <v>741</v>
      </c>
      <c r="N371" s="29" t="s">
        <v>491</v>
      </c>
      <c r="O371" s="29" t="s">
        <v>141</v>
      </c>
      <c r="P371" s="30" t="s">
        <v>255</v>
      </c>
    </row>
    <row r="372" s="25" customFormat="1" spans="1:16">
      <c r="A372" s="29" t="s">
        <v>745</v>
      </c>
      <c r="B372" s="29" t="s">
        <v>739</v>
      </c>
      <c r="C372" s="29" t="s">
        <v>35</v>
      </c>
      <c r="D372" s="29" t="s">
        <v>48</v>
      </c>
      <c r="E372" s="29" t="s">
        <v>47</v>
      </c>
      <c r="F372" s="29" t="s">
        <v>51</v>
      </c>
      <c r="G372" s="29" t="s">
        <v>241</v>
      </c>
      <c r="H372" s="29" t="s">
        <v>242</v>
      </c>
      <c r="I372" s="29" t="s">
        <v>204</v>
      </c>
      <c r="J372" s="29" t="s">
        <v>59</v>
      </c>
      <c r="K372" s="29" t="s">
        <v>746</v>
      </c>
      <c r="L372" s="29" t="s">
        <v>224</v>
      </c>
      <c r="M372" s="29" t="s">
        <v>741</v>
      </c>
      <c r="N372" s="29" t="s">
        <v>491</v>
      </c>
      <c r="O372" s="29" t="s">
        <v>141</v>
      </c>
      <c r="P372" s="30" t="s">
        <v>257</v>
      </c>
    </row>
    <row r="373" s="25" customFormat="1" spans="1:16">
      <c r="A373" s="29" t="s">
        <v>746</v>
      </c>
      <c r="B373" s="29" t="s">
        <v>739</v>
      </c>
      <c r="C373" s="29" t="s">
        <v>35</v>
      </c>
      <c r="D373" s="29" t="s">
        <v>48</v>
      </c>
      <c r="E373" s="29" t="s">
        <v>47</v>
      </c>
      <c r="F373" s="29" t="s">
        <v>51</v>
      </c>
      <c r="G373" s="29" t="s">
        <v>241</v>
      </c>
      <c r="H373" s="29" t="s">
        <v>242</v>
      </c>
      <c r="I373" s="29" t="s">
        <v>204</v>
      </c>
      <c r="J373" s="29" t="s">
        <v>129</v>
      </c>
      <c r="K373" s="29" t="s">
        <v>747</v>
      </c>
      <c r="L373" s="29" t="s">
        <v>227</v>
      </c>
      <c r="M373" s="29" t="s">
        <v>741</v>
      </c>
      <c r="N373" s="29" t="s">
        <v>491</v>
      </c>
      <c r="O373" s="29" t="s">
        <v>141</v>
      </c>
      <c r="P373" s="30" t="s">
        <v>259</v>
      </c>
    </row>
    <row r="374" s="25" customFormat="1" spans="1:16">
      <c r="A374" s="29" t="s">
        <v>747</v>
      </c>
      <c r="B374" s="29" t="s">
        <v>739</v>
      </c>
      <c r="C374" s="29" t="s">
        <v>35</v>
      </c>
      <c r="D374" s="29" t="s">
        <v>48</v>
      </c>
      <c r="E374" s="29" t="s">
        <v>47</v>
      </c>
      <c r="F374" s="29" t="s">
        <v>51</v>
      </c>
      <c r="G374" s="29" t="s">
        <v>241</v>
      </c>
      <c r="H374" s="29" t="s">
        <v>242</v>
      </c>
      <c r="I374" s="29" t="s">
        <v>204</v>
      </c>
      <c r="J374" s="29" t="s">
        <v>133</v>
      </c>
      <c r="K374" s="29" t="s">
        <v>748</v>
      </c>
      <c r="L374" s="29" t="s">
        <v>230</v>
      </c>
      <c r="M374" s="29" t="s">
        <v>741</v>
      </c>
      <c r="N374" s="29" t="s">
        <v>491</v>
      </c>
      <c r="O374" s="29" t="s">
        <v>141</v>
      </c>
      <c r="P374" s="30" t="s">
        <v>261</v>
      </c>
    </row>
    <row r="375" s="25" customFormat="1" spans="1:16">
      <c r="A375" s="29" t="s">
        <v>748</v>
      </c>
      <c r="B375" s="29" t="s">
        <v>739</v>
      </c>
      <c r="C375" s="29" t="s">
        <v>35</v>
      </c>
      <c r="D375" s="29" t="s">
        <v>48</v>
      </c>
      <c r="E375" s="29" t="s">
        <v>47</v>
      </c>
      <c r="F375" s="29" t="s">
        <v>51</v>
      </c>
      <c r="G375" s="29" t="s">
        <v>241</v>
      </c>
      <c r="H375" s="29" t="s">
        <v>242</v>
      </c>
      <c r="I375" s="29" t="s">
        <v>204</v>
      </c>
      <c r="J375" s="29" t="s">
        <v>137</v>
      </c>
      <c r="K375" s="29" t="s">
        <v>749</v>
      </c>
      <c r="L375" s="29" t="s">
        <v>233</v>
      </c>
      <c r="M375" s="29" t="s">
        <v>741</v>
      </c>
      <c r="N375" s="29" t="s">
        <v>491</v>
      </c>
      <c r="O375" s="29" t="s">
        <v>141</v>
      </c>
      <c r="P375" s="30" t="s">
        <v>263</v>
      </c>
    </row>
    <row r="376" s="25" customFormat="1" spans="1:16">
      <c r="A376" s="29" t="s">
        <v>749</v>
      </c>
      <c r="B376" s="29" t="s">
        <v>739</v>
      </c>
      <c r="C376" s="29" t="s">
        <v>35</v>
      </c>
      <c r="D376" s="29" t="s">
        <v>48</v>
      </c>
      <c r="E376" s="29" t="s">
        <v>47</v>
      </c>
      <c r="F376" s="29" t="s">
        <v>51</v>
      </c>
      <c r="G376" s="29" t="s">
        <v>241</v>
      </c>
      <c r="H376" s="29" t="s">
        <v>242</v>
      </c>
      <c r="I376" s="29" t="s">
        <v>204</v>
      </c>
      <c r="J376" s="29" t="s">
        <v>141</v>
      </c>
      <c r="K376" s="29" t="s">
        <v>750</v>
      </c>
      <c r="L376" s="29" t="s">
        <v>236</v>
      </c>
      <c r="M376" s="29" t="s">
        <v>741</v>
      </c>
      <c r="N376" s="29" t="s">
        <v>491</v>
      </c>
      <c r="O376" s="29" t="s">
        <v>141</v>
      </c>
      <c r="P376" s="30" t="s">
        <v>265</v>
      </c>
    </row>
    <row r="377" s="25" customFormat="1" spans="1:16">
      <c r="A377" s="29" t="s">
        <v>750</v>
      </c>
      <c r="B377" s="29" t="s">
        <v>739</v>
      </c>
      <c r="C377" s="29" t="s">
        <v>35</v>
      </c>
      <c r="D377" s="29" t="s">
        <v>48</v>
      </c>
      <c r="E377" s="29" t="s">
        <v>47</v>
      </c>
      <c r="F377" s="29" t="s">
        <v>51</v>
      </c>
      <c r="G377" s="29" t="s">
        <v>241</v>
      </c>
      <c r="H377" s="29" t="s">
        <v>242</v>
      </c>
      <c r="I377" s="29" t="s">
        <v>204</v>
      </c>
      <c r="J377" s="29" t="s">
        <v>145</v>
      </c>
      <c r="K377" s="29" t="s">
        <v>751</v>
      </c>
      <c r="L377" s="29" t="s">
        <v>238</v>
      </c>
      <c r="M377" s="29" t="s">
        <v>741</v>
      </c>
      <c r="N377" s="29" t="s">
        <v>491</v>
      </c>
      <c r="O377" s="29" t="s">
        <v>141</v>
      </c>
      <c r="P377" s="30" t="s">
        <v>266</v>
      </c>
    </row>
    <row r="378" s="25" customFormat="1" spans="1:16">
      <c r="A378" s="29" t="s">
        <v>751</v>
      </c>
      <c r="B378" s="29" t="s">
        <v>739</v>
      </c>
      <c r="C378" s="29" t="s">
        <v>35</v>
      </c>
      <c r="D378" s="29" t="s">
        <v>48</v>
      </c>
      <c r="E378" s="29" t="s">
        <v>47</v>
      </c>
      <c r="F378" s="29" t="s">
        <v>51</v>
      </c>
      <c r="G378" s="29" t="s">
        <v>241</v>
      </c>
      <c r="H378" s="29" t="s">
        <v>242</v>
      </c>
      <c r="I378" s="29" t="s">
        <v>204</v>
      </c>
      <c r="J378" s="29" t="s">
        <v>408</v>
      </c>
      <c r="K378" s="29" t="s">
        <v>752</v>
      </c>
      <c r="L378" s="29" t="s">
        <v>529</v>
      </c>
      <c r="M378" s="29" t="s">
        <v>741</v>
      </c>
      <c r="N378" s="29" t="s">
        <v>491</v>
      </c>
      <c r="O378" s="29" t="s">
        <v>141</v>
      </c>
      <c r="P378" s="30" t="s">
        <v>753</v>
      </c>
    </row>
    <row r="379" s="25" customFormat="1" spans="1:16">
      <c r="A379" s="29" t="s">
        <v>752</v>
      </c>
      <c r="B379" s="29" t="s">
        <v>739</v>
      </c>
      <c r="C379" s="29" t="s">
        <v>35</v>
      </c>
      <c r="D379" s="29" t="s">
        <v>48</v>
      </c>
      <c r="E379" s="29" t="s">
        <v>47</v>
      </c>
      <c r="F379" s="29" t="s">
        <v>51</v>
      </c>
      <c r="G379" s="29" t="s">
        <v>241</v>
      </c>
      <c r="H379" s="29" t="s">
        <v>242</v>
      </c>
      <c r="I379" s="29" t="s">
        <v>204</v>
      </c>
      <c r="J379" s="29" t="s">
        <v>412</v>
      </c>
      <c r="K379" s="29" t="s">
        <v>754</v>
      </c>
      <c r="L379" s="29" t="s">
        <v>532</v>
      </c>
      <c r="M379" s="29" t="s">
        <v>741</v>
      </c>
      <c r="N379" s="29" t="s">
        <v>491</v>
      </c>
      <c r="O379" s="29" t="s">
        <v>141</v>
      </c>
      <c r="P379" s="30" t="s">
        <v>755</v>
      </c>
    </row>
    <row r="380" s="25" customFormat="1" spans="1:16">
      <c r="A380" s="29" t="s">
        <v>754</v>
      </c>
      <c r="B380" s="29" t="s">
        <v>739</v>
      </c>
      <c r="C380" s="29" t="s">
        <v>35</v>
      </c>
      <c r="D380" s="29" t="s">
        <v>48</v>
      </c>
      <c r="E380" s="29" t="s">
        <v>47</v>
      </c>
      <c r="F380" s="29" t="s">
        <v>51</v>
      </c>
      <c r="G380" s="29" t="s">
        <v>241</v>
      </c>
      <c r="H380" s="29" t="s">
        <v>242</v>
      </c>
      <c r="I380" s="29" t="s">
        <v>204</v>
      </c>
      <c r="J380" s="29" t="s">
        <v>416</v>
      </c>
      <c r="K380" s="29" t="s">
        <v>756</v>
      </c>
      <c r="L380" s="29" t="s">
        <v>561</v>
      </c>
      <c r="M380" s="29" t="s">
        <v>741</v>
      </c>
      <c r="N380" s="29" t="s">
        <v>491</v>
      </c>
      <c r="O380" s="29" t="s">
        <v>141</v>
      </c>
      <c r="P380" s="30" t="s">
        <v>757</v>
      </c>
    </row>
    <row r="381" s="25" customFormat="1" spans="1:16">
      <c r="A381" s="29" t="s">
        <v>756</v>
      </c>
      <c r="B381" s="29" t="s">
        <v>739</v>
      </c>
      <c r="C381" s="29" t="s">
        <v>35</v>
      </c>
      <c r="D381" s="29" t="s">
        <v>48</v>
      </c>
      <c r="E381" s="29" t="s">
        <v>47</v>
      </c>
      <c r="F381" s="29" t="s">
        <v>51</v>
      </c>
      <c r="G381" s="29" t="s">
        <v>241</v>
      </c>
      <c r="H381" s="29" t="s">
        <v>242</v>
      </c>
      <c r="I381" s="29" t="s">
        <v>204</v>
      </c>
      <c r="J381" s="29" t="s">
        <v>420</v>
      </c>
      <c r="K381" s="29" t="s">
        <v>758</v>
      </c>
      <c r="L381" s="29" t="s">
        <v>564</v>
      </c>
      <c r="M381" s="29" t="s">
        <v>741</v>
      </c>
      <c r="N381" s="29" t="s">
        <v>491</v>
      </c>
      <c r="O381" s="29" t="s">
        <v>141</v>
      </c>
      <c r="P381" s="30" t="s">
        <v>759</v>
      </c>
    </row>
    <row r="382" s="25" customFormat="1" spans="1:16">
      <c r="A382" s="29" t="s">
        <v>758</v>
      </c>
      <c r="B382" s="29" t="s">
        <v>739</v>
      </c>
      <c r="C382" s="29" t="s">
        <v>35</v>
      </c>
      <c r="D382" s="29" t="s">
        <v>48</v>
      </c>
      <c r="E382" s="29" t="s">
        <v>47</v>
      </c>
      <c r="F382" s="29" t="s">
        <v>51</v>
      </c>
      <c r="G382" s="29" t="s">
        <v>241</v>
      </c>
      <c r="H382" s="29" t="s">
        <v>242</v>
      </c>
      <c r="I382" s="29" t="s">
        <v>204</v>
      </c>
      <c r="J382" s="29" t="s">
        <v>424</v>
      </c>
      <c r="K382" s="29" t="s">
        <v>760</v>
      </c>
      <c r="L382" s="29" t="s">
        <v>630</v>
      </c>
      <c r="M382" s="29" t="s">
        <v>741</v>
      </c>
      <c r="N382" s="29" t="s">
        <v>491</v>
      </c>
      <c r="O382" s="29" t="s">
        <v>141</v>
      </c>
      <c r="P382" s="30" t="s">
        <v>761</v>
      </c>
    </row>
    <row r="383" s="25" customFormat="1" spans="1:16">
      <c r="A383" s="29" t="s">
        <v>760</v>
      </c>
      <c r="B383" s="29" t="s">
        <v>739</v>
      </c>
      <c r="C383" s="29" t="s">
        <v>35</v>
      </c>
      <c r="D383" s="29" t="s">
        <v>48</v>
      </c>
      <c r="E383" s="29" t="s">
        <v>47</v>
      </c>
      <c r="F383" s="29" t="s">
        <v>51</v>
      </c>
      <c r="G383" s="29" t="s">
        <v>241</v>
      </c>
      <c r="H383" s="29" t="s">
        <v>242</v>
      </c>
      <c r="I383" s="29" t="s">
        <v>204</v>
      </c>
      <c r="J383" s="29" t="s">
        <v>631</v>
      </c>
      <c r="K383" s="29" t="s">
        <v>762</v>
      </c>
      <c r="L383" s="29" t="s">
        <v>633</v>
      </c>
      <c r="M383" s="29" t="s">
        <v>741</v>
      </c>
      <c r="N383" s="29" t="s">
        <v>491</v>
      </c>
      <c r="O383" s="29" t="s">
        <v>141</v>
      </c>
      <c r="P383" s="30" t="s">
        <v>763</v>
      </c>
    </row>
    <row r="384" s="25" customFormat="1" spans="1:16">
      <c r="A384" s="29" t="s">
        <v>762</v>
      </c>
      <c r="B384" s="29" t="s">
        <v>739</v>
      </c>
      <c r="C384" s="29" t="s">
        <v>35</v>
      </c>
      <c r="D384" s="29" t="s">
        <v>48</v>
      </c>
      <c r="E384" s="29" t="s">
        <v>47</v>
      </c>
      <c r="F384" s="29" t="s">
        <v>51</v>
      </c>
      <c r="G384" s="29" t="s">
        <v>241</v>
      </c>
      <c r="H384" s="29" t="s">
        <v>242</v>
      </c>
      <c r="I384" s="29" t="s">
        <v>204</v>
      </c>
      <c r="J384" s="29" t="s">
        <v>635</v>
      </c>
      <c r="K384" s="29" t="s">
        <v>764</v>
      </c>
      <c r="L384" s="29" t="s">
        <v>637</v>
      </c>
      <c r="M384" s="29" t="s">
        <v>741</v>
      </c>
      <c r="N384" s="29" t="s">
        <v>491</v>
      </c>
      <c r="O384" s="29" t="s">
        <v>141</v>
      </c>
      <c r="P384" s="30" t="s">
        <v>765</v>
      </c>
    </row>
    <row r="385" s="25" customFormat="1" spans="1:16">
      <c r="A385" s="29" t="s">
        <v>764</v>
      </c>
      <c r="B385" s="29" t="s">
        <v>739</v>
      </c>
      <c r="C385" s="29" t="s">
        <v>35</v>
      </c>
      <c r="D385" s="29" t="s">
        <v>48</v>
      </c>
      <c r="E385" s="29" t="s">
        <v>47</v>
      </c>
      <c r="F385" s="29" t="s">
        <v>51</v>
      </c>
      <c r="G385" s="29" t="s">
        <v>241</v>
      </c>
      <c r="H385" s="29" t="s">
        <v>242</v>
      </c>
      <c r="I385" s="29" t="s">
        <v>204</v>
      </c>
      <c r="J385" s="29" t="s">
        <v>639</v>
      </c>
      <c r="K385" s="29" t="s">
        <v>766</v>
      </c>
      <c r="L385" s="29" t="s">
        <v>641</v>
      </c>
      <c r="M385" s="29" t="s">
        <v>741</v>
      </c>
      <c r="N385" s="29" t="s">
        <v>491</v>
      </c>
      <c r="O385" s="29" t="s">
        <v>141</v>
      </c>
      <c r="P385" s="30" t="s">
        <v>767</v>
      </c>
    </row>
    <row r="386" s="25" customFormat="1" spans="1:16">
      <c r="A386" s="29" t="s">
        <v>766</v>
      </c>
      <c r="B386" s="29" t="s">
        <v>739</v>
      </c>
      <c r="C386" s="29" t="s">
        <v>35</v>
      </c>
      <c r="D386" s="29" t="s">
        <v>48</v>
      </c>
      <c r="E386" s="29" t="s">
        <v>47</v>
      </c>
      <c r="F386" s="29" t="s">
        <v>51</v>
      </c>
      <c r="G386" s="29" t="s">
        <v>241</v>
      </c>
      <c r="H386" s="29" t="s">
        <v>242</v>
      </c>
      <c r="I386" s="29" t="s">
        <v>204</v>
      </c>
      <c r="J386" s="29" t="s">
        <v>643</v>
      </c>
      <c r="K386" s="29" t="s">
        <v>768</v>
      </c>
      <c r="L386" s="29" t="s">
        <v>645</v>
      </c>
      <c r="M386" s="29" t="s">
        <v>741</v>
      </c>
      <c r="N386" s="29" t="s">
        <v>491</v>
      </c>
      <c r="O386" s="29" t="s">
        <v>141</v>
      </c>
      <c r="P386" s="30" t="s">
        <v>769</v>
      </c>
    </row>
    <row r="387" s="25" customFormat="1" spans="1:16">
      <c r="A387" s="29" t="s">
        <v>768</v>
      </c>
      <c r="B387" s="29" t="s">
        <v>739</v>
      </c>
      <c r="C387" s="29" t="s">
        <v>35</v>
      </c>
      <c r="D387" s="29" t="s">
        <v>48</v>
      </c>
      <c r="E387" s="29" t="s">
        <v>47</v>
      </c>
      <c r="F387" s="29" t="s">
        <v>51</v>
      </c>
      <c r="G387" s="29" t="s">
        <v>241</v>
      </c>
      <c r="H387" s="29" t="s">
        <v>242</v>
      </c>
      <c r="I387" s="29" t="s">
        <v>204</v>
      </c>
      <c r="J387" s="29" t="s">
        <v>647</v>
      </c>
      <c r="K387" s="29" t="s">
        <v>39</v>
      </c>
      <c r="L387" s="29" t="s">
        <v>39</v>
      </c>
      <c r="M387" s="29" t="s">
        <v>39</v>
      </c>
      <c r="N387" s="29" t="s">
        <v>491</v>
      </c>
      <c r="O387" s="29" t="s">
        <v>141</v>
      </c>
      <c r="P387" s="30" t="s">
        <v>770</v>
      </c>
    </row>
    <row r="388" s="25" customFormat="1" spans="1:16">
      <c r="A388" s="29" t="s">
        <v>771</v>
      </c>
      <c r="B388" s="29" t="s">
        <v>771</v>
      </c>
      <c r="C388" s="29" t="s">
        <v>35</v>
      </c>
      <c r="D388" s="29" t="s">
        <v>48</v>
      </c>
      <c r="E388" s="29" t="s">
        <v>47</v>
      </c>
      <c r="F388" s="29" t="s">
        <v>51</v>
      </c>
      <c r="G388" s="29" t="s">
        <v>268</v>
      </c>
      <c r="H388" s="29" t="s">
        <v>269</v>
      </c>
      <c r="I388" s="29" t="s">
        <v>204</v>
      </c>
      <c r="J388" s="29" t="s">
        <v>39</v>
      </c>
      <c r="K388" s="29" t="s">
        <v>772</v>
      </c>
      <c r="L388" s="29" t="s">
        <v>206</v>
      </c>
      <c r="M388" s="29" t="s">
        <v>773</v>
      </c>
      <c r="N388" s="29" t="s">
        <v>503</v>
      </c>
      <c r="O388" s="29" t="s">
        <v>145</v>
      </c>
      <c r="P388" s="30" t="s">
        <v>273</v>
      </c>
    </row>
    <row r="389" s="25" customFormat="1" spans="1:16">
      <c r="A389" s="29" t="s">
        <v>772</v>
      </c>
      <c r="B389" s="29" t="s">
        <v>771</v>
      </c>
      <c r="C389" s="29" t="s">
        <v>35</v>
      </c>
      <c r="D389" s="29" t="s">
        <v>48</v>
      </c>
      <c r="E389" s="29" t="s">
        <v>47</v>
      </c>
      <c r="F389" s="29" t="s">
        <v>51</v>
      </c>
      <c r="G389" s="29" t="s">
        <v>268</v>
      </c>
      <c r="H389" s="29" t="s">
        <v>269</v>
      </c>
      <c r="I389" s="29" t="s">
        <v>204</v>
      </c>
      <c r="J389" s="29" t="s">
        <v>35</v>
      </c>
      <c r="K389" s="29" t="s">
        <v>774</v>
      </c>
      <c r="L389" s="29" t="s">
        <v>211</v>
      </c>
      <c r="M389" s="29" t="s">
        <v>773</v>
      </c>
      <c r="N389" s="29" t="s">
        <v>505</v>
      </c>
      <c r="O389" s="29" t="s">
        <v>145</v>
      </c>
      <c r="P389" s="30" t="s">
        <v>276</v>
      </c>
    </row>
    <row r="390" s="25" customFormat="1" spans="1:16">
      <c r="A390" s="29" t="s">
        <v>774</v>
      </c>
      <c r="B390" s="29" t="s">
        <v>771</v>
      </c>
      <c r="C390" s="29" t="s">
        <v>35</v>
      </c>
      <c r="D390" s="29" t="s">
        <v>48</v>
      </c>
      <c r="E390" s="29" t="s">
        <v>47</v>
      </c>
      <c r="F390" s="29" t="s">
        <v>51</v>
      </c>
      <c r="G390" s="29" t="s">
        <v>268</v>
      </c>
      <c r="H390" s="29" t="s">
        <v>269</v>
      </c>
      <c r="I390" s="29" t="s">
        <v>204</v>
      </c>
      <c r="J390" s="29" t="s">
        <v>47</v>
      </c>
      <c r="K390" s="29" t="s">
        <v>775</v>
      </c>
      <c r="L390" s="29" t="s">
        <v>215</v>
      </c>
      <c r="M390" s="29" t="s">
        <v>773</v>
      </c>
      <c r="N390" s="29" t="s">
        <v>505</v>
      </c>
      <c r="O390" s="29" t="s">
        <v>145</v>
      </c>
      <c r="P390" s="30" t="s">
        <v>278</v>
      </c>
    </row>
    <row r="391" s="25" customFormat="1" spans="1:16">
      <c r="A391" s="29" t="s">
        <v>775</v>
      </c>
      <c r="B391" s="29" t="s">
        <v>771</v>
      </c>
      <c r="C391" s="29" t="s">
        <v>35</v>
      </c>
      <c r="D391" s="29" t="s">
        <v>48</v>
      </c>
      <c r="E391" s="29" t="s">
        <v>47</v>
      </c>
      <c r="F391" s="29" t="s">
        <v>51</v>
      </c>
      <c r="G391" s="29" t="s">
        <v>268</v>
      </c>
      <c r="H391" s="29" t="s">
        <v>269</v>
      </c>
      <c r="I391" s="29" t="s">
        <v>204</v>
      </c>
      <c r="J391" s="29" t="s">
        <v>51</v>
      </c>
      <c r="K391" s="29" t="s">
        <v>776</v>
      </c>
      <c r="L391" s="29" t="s">
        <v>218</v>
      </c>
      <c r="M391" s="29" t="s">
        <v>773</v>
      </c>
      <c r="N391" s="29" t="s">
        <v>505</v>
      </c>
      <c r="O391" s="29" t="s">
        <v>145</v>
      </c>
      <c r="P391" s="30" t="s">
        <v>280</v>
      </c>
    </row>
    <row r="392" s="25" customFormat="1" spans="1:16">
      <c r="A392" s="29" t="s">
        <v>776</v>
      </c>
      <c r="B392" s="29" t="s">
        <v>771</v>
      </c>
      <c r="C392" s="29" t="s">
        <v>35</v>
      </c>
      <c r="D392" s="29" t="s">
        <v>48</v>
      </c>
      <c r="E392" s="29" t="s">
        <v>47</v>
      </c>
      <c r="F392" s="29" t="s">
        <v>51</v>
      </c>
      <c r="G392" s="29" t="s">
        <v>268</v>
      </c>
      <c r="H392" s="29" t="s">
        <v>269</v>
      </c>
      <c r="I392" s="29" t="s">
        <v>204</v>
      </c>
      <c r="J392" s="29" t="s">
        <v>55</v>
      </c>
      <c r="K392" s="29" t="s">
        <v>777</v>
      </c>
      <c r="L392" s="29" t="s">
        <v>221</v>
      </c>
      <c r="M392" s="29" t="s">
        <v>773</v>
      </c>
      <c r="N392" s="29" t="s">
        <v>505</v>
      </c>
      <c r="O392" s="29" t="s">
        <v>145</v>
      </c>
      <c r="P392" s="30" t="s">
        <v>282</v>
      </c>
    </row>
    <row r="393" s="25" customFormat="1" spans="1:16">
      <c r="A393" s="29" t="s">
        <v>777</v>
      </c>
      <c r="B393" s="29" t="s">
        <v>771</v>
      </c>
      <c r="C393" s="29" t="s">
        <v>35</v>
      </c>
      <c r="D393" s="29" t="s">
        <v>48</v>
      </c>
      <c r="E393" s="29" t="s">
        <v>47</v>
      </c>
      <c r="F393" s="29" t="s">
        <v>51</v>
      </c>
      <c r="G393" s="29" t="s">
        <v>268</v>
      </c>
      <c r="H393" s="29" t="s">
        <v>269</v>
      </c>
      <c r="I393" s="29" t="s">
        <v>204</v>
      </c>
      <c r="J393" s="29" t="s">
        <v>59</v>
      </c>
      <c r="K393" s="29" t="s">
        <v>778</v>
      </c>
      <c r="L393" s="29" t="s">
        <v>224</v>
      </c>
      <c r="M393" s="29" t="s">
        <v>773</v>
      </c>
      <c r="N393" s="29" t="s">
        <v>505</v>
      </c>
      <c r="O393" s="29" t="s">
        <v>145</v>
      </c>
      <c r="P393" s="30" t="s">
        <v>284</v>
      </c>
    </row>
    <row r="394" s="25" customFormat="1" spans="1:16">
      <c r="A394" s="29" t="s">
        <v>778</v>
      </c>
      <c r="B394" s="29" t="s">
        <v>771</v>
      </c>
      <c r="C394" s="29" t="s">
        <v>35</v>
      </c>
      <c r="D394" s="29" t="s">
        <v>48</v>
      </c>
      <c r="E394" s="29" t="s">
        <v>47</v>
      </c>
      <c r="F394" s="29" t="s">
        <v>51</v>
      </c>
      <c r="G394" s="29" t="s">
        <v>268</v>
      </c>
      <c r="H394" s="29" t="s">
        <v>269</v>
      </c>
      <c r="I394" s="29" t="s">
        <v>204</v>
      </c>
      <c r="J394" s="29" t="s">
        <v>129</v>
      </c>
      <c r="K394" s="29" t="s">
        <v>779</v>
      </c>
      <c r="L394" s="29" t="s">
        <v>227</v>
      </c>
      <c r="M394" s="29" t="s">
        <v>773</v>
      </c>
      <c r="N394" s="29" t="s">
        <v>505</v>
      </c>
      <c r="O394" s="29" t="s">
        <v>145</v>
      </c>
      <c r="P394" s="30" t="s">
        <v>286</v>
      </c>
    </row>
    <row r="395" s="25" customFormat="1" spans="1:16">
      <c r="A395" s="29" t="s">
        <v>779</v>
      </c>
      <c r="B395" s="29" t="s">
        <v>771</v>
      </c>
      <c r="C395" s="29" t="s">
        <v>35</v>
      </c>
      <c r="D395" s="29" t="s">
        <v>48</v>
      </c>
      <c r="E395" s="29" t="s">
        <v>47</v>
      </c>
      <c r="F395" s="29" t="s">
        <v>51</v>
      </c>
      <c r="G395" s="29" t="s">
        <v>268</v>
      </c>
      <c r="H395" s="29" t="s">
        <v>269</v>
      </c>
      <c r="I395" s="29" t="s">
        <v>204</v>
      </c>
      <c r="J395" s="29" t="s">
        <v>133</v>
      </c>
      <c r="K395" s="29" t="s">
        <v>780</v>
      </c>
      <c r="L395" s="29" t="s">
        <v>230</v>
      </c>
      <c r="M395" s="29" t="s">
        <v>773</v>
      </c>
      <c r="N395" s="29" t="s">
        <v>505</v>
      </c>
      <c r="O395" s="29" t="s">
        <v>145</v>
      </c>
      <c r="P395" s="30" t="s">
        <v>288</v>
      </c>
    </row>
    <row r="396" s="25" customFormat="1" spans="1:16">
      <c r="A396" s="29" t="s">
        <v>780</v>
      </c>
      <c r="B396" s="29" t="s">
        <v>771</v>
      </c>
      <c r="C396" s="29" t="s">
        <v>35</v>
      </c>
      <c r="D396" s="29" t="s">
        <v>48</v>
      </c>
      <c r="E396" s="29" t="s">
        <v>47</v>
      </c>
      <c r="F396" s="29" t="s">
        <v>51</v>
      </c>
      <c r="G396" s="29" t="s">
        <v>268</v>
      </c>
      <c r="H396" s="29" t="s">
        <v>269</v>
      </c>
      <c r="I396" s="29" t="s">
        <v>204</v>
      </c>
      <c r="J396" s="29" t="s">
        <v>137</v>
      </c>
      <c r="K396" s="29" t="s">
        <v>781</v>
      </c>
      <c r="L396" s="29" t="s">
        <v>233</v>
      </c>
      <c r="M396" s="29" t="s">
        <v>773</v>
      </c>
      <c r="N396" s="29" t="s">
        <v>505</v>
      </c>
      <c r="O396" s="29" t="s">
        <v>145</v>
      </c>
      <c r="P396" s="30" t="s">
        <v>290</v>
      </c>
    </row>
    <row r="397" s="25" customFormat="1" spans="1:16">
      <c r="A397" s="29" t="s">
        <v>781</v>
      </c>
      <c r="B397" s="29" t="s">
        <v>771</v>
      </c>
      <c r="C397" s="29" t="s">
        <v>35</v>
      </c>
      <c r="D397" s="29" t="s">
        <v>48</v>
      </c>
      <c r="E397" s="29" t="s">
        <v>47</v>
      </c>
      <c r="F397" s="29" t="s">
        <v>51</v>
      </c>
      <c r="G397" s="29" t="s">
        <v>268</v>
      </c>
      <c r="H397" s="29" t="s">
        <v>269</v>
      </c>
      <c r="I397" s="29" t="s">
        <v>204</v>
      </c>
      <c r="J397" s="29" t="s">
        <v>141</v>
      </c>
      <c r="K397" s="29" t="s">
        <v>782</v>
      </c>
      <c r="L397" s="29" t="s">
        <v>236</v>
      </c>
      <c r="M397" s="29" t="s">
        <v>773</v>
      </c>
      <c r="N397" s="29" t="s">
        <v>505</v>
      </c>
      <c r="O397" s="29" t="s">
        <v>145</v>
      </c>
      <c r="P397" s="30" t="s">
        <v>292</v>
      </c>
    </row>
    <row r="398" s="25" customFormat="1" spans="1:16">
      <c r="A398" s="29" t="s">
        <v>782</v>
      </c>
      <c r="B398" s="29" t="s">
        <v>771</v>
      </c>
      <c r="C398" s="29" t="s">
        <v>35</v>
      </c>
      <c r="D398" s="29" t="s">
        <v>48</v>
      </c>
      <c r="E398" s="29" t="s">
        <v>47</v>
      </c>
      <c r="F398" s="29" t="s">
        <v>51</v>
      </c>
      <c r="G398" s="29" t="s">
        <v>268</v>
      </c>
      <c r="H398" s="29" t="s">
        <v>269</v>
      </c>
      <c r="I398" s="29" t="s">
        <v>204</v>
      </c>
      <c r="J398" s="29" t="s">
        <v>145</v>
      </c>
      <c r="K398" s="29" t="s">
        <v>783</v>
      </c>
      <c r="L398" s="29" t="s">
        <v>238</v>
      </c>
      <c r="M398" s="29" t="s">
        <v>773</v>
      </c>
      <c r="N398" s="29" t="s">
        <v>505</v>
      </c>
      <c r="O398" s="29" t="s">
        <v>145</v>
      </c>
      <c r="P398" s="30" t="s">
        <v>293</v>
      </c>
    </row>
    <row r="399" s="25" customFormat="1" spans="1:16">
      <c r="A399" s="29" t="s">
        <v>783</v>
      </c>
      <c r="B399" s="29" t="s">
        <v>771</v>
      </c>
      <c r="C399" s="29" t="s">
        <v>35</v>
      </c>
      <c r="D399" s="29" t="s">
        <v>48</v>
      </c>
      <c r="E399" s="29" t="s">
        <v>47</v>
      </c>
      <c r="F399" s="29" t="s">
        <v>51</v>
      </c>
      <c r="G399" s="29" t="s">
        <v>268</v>
      </c>
      <c r="H399" s="29" t="s">
        <v>269</v>
      </c>
      <c r="I399" s="29" t="s">
        <v>204</v>
      </c>
      <c r="J399" s="29" t="s">
        <v>408</v>
      </c>
      <c r="K399" s="29" t="s">
        <v>784</v>
      </c>
      <c r="L399" s="29" t="s">
        <v>529</v>
      </c>
      <c r="M399" s="29" t="s">
        <v>773</v>
      </c>
      <c r="N399" s="29" t="s">
        <v>505</v>
      </c>
      <c r="O399" s="29" t="s">
        <v>145</v>
      </c>
      <c r="P399" s="30" t="s">
        <v>785</v>
      </c>
    </row>
    <row r="400" s="25" customFormat="1" spans="1:16">
      <c r="A400" s="29" t="s">
        <v>784</v>
      </c>
      <c r="B400" s="29" t="s">
        <v>771</v>
      </c>
      <c r="C400" s="29" t="s">
        <v>35</v>
      </c>
      <c r="D400" s="29" t="s">
        <v>48</v>
      </c>
      <c r="E400" s="29" t="s">
        <v>47</v>
      </c>
      <c r="F400" s="29" t="s">
        <v>51</v>
      </c>
      <c r="G400" s="29" t="s">
        <v>268</v>
      </c>
      <c r="H400" s="29" t="s">
        <v>269</v>
      </c>
      <c r="I400" s="29" t="s">
        <v>204</v>
      </c>
      <c r="J400" s="29" t="s">
        <v>412</v>
      </c>
      <c r="K400" s="29" t="s">
        <v>786</v>
      </c>
      <c r="L400" s="29" t="s">
        <v>532</v>
      </c>
      <c r="M400" s="29" t="s">
        <v>773</v>
      </c>
      <c r="N400" s="29" t="s">
        <v>505</v>
      </c>
      <c r="O400" s="29" t="s">
        <v>145</v>
      </c>
      <c r="P400" s="30" t="s">
        <v>787</v>
      </c>
    </row>
    <row r="401" s="25" customFormat="1" spans="1:16">
      <c r="A401" s="29" t="s">
        <v>786</v>
      </c>
      <c r="B401" s="29" t="s">
        <v>771</v>
      </c>
      <c r="C401" s="29" t="s">
        <v>35</v>
      </c>
      <c r="D401" s="29" t="s">
        <v>48</v>
      </c>
      <c r="E401" s="29" t="s">
        <v>47</v>
      </c>
      <c r="F401" s="29" t="s">
        <v>51</v>
      </c>
      <c r="G401" s="29" t="s">
        <v>268</v>
      </c>
      <c r="H401" s="29" t="s">
        <v>269</v>
      </c>
      <c r="I401" s="29" t="s">
        <v>204</v>
      </c>
      <c r="J401" s="29" t="s">
        <v>416</v>
      </c>
      <c r="K401" s="29" t="s">
        <v>788</v>
      </c>
      <c r="L401" s="29" t="s">
        <v>561</v>
      </c>
      <c r="M401" s="29" t="s">
        <v>773</v>
      </c>
      <c r="N401" s="29" t="s">
        <v>505</v>
      </c>
      <c r="O401" s="29" t="s">
        <v>145</v>
      </c>
      <c r="P401" s="30" t="s">
        <v>789</v>
      </c>
    </row>
    <row r="402" s="25" customFormat="1" spans="1:16">
      <c r="A402" s="29" t="s">
        <v>788</v>
      </c>
      <c r="B402" s="29" t="s">
        <v>771</v>
      </c>
      <c r="C402" s="29" t="s">
        <v>35</v>
      </c>
      <c r="D402" s="29" t="s">
        <v>48</v>
      </c>
      <c r="E402" s="29" t="s">
        <v>47</v>
      </c>
      <c r="F402" s="29" t="s">
        <v>51</v>
      </c>
      <c r="G402" s="29" t="s">
        <v>268</v>
      </c>
      <c r="H402" s="29" t="s">
        <v>269</v>
      </c>
      <c r="I402" s="29" t="s">
        <v>204</v>
      </c>
      <c r="J402" s="29" t="s">
        <v>420</v>
      </c>
      <c r="K402" s="29" t="s">
        <v>790</v>
      </c>
      <c r="L402" s="29" t="s">
        <v>564</v>
      </c>
      <c r="M402" s="29" t="s">
        <v>773</v>
      </c>
      <c r="N402" s="29" t="s">
        <v>505</v>
      </c>
      <c r="O402" s="29" t="s">
        <v>145</v>
      </c>
      <c r="P402" s="30" t="s">
        <v>791</v>
      </c>
    </row>
    <row r="403" s="25" customFormat="1" spans="1:16">
      <c r="A403" s="29" t="s">
        <v>790</v>
      </c>
      <c r="B403" s="29" t="s">
        <v>771</v>
      </c>
      <c r="C403" s="29" t="s">
        <v>35</v>
      </c>
      <c r="D403" s="29" t="s">
        <v>48</v>
      </c>
      <c r="E403" s="29" t="s">
        <v>47</v>
      </c>
      <c r="F403" s="29" t="s">
        <v>51</v>
      </c>
      <c r="G403" s="29" t="s">
        <v>268</v>
      </c>
      <c r="H403" s="29" t="s">
        <v>269</v>
      </c>
      <c r="I403" s="29" t="s">
        <v>204</v>
      </c>
      <c r="J403" s="29" t="s">
        <v>424</v>
      </c>
      <c r="K403" s="29" t="s">
        <v>792</v>
      </c>
      <c r="L403" s="29" t="s">
        <v>630</v>
      </c>
      <c r="M403" s="29" t="s">
        <v>773</v>
      </c>
      <c r="N403" s="29" t="s">
        <v>505</v>
      </c>
      <c r="O403" s="29" t="s">
        <v>145</v>
      </c>
      <c r="P403" s="30" t="s">
        <v>793</v>
      </c>
    </row>
    <row r="404" s="25" customFormat="1" spans="1:16">
      <c r="A404" s="29" t="s">
        <v>792</v>
      </c>
      <c r="B404" s="29" t="s">
        <v>771</v>
      </c>
      <c r="C404" s="29" t="s">
        <v>35</v>
      </c>
      <c r="D404" s="29" t="s">
        <v>48</v>
      </c>
      <c r="E404" s="29" t="s">
        <v>47</v>
      </c>
      <c r="F404" s="29" t="s">
        <v>51</v>
      </c>
      <c r="G404" s="29" t="s">
        <v>268</v>
      </c>
      <c r="H404" s="29" t="s">
        <v>269</v>
      </c>
      <c r="I404" s="29" t="s">
        <v>204</v>
      </c>
      <c r="J404" s="29" t="s">
        <v>631</v>
      </c>
      <c r="K404" s="29" t="s">
        <v>794</v>
      </c>
      <c r="L404" s="29" t="s">
        <v>633</v>
      </c>
      <c r="M404" s="29" t="s">
        <v>773</v>
      </c>
      <c r="N404" s="29" t="s">
        <v>505</v>
      </c>
      <c r="O404" s="29" t="s">
        <v>145</v>
      </c>
      <c r="P404" s="30" t="s">
        <v>795</v>
      </c>
    </row>
    <row r="405" s="25" customFormat="1" spans="1:16">
      <c r="A405" s="29" t="s">
        <v>794</v>
      </c>
      <c r="B405" s="29" t="s">
        <v>771</v>
      </c>
      <c r="C405" s="29" t="s">
        <v>35</v>
      </c>
      <c r="D405" s="29" t="s">
        <v>48</v>
      </c>
      <c r="E405" s="29" t="s">
        <v>47</v>
      </c>
      <c r="F405" s="29" t="s">
        <v>51</v>
      </c>
      <c r="G405" s="29" t="s">
        <v>268</v>
      </c>
      <c r="H405" s="29" t="s">
        <v>269</v>
      </c>
      <c r="I405" s="29" t="s">
        <v>204</v>
      </c>
      <c r="J405" s="29" t="s">
        <v>635</v>
      </c>
      <c r="K405" s="29" t="s">
        <v>796</v>
      </c>
      <c r="L405" s="29" t="s">
        <v>637</v>
      </c>
      <c r="M405" s="29" t="s">
        <v>773</v>
      </c>
      <c r="N405" s="29" t="s">
        <v>505</v>
      </c>
      <c r="O405" s="29" t="s">
        <v>145</v>
      </c>
      <c r="P405" s="30" t="s">
        <v>797</v>
      </c>
    </row>
    <row r="406" s="25" customFormat="1" spans="1:16">
      <c r="A406" s="29" t="s">
        <v>796</v>
      </c>
      <c r="B406" s="29" t="s">
        <v>771</v>
      </c>
      <c r="C406" s="29" t="s">
        <v>35</v>
      </c>
      <c r="D406" s="29" t="s">
        <v>48</v>
      </c>
      <c r="E406" s="29" t="s">
        <v>47</v>
      </c>
      <c r="F406" s="29" t="s">
        <v>51</v>
      </c>
      <c r="G406" s="29" t="s">
        <v>268</v>
      </c>
      <c r="H406" s="29" t="s">
        <v>269</v>
      </c>
      <c r="I406" s="29" t="s">
        <v>204</v>
      </c>
      <c r="J406" s="29" t="s">
        <v>639</v>
      </c>
      <c r="K406" s="29" t="s">
        <v>798</v>
      </c>
      <c r="L406" s="29" t="s">
        <v>641</v>
      </c>
      <c r="M406" s="29" t="s">
        <v>773</v>
      </c>
      <c r="N406" s="29" t="s">
        <v>505</v>
      </c>
      <c r="O406" s="29" t="s">
        <v>145</v>
      </c>
      <c r="P406" s="30" t="s">
        <v>799</v>
      </c>
    </row>
    <row r="407" s="25" customFormat="1" spans="1:16">
      <c r="A407" s="29" t="s">
        <v>798</v>
      </c>
      <c r="B407" s="29" t="s">
        <v>771</v>
      </c>
      <c r="C407" s="29" t="s">
        <v>35</v>
      </c>
      <c r="D407" s="29" t="s">
        <v>48</v>
      </c>
      <c r="E407" s="29" t="s">
        <v>47</v>
      </c>
      <c r="F407" s="29" t="s">
        <v>51</v>
      </c>
      <c r="G407" s="29" t="s">
        <v>268</v>
      </c>
      <c r="H407" s="29" t="s">
        <v>269</v>
      </c>
      <c r="I407" s="29" t="s">
        <v>204</v>
      </c>
      <c r="J407" s="29" t="s">
        <v>643</v>
      </c>
      <c r="K407" s="29" t="s">
        <v>800</v>
      </c>
      <c r="L407" s="29" t="s">
        <v>645</v>
      </c>
      <c r="M407" s="29" t="s">
        <v>773</v>
      </c>
      <c r="N407" s="29" t="s">
        <v>505</v>
      </c>
      <c r="O407" s="29" t="s">
        <v>145</v>
      </c>
      <c r="P407" s="30" t="s">
        <v>801</v>
      </c>
    </row>
    <row r="408" s="25" customFormat="1" spans="1:16">
      <c r="A408" s="29" t="s">
        <v>800</v>
      </c>
      <c r="B408" s="29" t="s">
        <v>771</v>
      </c>
      <c r="C408" s="29" t="s">
        <v>35</v>
      </c>
      <c r="D408" s="29" t="s">
        <v>48</v>
      </c>
      <c r="E408" s="29" t="s">
        <v>47</v>
      </c>
      <c r="F408" s="29" t="s">
        <v>51</v>
      </c>
      <c r="G408" s="29" t="s">
        <v>268</v>
      </c>
      <c r="H408" s="29" t="s">
        <v>269</v>
      </c>
      <c r="I408" s="29" t="s">
        <v>204</v>
      </c>
      <c r="J408" s="29" t="s">
        <v>647</v>
      </c>
      <c r="K408" s="29" t="s">
        <v>39</v>
      </c>
      <c r="L408" s="29" t="s">
        <v>39</v>
      </c>
      <c r="M408" s="29" t="s">
        <v>39</v>
      </c>
      <c r="N408" s="29" t="s">
        <v>505</v>
      </c>
      <c r="O408" s="29" t="s">
        <v>145</v>
      </c>
      <c r="P408" s="30" t="s">
        <v>802</v>
      </c>
    </row>
    <row r="409" s="25" customFormat="1" spans="1:16">
      <c r="A409" s="29" t="s">
        <v>803</v>
      </c>
      <c r="B409" s="29" t="s">
        <v>803</v>
      </c>
      <c r="C409" s="29" t="s">
        <v>47</v>
      </c>
      <c r="D409" s="29" t="s">
        <v>804</v>
      </c>
      <c r="E409" s="29" t="s">
        <v>35</v>
      </c>
      <c r="F409" s="29" t="s">
        <v>35</v>
      </c>
      <c r="G409" s="29" t="s">
        <v>37</v>
      </c>
      <c r="H409" s="29" t="s">
        <v>38</v>
      </c>
      <c r="I409" s="29" t="s">
        <v>39</v>
      </c>
      <c r="J409" s="29" t="s">
        <v>39</v>
      </c>
      <c r="K409" s="29" t="s">
        <v>804</v>
      </c>
      <c r="L409" s="29" t="s">
        <v>805</v>
      </c>
      <c r="M409" s="29" t="s">
        <v>39</v>
      </c>
      <c r="N409" s="29" t="s">
        <v>806</v>
      </c>
      <c r="O409" s="29" t="s">
        <v>35</v>
      </c>
      <c r="P409" s="30" t="s">
        <v>807</v>
      </c>
    </row>
    <row r="410" s="25" customFormat="1" spans="1:16">
      <c r="A410" s="29" t="s">
        <v>804</v>
      </c>
      <c r="B410" s="29" t="s">
        <v>803</v>
      </c>
      <c r="C410" s="29" t="s">
        <v>47</v>
      </c>
      <c r="D410" s="29" t="s">
        <v>804</v>
      </c>
      <c r="E410" s="29" t="s">
        <v>35</v>
      </c>
      <c r="F410" s="29" t="s">
        <v>35</v>
      </c>
      <c r="G410" s="29" t="s">
        <v>37</v>
      </c>
      <c r="H410" s="29" t="s">
        <v>38</v>
      </c>
      <c r="I410" s="29" t="s">
        <v>39</v>
      </c>
      <c r="J410" s="29" t="s">
        <v>35</v>
      </c>
      <c r="K410" s="29" t="s">
        <v>808</v>
      </c>
      <c r="L410" s="29" t="s">
        <v>809</v>
      </c>
      <c r="M410" s="29" t="s">
        <v>39</v>
      </c>
      <c r="N410" s="29" t="s">
        <v>810</v>
      </c>
      <c r="O410" s="29" t="s">
        <v>35</v>
      </c>
      <c r="P410" s="30" t="s">
        <v>811</v>
      </c>
    </row>
    <row r="411" s="25" customFormat="1" spans="1:16">
      <c r="A411" s="29" t="s">
        <v>808</v>
      </c>
      <c r="B411" s="29" t="s">
        <v>803</v>
      </c>
      <c r="C411" s="29" t="s">
        <v>47</v>
      </c>
      <c r="D411" s="29" t="s">
        <v>804</v>
      </c>
      <c r="E411" s="29" t="s">
        <v>35</v>
      </c>
      <c r="F411" s="29" t="s">
        <v>35</v>
      </c>
      <c r="G411" s="29" t="s">
        <v>37</v>
      </c>
      <c r="H411" s="29" t="s">
        <v>38</v>
      </c>
      <c r="I411" s="29" t="s">
        <v>39</v>
      </c>
      <c r="J411" s="29" t="s">
        <v>47</v>
      </c>
      <c r="K411" s="29" t="s">
        <v>812</v>
      </c>
      <c r="L411" s="29" t="s">
        <v>813</v>
      </c>
      <c r="M411" s="29" t="s">
        <v>39</v>
      </c>
      <c r="N411" s="29" t="s">
        <v>810</v>
      </c>
      <c r="O411" s="29" t="s">
        <v>35</v>
      </c>
      <c r="P411" s="30" t="s">
        <v>814</v>
      </c>
    </row>
    <row r="412" s="25" customFormat="1" spans="1:16">
      <c r="A412" s="29" t="s">
        <v>812</v>
      </c>
      <c r="B412" s="29" t="s">
        <v>803</v>
      </c>
      <c r="C412" s="29" t="s">
        <v>47</v>
      </c>
      <c r="D412" s="29" t="s">
        <v>804</v>
      </c>
      <c r="E412" s="29" t="s">
        <v>35</v>
      </c>
      <c r="F412" s="29" t="s">
        <v>35</v>
      </c>
      <c r="G412" s="29" t="s">
        <v>37</v>
      </c>
      <c r="H412" s="29" t="s">
        <v>38</v>
      </c>
      <c r="I412" s="29" t="s">
        <v>39</v>
      </c>
      <c r="J412" s="29" t="s">
        <v>51</v>
      </c>
      <c r="K412" s="29" t="s">
        <v>815</v>
      </c>
      <c r="L412" s="29" t="s">
        <v>816</v>
      </c>
      <c r="M412" s="29" t="s">
        <v>39</v>
      </c>
      <c r="N412" s="29" t="s">
        <v>810</v>
      </c>
      <c r="O412" s="29" t="s">
        <v>35</v>
      </c>
      <c r="P412" s="30" t="s">
        <v>817</v>
      </c>
    </row>
    <row r="413" s="25" customFormat="1" spans="1:16">
      <c r="A413" s="29" t="s">
        <v>815</v>
      </c>
      <c r="B413" s="29" t="s">
        <v>803</v>
      </c>
      <c r="C413" s="29" t="s">
        <v>47</v>
      </c>
      <c r="D413" s="29" t="s">
        <v>804</v>
      </c>
      <c r="E413" s="29" t="s">
        <v>35</v>
      </c>
      <c r="F413" s="29" t="s">
        <v>35</v>
      </c>
      <c r="G413" s="29" t="s">
        <v>37</v>
      </c>
      <c r="H413" s="29" t="s">
        <v>38</v>
      </c>
      <c r="I413" s="29" t="s">
        <v>39</v>
      </c>
      <c r="J413" s="29" t="s">
        <v>55</v>
      </c>
      <c r="K413" s="29" t="s">
        <v>818</v>
      </c>
      <c r="L413" s="29" t="s">
        <v>819</v>
      </c>
      <c r="M413" s="29" t="s">
        <v>39</v>
      </c>
      <c r="N413" s="29" t="s">
        <v>810</v>
      </c>
      <c r="O413" s="29" t="s">
        <v>35</v>
      </c>
      <c r="P413" s="30" t="s">
        <v>820</v>
      </c>
    </row>
    <row r="414" s="25" customFormat="1" spans="1:16">
      <c r="A414" s="29" t="s">
        <v>818</v>
      </c>
      <c r="B414" s="29" t="s">
        <v>803</v>
      </c>
      <c r="C414" s="29" t="s">
        <v>47</v>
      </c>
      <c r="D414" s="29" t="s">
        <v>804</v>
      </c>
      <c r="E414" s="29" t="s">
        <v>35</v>
      </c>
      <c r="F414" s="29" t="s">
        <v>35</v>
      </c>
      <c r="G414" s="29" t="s">
        <v>37</v>
      </c>
      <c r="H414" s="29" t="s">
        <v>38</v>
      </c>
      <c r="I414" s="29" t="s">
        <v>39</v>
      </c>
      <c r="J414" s="29" t="s">
        <v>59</v>
      </c>
      <c r="K414" s="29" t="s">
        <v>39</v>
      </c>
      <c r="L414" s="29" t="s">
        <v>39</v>
      </c>
      <c r="M414" s="29" t="s">
        <v>39</v>
      </c>
      <c r="N414" s="29" t="s">
        <v>810</v>
      </c>
      <c r="O414" s="29" t="s">
        <v>35</v>
      </c>
      <c r="P414" s="30" t="s">
        <v>821</v>
      </c>
    </row>
    <row r="415" s="25" customFormat="1" spans="1:16">
      <c r="A415" s="29" t="s">
        <v>822</v>
      </c>
      <c r="B415" s="29" t="s">
        <v>822</v>
      </c>
      <c r="C415" s="29" t="s">
        <v>47</v>
      </c>
      <c r="D415" s="29" t="s">
        <v>804</v>
      </c>
      <c r="E415" s="29" t="s">
        <v>35</v>
      </c>
      <c r="F415" s="29" t="s">
        <v>35</v>
      </c>
      <c r="G415" s="29" t="s">
        <v>62</v>
      </c>
      <c r="H415" s="29" t="s">
        <v>63</v>
      </c>
      <c r="I415" s="29" t="s">
        <v>39</v>
      </c>
      <c r="J415" s="29" t="s">
        <v>39</v>
      </c>
      <c r="K415" s="29" t="s">
        <v>823</v>
      </c>
      <c r="L415" s="29" t="s">
        <v>805</v>
      </c>
      <c r="M415" s="29" t="s">
        <v>65</v>
      </c>
      <c r="N415" s="29" t="s">
        <v>824</v>
      </c>
      <c r="O415" s="29" t="s">
        <v>47</v>
      </c>
      <c r="P415" s="30" t="s">
        <v>825</v>
      </c>
    </row>
    <row r="416" s="25" customFormat="1" spans="1:16">
      <c r="A416" s="29" t="s">
        <v>823</v>
      </c>
      <c r="B416" s="29" t="s">
        <v>822</v>
      </c>
      <c r="C416" s="29" t="s">
        <v>47</v>
      </c>
      <c r="D416" s="29" t="s">
        <v>804</v>
      </c>
      <c r="E416" s="29" t="s">
        <v>35</v>
      </c>
      <c r="F416" s="29" t="s">
        <v>35</v>
      </c>
      <c r="G416" s="29" t="s">
        <v>62</v>
      </c>
      <c r="H416" s="29" t="s">
        <v>63</v>
      </c>
      <c r="I416" s="29" t="s">
        <v>39</v>
      </c>
      <c r="J416" s="29" t="s">
        <v>35</v>
      </c>
      <c r="K416" s="29" t="s">
        <v>826</v>
      </c>
      <c r="L416" s="29" t="s">
        <v>809</v>
      </c>
      <c r="M416" s="29" t="s">
        <v>65</v>
      </c>
      <c r="N416" s="29" t="s">
        <v>827</v>
      </c>
      <c r="O416" s="29" t="s">
        <v>47</v>
      </c>
      <c r="P416" s="30" t="s">
        <v>828</v>
      </c>
    </row>
    <row r="417" s="25" customFormat="1" spans="1:16">
      <c r="A417" s="29" t="s">
        <v>826</v>
      </c>
      <c r="B417" s="29" t="s">
        <v>822</v>
      </c>
      <c r="C417" s="29" t="s">
        <v>47</v>
      </c>
      <c r="D417" s="29" t="s">
        <v>804</v>
      </c>
      <c r="E417" s="29" t="s">
        <v>35</v>
      </c>
      <c r="F417" s="29" t="s">
        <v>35</v>
      </c>
      <c r="G417" s="29" t="s">
        <v>62</v>
      </c>
      <c r="H417" s="29" t="s">
        <v>63</v>
      </c>
      <c r="I417" s="29" t="s">
        <v>39</v>
      </c>
      <c r="J417" s="29" t="s">
        <v>47</v>
      </c>
      <c r="K417" s="29" t="s">
        <v>829</v>
      </c>
      <c r="L417" s="29" t="s">
        <v>813</v>
      </c>
      <c r="M417" s="29" t="s">
        <v>65</v>
      </c>
      <c r="N417" s="29" t="s">
        <v>827</v>
      </c>
      <c r="O417" s="29" t="s">
        <v>47</v>
      </c>
      <c r="P417" s="30" t="s">
        <v>830</v>
      </c>
    </row>
    <row r="418" s="25" customFormat="1" spans="1:16">
      <c r="A418" s="29" t="s">
        <v>829</v>
      </c>
      <c r="B418" s="29" t="s">
        <v>822</v>
      </c>
      <c r="C418" s="29" t="s">
        <v>47</v>
      </c>
      <c r="D418" s="29" t="s">
        <v>804</v>
      </c>
      <c r="E418" s="29" t="s">
        <v>35</v>
      </c>
      <c r="F418" s="29" t="s">
        <v>35</v>
      </c>
      <c r="G418" s="29" t="s">
        <v>62</v>
      </c>
      <c r="H418" s="29" t="s">
        <v>63</v>
      </c>
      <c r="I418" s="29" t="s">
        <v>39</v>
      </c>
      <c r="J418" s="29" t="s">
        <v>51</v>
      </c>
      <c r="K418" s="29" t="s">
        <v>831</v>
      </c>
      <c r="L418" s="29" t="s">
        <v>816</v>
      </c>
      <c r="M418" s="29" t="s">
        <v>65</v>
      </c>
      <c r="N418" s="29" t="s">
        <v>827</v>
      </c>
      <c r="O418" s="29" t="s">
        <v>47</v>
      </c>
      <c r="P418" s="30" t="s">
        <v>832</v>
      </c>
    </row>
    <row r="419" s="25" customFormat="1" spans="1:16">
      <c r="A419" s="29" t="s">
        <v>831</v>
      </c>
      <c r="B419" s="29" t="s">
        <v>822</v>
      </c>
      <c r="C419" s="29" t="s">
        <v>47</v>
      </c>
      <c r="D419" s="29" t="s">
        <v>804</v>
      </c>
      <c r="E419" s="29" t="s">
        <v>35</v>
      </c>
      <c r="F419" s="29" t="s">
        <v>35</v>
      </c>
      <c r="G419" s="29" t="s">
        <v>62</v>
      </c>
      <c r="H419" s="29" t="s">
        <v>63</v>
      </c>
      <c r="I419" s="29" t="s">
        <v>39</v>
      </c>
      <c r="J419" s="29" t="s">
        <v>55</v>
      </c>
      <c r="K419" s="29" t="s">
        <v>833</v>
      </c>
      <c r="L419" s="29" t="s">
        <v>819</v>
      </c>
      <c r="M419" s="29" t="s">
        <v>65</v>
      </c>
      <c r="N419" s="29" t="s">
        <v>827</v>
      </c>
      <c r="O419" s="29" t="s">
        <v>47</v>
      </c>
      <c r="P419" s="30" t="s">
        <v>834</v>
      </c>
    </row>
    <row r="420" s="25" customFormat="1" spans="1:16">
      <c r="A420" s="29" t="s">
        <v>833</v>
      </c>
      <c r="B420" s="29" t="s">
        <v>822</v>
      </c>
      <c r="C420" s="29" t="s">
        <v>47</v>
      </c>
      <c r="D420" s="29" t="s">
        <v>804</v>
      </c>
      <c r="E420" s="29" t="s">
        <v>35</v>
      </c>
      <c r="F420" s="29" t="s">
        <v>35</v>
      </c>
      <c r="G420" s="29" t="s">
        <v>62</v>
      </c>
      <c r="H420" s="29" t="s">
        <v>63</v>
      </c>
      <c r="I420" s="29" t="s">
        <v>39</v>
      </c>
      <c r="J420" s="29" t="s">
        <v>59</v>
      </c>
      <c r="K420" s="29" t="s">
        <v>39</v>
      </c>
      <c r="L420" s="29" t="s">
        <v>39</v>
      </c>
      <c r="M420" s="29" t="s">
        <v>39</v>
      </c>
      <c r="N420" s="29" t="s">
        <v>827</v>
      </c>
      <c r="O420" s="29" t="s">
        <v>47</v>
      </c>
      <c r="P420" s="30" t="s">
        <v>835</v>
      </c>
    </row>
    <row r="421" s="25" customFormat="1" spans="1:16">
      <c r="A421" s="29" t="s">
        <v>836</v>
      </c>
      <c r="B421" s="29" t="s">
        <v>836</v>
      </c>
      <c r="C421" s="29" t="s">
        <v>47</v>
      </c>
      <c r="D421" s="29" t="s">
        <v>804</v>
      </c>
      <c r="E421" s="29" t="s">
        <v>35</v>
      </c>
      <c r="F421" s="29" t="s">
        <v>35</v>
      </c>
      <c r="G421" s="29" t="s">
        <v>79</v>
      </c>
      <c r="H421" s="29" t="s">
        <v>80</v>
      </c>
      <c r="I421" s="29" t="s">
        <v>39</v>
      </c>
      <c r="J421" s="29" t="s">
        <v>39</v>
      </c>
      <c r="K421" s="29" t="s">
        <v>837</v>
      </c>
      <c r="L421" s="29" t="s">
        <v>805</v>
      </c>
      <c r="M421" s="29" t="s">
        <v>65</v>
      </c>
      <c r="N421" s="29" t="s">
        <v>838</v>
      </c>
      <c r="O421" s="29" t="s">
        <v>51</v>
      </c>
      <c r="P421" s="30" t="s">
        <v>839</v>
      </c>
    </row>
    <row r="422" s="25" customFormat="1" spans="1:16">
      <c r="A422" s="29" t="s">
        <v>837</v>
      </c>
      <c r="B422" s="29" t="s">
        <v>836</v>
      </c>
      <c r="C422" s="29" t="s">
        <v>47</v>
      </c>
      <c r="D422" s="29" t="s">
        <v>804</v>
      </c>
      <c r="E422" s="29" t="s">
        <v>35</v>
      </c>
      <c r="F422" s="29" t="s">
        <v>35</v>
      </c>
      <c r="G422" s="29" t="s">
        <v>79</v>
      </c>
      <c r="H422" s="29" t="s">
        <v>80</v>
      </c>
      <c r="I422" s="29" t="s">
        <v>39</v>
      </c>
      <c r="J422" s="29" t="s">
        <v>35</v>
      </c>
      <c r="K422" s="29" t="s">
        <v>840</v>
      </c>
      <c r="L422" s="29" t="s">
        <v>809</v>
      </c>
      <c r="M422" s="29" t="s">
        <v>65</v>
      </c>
      <c r="N422" s="29" t="s">
        <v>841</v>
      </c>
      <c r="O422" s="29" t="s">
        <v>51</v>
      </c>
      <c r="P422" s="30" t="s">
        <v>842</v>
      </c>
    </row>
    <row r="423" s="25" customFormat="1" spans="1:16">
      <c r="A423" s="29" t="s">
        <v>840</v>
      </c>
      <c r="B423" s="29" t="s">
        <v>836</v>
      </c>
      <c r="C423" s="29" t="s">
        <v>47</v>
      </c>
      <c r="D423" s="29" t="s">
        <v>804</v>
      </c>
      <c r="E423" s="29" t="s">
        <v>35</v>
      </c>
      <c r="F423" s="29" t="s">
        <v>35</v>
      </c>
      <c r="G423" s="29" t="s">
        <v>79</v>
      </c>
      <c r="H423" s="29" t="s">
        <v>80</v>
      </c>
      <c r="I423" s="29" t="s">
        <v>39</v>
      </c>
      <c r="J423" s="29" t="s">
        <v>47</v>
      </c>
      <c r="K423" s="29" t="s">
        <v>843</v>
      </c>
      <c r="L423" s="29" t="s">
        <v>813</v>
      </c>
      <c r="M423" s="29" t="s">
        <v>65</v>
      </c>
      <c r="N423" s="29" t="s">
        <v>841</v>
      </c>
      <c r="O423" s="29" t="s">
        <v>51</v>
      </c>
      <c r="P423" s="30" t="s">
        <v>844</v>
      </c>
    </row>
    <row r="424" s="25" customFormat="1" spans="1:16">
      <c r="A424" s="29" t="s">
        <v>843</v>
      </c>
      <c r="B424" s="29" t="s">
        <v>836</v>
      </c>
      <c r="C424" s="29" t="s">
        <v>47</v>
      </c>
      <c r="D424" s="29" t="s">
        <v>804</v>
      </c>
      <c r="E424" s="29" t="s">
        <v>35</v>
      </c>
      <c r="F424" s="29" t="s">
        <v>35</v>
      </c>
      <c r="G424" s="29" t="s">
        <v>79</v>
      </c>
      <c r="H424" s="29" t="s">
        <v>80</v>
      </c>
      <c r="I424" s="29" t="s">
        <v>39</v>
      </c>
      <c r="J424" s="29" t="s">
        <v>51</v>
      </c>
      <c r="K424" s="29" t="s">
        <v>845</v>
      </c>
      <c r="L424" s="29" t="s">
        <v>816</v>
      </c>
      <c r="M424" s="29" t="s">
        <v>65</v>
      </c>
      <c r="N424" s="29" t="s">
        <v>841</v>
      </c>
      <c r="O424" s="29" t="s">
        <v>51</v>
      </c>
      <c r="P424" s="30" t="s">
        <v>846</v>
      </c>
    </row>
    <row r="425" s="25" customFormat="1" spans="1:16">
      <c r="A425" s="29" t="s">
        <v>845</v>
      </c>
      <c r="B425" s="29" t="s">
        <v>836</v>
      </c>
      <c r="C425" s="29" t="s">
        <v>47</v>
      </c>
      <c r="D425" s="29" t="s">
        <v>804</v>
      </c>
      <c r="E425" s="29" t="s">
        <v>35</v>
      </c>
      <c r="F425" s="29" t="s">
        <v>35</v>
      </c>
      <c r="G425" s="29" t="s">
        <v>79</v>
      </c>
      <c r="H425" s="29" t="s">
        <v>80</v>
      </c>
      <c r="I425" s="29" t="s">
        <v>39</v>
      </c>
      <c r="J425" s="29" t="s">
        <v>55</v>
      </c>
      <c r="K425" s="29" t="s">
        <v>847</v>
      </c>
      <c r="L425" s="29" t="s">
        <v>819</v>
      </c>
      <c r="M425" s="29" t="s">
        <v>65</v>
      </c>
      <c r="N425" s="29" t="s">
        <v>841</v>
      </c>
      <c r="O425" s="29" t="s">
        <v>51</v>
      </c>
      <c r="P425" s="30" t="s">
        <v>848</v>
      </c>
    </row>
    <row r="426" s="25" customFormat="1" spans="1:16">
      <c r="A426" s="29" t="s">
        <v>847</v>
      </c>
      <c r="B426" s="29" t="s">
        <v>836</v>
      </c>
      <c r="C426" s="29" t="s">
        <v>47</v>
      </c>
      <c r="D426" s="29" t="s">
        <v>804</v>
      </c>
      <c r="E426" s="29" t="s">
        <v>35</v>
      </c>
      <c r="F426" s="29" t="s">
        <v>35</v>
      </c>
      <c r="G426" s="29" t="s">
        <v>79</v>
      </c>
      <c r="H426" s="29" t="s">
        <v>80</v>
      </c>
      <c r="I426" s="29" t="s">
        <v>39</v>
      </c>
      <c r="J426" s="29" t="s">
        <v>59</v>
      </c>
      <c r="K426" s="29" t="s">
        <v>39</v>
      </c>
      <c r="L426" s="29" t="s">
        <v>39</v>
      </c>
      <c r="M426" s="29" t="s">
        <v>39</v>
      </c>
      <c r="N426" s="29" t="s">
        <v>841</v>
      </c>
      <c r="O426" s="29" t="s">
        <v>51</v>
      </c>
      <c r="P426" s="30" t="s">
        <v>849</v>
      </c>
    </row>
    <row r="427" s="25" customFormat="1" spans="1:16">
      <c r="A427" s="29" t="s">
        <v>850</v>
      </c>
      <c r="B427" s="29" t="s">
        <v>850</v>
      </c>
      <c r="C427" s="29" t="s">
        <v>47</v>
      </c>
      <c r="D427" s="29" t="s">
        <v>804</v>
      </c>
      <c r="E427" s="29" t="s">
        <v>35</v>
      </c>
      <c r="F427" s="29" t="s">
        <v>35</v>
      </c>
      <c r="G427" s="29" t="s">
        <v>95</v>
      </c>
      <c r="H427" s="29" t="s">
        <v>96</v>
      </c>
      <c r="I427" s="29" t="s">
        <v>39</v>
      </c>
      <c r="J427" s="29" t="s">
        <v>39</v>
      </c>
      <c r="K427" s="29" t="s">
        <v>851</v>
      </c>
      <c r="L427" s="29" t="s">
        <v>805</v>
      </c>
      <c r="M427" s="29" t="s">
        <v>65</v>
      </c>
      <c r="N427" s="29" t="s">
        <v>852</v>
      </c>
      <c r="O427" s="29" t="s">
        <v>55</v>
      </c>
      <c r="P427" s="30" t="s">
        <v>853</v>
      </c>
    </row>
    <row r="428" s="25" customFormat="1" spans="1:16">
      <c r="A428" s="29" t="s">
        <v>851</v>
      </c>
      <c r="B428" s="29" t="s">
        <v>850</v>
      </c>
      <c r="C428" s="29" t="s">
        <v>47</v>
      </c>
      <c r="D428" s="29" t="s">
        <v>804</v>
      </c>
      <c r="E428" s="29" t="s">
        <v>35</v>
      </c>
      <c r="F428" s="29" t="s">
        <v>35</v>
      </c>
      <c r="G428" s="29" t="s">
        <v>95</v>
      </c>
      <c r="H428" s="29" t="s">
        <v>96</v>
      </c>
      <c r="I428" s="29" t="s">
        <v>39</v>
      </c>
      <c r="J428" s="29" t="s">
        <v>35</v>
      </c>
      <c r="K428" s="29" t="s">
        <v>854</v>
      </c>
      <c r="L428" s="29" t="s">
        <v>809</v>
      </c>
      <c r="M428" s="29" t="s">
        <v>65</v>
      </c>
      <c r="N428" s="29" t="s">
        <v>855</v>
      </c>
      <c r="O428" s="29" t="s">
        <v>55</v>
      </c>
      <c r="P428" s="30" t="s">
        <v>856</v>
      </c>
    </row>
    <row r="429" s="25" customFormat="1" spans="1:16">
      <c r="A429" s="29" t="s">
        <v>854</v>
      </c>
      <c r="B429" s="29" t="s">
        <v>850</v>
      </c>
      <c r="C429" s="29" t="s">
        <v>47</v>
      </c>
      <c r="D429" s="29" t="s">
        <v>804</v>
      </c>
      <c r="E429" s="29" t="s">
        <v>35</v>
      </c>
      <c r="F429" s="29" t="s">
        <v>35</v>
      </c>
      <c r="G429" s="29" t="s">
        <v>95</v>
      </c>
      <c r="H429" s="29" t="s">
        <v>96</v>
      </c>
      <c r="I429" s="29" t="s">
        <v>39</v>
      </c>
      <c r="J429" s="29" t="s">
        <v>47</v>
      </c>
      <c r="K429" s="29" t="s">
        <v>857</v>
      </c>
      <c r="L429" s="29" t="s">
        <v>813</v>
      </c>
      <c r="M429" s="29" t="s">
        <v>65</v>
      </c>
      <c r="N429" s="29" t="s">
        <v>855</v>
      </c>
      <c r="O429" s="29" t="s">
        <v>55</v>
      </c>
      <c r="P429" s="30" t="s">
        <v>858</v>
      </c>
    </row>
    <row r="430" s="25" customFormat="1" spans="1:16">
      <c r="A430" s="29" t="s">
        <v>857</v>
      </c>
      <c r="B430" s="29" t="s">
        <v>850</v>
      </c>
      <c r="C430" s="29" t="s">
        <v>47</v>
      </c>
      <c r="D430" s="29" t="s">
        <v>804</v>
      </c>
      <c r="E430" s="29" t="s">
        <v>35</v>
      </c>
      <c r="F430" s="29" t="s">
        <v>35</v>
      </c>
      <c r="G430" s="29" t="s">
        <v>95</v>
      </c>
      <c r="H430" s="29" t="s">
        <v>96</v>
      </c>
      <c r="I430" s="29" t="s">
        <v>39</v>
      </c>
      <c r="J430" s="29" t="s">
        <v>51</v>
      </c>
      <c r="K430" s="29" t="s">
        <v>859</v>
      </c>
      <c r="L430" s="29" t="s">
        <v>816</v>
      </c>
      <c r="M430" s="29" t="s">
        <v>65</v>
      </c>
      <c r="N430" s="29" t="s">
        <v>855</v>
      </c>
      <c r="O430" s="29" t="s">
        <v>55</v>
      </c>
      <c r="P430" s="30" t="s">
        <v>860</v>
      </c>
    </row>
    <row r="431" s="25" customFormat="1" spans="1:16">
      <c r="A431" s="29" t="s">
        <v>859</v>
      </c>
      <c r="B431" s="29" t="s">
        <v>850</v>
      </c>
      <c r="C431" s="29" t="s">
        <v>47</v>
      </c>
      <c r="D431" s="29" t="s">
        <v>804</v>
      </c>
      <c r="E431" s="29" t="s">
        <v>35</v>
      </c>
      <c r="F431" s="29" t="s">
        <v>35</v>
      </c>
      <c r="G431" s="29" t="s">
        <v>95</v>
      </c>
      <c r="H431" s="29" t="s">
        <v>96</v>
      </c>
      <c r="I431" s="29" t="s">
        <v>39</v>
      </c>
      <c r="J431" s="29" t="s">
        <v>55</v>
      </c>
      <c r="K431" s="29" t="s">
        <v>861</v>
      </c>
      <c r="L431" s="29" t="s">
        <v>819</v>
      </c>
      <c r="M431" s="29" t="s">
        <v>65</v>
      </c>
      <c r="N431" s="29" t="s">
        <v>855</v>
      </c>
      <c r="O431" s="29" t="s">
        <v>55</v>
      </c>
      <c r="P431" s="30" t="s">
        <v>862</v>
      </c>
    </row>
    <row r="432" s="25" customFormat="1" spans="1:16">
      <c r="A432" s="29" t="s">
        <v>861</v>
      </c>
      <c r="B432" s="29" t="s">
        <v>850</v>
      </c>
      <c r="C432" s="29" t="s">
        <v>47</v>
      </c>
      <c r="D432" s="29" t="s">
        <v>804</v>
      </c>
      <c r="E432" s="29" t="s">
        <v>35</v>
      </c>
      <c r="F432" s="29" t="s">
        <v>35</v>
      </c>
      <c r="G432" s="29" t="s">
        <v>95</v>
      </c>
      <c r="H432" s="29" t="s">
        <v>96</v>
      </c>
      <c r="I432" s="29" t="s">
        <v>39</v>
      </c>
      <c r="J432" s="29" t="s">
        <v>59</v>
      </c>
      <c r="K432" s="29" t="s">
        <v>39</v>
      </c>
      <c r="L432" s="29" t="s">
        <v>39</v>
      </c>
      <c r="M432" s="29" t="s">
        <v>39</v>
      </c>
      <c r="N432" s="29" t="s">
        <v>855</v>
      </c>
      <c r="O432" s="29" t="s">
        <v>55</v>
      </c>
      <c r="P432" s="30" t="s">
        <v>863</v>
      </c>
    </row>
    <row r="433" s="25" customFormat="1" spans="1:16">
      <c r="A433" s="29" t="s">
        <v>864</v>
      </c>
      <c r="B433" s="29" t="s">
        <v>864</v>
      </c>
      <c r="C433" s="29" t="s">
        <v>47</v>
      </c>
      <c r="D433" s="29" t="s">
        <v>804</v>
      </c>
      <c r="E433" s="29" t="s">
        <v>35</v>
      </c>
      <c r="F433" s="29" t="s">
        <v>35</v>
      </c>
      <c r="G433" s="29" t="s">
        <v>111</v>
      </c>
      <c r="H433" s="29" t="s">
        <v>112</v>
      </c>
      <c r="I433" s="29" t="s">
        <v>39</v>
      </c>
      <c r="J433" s="29" t="s">
        <v>39</v>
      </c>
      <c r="K433" s="29" t="s">
        <v>865</v>
      </c>
      <c r="L433" s="29" t="s">
        <v>805</v>
      </c>
      <c r="M433" s="29" t="s">
        <v>114</v>
      </c>
      <c r="N433" s="29" t="s">
        <v>866</v>
      </c>
      <c r="O433" s="29" t="s">
        <v>59</v>
      </c>
      <c r="P433" s="30" t="s">
        <v>867</v>
      </c>
    </row>
    <row r="434" s="25" customFormat="1" spans="1:16">
      <c r="A434" s="29" t="s">
        <v>865</v>
      </c>
      <c r="B434" s="29" t="s">
        <v>864</v>
      </c>
      <c r="C434" s="29" t="s">
        <v>47</v>
      </c>
      <c r="D434" s="29" t="s">
        <v>804</v>
      </c>
      <c r="E434" s="29" t="s">
        <v>35</v>
      </c>
      <c r="F434" s="29" t="s">
        <v>35</v>
      </c>
      <c r="G434" s="29" t="s">
        <v>111</v>
      </c>
      <c r="H434" s="29" t="s">
        <v>112</v>
      </c>
      <c r="I434" s="29" t="s">
        <v>39</v>
      </c>
      <c r="J434" s="29" t="s">
        <v>35</v>
      </c>
      <c r="K434" s="29" t="s">
        <v>868</v>
      </c>
      <c r="L434" s="29" t="s">
        <v>809</v>
      </c>
      <c r="M434" s="29" t="s">
        <v>114</v>
      </c>
      <c r="N434" s="29" t="s">
        <v>869</v>
      </c>
      <c r="O434" s="29" t="s">
        <v>59</v>
      </c>
      <c r="P434" s="30" t="s">
        <v>870</v>
      </c>
    </row>
    <row r="435" s="25" customFormat="1" spans="1:16">
      <c r="A435" s="29" t="s">
        <v>868</v>
      </c>
      <c r="B435" s="29" t="s">
        <v>864</v>
      </c>
      <c r="C435" s="29" t="s">
        <v>47</v>
      </c>
      <c r="D435" s="29" t="s">
        <v>804</v>
      </c>
      <c r="E435" s="29" t="s">
        <v>35</v>
      </c>
      <c r="F435" s="29" t="s">
        <v>35</v>
      </c>
      <c r="G435" s="29" t="s">
        <v>111</v>
      </c>
      <c r="H435" s="29" t="s">
        <v>112</v>
      </c>
      <c r="I435" s="29" t="s">
        <v>39</v>
      </c>
      <c r="J435" s="29" t="s">
        <v>47</v>
      </c>
      <c r="K435" s="29" t="s">
        <v>871</v>
      </c>
      <c r="L435" s="29" t="s">
        <v>813</v>
      </c>
      <c r="M435" s="29" t="s">
        <v>114</v>
      </c>
      <c r="N435" s="29" t="s">
        <v>869</v>
      </c>
      <c r="O435" s="29" t="s">
        <v>59</v>
      </c>
      <c r="P435" s="30" t="s">
        <v>872</v>
      </c>
    </row>
    <row r="436" s="25" customFormat="1" spans="1:16">
      <c r="A436" s="29" t="s">
        <v>871</v>
      </c>
      <c r="B436" s="29" t="s">
        <v>864</v>
      </c>
      <c r="C436" s="29" t="s">
        <v>47</v>
      </c>
      <c r="D436" s="29" t="s">
        <v>804</v>
      </c>
      <c r="E436" s="29" t="s">
        <v>35</v>
      </c>
      <c r="F436" s="29" t="s">
        <v>35</v>
      </c>
      <c r="G436" s="29" t="s">
        <v>111</v>
      </c>
      <c r="H436" s="29" t="s">
        <v>112</v>
      </c>
      <c r="I436" s="29" t="s">
        <v>39</v>
      </c>
      <c r="J436" s="29" t="s">
        <v>51</v>
      </c>
      <c r="K436" s="29" t="s">
        <v>873</v>
      </c>
      <c r="L436" s="29" t="s">
        <v>816</v>
      </c>
      <c r="M436" s="29" t="s">
        <v>114</v>
      </c>
      <c r="N436" s="29" t="s">
        <v>869</v>
      </c>
      <c r="O436" s="29" t="s">
        <v>59</v>
      </c>
      <c r="P436" s="30" t="s">
        <v>874</v>
      </c>
    </row>
    <row r="437" s="25" customFormat="1" spans="1:16">
      <c r="A437" s="29" t="s">
        <v>873</v>
      </c>
      <c r="B437" s="29" t="s">
        <v>864</v>
      </c>
      <c r="C437" s="29" t="s">
        <v>47</v>
      </c>
      <c r="D437" s="29" t="s">
        <v>804</v>
      </c>
      <c r="E437" s="29" t="s">
        <v>35</v>
      </c>
      <c r="F437" s="29" t="s">
        <v>35</v>
      </c>
      <c r="G437" s="29" t="s">
        <v>111</v>
      </c>
      <c r="H437" s="29" t="s">
        <v>112</v>
      </c>
      <c r="I437" s="29" t="s">
        <v>39</v>
      </c>
      <c r="J437" s="29" t="s">
        <v>55</v>
      </c>
      <c r="K437" s="29" t="s">
        <v>875</v>
      </c>
      <c r="L437" s="29" t="s">
        <v>819</v>
      </c>
      <c r="M437" s="29" t="s">
        <v>114</v>
      </c>
      <c r="N437" s="29" t="s">
        <v>869</v>
      </c>
      <c r="O437" s="29" t="s">
        <v>59</v>
      </c>
      <c r="P437" s="30" t="s">
        <v>876</v>
      </c>
    </row>
    <row r="438" s="25" customFormat="1" spans="1:16">
      <c r="A438" s="29" t="s">
        <v>875</v>
      </c>
      <c r="B438" s="29" t="s">
        <v>864</v>
      </c>
      <c r="C438" s="29" t="s">
        <v>47</v>
      </c>
      <c r="D438" s="29" t="s">
        <v>804</v>
      </c>
      <c r="E438" s="29" t="s">
        <v>35</v>
      </c>
      <c r="F438" s="29" t="s">
        <v>35</v>
      </c>
      <c r="G438" s="29" t="s">
        <v>111</v>
      </c>
      <c r="H438" s="29" t="s">
        <v>112</v>
      </c>
      <c r="I438" s="29" t="s">
        <v>39</v>
      </c>
      <c r="J438" s="29" t="s">
        <v>59</v>
      </c>
      <c r="K438" s="29" t="s">
        <v>877</v>
      </c>
      <c r="L438" s="29" t="s">
        <v>878</v>
      </c>
      <c r="M438" s="29" t="s">
        <v>114</v>
      </c>
      <c r="N438" s="29" t="s">
        <v>869</v>
      </c>
      <c r="O438" s="29" t="s">
        <v>59</v>
      </c>
      <c r="P438" s="30" t="s">
        <v>879</v>
      </c>
    </row>
    <row r="439" s="25" customFormat="1" spans="1:16">
      <c r="A439" s="29" t="s">
        <v>877</v>
      </c>
      <c r="B439" s="29" t="s">
        <v>864</v>
      </c>
      <c r="C439" s="29" t="s">
        <v>47</v>
      </c>
      <c r="D439" s="29" t="s">
        <v>804</v>
      </c>
      <c r="E439" s="29" t="s">
        <v>35</v>
      </c>
      <c r="F439" s="29" t="s">
        <v>35</v>
      </c>
      <c r="G439" s="29" t="s">
        <v>111</v>
      </c>
      <c r="H439" s="29" t="s">
        <v>112</v>
      </c>
      <c r="I439" s="29" t="s">
        <v>39</v>
      </c>
      <c r="J439" s="29" t="s">
        <v>129</v>
      </c>
      <c r="K439" s="29" t="s">
        <v>880</v>
      </c>
      <c r="L439" s="29" t="s">
        <v>881</v>
      </c>
      <c r="M439" s="29" t="s">
        <v>114</v>
      </c>
      <c r="N439" s="29" t="s">
        <v>869</v>
      </c>
      <c r="O439" s="29" t="s">
        <v>59</v>
      </c>
      <c r="P439" s="30" t="s">
        <v>882</v>
      </c>
    </row>
    <row r="440" s="25" customFormat="1" spans="1:16">
      <c r="A440" s="29" t="s">
        <v>880</v>
      </c>
      <c r="B440" s="29" t="s">
        <v>864</v>
      </c>
      <c r="C440" s="29" t="s">
        <v>47</v>
      </c>
      <c r="D440" s="29" t="s">
        <v>804</v>
      </c>
      <c r="E440" s="29" t="s">
        <v>35</v>
      </c>
      <c r="F440" s="29" t="s">
        <v>35</v>
      </c>
      <c r="G440" s="29" t="s">
        <v>111</v>
      </c>
      <c r="H440" s="29" t="s">
        <v>112</v>
      </c>
      <c r="I440" s="29" t="s">
        <v>39</v>
      </c>
      <c r="J440" s="29" t="s">
        <v>133</v>
      </c>
      <c r="K440" s="29" t="s">
        <v>883</v>
      </c>
      <c r="L440" s="29" t="s">
        <v>884</v>
      </c>
      <c r="M440" s="29" t="s">
        <v>114</v>
      </c>
      <c r="N440" s="29" t="s">
        <v>869</v>
      </c>
      <c r="O440" s="29" t="s">
        <v>59</v>
      </c>
      <c r="P440" s="30" t="s">
        <v>885</v>
      </c>
    </row>
    <row r="441" s="25" customFormat="1" spans="1:16">
      <c r="A441" s="29" t="s">
        <v>883</v>
      </c>
      <c r="B441" s="29" t="s">
        <v>864</v>
      </c>
      <c r="C441" s="29" t="s">
        <v>47</v>
      </c>
      <c r="D441" s="29" t="s">
        <v>804</v>
      </c>
      <c r="E441" s="29" t="s">
        <v>35</v>
      </c>
      <c r="F441" s="29" t="s">
        <v>35</v>
      </c>
      <c r="G441" s="29" t="s">
        <v>111</v>
      </c>
      <c r="H441" s="29" t="s">
        <v>112</v>
      </c>
      <c r="I441" s="29" t="s">
        <v>39</v>
      </c>
      <c r="J441" s="29" t="s">
        <v>137</v>
      </c>
      <c r="K441" s="29" t="s">
        <v>886</v>
      </c>
      <c r="L441" s="29" t="s">
        <v>887</v>
      </c>
      <c r="M441" s="29" t="s">
        <v>114</v>
      </c>
      <c r="N441" s="29" t="s">
        <v>869</v>
      </c>
      <c r="O441" s="29" t="s">
        <v>59</v>
      </c>
      <c r="P441" s="30" t="s">
        <v>888</v>
      </c>
    </row>
    <row r="442" s="25" customFormat="1" spans="1:16">
      <c r="A442" s="29" t="s">
        <v>886</v>
      </c>
      <c r="B442" s="29" t="s">
        <v>864</v>
      </c>
      <c r="C442" s="29" t="s">
        <v>47</v>
      </c>
      <c r="D442" s="29" t="s">
        <v>804</v>
      </c>
      <c r="E442" s="29" t="s">
        <v>35</v>
      </c>
      <c r="F442" s="29" t="s">
        <v>35</v>
      </c>
      <c r="G442" s="29" t="s">
        <v>111</v>
      </c>
      <c r="H442" s="29" t="s">
        <v>112</v>
      </c>
      <c r="I442" s="29" t="s">
        <v>39</v>
      </c>
      <c r="J442" s="29" t="s">
        <v>141</v>
      </c>
      <c r="K442" s="29" t="s">
        <v>889</v>
      </c>
      <c r="L442" s="29" t="s">
        <v>890</v>
      </c>
      <c r="M442" s="29" t="s">
        <v>114</v>
      </c>
      <c r="N442" s="29" t="s">
        <v>869</v>
      </c>
      <c r="O442" s="29" t="s">
        <v>59</v>
      </c>
      <c r="P442" s="30" t="s">
        <v>891</v>
      </c>
    </row>
    <row r="443" s="25" customFormat="1" spans="1:16">
      <c r="A443" s="29" t="s">
        <v>889</v>
      </c>
      <c r="B443" s="29" t="s">
        <v>864</v>
      </c>
      <c r="C443" s="29" t="s">
        <v>47</v>
      </c>
      <c r="D443" s="29" t="s">
        <v>804</v>
      </c>
      <c r="E443" s="29" t="s">
        <v>35</v>
      </c>
      <c r="F443" s="29" t="s">
        <v>35</v>
      </c>
      <c r="G443" s="29" t="s">
        <v>111</v>
      </c>
      <c r="H443" s="29" t="s">
        <v>112</v>
      </c>
      <c r="I443" s="29" t="s">
        <v>39</v>
      </c>
      <c r="J443" s="29" t="s">
        <v>145</v>
      </c>
      <c r="K443" s="29" t="s">
        <v>39</v>
      </c>
      <c r="L443" s="29" t="s">
        <v>39</v>
      </c>
      <c r="M443" s="29" t="s">
        <v>39</v>
      </c>
      <c r="N443" s="29" t="s">
        <v>869</v>
      </c>
      <c r="O443" s="29" t="s">
        <v>59</v>
      </c>
      <c r="P443" s="30" t="s">
        <v>892</v>
      </c>
    </row>
    <row r="444" s="25" customFormat="1" spans="1:16">
      <c r="A444" s="29" t="s">
        <v>893</v>
      </c>
      <c r="B444" s="29" t="s">
        <v>893</v>
      </c>
      <c r="C444" s="29" t="s">
        <v>47</v>
      </c>
      <c r="D444" s="29" t="s">
        <v>804</v>
      </c>
      <c r="E444" s="29" t="s">
        <v>35</v>
      </c>
      <c r="F444" s="29" t="s">
        <v>35</v>
      </c>
      <c r="G444" s="29" t="s">
        <v>148</v>
      </c>
      <c r="H444" s="29" t="s">
        <v>149</v>
      </c>
      <c r="I444" s="29" t="s">
        <v>39</v>
      </c>
      <c r="J444" s="29" t="s">
        <v>39</v>
      </c>
      <c r="K444" s="29" t="s">
        <v>894</v>
      </c>
      <c r="L444" s="29" t="s">
        <v>805</v>
      </c>
      <c r="M444" s="29" t="s">
        <v>151</v>
      </c>
      <c r="N444" s="29" t="s">
        <v>895</v>
      </c>
      <c r="O444" s="29" t="s">
        <v>129</v>
      </c>
      <c r="P444" s="30" t="s">
        <v>896</v>
      </c>
    </row>
    <row r="445" s="25" customFormat="1" spans="1:16">
      <c r="A445" s="29" t="s">
        <v>894</v>
      </c>
      <c r="B445" s="29" t="s">
        <v>893</v>
      </c>
      <c r="C445" s="29" t="s">
        <v>47</v>
      </c>
      <c r="D445" s="29" t="s">
        <v>804</v>
      </c>
      <c r="E445" s="29" t="s">
        <v>35</v>
      </c>
      <c r="F445" s="29" t="s">
        <v>35</v>
      </c>
      <c r="G445" s="29" t="s">
        <v>148</v>
      </c>
      <c r="H445" s="29" t="s">
        <v>149</v>
      </c>
      <c r="I445" s="29" t="s">
        <v>39</v>
      </c>
      <c r="J445" s="29" t="s">
        <v>35</v>
      </c>
      <c r="K445" s="29" t="s">
        <v>897</v>
      </c>
      <c r="L445" s="29" t="s">
        <v>809</v>
      </c>
      <c r="M445" s="29" t="s">
        <v>151</v>
      </c>
      <c r="N445" s="29" t="s">
        <v>898</v>
      </c>
      <c r="O445" s="29" t="s">
        <v>129</v>
      </c>
      <c r="P445" s="30" t="s">
        <v>899</v>
      </c>
    </row>
    <row r="446" s="25" customFormat="1" spans="1:16">
      <c r="A446" s="29" t="s">
        <v>897</v>
      </c>
      <c r="B446" s="29" t="s">
        <v>893</v>
      </c>
      <c r="C446" s="29" t="s">
        <v>47</v>
      </c>
      <c r="D446" s="29" t="s">
        <v>804</v>
      </c>
      <c r="E446" s="29" t="s">
        <v>35</v>
      </c>
      <c r="F446" s="29" t="s">
        <v>35</v>
      </c>
      <c r="G446" s="29" t="s">
        <v>148</v>
      </c>
      <c r="H446" s="29" t="s">
        <v>149</v>
      </c>
      <c r="I446" s="29" t="s">
        <v>39</v>
      </c>
      <c r="J446" s="29" t="s">
        <v>47</v>
      </c>
      <c r="K446" s="29" t="s">
        <v>900</v>
      </c>
      <c r="L446" s="29" t="s">
        <v>813</v>
      </c>
      <c r="M446" s="29" t="s">
        <v>151</v>
      </c>
      <c r="N446" s="29" t="s">
        <v>898</v>
      </c>
      <c r="O446" s="29" t="s">
        <v>129</v>
      </c>
      <c r="P446" s="30" t="s">
        <v>901</v>
      </c>
    </row>
    <row r="447" s="25" customFormat="1" spans="1:16">
      <c r="A447" s="29" t="s">
        <v>900</v>
      </c>
      <c r="B447" s="29" t="s">
        <v>893</v>
      </c>
      <c r="C447" s="29" t="s">
        <v>47</v>
      </c>
      <c r="D447" s="29" t="s">
        <v>804</v>
      </c>
      <c r="E447" s="29" t="s">
        <v>35</v>
      </c>
      <c r="F447" s="29" t="s">
        <v>35</v>
      </c>
      <c r="G447" s="29" t="s">
        <v>148</v>
      </c>
      <c r="H447" s="29" t="s">
        <v>149</v>
      </c>
      <c r="I447" s="29" t="s">
        <v>39</v>
      </c>
      <c r="J447" s="29" t="s">
        <v>51</v>
      </c>
      <c r="K447" s="29" t="s">
        <v>902</v>
      </c>
      <c r="L447" s="29" t="s">
        <v>816</v>
      </c>
      <c r="M447" s="29" t="s">
        <v>151</v>
      </c>
      <c r="N447" s="29" t="s">
        <v>898</v>
      </c>
      <c r="O447" s="29" t="s">
        <v>129</v>
      </c>
      <c r="P447" s="30" t="s">
        <v>903</v>
      </c>
    </row>
    <row r="448" s="25" customFormat="1" spans="1:16">
      <c r="A448" s="29" t="s">
        <v>902</v>
      </c>
      <c r="B448" s="29" t="s">
        <v>893</v>
      </c>
      <c r="C448" s="29" t="s">
        <v>47</v>
      </c>
      <c r="D448" s="29" t="s">
        <v>804</v>
      </c>
      <c r="E448" s="29" t="s">
        <v>35</v>
      </c>
      <c r="F448" s="29" t="s">
        <v>35</v>
      </c>
      <c r="G448" s="29" t="s">
        <v>148</v>
      </c>
      <c r="H448" s="29" t="s">
        <v>149</v>
      </c>
      <c r="I448" s="29" t="s">
        <v>39</v>
      </c>
      <c r="J448" s="29" t="s">
        <v>55</v>
      </c>
      <c r="K448" s="29" t="s">
        <v>904</v>
      </c>
      <c r="L448" s="29" t="s">
        <v>819</v>
      </c>
      <c r="M448" s="29" t="s">
        <v>151</v>
      </c>
      <c r="N448" s="29" t="s">
        <v>898</v>
      </c>
      <c r="O448" s="29" t="s">
        <v>129</v>
      </c>
      <c r="P448" s="30" t="s">
        <v>905</v>
      </c>
    </row>
    <row r="449" s="25" customFormat="1" spans="1:16">
      <c r="A449" s="29" t="s">
        <v>904</v>
      </c>
      <c r="B449" s="29" t="s">
        <v>893</v>
      </c>
      <c r="C449" s="29" t="s">
        <v>47</v>
      </c>
      <c r="D449" s="29" t="s">
        <v>804</v>
      </c>
      <c r="E449" s="29" t="s">
        <v>35</v>
      </c>
      <c r="F449" s="29" t="s">
        <v>35</v>
      </c>
      <c r="G449" s="29" t="s">
        <v>148</v>
      </c>
      <c r="H449" s="29" t="s">
        <v>149</v>
      </c>
      <c r="I449" s="29" t="s">
        <v>39</v>
      </c>
      <c r="J449" s="29" t="s">
        <v>59</v>
      </c>
      <c r="K449" s="29" t="s">
        <v>906</v>
      </c>
      <c r="L449" s="29" t="s">
        <v>878</v>
      </c>
      <c r="M449" s="29" t="s">
        <v>151</v>
      </c>
      <c r="N449" s="29" t="s">
        <v>898</v>
      </c>
      <c r="O449" s="29" t="s">
        <v>129</v>
      </c>
      <c r="P449" s="30" t="s">
        <v>907</v>
      </c>
    </row>
    <row r="450" s="25" customFormat="1" spans="1:16">
      <c r="A450" s="29" t="s">
        <v>906</v>
      </c>
      <c r="B450" s="29" t="s">
        <v>893</v>
      </c>
      <c r="C450" s="29" t="s">
        <v>47</v>
      </c>
      <c r="D450" s="29" t="s">
        <v>804</v>
      </c>
      <c r="E450" s="29" t="s">
        <v>35</v>
      </c>
      <c r="F450" s="29" t="s">
        <v>35</v>
      </c>
      <c r="G450" s="29" t="s">
        <v>148</v>
      </c>
      <c r="H450" s="29" t="s">
        <v>149</v>
      </c>
      <c r="I450" s="29" t="s">
        <v>39</v>
      </c>
      <c r="J450" s="29" t="s">
        <v>129</v>
      </c>
      <c r="K450" s="29" t="s">
        <v>908</v>
      </c>
      <c r="L450" s="29" t="s">
        <v>881</v>
      </c>
      <c r="M450" s="29" t="s">
        <v>151</v>
      </c>
      <c r="N450" s="29" t="s">
        <v>898</v>
      </c>
      <c r="O450" s="29" t="s">
        <v>129</v>
      </c>
      <c r="P450" s="30" t="s">
        <v>909</v>
      </c>
    </row>
    <row r="451" s="25" customFormat="1" spans="1:16">
      <c r="A451" s="29" t="s">
        <v>908</v>
      </c>
      <c r="B451" s="29" t="s">
        <v>893</v>
      </c>
      <c r="C451" s="29" t="s">
        <v>47</v>
      </c>
      <c r="D451" s="29" t="s">
        <v>804</v>
      </c>
      <c r="E451" s="29" t="s">
        <v>35</v>
      </c>
      <c r="F451" s="29" t="s">
        <v>35</v>
      </c>
      <c r="G451" s="29" t="s">
        <v>148</v>
      </c>
      <c r="H451" s="29" t="s">
        <v>149</v>
      </c>
      <c r="I451" s="29" t="s">
        <v>39</v>
      </c>
      <c r="J451" s="29" t="s">
        <v>133</v>
      </c>
      <c r="K451" s="29" t="s">
        <v>910</v>
      </c>
      <c r="L451" s="29" t="s">
        <v>884</v>
      </c>
      <c r="M451" s="29" t="s">
        <v>151</v>
      </c>
      <c r="N451" s="29" t="s">
        <v>898</v>
      </c>
      <c r="O451" s="29" t="s">
        <v>129</v>
      </c>
      <c r="P451" s="30" t="s">
        <v>911</v>
      </c>
    </row>
    <row r="452" s="25" customFormat="1" spans="1:16">
      <c r="A452" s="29" t="s">
        <v>910</v>
      </c>
      <c r="B452" s="29" t="s">
        <v>893</v>
      </c>
      <c r="C452" s="29" t="s">
        <v>47</v>
      </c>
      <c r="D452" s="29" t="s">
        <v>804</v>
      </c>
      <c r="E452" s="29" t="s">
        <v>35</v>
      </c>
      <c r="F452" s="29" t="s">
        <v>35</v>
      </c>
      <c r="G452" s="29" t="s">
        <v>148</v>
      </c>
      <c r="H452" s="29" t="s">
        <v>149</v>
      </c>
      <c r="I452" s="29" t="s">
        <v>39</v>
      </c>
      <c r="J452" s="29" t="s">
        <v>137</v>
      </c>
      <c r="K452" s="29" t="s">
        <v>912</v>
      </c>
      <c r="L452" s="29" t="s">
        <v>887</v>
      </c>
      <c r="M452" s="29" t="s">
        <v>151</v>
      </c>
      <c r="N452" s="29" t="s">
        <v>898</v>
      </c>
      <c r="O452" s="29" t="s">
        <v>129</v>
      </c>
      <c r="P452" s="30" t="s">
        <v>913</v>
      </c>
    </row>
    <row r="453" s="25" customFormat="1" spans="1:16">
      <c r="A453" s="29" t="s">
        <v>912</v>
      </c>
      <c r="B453" s="29" t="s">
        <v>893</v>
      </c>
      <c r="C453" s="29" t="s">
        <v>47</v>
      </c>
      <c r="D453" s="29" t="s">
        <v>804</v>
      </c>
      <c r="E453" s="29" t="s">
        <v>35</v>
      </c>
      <c r="F453" s="29" t="s">
        <v>35</v>
      </c>
      <c r="G453" s="29" t="s">
        <v>148</v>
      </c>
      <c r="H453" s="29" t="s">
        <v>149</v>
      </c>
      <c r="I453" s="29" t="s">
        <v>39</v>
      </c>
      <c r="J453" s="29" t="s">
        <v>141</v>
      </c>
      <c r="K453" s="29" t="s">
        <v>914</v>
      </c>
      <c r="L453" s="29" t="s">
        <v>890</v>
      </c>
      <c r="M453" s="29" t="s">
        <v>151</v>
      </c>
      <c r="N453" s="29" t="s">
        <v>898</v>
      </c>
      <c r="O453" s="29" t="s">
        <v>129</v>
      </c>
      <c r="P453" s="30" t="s">
        <v>915</v>
      </c>
    </row>
    <row r="454" s="25" customFormat="1" spans="1:16">
      <c r="A454" s="29" t="s">
        <v>914</v>
      </c>
      <c r="B454" s="29" t="s">
        <v>893</v>
      </c>
      <c r="C454" s="29" t="s">
        <v>47</v>
      </c>
      <c r="D454" s="29" t="s">
        <v>804</v>
      </c>
      <c r="E454" s="29" t="s">
        <v>35</v>
      </c>
      <c r="F454" s="29" t="s">
        <v>35</v>
      </c>
      <c r="G454" s="29" t="s">
        <v>148</v>
      </c>
      <c r="H454" s="29" t="s">
        <v>149</v>
      </c>
      <c r="I454" s="29" t="s">
        <v>39</v>
      </c>
      <c r="J454" s="29" t="s">
        <v>145</v>
      </c>
      <c r="K454" s="29" t="s">
        <v>39</v>
      </c>
      <c r="L454" s="29" t="s">
        <v>39</v>
      </c>
      <c r="M454" s="29" t="s">
        <v>39</v>
      </c>
      <c r="N454" s="29" t="s">
        <v>898</v>
      </c>
      <c r="O454" s="29" t="s">
        <v>129</v>
      </c>
      <c r="P454" s="30" t="s">
        <v>916</v>
      </c>
    </row>
    <row r="455" s="25" customFormat="1" spans="1:16">
      <c r="A455" s="29" t="s">
        <v>917</v>
      </c>
      <c r="B455" s="29" t="s">
        <v>917</v>
      </c>
      <c r="C455" s="29" t="s">
        <v>47</v>
      </c>
      <c r="D455" s="29" t="s">
        <v>804</v>
      </c>
      <c r="E455" s="29" t="s">
        <v>35</v>
      </c>
      <c r="F455" s="29" t="s">
        <v>35</v>
      </c>
      <c r="G455" s="29" t="s">
        <v>175</v>
      </c>
      <c r="H455" s="29" t="s">
        <v>176</v>
      </c>
      <c r="I455" s="29" t="s">
        <v>39</v>
      </c>
      <c r="J455" s="29" t="s">
        <v>39</v>
      </c>
      <c r="K455" s="29" t="s">
        <v>918</v>
      </c>
      <c r="L455" s="29" t="s">
        <v>805</v>
      </c>
      <c r="M455" s="29" t="s">
        <v>178</v>
      </c>
      <c r="N455" s="29" t="s">
        <v>919</v>
      </c>
      <c r="O455" s="29" t="s">
        <v>133</v>
      </c>
      <c r="P455" s="30" t="s">
        <v>920</v>
      </c>
    </row>
    <row r="456" s="25" customFormat="1" spans="1:16">
      <c r="A456" s="29" t="s">
        <v>918</v>
      </c>
      <c r="B456" s="29" t="s">
        <v>917</v>
      </c>
      <c r="C456" s="29" t="s">
        <v>47</v>
      </c>
      <c r="D456" s="29" t="s">
        <v>804</v>
      </c>
      <c r="E456" s="29" t="s">
        <v>35</v>
      </c>
      <c r="F456" s="29" t="s">
        <v>35</v>
      </c>
      <c r="G456" s="29" t="s">
        <v>175</v>
      </c>
      <c r="H456" s="29" t="s">
        <v>176</v>
      </c>
      <c r="I456" s="29" t="s">
        <v>39</v>
      </c>
      <c r="J456" s="29" t="s">
        <v>35</v>
      </c>
      <c r="K456" s="29" t="s">
        <v>921</v>
      </c>
      <c r="L456" s="29" t="s">
        <v>809</v>
      </c>
      <c r="M456" s="29" t="s">
        <v>178</v>
      </c>
      <c r="N456" s="29" t="s">
        <v>922</v>
      </c>
      <c r="O456" s="29" t="s">
        <v>133</v>
      </c>
      <c r="P456" s="30" t="s">
        <v>923</v>
      </c>
    </row>
    <row r="457" s="25" customFormat="1" spans="1:16">
      <c r="A457" s="29" t="s">
        <v>921</v>
      </c>
      <c r="B457" s="29" t="s">
        <v>917</v>
      </c>
      <c r="C457" s="29" t="s">
        <v>47</v>
      </c>
      <c r="D457" s="29" t="s">
        <v>804</v>
      </c>
      <c r="E457" s="29" t="s">
        <v>35</v>
      </c>
      <c r="F457" s="29" t="s">
        <v>35</v>
      </c>
      <c r="G457" s="29" t="s">
        <v>175</v>
      </c>
      <c r="H457" s="29" t="s">
        <v>176</v>
      </c>
      <c r="I457" s="29" t="s">
        <v>39</v>
      </c>
      <c r="J457" s="29" t="s">
        <v>47</v>
      </c>
      <c r="K457" s="29" t="s">
        <v>924</v>
      </c>
      <c r="L457" s="29" t="s">
        <v>813</v>
      </c>
      <c r="M457" s="29" t="s">
        <v>178</v>
      </c>
      <c r="N457" s="29" t="s">
        <v>922</v>
      </c>
      <c r="O457" s="29" t="s">
        <v>133</v>
      </c>
      <c r="P457" s="30" t="s">
        <v>925</v>
      </c>
    </row>
    <row r="458" s="25" customFormat="1" spans="1:16">
      <c r="A458" s="29" t="s">
        <v>924</v>
      </c>
      <c r="B458" s="29" t="s">
        <v>917</v>
      </c>
      <c r="C458" s="29" t="s">
        <v>47</v>
      </c>
      <c r="D458" s="29" t="s">
        <v>804</v>
      </c>
      <c r="E458" s="29" t="s">
        <v>35</v>
      </c>
      <c r="F458" s="29" t="s">
        <v>35</v>
      </c>
      <c r="G458" s="29" t="s">
        <v>175</v>
      </c>
      <c r="H458" s="29" t="s">
        <v>176</v>
      </c>
      <c r="I458" s="29" t="s">
        <v>39</v>
      </c>
      <c r="J458" s="29" t="s">
        <v>51</v>
      </c>
      <c r="K458" s="29" t="s">
        <v>926</v>
      </c>
      <c r="L458" s="29" t="s">
        <v>816</v>
      </c>
      <c r="M458" s="29" t="s">
        <v>178</v>
      </c>
      <c r="N458" s="29" t="s">
        <v>922</v>
      </c>
      <c r="O458" s="29" t="s">
        <v>133</v>
      </c>
      <c r="P458" s="30" t="s">
        <v>927</v>
      </c>
    </row>
    <row r="459" s="25" customFormat="1" spans="1:16">
      <c r="A459" s="29" t="s">
        <v>926</v>
      </c>
      <c r="B459" s="29" t="s">
        <v>917</v>
      </c>
      <c r="C459" s="29" t="s">
        <v>47</v>
      </c>
      <c r="D459" s="29" t="s">
        <v>804</v>
      </c>
      <c r="E459" s="29" t="s">
        <v>35</v>
      </c>
      <c r="F459" s="29" t="s">
        <v>35</v>
      </c>
      <c r="G459" s="29" t="s">
        <v>175</v>
      </c>
      <c r="H459" s="29" t="s">
        <v>176</v>
      </c>
      <c r="I459" s="29" t="s">
        <v>39</v>
      </c>
      <c r="J459" s="29" t="s">
        <v>55</v>
      </c>
      <c r="K459" s="29" t="s">
        <v>928</v>
      </c>
      <c r="L459" s="29" t="s">
        <v>819</v>
      </c>
      <c r="M459" s="29" t="s">
        <v>178</v>
      </c>
      <c r="N459" s="29" t="s">
        <v>922</v>
      </c>
      <c r="O459" s="29" t="s">
        <v>133</v>
      </c>
      <c r="P459" s="30" t="s">
        <v>929</v>
      </c>
    </row>
    <row r="460" s="25" customFormat="1" spans="1:16">
      <c r="A460" s="29" t="s">
        <v>928</v>
      </c>
      <c r="B460" s="29" t="s">
        <v>917</v>
      </c>
      <c r="C460" s="29" t="s">
        <v>47</v>
      </c>
      <c r="D460" s="29" t="s">
        <v>804</v>
      </c>
      <c r="E460" s="29" t="s">
        <v>35</v>
      </c>
      <c r="F460" s="29" t="s">
        <v>35</v>
      </c>
      <c r="G460" s="29" t="s">
        <v>175</v>
      </c>
      <c r="H460" s="29" t="s">
        <v>176</v>
      </c>
      <c r="I460" s="29" t="s">
        <v>39</v>
      </c>
      <c r="J460" s="29" t="s">
        <v>59</v>
      </c>
      <c r="K460" s="29" t="s">
        <v>930</v>
      </c>
      <c r="L460" s="29" t="s">
        <v>878</v>
      </c>
      <c r="M460" s="29" t="s">
        <v>178</v>
      </c>
      <c r="N460" s="29" t="s">
        <v>922</v>
      </c>
      <c r="O460" s="29" t="s">
        <v>133</v>
      </c>
      <c r="P460" s="30" t="s">
        <v>931</v>
      </c>
    </row>
    <row r="461" s="25" customFormat="1" spans="1:16">
      <c r="A461" s="29" t="s">
        <v>930</v>
      </c>
      <c r="B461" s="29" t="s">
        <v>917</v>
      </c>
      <c r="C461" s="29" t="s">
        <v>47</v>
      </c>
      <c r="D461" s="29" t="s">
        <v>804</v>
      </c>
      <c r="E461" s="29" t="s">
        <v>35</v>
      </c>
      <c r="F461" s="29" t="s">
        <v>35</v>
      </c>
      <c r="G461" s="29" t="s">
        <v>175</v>
      </c>
      <c r="H461" s="29" t="s">
        <v>176</v>
      </c>
      <c r="I461" s="29" t="s">
        <v>39</v>
      </c>
      <c r="J461" s="29" t="s">
        <v>129</v>
      </c>
      <c r="K461" s="29" t="s">
        <v>932</v>
      </c>
      <c r="L461" s="29" t="s">
        <v>881</v>
      </c>
      <c r="M461" s="29" t="s">
        <v>178</v>
      </c>
      <c r="N461" s="29" t="s">
        <v>922</v>
      </c>
      <c r="O461" s="29" t="s">
        <v>133</v>
      </c>
      <c r="P461" s="30" t="s">
        <v>933</v>
      </c>
    </row>
    <row r="462" s="25" customFormat="1" spans="1:16">
      <c r="A462" s="29" t="s">
        <v>932</v>
      </c>
      <c r="B462" s="29" t="s">
        <v>917</v>
      </c>
      <c r="C462" s="29" t="s">
        <v>47</v>
      </c>
      <c r="D462" s="29" t="s">
        <v>804</v>
      </c>
      <c r="E462" s="29" t="s">
        <v>35</v>
      </c>
      <c r="F462" s="29" t="s">
        <v>35</v>
      </c>
      <c r="G462" s="29" t="s">
        <v>175</v>
      </c>
      <c r="H462" s="29" t="s">
        <v>176</v>
      </c>
      <c r="I462" s="29" t="s">
        <v>39</v>
      </c>
      <c r="J462" s="29" t="s">
        <v>133</v>
      </c>
      <c r="K462" s="29" t="s">
        <v>934</v>
      </c>
      <c r="L462" s="29" t="s">
        <v>884</v>
      </c>
      <c r="M462" s="29" t="s">
        <v>178</v>
      </c>
      <c r="N462" s="29" t="s">
        <v>922</v>
      </c>
      <c r="O462" s="29" t="s">
        <v>133</v>
      </c>
      <c r="P462" s="30" t="s">
        <v>935</v>
      </c>
    </row>
    <row r="463" s="25" customFormat="1" spans="1:16">
      <c r="A463" s="29" t="s">
        <v>934</v>
      </c>
      <c r="B463" s="29" t="s">
        <v>917</v>
      </c>
      <c r="C463" s="29" t="s">
        <v>47</v>
      </c>
      <c r="D463" s="29" t="s">
        <v>804</v>
      </c>
      <c r="E463" s="29" t="s">
        <v>35</v>
      </c>
      <c r="F463" s="29" t="s">
        <v>35</v>
      </c>
      <c r="G463" s="29" t="s">
        <v>175</v>
      </c>
      <c r="H463" s="29" t="s">
        <v>176</v>
      </c>
      <c r="I463" s="29" t="s">
        <v>39</v>
      </c>
      <c r="J463" s="29" t="s">
        <v>137</v>
      </c>
      <c r="K463" s="29" t="s">
        <v>936</v>
      </c>
      <c r="L463" s="29" t="s">
        <v>887</v>
      </c>
      <c r="M463" s="29" t="s">
        <v>178</v>
      </c>
      <c r="N463" s="29" t="s">
        <v>922</v>
      </c>
      <c r="O463" s="29" t="s">
        <v>133</v>
      </c>
      <c r="P463" s="30" t="s">
        <v>937</v>
      </c>
    </row>
    <row r="464" s="25" customFormat="1" spans="1:16">
      <c r="A464" s="29" t="s">
        <v>936</v>
      </c>
      <c r="B464" s="29" t="s">
        <v>917</v>
      </c>
      <c r="C464" s="29" t="s">
        <v>47</v>
      </c>
      <c r="D464" s="29" t="s">
        <v>804</v>
      </c>
      <c r="E464" s="29" t="s">
        <v>35</v>
      </c>
      <c r="F464" s="29" t="s">
        <v>35</v>
      </c>
      <c r="G464" s="29" t="s">
        <v>175</v>
      </c>
      <c r="H464" s="29" t="s">
        <v>176</v>
      </c>
      <c r="I464" s="29" t="s">
        <v>39</v>
      </c>
      <c r="J464" s="29" t="s">
        <v>141</v>
      </c>
      <c r="K464" s="29" t="s">
        <v>938</v>
      </c>
      <c r="L464" s="29" t="s">
        <v>890</v>
      </c>
      <c r="M464" s="29" t="s">
        <v>178</v>
      </c>
      <c r="N464" s="29" t="s">
        <v>922</v>
      </c>
      <c r="O464" s="29" t="s">
        <v>133</v>
      </c>
      <c r="P464" s="30" t="s">
        <v>939</v>
      </c>
    </row>
    <row r="465" s="25" customFormat="1" spans="1:16">
      <c r="A465" s="29" t="s">
        <v>938</v>
      </c>
      <c r="B465" s="29" t="s">
        <v>917</v>
      </c>
      <c r="C465" s="29" t="s">
        <v>47</v>
      </c>
      <c r="D465" s="29" t="s">
        <v>804</v>
      </c>
      <c r="E465" s="29" t="s">
        <v>35</v>
      </c>
      <c r="F465" s="29" t="s">
        <v>35</v>
      </c>
      <c r="G465" s="29" t="s">
        <v>175</v>
      </c>
      <c r="H465" s="29" t="s">
        <v>176</v>
      </c>
      <c r="I465" s="29" t="s">
        <v>39</v>
      </c>
      <c r="J465" s="29" t="s">
        <v>145</v>
      </c>
      <c r="K465" s="29" t="s">
        <v>39</v>
      </c>
      <c r="L465" s="29" t="s">
        <v>39</v>
      </c>
      <c r="M465" s="29" t="s">
        <v>39</v>
      </c>
      <c r="N465" s="29" t="s">
        <v>922</v>
      </c>
      <c r="O465" s="29" t="s">
        <v>133</v>
      </c>
      <c r="P465" s="30" t="s">
        <v>940</v>
      </c>
    </row>
    <row r="466" s="25" customFormat="1" spans="1:16">
      <c r="A466" s="29" t="s">
        <v>941</v>
      </c>
      <c r="B466" s="29" t="s">
        <v>941</v>
      </c>
      <c r="C466" s="29" t="s">
        <v>47</v>
      </c>
      <c r="D466" s="29" t="s">
        <v>804</v>
      </c>
      <c r="E466" s="29" t="s">
        <v>47</v>
      </c>
      <c r="F466" s="29" t="s">
        <v>35</v>
      </c>
      <c r="G466" s="29" t="s">
        <v>942</v>
      </c>
      <c r="H466" s="29" t="s">
        <v>943</v>
      </c>
      <c r="I466" s="29" t="s">
        <v>204</v>
      </c>
      <c r="J466" s="29" t="s">
        <v>39</v>
      </c>
      <c r="K466" s="29" t="s">
        <v>944</v>
      </c>
      <c r="L466" s="29" t="s">
        <v>945</v>
      </c>
      <c r="M466" s="29" t="s">
        <v>207</v>
      </c>
      <c r="N466" s="29" t="s">
        <v>946</v>
      </c>
      <c r="O466" s="29" t="s">
        <v>137</v>
      </c>
      <c r="P466" s="30" t="s">
        <v>947</v>
      </c>
    </row>
    <row r="467" s="25" customFormat="1" spans="1:16">
      <c r="A467" s="29" t="s">
        <v>944</v>
      </c>
      <c r="B467" s="29" t="s">
        <v>941</v>
      </c>
      <c r="C467" s="29" t="s">
        <v>47</v>
      </c>
      <c r="D467" s="29" t="s">
        <v>804</v>
      </c>
      <c r="E467" s="29" t="s">
        <v>47</v>
      </c>
      <c r="F467" s="29" t="s">
        <v>35</v>
      </c>
      <c r="G467" s="29" t="s">
        <v>942</v>
      </c>
      <c r="H467" s="29" t="s">
        <v>943</v>
      </c>
      <c r="I467" s="29" t="s">
        <v>204</v>
      </c>
      <c r="J467" s="29" t="s">
        <v>35</v>
      </c>
      <c r="K467" s="29" t="s">
        <v>948</v>
      </c>
      <c r="L467" s="29" t="s">
        <v>949</v>
      </c>
      <c r="M467" s="29" t="s">
        <v>207</v>
      </c>
      <c r="N467" s="29" t="s">
        <v>950</v>
      </c>
      <c r="O467" s="29" t="s">
        <v>137</v>
      </c>
      <c r="P467" s="30" t="s">
        <v>951</v>
      </c>
    </row>
    <row r="468" s="25" customFormat="1" spans="1:16">
      <c r="A468" s="29" t="s">
        <v>948</v>
      </c>
      <c r="B468" s="29" t="s">
        <v>941</v>
      </c>
      <c r="C468" s="29" t="s">
        <v>47</v>
      </c>
      <c r="D468" s="29" t="s">
        <v>804</v>
      </c>
      <c r="E468" s="29" t="s">
        <v>47</v>
      </c>
      <c r="F468" s="29" t="s">
        <v>35</v>
      </c>
      <c r="G468" s="29" t="s">
        <v>942</v>
      </c>
      <c r="H468" s="29" t="s">
        <v>943</v>
      </c>
      <c r="I468" s="29" t="s">
        <v>204</v>
      </c>
      <c r="J468" s="29" t="s">
        <v>47</v>
      </c>
      <c r="K468" s="29" t="s">
        <v>952</v>
      </c>
      <c r="L468" s="29" t="s">
        <v>953</v>
      </c>
      <c r="M468" s="29" t="s">
        <v>207</v>
      </c>
      <c r="N468" s="29" t="s">
        <v>950</v>
      </c>
      <c r="O468" s="29" t="s">
        <v>137</v>
      </c>
      <c r="P468" s="30" t="s">
        <v>954</v>
      </c>
    </row>
    <row r="469" s="25" customFormat="1" spans="1:16">
      <c r="A469" s="29" t="s">
        <v>952</v>
      </c>
      <c r="B469" s="29" t="s">
        <v>941</v>
      </c>
      <c r="C469" s="29" t="s">
        <v>47</v>
      </c>
      <c r="D469" s="29" t="s">
        <v>804</v>
      </c>
      <c r="E469" s="29" t="s">
        <v>47</v>
      </c>
      <c r="F469" s="29" t="s">
        <v>35</v>
      </c>
      <c r="G469" s="29" t="s">
        <v>942</v>
      </c>
      <c r="H469" s="29" t="s">
        <v>943</v>
      </c>
      <c r="I469" s="29" t="s">
        <v>204</v>
      </c>
      <c r="J469" s="29" t="s">
        <v>51</v>
      </c>
      <c r="K469" s="29" t="s">
        <v>955</v>
      </c>
      <c r="L469" s="29" t="s">
        <v>956</v>
      </c>
      <c r="M469" s="29" t="s">
        <v>207</v>
      </c>
      <c r="N469" s="29" t="s">
        <v>950</v>
      </c>
      <c r="O469" s="29" t="s">
        <v>137</v>
      </c>
      <c r="P469" s="30" t="s">
        <v>957</v>
      </c>
    </row>
    <row r="470" s="25" customFormat="1" spans="1:16">
      <c r="A470" s="29" t="s">
        <v>955</v>
      </c>
      <c r="B470" s="29" t="s">
        <v>941</v>
      </c>
      <c r="C470" s="29" t="s">
        <v>47</v>
      </c>
      <c r="D470" s="29" t="s">
        <v>804</v>
      </c>
      <c r="E470" s="29" t="s">
        <v>47</v>
      </c>
      <c r="F470" s="29" t="s">
        <v>35</v>
      </c>
      <c r="G470" s="29" t="s">
        <v>942</v>
      </c>
      <c r="H470" s="29" t="s">
        <v>943</v>
      </c>
      <c r="I470" s="29" t="s">
        <v>204</v>
      </c>
      <c r="J470" s="29" t="s">
        <v>55</v>
      </c>
      <c r="K470" s="29" t="s">
        <v>958</v>
      </c>
      <c r="L470" s="29" t="s">
        <v>959</v>
      </c>
      <c r="M470" s="29" t="s">
        <v>207</v>
      </c>
      <c r="N470" s="29" t="s">
        <v>950</v>
      </c>
      <c r="O470" s="29" t="s">
        <v>137</v>
      </c>
      <c r="P470" s="30" t="s">
        <v>960</v>
      </c>
    </row>
    <row r="471" s="25" customFormat="1" spans="1:16">
      <c r="A471" s="29" t="s">
        <v>958</v>
      </c>
      <c r="B471" s="29" t="s">
        <v>941</v>
      </c>
      <c r="C471" s="29" t="s">
        <v>47</v>
      </c>
      <c r="D471" s="29" t="s">
        <v>804</v>
      </c>
      <c r="E471" s="29" t="s">
        <v>47</v>
      </c>
      <c r="F471" s="29" t="s">
        <v>35</v>
      </c>
      <c r="G471" s="29" t="s">
        <v>942</v>
      </c>
      <c r="H471" s="29" t="s">
        <v>943</v>
      </c>
      <c r="I471" s="29" t="s">
        <v>204</v>
      </c>
      <c r="J471" s="29" t="s">
        <v>59</v>
      </c>
      <c r="K471" s="29" t="s">
        <v>961</v>
      </c>
      <c r="L471" s="29" t="s">
        <v>962</v>
      </c>
      <c r="M471" s="29" t="s">
        <v>207</v>
      </c>
      <c r="N471" s="29" t="s">
        <v>950</v>
      </c>
      <c r="O471" s="29" t="s">
        <v>137</v>
      </c>
      <c r="P471" s="30" t="s">
        <v>963</v>
      </c>
    </row>
    <row r="472" s="25" customFormat="1" spans="1:16">
      <c r="A472" s="29" t="s">
        <v>961</v>
      </c>
      <c r="B472" s="29" t="s">
        <v>941</v>
      </c>
      <c r="C472" s="29" t="s">
        <v>47</v>
      </c>
      <c r="D472" s="29" t="s">
        <v>804</v>
      </c>
      <c r="E472" s="29" t="s">
        <v>47</v>
      </c>
      <c r="F472" s="29" t="s">
        <v>35</v>
      </c>
      <c r="G472" s="29" t="s">
        <v>942</v>
      </c>
      <c r="H472" s="29" t="s">
        <v>943</v>
      </c>
      <c r="I472" s="29" t="s">
        <v>204</v>
      </c>
      <c r="J472" s="29" t="s">
        <v>129</v>
      </c>
      <c r="K472" s="29" t="s">
        <v>964</v>
      </c>
      <c r="L472" s="29" t="s">
        <v>965</v>
      </c>
      <c r="M472" s="29" t="s">
        <v>207</v>
      </c>
      <c r="N472" s="29" t="s">
        <v>950</v>
      </c>
      <c r="O472" s="29" t="s">
        <v>137</v>
      </c>
      <c r="P472" s="30" t="s">
        <v>966</v>
      </c>
    </row>
    <row r="473" s="25" customFormat="1" spans="1:16">
      <c r="A473" s="29" t="s">
        <v>964</v>
      </c>
      <c r="B473" s="29" t="s">
        <v>941</v>
      </c>
      <c r="C473" s="29" t="s">
        <v>47</v>
      </c>
      <c r="D473" s="29" t="s">
        <v>804</v>
      </c>
      <c r="E473" s="29" t="s">
        <v>47</v>
      </c>
      <c r="F473" s="29" t="s">
        <v>35</v>
      </c>
      <c r="G473" s="29" t="s">
        <v>942</v>
      </c>
      <c r="H473" s="29" t="s">
        <v>943</v>
      </c>
      <c r="I473" s="29" t="s">
        <v>204</v>
      </c>
      <c r="J473" s="29" t="s">
        <v>133</v>
      </c>
      <c r="K473" s="29" t="s">
        <v>967</v>
      </c>
      <c r="L473" s="29" t="s">
        <v>968</v>
      </c>
      <c r="M473" s="29" t="s">
        <v>207</v>
      </c>
      <c r="N473" s="29" t="s">
        <v>950</v>
      </c>
      <c r="O473" s="29" t="s">
        <v>137</v>
      </c>
      <c r="P473" s="30" t="s">
        <v>969</v>
      </c>
    </row>
    <row r="474" s="25" customFormat="1" spans="1:16">
      <c r="A474" s="29" t="s">
        <v>967</v>
      </c>
      <c r="B474" s="29" t="s">
        <v>941</v>
      </c>
      <c r="C474" s="29" t="s">
        <v>47</v>
      </c>
      <c r="D474" s="29" t="s">
        <v>804</v>
      </c>
      <c r="E474" s="29" t="s">
        <v>47</v>
      </c>
      <c r="F474" s="29" t="s">
        <v>35</v>
      </c>
      <c r="G474" s="29" t="s">
        <v>942</v>
      </c>
      <c r="H474" s="29" t="s">
        <v>943</v>
      </c>
      <c r="I474" s="29" t="s">
        <v>204</v>
      </c>
      <c r="J474" s="29" t="s">
        <v>137</v>
      </c>
      <c r="K474" s="29" t="s">
        <v>970</v>
      </c>
      <c r="L474" s="29" t="s">
        <v>971</v>
      </c>
      <c r="M474" s="29" t="s">
        <v>207</v>
      </c>
      <c r="N474" s="29" t="s">
        <v>950</v>
      </c>
      <c r="O474" s="29" t="s">
        <v>137</v>
      </c>
      <c r="P474" s="30" t="s">
        <v>972</v>
      </c>
    </row>
    <row r="475" s="25" customFormat="1" spans="1:16">
      <c r="A475" s="29" t="s">
        <v>970</v>
      </c>
      <c r="B475" s="29" t="s">
        <v>941</v>
      </c>
      <c r="C475" s="29" t="s">
        <v>47</v>
      </c>
      <c r="D475" s="29" t="s">
        <v>804</v>
      </c>
      <c r="E475" s="29" t="s">
        <v>47</v>
      </c>
      <c r="F475" s="29" t="s">
        <v>35</v>
      </c>
      <c r="G475" s="29" t="s">
        <v>942</v>
      </c>
      <c r="H475" s="29" t="s">
        <v>943</v>
      </c>
      <c r="I475" s="29" t="s">
        <v>204</v>
      </c>
      <c r="J475" s="29" t="s">
        <v>141</v>
      </c>
      <c r="K475" s="29" t="s">
        <v>973</v>
      </c>
      <c r="L475" s="29" t="s">
        <v>974</v>
      </c>
      <c r="M475" s="29" t="s">
        <v>207</v>
      </c>
      <c r="N475" s="29" t="s">
        <v>950</v>
      </c>
      <c r="O475" s="29" t="s">
        <v>137</v>
      </c>
      <c r="P475" s="30" t="s">
        <v>975</v>
      </c>
    </row>
    <row r="476" s="25" customFormat="1" spans="1:16">
      <c r="A476" s="29" t="s">
        <v>973</v>
      </c>
      <c r="B476" s="29" t="s">
        <v>941</v>
      </c>
      <c r="C476" s="29" t="s">
        <v>47</v>
      </c>
      <c r="D476" s="29" t="s">
        <v>804</v>
      </c>
      <c r="E476" s="29" t="s">
        <v>47</v>
      </c>
      <c r="F476" s="29" t="s">
        <v>35</v>
      </c>
      <c r="G476" s="29" t="s">
        <v>942</v>
      </c>
      <c r="H476" s="29" t="s">
        <v>943</v>
      </c>
      <c r="I476" s="29" t="s">
        <v>204</v>
      </c>
      <c r="J476" s="29" t="s">
        <v>145</v>
      </c>
      <c r="K476" s="29" t="s">
        <v>39</v>
      </c>
      <c r="L476" s="29" t="s">
        <v>976</v>
      </c>
      <c r="M476" s="29" t="s">
        <v>207</v>
      </c>
      <c r="N476" s="29" t="s">
        <v>950</v>
      </c>
      <c r="O476" s="29" t="s">
        <v>137</v>
      </c>
      <c r="P476" s="30" t="s">
        <v>977</v>
      </c>
    </row>
    <row r="477" s="25" customFormat="1" spans="1:16">
      <c r="A477" s="29" t="s">
        <v>978</v>
      </c>
      <c r="B477" s="29" t="s">
        <v>978</v>
      </c>
      <c r="C477" s="29" t="s">
        <v>47</v>
      </c>
      <c r="D477" s="29" t="s">
        <v>804</v>
      </c>
      <c r="E477" s="29" t="s">
        <v>47</v>
      </c>
      <c r="F477" s="29" t="s">
        <v>35</v>
      </c>
      <c r="G477" s="29" t="s">
        <v>979</v>
      </c>
      <c r="H477" s="29" t="s">
        <v>980</v>
      </c>
      <c r="I477" s="29" t="s">
        <v>204</v>
      </c>
      <c r="J477" s="29" t="s">
        <v>39</v>
      </c>
      <c r="K477" s="29" t="s">
        <v>981</v>
      </c>
      <c r="L477" s="29" t="s">
        <v>945</v>
      </c>
      <c r="M477" s="29" t="s">
        <v>244</v>
      </c>
      <c r="N477" s="29" t="s">
        <v>982</v>
      </c>
      <c r="O477" s="29" t="s">
        <v>141</v>
      </c>
      <c r="P477" s="30" t="s">
        <v>983</v>
      </c>
    </row>
    <row r="478" s="25" customFormat="1" spans="1:16">
      <c r="A478" s="29" t="s">
        <v>981</v>
      </c>
      <c r="B478" s="29" t="s">
        <v>978</v>
      </c>
      <c r="C478" s="29" t="s">
        <v>47</v>
      </c>
      <c r="D478" s="29" t="s">
        <v>804</v>
      </c>
      <c r="E478" s="29" t="s">
        <v>47</v>
      </c>
      <c r="F478" s="29" t="s">
        <v>35</v>
      </c>
      <c r="G478" s="29" t="s">
        <v>979</v>
      </c>
      <c r="H478" s="29" t="s">
        <v>980</v>
      </c>
      <c r="I478" s="29" t="s">
        <v>204</v>
      </c>
      <c r="J478" s="29" t="s">
        <v>35</v>
      </c>
      <c r="K478" s="29" t="s">
        <v>984</v>
      </c>
      <c r="L478" s="29" t="s">
        <v>949</v>
      </c>
      <c r="M478" s="29" t="s">
        <v>244</v>
      </c>
      <c r="N478" s="29" t="s">
        <v>985</v>
      </c>
      <c r="O478" s="29" t="s">
        <v>141</v>
      </c>
      <c r="P478" s="30" t="s">
        <v>986</v>
      </c>
    </row>
    <row r="479" s="25" customFormat="1" spans="1:16">
      <c r="A479" s="29" t="s">
        <v>984</v>
      </c>
      <c r="B479" s="29" t="s">
        <v>978</v>
      </c>
      <c r="C479" s="29" t="s">
        <v>47</v>
      </c>
      <c r="D479" s="29" t="s">
        <v>804</v>
      </c>
      <c r="E479" s="29" t="s">
        <v>47</v>
      </c>
      <c r="F479" s="29" t="s">
        <v>35</v>
      </c>
      <c r="G479" s="29" t="s">
        <v>979</v>
      </c>
      <c r="H479" s="29" t="s">
        <v>980</v>
      </c>
      <c r="I479" s="29" t="s">
        <v>204</v>
      </c>
      <c r="J479" s="29" t="s">
        <v>47</v>
      </c>
      <c r="K479" s="29" t="s">
        <v>987</v>
      </c>
      <c r="L479" s="29" t="s">
        <v>953</v>
      </c>
      <c r="M479" s="29" t="s">
        <v>244</v>
      </c>
      <c r="N479" s="29" t="s">
        <v>985</v>
      </c>
      <c r="O479" s="29" t="s">
        <v>141</v>
      </c>
      <c r="P479" s="30" t="s">
        <v>988</v>
      </c>
    </row>
    <row r="480" s="25" customFormat="1" spans="1:16">
      <c r="A480" s="29" t="s">
        <v>987</v>
      </c>
      <c r="B480" s="29" t="s">
        <v>978</v>
      </c>
      <c r="C480" s="29" t="s">
        <v>47</v>
      </c>
      <c r="D480" s="29" t="s">
        <v>804</v>
      </c>
      <c r="E480" s="29" t="s">
        <v>47</v>
      </c>
      <c r="F480" s="29" t="s">
        <v>35</v>
      </c>
      <c r="G480" s="29" t="s">
        <v>979</v>
      </c>
      <c r="H480" s="29" t="s">
        <v>980</v>
      </c>
      <c r="I480" s="29" t="s">
        <v>204</v>
      </c>
      <c r="J480" s="29" t="s">
        <v>51</v>
      </c>
      <c r="K480" s="29" t="s">
        <v>989</v>
      </c>
      <c r="L480" s="29" t="s">
        <v>956</v>
      </c>
      <c r="M480" s="29" t="s">
        <v>244</v>
      </c>
      <c r="N480" s="29" t="s">
        <v>985</v>
      </c>
      <c r="O480" s="29" t="s">
        <v>141</v>
      </c>
      <c r="P480" s="30" t="s">
        <v>990</v>
      </c>
    </row>
    <row r="481" s="25" customFormat="1" spans="1:16">
      <c r="A481" s="29" t="s">
        <v>989</v>
      </c>
      <c r="B481" s="29" t="s">
        <v>978</v>
      </c>
      <c r="C481" s="29" t="s">
        <v>47</v>
      </c>
      <c r="D481" s="29" t="s">
        <v>804</v>
      </c>
      <c r="E481" s="29" t="s">
        <v>47</v>
      </c>
      <c r="F481" s="29" t="s">
        <v>35</v>
      </c>
      <c r="G481" s="29" t="s">
        <v>979</v>
      </c>
      <c r="H481" s="29" t="s">
        <v>980</v>
      </c>
      <c r="I481" s="29" t="s">
        <v>204</v>
      </c>
      <c r="J481" s="29" t="s">
        <v>55</v>
      </c>
      <c r="K481" s="29" t="s">
        <v>991</v>
      </c>
      <c r="L481" s="29" t="s">
        <v>959</v>
      </c>
      <c r="M481" s="29" t="s">
        <v>244</v>
      </c>
      <c r="N481" s="29" t="s">
        <v>985</v>
      </c>
      <c r="O481" s="29" t="s">
        <v>141</v>
      </c>
      <c r="P481" s="30" t="s">
        <v>992</v>
      </c>
    </row>
    <row r="482" s="25" customFormat="1" spans="1:16">
      <c r="A482" s="29" t="s">
        <v>991</v>
      </c>
      <c r="B482" s="29" t="s">
        <v>978</v>
      </c>
      <c r="C482" s="29" t="s">
        <v>47</v>
      </c>
      <c r="D482" s="29" t="s">
        <v>804</v>
      </c>
      <c r="E482" s="29" t="s">
        <v>47</v>
      </c>
      <c r="F482" s="29" t="s">
        <v>35</v>
      </c>
      <c r="G482" s="29" t="s">
        <v>979</v>
      </c>
      <c r="H482" s="29" t="s">
        <v>980</v>
      </c>
      <c r="I482" s="29" t="s">
        <v>204</v>
      </c>
      <c r="J482" s="29" t="s">
        <v>59</v>
      </c>
      <c r="K482" s="29" t="s">
        <v>993</v>
      </c>
      <c r="L482" s="29" t="s">
        <v>962</v>
      </c>
      <c r="M482" s="29" t="s">
        <v>244</v>
      </c>
      <c r="N482" s="29" t="s">
        <v>985</v>
      </c>
      <c r="O482" s="29" t="s">
        <v>141</v>
      </c>
      <c r="P482" s="30" t="s">
        <v>994</v>
      </c>
    </row>
    <row r="483" s="25" customFormat="1" spans="1:16">
      <c r="A483" s="29" t="s">
        <v>993</v>
      </c>
      <c r="B483" s="29" t="s">
        <v>978</v>
      </c>
      <c r="C483" s="29" t="s">
        <v>47</v>
      </c>
      <c r="D483" s="29" t="s">
        <v>804</v>
      </c>
      <c r="E483" s="29" t="s">
        <v>47</v>
      </c>
      <c r="F483" s="29" t="s">
        <v>35</v>
      </c>
      <c r="G483" s="29" t="s">
        <v>979</v>
      </c>
      <c r="H483" s="29" t="s">
        <v>980</v>
      </c>
      <c r="I483" s="29" t="s">
        <v>204</v>
      </c>
      <c r="J483" s="29" t="s">
        <v>129</v>
      </c>
      <c r="K483" s="29" t="s">
        <v>995</v>
      </c>
      <c r="L483" s="29" t="s">
        <v>965</v>
      </c>
      <c r="M483" s="29" t="s">
        <v>244</v>
      </c>
      <c r="N483" s="29" t="s">
        <v>985</v>
      </c>
      <c r="O483" s="29" t="s">
        <v>141</v>
      </c>
      <c r="P483" s="30" t="s">
        <v>996</v>
      </c>
    </row>
    <row r="484" s="25" customFormat="1" spans="1:16">
      <c r="A484" s="29" t="s">
        <v>995</v>
      </c>
      <c r="B484" s="29" t="s">
        <v>978</v>
      </c>
      <c r="C484" s="29" t="s">
        <v>47</v>
      </c>
      <c r="D484" s="29" t="s">
        <v>804</v>
      </c>
      <c r="E484" s="29" t="s">
        <v>47</v>
      </c>
      <c r="F484" s="29" t="s">
        <v>35</v>
      </c>
      <c r="G484" s="29" t="s">
        <v>979</v>
      </c>
      <c r="H484" s="29" t="s">
        <v>980</v>
      </c>
      <c r="I484" s="29" t="s">
        <v>204</v>
      </c>
      <c r="J484" s="29" t="s">
        <v>133</v>
      </c>
      <c r="K484" s="29" t="s">
        <v>997</v>
      </c>
      <c r="L484" s="29" t="s">
        <v>968</v>
      </c>
      <c r="M484" s="29" t="s">
        <v>244</v>
      </c>
      <c r="N484" s="29" t="s">
        <v>985</v>
      </c>
      <c r="O484" s="29" t="s">
        <v>141</v>
      </c>
      <c r="P484" s="30" t="s">
        <v>998</v>
      </c>
    </row>
    <row r="485" s="25" customFormat="1" spans="1:16">
      <c r="A485" s="29" t="s">
        <v>997</v>
      </c>
      <c r="B485" s="29" t="s">
        <v>978</v>
      </c>
      <c r="C485" s="29" t="s">
        <v>47</v>
      </c>
      <c r="D485" s="29" t="s">
        <v>804</v>
      </c>
      <c r="E485" s="29" t="s">
        <v>47</v>
      </c>
      <c r="F485" s="29" t="s">
        <v>35</v>
      </c>
      <c r="G485" s="29" t="s">
        <v>979</v>
      </c>
      <c r="H485" s="29" t="s">
        <v>980</v>
      </c>
      <c r="I485" s="29" t="s">
        <v>204</v>
      </c>
      <c r="J485" s="29" t="s">
        <v>137</v>
      </c>
      <c r="K485" s="29" t="s">
        <v>999</v>
      </c>
      <c r="L485" s="29" t="s">
        <v>971</v>
      </c>
      <c r="M485" s="29" t="s">
        <v>244</v>
      </c>
      <c r="N485" s="29" t="s">
        <v>985</v>
      </c>
      <c r="O485" s="29" t="s">
        <v>141</v>
      </c>
      <c r="P485" s="30" t="s">
        <v>1000</v>
      </c>
    </row>
    <row r="486" s="25" customFormat="1" spans="1:16">
      <c r="A486" s="29" t="s">
        <v>999</v>
      </c>
      <c r="B486" s="29" t="s">
        <v>978</v>
      </c>
      <c r="C486" s="29" t="s">
        <v>47</v>
      </c>
      <c r="D486" s="29" t="s">
        <v>804</v>
      </c>
      <c r="E486" s="29" t="s">
        <v>47</v>
      </c>
      <c r="F486" s="29" t="s">
        <v>35</v>
      </c>
      <c r="G486" s="29" t="s">
        <v>979</v>
      </c>
      <c r="H486" s="29" t="s">
        <v>980</v>
      </c>
      <c r="I486" s="29" t="s">
        <v>204</v>
      </c>
      <c r="J486" s="29" t="s">
        <v>141</v>
      </c>
      <c r="K486" s="29" t="s">
        <v>1001</v>
      </c>
      <c r="L486" s="29" t="s">
        <v>974</v>
      </c>
      <c r="M486" s="29" t="s">
        <v>244</v>
      </c>
      <c r="N486" s="29" t="s">
        <v>985</v>
      </c>
      <c r="O486" s="29" t="s">
        <v>141</v>
      </c>
      <c r="P486" s="30" t="s">
        <v>1002</v>
      </c>
    </row>
    <row r="487" s="25" customFormat="1" spans="1:16">
      <c r="A487" s="29" t="s">
        <v>1001</v>
      </c>
      <c r="B487" s="29" t="s">
        <v>978</v>
      </c>
      <c r="C487" s="29" t="s">
        <v>47</v>
      </c>
      <c r="D487" s="29" t="s">
        <v>804</v>
      </c>
      <c r="E487" s="29" t="s">
        <v>47</v>
      </c>
      <c r="F487" s="29" t="s">
        <v>35</v>
      </c>
      <c r="G487" s="29" t="s">
        <v>979</v>
      </c>
      <c r="H487" s="29" t="s">
        <v>980</v>
      </c>
      <c r="I487" s="29" t="s">
        <v>204</v>
      </c>
      <c r="J487" s="29" t="s">
        <v>145</v>
      </c>
      <c r="K487" s="29" t="s">
        <v>39</v>
      </c>
      <c r="L487" s="29" t="s">
        <v>976</v>
      </c>
      <c r="M487" s="29" t="s">
        <v>244</v>
      </c>
      <c r="N487" s="29" t="s">
        <v>985</v>
      </c>
      <c r="O487" s="29" t="s">
        <v>141</v>
      </c>
      <c r="P487" s="30" t="s">
        <v>1003</v>
      </c>
    </row>
    <row r="488" s="25" customFormat="1" spans="1:16">
      <c r="A488" s="29" t="s">
        <v>1004</v>
      </c>
      <c r="B488" s="29" t="s">
        <v>1004</v>
      </c>
      <c r="C488" s="29" t="s">
        <v>47</v>
      </c>
      <c r="D488" s="29" t="s">
        <v>804</v>
      </c>
      <c r="E488" s="29" t="s">
        <v>47</v>
      </c>
      <c r="F488" s="29" t="s">
        <v>35</v>
      </c>
      <c r="G488" s="29" t="s">
        <v>1005</v>
      </c>
      <c r="H488" s="29" t="s">
        <v>1006</v>
      </c>
      <c r="I488" s="29" t="s">
        <v>204</v>
      </c>
      <c r="J488" s="29" t="s">
        <v>39</v>
      </c>
      <c r="K488" s="29" t="s">
        <v>1007</v>
      </c>
      <c r="L488" s="29" t="s">
        <v>945</v>
      </c>
      <c r="M488" s="29" t="s">
        <v>271</v>
      </c>
      <c r="N488" s="29" t="s">
        <v>1008</v>
      </c>
      <c r="O488" s="29" t="s">
        <v>145</v>
      </c>
      <c r="P488" s="30" t="s">
        <v>1009</v>
      </c>
    </row>
    <row r="489" s="25" customFormat="1" spans="1:16">
      <c r="A489" s="29" t="s">
        <v>1007</v>
      </c>
      <c r="B489" s="29" t="s">
        <v>1004</v>
      </c>
      <c r="C489" s="29" t="s">
        <v>47</v>
      </c>
      <c r="D489" s="29" t="s">
        <v>804</v>
      </c>
      <c r="E489" s="29" t="s">
        <v>47</v>
      </c>
      <c r="F489" s="29" t="s">
        <v>35</v>
      </c>
      <c r="G489" s="29" t="s">
        <v>1005</v>
      </c>
      <c r="H489" s="29" t="s">
        <v>1006</v>
      </c>
      <c r="I489" s="29" t="s">
        <v>204</v>
      </c>
      <c r="J489" s="29" t="s">
        <v>35</v>
      </c>
      <c r="K489" s="29" t="s">
        <v>1010</v>
      </c>
      <c r="L489" s="29" t="s">
        <v>949</v>
      </c>
      <c r="M489" s="29" t="s">
        <v>271</v>
      </c>
      <c r="N489" s="29" t="s">
        <v>1011</v>
      </c>
      <c r="O489" s="29" t="s">
        <v>145</v>
      </c>
      <c r="P489" s="30" t="s">
        <v>1012</v>
      </c>
    </row>
    <row r="490" s="25" customFormat="1" spans="1:16">
      <c r="A490" s="29" t="s">
        <v>1010</v>
      </c>
      <c r="B490" s="29" t="s">
        <v>1004</v>
      </c>
      <c r="C490" s="29" t="s">
        <v>47</v>
      </c>
      <c r="D490" s="29" t="s">
        <v>804</v>
      </c>
      <c r="E490" s="29" t="s">
        <v>47</v>
      </c>
      <c r="F490" s="29" t="s">
        <v>35</v>
      </c>
      <c r="G490" s="29" t="s">
        <v>1005</v>
      </c>
      <c r="H490" s="29" t="s">
        <v>1006</v>
      </c>
      <c r="I490" s="29" t="s">
        <v>204</v>
      </c>
      <c r="J490" s="29" t="s">
        <v>47</v>
      </c>
      <c r="K490" s="29" t="s">
        <v>1013</v>
      </c>
      <c r="L490" s="29" t="s">
        <v>953</v>
      </c>
      <c r="M490" s="29" t="s">
        <v>271</v>
      </c>
      <c r="N490" s="29" t="s">
        <v>1011</v>
      </c>
      <c r="O490" s="29" t="s">
        <v>145</v>
      </c>
      <c r="P490" s="30" t="s">
        <v>1014</v>
      </c>
    </row>
    <row r="491" s="25" customFormat="1" spans="1:16">
      <c r="A491" s="29" t="s">
        <v>1013</v>
      </c>
      <c r="B491" s="29" t="s">
        <v>1004</v>
      </c>
      <c r="C491" s="29" t="s">
        <v>47</v>
      </c>
      <c r="D491" s="29" t="s">
        <v>804</v>
      </c>
      <c r="E491" s="29" t="s">
        <v>47</v>
      </c>
      <c r="F491" s="29" t="s">
        <v>35</v>
      </c>
      <c r="G491" s="29" t="s">
        <v>1005</v>
      </c>
      <c r="H491" s="29" t="s">
        <v>1006</v>
      </c>
      <c r="I491" s="29" t="s">
        <v>204</v>
      </c>
      <c r="J491" s="29" t="s">
        <v>51</v>
      </c>
      <c r="K491" s="29" t="s">
        <v>1015</v>
      </c>
      <c r="L491" s="29" t="s">
        <v>956</v>
      </c>
      <c r="M491" s="29" t="s">
        <v>271</v>
      </c>
      <c r="N491" s="29" t="s">
        <v>1011</v>
      </c>
      <c r="O491" s="29" t="s">
        <v>145</v>
      </c>
      <c r="P491" s="30" t="s">
        <v>1016</v>
      </c>
    </row>
    <row r="492" s="25" customFormat="1" spans="1:16">
      <c r="A492" s="29" t="s">
        <v>1015</v>
      </c>
      <c r="B492" s="29" t="s">
        <v>1004</v>
      </c>
      <c r="C492" s="29" t="s">
        <v>47</v>
      </c>
      <c r="D492" s="29" t="s">
        <v>804</v>
      </c>
      <c r="E492" s="29" t="s">
        <v>47</v>
      </c>
      <c r="F492" s="29" t="s">
        <v>35</v>
      </c>
      <c r="G492" s="29" t="s">
        <v>1005</v>
      </c>
      <c r="H492" s="29" t="s">
        <v>1006</v>
      </c>
      <c r="I492" s="29" t="s">
        <v>204</v>
      </c>
      <c r="J492" s="29" t="s">
        <v>55</v>
      </c>
      <c r="K492" s="29" t="s">
        <v>1017</v>
      </c>
      <c r="L492" s="29" t="s">
        <v>959</v>
      </c>
      <c r="M492" s="29" t="s">
        <v>271</v>
      </c>
      <c r="N492" s="29" t="s">
        <v>1011</v>
      </c>
      <c r="O492" s="29" t="s">
        <v>145</v>
      </c>
      <c r="P492" s="30" t="s">
        <v>1018</v>
      </c>
    </row>
    <row r="493" s="25" customFormat="1" spans="1:16">
      <c r="A493" s="29" t="s">
        <v>1017</v>
      </c>
      <c r="B493" s="29" t="s">
        <v>1004</v>
      </c>
      <c r="C493" s="29" t="s">
        <v>47</v>
      </c>
      <c r="D493" s="29" t="s">
        <v>804</v>
      </c>
      <c r="E493" s="29" t="s">
        <v>47</v>
      </c>
      <c r="F493" s="29" t="s">
        <v>35</v>
      </c>
      <c r="G493" s="29" t="s">
        <v>1005</v>
      </c>
      <c r="H493" s="29" t="s">
        <v>1006</v>
      </c>
      <c r="I493" s="29" t="s">
        <v>204</v>
      </c>
      <c r="J493" s="29" t="s">
        <v>59</v>
      </c>
      <c r="K493" s="29" t="s">
        <v>1019</v>
      </c>
      <c r="L493" s="29" t="s">
        <v>962</v>
      </c>
      <c r="M493" s="29" t="s">
        <v>271</v>
      </c>
      <c r="N493" s="29" t="s">
        <v>1011</v>
      </c>
      <c r="O493" s="29" t="s">
        <v>145</v>
      </c>
      <c r="P493" s="30" t="s">
        <v>1020</v>
      </c>
    </row>
    <row r="494" s="25" customFormat="1" spans="1:16">
      <c r="A494" s="29" t="s">
        <v>1019</v>
      </c>
      <c r="B494" s="29" t="s">
        <v>1004</v>
      </c>
      <c r="C494" s="29" t="s">
        <v>47</v>
      </c>
      <c r="D494" s="29" t="s">
        <v>804</v>
      </c>
      <c r="E494" s="29" t="s">
        <v>47</v>
      </c>
      <c r="F494" s="29" t="s">
        <v>35</v>
      </c>
      <c r="G494" s="29" t="s">
        <v>1005</v>
      </c>
      <c r="H494" s="29" t="s">
        <v>1006</v>
      </c>
      <c r="I494" s="29" t="s">
        <v>204</v>
      </c>
      <c r="J494" s="29" t="s">
        <v>129</v>
      </c>
      <c r="K494" s="29" t="s">
        <v>1021</v>
      </c>
      <c r="L494" s="29" t="s">
        <v>965</v>
      </c>
      <c r="M494" s="29" t="s">
        <v>271</v>
      </c>
      <c r="N494" s="29" t="s">
        <v>1011</v>
      </c>
      <c r="O494" s="29" t="s">
        <v>145</v>
      </c>
      <c r="P494" s="30" t="s">
        <v>1022</v>
      </c>
    </row>
    <row r="495" s="25" customFormat="1" spans="1:16">
      <c r="A495" s="29" t="s">
        <v>1021</v>
      </c>
      <c r="B495" s="29" t="s">
        <v>1004</v>
      </c>
      <c r="C495" s="29" t="s">
        <v>47</v>
      </c>
      <c r="D495" s="29" t="s">
        <v>804</v>
      </c>
      <c r="E495" s="29" t="s">
        <v>47</v>
      </c>
      <c r="F495" s="29" t="s">
        <v>35</v>
      </c>
      <c r="G495" s="29" t="s">
        <v>1005</v>
      </c>
      <c r="H495" s="29" t="s">
        <v>1006</v>
      </c>
      <c r="I495" s="29" t="s">
        <v>204</v>
      </c>
      <c r="J495" s="29" t="s">
        <v>133</v>
      </c>
      <c r="K495" s="29" t="s">
        <v>1023</v>
      </c>
      <c r="L495" s="29" t="s">
        <v>968</v>
      </c>
      <c r="M495" s="29" t="s">
        <v>271</v>
      </c>
      <c r="N495" s="29" t="s">
        <v>1011</v>
      </c>
      <c r="O495" s="29" t="s">
        <v>145</v>
      </c>
      <c r="P495" s="30" t="s">
        <v>1024</v>
      </c>
    </row>
    <row r="496" s="25" customFormat="1" spans="1:16">
      <c r="A496" s="29" t="s">
        <v>1023</v>
      </c>
      <c r="B496" s="29" t="s">
        <v>1004</v>
      </c>
      <c r="C496" s="29" t="s">
        <v>47</v>
      </c>
      <c r="D496" s="29" t="s">
        <v>804</v>
      </c>
      <c r="E496" s="29" t="s">
        <v>47</v>
      </c>
      <c r="F496" s="29" t="s">
        <v>35</v>
      </c>
      <c r="G496" s="29" t="s">
        <v>1005</v>
      </c>
      <c r="H496" s="29" t="s">
        <v>1006</v>
      </c>
      <c r="I496" s="29" t="s">
        <v>204</v>
      </c>
      <c r="J496" s="29" t="s">
        <v>137</v>
      </c>
      <c r="K496" s="29" t="s">
        <v>1025</v>
      </c>
      <c r="L496" s="29" t="s">
        <v>971</v>
      </c>
      <c r="M496" s="29" t="s">
        <v>271</v>
      </c>
      <c r="N496" s="29" t="s">
        <v>1011</v>
      </c>
      <c r="O496" s="29" t="s">
        <v>145</v>
      </c>
      <c r="P496" s="30" t="s">
        <v>1026</v>
      </c>
    </row>
    <row r="497" s="25" customFormat="1" spans="1:16">
      <c r="A497" s="29" t="s">
        <v>1025</v>
      </c>
      <c r="B497" s="29" t="s">
        <v>1004</v>
      </c>
      <c r="C497" s="29" t="s">
        <v>47</v>
      </c>
      <c r="D497" s="29" t="s">
        <v>804</v>
      </c>
      <c r="E497" s="29" t="s">
        <v>47</v>
      </c>
      <c r="F497" s="29" t="s">
        <v>35</v>
      </c>
      <c r="G497" s="29" t="s">
        <v>1005</v>
      </c>
      <c r="H497" s="29" t="s">
        <v>1006</v>
      </c>
      <c r="I497" s="29" t="s">
        <v>204</v>
      </c>
      <c r="J497" s="29" t="s">
        <v>141</v>
      </c>
      <c r="K497" s="29" t="s">
        <v>1027</v>
      </c>
      <c r="L497" s="29" t="s">
        <v>974</v>
      </c>
      <c r="M497" s="29" t="s">
        <v>271</v>
      </c>
      <c r="N497" s="29" t="s">
        <v>1011</v>
      </c>
      <c r="O497" s="29" t="s">
        <v>145</v>
      </c>
      <c r="P497" s="30" t="s">
        <v>1028</v>
      </c>
    </row>
    <row r="498" s="25" customFormat="1" spans="1:16">
      <c r="A498" s="29" t="s">
        <v>1027</v>
      </c>
      <c r="B498" s="29" t="s">
        <v>1004</v>
      </c>
      <c r="C498" s="29" t="s">
        <v>47</v>
      </c>
      <c r="D498" s="29" t="s">
        <v>804</v>
      </c>
      <c r="E498" s="29" t="s">
        <v>47</v>
      </c>
      <c r="F498" s="29" t="s">
        <v>35</v>
      </c>
      <c r="G498" s="29" t="s">
        <v>1005</v>
      </c>
      <c r="H498" s="29" t="s">
        <v>1006</v>
      </c>
      <c r="I498" s="29" t="s">
        <v>204</v>
      </c>
      <c r="J498" s="29" t="s">
        <v>145</v>
      </c>
      <c r="K498" s="29" t="s">
        <v>39</v>
      </c>
      <c r="L498" s="29" t="s">
        <v>976</v>
      </c>
      <c r="M498" s="29" t="s">
        <v>271</v>
      </c>
      <c r="N498" s="29" t="s">
        <v>1011</v>
      </c>
      <c r="O498" s="29" t="s">
        <v>145</v>
      </c>
      <c r="P498" s="30" t="s">
        <v>1029</v>
      </c>
    </row>
    <row r="499" s="25" customFormat="1" spans="1:16">
      <c r="A499" s="29" t="s">
        <v>1030</v>
      </c>
      <c r="B499" s="29" t="s">
        <v>1030</v>
      </c>
      <c r="C499" s="29" t="s">
        <v>47</v>
      </c>
      <c r="D499" s="29" t="s">
        <v>808</v>
      </c>
      <c r="E499" s="29" t="s">
        <v>35</v>
      </c>
      <c r="F499" s="29" t="s">
        <v>47</v>
      </c>
      <c r="G499" s="29" t="s">
        <v>295</v>
      </c>
      <c r="H499" s="29" t="s">
        <v>38</v>
      </c>
      <c r="I499" s="29" t="s">
        <v>39</v>
      </c>
      <c r="J499" s="29" t="s">
        <v>39</v>
      </c>
      <c r="K499" s="29" t="s">
        <v>1031</v>
      </c>
      <c r="L499" s="29" t="s">
        <v>1032</v>
      </c>
      <c r="M499" s="29" t="s">
        <v>298</v>
      </c>
      <c r="N499" s="29" t="s">
        <v>806</v>
      </c>
      <c r="O499" s="29" t="s">
        <v>35</v>
      </c>
      <c r="P499" s="30" t="s">
        <v>807</v>
      </c>
    </row>
    <row r="500" s="25" customFormat="1" spans="1:16">
      <c r="A500" s="29" t="s">
        <v>1031</v>
      </c>
      <c r="B500" s="29" t="s">
        <v>1030</v>
      </c>
      <c r="C500" s="29" t="s">
        <v>47</v>
      </c>
      <c r="D500" s="29" t="s">
        <v>808</v>
      </c>
      <c r="E500" s="29" t="s">
        <v>35</v>
      </c>
      <c r="F500" s="29" t="s">
        <v>47</v>
      </c>
      <c r="G500" s="29" t="s">
        <v>295</v>
      </c>
      <c r="H500" s="29" t="s">
        <v>38</v>
      </c>
      <c r="I500" s="29" t="s">
        <v>39</v>
      </c>
      <c r="J500" s="29" t="s">
        <v>35</v>
      </c>
      <c r="K500" s="29" t="s">
        <v>1033</v>
      </c>
      <c r="L500" s="29" t="s">
        <v>1034</v>
      </c>
      <c r="M500" s="29" t="s">
        <v>298</v>
      </c>
      <c r="N500" s="29" t="s">
        <v>1035</v>
      </c>
      <c r="O500" s="29" t="s">
        <v>35</v>
      </c>
      <c r="P500" s="30" t="s">
        <v>1036</v>
      </c>
    </row>
    <row r="501" s="25" customFormat="1" spans="1:16">
      <c r="A501" s="29" t="s">
        <v>1033</v>
      </c>
      <c r="B501" s="29" t="s">
        <v>1030</v>
      </c>
      <c r="C501" s="29" t="s">
        <v>47</v>
      </c>
      <c r="D501" s="29" t="s">
        <v>808</v>
      </c>
      <c r="E501" s="29" t="s">
        <v>35</v>
      </c>
      <c r="F501" s="29" t="s">
        <v>47</v>
      </c>
      <c r="G501" s="29" t="s">
        <v>295</v>
      </c>
      <c r="H501" s="29" t="s">
        <v>38</v>
      </c>
      <c r="I501" s="29" t="s">
        <v>39</v>
      </c>
      <c r="J501" s="29" t="s">
        <v>47</v>
      </c>
      <c r="K501" s="29" t="s">
        <v>1037</v>
      </c>
      <c r="L501" s="29" t="s">
        <v>1038</v>
      </c>
      <c r="M501" s="29" t="s">
        <v>298</v>
      </c>
      <c r="N501" s="29" t="s">
        <v>1035</v>
      </c>
      <c r="O501" s="29" t="s">
        <v>35</v>
      </c>
      <c r="P501" s="30" t="s">
        <v>1039</v>
      </c>
    </row>
    <row r="502" s="25" customFormat="1" spans="1:16">
      <c r="A502" s="29" t="s">
        <v>1037</v>
      </c>
      <c r="B502" s="29" t="s">
        <v>1030</v>
      </c>
      <c r="C502" s="29" t="s">
        <v>47</v>
      </c>
      <c r="D502" s="29" t="s">
        <v>808</v>
      </c>
      <c r="E502" s="29" t="s">
        <v>35</v>
      </c>
      <c r="F502" s="29" t="s">
        <v>47</v>
      </c>
      <c r="G502" s="29" t="s">
        <v>295</v>
      </c>
      <c r="H502" s="29" t="s">
        <v>38</v>
      </c>
      <c r="I502" s="29" t="s">
        <v>39</v>
      </c>
      <c r="J502" s="29" t="s">
        <v>51</v>
      </c>
      <c r="K502" s="29" t="s">
        <v>1040</v>
      </c>
      <c r="L502" s="29" t="s">
        <v>1041</v>
      </c>
      <c r="M502" s="29" t="s">
        <v>298</v>
      </c>
      <c r="N502" s="29" t="s">
        <v>1035</v>
      </c>
      <c r="O502" s="29" t="s">
        <v>35</v>
      </c>
      <c r="P502" s="30" t="s">
        <v>814</v>
      </c>
    </row>
    <row r="503" s="25" customFormat="1" spans="1:16">
      <c r="A503" s="29" t="s">
        <v>1040</v>
      </c>
      <c r="B503" s="29" t="s">
        <v>1030</v>
      </c>
      <c r="C503" s="29" t="s">
        <v>47</v>
      </c>
      <c r="D503" s="29" t="s">
        <v>808</v>
      </c>
      <c r="E503" s="29" t="s">
        <v>35</v>
      </c>
      <c r="F503" s="29" t="s">
        <v>47</v>
      </c>
      <c r="G503" s="29" t="s">
        <v>295</v>
      </c>
      <c r="H503" s="29" t="s">
        <v>38</v>
      </c>
      <c r="I503" s="29" t="s">
        <v>39</v>
      </c>
      <c r="J503" s="29" t="s">
        <v>55</v>
      </c>
      <c r="K503" s="29" t="s">
        <v>1042</v>
      </c>
      <c r="L503" s="29" t="s">
        <v>1043</v>
      </c>
      <c r="M503" s="29" t="s">
        <v>298</v>
      </c>
      <c r="N503" s="29" t="s">
        <v>1035</v>
      </c>
      <c r="O503" s="29" t="s">
        <v>35</v>
      </c>
      <c r="P503" s="30" t="s">
        <v>1044</v>
      </c>
    </row>
    <row r="504" s="25" customFormat="1" spans="1:16">
      <c r="A504" s="29" t="s">
        <v>1042</v>
      </c>
      <c r="B504" s="29" t="s">
        <v>1030</v>
      </c>
      <c r="C504" s="29" t="s">
        <v>47</v>
      </c>
      <c r="D504" s="29" t="s">
        <v>808</v>
      </c>
      <c r="E504" s="29" t="s">
        <v>35</v>
      </c>
      <c r="F504" s="29" t="s">
        <v>47</v>
      </c>
      <c r="G504" s="29" t="s">
        <v>295</v>
      </c>
      <c r="H504" s="29" t="s">
        <v>38</v>
      </c>
      <c r="I504" s="29" t="s">
        <v>39</v>
      </c>
      <c r="J504" s="29" t="s">
        <v>59</v>
      </c>
      <c r="K504" s="29" t="s">
        <v>1045</v>
      </c>
      <c r="L504" s="29" t="s">
        <v>1046</v>
      </c>
      <c r="M504" s="29" t="s">
        <v>298</v>
      </c>
      <c r="N504" s="29" t="s">
        <v>1035</v>
      </c>
      <c r="O504" s="29" t="s">
        <v>35</v>
      </c>
      <c r="P504" s="30" t="s">
        <v>1047</v>
      </c>
    </row>
    <row r="505" s="25" customFormat="1" spans="1:16">
      <c r="A505" s="29" t="s">
        <v>1045</v>
      </c>
      <c r="B505" s="29" t="s">
        <v>1030</v>
      </c>
      <c r="C505" s="29" t="s">
        <v>47</v>
      </c>
      <c r="D505" s="29" t="s">
        <v>808</v>
      </c>
      <c r="E505" s="29" t="s">
        <v>35</v>
      </c>
      <c r="F505" s="29" t="s">
        <v>47</v>
      </c>
      <c r="G505" s="29" t="s">
        <v>295</v>
      </c>
      <c r="H505" s="29" t="s">
        <v>38</v>
      </c>
      <c r="I505" s="29" t="s">
        <v>39</v>
      </c>
      <c r="J505" s="29" t="s">
        <v>129</v>
      </c>
      <c r="K505" s="29" t="s">
        <v>1048</v>
      </c>
      <c r="L505" s="29" t="s">
        <v>1049</v>
      </c>
      <c r="M505" s="29" t="s">
        <v>298</v>
      </c>
      <c r="N505" s="29" t="s">
        <v>1035</v>
      </c>
      <c r="O505" s="29" t="s">
        <v>35</v>
      </c>
      <c r="P505" s="30" t="s">
        <v>820</v>
      </c>
    </row>
    <row r="506" s="25" customFormat="1" spans="1:16">
      <c r="A506" s="29" t="s">
        <v>1048</v>
      </c>
      <c r="B506" s="29" t="s">
        <v>1030</v>
      </c>
      <c r="C506" s="29" t="s">
        <v>47</v>
      </c>
      <c r="D506" s="29" t="s">
        <v>808</v>
      </c>
      <c r="E506" s="29" t="s">
        <v>35</v>
      </c>
      <c r="F506" s="29" t="s">
        <v>47</v>
      </c>
      <c r="G506" s="29" t="s">
        <v>295</v>
      </c>
      <c r="H506" s="29" t="s">
        <v>38</v>
      </c>
      <c r="I506" s="29" t="s">
        <v>39</v>
      </c>
      <c r="J506" s="29" t="s">
        <v>133</v>
      </c>
      <c r="K506" s="29" t="s">
        <v>1050</v>
      </c>
      <c r="L506" s="29" t="s">
        <v>1051</v>
      </c>
      <c r="M506" s="29" t="s">
        <v>298</v>
      </c>
      <c r="N506" s="29" t="s">
        <v>1035</v>
      </c>
      <c r="O506" s="29" t="s">
        <v>35</v>
      </c>
      <c r="P506" s="30" t="s">
        <v>1052</v>
      </c>
    </row>
    <row r="507" s="25" customFormat="1" spans="1:16">
      <c r="A507" s="29" t="s">
        <v>1050</v>
      </c>
      <c r="B507" s="29" t="s">
        <v>1030</v>
      </c>
      <c r="C507" s="29" t="s">
        <v>47</v>
      </c>
      <c r="D507" s="29" t="s">
        <v>808</v>
      </c>
      <c r="E507" s="29" t="s">
        <v>35</v>
      </c>
      <c r="F507" s="29" t="s">
        <v>47</v>
      </c>
      <c r="G507" s="29" t="s">
        <v>295</v>
      </c>
      <c r="H507" s="29" t="s">
        <v>38</v>
      </c>
      <c r="I507" s="29" t="s">
        <v>39</v>
      </c>
      <c r="J507" s="29" t="s">
        <v>137</v>
      </c>
      <c r="K507" s="29" t="s">
        <v>1053</v>
      </c>
      <c r="L507" s="29" t="s">
        <v>1054</v>
      </c>
      <c r="M507" s="29" t="s">
        <v>298</v>
      </c>
      <c r="N507" s="29" t="s">
        <v>1035</v>
      </c>
      <c r="O507" s="29" t="s">
        <v>35</v>
      </c>
      <c r="P507" s="30" t="s">
        <v>1055</v>
      </c>
    </row>
    <row r="508" s="25" customFormat="1" spans="1:16">
      <c r="A508" s="29" t="s">
        <v>1053</v>
      </c>
      <c r="B508" s="29" t="s">
        <v>1030</v>
      </c>
      <c r="C508" s="29" t="s">
        <v>47</v>
      </c>
      <c r="D508" s="29" t="s">
        <v>808</v>
      </c>
      <c r="E508" s="29" t="s">
        <v>35</v>
      </c>
      <c r="F508" s="29" t="s">
        <v>47</v>
      </c>
      <c r="G508" s="29" t="s">
        <v>295</v>
      </c>
      <c r="H508" s="29" t="s">
        <v>38</v>
      </c>
      <c r="I508" s="29" t="s">
        <v>39</v>
      </c>
      <c r="J508" s="29" t="s">
        <v>141</v>
      </c>
      <c r="K508" s="29" t="s">
        <v>1056</v>
      </c>
      <c r="L508" s="29" t="s">
        <v>1057</v>
      </c>
      <c r="M508" s="29" t="s">
        <v>298</v>
      </c>
      <c r="N508" s="29" t="s">
        <v>1035</v>
      </c>
      <c r="O508" s="29" t="s">
        <v>35</v>
      </c>
      <c r="P508" s="30" t="s">
        <v>1058</v>
      </c>
    </row>
    <row r="509" s="25" customFormat="1" spans="1:16">
      <c r="A509" s="29" t="s">
        <v>1056</v>
      </c>
      <c r="B509" s="29" t="s">
        <v>1030</v>
      </c>
      <c r="C509" s="29" t="s">
        <v>47</v>
      </c>
      <c r="D509" s="29" t="s">
        <v>808</v>
      </c>
      <c r="E509" s="29" t="s">
        <v>35</v>
      </c>
      <c r="F509" s="29" t="s">
        <v>47</v>
      </c>
      <c r="G509" s="29" t="s">
        <v>295</v>
      </c>
      <c r="H509" s="29" t="s">
        <v>38</v>
      </c>
      <c r="I509" s="29" t="s">
        <v>39</v>
      </c>
      <c r="J509" s="29" t="s">
        <v>145</v>
      </c>
      <c r="K509" s="29" t="s">
        <v>39</v>
      </c>
      <c r="L509" s="29" t="s">
        <v>39</v>
      </c>
      <c r="M509" s="29" t="s">
        <v>39</v>
      </c>
      <c r="N509" s="29" t="s">
        <v>1035</v>
      </c>
      <c r="O509" s="29" t="s">
        <v>35</v>
      </c>
      <c r="P509" s="30" t="s">
        <v>1059</v>
      </c>
    </row>
    <row r="510" s="25" customFormat="1" spans="1:16">
      <c r="A510" s="29" t="s">
        <v>1060</v>
      </c>
      <c r="B510" s="29" t="s">
        <v>1060</v>
      </c>
      <c r="C510" s="29" t="s">
        <v>47</v>
      </c>
      <c r="D510" s="29" t="s">
        <v>808</v>
      </c>
      <c r="E510" s="29" t="s">
        <v>35</v>
      </c>
      <c r="F510" s="29" t="s">
        <v>47</v>
      </c>
      <c r="G510" s="29" t="s">
        <v>327</v>
      </c>
      <c r="H510" s="29" t="s">
        <v>63</v>
      </c>
      <c r="I510" s="29" t="s">
        <v>39</v>
      </c>
      <c r="J510" s="29" t="s">
        <v>39</v>
      </c>
      <c r="K510" s="29" t="s">
        <v>1061</v>
      </c>
      <c r="L510" s="29" t="s">
        <v>1032</v>
      </c>
      <c r="M510" s="29" t="s">
        <v>329</v>
      </c>
      <c r="N510" s="29" t="s">
        <v>824</v>
      </c>
      <c r="O510" s="29" t="s">
        <v>47</v>
      </c>
      <c r="P510" s="30" t="s">
        <v>825</v>
      </c>
    </row>
    <row r="511" s="25" customFormat="1" spans="1:16">
      <c r="A511" s="29" t="s">
        <v>1061</v>
      </c>
      <c r="B511" s="29" t="s">
        <v>1060</v>
      </c>
      <c r="C511" s="29" t="s">
        <v>47</v>
      </c>
      <c r="D511" s="29" t="s">
        <v>808</v>
      </c>
      <c r="E511" s="29" t="s">
        <v>35</v>
      </c>
      <c r="F511" s="29" t="s">
        <v>47</v>
      </c>
      <c r="G511" s="29" t="s">
        <v>327</v>
      </c>
      <c r="H511" s="29" t="s">
        <v>63</v>
      </c>
      <c r="I511" s="29" t="s">
        <v>39</v>
      </c>
      <c r="J511" s="29" t="s">
        <v>35</v>
      </c>
      <c r="K511" s="29" t="s">
        <v>1062</v>
      </c>
      <c r="L511" s="29" t="s">
        <v>1034</v>
      </c>
      <c r="M511" s="29" t="s">
        <v>329</v>
      </c>
      <c r="N511" s="29" t="s">
        <v>1063</v>
      </c>
      <c r="O511" s="29" t="s">
        <v>47</v>
      </c>
      <c r="P511" s="30" t="s">
        <v>1064</v>
      </c>
    </row>
    <row r="512" s="25" customFormat="1" spans="1:16">
      <c r="A512" s="29" t="s">
        <v>1062</v>
      </c>
      <c r="B512" s="29" t="s">
        <v>1060</v>
      </c>
      <c r="C512" s="29" t="s">
        <v>47</v>
      </c>
      <c r="D512" s="29" t="s">
        <v>808</v>
      </c>
      <c r="E512" s="29" t="s">
        <v>35</v>
      </c>
      <c r="F512" s="29" t="s">
        <v>47</v>
      </c>
      <c r="G512" s="29" t="s">
        <v>327</v>
      </c>
      <c r="H512" s="29" t="s">
        <v>63</v>
      </c>
      <c r="I512" s="29" t="s">
        <v>39</v>
      </c>
      <c r="J512" s="29" t="s">
        <v>47</v>
      </c>
      <c r="K512" s="29" t="s">
        <v>1065</v>
      </c>
      <c r="L512" s="29" t="s">
        <v>1038</v>
      </c>
      <c r="M512" s="29" t="s">
        <v>329</v>
      </c>
      <c r="N512" s="29" t="s">
        <v>1063</v>
      </c>
      <c r="O512" s="29" t="s">
        <v>47</v>
      </c>
      <c r="P512" s="30" t="s">
        <v>1066</v>
      </c>
    </row>
    <row r="513" s="25" customFormat="1" spans="1:16">
      <c r="A513" s="29" t="s">
        <v>1065</v>
      </c>
      <c r="B513" s="29" t="s">
        <v>1060</v>
      </c>
      <c r="C513" s="29" t="s">
        <v>47</v>
      </c>
      <c r="D513" s="29" t="s">
        <v>808</v>
      </c>
      <c r="E513" s="29" t="s">
        <v>35</v>
      </c>
      <c r="F513" s="29" t="s">
        <v>47</v>
      </c>
      <c r="G513" s="29" t="s">
        <v>327</v>
      </c>
      <c r="H513" s="29" t="s">
        <v>63</v>
      </c>
      <c r="I513" s="29" t="s">
        <v>39</v>
      </c>
      <c r="J513" s="29" t="s">
        <v>51</v>
      </c>
      <c r="K513" s="29" t="s">
        <v>1067</v>
      </c>
      <c r="L513" s="29" t="s">
        <v>1041</v>
      </c>
      <c r="M513" s="29" t="s">
        <v>329</v>
      </c>
      <c r="N513" s="29" t="s">
        <v>1063</v>
      </c>
      <c r="O513" s="29" t="s">
        <v>47</v>
      </c>
      <c r="P513" s="30" t="s">
        <v>1068</v>
      </c>
    </row>
    <row r="514" s="25" customFormat="1" spans="1:16">
      <c r="A514" s="29" t="s">
        <v>1067</v>
      </c>
      <c r="B514" s="29" t="s">
        <v>1060</v>
      </c>
      <c r="C514" s="29" t="s">
        <v>47</v>
      </c>
      <c r="D514" s="29" t="s">
        <v>808</v>
      </c>
      <c r="E514" s="29" t="s">
        <v>35</v>
      </c>
      <c r="F514" s="29" t="s">
        <v>47</v>
      </c>
      <c r="G514" s="29" t="s">
        <v>327</v>
      </c>
      <c r="H514" s="29" t="s">
        <v>63</v>
      </c>
      <c r="I514" s="29" t="s">
        <v>39</v>
      </c>
      <c r="J514" s="29" t="s">
        <v>55</v>
      </c>
      <c r="K514" s="29" t="s">
        <v>1069</v>
      </c>
      <c r="L514" s="29" t="s">
        <v>1043</v>
      </c>
      <c r="M514" s="29" t="s">
        <v>329</v>
      </c>
      <c r="N514" s="29" t="s">
        <v>1063</v>
      </c>
      <c r="O514" s="29" t="s">
        <v>47</v>
      </c>
      <c r="P514" s="30" t="s">
        <v>1070</v>
      </c>
    </row>
    <row r="515" s="25" customFormat="1" spans="1:16">
      <c r="A515" s="29" t="s">
        <v>1069</v>
      </c>
      <c r="B515" s="29" t="s">
        <v>1060</v>
      </c>
      <c r="C515" s="29" t="s">
        <v>47</v>
      </c>
      <c r="D515" s="29" t="s">
        <v>808</v>
      </c>
      <c r="E515" s="29" t="s">
        <v>35</v>
      </c>
      <c r="F515" s="29" t="s">
        <v>47</v>
      </c>
      <c r="G515" s="29" t="s">
        <v>327</v>
      </c>
      <c r="H515" s="29" t="s">
        <v>63</v>
      </c>
      <c r="I515" s="29" t="s">
        <v>39</v>
      </c>
      <c r="J515" s="29" t="s">
        <v>59</v>
      </c>
      <c r="K515" s="29" t="s">
        <v>1071</v>
      </c>
      <c r="L515" s="29" t="s">
        <v>1046</v>
      </c>
      <c r="M515" s="29" t="s">
        <v>329</v>
      </c>
      <c r="N515" s="29" t="s">
        <v>1063</v>
      </c>
      <c r="O515" s="29" t="s">
        <v>47</v>
      </c>
      <c r="P515" s="30" t="s">
        <v>1072</v>
      </c>
    </row>
    <row r="516" s="25" customFormat="1" spans="1:16">
      <c r="A516" s="29" t="s">
        <v>1071</v>
      </c>
      <c r="B516" s="29" t="s">
        <v>1060</v>
      </c>
      <c r="C516" s="29" t="s">
        <v>47</v>
      </c>
      <c r="D516" s="29" t="s">
        <v>808</v>
      </c>
      <c r="E516" s="29" t="s">
        <v>35</v>
      </c>
      <c r="F516" s="29" t="s">
        <v>47</v>
      </c>
      <c r="G516" s="29" t="s">
        <v>327</v>
      </c>
      <c r="H516" s="29" t="s">
        <v>63</v>
      </c>
      <c r="I516" s="29" t="s">
        <v>39</v>
      </c>
      <c r="J516" s="29" t="s">
        <v>129</v>
      </c>
      <c r="K516" s="29" t="s">
        <v>1073</v>
      </c>
      <c r="L516" s="29" t="s">
        <v>1049</v>
      </c>
      <c r="M516" s="29" t="s">
        <v>329</v>
      </c>
      <c r="N516" s="29" t="s">
        <v>1063</v>
      </c>
      <c r="O516" s="29" t="s">
        <v>47</v>
      </c>
      <c r="P516" s="30" t="s">
        <v>835</v>
      </c>
    </row>
    <row r="517" s="25" customFormat="1" spans="1:16">
      <c r="A517" s="29" t="s">
        <v>1073</v>
      </c>
      <c r="B517" s="29" t="s">
        <v>1060</v>
      </c>
      <c r="C517" s="29" t="s">
        <v>47</v>
      </c>
      <c r="D517" s="29" t="s">
        <v>808</v>
      </c>
      <c r="E517" s="29" t="s">
        <v>35</v>
      </c>
      <c r="F517" s="29" t="s">
        <v>47</v>
      </c>
      <c r="G517" s="29" t="s">
        <v>327</v>
      </c>
      <c r="H517" s="29" t="s">
        <v>63</v>
      </c>
      <c r="I517" s="29" t="s">
        <v>39</v>
      </c>
      <c r="J517" s="29" t="s">
        <v>133</v>
      </c>
      <c r="K517" s="29" t="s">
        <v>1074</v>
      </c>
      <c r="L517" s="29" t="s">
        <v>1051</v>
      </c>
      <c r="M517" s="29" t="s">
        <v>329</v>
      </c>
      <c r="N517" s="29" t="s">
        <v>1063</v>
      </c>
      <c r="O517" s="29" t="s">
        <v>47</v>
      </c>
      <c r="P517" s="30" t="s">
        <v>1075</v>
      </c>
    </row>
    <row r="518" s="25" customFormat="1" spans="1:16">
      <c r="A518" s="29" t="s">
        <v>1074</v>
      </c>
      <c r="B518" s="29" t="s">
        <v>1060</v>
      </c>
      <c r="C518" s="29" t="s">
        <v>47</v>
      </c>
      <c r="D518" s="29" t="s">
        <v>808</v>
      </c>
      <c r="E518" s="29" t="s">
        <v>35</v>
      </c>
      <c r="F518" s="29" t="s">
        <v>47</v>
      </c>
      <c r="G518" s="29" t="s">
        <v>327</v>
      </c>
      <c r="H518" s="29" t="s">
        <v>63</v>
      </c>
      <c r="I518" s="29" t="s">
        <v>39</v>
      </c>
      <c r="J518" s="29" t="s">
        <v>137</v>
      </c>
      <c r="K518" s="29" t="s">
        <v>1076</v>
      </c>
      <c r="L518" s="29" t="s">
        <v>1054</v>
      </c>
      <c r="M518" s="29" t="s">
        <v>329</v>
      </c>
      <c r="N518" s="29" t="s">
        <v>1063</v>
      </c>
      <c r="O518" s="29" t="s">
        <v>47</v>
      </c>
      <c r="P518" s="30" t="s">
        <v>1077</v>
      </c>
    </row>
    <row r="519" s="25" customFormat="1" spans="1:16">
      <c r="A519" s="29" t="s">
        <v>1076</v>
      </c>
      <c r="B519" s="29" t="s">
        <v>1060</v>
      </c>
      <c r="C519" s="29" t="s">
        <v>47</v>
      </c>
      <c r="D519" s="29" t="s">
        <v>808</v>
      </c>
      <c r="E519" s="29" t="s">
        <v>35</v>
      </c>
      <c r="F519" s="29" t="s">
        <v>47</v>
      </c>
      <c r="G519" s="29" t="s">
        <v>327</v>
      </c>
      <c r="H519" s="29" t="s">
        <v>63</v>
      </c>
      <c r="I519" s="29" t="s">
        <v>39</v>
      </c>
      <c r="J519" s="29" t="s">
        <v>141</v>
      </c>
      <c r="K519" s="29" t="s">
        <v>1078</v>
      </c>
      <c r="L519" s="29" t="s">
        <v>1057</v>
      </c>
      <c r="M519" s="29" t="s">
        <v>329</v>
      </c>
      <c r="N519" s="29" t="s">
        <v>1063</v>
      </c>
      <c r="O519" s="29" t="s">
        <v>47</v>
      </c>
      <c r="P519" s="30" t="s">
        <v>1079</v>
      </c>
    </row>
    <row r="520" s="25" customFormat="1" spans="1:16">
      <c r="A520" s="29" t="s">
        <v>1078</v>
      </c>
      <c r="B520" s="29" t="s">
        <v>1060</v>
      </c>
      <c r="C520" s="29" t="s">
        <v>47</v>
      </c>
      <c r="D520" s="29" t="s">
        <v>808</v>
      </c>
      <c r="E520" s="29" t="s">
        <v>35</v>
      </c>
      <c r="F520" s="29" t="s">
        <v>47</v>
      </c>
      <c r="G520" s="29" t="s">
        <v>327</v>
      </c>
      <c r="H520" s="29" t="s">
        <v>63</v>
      </c>
      <c r="I520" s="29" t="s">
        <v>39</v>
      </c>
      <c r="J520" s="29" t="s">
        <v>145</v>
      </c>
      <c r="K520" s="29" t="s">
        <v>39</v>
      </c>
      <c r="L520" s="29" t="s">
        <v>39</v>
      </c>
      <c r="M520" s="29" t="s">
        <v>39</v>
      </c>
      <c r="N520" s="29" t="s">
        <v>1063</v>
      </c>
      <c r="O520" s="29" t="s">
        <v>47</v>
      </c>
      <c r="P520" s="30" t="s">
        <v>1080</v>
      </c>
    </row>
    <row r="521" s="25" customFormat="1" spans="1:16">
      <c r="A521" s="29" t="s">
        <v>1081</v>
      </c>
      <c r="B521" s="29" t="s">
        <v>1081</v>
      </c>
      <c r="C521" s="29" t="s">
        <v>47</v>
      </c>
      <c r="D521" s="29" t="s">
        <v>808</v>
      </c>
      <c r="E521" s="29" t="s">
        <v>35</v>
      </c>
      <c r="F521" s="29" t="s">
        <v>47</v>
      </c>
      <c r="G521" s="29" t="s">
        <v>350</v>
      </c>
      <c r="H521" s="29" t="s">
        <v>80</v>
      </c>
      <c r="I521" s="29" t="s">
        <v>39</v>
      </c>
      <c r="J521" s="29" t="s">
        <v>39</v>
      </c>
      <c r="K521" s="29" t="s">
        <v>1082</v>
      </c>
      <c r="L521" s="29" t="s">
        <v>1032</v>
      </c>
      <c r="M521" s="29" t="s">
        <v>329</v>
      </c>
      <c r="N521" s="29" t="s">
        <v>838</v>
      </c>
      <c r="O521" s="29" t="s">
        <v>51</v>
      </c>
      <c r="P521" s="30" t="s">
        <v>839</v>
      </c>
    </row>
    <row r="522" s="25" customFormat="1" spans="1:16">
      <c r="A522" s="29" t="s">
        <v>1082</v>
      </c>
      <c r="B522" s="29" t="s">
        <v>1081</v>
      </c>
      <c r="C522" s="29" t="s">
        <v>47</v>
      </c>
      <c r="D522" s="29" t="s">
        <v>808</v>
      </c>
      <c r="E522" s="29" t="s">
        <v>35</v>
      </c>
      <c r="F522" s="29" t="s">
        <v>47</v>
      </c>
      <c r="G522" s="29" t="s">
        <v>350</v>
      </c>
      <c r="H522" s="29" t="s">
        <v>80</v>
      </c>
      <c r="I522" s="29" t="s">
        <v>39</v>
      </c>
      <c r="J522" s="29" t="s">
        <v>35</v>
      </c>
      <c r="K522" s="29" t="s">
        <v>1083</v>
      </c>
      <c r="L522" s="29" t="s">
        <v>1034</v>
      </c>
      <c r="M522" s="29" t="s">
        <v>329</v>
      </c>
      <c r="N522" s="29" t="s">
        <v>1084</v>
      </c>
      <c r="O522" s="29" t="s">
        <v>51</v>
      </c>
      <c r="P522" s="30" t="s">
        <v>1085</v>
      </c>
    </row>
    <row r="523" s="25" customFormat="1" spans="1:16">
      <c r="A523" s="29" t="s">
        <v>1083</v>
      </c>
      <c r="B523" s="29" t="s">
        <v>1081</v>
      </c>
      <c r="C523" s="29" t="s">
        <v>47</v>
      </c>
      <c r="D523" s="29" t="s">
        <v>808</v>
      </c>
      <c r="E523" s="29" t="s">
        <v>35</v>
      </c>
      <c r="F523" s="29" t="s">
        <v>47</v>
      </c>
      <c r="G523" s="29" t="s">
        <v>350</v>
      </c>
      <c r="H523" s="29" t="s">
        <v>80</v>
      </c>
      <c r="I523" s="29" t="s">
        <v>39</v>
      </c>
      <c r="J523" s="29" t="s">
        <v>47</v>
      </c>
      <c r="K523" s="29" t="s">
        <v>1086</v>
      </c>
      <c r="L523" s="29" t="s">
        <v>1038</v>
      </c>
      <c r="M523" s="29" t="s">
        <v>329</v>
      </c>
      <c r="N523" s="29" t="s">
        <v>1084</v>
      </c>
      <c r="O523" s="29" t="s">
        <v>51</v>
      </c>
      <c r="P523" s="30" t="s">
        <v>1087</v>
      </c>
    </row>
    <row r="524" s="25" customFormat="1" spans="1:16">
      <c r="A524" s="29" t="s">
        <v>1086</v>
      </c>
      <c r="B524" s="29" t="s">
        <v>1081</v>
      </c>
      <c r="C524" s="29" t="s">
        <v>47</v>
      </c>
      <c r="D524" s="29" t="s">
        <v>808</v>
      </c>
      <c r="E524" s="29" t="s">
        <v>35</v>
      </c>
      <c r="F524" s="29" t="s">
        <v>47</v>
      </c>
      <c r="G524" s="29" t="s">
        <v>350</v>
      </c>
      <c r="H524" s="29" t="s">
        <v>80</v>
      </c>
      <c r="I524" s="29" t="s">
        <v>39</v>
      </c>
      <c r="J524" s="29" t="s">
        <v>51</v>
      </c>
      <c r="K524" s="29" t="s">
        <v>1088</v>
      </c>
      <c r="L524" s="29" t="s">
        <v>1041</v>
      </c>
      <c r="M524" s="29" t="s">
        <v>329</v>
      </c>
      <c r="N524" s="29" t="s">
        <v>1084</v>
      </c>
      <c r="O524" s="29" t="s">
        <v>51</v>
      </c>
      <c r="P524" s="30" t="s">
        <v>1089</v>
      </c>
    </row>
    <row r="525" s="25" customFormat="1" spans="1:16">
      <c r="A525" s="29" t="s">
        <v>1088</v>
      </c>
      <c r="B525" s="29" t="s">
        <v>1081</v>
      </c>
      <c r="C525" s="29" t="s">
        <v>47</v>
      </c>
      <c r="D525" s="29" t="s">
        <v>808</v>
      </c>
      <c r="E525" s="29" t="s">
        <v>35</v>
      </c>
      <c r="F525" s="29" t="s">
        <v>47</v>
      </c>
      <c r="G525" s="29" t="s">
        <v>350</v>
      </c>
      <c r="H525" s="29" t="s">
        <v>80</v>
      </c>
      <c r="I525" s="29" t="s">
        <v>39</v>
      </c>
      <c r="J525" s="29" t="s">
        <v>55</v>
      </c>
      <c r="K525" s="29" t="s">
        <v>1090</v>
      </c>
      <c r="L525" s="29" t="s">
        <v>1043</v>
      </c>
      <c r="M525" s="29" t="s">
        <v>329</v>
      </c>
      <c r="N525" s="29" t="s">
        <v>1084</v>
      </c>
      <c r="O525" s="29" t="s">
        <v>51</v>
      </c>
      <c r="P525" s="30" t="s">
        <v>1091</v>
      </c>
    </row>
    <row r="526" s="25" customFormat="1" spans="1:16">
      <c r="A526" s="29" t="s">
        <v>1090</v>
      </c>
      <c r="B526" s="29" t="s">
        <v>1081</v>
      </c>
      <c r="C526" s="29" t="s">
        <v>47</v>
      </c>
      <c r="D526" s="29" t="s">
        <v>808</v>
      </c>
      <c r="E526" s="29" t="s">
        <v>35</v>
      </c>
      <c r="F526" s="29" t="s">
        <v>47</v>
      </c>
      <c r="G526" s="29" t="s">
        <v>350</v>
      </c>
      <c r="H526" s="29" t="s">
        <v>80</v>
      </c>
      <c r="I526" s="29" t="s">
        <v>39</v>
      </c>
      <c r="J526" s="29" t="s">
        <v>59</v>
      </c>
      <c r="K526" s="29" t="s">
        <v>1092</v>
      </c>
      <c r="L526" s="29" t="s">
        <v>1046</v>
      </c>
      <c r="M526" s="29" t="s">
        <v>329</v>
      </c>
      <c r="N526" s="29" t="s">
        <v>1084</v>
      </c>
      <c r="O526" s="29" t="s">
        <v>51</v>
      </c>
      <c r="P526" s="30" t="s">
        <v>848</v>
      </c>
    </row>
    <row r="527" s="25" customFormat="1" spans="1:16">
      <c r="A527" s="29" t="s">
        <v>1092</v>
      </c>
      <c r="B527" s="29" t="s">
        <v>1081</v>
      </c>
      <c r="C527" s="29" t="s">
        <v>47</v>
      </c>
      <c r="D527" s="29" t="s">
        <v>808</v>
      </c>
      <c r="E527" s="29" t="s">
        <v>35</v>
      </c>
      <c r="F527" s="29" t="s">
        <v>47</v>
      </c>
      <c r="G527" s="29" t="s">
        <v>350</v>
      </c>
      <c r="H527" s="29" t="s">
        <v>80</v>
      </c>
      <c r="I527" s="29" t="s">
        <v>39</v>
      </c>
      <c r="J527" s="29" t="s">
        <v>129</v>
      </c>
      <c r="K527" s="29" t="s">
        <v>1093</v>
      </c>
      <c r="L527" s="29" t="s">
        <v>1049</v>
      </c>
      <c r="M527" s="29" t="s">
        <v>329</v>
      </c>
      <c r="N527" s="29" t="s">
        <v>1084</v>
      </c>
      <c r="O527" s="29" t="s">
        <v>51</v>
      </c>
      <c r="P527" s="30" t="s">
        <v>1094</v>
      </c>
    </row>
    <row r="528" s="25" customFormat="1" spans="1:16">
      <c r="A528" s="29" t="s">
        <v>1093</v>
      </c>
      <c r="B528" s="29" t="s">
        <v>1081</v>
      </c>
      <c r="C528" s="29" t="s">
        <v>47</v>
      </c>
      <c r="D528" s="29" t="s">
        <v>808</v>
      </c>
      <c r="E528" s="29" t="s">
        <v>35</v>
      </c>
      <c r="F528" s="29" t="s">
        <v>47</v>
      </c>
      <c r="G528" s="29" t="s">
        <v>350</v>
      </c>
      <c r="H528" s="29" t="s">
        <v>80</v>
      </c>
      <c r="I528" s="29" t="s">
        <v>39</v>
      </c>
      <c r="J528" s="29" t="s">
        <v>133</v>
      </c>
      <c r="K528" s="29" t="s">
        <v>1095</v>
      </c>
      <c r="L528" s="29" t="s">
        <v>1051</v>
      </c>
      <c r="M528" s="29" t="s">
        <v>329</v>
      </c>
      <c r="N528" s="29" t="s">
        <v>1084</v>
      </c>
      <c r="O528" s="29" t="s">
        <v>51</v>
      </c>
      <c r="P528" s="30" t="s">
        <v>1096</v>
      </c>
    </row>
    <row r="529" s="25" customFormat="1" spans="1:16">
      <c r="A529" s="29" t="s">
        <v>1095</v>
      </c>
      <c r="B529" s="29" t="s">
        <v>1081</v>
      </c>
      <c r="C529" s="29" t="s">
        <v>47</v>
      </c>
      <c r="D529" s="29" t="s">
        <v>808</v>
      </c>
      <c r="E529" s="29" t="s">
        <v>35</v>
      </c>
      <c r="F529" s="29" t="s">
        <v>47</v>
      </c>
      <c r="G529" s="29" t="s">
        <v>350</v>
      </c>
      <c r="H529" s="29" t="s">
        <v>80</v>
      </c>
      <c r="I529" s="29" t="s">
        <v>39</v>
      </c>
      <c r="J529" s="29" t="s">
        <v>137</v>
      </c>
      <c r="K529" s="29" t="s">
        <v>1097</v>
      </c>
      <c r="L529" s="29" t="s">
        <v>1054</v>
      </c>
      <c r="M529" s="29" t="s">
        <v>329</v>
      </c>
      <c r="N529" s="29" t="s">
        <v>1084</v>
      </c>
      <c r="O529" s="29" t="s">
        <v>51</v>
      </c>
      <c r="P529" s="30" t="s">
        <v>1098</v>
      </c>
    </row>
    <row r="530" s="25" customFormat="1" spans="1:16">
      <c r="A530" s="29" t="s">
        <v>1097</v>
      </c>
      <c r="B530" s="29" t="s">
        <v>1081</v>
      </c>
      <c r="C530" s="29" t="s">
        <v>47</v>
      </c>
      <c r="D530" s="29" t="s">
        <v>808</v>
      </c>
      <c r="E530" s="29" t="s">
        <v>35</v>
      </c>
      <c r="F530" s="29" t="s">
        <v>47</v>
      </c>
      <c r="G530" s="29" t="s">
        <v>350</v>
      </c>
      <c r="H530" s="29" t="s">
        <v>80</v>
      </c>
      <c r="I530" s="29" t="s">
        <v>39</v>
      </c>
      <c r="J530" s="29" t="s">
        <v>141</v>
      </c>
      <c r="K530" s="29" t="s">
        <v>1099</v>
      </c>
      <c r="L530" s="29" t="s">
        <v>1057</v>
      </c>
      <c r="M530" s="29" t="s">
        <v>329</v>
      </c>
      <c r="N530" s="29" t="s">
        <v>1084</v>
      </c>
      <c r="O530" s="29" t="s">
        <v>51</v>
      </c>
      <c r="P530" s="30" t="s">
        <v>1100</v>
      </c>
    </row>
    <row r="531" s="25" customFormat="1" spans="1:16">
      <c r="A531" s="29" t="s">
        <v>1099</v>
      </c>
      <c r="B531" s="29" t="s">
        <v>1081</v>
      </c>
      <c r="C531" s="29" t="s">
        <v>47</v>
      </c>
      <c r="D531" s="29" t="s">
        <v>808</v>
      </c>
      <c r="E531" s="29" t="s">
        <v>35</v>
      </c>
      <c r="F531" s="29" t="s">
        <v>47</v>
      </c>
      <c r="G531" s="29" t="s">
        <v>350</v>
      </c>
      <c r="H531" s="29" t="s">
        <v>80</v>
      </c>
      <c r="I531" s="29" t="s">
        <v>39</v>
      </c>
      <c r="J531" s="29" t="s">
        <v>145</v>
      </c>
      <c r="K531" s="29" t="s">
        <v>39</v>
      </c>
      <c r="L531" s="29" t="s">
        <v>39</v>
      </c>
      <c r="M531" s="29" t="s">
        <v>39</v>
      </c>
      <c r="N531" s="29" t="s">
        <v>1084</v>
      </c>
      <c r="O531" s="29" t="s">
        <v>51</v>
      </c>
      <c r="P531" s="30" t="s">
        <v>1101</v>
      </c>
    </row>
    <row r="532" s="25" customFormat="1" spans="1:16">
      <c r="A532" s="29" t="s">
        <v>1102</v>
      </c>
      <c r="B532" s="29" t="s">
        <v>1102</v>
      </c>
      <c r="C532" s="29" t="s">
        <v>47</v>
      </c>
      <c r="D532" s="29" t="s">
        <v>808</v>
      </c>
      <c r="E532" s="29" t="s">
        <v>35</v>
      </c>
      <c r="F532" s="29" t="s">
        <v>47</v>
      </c>
      <c r="G532" s="29" t="s">
        <v>372</v>
      </c>
      <c r="H532" s="29" t="s">
        <v>96</v>
      </c>
      <c r="I532" s="29" t="s">
        <v>39</v>
      </c>
      <c r="J532" s="29" t="s">
        <v>39</v>
      </c>
      <c r="K532" s="29" t="s">
        <v>1103</v>
      </c>
      <c r="L532" s="29" t="s">
        <v>1032</v>
      </c>
      <c r="M532" s="29" t="s">
        <v>329</v>
      </c>
      <c r="N532" s="29" t="s">
        <v>852</v>
      </c>
      <c r="O532" s="29" t="s">
        <v>55</v>
      </c>
      <c r="P532" s="30" t="s">
        <v>853</v>
      </c>
    </row>
    <row r="533" s="25" customFormat="1" spans="1:16">
      <c r="A533" s="29" t="s">
        <v>1103</v>
      </c>
      <c r="B533" s="29" t="s">
        <v>1102</v>
      </c>
      <c r="C533" s="29" t="s">
        <v>47</v>
      </c>
      <c r="D533" s="29" t="s">
        <v>808</v>
      </c>
      <c r="E533" s="29" t="s">
        <v>35</v>
      </c>
      <c r="F533" s="29" t="s">
        <v>47</v>
      </c>
      <c r="G533" s="29" t="s">
        <v>372</v>
      </c>
      <c r="H533" s="29" t="s">
        <v>96</v>
      </c>
      <c r="I533" s="29" t="s">
        <v>39</v>
      </c>
      <c r="J533" s="29" t="s">
        <v>35</v>
      </c>
      <c r="K533" s="29" t="s">
        <v>1104</v>
      </c>
      <c r="L533" s="29" t="s">
        <v>1034</v>
      </c>
      <c r="M533" s="29" t="s">
        <v>329</v>
      </c>
      <c r="N533" s="29" t="s">
        <v>1105</v>
      </c>
      <c r="O533" s="29" t="s">
        <v>55</v>
      </c>
      <c r="P533" s="30" t="s">
        <v>1106</v>
      </c>
    </row>
    <row r="534" s="25" customFormat="1" spans="1:16">
      <c r="A534" s="29" t="s">
        <v>1104</v>
      </c>
      <c r="B534" s="29" t="s">
        <v>1102</v>
      </c>
      <c r="C534" s="29" t="s">
        <v>47</v>
      </c>
      <c r="D534" s="29" t="s">
        <v>808</v>
      </c>
      <c r="E534" s="29" t="s">
        <v>35</v>
      </c>
      <c r="F534" s="29" t="s">
        <v>47</v>
      </c>
      <c r="G534" s="29" t="s">
        <v>372</v>
      </c>
      <c r="H534" s="29" t="s">
        <v>96</v>
      </c>
      <c r="I534" s="29" t="s">
        <v>39</v>
      </c>
      <c r="J534" s="29" t="s">
        <v>47</v>
      </c>
      <c r="K534" s="29" t="s">
        <v>1107</v>
      </c>
      <c r="L534" s="29" t="s">
        <v>1038</v>
      </c>
      <c r="M534" s="29" t="s">
        <v>329</v>
      </c>
      <c r="N534" s="29" t="s">
        <v>1105</v>
      </c>
      <c r="O534" s="29" t="s">
        <v>55</v>
      </c>
      <c r="P534" s="30" t="s">
        <v>1108</v>
      </c>
    </row>
    <row r="535" s="25" customFormat="1" spans="1:16">
      <c r="A535" s="29" t="s">
        <v>1107</v>
      </c>
      <c r="B535" s="29" t="s">
        <v>1102</v>
      </c>
      <c r="C535" s="29" t="s">
        <v>47</v>
      </c>
      <c r="D535" s="29" t="s">
        <v>808</v>
      </c>
      <c r="E535" s="29" t="s">
        <v>35</v>
      </c>
      <c r="F535" s="29" t="s">
        <v>47</v>
      </c>
      <c r="G535" s="29" t="s">
        <v>372</v>
      </c>
      <c r="H535" s="29" t="s">
        <v>96</v>
      </c>
      <c r="I535" s="29" t="s">
        <v>39</v>
      </c>
      <c r="J535" s="29" t="s">
        <v>51</v>
      </c>
      <c r="K535" s="29" t="s">
        <v>1109</v>
      </c>
      <c r="L535" s="29" t="s">
        <v>1041</v>
      </c>
      <c r="M535" s="29" t="s">
        <v>329</v>
      </c>
      <c r="N535" s="29" t="s">
        <v>1105</v>
      </c>
      <c r="O535" s="29" t="s">
        <v>55</v>
      </c>
      <c r="P535" s="30" t="s">
        <v>1110</v>
      </c>
    </row>
    <row r="536" s="25" customFormat="1" spans="1:16">
      <c r="A536" s="29" t="s">
        <v>1109</v>
      </c>
      <c r="B536" s="29" t="s">
        <v>1102</v>
      </c>
      <c r="C536" s="29" t="s">
        <v>47</v>
      </c>
      <c r="D536" s="29" t="s">
        <v>808</v>
      </c>
      <c r="E536" s="29" t="s">
        <v>35</v>
      </c>
      <c r="F536" s="29" t="s">
        <v>47</v>
      </c>
      <c r="G536" s="29" t="s">
        <v>372</v>
      </c>
      <c r="H536" s="29" t="s">
        <v>96</v>
      </c>
      <c r="I536" s="29" t="s">
        <v>39</v>
      </c>
      <c r="J536" s="29" t="s">
        <v>55</v>
      </c>
      <c r="K536" s="29" t="s">
        <v>1111</v>
      </c>
      <c r="L536" s="29" t="s">
        <v>1043</v>
      </c>
      <c r="M536" s="29" t="s">
        <v>329</v>
      </c>
      <c r="N536" s="29" t="s">
        <v>1105</v>
      </c>
      <c r="O536" s="29" t="s">
        <v>55</v>
      </c>
      <c r="P536" s="30" t="s">
        <v>1112</v>
      </c>
    </row>
    <row r="537" s="25" customFormat="1" spans="1:16">
      <c r="A537" s="29" t="s">
        <v>1111</v>
      </c>
      <c r="B537" s="29" t="s">
        <v>1102</v>
      </c>
      <c r="C537" s="29" t="s">
        <v>47</v>
      </c>
      <c r="D537" s="29" t="s">
        <v>808</v>
      </c>
      <c r="E537" s="29" t="s">
        <v>35</v>
      </c>
      <c r="F537" s="29" t="s">
        <v>47</v>
      </c>
      <c r="G537" s="29" t="s">
        <v>372</v>
      </c>
      <c r="H537" s="29" t="s">
        <v>96</v>
      </c>
      <c r="I537" s="29" t="s">
        <v>39</v>
      </c>
      <c r="J537" s="29" t="s">
        <v>59</v>
      </c>
      <c r="K537" s="29" t="s">
        <v>1113</v>
      </c>
      <c r="L537" s="29" t="s">
        <v>1046</v>
      </c>
      <c r="M537" s="29" t="s">
        <v>329</v>
      </c>
      <c r="N537" s="29" t="s">
        <v>1105</v>
      </c>
      <c r="O537" s="29" t="s">
        <v>55</v>
      </c>
      <c r="P537" s="30" t="s">
        <v>1114</v>
      </c>
    </row>
    <row r="538" s="25" customFormat="1" spans="1:16">
      <c r="A538" s="29" t="s">
        <v>1113</v>
      </c>
      <c r="B538" s="29" t="s">
        <v>1102</v>
      </c>
      <c r="C538" s="29" t="s">
        <v>47</v>
      </c>
      <c r="D538" s="29" t="s">
        <v>808</v>
      </c>
      <c r="E538" s="29" t="s">
        <v>35</v>
      </c>
      <c r="F538" s="29" t="s">
        <v>47</v>
      </c>
      <c r="G538" s="29" t="s">
        <v>372</v>
      </c>
      <c r="H538" s="29" t="s">
        <v>96</v>
      </c>
      <c r="I538" s="29" t="s">
        <v>39</v>
      </c>
      <c r="J538" s="29" t="s">
        <v>129</v>
      </c>
      <c r="K538" s="29" t="s">
        <v>1115</v>
      </c>
      <c r="L538" s="29" t="s">
        <v>1049</v>
      </c>
      <c r="M538" s="29" t="s">
        <v>329</v>
      </c>
      <c r="N538" s="29" t="s">
        <v>1105</v>
      </c>
      <c r="O538" s="29" t="s">
        <v>55</v>
      </c>
      <c r="P538" s="30" t="s">
        <v>863</v>
      </c>
    </row>
    <row r="539" s="25" customFormat="1" spans="1:16">
      <c r="A539" s="29" t="s">
        <v>1115</v>
      </c>
      <c r="B539" s="29" t="s">
        <v>1102</v>
      </c>
      <c r="C539" s="29" t="s">
        <v>47</v>
      </c>
      <c r="D539" s="29" t="s">
        <v>808</v>
      </c>
      <c r="E539" s="29" t="s">
        <v>35</v>
      </c>
      <c r="F539" s="29" t="s">
        <v>47</v>
      </c>
      <c r="G539" s="29" t="s">
        <v>372</v>
      </c>
      <c r="H539" s="29" t="s">
        <v>96</v>
      </c>
      <c r="I539" s="29" t="s">
        <v>39</v>
      </c>
      <c r="J539" s="29" t="s">
        <v>133</v>
      </c>
      <c r="K539" s="29" t="s">
        <v>1116</v>
      </c>
      <c r="L539" s="29" t="s">
        <v>1051</v>
      </c>
      <c r="M539" s="29" t="s">
        <v>329</v>
      </c>
      <c r="N539" s="29" t="s">
        <v>1105</v>
      </c>
      <c r="O539" s="29" t="s">
        <v>55</v>
      </c>
      <c r="P539" s="30" t="s">
        <v>1117</v>
      </c>
    </row>
    <row r="540" s="25" customFormat="1" spans="1:16">
      <c r="A540" s="29" t="s">
        <v>1116</v>
      </c>
      <c r="B540" s="29" t="s">
        <v>1102</v>
      </c>
      <c r="C540" s="29" t="s">
        <v>47</v>
      </c>
      <c r="D540" s="29" t="s">
        <v>808</v>
      </c>
      <c r="E540" s="29" t="s">
        <v>35</v>
      </c>
      <c r="F540" s="29" t="s">
        <v>47</v>
      </c>
      <c r="G540" s="29" t="s">
        <v>372</v>
      </c>
      <c r="H540" s="29" t="s">
        <v>96</v>
      </c>
      <c r="I540" s="29" t="s">
        <v>39</v>
      </c>
      <c r="J540" s="29" t="s">
        <v>137</v>
      </c>
      <c r="K540" s="29" t="s">
        <v>1118</v>
      </c>
      <c r="L540" s="29" t="s">
        <v>1054</v>
      </c>
      <c r="M540" s="29" t="s">
        <v>329</v>
      </c>
      <c r="N540" s="29" t="s">
        <v>1105</v>
      </c>
      <c r="O540" s="29" t="s">
        <v>55</v>
      </c>
      <c r="P540" s="30" t="s">
        <v>1119</v>
      </c>
    </row>
    <row r="541" s="25" customFormat="1" spans="1:16">
      <c r="A541" s="29" t="s">
        <v>1118</v>
      </c>
      <c r="B541" s="29" t="s">
        <v>1102</v>
      </c>
      <c r="C541" s="29" t="s">
        <v>47</v>
      </c>
      <c r="D541" s="29" t="s">
        <v>808</v>
      </c>
      <c r="E541" s="29" t="s">
        <v>35</v>
      </c>
      <c r="F541" s="29" t="s">
        <v>47</v>
      </c>
      <c r="G541" s="29" t="s">
        <v>372</v>
      </c>
      <c r="H541" s="29" t="s">
        <v>96</v>
      </c>
      <c r="I541" s="29" t="s">
        <v>39</v>
      </c>
      <c r="J541" s="29" t="s">
        <v>141</v>
      </c>
      <c r="K541" s="29" t="s">
        <v>1120</v>
      </c>
      <c r="L541" s="29" t="s">
        <v>1057</v>
      </c>
      <c r="M541" s="29" t="s">
        <v>329</v>
      </c>
      <c r="N541" s="29" t="s">
        <v>1105</v>
      </c>
      <c r="O541" s="29" t="s">
        <v>55</v>
      </c>
      <c r="P541" s="30" t="s">
        <v>1121</v>
      </c>
    </row>
    <row r="542" s="25" customFormat="1" spans="1:16">
      <c r="A542" s="29" t="s">
        <v>1120</v>
      </c>
      <c r="B542" s="29" t="s">
        <v>1102</v>
      </c>
      <c r="C542" s="29" t="s">
        <v>47</v>
      </c>
      <c r="D542" s="29" t="s">
        <v>808</v>
      </c>
      <c r="E542" s="29" t="s">
        <v>35</v>
      </c>
      <c r="F542" s="29" t="s">
        <v>47</v>
      </c>
      <c r="G542" s="29" t="s">
        <v>372</v>
      </c>
      <c r="H542" s="29" t="s">
        <v>96</v>
      </c>
      <c r="I542" s="29" t="s">
        <v>39</v>
      </c>
      <c r="J542" s="29" t="s">
        <v>145</v>
      </c>
      <c r="K542" s="29" t="s">
        <v>39</v>
      </c>
      <c r="L542" s="29" t="s">
        <v>39</v>
      </c>
      <c r="M542" s="29" t="s">
        <v>39</v>
      </c>
      <c r="N542" s="29" t="s">
        <v>1105</v>
      </c>
      <c r="O542" s="29" t="s">
        <v>55</v>
      </c>
      <c r="P542" s="30" t="s">
        <v>1122</v>
      </c>
    </row>
    <row r="543" s="25" customFormat="1" spans="1:16">
      <c r="A543" s="29" t="s">
        <v>1123</v>
      </c>
      <c r="B543" s="29" t="s">
        <v>1123</v>
      </c>
      <c r="C543" s="29" t="s">
        <v>47</v>
      </c>
      <c r="D543" s="29" t="s">
        <v>808</v>
      </c>
      <c r="E543" s="29" t="s">
        <v>35</v>
      </c>
      <c r="F543" s="29" t="s">
        <v>47</v>
      </c>
      <c r="G543" s="29" t="s">
        <v>394</v>
      </c>
      <c r="H543" s="29" t="s">
        <v>112</v>
      </c>
      <c r="I543" s="29" t="s">
        <v>39</v>
      </c>
      <c r="J543" s="29" t="s">
        <v>39</v>
      </c>
      <c r="K543" s="29" t="s">
        <v>1124</v>
      </c>
      <c r="L543" s="29" t="s">
        <v>1032</v>
      </c>
      <c r="M543" s="29" t="s">
        <v>396</v>
      </c>
      <c r="N543" s="29" t="s">
        <v>1125</v>
      </c>
      <c r="O543" s="29" t="s">
        <v>59</v>
      </c>
      <c r="P543" s="30" t="s">
        <v>867</v>
      </c>
    </row>
    <row r="544" s="25" customFormat="1" spans="1:16">
      <c r="A544" s="29" t="s">
        <v>1124</v>
      </c>
      <c r="B544" s="29" t="s">
        <v>1123</v>
      </c>
      <c r="C544" s="29" t="s">
        <v>47</v>
      </c>
      <c r="D544" s="29" t="s">
        <v>808</v>
      </c>
      <c r="E544" s="29" t="s">
        <v>35</v>
      </c>
      <c r="F544" s="29" t="s">
        <v>47</v>
      </c>
      <c r="G544" s="29" t="s">
        <v>394</v>
      </c>
      <c r="H544" s="29" t="s">
        <v>112</v>
      </c>
      <c r="I544" s="29" t="s">
        <v>39</v>
      </c>
      <c r="J544" s="29" t="s">
        <v>35</v>
      </c>
      <c r="K544" s="29" t="s">
        <v>1126</v>
      </c>
      <c r="L544" s="29" t="s">
        <v>1034</v>
      </c>
      <c r="M544" s="29" t="s">
        <v>396</v>
      </c>
      <c r="N544" s="29" t="s">
        <v>1127</v>
      </c>
      <c r="O544" s="29" t="s">
        <v>59</v>
      </c>
      <c r="P544" s="30" t="s">
        <v>870</v>
      </c>
    </row>
    <row r="545" s="25" customFormat="1" spans="1:16">
      <c r="A545" s="29" t="s">
        <v>1126</v>
      </c>
      <c r="B545" s="29" t="s">
        <v>1123</v>
      </c>
      <c r="C545" s="29" t="s">
        <v>47</v>
      </c>
      <c r="D545" s="29" t="s">
        <v>808</v>
      </c>
      <c r="E545" s="29" t="s">
        <v>35</v>
      </c>
      <c r="F545" s="29" t="s">
        <v>47</v>
      </c>
      <c r="G545" s="29" t="s">
        <v>394</v>
      </c>
      <c r="H545" s="29" t="s">
        <v>112</v>
      </c>
      <c r="I545" s="29" t="s">
        <v>39</v>
      </c>
      <c r="J545" s="29" t="s">
        <v>47</v>
      </c>
      <c r="K545" s="29" t="s">
        <v>1128</v>
      </c>
      <c r="L545" s="29" t="s">
        <v>1038</v>
      </c>
      <c r="M545" s="29" t="s">
        <v>396</v>
      </c>
      <c r="N545" s="29" t="s">
        <v>1127</v>
      </c>
      <c r="O545" s="29" t="s">
        <v>59</v>
      </c>
      <c r="P545" s="30" t="s">
        <v>872</v>
      </c>
    </row>
    <row r="546" s="25" customFormat="1" spans="1:16">
      <c r="A546" s="29" t="s">
        <v>1128</v>
      </c>
      <c r="B546" s="29" t="s">
        <v>1123</v>
      </c>
      <c r="C546" s="29" t="s">
        <v>47</v>
      </c>
      <c r="D546" s="29" t="s">
        <v>808</v>
      </c>
      <c r="E546" s="29" t="s">
        <v>35</v>
      </c>
      <c r="F546" s="29" t="s">
        <v>47</v>
      </c>
      <c r="G546" s="29" t="s">
        <v>394</v>
      </c>
      <c r="H546" s="29" t="s">
        <v>112</v>
      </c>
      <c r="I546" s="29" t="s">
        <v>39</v>
      </c>
      <c r="J546" s="29" t="s">
        <v>51</v>
      </c>
      <c r="K546" s="29" t="s">
        <v>1129</v>
      </c>
      <c r="L546" s="29" t="s">
        <v>1041</v>
      </c>
      <c r="M546" s="29" t="s">
        <v>396</v>
      </c>
      <c r="N546" s="29" t="s">
        <v>1127</v>
      </c>
      <c r="O546" s="29" t="s">
        <v>59</v>
      </c>
      <c r="P546" s="30" t="s">
        <v>874</v>
      </c>
    </row>
    <row r="547" s="25" customFormat="1" spans="1:16">
      <c r="A547" s="29" t="s">
        <v>1129</v>
      </c>
      <c r="B547" s="29" t="s">
        <v>1123</v>
      </c>
      <c r="C547" s="29" t="s">
        <v>47</v>
      </c>
      <c r="D547" s="29" t="s">
        <v>808</v>
      </c>
      <c r="E547" s="29" t="s">
        <v>35</v>
      </c>
      <c r="F547" s="29" t="s">
        <v>47</v>
      </c>
      <c r="G547" s="29" t="s">
        <v>394</v>
      </c>
      <c r="H547" s="29" t="s">
        <v>112</v>
      </c>
      <c r="I547" s="29" t="s">
        <v>39</v>
      </c>
      <c r="J547" s="29" t="s">
        <v>55</v>
      </c>
      <c r="K547" s="29" t="s">
        <v>1130</v>
      </c>
      <c r="L547" s="29" t="s">
        <v>1043</v>
      </c>
      <c r="M547" s="29" t="s">
        <v>396</v>
      </c>
      <c r="N547" s="29" t="s">
        <v>1127</v>
      </c>
      <c r="O547" s="29" t="s">
        <v>59</v>
      </c>
      <c r="P547" s="30" t="s">
        <v>876</v>
      </c>
    </row>
    <row r="548" s="25" customFormat="1" spans="1:16">
      <c r="A548" s="29" t="s">
        <v>1130</v>
      </c>
      <c r="B548" s="29" t="s">
        <v>1123</v>
      </c>
      <c r="C548" s="29" t="s">
        <v>47</v>
      </c>
      <c r="D548" s="29" t="s">
        <v>808</v>
      </c>
      <c r="E548" s="29" t="s">
        <v>35</v>
      </c>
      <c r="F548" s="29" t="s">
        <v>47</v>
      </c>
      <c r="G548" s="29" t="s">
        <v>394</v>
      </c>
      <c r="H548" s="29" t="s">
        <v>112</v>
      </c>
      <c r="I548" s="29" t="s">
        <v>39</v>
      </c>
      <c r="J548" s="29" t="s">
        <v>59</v>
      </c>
      <c r="K548" s="29" t="s">
        <v>1131</v>
      </c>
      <c r="L548" s="29" t="s">
        <v>1046</v>
      </c>
      <c r="M548" s="29" t="s">
        <v>396</v>
      </c>
      <c r="N548" s="29" t="s">
        <v>1127</v>
      </c>
      <c r="O548" s="29" t="s">
        <v>59</v>
      </c>
      <c r="P548" s="30" t="s">
        <v>879</v>
      </c>
    </row>
    <row r="549" s="25" customFormat="1" spans="1:16">
      <c r="A549" s="29" t="s">
        <v>1131</v>
      </c>
      <c r="B549" s="29" t="s">
        <v>1123</v>
      </c>
      <c r="C549" s="29" t="s">
        <v>47</v>
      </c>
      <c r="D549" s="29" t="s">
        <v>808</v>
      </c>
      <c r="E549" s="29" t="s">
        <v>35</v>
      </c>
      <c r="F549" s="29" t="s">
        <v>47</v>
      </c>
      <c r="G549" s="29" t="s">
        <v>394</v>
      </c>
      <c r="H549" s="29" t="s">
        <v>112</v>
      </c>
      <c r="I549" s="29" t="s">
        <v>39</v>
      </c>
      <c r="J549" s="29" t="s">
        <v>129</v>
      </c>
      <c r="K549" s="29" t="s">
        <v>1132</v>
      </c>
      <c r="L549" s="29" t="s">
        <v>1049</v>
      </c>
      <c r="M549" s="29" t="s">
        <v>396</v>
      </c>
      <c r="N549" s="29" t="s">
        <v>1127</v>
      </c>
      <c r="O549" s="29" t="s">
        <v>59</v>
      </c>
      <c r="P549" s="30" t="s">
        <v>882</v>
      </c>
    </row>
    <row r="550" s="25" customFormat="1" spans="1:16">
      <c r="A550" s="29" t="s">
        <v>1132</v>
      </c>
      <c r="B550" s="29" t="s">
        <v>1123</v>
      </c>
      <c r="C550" s="29" t="s">
        <v>47</v>
      </c>
      <c r="D550" s="29" t="s">
        <v>808</v>
      </c>
      <c r="E550" s="29" t="s">
        <v>35</v>
      </c>
      <c r="F550" s="29" t="s">
        <v>47</v>
      </c>
      <c r="G550" s="29" t="s">
        <v>394</v>
      </c>
      <c r="H550" s="29" t="s">
        <v>112</v>
      </c>
      <c r="I550" s="29" t="s">
        <v>39</v>
      </c>
      <c r="J550" s="29" t="s">
        <v>133</v>
      </c>
      <c r="K550" s="29" t="s">
        <v>1133</v>
      </c>
      <c r="L550" s="29" t="s">
        <v>1051</v>
      </c>
      <c r="M550" s="29" t="s">
        <v>396</v>
      </c>
      <c r="N550" s="29" t="s">
        <v>1127</v>
      </c>
      <c r="O550" s="29" t="s">
        <v>59</v>
      </c>
      <c r="P550" s="30" t="s">
        <v>885</v>
      </c>
    </row>
    <row r="551" s="25" customFormat="1" spans="1:16">
      <c r="A551" s="29" t="s">
        <v>1133</v>
      </c>
      <c r="B551" s="29" t="s">
        <v>1123</v>
      </c>
      <c r="C551" s="29" t="s">
        <v>47</v>
      </c>
      <c r="D551" s="29" t="s">
        <v>808</v>
      </c>
      <c r="E551" s="29" t="s">
        <v>35</v>
      </c>
      <c r="F551" s="29" t="s">
        <v>47</v>
      </c>
      <c r="G551" s="29" t="s">
        <v>394</v>
      </c>
      <c r="H551" s="29" t="s">
        <v>112</v>
      </c>
      <c r="I551" s="29" t="s">
        <v>39</v>
      </c>
      <c r="J551" s="29" t="s">
        <v>137</v>
      </c>
      <c r="K551" s="29" t="s">
        <v>1134</v>
      </c>
      <c r="L551" s="29" t="s">
        <v>1054</v>
      </c>
      <c r="M551" s="29" t="s">
        <v>396</v>
      </c>
      <c r="N551" s="29" t="s">
        <v>1127</v>
      </c>
      <c r="O551" s="29" t="s">
        <v>59</v>
      </c>
      <c r="P551" s="30" t="s">
        <v>888</v>
      </c>
    </row>
    <row r="552" s="25" customFormat="1" spans="1:16">
      <c r="A552" s="29" t="s">
        <v>1134</v>
      </c>
      <c r="B552" s="29" t="s">
        <v>1123</v>
      </c>
      <c r="C552" s="29" t="s">
        <v>47</v>
      </c>
      <c r="D552" s="29" t="s">
        <v>808</v>
      </c>
      <c r="E552" s="29" t="s">
        <v>35</v>
      </c>
      <c r="F552" s="29" t="s">
        <v>47</v>
      </c>
      <c r="G552" s="29" t="s">
        <v>394</v>
      </c>
      <c r="H552" s="29" t="s">
        <v>112</v>
      </c>
      <c r="I552" s="29" t="s">
        <v>39</v>
      </c>
      <c r="J552" s="29" t="s">
        <v>141</v>
      </c>
      <c r="K552" s="29" t="s">
        <v>1135</v>
      </c>
      <c r="L552" s="29" t="s">
        <v>1057</v>
      </c>
      <c r="M552" s="29" t="s">
        <v>396</v>
      </c>
      <c r="N552" s="29" t="s">
        <v>1127</v>
      </c>
      <c r="O552" s="29" t="s">
        <v>59</v>
      </c>
      <c r="P552" s="30" t="s">
        <v>891</v>
      </c>
    </row>
    <row r="553" s="25" customFormat="1" spans="1:16">
      <c r="A553" s="29" t="s">
        <v>1135</v>
      </c>
      <c r="B553" s="29" t="s">
        <v>1123</v>
      </c>
      <c r="C553" s="29" t="s">
        <v>47</v>
      </c>
      <c r="D553" s="29" t="s">
        <v>808</v>
      </c>
      <c r="E553" s="29" t="s">
        <v>35</v>
      </c>
      <c r="F553" s="29" t="s">
        <v>47</v>
      </c>
      <c r="G553" s="29" t="s">
        <v>394</v>
      </c>
      <c r="H553" s="29" t="s">
        <v>112</v>
      </c>
      <c r="I553" s="29" t="s">
        <v>39</v>
      </c>
      <c r="J553" s="29" t="s">
        <v>145</v>
      </c>
      <c r="K553" s="29" t="s">
        <v>1136</v>
      </c>
      <c r="L553" s="29" t="s">
        <v>1137</v>
      </c>
      <c r="M553" s="29" t="s">
        <v>396</v>
      </c>
      <c r="N553" s="29" t="s">
        <v>1127</v>
      </c>
      <c r="O553" s="29" t="s">
        <v>59</v>
      </c>
      <c r="P553" s="30" t="s">
        <v>892</v>
      </c>
    </row>
    <row r="554" s="25" customFormat="1" spans="1:16">
      <c r="A554" s="29" t="s">
        <v>1136</v>
      </c>
      <c r="B554" s="29" t="s">
        <v>1123</v>
      </c>
      <c r="C554" s="29" t="s">
        <v>47</v>
      </c>
      <c r="D554" s="29" t="s">
        <v>808</v>
      </c>
      <c r="E554" s="29" t="s">
        <v>35</v>
      </c>
      <c r="F554" s="29" t="s">
        <v>47</v>
      </c>
      <c r="G554" s="29" t="s">
        <v>394</v>
      </c>
      <c r="H554" s="29" t="s">
        <v>112</v>
      </c>
      <c r="I554" s="29" t="s">
        <v>39</v>
      </c>
      <c r="J554" s="29" t="s">
        <v>408</v>
      </c>
      <c r="K554" s="29" t="s">
        <v>1138</v>
      </c>
      <c r="L554" s="29" t="s">
        <v>1139</v>
      </c>
      <c r="M554" s="29" t="s">
        <v>396</v>
      </c>
      <c r="N554" s="29" t="s">
        <v>1127</v>
      </c>
      <c r="O554" s="29" t="s">
        <v>59</v>
      </c>
      <c r="P554" s="30" t="s">
        <v>1140</v>
      </c>
    </row>
    <row r="555" s="25" customFormat="1" spans="1:16">
      <c r="A555" s="29" t="s">
        <v>1138</v>
      </c>
      <c r="B555" s="29" t="s">
        <v>1123</v>
      </c>
      <c r="C555" s="29" t="s">
        <v>47</v>
      </c>
      <c r="D555" s="29" t="s">
        <v>808</v>
      </c>
      <c r="E555" s="29" t="s">
        <v>35</v>
      </c>
      <c r="F555" s="29" t="s">
        <v>47</v>
      </c>
      <c r="G555" s="29" t="s">
        <v>394</v>
      </c>
      <c r="H555" s="29" t="s">
        <v>112</v>
      </c>
      <c r="I555" s="29" t="s">
        <v>39</v>
      </c>
      <c r="J555" s="29" t="s">
        <v>412</v>
      </c>
      <c r="K555" s="29" t="s">
        <v>1141</v>
      </c>
      <c r="L555" s="29" t="s">
        <v>1142</v>
      </c>
      <c r="M555" s="29" t="s">
        <v>396</v>
      </c>
      <c r="N555" s="29" t="s">
        <v>1127</v>
      </c>
      <c r="O555" s="29" t="s">
        <v>59</v>
      </c>
      <c r="P555" s="30" t="s">
        <v>1143</v>
      </c>
    </row>
    <row r="556" s="25" customFormat="1" spans="1:16">
      <c r="A556" s="29" t="s">
        <v>1141</v>
      </c>
      <c r="B556" s="29" t="s">
        <v>1123</v>
      </c>
      <c r="C556" s="29" t="s">
        <v>47</v>
      </c>
      <c r="D556" s="29" t="s">
        <v>808</v>
      </c>
      <c r="E556" s="29" t="s">
        <v>35</v>
      </c>
      <c r="F556" s="29" t="s">
        <v>47</v>
      </c>
      <c r="G556" s="29" t="s">
        <v>394</v>
      </c>
      <c r="H556" s="29" t="s">
        <v>112</v>
      </c>
      <c r="I556" s="29" t="s">
        <v>39</v>
      </c>
      <c r="J556" s="29" t="s">
        <v>416</v>
      </c>
      <c r="K556" s="29" t="s">
        <v>1144</v>
      </c>
      <c r="L556" s="29" t="s">
        <v>1145</v>
      </c>
      <c r="M556" s="29" t="s">
        <v>396</v>
      </c>
      <c r="N556" s="29" t="s">
        <v>1127</v>
      </c>
      <c r="O556" s="29" t="s">
        <v>59</v>
      </c>
      <c r="P556" s="30" t="s">
        <v>1146</v>
      </c>
    </row>
    <row r="557" s="26" customFormat="1" spans="1:18">
      <c r="A557" s="29" t="s">
        <v>1144</v>
      </c>
      <c r="B557" s="29" t="s">
        <v>1123</v>
      </c>
      <c r="C557" s="29" t="s">
        <v>47</v>
      </c>
      <c r="D557" s="29" t="s">
        <v>808</v>
      </c>
      <c r="E557" s="29" t="s">
        <v>35</v>
      </c>
      <c r="F557" s="29" t="s">
        <v>47</v>
      </c>
      <c r="G557" s="29" t="s">
        <v>394</v>
      </c>
      <c r="H557" s="29" t="s">
        <v>112</v>
      </c>
      <c r="I557" s="29" t="s">
        <v>39</v>
      </c>
      <c r="J557" s="29" t="s">
        <v>420</v>
      </c>
      <c r="K557" s="29" t="s">
        <v>1147</v>
      </c>
      <c r="L557" s="29" t="s">
        <v>1148</v>
      </c>
      <c r="M557" s="29" t="s">
        <v>396</v>
      </c>
      <c r="N557" s="29" t="s">
        <v>1127</v>
      </c>
      <c r="O557" s="29" t="s">
        <v>59</v>
      </c>
      <c r="P557" s="30" t="s">
        <v>1149</v>
      </c>
      <c r="Q557" s="25"/>
      <c r="R557" s="25"/>
    </row>
    <row r="558" s="25" customFormat="1" spans="1:16">
      <c r="A558" s="29" t="s">
        <v>1147</v>
      </c>
      <c r="B558" s="29" t="s">
        <v>1123</v>
      </c>
      <c r="C558" s="29" t="s">
        <v>47</v>
      </c>
      <c r="D558" s="29" t="s">
        <v>808</v>
      </c>
      <c r="E558" s="29" t="s">
        <v>35</v>
      </c>
      <c r="F558" s="29" t="s">
        <v>47</v>
      </c>
      <c r="G558" s="29" t="s">
        <v>394</v>
      </c>
      <c r="H558" s="29" t="s">
        <v>112</v>
      </c>
      <c r="I558" s="29" t="s">
        <v>39</v>
      </c>
      <c r="J558" s="29" t="s">
        <v>424</v>
      </c>
      <c r="K558" s="29" t="s">
        <v>39</v>
      </c>
      <c r="L558" s="29" t="s">
        <v>39</v>
      </c>
      <c r="M558" s="29" t="s">
        <v>39</v>
      </c>
      <c r="N558" s="29" t="s">
        <v>1127</v>
      </c>
      <c r="O558" s="29" t="s">
        <v>59</v>
      </c>
      <c r="P558" s="30" t="s">
        <v>1150</v>
      </c>
    </row>
    <row r="559" s="25" customFormat="1" spans="1:16">
      <c r="A559" s="29" t="s">
        <v>1151</v>
      </c>
      <c r="B559" s="29" t="s">
        <v>1151</v>
      </c>
      <c r="C559" s="29" t="s">
        <v>47</v>
      </c>
      <c r="D559" s="29" t="s">
        <v>808</v>
      </c>
      <c r="E559" s="29" t="s">
        <v>35</v>
      </c>
      <c r="F559" s="29" t="s">
        <v>47</v>
      </c>
      <c r="G559" s="29" t="s">
        <v>427</v>
      </c>
      <c r="H559" s="29" t="s">
        <v>149</v>
      </c>
      <c r="I559" s="29" t="s">
        <v>39</v>
      </c>
      <c r="J559" s="29" t="s">
        <v>39</v>
      </c>
      <c r="K559" s="29" t="s">
        <v>1152</v>
      </c>
      <c r="L559" s="29" t="s">
        <v>1032</v>
      </c>
      <c r="M559" s="29" t="s">
        <v>429</v>
      </c>
      <c r="N559" s="29" t="s">
        <v>895</v>
      </c>
      <c r="O559" s="29" t="s">
        <v>129</v>
      </c>
      <c r="P559" s="30" t="s">
        <v>896</v>
      </c>
    </row>
    <row r="560" s="25" customFormat="1" spans="1:16">
      <c r="A560" s="29" t="s">
        <v>1152</v>
      </c>
      <c r="B560" s="29" t="s">
        <v>1151</v>
      </c>
      <c r="C560" s="29" t="s">
        <v>47</v>
      </c>
      <c r="D560" s="29" t="s">
        <v>808</v>
      </c>
      <c r="E560" s="29" t="s">
        <v>35</v>
      </c>
      <c r="F560" s="29" t="s">
        <v>47</v>
      </c>
      <c r="G560" s="29" t="s">
        <v>427</v>
      </c>
      <c r="H560" s="29" t="s">
        <v>149</v>
      </c>
      <c r="I560" s="29" t="s">
        <v>39</v>
      </c>
      <c r="J560" s="29" t="s">
        <v>35</v>
      </c>
      <c r="K560" s="29" t="s">
        <v>1153</v>
      </c>
      <c r="L560" s="29" t="s">
        <v>1034</v>
      </c>
      <c r="M560" s="29" t="s">
        <v>429</v>
      </c>
      <c r="N560" s="29" t="s">
        <v>898</v>
      </c>
      <c r="O560" s="29" t="s">
        <v>129</v>
      </c>
      <c r="P560" s="30" t="s">
        <v>899</v>
      </c>
    </row>
    <row r="561" s="25" customFormat="1" spans="1:16">
      <c r="A561" s="29" t="s">
        <v>1153</v>
      </c>
      <c r="B561" s="29" t="s">
        <v>1151</v>
      </c>
      <c r="C561" s="29" t="s">
        <v>47</v>
      </c>
      <c r="D561" s="29" t="s">
        <v>808</v>
      </c>
      <c r="E561" s="29" t="s">
        <v>35</v>
      </c>
      <c r="F561" s="29" t="s">
        <v>47</v>
      </c>
      <c r="G561" s="29" t="s">
        <v>427</v>
      </c>
      <c r="H561" s="29" t="s">
        <v>149</v>
      </c>
      <c r="I561" s="29" t="s">
        <v>39</v>
      </c>
      <c r="J561" s="29" t="s">
        <v>47</v>
      </c>
      <c r="K561" s="29" t="s">
        <v>1154</v>
      </c>
      <c r="L561" s="29" t="s">
        <v>1038</v>
      </c>
      <c r="M561" s="29" t="s">
        <v>429</v>
      </c>
      <c r="N561" s="29" t="s">
        <v>898</v>
      </c>
      <c r="O561" s="29" t="s">
        <v>129</v>
      </c>
      <c r="P561" s="30" t="s">
        <v>901</v>
      </c>
    </row>
    <row r="562" s="25" customFormat="1" spans="1:16">
      <c r="A562" s="29" t="s">
        <v>1154</v>
      </c>
      <c r="B562" s="29" t="s">
        <v>1151</v>
      </c>
      <c r="C562" s="29" t="s">
        <v>47</v>
      </c>
      <c r="D562" s="29" t="s">
        <v>808</v>
      </c>
      <c r="E562" s="29" t="s">
        <v>35</v>
      </c>
      <c r="F562" s="29" t="s">
        <v>47</v>
      </c>
      <c r="G562" s="29" t="s">
        <v>427</v>
      </c>
      <c r="H562" s="29" t="s">
        <v>149</v>
      </c>
      <c r="I562" s="29" t="s">
        <v>39</v>
      </c>
      <c r="J562" s="29" t="s">
        <v>51</v>
      </c>
      <c r="K562" s="29" t="s">
        <v>1155</v>
      </c>
      <c r="L562" s="29" t="s">
        <v>1041</v>
      </c>
      <c r="M562" s="29" t="s">
        <v>429</v>
      </c>
      <c r="N562" s="29" t="s">
        <v>898</v>
      </c>
      <c r="O562" s="29" t="s">
        <v>129</v>
      </c>
      <c r="P562" s="30" t="s">
        <v>903</v>
      </c>
    </row>
    <row r="563" s="25" customFormat="1" spans="1:16">
      <c r="A563" s="29" t="s">
        <v>1155</v>
      </c>
      <c r="B563" s="29" t="s">
        <v>1151</v>
      </c>
      <c r="C563" s="29" t="s">
        <v>47</v>
      </c>
      <c r="D563" s="29" t="s">
        <v>808</v>
      </c>
      <c r="E563" s="29" t="s">
        <v>35</v>
      </c>
      <c r="F563" s="29" t="s">
        <v>47</v>
      </c>
      <c r="G563" s="29" t="s">
        <v>427</v>
      </c>
      <c r="H563" s="29" t="s">
        <v>149</v>
      </c>
      <c r="I563" s="29" t="s">
        <v>39</v>
      </c>
      <c r="J563" s="29" t="s">
        <v>55</v>
      </c>
      <c r="K563" s="29" t="s">
        <v>1156</v>
      </c>
      <c r="L563" s="29" t="s">
        <v>1043</v>
      </c>
      <c r="M563" s="29" t="s">
        <v>429</v>
      </c>
      <c r="N563" s="29" t="s">
        <v>898</v>
      </c>
      <c r="O563" s="29" t="s">
        <v>129</v>
      </c>
      <c r="P563" s="30" t="s">
        <v>905</v>
      </c>
    </row>
    <row r="564" s="25" customFormat="1" spans="1:16">
      <c r="A564" s="29" t="s">
        <v>1156</v>
      </c>
      <c r="B564" s="29" t="s">
        <v>1151</v>
      </c>
      <c r="C564" s="29" t="s">
        <v>47</v>
      </c>
      <c r="D564" s="29" t="s">
        <v>808</v>
      </c>
      <c r="E564" s="29" t="s">
        <v>35</v>
      </c>
      <c r="F564" s="29" t="s">
        <v>47</v>
      </c>
      <c r="G564" s="29" t="s">
        <v>427</v>
      </c>
      <c r="H564" s="29" t="s">
        <v>149</v>
      </c>
      <c r="I564" s="29" t="s">
        <v>39</v>
      </c>
      <c r="J564" s="29" t="s">
        <v>59</v>
      </c>
      <c r="K564" s="29" t="s">
        <v>1157</v>
      </c>
      <c r="L564" s="29" t="s">
        <v>1046</v>
      </c>
      <c r="M564" s="29" t="s">
        <v>429</v>
      </c>
      <c r="N564" s="29" t="s">
        <v>898</v>
      </c>
      <c r="O564" s="29" t="s">
        <v>129</v>
      </c>
      <c r="P564" s="30" t="s">
        <v>907</v>
      </c>
    </row>
    <row r="565" s="25" customFormat="1" spans="1:16">
      <c r="A565" s="29" t="s">
        <v>1157</v>
      </c>
      <c r="B565" s="29" t="s">
        <v>1151</v>
      </c>
      <c r="C565" s="29" t="s">
        <v>47</v>
      </c>
      <c r="D565" s="29" t="s">
        <v>808</v>
      </c>
      <c r="E565" s="29" t="s">
        <v>35</v>
      </c>
      <c r="F565" s="29" t="s">
        <v>47</v>
      </c>
      <c r="G565" s="29" t="s">
        <v>427</v>
      </c>
      <c r="H565" s="29" t="s">
        <v>149</v>
      </c>
      <c r="I565" s="29" t="s">
        <v>39</v>
      </c>
      <c r="J565" s="29" t="s">
        <v>129</v>
      </c>
      <c r="K565" s="29" t="s">
        <v>1158</v>
      </c>
      <c r="L565" s="29" t="s">
        <v>1049</v>
      </c>
      <c r="M565" s="29" t="s">
        <v>429</v>
      </c>
      <c r="N565" s="29" t="s">
        <v>898</v>
      </c>
      <c r="O565" s="29" t="s">
        <v>129</v>
      </c>
      <c r="P565" s="30" t="s">
        <v>909</v>
      </c>
    </row>
    <row r="566" s="25" customFormat="1" spans="1:16">
      <c r="A566" s="29" t="s">
        <v>1158</v>
      </c>
      <c r="B566" s="29" t="s">
        <v>1151</v>
      </c>
      <c r="C566" s="29" t="s">
        <v>47</v>
      </c>
      <c r="D566" s="29" t="s">
        <v>808</v>
      </c>
      <c r="E566" s="29" t="s">
        <v>35</v>
      </c>
      <c r="F566" s="29" t="s">
        <v>47</v>
      </c>
      <c r="G566" s="29" t="s">
        <v>427</v>
      </c>
      <c r="H566" s="29" t="s">
        <v>149</v>
      </c>
      <c r="I566" s="29" t="s">
        <v>39</v>
      </c>
      <c r="J566" s="29" t="s">
        <v>133</v>
      </c>
      <c r="K566" s="29" t="s">
        <v>1159</v>
      </c>
      <c r="L566" s="29" t="s">
        <v>1051</v>
      </c>
      <c r="M566" s="29" t="s">
        <v>429</v>
      </c>
      <c r="N566" s="29" t="s">
        <v>898</v>
      </c>
      <c r="O566" s="29" t="s">
        <v>129</v>
      </c>
      <c r="P566" s="30" t="s">
        <v>911</v>
      </c>
    </row>
    <row r="567" s="25" customFormat="1" spans="1:16">
      <c r="A567" s="29" t="s">
        <v>1159</v>
      </c>
      <c r="B567" s="29" t="s">
        <v>1151</v>
      </c>
      <c r="C567" s="29" t="s">
        <v>47</v>
      </c>
      <c r="D567" s="29" t="s">
        <v>808</v>
      </c>
      <c r="E567" s="29" t="s">
        <v>35</v>
      </c>
      <c r="F567" s="29" t="s">
        <v>47</v>
      </c>
      <c r="G567" s="29" t="s">
        <v>427</v>
      </c>
      <c r="H567" s="29" t="s">
        <v>149</v>
      </c>
      <c r="I567" s="29" t="s">
        <v>39</v>
      </c>
      <c r="J567" s="29" t="s">
        <v>137</v>
      </c>
      <c r="K567" s="29" t="s">
        <v>1160</v>
      </c>
      <c r="L567" s="29" t="s">
        <v>1054</v>
      </c>
      <c r="M567" s="29" t="s">
        <v>429</v>
      </c>
      <c r="N567" s="29" t="s">
        <v>898</v>
      </c>
      <c r="O567" s="29" t="s">
        <v>129</v>
      </c>
      <c r="P567" s="30" t="s">
        <v>913</v>
      </c>
    </row>
    <row r="568" s="26" customFormat="1" spans="1:18">
      <c r="A568" s="29" t="s">
        <v>1160</v>
      </c>
      <c r="B568" s="29" t="s">
        <v>1151</v>
      </c>
      <c r="C568" s="29" t="s">
        <v>47</v>
      </c>
      <c r="D568" s="29" t="s">
        <v>808</v>
      </c>
      <c r="E568" s="29" t="s">
        <v>35</v>
      </c>
      <c r="F568" s="29" t="s">
        <v>47</v>
      </c>
      <c r="G568" s="29" t="s">
        <v>427</v>
      </c>
      <c r="H568" s="29" t="s">
        <v>149</v>
      </c>
      <c r="I568" s="29" t="s">
        <v>39</v>
      </c>
      <c r="J568" s="29" t="s">
        <v>141</v>
      </c>
      <c r="K568" s="29" t="s">
        <v>1161</v>
      </c>
      <c r="L568" s="29" t="s">
        <v>1057</v>
      </c>
      <c r="M568" s="29" t="s">
        <v>429</v>
      </c>
      <c r="N568" s="29" t="s">
        <v>898</v>
      </c>
      <c r="O568" s="29" t="s">
        <v>129</v>
      </c>
      <c r="P568" s="30" t="s">
        <v>915</v>
      </c>
      <c r="Q568" s="25"/>
      <c r="R568" s="25"/>
    </row>
    <row r="569" s="25" customFormat="1" spans="1:16">
      <c r="A569" s="29" t="s">
        <v>1161</v>
      </c>
      <c r="B569" s="29" t="s">
        <v>1151</v>
      </c>
      <c r="C569" s="29" t="s">
        <v>47</v>
      </c>
      <c r="D569" s="29" t="s">
        <v>808</v>
      </c>
      <c r="E569" s="29" t="s">
        <v>35</v>
      </c>
      <c r="F569" s="29" t="s">
        <v>47</v>
      </c>
      <c r="G569" s="29" t="s">
        <v>427</v>
      </c>
      <c r="H569" s="29" t="s">
        <v>149</v>
      </c>
      <c r="I569" s="29" t="s">
        <v>39</v>
      </c>
      <c r="J569" s="29" t="s">
        <v>145</v>
      </c>
      <c r="K569" s="29" t="s">
        <v>1162</v>
      </c>
      <c r="L569" s="29" t="s">
        <v>1137</v>
      </c>
      <c r="M569" s="29" t="s">
        <v>429</v>
      </c>
      <c r="N569" s="29" t="s">
        <v>898</v>
      </c>
      <c r="O569" s="29" t="s">
        <v>129</v>
      </c>
      <c r="P569" s="30" t="s">
        <v>916</v>
      </c>
    </row>
    <row r="570" s="25" customFormat="1" spans="1:16">
      <c r="A570" s="29" t="s">
        <v>1162</v>
      </c>
      <c r="B570" s="29" t="s">
        <v>1151</v>
      </c>
      <c r="C570" s="29" t="s">
        <v>47</v>
      </c>
      <c r="D570" s="29" t="s">
        <v>808</v>
      </c>
      <c r="E570" s="29" t="s">
        <v>35</v>
      </c>
      <c r="F570" s="29" t="s">
        <v>47</v>
      </c>
      <c r="G570" s="29" t="s">
        <v>427</v>
      </c>
      <c r="H570" s="29" t="s">
        <v>149</v>
      </c>
      <c r="I570" s="29" t="s">
        <v>39</v>
      </c>
      <c r="J570" s="29" t="s">
        <v>408</v>
      </c>
      <c r="K570" s="29" t="s">
        <v>1163</v>
      </c>
      <c r="L570" s="29" t="s">
        <v>1139</v>
      </c>
      <c r="M570" s="29" t="s">
        <v>429</v>
      </c>
      <c r="N570" s="29" t="s">
        <v>898</v>
      </c>
      <c r="O570" s="29" t="s">
        <v>129</v>
      </c>
      <c r="P570" s="30" t="s">
        <v>1164</v>
      </c>
    </row>
    <row r="571" s="25" customFormat="1" spans="1:16">
      <c r="A571" s="29" t="s">
        <v>1163</v>
      </c>
      <c r="B571" s="29" t="s">
        <v>1151</v>
      </c>
      <c r="C571" s="29" t="s">
        <v>47</v>
      </c>
      <c r="D571" s="29" t="s">
        <v>808</v>
      </c>
      <c r="E571" s="29" t="s">
        <v>35</v>
      </c>
      <c r="F571" s="29" t="s">
        <v>47</v>
      </c>
      <c r="G571" s="29" t="s">
        <v>427</v>
      </c>
      <c r="H571" s="29" t="s">
        <v>149</v>
      </c>
      <c r="I571" s="29" t="s">
        <v>39</v>
      </c>
      <c r="J571" s="29" t="s">
        <v>412</v>
      </c>
      <c r="K571" s="29" t="s">
        <v>1165</v>
      </c>
      <c r="L571" s="29" t="s">
        <v>1142</v>
      </c>
      <c r="M571" s="29" t="s">
        <v>429</v>
      </c>
      <c r="N571" s="29" t="s">
        <v>898</v>
      </c>
      <c r="O571" s="29" t="s">
        <v>129</v>
      </c>
      <c r="P571" s="30" t="s">
        <v>1166</v>
      </c>
    </row>
    <row r="572" s="25" customFormat="1" spans="1:16">
      <c r="A572" s="29" t="s">
        <v>1165</v>
      </c>
      <c r="B572" s="29" t="s">
        <v>1151</v>
      </c>
      <c r="C572" s="29" t="s">
        <v>47</v>
      </c>
      <c r="D572" s="29" t="s">
        <v>808</v>
      </c>
      <c r="E572" s="29" t="s">
        <v>35</v>
      </c>
      <c r="F572" s="29" t="s">
        <v>47</v>
      </c>
      <c r="G572" s="29" t="s">
        <v>427</v>
      </c>
      <c r="H572" s="29" t="s">
        <v>149</v>
      </c>
      <c r="I572" s="29" t="s">
        <v>39</v>
      </c>
      <c r="J572" s="29" t="s">
        <v>416</v>
      </c>
      <c r="K572" s="29" t="s">
        <v>1167</v>
      </c>
      <c r="L572" s="29" t="s">
        <v>1145</v>
      </c>
      <c r="M572" s="29" t="s">
        <v>429</v>
      </c>
      <c r="N572" s="29" t="s">
        <v>898</v>
      </c>
      <c r="O572" s="29" t="s">
        <v>129</v>
      </c>
      <c r="P572" s="30" t="s">
        <v>1168</v>
      </c>
    </row>
    <row r="573" s="25" customFormat="1" spans="1:16">
      <c r="A573" s="29" t="s">
        <v>1167</v>
      </c>
      <c r="B573" s="29" t="s">
        <v>1151</v>
      </c>
      <c r="C573" s="29" t="s">
        <v>47</v>
      </c>
      <c r="D573" s="29" t="s">
        <v>808</v>
      </c>
      <c r="E573" s="29" t="s">
        <v>35</v>
      </c>
      <c r="F573" s="29" t="s">
        <v>47</v>
      </c>
      <c r="G573" s="29" t="s">
        <v>427</v>
      </c>
      <c r="H573" s="29" t="s">
        <v>149</v>
      </c>
      <c r="I573" s="29" t="s">
        <v>39</v>
      </c>
      <c r="J573" s="29" t="s">
        <v>420</v>
      </c>
      <c r="K573" s="29" t="s">
        <v>1169</v>
      </c>
      <c r="L573" s="29" t="s">
        <v>1148</v>
      </c>
      <c r="M573" s="29" t="s">
        <v>429</v>
      </c>
      <c r="N573" s="29" t="s">
        <v>898</v>
      </c>
      <c r="O573" s="29" t="s">
        <v>129</v>
      </c>
      <c r="P573" s="30" t="s">
        <v>1170</v>
      </c>
    </row>
    <row r="574" s="25" customFormat="1" spans="1:16">
      <c r="A574" s="29" t="s">
        <v>1169</v>
      </c>
      <c r="B574" s="29" t="s">
        <v>1151</v>
      </c>
      <c r="C574" s="29" t="s">
        <v>47</v>
      </c>
      <c r="D574" s="29" t="s">
        <v>808</v>
      </c>
      <c r="E574" s="29" t="s">
        <v>35</v>
      </c>
      <c r="F574" s="29" t="s">
        <v>47</v>
      </c>
      <c r="G574" s="29" t="s">
        <v>427</v>
      </c>
      <c r="H574" s="29" t="s">
        <v>149</v>
      </c>
      <c r="I574" s="29" t="s">
        <v>39</v>
      </c>
      <c r="J574" s="29" t="s">
        <v>424</v>
      </c>
      <c r="K574" s="29" t="s">
        <v>39</v>
      </c>
      <c r="L574" s="29" t="s">
        <v>39</v>
      </c>
      <c r="M574" s="29" t="s">
        <v>39</v>
      </c>
      <c r="N574" s="29" t="s">
        <v>898</v>
      </c>
      <c r="O574" s="29" t="s">
        <v>129</v>
      </c>
      <c r="P574" s="30" t="s">
        <v>1171</v>
      </c>
    </row>
    <row r="575" s="25" customFormat="1" spans="1:16">
      <c r="A575" s="29" t="s">
        <v>1172</v>
      </c>
      <c r="B575" s="29" t="s">
        <v>1172</v>
      </c>
      <c r="C575" s="29" t="s">
        <v>47</v>
      </c>
      <c r="D575" s="29" t="s">
        <v>808</v>
      </c>
      <c r="E575" s="29" t="s">
        <v>35</v>
      </c>
      <c r="F575" s="29" t="s">
        <v>47</v>
      </c>
      <c r="G575" s="29" t="s">
        <v>450</v>
      </c>
      <c r="H575" s="29" t="s">
        <v>176</v>
      </c>
      <c r="I575" s="29" t="s">
        <v>39</v>
      </c>
      <c r="J575" s="29" t="s">
        <v>39</v>
      </c>
      <c r="K575" s="29" t="s">
        <v>1173</v>
      </c>
      <c r="L575" s="29" t="s">
        <v>1032</v>
      </c>
      <c r="M575" s="29" t="s">
        <v>452</v>
      </c>
      <c r="N575" s="29" t="s">
        <v>919</v>
      </c>
      <c r="O575" s="29" t="s">
        <v>133</v>
      </c>
      <c r="P575" s="30" t="s">
        <v>920</v>
      </c>
    </row>
    <row r="576" s="25" customFormat="1" spans="1:16">
      <c r="A576" s="29" t="s">
        <v>1173</v>
      </c>
      <c r="B576" s="29" t="s">
        <v>1172</v>
      </c>
      <c r="C576" s="29" t="s">
        <v>47</v>
      </c>
      <c r="D576" s="29" t="s">
        <v>808</v>
      </c>
      <c r="E576" s="29" t="s">
        <v>35</v>
      </c>
      <c r="F576" s="29" t="s">
        <v>47</v>
      </c>
      <c r="G576" s="29" t="s">
        <v>450</v>
      </c>
      <c r="H576" s="29" t="s">
        <v>176</v>
      </c>
      <c r="I576" s="29" t="s">
        <v>39</v>
      </c>
      <c r="J576" s="29" t="s">
        <v>35</v>
      </c>
      <c r="K576" s="29" t="s">
        <v>1174</v>
      </c>
      <c r="L576" s="29" t="s">
        <v>1034</v>
      </c>
      <c r="M576" s="29" t="s">
        <v>452</v>
      </c>
      <c r="N576" s="29" t="s">
        <v>922</v>
      </c>
      <c r="O576" s="29" t="s">
        <v>133</v>
      </c>
      <c r="P576" s="30" t="s">
        <v>923</v>
      </c>
    </row>
    <row r="577" s="25" customFormat="1" spans="1:16">
      <c r="A577" s="29" t="s">
        <v>1174</v>
      </c>
      <c r="B577" s="29" t="s">
        <v>1172</v>
      </c>
      <c r="C577" s="29" t="s">
        <v>47</v>
      </c>
      <c r="D577" s="29" t="s">
        <v>808</v>
      </c>
      <c r="E577" s="29" t="s">
        <v>35</v>
      </c>
      <c r="F577" s="29" t="s">
        <v>47</v>
      </c>
      <c r="G577" s="29" t="s">
        <v>450</v>
      </c>
      <c r="H577" s="29" t="s">
        <v>176</v>
      </c>
      <c r="I577" s="29" t="s">
        <v>39</v>
      </c>
      <c r="J577" s="29" t="s">
        <v>47</v>
      </c>
      <c r="K577" s="29" t="s">
        <v>1175</v>
      </c>
      <c r="L577" s="29" t="s">
        <v>1038</v>
      </c>
      <c r="M577" s="29" t="s">
        <v>452</v>
      </c>
      <c r="N577" s="29" t="s">
        <v>922</v>
      </c>
      <c r="O577" s="29" t="s">
        <v>133</v>
      </c>
      <c r="P577" s="30" t="s">
        <v>925</v>
      </c>
    </row>
    <row r="578" s="25" customFormat="1" spans="1:16">
      <c r="A578" s="29" t="s">
        <v>1175</v>
      </c>
      <c r="B578" s="29" t="s">
        <v>1172</v>
      </c>
      <c r="C578" s="29" t="s">
        <v>47</v>
      </c>
      <c r="D578" s="29" t="s">
        <v>808</v>
      </c>
      <c r="E578" s="29" t="s">
        <v>35</v>
      </c>
      <c r="F578" s="29" t="s">
        <v>47</v>
      </c>
      <c r="G578" s="29" t="s">
        <v>450</v>
      </c>
      <c r="H578" s="29" t="s">
        <v>176</v>
      </c>
      <c r="I578" s="29" t="s">
        <v>39</v>
      </c>
      <c r="J578" s="29" t="s">
        <v>51</v>
      </c>
      <c r="K578" s="29" t="s">
        <v>1176</v>
      </c>
      <c r="L578" s="29" t="s">
        <v>1041</v>
      </c>
      <c r="M578" s="29" t="s">
        <v>452</v>
      </c>
      <c r="N578" s="29" t="s">
        <v>922</v>
      </c>
      <c r="O578" s="29" t="s">
        <v>133</v>
      </c>
      <c r="P578" s="30" t="s">
        <v>927</v>
      </c>
    </row>
    <row r="579" s="26" customFormat="1" spans="1:18">
      <c r="A579" s="29" t="s">
        <v>1176</v>
      </c>
      <c r="B579" s="29" t="s">
        <v>1172</v>
      </c>
      <c r="C579" s="29" t="s">
        <v>47</v>
      </c>
      <c r="D579" s="29" t="s">
        <v>808</v>
      </c>
      <c r="E579" s="29" t="s">
        <v>35</v>
      </c>
      <c r="F579" s="29" t="s">
        <v>47</v>
      </c>
      <c r="G579" s="29" t="s">
        <v>450</v>
      </c>
      <c r="H579" s="29" t="s">
        <v>176</v>
      </c>
      <c r="I579" s="29" t="s">
        <v>39</v>
      </c>
      <c r="J579" s="29" t="s">
        <v>55</v>
      </c>
      <c r="K579" s="29" t="s">
        <v>1177</v>
      </c>
      <c r="L579" s="29" t="s">
        <v>1043</v>
      </c>
      <c r="M579" s="29" t="s">
        <v>452</v>
      </c>
      <c r="N579" s="29" t="s">
        <v>922</v>
      </c>
      <c r="O579" s="29" t="s">
        <v>133</v>
      </c>
      <c r="P579" s="30" t="s">
        <v>929</v>
      </c>
      <c r="Q579" s="25"/>
      <c r="R579" s="25"/>
    </row>
    <row r="580" s="25" customFormat="1" spans="1:16">
      <c r="A580" s="29" t="s">
        <v>1177</v>
      </c>
      <c r="B580" s="29" t="s">
        <v>1172</v>
      </c>
      <c r="C580" s="29" t="s">
        <v>47</v>
      </c>
      <c r="D580" s="29" t="s">
        <v>808</v>
      </c>
      <c r="E580" s="29" t="s">
        <v>35</v>
      </c>
      <c r="F580" s="29" t="s">
        <v>47</v>
      </c>
      <c r="G580" s="29" t="s">
        <v>450</v>
      </c>
      <c r="H580" s="29" t="s">
        <v>176</v>
      </c>
      <c r="I580" s="29" t="s">
        <v>39</v>
      </c>
      <c r="J580" s="29" t="s">
        <v>59</v>
      </c>
      <c r="K580" s="29" t="s">
        <v>1178</v>
      </c>
      <c r="L580" s="29" t="s">
        <v>1046</v>
      </c>
      <c r="M580" s="29" t="s">
        <v>452</v>
      </c>
      <c r="N580" s="29" t="s">
        <v>922</v>
      </c>
      <c r="O580" s="29" t="s">
        <v>133</v>
      </c>
      <c r="P580" s="30" t="s">
        <v>931</v>
      </c>
    </row>
    <row r="581" s="25" customFormat="1" spans="1:16">
      <c r="A581" s="29" t="s">
        <v>1178</v>
      </c>
      <c r="B581" s="29" t="s">
        <v>1172</v>
      </c>
      <c r="C581" s="29" t="s">
        <v>47</v>
      </c>
      <c r="D581" s="29" t="s">
        <v>808</v>
      </c>
      <c r="E581" s="29" t="s">
        <v>35</v>
      </c>
      <c r="F581" s="29" t="s">
        <v>47</v>
      </c>
      <c r="G581" s="29" t="s">
        <v>450</v>
      </c>
      <c r="H581" s="29" t="s">
        <v>176</v>
      </c>
      <c r="I581" s="29" t="s">
        <v>39</v>
      </c>
      <c r="J581" s="29" t="s">
        <v>129</v>
      </c>
      <c r="K581" s="29" t="s">
        <v>1179</v>
      </c>
      <c r="L581" s="29" t="s">
        <v>1049</v>
      </c>
      <c r="M581" s="29" t="s">
        <v>452</v>
      </c>
      <c r="N581" s="29" t="s">
        <v>922</v>
      </c>
      <c r="O581" s="29" t="s">
        <v>133</v>
      </c>
      <c r="P581" s="30" t="s">
        <v>933</v>
      </c>
    </row>
    <row r="582" s="25" customFormat="1" spans="1:16">
      <c r="A582" s="29" t="s">
        <v>1179</v>
      </c>
      <c r="B582" s="29" t="s">
        <v>1172</v>
      </c>
      <c r="C582" s="29" t="s">
        <v>47</v>
      </c>
      <c r="D582" s="29" t="s">
        <v>808</v>
      </c>
      <c r="E582" s="29" t="s">
        <v>35</v>
      </c>
      <c r="F582" s="29" t="s">
        <v>47</v>
      </c>
      <c r="G582" s="29" t="s">
        <v>450</v>
      </c>
      <c r="H582" s="29" t="s">
        <v>176</v>
      </c>
      <c r="I582" s="29" t="s">
        <v>39</v>
      </c>
      <c r="J582" s="29" t="s">
        <v>133</v>
      </c>
      <c r="K582" s="29" t="s">
        <v>1180</v>
      </c>
      <c r="L582" s="29" t="s">
        <v>1051</v>
      </c>
      <c r="M582" s="29" t="s">
        <v>452</v>
      </c>
      <c r="N582" s="29" t="s">
        <v>922</v>
      </c>
      <c r="O582" s="29" t="s">
        <v>133</v>
      </c>
      <c r="P582" s="30" t="s">
        <v>935</v>
      </c>
    </row>
    <row r="583" s="25" customFormat="1" spans="1:16">
      <c r="A583" s="29" t="s">
        <v>1180</v>
      </c>
      <c r="B583" s="29" t="s">
        <v>1172</v>
      </c>
      <c r="C583" s="29" t="s">
        <v>47</v>
      </c>
      <c r="D583" s="29" t="s">
        <v>808</v>
      </c>
      <c r="E583" s="29" t="s">
        <v>35</v>
      </c>
      <c r="F583" s="29" t="s">
        <v>47</v>
      </c>
      <c r="G583" s="29" t="s">
        <v>450</v>
      </c>
      <c r="H583" s="29" t="s">
        <v>176</v>
      </c>
      <c r="I583" s="29" t="s">
        <v>39</v>
      </c>
      <c r="J583" s="29" t="s">
        <v>137</v>
      </c>
      <c r="K583" s="29" t="s">
        <v>1181</v>
      </c>
      <c r="L583" s="29" t="s">
        <v>1054</v>
      </c>
      <c r="M583" s="29" t="s">
        <v>452</v>
      </c>
      <c r="N583" s="29" t="s">
        <v>922</v>
      </c>
      <c r="O583" s="29" t="s">
        <v>133</v>
      </c>
      <c r="P583" s="30" t="s">
        <v>937</v>
      </c>
    </row>
    <row r="584" s="25" customFormat="1" spans="1:16">
      <c r="A584" s="29" t="s">
        <v>1181</v>
      </c>
      <c r="B584" s="29" t="s">
        <v>1172</v>
      </c>
      <c r="C584" s="29" t="s">
        <v>47</v>
      </c>
      <c r="D584" s="29" t="s">
        <v>808</v>
      </c>
      <c r="E584" s="29" t="s">
        <v>35</v>
      </c>
      <c r="F584" s="29" t="s">
        <v>47</v>
      </c>
      <c r="G584" s="29" t="s">
        <v>450</v>
      </c>
      <c r="H584" s="29" t="s">
        <v>176</v>
      </c>
      <c r="I584" s="29" t="s">
        <v>39</v>
      </c>
      <c r="J584" s="29" t="s">
        <v>141</v>
      </c>
      <c r="K584" s="29" t="s">
        <v>1182</v>
      </c>
      <c r="L584" s="29" t="s">
        <v>1057</v>
      </c>
      <c r="M584" s="29" t="s">
        <v>452</v>
      </c>
      <c r="N584" s="29" t="s">
        <v>922</v>
      </c>
      <c r="O584" s="29" t="s">
        <v>133</v>
      </c>
      <c r="P584" s="30" t="s">
        <v>939</v>
      </c>
    </row>
    <row r="585" s="25" customFormat="1" spans="1:16">
      <c r="A585" s="29" t="s">
        <v>1182</v>
      </c>
      <c r="B585" s="29" t="s">
        <v>1172</v>
      </c>
      <c r="C585" s="29" t="s">
        <v>47</v>
      </c>
      <c r="D585" s="29" t="s">
        <v>808</v>
      </c>
      <c r="E585" s="29" t="s">
        <v>35</v>
      </c>
      <c r="F585" s="29" t="s">
        <v>47</v>
      </c>
      <c r="G585" s="29" t="s">
        <v>450</v>
      </c>
      <c r="H585" s="29" t="s">
        <v>176</v>
      </c>
      <c r="I585" s="29" t="s">
        <v>39</v>
      </c>
      <c r="J585" s="29" t="s">
        <v>145</v>
      </c>
      <c r="K585" s="29" t="s">
        <v>1183</v>
      </c>
      <c r="L585" s="29" t="s">
        <v>1137</v>
      </c>
      <c r="M585" s="29" t="s">
        <v>452</v>
      </c>
      <c r="N585" s="29" t="s">
        <v>922</v>
      </c>
      <c r="O585" s="29" t="s">
        <v>133</v>
      </c>
      <c r="P585" s="30" t="s">
        <v>940</v>
      </c>
    </row>
    <row r="586" s="25" customFormat="1" spans="1:16">
      <c r="A586" s="29" t="s">
        <v>1183</v>
      </c>
      <c r="B586" s="29" t="s">
        <v>1172</v>
      </c>
      <c r="C586" s="29" t="s">
        <v>47</v>
      </c>
      <c r="D586" s="29" t="s">
        <v>808</v>
      </c>
      <c r="E586" s="29" t="s">
        <v>35</v>
      </c>
      <c r="F586" s="29" t="s">
        <v>47</v>
      </c>
      <c r="G586" s="29" t="s">
        <v>450</v>
      </c>
      <c r="H586" s="29" t="s">
        <v>176</v>
      </c>
      <c r="I586" s="29" t="s">
        <v>39</v>
      </c>
      <c r="J586" s="29" t="s">
        <v>408</v>
      </c>
      <c r="K586" s="29" t="s">
        <v>1184</v>
      </c>
      <c r="L586" s="29" t="s">
        <v>1139</v>
      </c>
      <c r="M586" s="29" t="s">
        <v>452</v>
      </c>
      <c r="N586" s="29" t="s">
        <v>922</v>
      </c>
      <c r="O586" s="29" t="s">
        <v>133</v>
      </c>
      <c r="P586" s="30" t="s">
        <v>1185</v>
      </c>
    </row>
    <row r="587" s="25" customFormat="1" spans="1:16">
      <c r="A587" s="29" t="s">
        <v>1184</v>
      </c>
      <c r="B587" s="29" t="s">
        <v>1172</v>
      </c>
      <c r="C587" s="29" t="s">
        <v>47</v>
      </c>
      <c r="D587" s="29" t="s">
        <v>808</v>
      </c>
      <c r="E587" s="29" t="s">
        <v>35</v>
      </c>
      <c r="F587" s="29" t="s">
        <v>47</v>
      </c>
      <c r="G587" s="29" t="s">
        <v>450</v>
      </c>
      <c r="H587" s="29" t="s">
        <v>176</v>
      </c>
      <c r="I587" s="29" t="s">
        <v>39</v>
      </c>
      <c r="J587" s="29" t="s">
        <v>412</v>
      </c>
      <c r="K587" s="29" t="s">
        <v>1186</v>
      </c>
      <c r="L587" s="29" t="s">
        <v>1142</v>
      </c>
      <c r="M587" s="29" t="s">
        <v>452</v>
      </c>
      <c r="N587" s="29" t="s">
        <v>922</v>
      </c>
      <c r="O587" s="29" t="s">
        <v>133</v>
      </c>
      <c r="P587" s="30" t="s">
        <v>1187</v>
      </c>
    </row>
    <row r="588" s="25" customFormat="1" spans="1:16">
      <c r="A588" s="29" t="s">
        <v>1186</v>
      </c>
      <c r="B588" s="29" t="s">
        <v>1172</v>
      </c>
      <c r="C588" s="29" t="s">
        <v>47</v>
      </c>
      <c r="D588" s="29" t="s">
        <v>808</v>
      </c>
      <c r="E588" s="29" t="s">
        <v>35</v>
      </c>
      <c r="F588" s="29" t="s">
        <v>47</v>
      </c>
      <c r="G588" s="29" t="s">
        <v>450</v>
      </c>
      <c r="H588" s="29" t="s">
        <v>176</v>
      </c>
      <c r="I588" s="29" t="s">
        <v>39</v>
      </c>
      <c r="J588" s="29" t="s">
        <v>416</v>
      </c>
      <c r="K588" s="29" t="s">
        <v>1188</v>
      </c>
      <c r="L588" s="29" t="s">
        <v>1145</v>
      </c>
      <c r="M588" s="29" t="s">
        <v>452</v>
      </c>
      <c r="N588" s="29" t="s">
        <v>922</v>
      </c>
      <c r="O588" s="29" t="s">
        <v>133</v>
      </c>
      <c r="P588" s="30" t="s">
        <v>1189</v>
      </c>
    </row>
    <row r="589" s="25" customFormat="1" spans="1:16">
      <c r="A589" s="29" t="s">
        <v>1188</v>
      </c>
      <c r="B589" s="29" t="s">
        <v>1172</v>
      </c>
      <c r="C589" s="29" t="s">
        <v>47</v>
      </c>
      <c r="D589" s="29" t="s">
        <v>808</v>
      </c>
      <c r="E589" s="29" t="s">
        <v>35</v>
      </c>
      <c r="F589" s="29" t="s">
        <v>47</v>
      </c>
      <c r="G589" s="29" t="s">
        <v>450</v>
      </c>
      <c r="H589" s="29" t="s">
        <v>176</v>
      </c>
      <c r="I589" s="29" t="s">
        <v>39</v>
      </c>
      <c r="J589" s="29" t="s">
        <v>420</v>
      </c>
      <c r="K589" s="29" t="s">
        <v>1190</v>
      </c>
      <c r="L589" s="29" t="s">
        <v>1148</v>
      </c>
      <c r="M589" s="29" t="s">
        <v>452</v>
      </c>
      <c r="N589" s="29" t="s">
        <v>922</v>
      </c>
      <c r="O589" s="29" t="s">
        <v>133</v>
      </c>
      <c r="P589" s="30" t="s">
        <v>1191</v>
      </c>
    </row>
    <row r="590" s="26" customFormat="1" spans="1:18">
      <c r="A590" s="29" t="s">
        <v>1190</v>
      </c>
      <c r="B590" s="29" t="s">
        <v>1172</v>
      </c>
      <c r="C590" s="29" t="s">
        <v>47</v>
      </c>
      <c r="D590" s="29" t="s">
        <v>808</v>
      </c>
      <c r="E590" s="29" t="s">
        <v>35</v>
      </c>
      <c r="F590" s="29" t="s">
        <v>47</v>
      </c>
      <c r="G590" s="29" t="s">
        <v>450</v>
      </c>
      <c r="H590" s="29" t="s">
        <v>176</v>
      </c>
      <c r="I590" s="29" t="s">
        <v>39</v>
      </c>
      <c r="J590" s="29" t="s">
        <v>424</v>
      </c>
      <c r="K590" s="29" t="s">
        <v>39</v>
      </c>
      <c r="L590" s="29" t="s">
        <v>39</v>
      </c>
      <c r="M590" s="29" t="s">
        <v>39</v>
      </c>
      <c r="N590" s="29" t="s">
        <v>922</v>
      </c>
      <c r="O590" s="29" t="s">
        <v>133</v>
      </c>
      <c r="P590" s="30" t="s">
        <v>1192</v>
      </c>
      <c r="Q590" s="25"/>
      <c r="R590" s="25"/>
    </row>
    <row r="591" s="25" customFormat="1" spans="1:16">
      <c r="A591" s="29" t="s">
        <v>1193</v>
      </c>
      <c r="B591" s="29" t="s">
        <v>1193</v>
      </c>
      <c r="C591" s="29" t="s">
        <v>47</v>
      </c>
      <c r="D591" s="29" t="s">
        <v>808</v>
      </c>
      <c r="E591" s="29" t="s">
        <v>47</v>
      </c>
      <c r="F591" s="29" t="s">
        <v>47</v>
      </c>
      <c r="G591" s="29" t="s">
        <v>942</v>
      </c>
      <c r="H591" s="29" t="s">
        <v>943</v>
      </c>
      <c r="I591" s="29" t="s">
        <v>204</v>
      </c>
      <c r="J591" s="29" t="s">
        <v>39</v>
      </c>
      <c r="K591" s="29" t="s">
        <v>1194</v>
      </c>
      <c r="L591" s="29" t="s">
        <v>945</v>
      </c>
      <c r="M591" s="29" t="s">
        <v>474</v>
      </c>
      <c r="N591" s="29" t="s">
        <v>946</v>
      </c>
      <c r="O591" s="29" t="s">
        <v>137</v>
      </c>
      <c r="P591" s="30" t="s">
        <v>947</v>
      </c>
    </row>
    <row r="592" s="25" customFormat="1" spans="1:16">
      <c r="A592" s="29" t="s">
        <v>1194</v>
      </c>
      <c r="B592" s="29" t="s">
        <v>1193</v>
      </c>
      <c r="C592" s="29" t="s">
        <v>47</v>
      </c>
      <c r="D592" s="29" t="s">
        <v>808</v>
      </c>
      <c r="E592" s="29" t="s">
        <v>47</v>
      </c>
      <c r="F592" s="29" t="s">
        <v>47</v>
      </c>
      <c r="G592" s="29" t="s">
        <v>942</v>
      </c>
      <c r="H592" s="29" t="s">
        <v>943</v>
      </c>
      <c r="I592" s="29" t="s">
        <v>204</v>
      </c>
      <c r="J592" s="29" t="s">
        <v>35</v>
      </c>
      <c r="K592" s="29" t="s">
        <v>1195</v>
      </c>
      <c r="L592" s="29" t="s">
        <v>949</v>
      </c>
      <c r="M592" s="29" t="s">
        <v>474</v>
      </c>
      <c r="N592" s="29" t="s">
        <v>950</v>
      </c>
      <c r="O592" s="29" t="s">
        <v>137</v>
      </c>
      <c r="P592" s="30" t="s">
        <v>951</v>
      </c>
    </row>
    <row r="593" s="25" customFormat="1" spans="1:16">
      <c r="A593" s="29" t="s">
        <v>1195</v>
      </c>
      <c r="B593" s="29" t="s">
        <v>1193</v>
      </c>
      <c r="C593" s="29" t="s">
        <v>47</v>
      </c>
      <c r="D593" s="29" t="s">
        <v>808</v>
      </c>
      <c r="E593" s="29" t="s">
        <v>47</v>
      </c>
      <c r="F593" s="29" t="s">
        <v>47</v>
      </c>
      <c r="G593" s="29" t="s">
        <v>942</v>
      </c>
      <c r="H593" s="29" t="s">
        <v>943</v>
      </c>
      <c r="I593" s="29" t="s">
        <v>204</v>
      </c>
      <c r="J593" s="29" t="s">
        <v>47</v>
      </c>
      <c r="K593" s="29" t="s">
        <v>1196</v>
      </c>
      <c r="L593" s="29" t="s">
        <v>953</v>
      </c>
      <c r="M593" s="29" t="s">
        <v>474</v>
      </c>
      <c r="N593" s="29" t="s">
        <v>950</v>
      </c>
      <c r="O593" s="29" t="s">
        <v>137</v>
      </c>
      <c r="P593" s="30" t="s">
        <v>954</v>
      </c>
    </row>
    <row r="594" s="25" customFormat="1" spans="1:16">
      <c r="A594" s="29" t="s">
        <v>1196</v>
      </c>
      <c r="B594" s="29" t="s">
        <v>1193</v>
      </c>
      <c r="C594" s="29" t="s">
        <v>47</v>
      </c>
      <c r="D594" s="29" t="s">
        <v>808</v>
      </c>
      <c r="E594" s="29" t="s">
        <v>47</v>
      </c>
      <c r="F594" s="29" t="s">
        <v>47</v>
      </c>
      <c r="G594" s="29" t="s">
        <v>942</v>
      </c>
      <c r="H594" s="29" t="s">
        <v>943</v>
      </c>
      <c r="I594" s="29" t="s">
        <v>204</v>
      </c>
      <c r="J594" s="29" t="s">
        <v>51</v>
      </c>
      <c r="K594" s="29" t="s">
        <v>1197</v>
      </c>
      <c r="L594" s="29" t="s">
        <v>956</v>
      </c>
      <c r="M594" s="29" t="s">
        <v>474</v>
      </c>
      <c r="N594" s="29" t="s">
        <v>950</v>
      </c>
      <c r="O594" s="29" t="s">
        <v>137</v>
      </c>
      <c r="P594" s="30" t="s">
        <v>957</v>
      </c>
    </row>
    <row r="595" s="25" customFormat="1" spans="1:16">
      <c r="A595" s="29" t="s">
        <v>1197</v>
      </c>
      <c r="B595" s="29" t="s">
        <v>1193</v>
      </c>
      <c r="C595" s="29" t="s">
        <v>47</v>
      </c>
      <c r="D595" s="29" t="s">
        <v>808</v>
      </c>
      <c r="E595" s="29" t="s">
        <v>47</v>
      </c>
      <c r="F595" s="29" t="s">
        <v>47</v>
      </c>
      <c r="G595" s="29" t="s">
        <v>942</v>
      </c>
      <c r="H595" s="29" t="s">
        <v>943</v>
      </c>
      <c r="I595" s="29" t="s">
        <v>204</v>
      </c>
      <c r="J595" s="29" t="s">
        <v>55</v>
      </c>
      <c r="K595" s="29" t="s">
        <v>1198</v>
      </c>
      <c r="L595" s="29" t="s">
        <v>959</v>
      </c>
      <c r="M595" s="29" t="s">
        <v>474</v>
      </c>
      <c r="N595" s="29" t="s">
        <v>950</v>
      </c>
      <c r="O595" s="29" t="s">
        <v>137</v>
      </c>
      <c r="P595" s="30" t="s">
        <v>960</v>
      </c>
    </row>
    <row r="596" s="25" customFormat="1" spans="1:16">
      <c r="A596" s="29" t="s">
        <v>1198</v>
      </c>
      <c r="B596" s="29" t="s">
        <v>1193</v>
      </c>
      <c r="C596" s="29" t="s">
        <v>47</v>
      </c>
      <c r="D596" s="29" t="s">
        <v>808</v>
      </c>
      <c r="E596" s="29" t="s">
        <v>47</v>
      </c>
      <c r="F596" s="29" t="s">
        <v>47</v>
      </c>
      <c r="G596" s="29" t="s">
        <v>942</v>
      </c>
      <c r="H596" s="29" t="s">
        <v>943</v>
      </c>
      <c r="I596" s="29" t="s">
        <v>204</v>
      </c>
      <c r="J596" s="29" t="s">
        <v>59</v>
      </c>
      <c r="K596" s="29" t="s">
        <v>1199</v>
      </c>
      <c r="L596" s="29" t="s">
        <v>962</v>
      </c>
      <c r="M596" s="29" t="s">
        <v>474</v>
      </c>
      <c r="N596" s="29" t="s">
        <v>950</v>
      </c>
      <c r="O596" s="29" t="s">
        <v>137</v>
      </c>
      <c r="P596" s="30" t="s">
        <v>963</v>
      </c>
    </row>
    <row r="597" s="25" customFormat="1" spans="1:16">
      <c r="A597" s="29" t="s">
        <v>1199</v>
      </c>
      <c r="B597" s="29" t="s">
        <v>1193</v>
      </c>
      <c r="C597" s="29" t="s">
        <v>47</v>
      </c>
      <c r="D597" s="29" t="s">
        <v>808</v>
      </c>
      <c r="E597" s="29" t="s">
        <v>47</v>
      </c>
      <c r="F597" s="29" t="s">
        <v>47</v>
      </c>
      <c r="G597" s="29" t="s">
        <v>942</v>
      </c>
      <c r="H597" s="29" t="s">
        <v>943</v>
      </c>
      <c r="I597" s="29" t="s">
        <v>204</v>
      </c>
      <c r="J597" s="29" t="s">
        <v>129</v>
      </c>
      <c r="K597" s="29" t="s">
        <v>1200</v>
      </c>
      <c r="L597" s="29" t="s">
        <v>965</v>
      </c>
      <c r="M597" s="29" t="s">
        <v>474</v>
      </c>
      <c r="N597" s="29" t="s">
        <v>950</v>
      </c>
      <c r="O597" s="29" t="s">
        <v>137</v>
      </c>
      <c r="P597" s="30" t="s">
        <v>966</v>
      </c>
    </row>
    <row r="598" s="25" customFormat="1" spans="1:16">
      <c r="A598" s="29" t="s">
        <v>1200</v>
      </c>
      <c r="B598" s="29" t="s">
        <v>1193</v>
      </c>
      <c r="C598" s="29" t="s">
        <v>47</v>
      </c>
      <c r="D598" s="29" t="s">
        <v>808</v>
      </c>
      <c r="E598" s="29" t="s">
        <v>47</v>
      </c>
      <c r="F598" s="29" t="s">
        <v>47</v>
      </c>
      <c r="G598" s="29" t="s">
        <v>942</v>
      </c>
      <c r="H598" s="29" t="s">
        <v>943</v>
      </c>
      <c r="I598" s="29" t="s">
        <v>204</v>
      </c>
      <c r="J598" s="29" t="s">
        <v>133</v>
      </c>
      <c r="K598" s="29" t="s">
        <v>1201</v>
      </c>
      <c r="L598" s="29" t="s">
        <v>968</v>
      </c>
      <c r="M598" s="29" t="s">
        <v>474</v>
      </c>
      <c r="N598" s="29" t="s">
        <v>950</v>
      </c>
      <c r="O598" s="29" t="s">
        <v>137</v>
      </c>
      <c r="P598" s="30" t="s">
        <v>969</v>
      </c>
    </row>
    <row r="599" s="25" customFormat="1" spans="1:16">
      <c r="A599" s="29" t="s">
        <v>1201</v>
      </c>
      <c r="B599" s="29" t="s">
        <v>1193</v>
      </c>
      <c r="C599" s="29" t="s">
        <v>47</v>
      </c>
      <c r="D599" s="29" t="s">
        <v>808</v>
      </c>
      <c r="E599" s="29" t="s">
        <v>47</v>
      </c>
      <c r="F599" s="29" t="s">
        <v>47</v>
      </c>
      <c r="G599" s="29" t="s">
        <v>942</v>
      </c>
      <c r="H599" s="29" t="s">
        <v>943</v>
      </c>
      <c r="I599" s="29" t="s">
        <v>204</v>
      </c>
      <c r="J599" s="29" t="s">
        <v>137</v>
      </c>
      <c r="K599" s="29" t="s">
        <v>1202</v>
      </c>
      <c r="L599" s="29" t="s">
        <v>971</v>
      </c>
      <c r="M599" s="29" t="s">
        <v>474</v>
      </c>
      <c r="N599" s="29" t="s">
        <v>950</v>
      </c>
      <c r="O599" s="29" t="s">
        <v>137</v>
      </c>
      <c r="P599" s="30" t="s">
        <v>972</v>
      </c>
    </row>
    <row r="600" s="25" customFormat="1" spans="1:16">
      <c r="A600" s="29" t="s">
        <v>1202</v>
      </c>
      <c r="B600" s="29" t="s">
        <v>1193</v>
      </c>
      <c r="C600" s="29" t="s">
        <v>47</v>
      </c>
      <c r="D600" s="29" t="s">
        <v>808</v>
      </c>
      <c r="E600" s="29" t="s">
        <v>47</v>
      </c>
      <c r="F600" s="29" t="s">
        <v>47</v>
      </c>
      <c r="G600" s="29" t="s">
        <v>942</v>
      </c>
      <c r="H600" s="29" t="s">
        <v>943</v>
      </c>
      <c r="I600" s="29" t="s">
        <v>204</v>
      </c>
      <c r="J600" s="29" t="s">
        <v>141</v>
      </c>
      <c r="K600" s="29" t="s">
        <v>1203</v>
      </c>
      <c r="L600" s="29" t="s">
        <v>974</v>
      </c>
      <c r="M600" s="29" t="s">
        <v>474</v>
      </c>
      <c r="N600" s="29" t="s">
        <v>950</v>
      </c>
      <c r="O600" s="29" t="s">
        <v>137</v>
      </c>
      <c r="P600" s="30" t="s">
        <v>975</v>
      </c>
    </row>
    <row r="601" s="26" customFormat="1" spans="1:18">
      <c r="A601" s="29" t="s">
        <v>1203</v>
      </c>
      <c r="B601" s="29" t="s">
        <v>1193</v>
      </c>
      <c r="C601" s="29" t="s">
        <v>47</v>
      </c>
      <c r="D601" s="29" t="s">
        <v>808</v>
      </c>
      <c r="E601" s="29" t="s">
        <v>47</v>
      </c>
      <c r="F601" s="29" t="s">
        <v>47</v>
      </c>
      <c r="G601" s="29" t="s">
        <v>942</v>
      </c>
      <c r="H601" s="29" t="s">
        <v>943</v>
      </c>
      <c r="I601" s="29" t="s">
        <v>204</v>
      </c>
      <c r="J601" s="29" t="s">
        <v>145</v>
      </c>
      <c r="K601" s="29" t="s">
        <v>39</v>
      </c>
      <c r="L601" s="29" t="s">
        <v>976</v>
      </c>
      <c r="M601" s="29" t="s">
        <v>474</v>
      </c>
      <c r="N601" s="29" t="s">
        <v>950</v>
      </c>
      <c r="O601" s="29" t="s">
        <v>137</v>
      </c>
      <c r="P601" s="30" t="s">
        <v>977</v>
      </c>
      <c r="Q601" s="25"/>
      <c r="R601" s="25"/>
    </row>
    <row r="602" s="26" customFormat="1" spans="1:18">
      <c r="A602" s="29" t="s">
        <v>1204</v>
      </c>
      <c r="B602" s="29" t="s">
        <v>1204</v>
      </c>
      <c r="C602" s="29" t="s">
        <v>47</v>
      </c>
      <c r="D602" s="29" t="s">
        <v>808</v>
      </c>
      <c r="E602" s="29" t="s">
        <v>47</v>
      </c>
      <c r="F602" s="29" t="s">
        <v>47</v>
      </c>
      <c r="G602" s="29" t="s">
        <v>979</v>
      </c>
      <c r="H602" s="29" t="s">
        <v>980</v>
      </c>
      <c r="I602" s="29" t="s">
        <v>204</v>
      </c>
      <c r="J602" s="29" t="s">
        <v>39</v>
      </c>
      <c r="K602" s="29" t="s">
        <v>1205</v>
      </c>
      <c r="L602" s="29" t="s">
        <v>945</v>
      </c>
      <c r="M602" s="29" t="s">
        <v>488</v>
      </c>
      <c r="N602" s="29" t="s">
        <v>982</v>
      </c>
      <c r="O602" s="29" t="s">
        <v>141</v>
      </c>
      <c r="P602" s="30" t="s">
        <v>983</v>
      </c>
      <c r="Q602" s="25"/>
      <c r="R602" s="25"/>
    </row>
    <row r="603" s="25" customFormat="1" spans="1:16">
      <c r="A603" s="29" t="s">
        <v>1205</v>
      </c>
      <c r="B603" s="29" t="s">
        <v>1204</v>
      </c>
      <c r="C603" s="29" t="s">
        <v>47</v>
      </c>
      <c r="D603" s="29" t="s">
        <v>808</v>
      </c>
      <c r="E603" s="29" t="s">
        <v>47</v>
      </c>
      <c r="F603" s="29" t="s">
        <v>47</v>
      </c>
      <c r="G603" s="29" t="s">
        <v>979</v>
      </c>
      <c r="H603" s="29" t="s">
        <v>980</v>
      </c>
      <c r="I603" s="29" t="s">
        <v>204</v>
      </c>
      <c r="J603" s="29" t="s">
        <v>35</v>
      </c>
      <c r="K603" s="29" t="s">
        <v>1206</v>
      </c>
      <c r="L603" s="29" t="s">
        <v>949</v>
      </c>
      <c r="M603" s="29" t="s">
        <v>488</v>
      </c>
      <c r="N603" s="29" t="s">
        <v>985</v>
      </c>
      <c r="O603" s="29" t="s">
        <v>141</v>
      </c>
      <c r="P603" s="30" t="s">
        <v>986</v>
      </c>
    </row>
    <row r="604" s="25" customFormat="1" spans="1:16">
      <c r="A604" s="29" t="s">
        <v>1206</v>
      </c>
      <c r="B604" s="29" t="s">
        <v>1204</v>
      </c>
      <c r="C604" s="29" t="s">
        <v>47</v>
      </c>
      <c r="D604" s="29" t="s">
        <v>808</v>
      </c>
      <c r="E604" s="29" t="s">
        <v>47</v>
      </c>
      <c r="F604" s="29" t="s">
        <v>47</v>
      </c>
      <c r="G604" s="29" t="s">
        <v>979</v>
      </c>
      <c r="H604" s="29" t="s">
        <v>980</v>
      </c>
      <c r="I604" s="29" t="s">
        <v>204</v>
      </c>
      <c r="J604" s="29" t="s">
        <v>47</v>
      </c>
      <c r="K604" s="29" t="s">
        <v>1207</v>
      </c>
      <c r="L604" s="29" t="s">
        <v>953</v>
      </c>
      <c r="M604" s="29" t="s">
        <v>488</v>
      </c>
      <c r="N604" s="29" t="s">
        <v>985</v>
      </c>
      <c r="O604" s="29" t="s">
        <v>141</v>
      </c>
      <c r="P604" s="30" t="s">
        <v>988</v>
      </c>
    </row>
    <row r="605" s="25" customFormat="1" spans="1:16">
      <c r="A605" s="29" t="s">
        <v>1207</v>
      </c>
      <c r="B605" s="29" t="s">
        <v>1204</v>
      </c>
      <c r="C605" s="29" t="s">
        <v>47</v>
      </c>
      <c r="D605" s="29" t="s">
        <v>808</v>
      </c>
      <c r="E605" s="29" t="s">
        <v>47</v>
      </c>
      <c r="F605" s="29" t="s">
        <v>47</v>
      </c>
      <c r="G605" s="29" t="s">
        <v>979</v>
      </c>
      <c r="H605" s="29" t="s">
        <v>980</v>
      </c>
      <c r="I605" s="29" t="s">
        <v>204</v>
      </c>
      <c r="J605" s="29" t="s">
        <v>51</v>
      </c>
      <c r="K605" s="29" t="s">
        <v>1208</v>
      </c>
      <c r="L605" s="29" t="s">
        <v>956</v>
      </c>
      <c r="M605" s="29" t="s">
        <v>488</v>
      </c>
      <c r="N605" s="29" t="s">
        <v>985</v>
      </c>
      <c r="O605" s="29" t="s">
        <v>141</v>
      </c>
      <c r="P605" s="30" t="s">
        <v>990</v>
      </c>
    </row>
    <row r="606" s="25" customFormat="1" spans="1:16">
      <c r="A606" s="29" t="s">
        <v>1208</v>
      </c>
      <c r="B606" s="29" t="s">
        <v>1204</v>
      </c>
      <c r="C606" s="29" t="s">
        <v>47</v>
      </c>
      <c r="D606" s="29" t="s">
        <v>808</v>
      </c>
      <c r="E606" s="29" t="s">
        <v>47</v>
      </c>
      <c r="F606" s="29" t="s">
        <v>47</v>
      </c>
      <c r="G606" s="29" t="s">
        <v>979</v>
      </c>
      <c r="H606" s="29" t="s">
        <v>980</v>
      </c>
      <c r="I606" s="29" t="s">
        <v>204</v>
      </c>
      <c r="J606" s="29" t="s">
        <v>55</v>
      </c>
      <c r="K606" s="29" t="s">
        <v>1209</v>
      </c>
      <c r="L606" s="29" t="s">
        <v>959</v>
      </c>
      <c r="M606" s="29" t="s">
        <v>488</v>
      </c>
      <c r="N606" s="29" t="s">
        <v>985</v>
      </c>
      <c r="O606" s="29" t="s">
        <v>141</v>
      </c>
      <c r="P606" s="30" t="s">
        <v>992</v>
      </c>
    </row>
    <row r="607" s="25" customFormat="1" spans="1:16">
      <c r="A607" s="29" t="s">
        <v>1209</v>
      </c>
      <c r="B607" s="29" t="s">
        <v>1204</v>
      </c>
      <c r="C607" s="29" t="s">
        <v>47</v>
      </c>
      <c r="D607" s="29" t="s">
        <v>808</v>
      </c>
      <c r="E607" s="29" t="s">
        <v>47</v>
      </c>
      <c r="F607" s="29" t="s">
        <v>47</v>
      </c>
      <c r="G607" s="29" t="s">
        <v>979</v>
      </c>
      <c r="H607" s="29" t="s">
        <v>980</v>
      </c>
      <c r="I607" s="29" t="s">
        <v>204</v>
      </c>
      <c r="J607" s="29" t="s">
        <v>59</v>
      </c>
      <c r="K607" s="29" t="s">
        <v>1210</v>
      </c>
      <c r="L607" s="29" t="s">
        <v>962</v>
      </c>
      <c r="M607" s="29" t="s">
        <v>488</v>
      </c>
      <c r="N607" s="29" t="s">
        <v>985</v>
      </c>
      <c r="O607" s="29" t="s">
        <v>141</v>
      </c>
      <c r="P607" s="30" t="s">
        <v>994</v>
      </c>
    </row>
    <row r="608" s="25" customFormat="1" spans="1:16">
      <c r="A608" s="29" t="s">
        <v>1210</v>
      </c>
      <c r="B608" s="29" t="s">
        <v>1204</v>
      </c>
      <c r="C608" s="29" t="s">
        <v>47</v>
      </c>
      <c r="D608" s="29" t="s">
        <v>808</v>
      </c>
      <c r="E608" s="29" t="s">
        <v>47</v>
      </c>
      <c r="F608" s="29" t="s">
        <v>47</v>
      </c>
      <c r="G608" s="29" t="s">
        <v>979</v>
      </c>
      <c r="H608" s="29" t="s">
        <v>980</v>
      </c>
      <c r="I608" s="29" t="s">
        <v>204</v>
      </c>
      <c r="J608" s="29" t="s">
        <v>129</v>
      </c>
      <c r="K608" s="29" t="s">
        <v>1211</v>
      </c>
      <c r="L608" s="29" t="s">
        <v>965</v>
      </c>
      <c r="M608" s="29" t="s">
        <v>488</v>
      </c>
      <c r="N608" s="29" t="s">
        <v>985</v>
      </c>
      <c r="O608" s="29" t="s">
        <v>141</v>
      </c>
      <c r="P608" s="30" t="s">
        <v>996</v>
      </c>
    </row>
    <row r="609" s="25" customFormat="1" spans="1:16">
      <c r="A609" s="29" t="s">
        <v>1211</v>
      </c>
      <c r="B609" s="29" t="s">
        <v>1204</v>
      </c>
      <c r="C609" s="29" t="s">
        <v>47</v>
      </c>
      <c r="D609" s="29" t="s">
        <v>808</v>
      </c>
      <c r="E609" s="29" t="s">
        <v>47</v>
      </c>
      <c r="F609" s="29" t="s">
        <v>47</v>
      </c>
      <c r="G609" s="29" t="s">
        <v>979</v>
      </c>
      <c r="H609" s="29" t="s">
        <v>980</v>
      </c>
      <c r="I609" s="29" t="s">
        <v>204</v>
      </c>
      <c r="J609" s="29" t="s">
        <v>133</v>
      </c>
      <c r="K609" s="29" t="s">
        <v>1212</v>
      </c>
      <c r="L609" s="29" t="s">
        <v>968</v>
      </c>
      <c r="M609" s="29" t="s">
        <v>488</v>
      </c>
      <c r="N609" s="29" t="s">
        <v>985</v>
      </c>
      <c r="O609" s="29" t="s">
        <v>141</v>
      </c>
      <c r="P609" s="30" t="s">
        <v>998</v>
      </c>
    </row>
    <row r="610" s="25" customFormat="1" spans="1:16">
      <c r="A610" s="29" t="s">
        <v>1212</v>
      </c>
      <c r="B610" s="29" t="s">
        <v>1204</v>
      </c>
      <c r="C610" s="29" t="s">
        <v>47</v>
      </c>
      <c r="D610" s="29" t="s">
        <v>808</v>
      </c>
      <c r="E610" s="29" t="s">
        <v>47</v>
      </c>
      <c r="F610" s="29" t="s">
        <v>47</v>
      </c>
      <c r="G610" s="29" t="s">
        <v>979</v>
      </c>
      <c r="H610" s="29" t="s">
        <v>980</v>
      </c>
      <c r="I610" s="29" t="s">
        <v>204</v>
      </c>
      <c r="J610" s="29" t="s">
        <v>137</v>
      </c>
      <c r="K610" s="29" t="s">
        <v>1213</v>
      </c>
      <c r="L610" s="29" t="s">
        <v>971</v>
      </c>
      <c r="M610" s="29" t="s">
        <v>488</v>
      </c>
      <c r="N610" s="29" t="s">
        <v>985</v>
      </c>
      <c r="O610" s="29" t="s">
        <v>141</v>
      </c>
      <c r="P610" s="30" t="s">
        <v>1000</v>
      </c>
    </row>
    <row r="611" s="25" customFormat="1" spans="1:16">
      <c r="A611" s="29" t="s">
        <v>1213</v>
      </c>
      <c r="B611" s="29" t="s">
        <v>1204</v>
      </c>
      <c r="C611" s="29" t="s">
        <v>47</v>
      </c>
      <c r="D611" s="29" t="s">
        <v>808</v>
      </c>
      <c r="E611" s="29" t="s">
        <v>47</v>
      </c>
      <c r="F611" s="29" t="s">
        <v>47</v>
      </c>
      <c r="G611" s="29" t="s">
        <v>979</v>
      </c>
      <c r="H611" s="29" t="s">
        <v>980</v>
      </c>
      <c r="I611" s="29" t="s">
        <v>204</v>
      </c>
      <c r="J611" s="29" t="s">
        <v>141</v>
      </c>
      <c r="K611" s="29" t="s">
        <v>1214</v>
      </c>
      <c r="L611" s="29" t="s">
        <v>974</v>
      </c>
      <c r="M611" s="29" t="s">
        <v>488</v>
      </c>
      <c r="N611" s="29" t="s">
        <v>985</v>
      </c>
      <c r="O611" s="29" t="s">
        <v>141</v>
      </c>
      <c r="P611" s="30" t="s">
        <v>1002</v>
      </c>
    </row>
    <row r="612" s="25" customFormat="1" spans="1:16">
      <c r="A612" s="29" t="s">
        <v>1214</v>
      </c>
      <c r="B612" s="29" t="s">
        <v>1204</v>
      </c>
      <c r="C612" s="29" t="s">
        <v>47</v>
      </c>
      <c r="D612" s="29" t="s">
        <v>808</v>
      </c>
      <c r="E612" s="29" t="s">
        <v>47</v>
      </c>
      <c r="F612" s="29" t="s">
        <v>47</v>
      </c>
      <c r="G612" s="29" t="s">
        <v>979</v>
      </c>
      <c r="H612" s="29" t="s">
        <v>980</v>
      </c>
      <c r="I612" s="29" t="s">
        <v>204</v>
      </c>
      <c r="J612" s="29" t="s">
        <v>145</v>
      </c>
      <c r="K612" s="29" t="s">
        <v>39</v>
      </c>
      <c r="L612" s="29" t="s">
        <v>976</v>
      </c>
      <c r="M612" s="29" t="s">
        <v>488</v>
      </c>
      <c r="N612" s="29" t="s">
        <v>985</v>
      </c>
      <c r="O612" s="29" t="s">
        <v>141</v>
      </c>
      <c r="P612" s="30" t="s">
        <v>1003</v>
      </c>
    </row>
    <row r="613" s="25" customFormat="1" spans="1:16">
      <c r="A613" s="29" t="s">
        <v>1215</v>
      </c>
      <c r="B613" s="29" t="s">
        <v>1215</v>
      </c>
      <c r="C613" s="29" t="s">
        <v>47</v>
      </c>
      <c r="D613" s="29" t="s">
        <v>808</v>
      </c>
      <c r="E613" s="29" t="s">
        <v>47</v>
      </c>
      <c r="F613" s="29" t="s">
        <v>47</v>
      </c>
      <c r="G613" s="29" t="s">
        <v>1005</v>
      </c>
      <c r="H613" s="29" t="s">
        <v>1006</v>
      </c>
      <c r="I613" s="29" t="s">
        <v>204</v>
      </c>
      <c r="J613" s="29" t="s">
        <v>39</v>
      </c>
      <c r="K613" s="29" t="s">
        <v>1216</v>
      </c>
      <c r="L613" s="29" t="s">
        <v>945</v>
      </c>
      <c r="M613" s="29" t="s">
        <v>502</v>
      </c>
      <c r="N613" s="29" t="s">
        <v>1008</v>
      </c>
      <c r="O613" s="29" t="s">
        <v>145</v>
      </c>
      <c r="P613" s="30" t="s">
        <v>1009</v>
      </c>
    </row>
    <row r="614" s="26" customFormat="1" spans="1:18">
      <c r="A614" s="29" t="s">
        <v>1216</v>
      </c>
      <c r="B614" s="29" t="s">
        <v>1215</v>
      </c>
      <c r="C614" s="29" t="s">
        <v>47</v>
      </c>
      <c r="D614" s="29" t="s">
        <v>808</v>
      </c>
      <c r="E614" s="29" t="s">
        <v>47</v>
      </c>
      <c r="F614" s="29" t="s">
        <v>47</v>
      </c>
      <c r="G614" s="29" t="s">
        <v>1005</v>
      </c>
      <c r="H614" s="29" t="s">
        <v>1006</v>
      </c>
      <c r="I614" s="29" t="s">
        <v>204</v>
      </c>
      <c r="J614" s="29" t="s">
        <v>35</v>
      </c>
      <c r="K614" s="29" t="s">
        <v>1217</v>
      </c>
      <c r="L614" s="29" t="s">
        <v>949</v>
      </c>
      <c r="M614" s="29" t="s">
        <v>502</v>
      </c>
      <c r="N614" s="29" t="s">
        <v>1011</v>
      </c>
      <c r="O614" s="29" t="s">
        <v>145</v>
      </c>
      <c r="P614" s="30" t="s">
        <v>1012</v>
      </c>
      <c r="Q614" s="25"/>
      <c r="R614" s="25"/>
    </row>
    <row r="615" s="25" customFormat="1" spans="1:16">
      <c r="A615" s="29" t="s">
        <v>1217</v>
      </c>
      <c r="B615" s="29" t="s">
        <v>1215</v>
      </c>
      <c r="C615" s="29" t="s">
        <v>47</v>
      </c>
      <c r="D615" s="29" t="s">
        <v>808</v>
      </c>
      <c r="E615" s="29" t="s">
        <v>47</v>
      </c>
      <c r="F615" s="29" t="s">
        <v>47</v>
      </c>
      <c r="G615" s="29" t="s">
        <v>1005</v>
      </c>
      <c r="H615" s="29" t="s">
        <v>1006</v>
      </c>
      <c r="I615" s="29" t="s">
        <v>204</v>
      </c>
      <c r="J615" s="29" t="s">
        <v>47</v>
      </c>
      <c r="K615" s="29" t="s">
        <v>1218</v>
      </c>
      <c r="L615" s="29" t="s">
        <v>953</v>
      </c>
      <c r="M615" s="29" t="s">
        <v>502</v>
      </c>
      <c r="N615" s="29" t="s">
        <v>1011</v>
      </c>
      <c r="O615" s="29" t="s">
        <v>145</v>
      </c>
      <c r="P615" s="30" t="s">
        <v>1014</v>
      </c>
    </row>
    <row r="616" s="25" customFormat="1" spans="1:16">
      <c r="A616" s="29" t="s">
        <v>1218</v>
      </c>
      <c r="B616" s="29" t="s">
        <v>1215</v>
      </c>
      <c r="C616" s="29" t="s">
        <v>47</v>
      </c>
      <c r="D616" s="29" t="s">
        <v>808</v>
      </c>
      <c r="E616" s="29" t="s">
        <v>47</v>
      </c>
      <c r="F616" s="29" t="s">
        <v>47</v>
      </c>
      <c r="G616" s="29" t="s">
        <v>1005</v>
      </c>
      <c r="H616" s="29" t="s">
        <v>1006</v>
      </c>
      <c r="I616" s="29" t="s">
        <v>204</v>
      </c>
      <c r="J616" s="29" t="s">
        <v>51</v>
      </c>
      <c r="K616" s="29" t="s">
        <v>1219</v>
      </c>
      <c r="L616" s="29" t="s">
        <v>956</v>
      </c>
      <c r="M616" s="29" t="s">
        <v>502</v>
      </c>
      <c r="N616" s="29" t="s">
        <v>1011</v>
      </c>
      <c r="O616" s="29" t="s">
        <v>145</v>
      </c>
      <c r="P616" s="30" t="s">
        <v>1016</v>
      </c>
    </row>
    <row r="617" s="25" customFormat="1" spans="1:16">
      <c r="A617" s="29" t="s">
        <v>1219</v>
      </c>
      <c r="B617" s="29" t="s">
        <v>1215</v>
      </c>
      <c r="C617" s="29" t="s">
        <v>47</v>
      </c>
      <c r="D617" s="29" t="s">
        <v>808</v>
      </c>
      <c r="E617" s="29" t="s">
        <v>47</v>
      </c>
      <c r="F617" s="29" t="s">
        <v>47</v>
      </c>
      <c r="G617" s="29" t="s">
        <v>1005</v>
      </c>
      <c r="H617" s="29" t="s">
        <v>1006</v>
      </c>
      <c r="I617" s="29" t="s">
        <v>204</v>
      </c>
      <c r="J617" s="29" t="s">
        <v>55</v>
      </c>
      <c r="K617" s="29" t="s">
        <v>1220</v>
      </c>
      <c r="L617" s="29" t="s">
        <v>959</v>
      </c>
      <c r="M617" s="29" t="s">
        <v>502</v>
      </c>
      <c r="N617" s="29" t="s">
        <v>1011</v>
      </c>
      <c r="O617" s="29" t="s">
        <v>145</v>
      </c>
      <c r="P617" s="30" t="s">
        <v>1018</v>
      </c>
    </row>
    <row r="618" s="25" customFormat="1" spans="1:16">
      <c r="A618" s="29" t="s">
        <v>1220</v>
      </c>
      <c r="B618" s="29" t="s">
        <v>1215</v>
      </c>
      <c r="C618" s="29" t="s">
        <v>47</v>
      </c>
      <c r="D618" s="29" t="s">
        <v>808</v>
      </c>
      <c r="E618" s="29" t="s">
        <v>47</v>
      </c>
      <c r="F618" s="29" t="s">
        <v>47</v>
      </c>
      <c r="G618" s="29" t="s">
        <v>1005</v>
      </c>
      <c r="H618" s="29" t="s">
        <v>1006</v>
      </c>
      <c r="I618" s="29" t="s">
        <v>204</v>
      </c>
      <c r="J618" s="29" t="s">
        <v>59</v>
      </c>
      <c r="K618" s="29" t="s">
        <v>1221</v>
      </c>
      <c r="L618" s="29" t="s">
        <v>962</v>
      </c>
      <c r="M618" s="29" t="s">
        <v>502</v>
      </c>
      <c r="N618" s="29" t="s">
        <v>1011</v>
      </c>
      <c r="O618" s="29" t="s">
        <v>145</v>
      </c>
      <c r="P618" s="30" t="s">
        <v>1020</v>
      </c>
    </row>
    <row r="619" s="25" customFormat="1" spans="1:16">
      <c r="A619" s="29" t="s">
        <v>1221</v>
      </c>
      <c r="B619" s="29" t="s">
        <v>1215</v>
      </c>
      <c r="C619" s="29" t="s">
        <v>47</v>
      </c>
      <c r="D619" s="29" t="s">
        <v>808</v>
      </c>
      <c r="E619" s="29" t="s">
        <v>47</v>
      </c>
      <c r="F619" s="29" t="s">
        <v>47</v>
      </c>
      <c r="G619" s="29" t="s">
        <v>1005</v>
      </c>
      <c r="H619" s="29" t="s">
        <v>1006</v>
      </c>
      <c r="I619" s="29" t="s">
        <v>204</v>
      </c>
      <c r="J619" s="29" t="s">
        <v>129</v>
      </c>
      <c r="K619" s="29" t="s">
        <v>1222</v>
      </c>
      <c r="L619" s="29" t="s">
        <v>965</v>
      </c>
      <c r="M619" s="29" t="s">
        <v>502</v>
      </c>
      <c r="N619" s="29" t="s">
        <v>1011</v>
      </c>
      <c r="O619" s="29" t="s">
        <v>145</v>
      </c>
      <c r="P619" s="30" t="s">
        <v>1022</v>
      </c>
    </row>
    <row r="620" s="25" customFormat="1" spans="1:16">
      <c r="A620" s="29" t="s">
        <v>1222</v>
      </c>
      <c r="B620" s="29" t="s">
        <v>1215</v>
      </c>
      <c r="C620" s="29" t="s">
        <v>47</v>
      </c>
      <c r="D620" s="29" t="s">
        <v>808</v>
      </c>
      <c r="E620" s="29" t="s">
        <v>47</v>
      </c>
      <c r="F620" s="29" t="s">
        <v>47</v>
      </c>
      <c r="G620" s="29" t="s">
        <v>1005</v>
      </c>
      <c r="H620" s="29" t="s">
        <v>1006</v>
      </c>
      <c r="I620" s="29" t="s">
        <v>204</v>
      </c>
      <c r="J620" s="29" t="s">
        <v>133</v>
      </c>
      <c r="K620" s="29" t="s">
        <v>1223</v>
      </c>
      <c r="L620" s="29" t="s">
        <v>968</v>
      </c>
      <c r="M620" s="29" t="s">
        <v>502</v>
      </c>
      <c r="N620" s="29" t="s">
        <v>1011</v>
      </c>
      <c r="O620" s="29" t="s">
        <v>145</v>
      </c>
      <c r="P620" s="30" t="s">
        <v>1024</v>
      </c>
    </row>
    <row r="621" s="25" customFormat="1" spans="1:16">
      <c r="A621" s="29" t="s">
        <v>1223</v>
      </c>
      <c r="B621" s="29" t="s">
        <v>1215</v>
      </c>
      <c r="C621" s="29" t="s">
        <v>47</v>
      </c>
      <c r="D621" s="29" t="s">
        <v>808</v>
      </c>
      <c r="E621" s="29" t="s">
        <v>47</v>
      </c>
      <c r="F621" s="29" t="s">
        <v>47</v>
      </c>
      <c r="G621" s="29" t="s">
        <v>1005</v>
      </c>
      <c r="H621" s="29" t="s">
        <v>1006</v>
      </c>
      <c r="I621" s="29" t="s">
        <v>204</v>
      </c>
      <c r="J621" s="29" t="s">
        <v>137</v>
      </c>
      <c r="K621" s="29" t="s">
        <v>1224</v>
      </c>
      <c r="L621" s="29" t="s">
        <v>971</v>
      </c>
      <c r="M621" s="29" t="s">
        <v>502</v>
      </c>
      <c r="N621" s="29" t="s">
        <v>1011</v>
      </c>
      <c r="O621" s="29" t="s">
        <v>145</v>
      </c>
      <c r="P621" s="30" t="s">
        <v>1026</v>
      </c>
    </row>
    <row r="622" s="25" customFormat="1" spans="1:16">
      <c r="A622" s="29" t="s">
        <v>1224</v>
      </c>
      <c r="B622" s="29" t="s">
        <v>1215</v>
      </c>
      <c r="C622" s="29" t="s">
        <v>47</v>
      </c>
      <c r="D622" s="29" t="s">
        <v>808</v>
      </c>
      <c r="E622" s="29" t="s">
        <v>47</v>
      </c>
      <c r="F622" s="29" t="s">
        <v>47</v>
      </c>
      <c r="G622" s="29" t="s">
        <v>1005</v>
      </c>
      <c r="H622" s="29" t="s">
        <v>1006</v>
      </c>
      <c r="I622" s="29" t="s">
        <v>204</v>
      </c>
      <c r="J622" s="29" t="s">
        <v>141</v>
      </c>
      <c r="K622" s="29" t="s">
        <v>1225</v>
      </c>
      <c r="L622" s="29" t="s">
        <v>974</v>
      </c>
      <c r="M622" s="29" t="s">
        <v>502</v>
      </c>
      <c r="N622" s="29" t="s">
        <v>1011</v>
      </c>
      <c r="O622" s="29" t="s">
        <v>145</v>
      </c>
      <c r="P622" s="30" t="s">
        <v>1028</v>
      </c>
    </row>
    <row r="623" s="25" customFormat="1" spans="1:16">
      <c r="A623" s="29" t="s">
        <v>1225</v>
      </c>
      <c r="B623" s="29" t="s">
        <v>1215</v>
      </c>
      <c r="C623" s="29" t="s">
        <v>47</v>
      </c>
      <c r="D623" s="29" t="s">
        <v>808</v>
      </c>
      <c r="E623" s="29" t="s">
        <v>47</v>
      </c>
      <c r="F623" s="29" t="s">
        <v>47</v>
      </c>
      <c r="G623" s="29" t="s">
        <v>1005</v>
      </c>
      <c r="H623" s="29" t="s">
        <v>1006</v>
      </c>
      <c r="I623" s="29" t="s">
        <v>204</v>
      </c>
      <c r="J623" s="29" t="s">
        <v>145</v>
      </c>
      <c r="K623" s="29" t="s">
        <v>39</v>
      </c>
      <c r="L623" s="29" t="s">
        <v>976</v>
      </c>
      <c r="M623" s="29" t="s">
        <v>502</v>
      </c>
      <c r="N623" s="29" t="s">
        <v>1011</v>
      </c>
      <c r="O623" s="29" t="s">
        <v>145</v>
      </c>
      <c r="P623" s="30" t="s">
        <v>1029</v>
      </c>
    </row>
    <row r="624" s="25" customFormat="1" spans="1:16">
      <c r="A624" s="29" t="s">
        <v>1226</v>
      </c>
      <c r="B624" s="29" t="s">
        <v>1226</v>
      </c>
      <c r="C624" s="29" t="s">
        <v>47</v>
      </c>
      <c r="D624" s="29" t="s">
        <v>812</v>
      </c>
      <c r="E624" s="29" t="s">
        <v>35</v>
      </c>
      <c r="F624" s="29" t="s">
        <v>51</v>
      </c>
      <c r="G624" s="29" t="s">
        <v>515</v>
      </c>
      <c r="H624" s="29" t="s">
        <v>38</v>
      </c>
      <c r="I624" s="29" t="s">
        <v>39</v>
      </c>
      <c r="J624" s="29" t="s">
        <v>39</v>
      </c>
      <c r="K624" s="29" t="s">
        <v>1227</v>
      </c>
      <c r="L624" s="29" t="s">
        <v>945</v>
      </c>
      <c r="M624" s="29" t="s">
        <v>517</v>
      </c>
      <c r="N624" s="29" t="s">
        <v>806</v>
      </c>
      <c r="O624" s="29" t="s">
        <v>35</v>
      </c>
      <c r="P624" s="30" t="s">
        <v>807</v>
      </c>
    </row>
    <row r="625" s="25" customFormat="1" spans="1:16">
      <c r="A625" s="29" t="s">
        <v>1227</v>
      </c>
      <c r="B625" s="29" t="s">
        <v>1226</v>
      </c>
      <c r="C625" s="29" t="s">
        <v>47</v>
      </c>
      <c r="D625" s="29" t="s">
        <v>812</v>
      </c>
      <c r="E625" s="29" t="s">
        <v>35</v>
      </c>
      <c r="F625" s="29" t="s">
        <v>51</v>
      </c>
      <c r="G625" s="29" t="s">
        <v>515</v>
      </c>
      <c r="H625" s="29" t="s">
        <v>38</v>
      </c>
      <c r="I625" s="29" t="s">
        <v>39</v>
      </c>
      <c r="J625" s="29" t="s">
        <v>35</v>
      </c>
      <c r="K625" s="29" t="s">
        <v>1228</v>
      </c>
      <c r="L625" s="29" t="s">
        <v>949</v>
      </c>
      <c r="M625" s="29" t="s">
        <v>517</v>
      </c>
      <c r="N625" s="29" t="s">
        <v>1035</v>
      </c>
      <c r="O625" s="29" t="s">
        <v>35</v>
      </c>
      <c r="P625" s="30" t="s">
        <v>1036</v>
      </c>
    </row>
    <row r="626" s="26" customFormat="1" spans="1:18">
      <c r="A626" s="29" t="s">
        <v>1228</v>
      </c>
      <c r="B626" s="29" t="s">
        <v>1226</v>
      </c>
      <c r="C626" s="29" t="s">
        <v>47</v>
      </c>
      <c r="D626" s="29" t="s">
        <v>812</v>
      </c>
      <c r="E626" s="29" t="s">
        <v>35</v>
      </c>
      <c r="F626" s="29" t="s">
        <v>51</v>
      </c>
      <c r="G626" s="29" t="s">
        <v>515</v>
      </c>
      <c r="H626" s="29" t="s">
        <v>38</v>
      </c>
      <c r="I626" s="29" t="s">
        <v>39</v>
      </c>
      <c r="J626" s="29" t="s">
        <v>47</v>
      </c>
      <c r="K626" s="29" t="s">
        <v>1229</v>
      </c>
      <c r="L626" s="29" t="s">
        <v>953</v>
      </c>
      <c r="M626" s="29" t="s">
        <v>517</v>
      </c>
      <c r="N626" s="29" t="s">
        <v>1035</v>
      </c>
      <c r="O626" s="29" t="s">
        <v>35</v>
      </c>
      <c r="P626" s="30" t="s">
        <v>1039</v>
      </c>
      <c r="Q626" s="25"/>
      <c r="R626" s="25"/>
    </row>
    <row r="627" s="25" customFormat="1" spans="1:16">
      <c r="A627" s="29" t="s">
        <v>1229</v>
      </c>
      <c r="B627" s="29" t="s">
        <v>1226</v>
      </c>
      <c r="C627" s="29" t="s">
        <v>47</v>
      </c>
      <c r="D627" s="29" t="s">
        <v>812</v>
      </c>
      <c r="E627" s="29" t="s">
        <v>35</v>
      </c>
      <c r="F627" s="29" t="s">
        <v>51</v>
      </c>
      <c r="G627" s="29" t="s">
        <v>515</v>
      </c>
      <c r="H627" s="29" t="s">
        <v>38</v>
      </c>
      <c r="I627" s="29" t="s">
        <v>39</v>
      </c>
      <c r="J627" s="29" t="s">
        <v>51</v>
      </c>
      <c r="K627" s="29" t="s">
        <v>1230</v>
      </c>
      <c r="L627" s="29" t="s">
        <v>956</v>
      </c>
      <c r="M627" s="29" t="s">
        <v>517</v>
      </c>
      <c r="N627" s="29" t="s">
        <v>1035</v>
      </c>
      <c r="O627" s="29" t="s">
        <v>35</v>
      </c>
      <c r="P627" s="30" t="s">
        <v>814</v>
      </c>
    </row>
    <row r="628" s="25" customFormat="1" spans="1:16">
      <c r="A628" s="29" t="s">
        <v>1230</v>
      </c>
      <c r="B628" s="29" t="s">
        <v>1226</v>
      </c>
      <c r="C628" s="29" t="s">
        <v>47</v>
      </c>
      <c r="D628" s="29" t="s">
        <v>812</v>
      </c>
      <c r="E628" s="29" t="s">
        <v>35</v>
      </c>
      <c r="F628" s="29" t="s">
        <v>51</v>
      </c>
      <c r="G628" s="29" t="s">
        <v>515</v>
      </c>
      <c r="H628" s="29" t="s">
        <v>38</v>
      </c>
      <c r="I628" s="29" t="s">
        <v>39</v>
      </c>
      <c r="J628" s="29" t="s">
        <v>55</v>
      </c>
      <c r="K628" s="29" t="s">
        <v>1231</v>
      </c>
      <c r="L628" s="29" t="s">
        <v>959</v>
      </c>
      <c r="M628" s="29" t="s">
        <v>517</v>
      </c>
      <c r="N628" s="29" t="s">
        <v>1035</v>
      </c>
      <c r="O628" s="29" t="s">
        <v>35</v>
      </c>
      <c r="P628" s="30" t="s">
        <v>1044</v>
      </c>
    </row>
    <row r="629" s="25" customFormat="1" spans="1:16">
      <c r="A629" s="29" t="s">
        <v>1231</v>
      </c>
      <c r="B629" s="29" t="s">
        <v>1226</v>
      </c>
      <c r="C629" s="29" t="s">
        <v>47</v>
      </c>
      <c r="D629" s="29" t="s">
        <v>812</v>
      </c>
      <c r="E629" s="29" t="s">
        <v>35</v>
      </c>
      <c r="F629" s="29" t="s">
        <v>51</v>
      </c>
      <c r="G629" s="29" t="s">
        <v>515</v>
      </c>
      <c r="H629" s="29" t="s">
        <v>38</v>
      </c>
      <c r="I629" s="29" t="s">
        <v>39</v>
      </c>
      <c r="J629" s="29" t="s">
        <v>59</v>
      </c>
      <c r="K629" s="29" t="s">
        <v>1232</v>
      </c>
      <c r="L629" s="29" t="s">
        <v>962</v>
      </c>
      <c r="M629" s="29" t="s">
        <v>517</v>
      </c>
      <c r="N629" s="29" t="s">
        <v>1035</v>
      </c>
      <c r="O629" s="29" t="s">
        <v>35</v>
      </c>
      <c r="P629" s="30" t="s">
        <v>1047</v>
      </c>
    </row>
    <row r="630" s="25" customFormat="1" spans="1:16">
      <c r="A630" s="29" t="s">
        <v>1232</v>
      </c>
      <c r="B630" s="29" t="s">
        <v>1226</v>
      </c>
      <c r="C630" s="29" t="s">
        <v>47</v>
      </c>
      <c r="D630" s="29" t="s">
        <v>812</v>
      </c>
      <c r="E630" s="29" t="s">
        <v>35</v>
      </c>
      <c r="F630" s="29" t="s">
        <v>51</v>
      </c>
      <c r="G630" s="29" t="s">
        <v>515</v>
      </c>
      <c r="H630" s="29" t="s">
        <v>38</v>
      </c>
      <c r="I630" s="29" t="s">
        <v>39</v>
      </c>
      <c r="J630" s="29" t="s">
        <v>129</v>
      </c>
      <c r="K630" s="29" t="s">
        <v>1233</v>
      </c>
      <c r="L630" s="29" t="s">
        <v>965</v>
      </c>
      <c r="M630" s="29" t="s">
        <v>517</v>
      </c>
      <c r="N630" s="29" t="s">
        <v>1035</v>
      </c>
      <c r="O630" s="29" t="s">
        <v>35</v>
      </c>
      <c r="P630" s="30" t="s">
        <v>820</v>
      </c>
    </row>
    <row r="631" s="25" customFormat="1" spans="1:16">
      <c r="A631" s="29" t="s">
        <v>1233</v>
      </c>
      <c r="B631" s="29" t="s">
        <v>1226</v>
      </c>
      <c r="C631" s="29" t="s">
        <v>47</v>
      </c>
      <c r="D631" s="29" t="s">
        <v>812</v>
      </c>
      <c r="E631" s="29" t="s">
        <v>35</v>
      </c>
      <c r="F631" s="29" t="s">
        <v>51</v>
      </c>
      <c r="G631" s="29" t="s">
        <v>515</v>
      </c>
      <c r="H631" s="29" t="s">
        <v>38</v>
      </c>
      <c r="I631" s="29" t="s">
        <v>39</v>
      </c>
      <c r="J631" s="29" t="s">
        <v>133</v>
      </c>
      <c r="K631" s="29" t="s">
        <v>1234</v>
      </c>
      <c r="L631" s="29" t="s">
        <v>968</v>
      </c>
      <c r="M631" s="29" t="s">
        <v>517</v>
      </c>
      <c r="N631" s="29" t="s">
        <v>1035</v>
      </c>
      <c r="O631" s="29" t="s">
        <v>35</v>
      </c>
      <c r="P631" s="30" t="s">
        <v>1052</v>
      </c>
    </row>
    <row r="632" s="25" customFormat="1" spans="1:16">
      <c r="A632" s="29" t="s">
        <v>1234</v>
      </c>
      <c r="B632" s="29" t="s">
        <v>1226</v>
      </c>
      <c r="C632" s="29" t="s">
        <v>47</v>
      </c>
      <c r="D632" s="29" t="s">
        <v>812</v>
      </c>
      <c r="E632" s="29" t="s">
        <v>35</v>
      </c>
      <c r="F632" s="29" t="s">
        <v>51</v>
      </c>
      <c r="G632" s="29" t="s">
        <v>515</v>
      </c>
      <c r="H632" s="29" t="s">
        <v>38</v>
      </c>
      <c r="I632" s="29" t="s">
        <v>39</v>
      </c>
      <c r="J632" s="29" t="s">
        <v>137</v>
      </c>
      <c r="K632" s="29" t="s">
        <v>1235</v>
      </c>
      <c r="L632" s="29" t="s">
        <v>971</v>
      </c>
      <c r="M632" s="29" t="s">
        <v>517</v>
      </c>
      <c r="N632" s="29" t="s">
        <v>1035</v>
      </c>
      <c r="O632" s="29" t="s">
        <v>35</v>
      </c>
      <c r="P632" s="30" t="s">
        <v>1055</v>
      </c>
    </row>
    <row r="633" s="25" customFormat="1" spans="1:16">
      <c r="A633" s="29" t="s">
        <v>1235</v>
      </c>
      <c r="B633" s="29" t="s">
        <v>1226</v>
      </c>
      <c r="C633" s="29" t="s">
        <v>47</v>
      </c>
      <c r="D633" s="29" t="s">
        <v>812</v>
      </c>
      <c r="E633" s="29" t="s">
        <v>35</v>
      </c>
      <c r="F633" s="29" t="s">
        <v>51</v>
      </c>
      <c r="G633" s="29" t="s">
        <v>515</v>
      </c>
      <c r="H633" s="29" t="s">
        <v>38</v>
      </c>
      <c r="I633" s="29" t="s">
        <v>39</v>
      </c>
      <c r="J633" s="29" t="s">
        <v>141</v>
      </c>
      <c r="K633" s="29" t="s">
        <v>1236</v>
      </c>
      <c r="L633" s="29" t="s">
        <v>974</v>
      </c>
      <c r="M633" s="29" t="s">
        <v>517</v>
      </c>
      <c r="N633" s="29" t="s">
        <v>1035</v>
      </c>
      <c r="O633" s="29" t="s">
        <v>35</v>
      </c>
      <c r="P633" s="30" t="s">
        <v>1058</v>
      </c>
    </row>
    <row r="634" s="25" customFormat="1" spans="1:16">
      <c r="A634" s="29" t="s">
        <v>1236</v>
      </c>
      <c r="B634" s="29" t="s">
        <v>1226</v>
      </c>
      <c r="C634" s="29" t="s">
        <v>47</v>
      </c>
      <c r="D634" s="29" t="s">
        <v>812</v>
      </c>
      <c r="E634" s="29" t="s">
        <v>35</v>
      </c>
      <c r="F634" s="29" t="s">
        <v>51</v>
      </c>
      <c r="G634" s="29" t="s">
        <v>515</v>
      </c>
      <c r="H634" s="29" t="s">
        <v>38</v>
      </c>
      <c r="I634" s="29" t="s">
        <v>39</v>
      </c>
      <c r="J634" s="29" t="s">
        <v>145</v>
      </c>
      <c r="K634" s="29" t="s">
        <v>1237</v>
      </c>
      <c r="L634" s="29" t="s">
        <v>976</v>
      </c>
      <c r="M634" s="29" t="s">
        <v>517</v>
      </c>
      <c r="N634" s="29" t="s">
        <v>1035</v>
      </c>
      <c r="O634" s="29" t="s">
        <v>35</v>
      </c>
      <c r="P634" s="30" t="s">
        <v>1059</v>
      </c>
    </row>
    <row r="635" s="25" customFormat="1" spans="1:16">
      <c r="A635" s="29" t="s">
        <v>1237</v>
      </c>
      <c r="B635" s="29" t="s">
        <v>1226</v>
      </c>
      <c r="C635" s="29" t="s">
        <v>47</v>
      </c>
      <c r="D635" s="29" t="s">
        <v>812</v>
      </c>
      <c r="E635" s="29" t="s">
        <v>35</v>
      </c>
      <c r="F635" s="29" t="s">
        <v>51</v>
      </c>
      <c r="G635" s="29" t="s">
        <v>515</v>
      </c>
      <c r="H635" s="29" t="s">
        <v>38</v>
      </c>
      <c r="I635" s="29" t="s">
        <v>39</v>
      </c>
      <c r="J635" s="29" t="s">
        <v>408</v>
      </c>
      <c r="K635" s="29" t="s">
        <v>1238</v>
      </c>
      <c r="L635" s="29" t="s">
        <v>1239</v>
      </c>
      <c r="M635" s="29" t="s">
        <v>517</v>
      </c>
      <c r="N635" s="29" t="s">
        <v>1035</v>
      </c>
      <c r="O635" s="29" t="s">
        <v>35</v>
      </c>
      <c r="P635" s="30" t="s">
        <v>1240</v>
      </c>
    </row>
    <row r="636" s="25" customFormat="1" spans="1:16">
      <c r="A636" s="29" t="s">
        <v>1238</v>
      </c>
      <c r="B636" s="29" t="s">
        <v>1226</v>
      </c>
      <c r="C636" s="29" t="s">
        <v>47</v>
      </c>
      <c r="D636" s="29" t="s">
        <v>812</v>
      </c>
      <c r="E636" s="29" t="s">
        <v>35</v>
      </c>
      <c r="F636" s="29" t="s">
        <v>51</v>
      </c>
      <c r="G636" s="29" t="s">
        <v>515</v>
      </c>
      <c r="H636" s="29" t="s">
        <v>38</v>
      </c>
      <c r="I636" s="29" t="s">
        <v>39</v>
      </c>
      <c r="J636" s="29" t="s">
        <v>412</v>
      </c>
      <c r="K636" s="29" t="s">
        <v>1241</v>
      </c>
      <c r="L636" s="29" t="s">
        <v>1242</v>
      </c>
      <c r="M636" s="29" t="s">
        <v>517</v>
      </c>
      <c r="N636" s="29" t="s">
        <v>1035</v>
      </c>
      <c r="O636" s="29" t="s">
        <v>35</v>
      </c>
      <c r="P636" s="30" t="s">
        <v>1243</v>
      </c>
    </row>
    <row r="637" s="25" customFormat="1" spans="1:16">
      <c r="A637" s="29" t="s">
        <v>1241</v>
      </c>
      <c r="B637" s="29" t="s">
        <v>1226</v>
      </c>
      <c r="C637" s="29" t="s">
        <v>47</v>
      </c>
      <c r="D637" s="29" t="s">
        <v>812</v>
      </c>
      <c r="E637" s="29" t="s">
        <v>35</v>
      </c>
      <c r="F637" s="29" t="s">
        <v>51</v>
      </c>
      <c r="G637" s="29" t="s">
        <v>515</v>
      </c>
      <c r="H637" s="29" t="s">
        <v>38</v>
      </c>
      <c r="I637" s="29" t="s">
        <v>39</v>
      </c>
      <c r="J637" s="29" t="s">
        <v>416</v>
      </c>
      <c r="K637" s="29" t="s">
        <v>1244</v>
      </c>
      <c r="L637" s="29" t="s">
        <v>1245</v>
      </c>
      <c r="M637" s="29" t="s">
        <v>517</v>
      </c>
      <c r="N637" s="29" t="s">
        <v>1035</v>
      </c>
      <c r="O637" s="29" t="s">
        <v>35</v>
      </c>
      <c r="P637" s="30" t="s">
        <v>1246</v>
      </c>
    </row>
    <row r="638" s="25" customFormat="1" spans="1:16">
      <c r="A638" s="29" t="s">
        <v>1244</v>
      </c>
      <c r="B638" s="29" t="s">
        <v>1226</v>
      </c>
      <c r="C638" s="29" t="s">
        <v>47</v>
      </c>
      <c r="D638" s="29" t="s">
        <v>812</v>
      </c>
      <c r="E638" s="29" t="s">
        <v>35</v>
      </c>
      <c r="F638" s="29" t="s">
        <v>51</v>
      </c>
      <c r="G638" s="29" t="s">
        <v>515</v>
      </c>
      <c r="H638" s="29" t="s">
        <v>38</v>
      </c>
      <c r="I638" s="29" t="s">
        <v>39</v>
      </c>
      <c r="J638" s="29" t="s">
        <v>420</v>
      </c>
      <c r="K638" s="29" t="s">
        <v>1247</v>
      </c>
      <c r="L638" s="29" t="s">
        <v>1248</v>
      </c>
      <c r="M638" s="29" t="s">
        <v>517</v>
      </c>
      <c r="N638" s="29" t="s">
        <v>1035</v>
      </c>
      <c r="O638" s="29" t="s">
        <v>35</v>
      </c>
      <c r="P638" s="30" t="s">
        <v>1249</v>
      </c>
    </row>
    <row r="639" s="25" customFormat="1" spans="1:16">
      <c r="A639" s="29" t="s">
        <v>1247</v>
      </c>
      <c r="B639" s="29" t="s">
        <v>1226</v>
      </c>
      <c r="C639" s="29" t="s">
        <v>47</v>
      </c>
      <c r="D639" s="29" t="s">
        <v>812</v>
      </c>
      <c r="E639" s="29" t="s">
        <v>35</v>
      </c>
      <c r="F639" s="29" t="s">
        <v>51</v>
      </c>
      <c r="G639" s="29" t="s">
        <v>515</v>
      </c>
      <c r="H639" s="29" t="s">
        <v>38</v>
      </c>
      <c r="I639" s="29" t="s">
        <v>39</v>
      </c>
      <c r="J639" s="29" t="s">
        <v>424</v>
      </c>
      <c r="K639" s="29" t="s">
        <v>39</v>
      </c>
      <c r="L639" s="29" t="s">
        <v>1250</v>
      </c>
      <c r="M639" s="29" t="s">
        <v>517</v>
      </c>
      <c r="N639" s="29" t="s">
        <v>1035</v>
      </c>
      <c r="O639" s="29" t="s">
        <v>35</v>
      </c>
      <c r="P639" s="30" t="s">
        <v>1251</v>
      </c>
    </row>
    <row r="640" s="25" customFormat="1" spans="1:16">
      <c r="A640" s="29" t="s">
        <v>1252</v>
      </c>
      <c r="B640" s="29" t="s">
        <v>1252</v>
      </c>
      <c r="C640" s="29" t="s">
        <v>47</v>
      </c>
      <c r="D640" s="29" t="s">
        <v>812</v>
      </c>
      <c r="E640" s="29" t="s">
        <v>35</v>
      </c>
      <c r="F640" s="29" t="s">
        <v>51</v>
      </c>
      <c r="G640" s="29" t="s">
        <v>543</v>
      </c>
      <c r="H640" s="29" t="s">
        <v>63</v>
      </c>
      <c r="I640" s="29" t="s">
        <v>39</v>
      </c>
      <c r="J640" s="29" t="s">
        <v>39</v>
      </c>
      <c r="K640" s="29" t="s">
        <v>1253</v>
      </c>
      <c r="L640" s="29" t="s">
        <v>945</v>
      </c>
      <c r="M640" s="29" t="s">
        <v>545</v>
      </c>
      <c r="N640" s="29" t="s">
        <v>824</v>
      </c>
      <c r="O640" s="29" t="s">
        <v>47</v>
      </c>
      <c r="P640" s="30" t="s">
        <v>825</v>
      </c>
    </row>
    <row r="641" s="25" customFormat="1" spans="1:16">
      <c r="A641" s="29" t="s">
        <v>1253</v>
      </c>
      <c r="B641" s="29" t="s">
        <v>1252</v>
      </c>
      <c r="C641" s="29" t="s">
        <v>47</v>
      </c>
      <c r="D641" s="29" t="s">
        <v>812</v>
      </c>
      <c r="E641" s="29" t="s">
        <v>35</v>
      </c>
      <c r="F641" s="29" t="s">
        <v>51</v>
      </c>
      <c r="G641" s="29" t="s">
        <v>543</v>
      </c>
      <c r="H641" s="29" t="s">
        <v>63</v>
      </c>
      <c r="I641" s="29" t="s">
        <v>39</v>
      </c>
      <c r="J641" s="29" t="s">
        <v>35</v>
      </c>
      <c r="K641" s="29" t="s">
        <v>1254</v>
      </c>
      <c r="L641" s="29" t="s">
        <v>949</v>
      </c>
      <c r="M641" s="29" t="s">
        <v>545</v>
      </c>
      <c r="N641" s="29" t="s">
        <v>1063</v>
      </c>
      <c r="O641" s="29" t="s">
        <v>47</v>
      </c>
      <c r="P641" s="30" t="s">
        <v>1064</v>
      </c>
    </row>
    <row r="642" s="25" customFormat="1" spans="1:16">
      <c r="A642" s="29" t="s">
        <v>1254</v>
      </c>
      <c r="B642" s="29" t="s">
        <v>1252</v>
      </c>
      <c r="C642" s="29" t="s">
        <v>47</v>
      </c>
      <c r="D642" s="29" t="s">
        <v>812</v>
      </c>
      <c r="E642" s="29" t="s">
        <v>35</v>
      </c>
      <c r="F642" s="29" t="s">
        <v>51</v>
      </c>
      <c r="G642" s="29" t="s">
        <v>543</v>
      </c>
      <c r="H642" s="29" t="s">
        <v>63</v>
      </c>
      <c r="I642" s="29" t="s">
        <v>39</v>
      </c>
      <c r="J642" s="29" t="s">
        <v>47</v>
      </c>
      <c r="K642" s="29" t="s">
        <v>1255</v>
      </c>
      <c r="L642" s="29" t="s">
        <v>953</v>
      </c>
      <c r="M642" s="29" t="s">
        <v>545</v>
      </c>
      <c r="N642" s="29" t="s">
        <v>1063</v>
      </c>
      <c r="O642" s="29" t="s">
        <v>47</v>
      </c>
      <c r="P642" s="30" t="s">
        <v>1066</v>
      </c>
    </row>
    <row r="643" s="25" customFormat="1" spans="1:16">
      <c r="A643" s="29" t="s">
        <v>1255</v>
      </c>
      <c r="B643" s="29" t="s">
        <v>1252</v>
      </c>
      <c r="C643" s="29" t="s">
        <v>47</v>
      </c>
      <c r="D643" s="29" t="s">
        <v>812</v>
      </c>
      <c r="E643" s="29" t="s">
        <v>35</v>
      </c>
      <c r="F643" s="29" t="s">
        <v>51</v>
      </c>
      <c r="G643" s="29" t="s">
        <v>543</v>
      </c>
      <c r="H643" s="29" t="s">
        <v>63</v>
      </c>
      <c r="I643" s="29" t="s">
        <v>39</v>
      </c>
      <c r="J643" s="29" t="s">
        <v>51</v>
      </c>
      <c r="K643" s="29" t="s">
        <v>1256</v>
      </c>
      <c r="L643" s="29" t="s">
        <v>956</v>
      </c>
      <c r="M643" s="29" t="s">
        <v>545</v>
      </c>
      <c r="N643" s="29" t="s">
        <v>1063</v>
      </c>
      <c r="O643" s="29" t="s">
        <v>47</v>
      </c>
      <c r="P643" s="30" t="s">
        <v>1068</v>
      </c>
    </row>
    <row r="644" s="25" customFormat="1" spans="1:16">
      <c r="A644" s="29" t="s">
        <v>1256</v>
      </c>
      <c r="B644" s="29" t="s">
        <v>1252</v>
      </c>
      <c r="C644" s="29" t="s">
        <v>47</v>
      </c>
      <c r="D644" s="29" t="s">
        <v>812</v>
      </c>
      <c r="E644" s="29" t="s">
        <v>35</v>
      </c>
      <c r="F644" s="29" t="s">
        <v>51</v>
      </c>
      <c r="G644" s="29" t="s">
        <v>543</v>
      </c>
      <c r="H644" s="29" t="s">
        <v>63</v>
      </c>
      <c r="I644" s="29" t="s">
        <v>39</v>
      </c>
      <c r="J644" s="29" t="s">
        <v>55</v>
      </c>
      <c r="K644" s="29" t="s">
        <v>1257</v>
      </c>
      <c r="L644" s="29" t="s">
        <v>959</v>
      </c>
      <c r="M644" s="29" t="s">
        <v>545</v>
      </c>
      <c r="N644" s="29" t="s">
        <v>1063</v>
      </c>
      <c r="O644" s="29" t="s">
        <v>47</v>
      </c>
      <c r="P644" s="30" t="s">
        <v>1070</v>
      </c>
    </row>
    <row r="645" s="25" customFormat="1" spans="1:16">
      <c r="A645" s="29" t="s">
        <v>1257</v>
      </c>
      <c r="B645" s="29" t="s">
        <v>1252</v>
      </c>
      <c r="C645" s="29" t="s">
        <v>47</v>
      </c>
      <c r="D645" s="29" t="s">
        <v>812</v>
      </c>
      <c r="E645" s="29" t="s">
        <v>35</v>
      </c>
      <c r="F645" s="29" t="s">
        <v>51</v>
      </c>
      <c r="G645" s="29" t="s">
        <v>543</v>
      </c>
      <c r="H645" s="29" t="s">
        <v>63</v>
      </c>
      <c r="I645" s="29" t="s">
        <v>39</v>
      </c>
      <c r="J645" s="29" t="s">
        <v>59</v>
      </c>
      <c r="K645" s="29" t="s">
        <v>1258</v>
      </c>
      <c r="L645" s="29" t="s">
        <v>962</v>
      </c>
      <c r="M645" s="29" t="s">
        <v>545</v>
      </c>
      <c r="N645" s="29" t="s">
        <v>1063</v>
      </c>
      <c r="O645" s="29" t="s">
        <v>47</v>
      </c>
      <c r="P645" s="30" t="s">
        <v>1072</v>
      </c>
    </row>
    <row r="646" s="25" customFormat="1" spans="1:16">
      <c r="A646" s="29" t="s">
        <v>1258</v>
      </c>
      <c r="B646" s="29" t="s">
        <v>1252</v>
      </c>
      <c r="C646" s="29" t="s">
        <v>47</v>
      </c>
      <c r="D646" s="29" t="s">
        <v>812</v>
      </c>
      <c r="E646" s="29" t="s">
        <v>35</v>
      </c>
      <c r="F646" s="29" t="s">
        <v>51</v>
      </c>
      <c r="G646" s="29" t="s">
        <v>543</v>
      </c>
      <c r="H646" s="29" t="s">
        <v>63</v>
      </c>
      <c r="I646" s="29" t="s">
        <v>39</v>
      </c>
      <c r="J646" s="29" t="s">
        <v>129</v>
      </c>
      <c r="K646" s="29" t="s">
        <v>1259</v>
      </c>
      <c r="L646" s="29" t="s">
        <v>965</v>
      </c>
      <c r="M646" s="29" t="s">
        <v>545</v>
      </c>
      <c r="N646" s="29" t="s">
        <v>1063</v>
      </c>
      <c r="O646" s="29" t="s">
        <v>47</v>
      </c>
      <c r="P646" s="30" t="s">
        <v>835</v>
      </c>
    </row>
    <row r="647" s="25" customFormat="1" spans="1:16">
      <c r="A647" s="29" t="s">
        <v>1259</v>
      </c>
      <c r="B647" s="29" t="s">
        <v>1252</v>
      </c>
      <c r="C647" s="29" t="s">
        <v>47</v>
      </c>
      <c r="D647" s="29" t="s">
        <v>812</v>
      </c>
      <c r="E647" s="29" t="s">
        <v>35</v>
      </c>
      <c r="F647" s="29" t="s">
        <v>51</v>
      </c>
      <c r="G647" s="29" t="s">
        <v>543</v>
      </c>
      <c r="H647" s="29" t="s">
        <v>63</v>
      </c>
      <c r="I647" s="29" t="s">
        <v>39</v>
      </c>
      <c r="J647" s="29" t="s">
        <v>133</v>
      </c>
      <c r="K647" s="29" t="s">
        <v>1260</v>
      </c>
      <c r="L647" s="29" t="s">
        <v>968</v>
      </c>
      <c r="M647" s="29" t="s">
        <v>545</v>
      </c>
      <c r="N647" s="29" t="s">
        <v>1063</v>
      </c>
      <c r="O647" s="29" t="s">
        <v>47</v>
      </c>
      <c r="P647" s="30" t="s">
        <v>1075</v>
      </c>
    </row>
    <row r="648" s="25" customFormat="1" spans="1:16">
      <c r="A648" s="29" t="s">
        <v>1260</v>
      </c>
      <c r="B648" s="29" t="s">
        <v>1252</v>
      </c>
      <c r="C648" s="29" t="s">
        <v>47</v>
      </c>
      <c r="D648" s="29" t="s">
        <v>812</v>
      </c>
      <c r="E648" s="29" t="s">
        <v>35</v>
      </c>
      <c r="F648" s="29" t="s">
        <v>51</v>
      </c>
      <c r="G648" s="29" t="s">
        <v>543</v>
      </c>
      <c r="H648" s="29" t="s">
        <v>63</v>
      </c>
      <c r="I648" s="29" t="s">
        <v>39</v>
      </c>
      <c r="J648" s="29" t="s">
        <v>137</v>
      </c>
      <c r="K648" s="29" t="s">
        <v>1261</v>
      </c>
      <c r="L648" s="29" t="s">
        <v>971</v>
      </c>
      <c r="M648" s="29" t="s">
        <v>545</v>
      </c>
      <c r="N648" s="29" t="s">
        <v>1063</v>
      </c>
      <c r="O648" s="29" t="s">
        <v>47</v>
      </c>
      <c r="P648" s="30" t="s">
        <v>1077</v>
      </c>
    </row>
    <row r="649" s="25" customFormat="1" spans="1:16">
      <c r="A649" s="29" t="s">
        <v>1261</v>
      </c>
      <c r="B649" s="29" t="s">
        <v>1252</v>
      </c>
      <c r="C649" s="29" t="s">
        <v>47</v>
      </c>
      <c r="D649" s="29" t="s">
        <v>812</v>
      </c>
      <c r="E649" s="29" t="s">
        <v>35</v>
      </c>
      <c r="F649" s="29" t="s">
        <v>51</v>
      </c>
      <c r="G649" s="29" t="s">
        <v>543</v>
      </c>
      <c r="H649" s="29" t="s">
        <v>63</v>
      </c>
      <c r="I649" s="29" t="s">
        <v>39</v>
      </c>
      <c r="J649" s="29" t="s">
        <v>141</v>
      </c>
      <c r="K649" s="29" t="s">
        <v>1262</v>
      </c>
      <c r="L649" s="29" t="s">
        <v>974</v>
      </c>
      <c r="M649" s="29" t="s">
        <v>545</v>
      </c>
      <c r="N649" s="29" t="s">
        <v>1063</v>
      </c>
      <c r="O649" s="29" t="s">
        <v>47</v>
      </c>
      <c r="P649" s="30" t="s">
        <v>1079</v>
      </c>
    </row>
    <row r="650" s="25" customFormat="1" spans="1:16">
      <c r="A650" s="29" t="s">
        <v>1262</v>
      </c>
      <c r="B650" s="29" t="s">
        <v>1252</v>
      </c>
      <c r="C650" s="29" t="s">
        <v>47</v>
      </c>
      <c r="D650" s="29" t="s">
        <v>812</v>
      </c>
      <c r="E650" s="29" t="s">
        <v>35</v>
      </c>
      <c r="F650" s="29" t="s">
        <v>51</v>
      </c>
      <c r="G650" s="29" t="s">
        <v>543</v>
      </c>
      <c r="H650" s="29" t="s">
        <v>63</v>
      </c>
      <c r="I650" s="29" t="s">
        <v>39</v>
      </c>
      <c r="J650" s="29" t="s">
        <v>145</v>
      </c>
      <c r="K650" s="29" t="s">
        <v>1263</v>
      </c>
      <c r="L650" s="29" t="s">
        <v>976</v>
      </c>
      <c r="M650" s="29" t="s">
        <v>545</v>
      </c>
      <c r="N650" s="29" t="s">
        <v>1063</v>
      </c>
      <c r="O650" s="29" t="s">
        <v>47</v>
      </c>
      <c r="P650" s="30" t="s">
        <v>1080</v>
      </c>
    </row>
    <row r="651" s="25" customFormat="1" spans="1:16">
      <c r="A651" s="29" t="s">
        <v>1263</v>
      </c>
      <c r="B651" s="29" t="s">
        <v>1252</v>
      </c>
      <c r="C651" s="29" t="s">
        <v>47</v>
      </c>
      <c r="D651" s="29" t="s">
        <v>812</v>
      </c>
      <c r="E651" s="29" t="s">
        <v>35</v>
      </c>
      <c r="F651" s="29" t="s">
        <v>51</v>
      </c>
      <c r="G651" s="29" t="s">
        <v>543</v>
      </c>
      <c r="H651" s="29" t="s">
        <v>63</v>
      </c>
      <c r="I651" s="29" t="s">
        <v>39</v>
      </c>
      <c r="J651" s="29" t="s">
        <v>408</v>
      </c>
      <c r="K651" s="29" t="s">
        <v>1264</v>
      </c>
      <c r="L651" s="29" t="s">
        <v>1239</v>
      </c>
      <c r="M651" s="29" t="s">
        <v>545</v>
      </c>
      <c r="N651" s="29" t="s">
        <v>1063</v>
      </c>
      <c r="O651" s="29" t="s">
        <v>47</v>
      </c>
      <c r="P651" s="30" t="s">
        <v>1265</v>
      </c>
    </row>
    <row r="652" s="25" customFormat="1" spans="1:16">
      <c r="A652" s="29" t="s">
        <v>1264</v>
      </c>
      <c r="B652" s="29" t="s">
        <v>1252</v>
      </c>
      <c r="C652" s="29" t="s">
        <v>47</v>
      </c>
      <c r="D652" s="29" t="s">
        <v>812</v>
      </c>
      <c r="E652" s="29" t="s">
        <v>35</v>
      </c>
      <c r="F652" s="29" t="s">
        <v>51</v>
      </c>
      <c r="G652" s="29" t="s">
        <v>543</v>
      </c>
      <c r="H652" s="29" t="s">
        <v>63</v>
      </c>
      <c r="I652" s="29" t="s">
        <v>39</v>
      </c>
      <c r="J652" s="29" t="s">
        <v>412</v>
      </c>
      <c r="K652" s="29" t="s">
        <v>1266</v>
      </c>
      <c r="L652" s="29" t="s">
        <v>1242</v>
      </c>
      <c r="M652" s="29" t="s">
        <v>545</v>
      </c>
      <c r="N652" s="29" t="s">
        <v>1063</v>
      </c>
      <c r="O652" s="29" t="s">
        <v>47</v>
      </c>
      <c r="P652" s="30" t="s">
        <v>1267</v>
      </c>
    </row>
    <row r="653" s="25" customFormat="1" spans="1:16">
      <c r="A653" s="29" t="s">
        <v>1266</v>
      </c>
      <c r="B653" s="29" t="s">
        <v>1252</v>
      </c>
      <c r="C653" s="29" t="s">
        <v>47</v>
      </c>
      <c r="D653" s="29" t="s">
        <v>812</v>
      </c>
      <c r="E653" s="29" t="s">
        <v>35</v>
      </c>
      <c r="F653" s="29" t="s">
        <v>51</v>
      </c>
      <c r="G653" s="29" t="s">
        <v>543</v>
      </c>
      <c r="H653" s="29" t="s">
        <v>63</v>
      </c>
      <c r="I653" s="29" t="s">
        <v>39</v>
      </c>
      <c r="J653" s="29" t="s">
        <v>416</v>
      </c>
      <c r="K653" s="29" t="s">
        <v>1268</v>
      </c>
      <c r="L653" s="29" t="s">
        <v>1269</v>
      </c>
      <c r="M653" s="29" t="s">
        <v>545</v>
      </c>
      <c r="N653" s="29" t="s">
        <v>1063</v>
      </c>
      <c r="O653" s="29" t="s">
        <v>47</v>
      </c>
      <c r="P653" s="30" t="s">
        <v>1270</v>
      </c>
    </row>
    <row r="654" s="25" customFormat="1" spans="1:16">
      <c r="A654" s="29" t="s">
        <v>1268</v>
      </c>
      <c r="B654" s="29" t="s">
        <v>1252</v>
      </c>
      <c r="C654" s="29" t="s">
        <v>47</v>
      </c>
      <c r="D654" s="29" t="s">
        <v>812</v>
      </c>
      <c r="E654" s="29" t="s">
        <v>35</v>
      </c>
      <c r="F654" s="29" t="s">
        <v>51</v>
      </c>
      <c r="G654" s="29" t="s">
        <v>543</v>
      </c>
      <c r="H654" s="29" t="s">
        <v>63</v>
      </c>
      <c r="I654" s="29" t="s">
        <v>39</v>
      </c>
      <c r="J654" s="29" t="s">
        <v>420</v>
      </c>
      <c r="K654" s="29" t="s">
        <v>1271</v>
      </c>
      <c r="L654" s="29" t="s">
        <v>1272</v>
      </c>
      <c r="M654" s="29" t="s">
        <v>545</v>
      </c>
      <c r="N654" s="29" t="s">
        <v>1063</v>
      </c>
      <c r="O654" s="29" t="s">
        <v>47</v>
      </c>
      <c r="P654" s="30" t="s">
        <v>1273</v>
      </c>
    </row>
    <row r="655" s="25" customFormat="1" spans="1:16">
      <c r="A655" s="29" t="s">
        <v>1271</v>
      </c>
      <c r="B655" s="29" t="s">
        <v>1252</v>
      </c>
      <c r="C655" s="29" t="s">
        <v>47</v>
      </c>
      <c r="D655" s="29" t="s">
        <v>812</v>
      </c>
      <c r="E655" s="29" t="s">
        <v>35</v>
      </c>
      <c r="F655" s="29" t="s">
        <v>51</v>
      </c>
      <c r="G655" s="29" t="s">
        <v>543</v>
      </c>
      <c r="H655" s="29" t="s">
        <v>63</v>
      </c>
      <c r="I655" s="29" t="s">
        <v>39</v>
      </c>
      <c r="J655" s="29" t="s">
        <v>424</v>
      </c>
      <c r="K655" s="29" t="s">
        <v>39</v>
      </c>
      <c r="L655" s="29" t="s">
        <v>39</v>
      </c>
      <c r="M655" s="29" t="s">
        <v>39</v>
      </c>
      <c r="N655" s="29" t="s">
        <v>1063</v>
      </c>
      <c r="O655" s="29" t="s">
        <v>47</v>
      </c>
      <c r="P655" s="30" t="s">
        <v>1274</v>
      </c>
    </row>
    <row r="656" s="25" customFormat="1" spans="1:16">
      <c r="A656" s="29" t="s">
        <v>1275</v>
      </c>
      <c r="B656" s="29" t="s">
        <v>1275</v>
      </c>
      <c r="C656" s="29" t="s">
        <v>47</v>
      </c>
      <c r="D656" s="29" t="s">
        <v>812</v>
      </c>
      <c r="E656" s="29" t="s">
        <v>35</v>
      </c>
      <c r="F656" s="29" t="s">
        <v>51</v>
      </c>
      <c r="G656" s="29" t="s">
        <v>568</v>
      </c>
      <c r="H656" s="29" t="s">
        <v>80</v>
      </c>
      <c r="I656" s="29" t="s">
        <v>39</v>
      </c>
      <c r="J656" s="29" t="s">
        <v>39</v>
      </c>
      <c r="K656" s="29" t="s">
        <v>1276</v>
      </c>
      <c r="L656" s="29" t="s">
        <v>945</v>
      </c>
      <c r="M656" s="29" t="s">
        <v>545</v>
      </c>
      <c r="N656" s="29" t="s">
        <v>838</v>
      </c>
      <c r="O656" s="29" t="s">
        <v>51</v>
      </c>
      <c r="P656" s="30" t="s">
        <v>839</v>
      </c>
    </row>
    <row r="657" s="25" customFormat="1" spans="1:16">
      <c r="A657" s="29" t="s">
        <v>1276</v>
      </c>
      <c r="B657" s="29" t="s">
        <v>1275</v>
      </c>
      <c r="C657" s="29" t="s">
        <v>47</v>
      </c>
      <c r="D657" s="29" t="s">
        <v>812</v>
      </c>
      <c r="E657" s="29" t="s">
        <v>35</v>
      </c>
      <c r="F657" s="29" t="s">
        <v>51</v>
      </c>
      <c r="G657" s="29" t="s">
        <v>568</v>
      </c>
      <c r="H657" s="29" t="s">
        <v>80</v>
      </c>
      <c r="I657" s="29" t="s">
        <v>39</v>
      </c>
      <c r="J657" s="29" t="s">
        <v>35</v>
      </c>
      <c r="K657" s="29" t="s">
        <v>1277</v>
      </c>
      <c r="L657" s="29" t="s">
        <v>949</v>
      </c>
      <c r="M657" s="29" t="s">
        <v>545</v>
      </c>
      <c r="N657" s="29" t="s">
        <v>1084</v>
      </c>
      <c r="O657" s="29" t="s">
        <v>51</v>
      </c>
      <c r="P657" s="30" t="s">
        <v>1085</v>
      </c>
    </row>
    <row r="658" s="25" customFormat="1" spans="1:16">
      <c r="A658" s="29" t="s">
        <v>1277</v>
      </c>
      <c r="B658" s="29" t="s">
        <v>1275</v>
      </c>
      <c r="C658" s="29" t="s">
        <v>47</v>
      </c>
      <c r="D658" s="29" t="s">
        <v>812</v>
      </c>
      <c r="E658" s="29" t="s">
        <v>35</v>
      </c>
      <c r="F658" s="29" t="s">
        <v>51</v>
      </c>
      <c r="G658" s="29" t="s">
        <v>568</v>
      </c>
      <c r="H658" s="29" t="s">
        <v>80</v>
      </c>
      <c r="I658" s="29" t="s">
        <v>39</v>
      </c>
      <c r="J658" s="29" t="s">
        <v>47</v>
      </c>
      <c r="K658" s="29" t="s">
        <v>1278</v>
      </c>
      <c r="L658" s="29" t="s">
        <v>953</v>
      </c>
      <c r="M658" s="29" t="s">
        <v>545</v>
      </c>
      <c r="N658" s="29" t="s">
        <v>1084</v>
      </c>
      <c r="O658" s="29" t="s">
        <v>51</v>
      </c>
      <c r="P658" s="30" t="s">
        <v>1087</v>
      </c>
    </row>
    <row r="659" s="25" customFormat="1" spans="1:16">
      <c r="A659" s="29" t="s">
        <v>1278</v>
      </c>
      <c r="B659" s="29" t="s">
        <v>1275</v>
      </c>
      <c r="C659" s="29" t="s">
        <v>47</v>
      </c>
      <c r="D659" s="29" t="s">
        <v>812</v>
      </c>
      <c r="E659" s="29" t="s">
        <v>35</v>
      </c>
      <c r="F659" s="29" t="s">
        <v>51</v>
      </c>
      <c r="G659" s="29" t="s">
        <v>568</v>
      </c>
      <c r="H659" s="29" t="s">
        <v>80</v>
      </c>
      <c r="I659" s="29" t="s">
        <v>39</v>
      </c>
      <c r="J659" s="29" t="s">
        <v>51</v>
      </c>
      <c r="K659" s="29" t="s">
        <v>1279</v>
      </c>
      <c r="L659" s="29" t="s">
        <v>956</v>
      </c>
      <c r="M659" s="29" t="s">
        <v>545</v>
      </c>
      <c r="N659" s="29" t="s">
        <v>1084</v>
      </c>
      <c r="O659" s="29" t="s">
        <v>51</v>
      </c>
      <c r="P659" s="30" t="s">
        <v>1089</v>
      </c>
    </row>
    <row r="660" s="25" customFormat="1" spans="1:16">
      <c r="A660" s="29" t="s">
        <v>1279</v>
      </c>
      <c r="B660" s="29" t="s">
        <v>1275</v>
      </c>
      <c r="C660" s="29" t="s">
        <v>47</v>
      </c>
      <c r="D660" s="29" t="s">
        <v>812</v>
      </c>
      <c r="E660" s="29" t="s">
        <v>35</v>
      </c>
      <c r="F660" s="29" t="s">
        <v>51</v>
      </c>
      <c r="G660" s="29" t="s">
        <v>568</v>
      </c>
      <c r="H660" s="29" t="s">
        <v>80</v>
      </c>
      <c r="I660" s="29" t="s">
        <v>39</v>
      </c>
      <c r="J660" s="29" t="s">
        <v>55</v>
      </c>
      <c r="K660" s="29" t="s">
        <v>1280</v>
      </c>
      <c r="L660" s="29" t="s">
        <v>959</v>
      </c>
      <c r="M660" s="29" t="s">
        <v>545</v>
      </c>
      <c r="N660" s="29" t="s">
        <v>1084</v>
      </c>
      <c r="O660" s="29" t="s">
        <v>51</v>
      </c>
      <c r="P660" s="30" t="s">
        <v>1091</v>
      </c>
    </row>
    <row r="661" s="25" customFormat="1" spans="1:16">
      <c r="A661" s="29" t="s">
        <v>1280</v>
      </c>
      <c r="B661" s="29" t="s">
        <v>1275</v>
      </c>
      <c r="C661" s="29" t="s">
        <v>47</v>
      </c>
      <c r="D661" s="29" t="s">
        <v>812</v>
      </c>
      <c r="E661" s="29" t="s">
        <v>35</v>
      </c>
      <c r="F661" s="29" t="s">
        <v>51</v>
      </c>
      <c r="G661" s="29" t="s">
        <v>568</v>
      </c>
      <c r="H661" s="29" t="s">
        <v>80</v>
      </c>
      <c r="I661" s="29" t="s">
        <v>39</v>
      </c>
      <c r="J661" s="29" t="s">
        <v>59</v>
      </c>
      <c r="K661" s="29" t="s">
        <v>1281</v>
      </c>
      <c r="L661" s="29" t="s">
        <v>962</v>
      </c>
      <c r="M661" s="29" t="s">
        <v>545</v>
      </c>
      <c r="N661" s="29" t="s">
        <v>1084</v>
      </c>
      <c r="O661" s="29" t="s">
        <v>51</v>
      </c>
      <c r="P661" s="30" t="s">
        <v>848</v>
      </c>
    </row>
    <row r="662" s="25" customFormat="1" spans="1:16">
      <c r="A662" s="29" t="s">
        <v>1281</v>
      </c>
      <c r="B662" s="29" t="s">
        <v>1275</v>
      </c>
      <c r="C662" s="29" t="s">
        <v>47</v>
      </c>
      <c r="D662" s="29" t="s">
        <v>812</v>
      </c>
      <c r="E662" s="29" t="s">
        <v>35</v>
      </c>
      <c r="F662" s="29" t="s">
        <v>51</v>
      </c>
      <c r="G662" s="29" t="s">
        <v>568</v>
      </c>
      <c r="H662" s="29" t="s">
        <v>80</v>
      </c>
      <c r="I662" s="29" t="s">
        <v>39</v>
      </c>
      <c r="J662" s="29" t="s">
        <v>129</v>
      </c>
      <c r="K662" s="29" t="s">
        <v>1282</v>
      </c>
      <c r="L662" s="29" t="s">
        <v>965</v>
      </c>
      <c r="M662" s="29" t="s">
        <v>545</v>
      </c>
      <c r="N662" s="29" t="s">
        <v>1084</v>
      </c>
      <c r="O662" s="29" t="s">
        <v>51</v>
      </c>
      <c r="P662" s="30" t="s">
        <v>1094</v>
      </c>
    </row>
    <row r="663" s="25" customFormat="1" spans="1:16">
      <c r="A663" s="29" t="s">
        <v>1282</v>
      </c>
      <c r="B663" s="29" t="s">
        <v>1275</v>
      </c>
      <c r="C663" s="29" t="s">
        <v>47</v>
      </c>
      <c r="D663" s="29" t="s">
        <v>812</v>
      </c>
      <c r="E663" s="29" t="s">
        <v>35</v>
      </c>
      <c r="F663" s="29" t="s">
        <v>51</v>
      </c>
      <c r="G663" s="29" t="s">
        <v>568</v>
      </c>
      <c r="H663" s="29" t="s">
        <v>80</v>
      </c>
      <c r="I663" s="29" t="s">
        <v>39</v>
      </c>
      <c r="J663" s="29" t="s">
        <v>133</v>
      </c>
      <c r="K663" s="29" t="s">
        <v>1283</v>
      </c>
      <c r="L663" s="29" t="s">
        <v>968</v>
      </c>
      <c r="M663" s="29" t="s">
        <v>545</v>
      </c>
      <c r="N663" s="29" t="s">
        <v>1084</v>
      </c>
      <c r="O663" s="29" t="s">
        <v>51</v>
      </c>
      <c r="P663" s="30" t="s">
        <v>1096</v>
      </c>
    </row>
    <row r="664" s="25" customFormat="1" spans="1:16">
      <c r="A664" s="29" t="s">
        <v>1283</v>
      </c>
      <c r="B664" s="29" t="s">
        <v>1275</v>
      </c>
      <c r="C664" s="29" t="s">
        <v>47</v>
      </c>
      <c r="D664" s="29" t="s">
        <v>812</v>
      </c>
      <c r="E664" s="29" t="s">
        <v>35</v>
      </c>
      <c r="F664" s="29" t="s">
        <v>51</v>
      </c>
      <c r="G664" s="29" t="s">
        <v>568</v>
      </c>
      <c r="H664" s="29" t="s">
        <v>80</v>
      </c>
      <c r="I664" s="29" t="s">
        <v>39</v>
      </c>
      <c r="J664" s="29" t="s">
        <v>137</v>
      </c>
      <c r="K664" s="29" t="s">
        <v>1284</v>
      </c>
      <c r="L664" s="29" t="s">
        <v>971</v>
      </c>
      <c r="M664" s="29" t="s">
        <v>545</v>
      </c>
      <c r="N664" s="29" t="s">
        <v>1084</v>
      </c>
      <c r="O664" s="29" t="s">
        <v>51</v>
      </c>
      <c r="P664" s="30" t="s">
        <v>1098</v>
      </c>
    </row>
    <row r="665" s="25" customFormat="1" spans="1:16">
      <c r="A665" s="29" t="s">
        <v>1284</v>
      </c>
      <c r="B665" s="29" t="s">
        <v>1275</v>
      </c>
      <c r="C665" s="29" t="s">
        <v>47</v>
      </c>
      <c r="D665" s="29" t="s">
        <v>812</v>
      </c>
      <c r="E665" s="29" t="s">
        <v>35</v>
      </c>
      <c r="F665" s="29" t="s">
        <v>51</v>
      </c>
      <c r="G665" s="29" t="s">
        <v>568</v>
      </c>
      <c r="H665" s="29" t="s">
        <v>80</v>
      </c>
      <c r="I665" s="29" t="s">
        <v>39</v>
      </c>
      <c r="J665" s="29" t="s">
        <v>141</v>
      </c>
      <c r="K665" s="29" t="s">
        <v>1285</v>
      </c>
      <c r="L665" s="29" t="s">
        <v>974</v>
      </c>
      <c r="M665" s="29" t="s">
        <v>545</v>
      </c>
      <c r="N665" s="29" t="s">
        <v>1084</v>
      </c>
      <c r="O665" s="29" t="s">
        <v>51</v>
      </c>
      <c r="P665" s="30" t="s">
        <v>1100</v>
      </c>
    </row>
    <row r="666" s="25" customFormat="1" spans="1:16">
      <c r="A666" s="29" t="s">
        <v>1285</v>
      </c>
      <c r="B666" s="29" t="s">
        <v>1275</v>
      </c>
      <c r="C666" s="29" t="s">
        <v>47</v>
      </c>
      <c r="D666" s="29" t="s">
        <v>812</v>
      </c>
      <c r="E666" s="29" t="s">
        <v>35</v>
      </c>
      <c r="F666" s="29" t="s">
        <v>51</v>
      </c>
      <c r="G666" s="29" t="s">
        <v>568</v>
      </c>
      <c r="H666" s="29" t="s">
        <v>80</v>
      </c>
      <c r="I666" s="29" t="s">
        <v>39</v>
      </c>
      <c r="J666" s="29" t="s">
        <v>145</v>
      </c>
      <c r="K666" s="29" t="s">
        <v>1286</v>
      </c>
      <c r="L666" s="29" t="s">
        <v>976</v>
      </c>
      <c r="M666" s="29" t="s">
        <v>545</v>
      </c>
      <c r="N666" s="29" t="s">
        <v>1084</v>
      </c>
      <c r="O666" s="29" t="s">
        <v>51</v>
      </c>
      <c r="P666" s="30" t="s">
        <v>1101</v>
      </c>
    </row>
    <row r="667" s="25" customFormat="1" spans="1:16">
      <c r="A667" s="29" t="s">
        <v>1286</v>
      </c>
      <c r="B667" s="29" t="s">
        <v>1275</v>
      </c>
      <c r="C667" s="29" t="s">
        <v>47</v>
      </c>
      <c r="D667" s="29" t="s">
        <v>812</v>
      </c>
      <c r="E667" s="29" t="s">
        <v>35</v>
      </c>
      <c r="F667" s="29" t="s">
        <v>51</v>
      </c>
      <c r="G667" s="29" t="s">
        <v>568</v>
      </c>
      <c r="H667" s="29" t="s">
        <v>80</v>
      </c>
      <c r="I667" s="29" t="s">
        <v>39</v>
      </c>
      <c r="J667" s="29" t="s">
        <v>408</v>
      </c>
      <c r="K667" s="29" t="s">
        <v>1287</v>
      </c>
      <c r="L667" s="29" t="s">
        <v>1239</v>
      </c>
      <c r="M667" s="29" t="s">
        <v>545</v>
      </c>
      <c r="N667" s="29" t="s">
        <v>1084</v>
      </c>
      <c r="O667" s="29" t="s">
        <v>51</v>
      </c>
      <c r="P667" s="30" t="s">
        <v>1288</v>
      </c>
    </row>
    <row r="668" s="25" customFormat="1" spans="1:16">
      <c r="A668" s="29" t="s">
        <v>1287</v>
      </c>
      <c r="B668" s="29" t="s">
        <v>1275</v>
      </c>
      <c r="C668" s="29" t="s">
        <v>47</v>
      </c>
      <c r="D668" s="29" t="s">
        <v>812</v>
      </c>
      <c r="E668" s="29" t="s">
        <v>35</v>
      </c>
      <c r="F668" s="29" t="s">
        <v>51</v>
      </c>
      <c r="G668" s="29" t="s">
        <v>568</v>
      </c>
      <c r="H668" s="29" t="s">
        <v>80</v>
      </c>
      <c r="I668" s="29" t="s">
        <v>39</v>
      </c>
      <c r="J668" s="29" t="s">
        <v>412</v>
      </c>
      <c r="K668" s="29" t="s">
        <v>1289</v>
      </c>
      <c r="L668" s="29" t="s">
        <v>1242</v>
      </c>
      <c r="M668" s="29" t="s">
        <v>545</v>
      </c>
      <c r="N668" s="29" t="s">
        <v>1084</v>
      </c>
      <c r="O668" s="29" t="s">
        <v>51</v>
      </c>
      <c r="P668" s="30" t="s">
        <v>1290</v>
      </c>
    </row>
    <row r="669" s="25" customFormat="1" spans="1:16">
      <c r="A669" s="29" t="s">
        <v>1289</v>
      </c>
      <c r="B669" s="29" t="s">
        <v>1275</v>
      </c>
      <c r="C669" s="29" t="s">
        <v>47</v>
      </c>
      <c r="D669" s="29" t="s">
        <v>812</v>
      </c>
      <c r="E669" s="29" t="s">
        <v>35</v>
      </c>
      <c r="F669" s="29" t="s">
        <v>51</v>
      </c>
      <c r="G669" s="29" t="s">
        <v>568</v>
      </c>
      <c r="H669" s="29" t="s">
        <v>80</v>
      </c>
      <c r="I669" s="29" t="s">
        <v>39</v>
      </c>
      <c r="J669" s="29" t="s">
        <v>416</v>
      </c>
      <c r="K669" s="29" t="s">
        <v>1291</v>
      </c>
      <c r="L669" s="29" t="s">
        <v>1269</v>
      </c>
      <c r="M669" s="29" t="s">
        <v>545</v>
      </c>
      <c r="N669" s="29" t="s">
        <v>1084</v>
      </c>
      <c r="O669" s="29" t="s">
        <v>51</v>
      </c>
      <c r="P669" s="30" t="s">
        <v>1292</v>
      </c>
    </row>
    <row r="670" s="25" customFormat="1" spans="1:16">
      <c r="A670" s="29" t="s">
        <v>1291</v>
      </c>
      <c r="B670" s="29" t="s">
        <v>1275</v>
      </c>
      <c r="C670" s="29" t="s">
        <v>47</v>
      </c>
      <c r="D670" s="29" t="s">
        <v>812</v>
      </c>
      <c r="E670" s="29" t="s">
        <v>35</v>
      </c>
      <c r="F670" s="29" t="s">
        <v>51</v>
      </c>
      <c r="G670" s="29" t="s">
        <v>568</v>
      </c>
      <c r="H670" s="29" t="s">
        <v>80</v>
      </c>
      <c r="I670" s="29" t="s">
        <v>39</v>
      </c>
      <c r="J670" s="29" t="s">
        <v>420</v>
      </c>
      <c r="K670" s="29" t="s">
        <v>1293</v>
      </c>
      <c r="L670" s="29" t="s">
        <v>1272</v>
      </c>
      <c r="M670" s="29" t="s">
        <v>545</v>
      </c>
      <c r="N670" s="29" t="s">
        <v>1084</v>
      </c>
      <c r="O670" s="29" t="s">
        <v>51</v>
      </c>
      <c r="P670" s="30" t="s">
        <v>1294</v>
      </c>
    </row>
    <row r="671" s="25" customFormat="1" spans="1:16">
      <c r="A671" s="29" t="s">
        <v>1293</v>
      </c>
      <c r="B671" s="29" t="s">
        <v>1275</v>
      </c>
      <c r="C671" s="29" t="s">
        <v>47</v>
      </c>
      <c r="D671" s="29" t="s">
        <v>812</v>
      </c>
      <c r="E671" s="29" t="s">
        <v>35</v>
      </c>
      <c r="F671" s="29" t="s">
        <v>51</v>
      </c>
      <c r="G671" s="29" t="s">
        <v>568</v>
      </c>
      <c r="H671" s="29" t="s">
        <v>80</v>
      </c>
      <c r="I671" s="29" t="s">
        <v>39</v>
      </c>
      <c r="J671" s="29" t="s">
        <v>424</v>
      </c>
      <c r="K671" s="29" t="s">
        <v>39</v>
      </c>
      <c r="L671" s="29" t="s">
        <v>39</v>
      </c>
      <c r="M671" s="29" t="s">
        <v>39</v>
      </c>
      <c r="N671" s="29" t="s">
        <v>1084</v>
      </c>
      <c r="O671" s="29" t="s">
        <v>51</v>
      </c>
      <c r="P671" s="30" t="s">
        <v>1295</v>
      </c>
    </row>
    <row r="672" s="25" customFormat="1" spans="1:16">
      <c r="A672" s="29" t="s">
        <v>1296</v>
      </c>
      <c r="B672" s="29" t="s">
        <v>1296</v>
      </c>
      <c r="C672" s="29" t="s">
        <v>47</v>
      </c>
      <c r="D672" s="29" t="s">
        <v>812</v>
      </c>
      <c r="E672" s="29" t="s">
        <v>35</v>
      </c>
      <c r="F672" s="29" t="s">
        <v>51</v>
      </c>
      <c r="G672" s="29" t="s">
        <v>590</v>
      </c>
      <c r="H672" s="29" t="s">
        <v>96</v>
      </c>
      <c r="I672" s="29" t="s">
        <v>39</v>
      </c>
      <c r="J672" s="29" t="s">
        <v>39</v>
      </c>
      <c r="K672" s="29" t="s">
        <v>1297</v>
      </c>
      <c r="L672" s="29" t="s">
        <v>945</v>
      </c>
      <c r="M672" s="29" t="s">
        <v>545</v>
      </c>
      <c r="N672" s="29" t="s">
        <v>852</v>
      </c>
      <c r="O672" s="29" t="s">
        <v>55</v>
      </c>
      <c r="P672" s="30" t="s">
        <v>853</v>
      </c>
    </row>
    <row r="673" s="25" customFormat="1" spans="1:16">
      <c r="A673" s="29" t="s">
        <v>1297</v>
      </c>
      <c r="B673" s="29" t="s">
        <v>1296</v>
      </c>
      <c r="C673" s="29" t="s">
        <v>47</v>
      </c>
      <c r="D673" s="29" t="s">
        <v>812</v>
      </c>
      <c r="E673" s="29" t="s">
        <v>35</v>
      </c>
      <c r="F673" s="29" t="s">
        <v>51</v>
      </c>
      <c r="G673" s="29" t="s">
        <v>590</v>
      </c>
      <c r="H673" s="29" t="s">
        <v>96</v>
      </c>
      <c r="I673" s="29" t="s">
        <v>39</v>
      </c>
      <c r="J673" s="29" t="s">
        <v>35</v>
      </c>
      <c r="K673" s="29" t="s">
        <v>1298</v>
      </c>
      <c r="L673" s="29" t="s">
        <v>949</v>
      </c>
      <c r="M673" s="29" t="s">
        <v>545</v>
      </c>
      <c r="N673" s="29" t="s">
        <v>1105</v>
      </c>
      <c r="O673" s="29" t="s">
        <v>55</v>
      </c>
      <c r="P673" s="30" t="s">
        <v>1106</v>
      </c>
    </row>
    <row r="674" s="25" customFormat="1" spans="1:16">
      <c r="A674" s="29" t="s">
        <v>1298</v>
      </c>
      <c r="B674" s="29" t="s">
        <v>1296</v>
      </c>
      <c r="C674" s="29" t="s">
        <v>47</v>
      </c>
      <c r="D674" s="29" t="s">
        <v>812</v>
      </c>
      <c r="E674" s="29" t="s">
        <v>35</v>
      </c>
      <c r="F674" s="29" t="s">
        <v>51</v>
      </c>
      <c r="G674" s="29" t="s">
        <v>590</v>
      </c>
      <c r="H674" s="29" t="s">
        <v>96</v>
      </c>
      <c r="I674" s="29" t="s">
        <v>39</v>
      </c>
      <c r="J674" s="29" t="s">
        <v>47</v>
      </c>
      <c r="K674" s="29" t="s">
        <v>1299</v>
      </c>
      <c r="L674" s="29" t="s">
        <v>953</v>
      </c>
      <c r="M674" s="29" t="s">
        <v>545</v>
      </c>
      <c r="N674" s="29" t="s">
        <v>1105</v>
      </c>
      <c r="O674" s="29" t="s">
        <v>55</v>
      </c>
      <c r="P674" s="30" t="s">
        <v>1108</v>
      </c>
    </row>
    <row r="675" s="25" customFormat="1" spans="1:16">
      <c r="A675" s="29" t="s">
        <v>1299</v>
      </c>
      <c r="B675" s="29" t="s">
        <v>1296</v>
      </c>
      <c r="C675" s="29" t="s">
        <v>47</v>
      </c>
      <c r="D675" s="29" t="s">
        <v>812</v>
      </c>
      <c r="E675" s="29" t="s">
        <v>35</v>
      </c>
      <c r="F675" s="29" t="s">
        <v>51</v>
      </c>
      <c r="G675" s="29" t="s">
        <v>590</v>
      </c>
      <c r="H675" s="29" t="s">
        <v>96</v>
      </c>
      <c r="I675" s="29" t="s">
        <v>39</v>
      </c>
      <c r="J675" s="29" t="s">
        <v>51</v>
      </c>
      <c r="K675" s="29" t="s">
        <v>1300</v>
      </c>
      <c r="L675" s="29" t="s">
        <v>956</v>
      </c>
      <c r="M675" s="29" t="s">
        <v>545</v>
      </c>
      <c r="N675" s="29" t="s">
        <v>1105</v>
      </c>
      <c r="O675" s="29" t="s">
        <v>55</v>
      </c>
      <c r="P675" s="30" t="s">
        <v>1110</v>
      </c>
    </row>
    <row r="676" s="25" customFormat="1" spans="1:16">
      <c r="A676" s="29" t="s">
        <v>1300</v>
      </c>
      <c r="B676" s="29" t="s">
        <v>1296</v>
      </c>
      <c r="C676" s="29" t="s">
        <v>47</v>
      </c>
      <c r="D676" s="29" t="s">
        <v>812</v>
      </c>
      <c r="E676" s="29" t="s">
        <v>35</v>
      </c>
      <c r="F676" s="29" t="s">
        <v>51</v>
      </c>
      <c r="G676" s="29" t="s">
        <v>590</v>
      </c>
      <c r="H676" s="29" t="s">
        <v>96</v>
      </c>
      <c r="I676" s="29" t="s">
        <v>39</v>
      </c>
      <c r="J676" s="29" t="s">
        <v>55</v>
      </c>
      <c r="K676" s="29" t="s">
        <v>1301</v>
      </c>
      <c r="L676" s="29" t="s">
        <v>959</v>
      </c>
      <c r="M676" s="29" t="s">
        <v>545</v>
      </c>
      <c r="N676" s="29" t="s">
        <v>1105</v>
      </c>
      <c r="O676" s="29" t="s">
        <v>55</v>
      </c>
      <c r="P676" s="30" t="s">
        <v>1112</v>
      </c>
    </row>
    <row r="677" s="25" customFormat="1" spans="1:16">
      <c r="A677" s="29" t="s">
        <v>1301</v>
      </c>
      <c r="B677" s="29" t="s">
        <v>1296</v>
      </c>
      <c r="C677" s="29" t="s">
        <v>47</v>
      </c>
      <c r="D677" s="29" t="s">
        <v>812</v>
      </c>
      <c r="E677" s="29" t="s">
        <v>35</v>
      </c>
      <c r="F677" s="29" t="s">
        <v>51</v>
      </c>
      <c r="G677" s="29" t="s">
        <v>590</v>
      </c>
      <c r="H677" s="29" t="s">
        <v>96</v>
      </c>
      <c r="I677" s="29" t="s">
        <v>39</v>
      </c>
      <c r="J677" s="29" t="s">
        <v>59</v>
      </c>
      <c r="K677" s="29" t="s">
        <v>1302</v>
      </c>
      <c r="L677" s="29" t="s">
        <v>962</v>
      </c>
      <c r="M677" s="29" t="s">
        <v>545</v>
      </c>
      <c r="N677" s="29" t="s">
        <v>1105</v>
      </c>
      <c r="O677" s="29" t="s">
        <v>55</v>
      </c>
      <c r="P677" s="30" t="s">
        <v>1114</v>
      </c>
    </row>
    <row r="678" s="25" customFormat="1" spans="1:16">
      <c r="A678" s="29" t="s">
        <v>1302</v>
      </c>
      <c r="B678" s="29" t="s">
        <v>1296</v>
      </c>
      <c r="C678" s="29" t="s">
        <v>47</v>
      </c>
      <c r="D678" s="29" t="s">
        <v>812</v>
      </c>
      <c r="E678" s="29" t="s">
        <v>35</v>
      </c>
      <c r="F678" s="29" t="s">
        <v>51</v>
      </c>
      <c r="G678" s="29" t="s">
        <v>590</v>
      </c>
      <c r="H678" s="29" t="s">
        <v>96</v>
      </c>
      <c r="I678" s="29" t="s">
        <v>39</v>
      </c>
      <c r="J678" s="29" t="s">
        <v>129</v>
      </c>
      <c r="K678" s="29" t="s">
        <v>1303</v>
      </c>
      <c r="L678" s="29" t="s">
        <v>965</v>
      </c>
      <c r="M678" s="29" t="s">
        <v>545</v>
      </c>
      <c r="N678" s="29" t="s">
        <v>1105</v>
      </c>
      <c r="O678" s="29" t="s">
        <v>55</v>
      </c>
      <c r="P678" s="30" t="s">
        <v>863</v>
      </c>
    </row>
    <row r="679" s="25" customFormat="1" spans="1:16">
      <c r="A679" s="29" t="s">
        <v>1303</v>
      </c>
      <c r="B679" s="29" t="s">
        <v>1296</v>
      </c>
      <c r="C679" s="29" t="s">
        <v>47</v>
      </c>
      <c r="D679" s="29" t="s">
        <v>812</v>
      </c>
      <c r="E679" s="29" t="s">
        <v>35</v>
      </c>
      <c r="F679" s="29" t="s">
        <v>51</v>
      </c>
      <c r="G679" s="29" t="s">
        <v>590</v>
      </c>
      <c r="H679" s="29" t="s">
        <v>96</v>
      </c>
      <c r="I679" s="29" t="s">
        <v>39</v>
      </c>
      <c r="J679" s="29" t="s">
        <v>133</v>
      </c>
      <c r="K679" s="29" t="s">
        <v>1304</v>
      </c>
      <c r="L679" s="29" t="s">
        <v>968</v>
      </c>
      <c r="M679" s="29" t="s">
        <v>545</v>
      </c>
      <c r="N679" s="29" t="s">
        <v>1105</v>
      </c>
      <c r="O679" s="29" t="s">
        <v>55</v>
      </c>
      <c r="P679" s="30" t="s">
        <v>1117</v>
      </c>
    </row>
    <row r="680" s="25" customFormat="1" spans="1:16">
      <c r="A680" s="29" t="s">
        <v>1304</v>
      </c>
      <c r="B680" s="29" t="s">
        <v>1296</v>
      </c>
      <c r="C680" s="29" t="s">
        <v>47</v>
      </c>
      <c r="D680" s="29" t="s">
        <v>812</v>
      </c>
      <c r="E680" s="29" t="s">
        <v>35</v>
      </c>
      <c r="F680" s="29" t="s">
        <v>51</v>
      </c>
      <c r="G680" s="29" t="s">
        <v>590</v>
      </c>
      <c r="H680" s="29" t="s">
        <v>96</v>
      </c>
      <c r="I680" s="29" t="s">
        <v>39</v>
      </c>
      <c r="J680" s="29" t="s">
        <v>137</v>
      </c>
      <c r="K680" s="29" t="s">
        <v>1305</v>
      </c>
      <c r="L680" s="29" t="s">
        <v>971</v>
      </c>
      <c r="M680" s="29" t="s">
        <v>545</v>
      </c>
      <c r="N680" s="29" t="s">
        <v>1105</v>
      </c>
      <c r="O680" s="29" t="s">
        <v>55</v>
      </c>
      <c r="P680" s="30" t="s">
        <v>1119</v>
      </c>
    </row>
    <row r="681" s="25" customFormat="1" spans="1:16">
      <c r="A681" s="29" t="s">
        <v>1305</v>
      </c>
      <c r="B681" s="29" t="s">
        <v>1296</v>
      </c>
      <c r="C681" s="29" t="s">
        <v>47</v>
      </c>
      <c r="D681" s="29" t="s">
        <v>812</v>
      </c>
      <c r="E681" s="29" t="s">
        <v>35</v>
      </c>
      <c r="F681" s="29" t="s">
        <v>51</v>
      </c>
      <c r="G681" s="29" t="s">
        <v>590</v>
      </c>
      <c r="H681" s="29" t="s">
        <v>96</v>
      </c>
      <c r="I681" s="29" t="s">
        <v>39</v>
      </c>
      <c r="J681" s="29" t="s">
        <v>141</v>
      </c>
      <c r="K681" s="29" t="s">
        <v>1306</v>
      </c>
      <c r="L681" s="29" t="s">
        <v>974</v>
      </c>
      <c r="M681" s="29" t="s">
        <v>545</v>
      </c>
      <c r="N681" s="29" t="s">
        <v>1105</v>
      </c>
      <c r="O681" s="29" t="s">
        <v>55</v>
      </c>
      <c r="P681" s="30" t="s">
        <v>1121</v>
      </c>
    </row>
    <row r="682" s="25" customFormat="1" spans="1:16">
      <c r="A682" s="29" t="s">
        <v>1306</v>
      </c>
      <c r="B682" s="29" t="s">
        <v>1296</v>
      </c>
      <c r="C682" s="29" t="s">
        <v>47</v>
      </c>
      <c r="D682" s="29" t="s">
        <v>812</v>
      </c>
      <c r="E682" s="29" t="s">
        <v>35</v>
      </c>
      <c r="F682" s="29" t="s">
        <v>51</v>
      </c>
      <c r="G682" s="29" t="s">
        <v>590</v>
      </c>
      <c r="H682" s="29" t="s">
        <v>96</v>
      </c>
      <c r="I682" s="29" t="s">
        <v>39</v>
      </c>
      <c r="J682" s="29" t="s">
        <v>145</v>
      </c>
      <c r="K682" s="29" t="s">
        <v>1307</v>
      </c>
      <c r="L682" s="29" t="s">
        <v>976</v>
      </c>
      <c r="M682" s="29" t="s">
        <v>545</v>
      </c>
      <c r="N682" s="29" t="s">
        <v>1105</v>
      </c>
      <c r="O682" s="29" t="s">
        <v>55</v>
      </c>
      <c r="P682" s="30" t="s">
        <v>1122</v>
      </c>
    </row>
    <row r="683" s="25" customFormat="1" spans="1:16">
      <c r="A683" s="29" t="s">
        <v>1307</v>
      </c>
      <c r="B683" s="29" t="s">
        <v>1296</v>
      </c>
      <c r="C683" s="29" t="s">
        <v>47</v>
      </c>
      <c r="D683" s="29" t="s">
        <v>812</v>
      </c>
      <c r="E683" s="29" t="s">
        <v>35</v>
      </c>
      <c r="F683" s="29" t="s">
        <v>51</v>
      </c>
      <c r="G683" s="29" t="s">
        <v>590</v>
      </c>
      <c r="H683" s="29" t="s">
        <v>96</v>
      </c>
      <c r="I683" s="29" t="s">
        <v>39</v>
      </c>
      <c r="J683" s="29" t="s">
        <v>408</v>
      </c>
      <c r="K683" s="29" t="s">
        <v>1308</v>
      </c>
      <c r="L683" s="29" t="s">
        <v>1239</v>
      </c>
      <c r="M683" s="29" t="s">
        <v>545</v>
      </c>
      <c r="N683" s="29" t="s">
        <v>1105</v>
      </c>
      <c r="O683" s="29" t="s">
        <v>55</v>
      </c>
      <c r="P683" s="30" t="s">
        <v>1309</v>
      </c>
    </row>
    <row r="684" s="25" customFormat="1" spans="1:16">
      <c r="A684" s="29" t="s">
        <v>1308</v>
      </c>
      <c r="B684" s="29" t="s">
        <v>1296</v>
      </c>
      <c r="C684" s="29" t="s">
        <v>47</v>
      </c>
      <c r="D684" s="29" t="s">
        <v>812</v>
      </c>
      <c r="E684" s="29" t="s">
        <v>35</v>
      </c>
      <c r="F684" s="29" t="s">
        <v>51</v>
      </c>
      <c r="G684" s="29" t="s">
        <v>590</v>
      </c>
      <c r="H684" s="29" t="s">
        <v>96</v>
      </c>
      <c r="I684" s="29" t="s">
        <v>39</v>
      </c>
      <c r="J684" s="29" t="s">
        <v>412</v>
      </c>
      <c r="K684" s="29" t="s">
        <v>1310</v>
      </c>
      <c r="L684" s="29" t="s">
        <v>1242</v>
      </c>
      <c r="M684" s="29" t="s">
        <v>545</v>
      </c>
      <c r="N684" s="29" t="s">
        <v>1105</v>
      </c>
      <c r="O684" s="29" t="s">
        <v>55</v>
      </c>
      <c r="P684" s="30" t="s">
        <v>1311</v>
      </c>
    </row>
    <row r="685" s="25" customFormat="1" spans="1:16">
      <c r="A685" s="29" t="s">
        <v>1310</v>
      </c>
      <c r="B685" s="29" t="s">
        <v>1296</v>
      </c>
      <c r="C685" s="29" t="s">
        <v>47</v>
      </c>
      <c r="D685" s="29" t="s">
        <v>812</v>
      </c>
      <c r="E685" s="29" t="s">
        <v>35</v>
      </c>
      <c r="F685" s="29" t="s">
        <v>51</v>
      </c>
      <c r="G685" s="29" t="s">
        <v>590</v>
      </c>
      <c r="H685" s="29" t="s">
        <v>96</v>
      </c>
      <c r="I685" s="29" t="s">
        <v>39</v>
      </c>
      <c r="J685" s="29" t="s">
        <v>416</v>
      </c>
      <c r="K685" s="29" t="s">
        <v>1312</v>
      </c>
      <c r="L685" s="29" t="s">
        <v>1269</v>
      </c>
      <c r="M685" s="29" t="s">
        <v>545</v>
      </c>
      <c r="N685" s="29" t="s">
        <v>1105</v>
      </c>
      <c r="O685" s="29" t="s">
        <v>55</v>
      </c>
      <c r="P685" s="30" t="s">
        <v>1313</v>
      </c>
    </row>
    <row r="686" s="25" customFormat="1" spans="1:16">
      <c r="A686" s="29" t="s">
        <v>1312</v>
      </c>
      <c r="B686" s="29" t="s">
        <v>1296</v>
      </c>
      <c r="C686" s="29" t="s">
        <v>47</v>
      </c>
      <c r="D686" s="29" t="s">
        <v>812</v>
      </c>
      <c r="E686" s="29" t="s">
        <v>35</v>
      </c>
      <c r="F686" s="29" t="s">
        <v>51</v>
      </c>
      <c r="G686" s="29" t="s">
        <v>590</v>
      </c>
      <c r="H686" s="29" t="s">
        <v>96</v>
      </c>
      <c r="I686" s="29" t="s">
        <v>39</v>
      </c>
      <c r="J686" s="29" t="s">
        <v>420</v>
      </c>
      <c r="K686" s="29" t="s">
        <v>1314</v>
      </c>
      <c r="L686" s="29" t="s">
        <v>1272</v>
      </c>
      <c r="M686" s="29" t="s">
        <v>545</v>
      </c>
      <c r="N686" s="29" t="s">
        <v>1105</v>
      </c>
      <c r="O686" s="29" t="s">
        <v>55</v>
      </c>
      <c r="P686" s="30" t="s">
        <v>1315</v>
      </c>
    </row>
    <row r="687" s="25" customFormat="1" spans="1:16">
      <c r="A687" s="29" t="s">
        <v>1314</v>
      </c>
      <c r="B687" s="29" t="s">
        <v>1296</v>
      </c>
      <c r="C687" s="29" t="s">
        <v>47</v>
      </c>
      <c r="D687" s="29" t="s">
        <v>812</v>
      </c>
      <c r="E687" s="29" t="s">
        <v>35</v>
      </c>
      <c r="F687" s="29" t="s">
        <v>51</v>
      </c>
      <c r="G687" s="29" t="s">
        <v>590</v>
      </c>
      <c r="H687" s="29" t="s">
        <v>96</v>
      </c>
      <c r="I687" s="29" t="s">
        <v>39</v>
      </c>
      <c r="J687" s="29" t="s">
        <v>424</v>
      </c>
      <c r="K687" s="29" t="s">
        <v>39</v>
      </c>
      <c r="L687" s="29" t="s">
        <v>39</v>
      </c>
      <c r="M687" s="29" t="s">
        <v>39</v>
      </c>
      <c r="N687" s="29" t="s">
        <v>1105</v>
      </c>
      <c r="O687" s="29" t="s">
        <v>55</v>
      </c>
      <c r="P687" s="30" t="s">
        <v>1316</v>
      </c>
    </row>
    <row r="688" s="25" customFormat="1" spans="1:16">
      <c r="A688" s="29" t="s">
        <v>1317</v>
      </c>
      <c r="B688" s="29" t="s">
        <v>1317</v>
      </c>
      <c r="C688" s="29" t="s">
        <v>47</v>
      </c>
      <c r="D688" s="29" t="s">
        <v>812</v>
      </c>
      <c r="E688" s="29" t="s">
        <v>35</v>
      </c>
      <c r="F688" s="29" t="s">
        <v>51</v>
      </c>
      <c r="G688" s="29" t="s">
        <v>612</v>
      </c>
      <c r="H688" s="29" t="s">
        <v>112</v>
      </c>
      <c r="I688" s="29" t="s">
        <v>39</v>
      </c>
      <c r="J688" s="29" t="s">
        <v>39</v>
      </c>
      <c r="K688" s="29" t="s">
        <v>1318</v>
      </c>
      <c r="L688" s="29" t="s">
        <v>945</v>
      </c>
      <c r="M688" s="29" t="s">
        <v>614</v>
      </c>
      <c r="N688" s="29" t="s">
        <v>866</v>
      </c>
      <c r="O688" s="29" t="s">
        <v>59</v>
      </c>
      <c r="P688" s="30" t="s">
        <v>867</v>
      </c>
    </row>
    <row r="689" s="25" customFormat="1" spans="1:16">
      <c r="A689" s="29" t="s">
        <v>1318</v>
      </c>
      <c r="B689" s="29" t="s">
        <v>1317</v>
      </c>
      <c r="C689" s="29" t="s">
        <v>47</v>
      </c>
      <c r="D689" s="29" t="s">
        <v>812</v>
      </c>
      <c r="E689" s="29" t="s">
        <v>35</v>
      </c>
      <c r="F689" s="29" t="s">
        <v>51</v>
      </c>
      <c r="G689" s="29" t="s">
        <v>612</v>
      </c>
      <c r="H689" s="29" t="s">
        <v>112</v>
      </c>
      <c r="I689" s="29" t="s">
        <v>39</v>
      </c>
      <c r="J689" s="29" t="s">
        <v>35</v>
      </c>
      <c r="K689" s="29" t="s">
        <v>1319</v>
      </c>
      <c r="L689" s="29" t="s">
        <v>949</v>
      </c>
      <c r="M689" s="29" t="s">
        <v>614</v>
      </c>
      <c r="N689" s="29" t="s">
        <v>869</v>
      </c>
      <c r="O689" s="29" t="s">
        <v>59</v>
      </c>
      <c r="P689" s="30" t="s">
        <v>870</v>
      </c>
    </row>
    <row r="690" s="25" customFormat="1" spans="1:16">
      <c r="A690" s="29" t="s">
        <v>1319</v>
      </c>
      <c r="B690" s="29" t="s">
        <v>1317</v>
      </c>
      <c r="C690" s="29" t="s">
        <v>47</v>
      </c>
      <c r="D690" s="29" t="s">
        <v>812</v>
      </c>
      <c r="E690" s="29" t="s">
        <v>35</v>
      </c>
      <c r="F690" s="29" t="s">
        <v>51</v>
      </c>
      <c r="G690" s="29" t="s">
        <v>612</v>
      </c>
      <c r="H690" s="29" t="s">
        <v>112</v>
      </c>
      <c r="I690" s="29" t="s">
        <v>39</v>
      </c>
      <c r="J690" s="29" t="s">
        <v>47</v>
      </c>
      <c r="K690" s="29" t="s">
        <v>1320</v>
      </c>
      <c r="L690" s="29" t="s">
        <v>953</v>
      </c>
      <c r="M690" s="29" t="s">
        <v>614</v>
      </c>
      <c r="N690" s="29" t="s">
        <v>869</v>
      </c>
      <c r="O690" s="29" t="s">
        <v>59</v>
      </c>
      <c r="P690" s="30" t="s">
        <v>872</v>
      </c>
    </row>
    <row r="691" s="25" customFormat="1" spans="1:16">
      <c r="A691" s="29" t="s">
        <v>1320</v>
      </c>
      <c r="B691" s="29" t="s">
        <v>1317</v>
      </c>
      <c r="C691" s="29" t="s">
        <v>47</v>
      </c>
      <c r="D691" s="29" t="s">
        <v>812</v>
      </c>
      <c r="E691" s="29" t="s">
        <v>35</v>
      </c>
      <c r="F691" s="29" t="s">
        <v>51</v>
      </c>
      <c r="G691" s="29" t="s">
        <v>612</v>
      </c>
      <c r="H691" s="29" t="s">
        <v>112</v>
      </c>
      <c r="I691" s="29" t="s">
        <v>39</v>
      </c>
      <c r="J691" s="29" t="s">
        <v>51</v>
      </c>
      <c r="K691" s="29" t="s">
        <v>1321</v>
      </c>
      <c r="L691" s="29" t="s">
        <v>956</v>
      </c>
      <c r="M691" s="29" t="s">
        <v>614</v>
      </c>
      <c r="N691" s="29" t="s">
        <v>869</v>
      </c>
      <c r="O691" s="29" t="s">
        <v>59</v>
      </c>
      <c r="P691" s="30" t="s">
        <v>874</v>
      </c>
    </row>
    <row r="692" s="25" customFormat="1" spans="1:16">
      <c r="A692" s="29" t="s">
        <v>1321</v>
      </c>
      <c r="B692" s="29" t="s">
        <v>1317</v>
      </c>
      <c r="C692" s="29" t="s">
        <v>47</v>
      </c>
      <c r="D692" s="29" t="s">
        <v>812</v>
      </c>
      <c r="E692" s="29" t="s">
        <v>35</v>
      </c>
      <c r="F692" s="29" t="s">
        <v>51</v>
      </c>
      <c r="G692" s="29" t="s">
        <v>612</v>
      </c>
      <c r="H692" s="29" t="s">
        <v>112</v>
      </c>
      <c r="I692" s="29" t="s">
        <v>39</v>
      </c>
      <c r="J692" s="29" t="s">
        <v>55</v>
      </c>
      <c r="K692" s="29" t="s">
        <v>1322</v>
      </c>
      <c r="L692" s="29" t="s">
        <v>959</v>
      </c>
      <c r="M692" s="29" t="s">
        <v>614</v>
      </c>
      <c r="N692" s="29" t="s">
        <v>869</v>
      </c>
      <c r="O692" s="29" t="s">
        <v>59</v>
      </c>
      <c r="P692" s="30" t="s">
        <v>876</v>
      </c>
    </row>
    <row r="693" s="25" customFormat="1" spans="1:16">
      <c r="A693" s="29" t="s">
        <v>1322</v>
      </c>
      <c r="B693" s="29" t="s">
        <v>1317</v>
      </c>
      <c r="C693" s="29" t="s">
        <v>47</v>
      </c>
      <c r="D693" s="29" t="s">
        <v>812</v>
      </c>
      <c r="E693" s="29" t="s">
        <v>35</v>
      </c>
      <c r="F693" s="29" t="s">
        <v>51</v>
      </c>
      <c r="G693" s="29" t="s">
        <v>612</v>
      </c>
      <c r="H693" s="29" t="s">
        <v>112</v>
      </c>
      <c r="I693" s="29" t="s">
        <v>39</v>
      </c>
      <c r="J693" s="29" t="s">
        <v>59</v>
      </c>
      <c r="K693" s="29" t="s">
        <v>1323</v>
      </c>
      <c r="L693" s="29" t="s">
        <v>962</v>
      </c>
      <c r="M693" s="29" t="s">
        <v>614</v>
      </c>
      <c r="N693" s="29" t="s">
        <v>869</v>
      </c>
      <c r="O693" s="29" t="s">
        <v>59</v>
      </c>
      <c r="P693" s="30" t="s">
        <v>879</v>
      </c>
    </row>
    <row r="694" s="25" customFormat="1" spans="1:16">
      <c r="A694" s="29" t="s">
        <v>1323</v>
      </c>
      <c r="B694" s="29" t="s">
        <v>1317</v>
      </c>
      <c r="C694" s="29" t="s">
        <v>47</v>
      </c>
      <c r="D694" s="29" t="s">
        <v>812</v>
      </c>
      <c r="E694" s="29" t="s">
        <v>35</v>
      </c>
      <c r="F694" s="29" t="s">
        <v>51</v>
      </c>
      <c r="G694" s="29" t="s">
        <v>612</v>
      </c>
      <c r="H694" s="29" t="s">
        <v>112</v>
      </c>
      <c r="I694" s="29" t="s">
        <v>39</v>
      </c>
      <c r="J694" s="29" t="s">
        <v>129</v>
      </c>
      <c r="K694" s="29" t="s">
        <v>1324</v>
      </c>
      <c r="L694" s="29" t="s">
        <v>965</v>
      </c>
      <c r="M694" s="29" t="s">
        <v>614</v>
      </c>
      <c r="N694" s="29" t="s">
        <v>869</v>
      </c>
      <c r="O694" s="29" t="s">
        <v>59</v>
      </c>
      <c r="P694" s="30" t="s">
        <v>882</v>
      </c>
    </row>
    <row r="695" s="25" customFormat="1" spans="1:16">
      <c r="A695" s="29" t="s">
        <v>1324</v>
      </c>
      <c r="B695" s="29" t="s">
        <v>1317</v>
      </c>
      <c r="C695" s="29" t="s">
        <v>47</v>
      </c>
      <c r="D695" s="29" t="s">
        <v>812</v>
      </c>
      <c r="E695" s="29" t="s">
        <v>35</v>
      </c>
      <c r="F695" s="29" t="s">
        <v>51</v>
      </c>
      <c r="G695" s="29" t="s">
        <v>612</v>
      </c>
      <c r="H695" s="29" t="s">
        <v>112</v>
      </c>
      <c r="I695" s="29" t="s">
        <v>39</v>
      </c>
      <c r="J695" s="29" t="s">
        <v>133</v>
      </c>
      <c r="K695" s="29" t="s">
        <v>1325</v>
      </c>
      <c r="L695" s="29" t="s">
        <v>968</v>
      </c>
      <c r="M695" s="29" t="s">
        <v>614</v>
      </c>
      <c r="N695" s="29" t="s">
        <v>869</v>
      </c>
      <c r="O695" s="29" t="s">
        <v>59</v>
      </c>
      <c r="P695" s="30" t="s">
        <v>885</v>
      </c>
    </row>
    <row r="696" s="25" customFormat="1" spans="1:16">
      <c r="A696" s="29" t="s">
        <v>1325</v>
      </c>
      <c r="B696" s="29" t="s">
        <v>1317</v>
      </c>
      <c r="C696" s="29" t="s">
        <v>47</v>
      </c>
      <c r="D696" s="29" t="s">
        <v>812</v>
      </c>
      <c r="E696" s="29" t="s">
        <v>35</v>
      </c>
      <c r="F696" s="29" t="s">
        <v>51</v>
      </c>
      <c r="G696" s="29" t="s">
        <v>612</v>
      </c>
      <c r="H696" s="29" t="s">
        <v>112</v>
      </c>
      <c r="I696" s="29" t="s">
        <v>39</v>
      </c>
      <c r="J696" s="29" t="s">
        <v>137</v>
      </c>
      <c r="K696" s="29" t="s">
        <v>1326</v>
      </c>
      <c r="L696" s="29" t="s">
        <v>971</v>
      </c>
      <c r="M696" s="29" t="s">
        <v>614</v>
      </c>
      <c r="N696" s="29" t="s">
        <v>869</v>
      </c>
      <c r="O696" s="29" t="s">
        <v>59</v>
      </c>
      <c r="P696" s="30" t="s">
        <v>888</v>
      </c>
    </row>
    <row r="697" s="25" customFormat="1" spans="1:16">
      <c r="A697" s="29" t="s">
        <v>1326</v>
      </c>
      <c r="B697" s="29" t="s">
        <v>1317</v>
      </c>
      <c r="C697" s="29" t="s">
        <v>47</v>
      </c>
      <c r="D697" s="29" t="s">
        <v>812</v>
      </c>
      <c r="E697" s="29" t="s">
        <v>35</v>
      </c>
      <c r="F697" s="29" t="s">
        <v>51</v>
      </c>
      <c r="G697" s="29" t="s">
        <v>612</v>
      </c>
      <c r="H697" s="29" t="s">
        <v>112</v>
      </c>
      <c r="I697" s="29" t="s">
        <v>39</v>
      </c>
      <c r="J697" s="29" t="s">
        <v>141</v>
      </c>
      <c r="K697" s="29" t="s">
        <v>1327</v>
      </c>
      <c r="L697" s="29" t="s">
        <v>974</v>
      </c>
      <c r="M697" s="29" t="s">
        <v>614</v>
      </c>
      <c r="N697" s="29" t="s">
        <v>869</v>
      </c>
      <c r="O697" s="29" t="s">
        <v>59</v>
      </c>
      <c r="P697" s="30" t="s">
        <v>891</v>
      </c>
    </row>
    <row r="698" s="25" customFormat="1" spans="1:16">
      <c r="A698" s="29" t="s">
        <v>1327</v>
      </c>
      <c r="B698" s="29" t="s">
        <v>1317</v>
      </c>
      <c r="C698" s="29" t="s">
        <v>47</v>
      </c>
      <c r="D698" s="29" t="s">
        <v>812</v>
      </c>
      <c r="E698" s="29" t="s">
        <v>35</v>
      </c>
      <c r="F698" s="29" t="s">
        <v>51</v>
      </c>
      <c r="G698" s="29" t="s">
        <v>612</v>
      </c>
      <c r="H698" s="29" t="s">
        <v>112</v>
      </c>
      <c r="I698" s="29" t="s">
        <v>39</v>
      </c>
      <c r="J698" s="29" t="s">
        <v>145</v>
      </c>
      <c r="K698" s="29" t="s">
        <v>1328</v>
      </c>
      <c r="L698" s="29" t="s">
        <v>976</v>
      </c>
      <c r="M698" s="29" t="s">
        <v>614</v>
      </c>
      <c r="N698" s="29" t="s">
        <v>869</v>
      </c>
      <c r="O698" s="29" t="s">
        <v>59</v>
      </c>
      <c r="P698" s="30" t="s">
        <v>892</v>
      </c>
    </row>
    <row r="699" s="25" customFormat="1" spans="1:16">
      <c r="A699" s="29" t="s">
        <v>1328</v>
      </c>
      <c r="B699" s="29" t="s">
        <v>1317</v>
      </c>
      <c r="C699" s="29" t="s">
        <v>47</v>
      </c>
      <c r="D699" s="29" t="s">
        <v>812</v>
      </c>
      <c r="E699" s="29" t="s">
        <v>35</v>
      </c>
      <c r="F699" s="29" t="s">
        <v>51</v>
      </c>
      <c r="G699" s="29" t="s">
        <v>612</v>
      </c>
      <c r="H699" s="29" t="s">
        <v>112</v>
      </c>
      <c r="I699" s="29" t="s">
        <v>39</v>
      </c>
      <c r="J699" s="29" t="s">
        <v>408</v>
      </c>
      <c r="K699" s="29" t="s">
        <v>1329</v>
      </c>
      <c r="L699" s="29" t="s">
        <v>1239</v>
      </c>
      <c r="M699" s="29" t="s">
        <v>614</v>
      </c>
      <c r="N699" s="29" t="s">
        <v>869</v>
      </c>
      <c r="O699" s="29" t="s">
        <v>59</v>
      </c>
      <c r="P699" s="30" t="s">
        <v>1140</v>
      </c>
    </row>
    <row r="700" s="25" customFormat="1" spans="1:16">
      <c r="A700" s="29" t="s">
        <v>1329</v>
      </c>
      <c r="B700" s="29" t="s">
        <v>1317</v>
      </c>
      <c r="C700" s="29" t="s">
        <v>47</v>
      </c>
      <c r="D700" s="29" t="s">
        <v>812</v>
      </c>
      <c r="E700" s="29" t="s">
        <v>35</v>
      </c>
      <c r="F700" s="29" t="s">
        <v>51</v>
      </c>
      <c r="G700" s="29" t="s">
        <v>612</v>
      </c>
      <c r="H700" s="29" t="s">
        <v>112</v>
      </c>
      <c r="I700" s="29" t="s">
        <v>39</v>
      </c>
      <c r="J700" s="29" t="s">
        <v>412</v>
      </c>
      <c r="K700" s="29" t="s">
        <v>1330</v>
      </c>
      <c r="L700" s="29" t="s">
        <v>1242</v>
      </c>
      <c r="M700" s="29" t="s">
        <v>614</v>
      </c>
      <c r="N700" s="29" t="s">
        <v>869</v>
      </c>
      <c r="O700" s="29" t="s">
        <v>59</v>
      </c>
      <c r="P700" s="30" t="s">
        <v>1143</v>
      </c>
    </row>
    <row r="701" s="25" customFormat="1" spans="1:16">
      <c r="A701" s="29" t="s">
        <v>1330</v>
      </c>
      <c r="B701" s="29" t="s">
        <v>1317</v>
      </c>
      <c r="C701" s="29" t="s">
        <v>47</v>
      </c>
      <c r="D701" s="29" t="s">
        <v>812</v>
      </c>
      <c r="E701" s="29" t="s">
        <v>35</v>
      </c>
      <c r="F701" s="29" t="s">
        <v>51</v>
      </c>
      <c r="G701" s="29" t="s">
        <v>612</v>
      </c>
      <c r="H701" s="29" t="s">
        <v>112</v>
      </c>
      <c r="I701" s="29" t="s">
        <v>39</v>
      </c>
      <c r="J701" s="29" t="s">
        <v>416</v>
      </c>
      <c r="K701" s="29" t="s">
        <v>1331</v>
      </c>
      <c r="L701" s="29" t="s">
        <v>1269</v>
      </c>
      <c r="M701" s="29" t="s">
        <v>614</v>
      </c>
      <c r="N701" s="29" t="s">
        <v>869</v>
      </c>
      <c r="O701" s="29" t="s">
        <v>59</v>
      </c>
      <c r="P701" s="30" t="s">
        <v>1146</v>
      </c>
    </row>
    <row r="702" s="25" customFormat="1" spans="1:16">
      <c r="A702" s="29" t="s">
        <v>1331</v>
      </c>
      <c r="B702" s="29" t="s">
        <v>1317</v>
      </c>
      <c r="C702" s="29" t="s">
        <v>47</v>
      </c>
      <c r="D702" s="29" t="s">
        <v>812</v>
      </c>
      <c r="E702" s="29" t="s">
        <v>35</v>
      </c>
      <c r="F702" s="29" t="s">
        <v>51</v>
      </c>
      <c r="G702" s="29" t="s">
        <v>612</v>
      </c>
      <c r="H702" s="29" t="s">
        <v>112</v>
      </c>
      <c r="I702" s="29" t="s">
        <v>39</v>
      </c>
      <c r="J702" s="29" t="s">
        <v>420</v>
      </c>
      <c r="K702" s="29" t="s">
        <v>1332</v>
      </c>
      <c r="L702" s="29" t="s">
        <v>1272</v>
      </c>
      <c r="M702" s="29" t="s">
        <v>614</v>
      </c>
      <c r="N702" s="29" t="s">
        <v>869</v>
      </c>
      <c r="O702" s="29" t="s">
        <v>59</v>
      </c>
      <c r="P702" s="30" t="s">
        <v>1149</v>
      </c>
    </row>
    <row r="703" s="25" customFormat="1" spans="1:16">
      <c r="A703" s="29" t="s">
        <v>1332</v>
      </c>
      <c r="B703" s="29" t="s">
        <v>1317</v>
      </c>
      <c r="C703" s="29" t="s">
        <v>47</v>
      </c>
      <c r="D703" s="29" t="s">
        <v>812</v>
      </c>
      <c r="E703" s="29" t="s">
        <v>35</v>
      </c>
      <c r="F703" s="29" t="s">
        <v>51</v>
      </c>
      <c r="G703" s="29" t="s">
        <v>612</v>
      </c>
      <c r="H703" s="29" t="s">
        <v>112</v>
      </c>
      <c r="I703" s="29" t="s">
        <v>39</v>
      </c>
      <c r="J703" s="29" t="s">
        <v>424</v>
      </c>
      <c r="K703" s="29" t="s">
        <v>1333</v>
      </c>
      <c r="L703" s="29" t="s">
        <v>1334</v>
      </c>
      <c r="M703" s="29" t="s">
        <v>614</v>
      </c>
      <c r="N703" s="29" t="s">
        <v>869</v>
      </c>
      <c r="O703" s="29" t="s">
        <v>59</v>
      </c>
      <c r="P703" s="30" t="s">
        <v>1150</v>
      </c>
    </row>
    <row r="704" s="25" customFormat="1" spans="1:16">
      <c r="A704" s="29" t="s">
        <v>1333</v>
      </c>
      <c r="B704" s="29" t="s">
        <v>1317</v>
      </c>
      <c r="C704" s="29" t="s">
        <v>47</v>
      </c>
      <c r="D704" s="29" t="s">
        <v>812</v>
      </c>
      <c r="E704" s="29" t="s">
        <v>35</v>
      </c>
      <c r="F704" s="29" t="s">
        <v>51</v>
      </c>
      <c r="G704" s="29" t="s">
        <v>612</v>
      </c>
      <c r="H704" s="29" t="s">
        <v>112</v>
      </c>
      <c r="I704" s="29" t="s">
        <v>39</v>
      </c>
      <c r="J704" s="29" t="s">
        <v>631</v>
      </c>
      <c r="K704" s="29" t="s">
        <v>1335</v>
      </c>
      <c r="L704" s="29" t="s">
        <v>1336</v>
      </c>
      <c r="M704" s="29" t="s">
        <v>614</v>
      </c>
      <c r="N704" s="29" t="s">
        <v>869</v>
      </c>
      <c r="O704" s="29" t="s">
        <v>59</v>
      </c>
      <c r="P704" s="30" t="s">
        <v>1337</v>
      </c>
    </row>
    <row r="705" s="25" customFormat="1" spans="1:16">
      <c r="A705" s="29" t="s">
        <v>1335</v>
      </c>
      <c r="B705" s="29" t="s">
        <v>1317</v>
      </c>
      <c r="C705" s="29" t="s">
        <v>47</v>
      </c>
      <c r="D705" s="29" t="s">
        <v>812</v>
      </c>
      <c r="E705" s="29" t="s">
        <v>35</v>
      </c>
      <c r="F705" s="29" t="s">
        <v>51</v>
      </c>
      <c r="G705" s="29" t="s">
        <v>612</v>
      </c>
      <c r="H705" s="29" t="s">
        <v>112</v>
      </c>
      <c r="I705" s="29" t="s">
        <v>39</v>
      </c>
      <c r="J705" s="29" t="s">
        <v>635</v>
      </c>
      <c r="K705" s="29" t="s">
        <v>1338</v>
      </c>
      <c r="L705" s="29" t="s">
        <v>1339</v>
      </c>
      <c r="M705" s="29" t="s">
        <v>614</v>
      </c>
      <c r="N705" s="29" t="s">
        <v>869</v>
      </c>
      <c r="O705" s="29" t="s">
        <v>59</v>
      </c>
      <c r="P705" s="30" t="s">
        <v>1340</v>
      </c>
    </row>
    <row r="706" s="25" customFormat="1" spans="1:16">
      <c r="A706" s="29" t="s">
        <v>1338</v>
      </c>
      <c r="B706" s="29" t="s">
        <v>1317</v>
      </c>
      <c r="C706" s="29" t="s">
        <v>47</v>
      </c>
      <c r="D706" s="29" t="s">
        <v>812</v>
      </c>
      <c r="E706" s="29" t="s">
        <v>35</v>
      </c>
      <c r="F706" s="29" t="s">
        <v>51</v>
      </c>
      <c r="G706" s="29" t="s">
        <v>612</v>
      </c>
      <c r="H706" s="29" t="s">
        <v>112</v>
      </c>
      <c r="I706" s="29" t="s">
        <v>39</v>
      </c>
      <c r="J706" s="29" t="s">
        <v>639</v>
      </c>
      <c r="K706" s="29" t="s">
        <v>1341</v>
      </c>
      <c r="L706" s="29" t="s">
        <v>1342</v>
      </c>
      <c r="M706" s="29" t="s">
        <v>614</v>
      </c>
      <c r="N706" s="29" t="s">
        <v>869</v>
      </c>
      <c r="O706" s="29" t="s">
        <v>59</v>
      </c>
      <c r="P706" s="30" t="s">
        <v>1343</v>
      </c>
    </row>
    <row r="707" s="25" customFormat="1" spans="1:16">
      <c r="A707" s="29" t="s">
        <v>1341</v>
      </c>
      <c r="B707" s="29" t="s">
        <v>1317</v>
      </c>
      <c r="C707" s="29" t="s">
        <v>47</v>
      </c>
      <c r="D707" s="29" t="s">
        <v>812</v>
      </c>
      <c r="E707" s="29" t="s">
        <v>35</v>
      </c>
      <c r="F707" s="29" t="s">
        <v>51</v>
      </c>
      <c r="G707" s="29" t="s">
        <v>612</v>
      </c>
      <c r="H707" s="29" t="s">
        <v>112</v>
      </c>
      <c r="I707" s="29" t="s">
        <v>39</v>
      </c>
      <c r="J707" s="29" t="s">
        <v>643</v>
      </c>
      <c r="K707" s="29" t="s">
        <v>1344</v>
      </c>
      <c r="L707" s="29" t="s">
        <v>1345</v>
      </c>
      <c r="M707" s="29" t="s">
        <v>614</v>
      </c>
      <c r="N707" s="29" t="s">
        <v>869</v>
      </c>
      <c r="O707" s="29" t="s">
        <v>59</v>
      </c>
      <c r="P707" s="30" t="s">
        <v>1346</v>
      </c>
    </row>
    <row r="708" s="25" customFormat="1" spans="1:16">
      <c r="A708" s="29" t="s">
        <v>1344</v>
      </c>
      <c r="B708" s="29" t="s">
        <v>1317</v>
      </c>
      <c r="C708" s="29" t="s">
        <v>47</v>
      </c>
      <c r="D708" s="29" t="s">
        <v>812</v>
      </c>
      <c r="E708" s="29" t="s">
        <v>35</v>
      </c>
      <c r="F708" s="29" t="s">
        <v>51</v>
      </c>
      <c r="G708" s="29" t="s">
        <v>612</v>
      </c>
      <c r="H708" s="29" t="s">
        <v>112</v>
      </c>
      <c r="I708" s="29" t="s">
        <v>39</v>
      </c>
      <c r="J708" s="29" t="s">
        <v>647</v>
      </c>
      <c r="K708" s="29" t="s">
        <v>39</v>
      </c>
      <c r="L708" s="29" t="s">
        <v>39</v>
      </c>
      <c r="M708" s="29" t="s">
        <v>39</v>
      </c>
      <c r="N708" s="29" t="s">
        <v>869</v>
      </c>
      <c r="O708" s="29" t="s">
        <v>59</v>
      </c>
      <c r="P708" s="30" t="s">
        <v>1347</v>
      </c>
    </row>
    <row r="709" s="25" customFormat="1" spans="1:16">
      <c r="A709" s="29" t="s">
        <v>1348</v>
      </c>
      <c r="B709" s="29" t="s">
        <v>1348</v>
      </c>
      <c r="C709" s="29" t="s">
        <v>47</v>
      </c>
      <c r="D709" s="29" t="s">
        <v>812</v>
      </c>
      <c r="E709" s="29" t="s">
        <v>35</v>
      </c>
      <c r="F709" s="29" t="s">
        <v>51</v>
      </c>
      <c r="G709" s="29" t="s">
        <v>650</v>
      </c>
      <c r="H709" s="29" t="s">
        <v>149</v>
      </c>
      <c r="I709" s="29" t="s">
        <v>39</v>
      </c>
      <c r="J709" s="29" t="s">
        <v>39</v>
      </c>
      <c r="K709" s="29" t="s">
        <v>1349</v>
      </c>
      <c r="L709" s="29" t="s">
        <v>945</v>
      </c>
      <c r="M709" s="29" t="s">
        <v>652</v>
      </c>
      <c r="N709" s="29" t="s">
        <v>895</v>
      </c>
      <c r="O709" s="29" t="s">
        <v>129</v>
      </c>
      <c r="P709" s="30" t="s">
        <v>896</v>
      </c>
    </row>
    <row r="710" s="25" customFormat="1" spans="1:16">
      <c r="A710" s="29" t="s">
        <v>1349</v>
      </c>
      <c r="B710" s="29" t="s">
        <v>1348</v>
      </c>
      <c r="C710" s="29" t="s">
        <v>47</v>
      </c>
      <c r="D710" s="29" t="s">
        <v>812</v>
      </c>
      <c r="E710" s="29" t="s">
        <v>35</v>
      </c>
      <c r="F710" s="29" t="s">
        <v>51</v>
      </c>
      <c r="G710" s="29" t="s">
        <v>650</v>
      </c>
      <c r="H710" s="29" t="s">
        <v>149</v>
      </c>
      <c r="I710" s="29" t="s">
        <v>39</v>
      </c>
      <c r="J710" s="29" t="s">
        <v>35</v>
      </c>
      <c r="K710" s="29" t="s">
        <v>1350</v>
      </c>
      <c r="L710" s="29" t="s">
        <v>949</v>
      </c>
      <c r="M710" s="29" t="s">
        <v>652</v>
      </c>
      <c r="N710" s="29" t="s">
        <v>898</v>
      </c>
      <c r="O710" s="29" t="s">
        <v>129</v>
      </c>
      <c r="P710" s="30" t="s">
        <v>899</v>
      </c>
    </row>
    <row r="711" s="25" customFormat="1" spans="1:16">
      <c r="A711" s="29" t="s">
        <v>1350</v>
      </c>
      <c r="B711" s="29" t="s">
        <v>1348</v>
      </c>
      <c r="C711" s="29" t="s">
        <v>47</v>
      </c>
      <c r="D711" s="29" t="s">
        <v>812</v>
      </c>
      <c r="E711" s="29" t="s">
        <v>35</v>
      </c>
      <c r="F711" s="29" t="s">
        <v>51</v>
      </c>
      <c r="G711" s="29" t="s">
        <v>650</v>
      </c>
      <c r="H711" s="29" t="s">
        <v>149</v>
      </c>
      <c r="I711" s="29" t="s">
        <v>39</v>
      </c>
      <c r="J711" s="29" t="s">
        <v>47</v>
      </c>
      <c r="K711" s="29" t="s">
        <v>1351</v>
      </c>
      <c r="L711" s="29" t="s">
        <v>953</v>
      </c>
      <c r="M711" s="29" t="s">
        <v>652</v>
      </c>
      <c r="N711" s="29" t="s">
        <v>898</v>
      </c>
      <c r="O711" s="29" t="s">
        <v>129</v>
      </c>
      <c r="P711" s="30" t="s">
        <v>901</v>
      </c>
    </row>
    <row r="712" s="25" customFormat="1" spans="1:16">
      <c r="A712" s="29" t="s">
        <v>1351</v>
      </c>
      <c r="B712" s="29" t="s">
        <v>1348</v>
      </c>
      <c r="C712" s="29" t="s">
        <v>47</v>
      </c>
      <c r="D712" s="29" t="s">
        <v>812</v>
      </c>
      <c r="E712" s="29" t="s">
        <v>35</v>
      </c>
      <c r="F712" s="29" t="s">
        <v>51</v>
      </c>
      <c r="G712" s="29" t="s">
        <v>650</v>
      </c>
      <c r="H712" s="29" t="s">
        <v>149</v>
      </c>
      <c r="I712" s="29" t="s">
        <v>39</v>
      </c>
      <c r="J712" s="29" t="s">
        <v>51</v>
      </c>
      <c r="K712" s="29" t="s">
        <v>1352</v>
      </c>
      <c r="L712" s="29" t="s">
        <v>956</v>
      </c>
      <c r="M712" s="29" t="s">
        <v>652</v>
      </c>
      <c r="N712" s="29" t="s">
        <v>898</v>
      </c>
      <c r="O712" s="29" t="s">
        <v>129</v>
      </c>
      <c r="P712" s="30" t="s">
        <v>903</v>
      </c>
    </row>
    <row r="713" s="25" customFormat="1" spans="1:16">
      <c r="A713" s="29" t="s">
        <v>1352</v>
      </c>
      <c r="B713" s="29" t="s">
        <v>1348</v>
      </c>
      <c r="C713" s="29" t="s">
        <v>47</v>
      </c>
      <c r="D713" s="29" t="s">
        <v>812</v>
      </c>
      <c r="E713" s="29" t="s">
        <v>35</v>
      </c>
      <c r="F713" s="29" t="s">
        <v>51</v>
      </c>
      <c r="G713" s="29" t="s">
        <v>650</v>
      </c>
      <c r="H713" s="29" t="s">
        <v>149</v>
      </c>
      <c r="I713" s="29" t="s">
        <v>39</v>
      </c>
      <c r="J713" s="29" t="s">
        <v>55</v>
      </c>
      <c r="K713" s="29" t="s">
        <v>1353</v>
      </c>
      <c r="L713" s="29" t="s">
        <v>959</v>
      </c>
      <c r="M713" s="29" t="s">
        <v>652</v>
      </c>
      <c r="N713" s="29" t="s">
        <v>898</v>
      </c>
      <c r="O713" s="29" t="s">
        <v>129</v>
      </c>
      <c r="P713" s="30" t="s">
        <v>905</v>
      </c>
    </row>
    <row r="714" s="25" customFormat="1" spans="1:16">
      <c r="A714" s="29" t="s">
        <v>1353</v>
      </c>
      <c r="B714" s="29" t="s">
        <v>1348</v>
      </c>
      <c r="C714" s="29" t="s">
        <v>47</v>
      </c>
      <c r="D714" s="29" t="s">
        <v>812</v>
      </c>
      <c r="E714" s="29" t="s">
        <v>35</v>
      </c>
      <c r="F714" s="29" t="s">
        <v>51</v>
      </c>
      <c r="G714" s="29" t="s">
        <v>650</v>
      </c>
      <c r="H714" s="29" t="s">
        <v>149</v>
      </c>
      <c r="I714" s="29" t="s">
        <v>39</v>
      </c>
      <c r="J714" s="29" t="s">
        <v>59</v>
      </c>
      <c r="K714" s="29" t="s">
        <v>1354</v>
      </c>
      <c r="L714" s="29" t="s">
        <v>962</v>
      </c>
      <c r="M714" s="29" t="s">
        <v>652</v>
      </c>
      <c r="N714" s="29" t="s">
        <v>898</v>
      </c>
      <c r="O714" s="29" t="s">
        <v>129</v>
      </c>
      <c r="P714" s="30" t="s">
        <v>907</v>
      </c>
    </row>
    <row r="715" s="25" customFormat="1" spans="1:16">
      <c r="A715" s="29" t="s">
        <v>1354</v>
      </c>
      <c r="B715" s="29" t="s">
        <v>1348</v>
      </c>
      <c r="C715" s="29" t="s">
        <v>47</v>
      </c>
      <c r="D715" s="29" t="s">
        <v>812</v>
      </c>
      <c r="E715" s="29" t="s">
        <v>35</v>
      </c>
      <c r="F715" s="29" t="s">
        <v>51</v>
      </c>
      <c r="G715" s="29" t="s">
        <v>650</v>
      </c>
      <c r="H715" s="29" t="s">
        <v>149</v>
      </c>
      <c r="I715" s="29" t="s">
        <v>39</v>
      </c>
      <c r="J715" s="29" t="s">
        <v>129</v>
      </c>
      <c r="K715" s="29" t="s">
        <v>1355</v>
      </c>
      <c r="L715" s="29" t="s">
        <v>965</v>
      </c>
      <c r="M715" s="29" t="s">
        <v>652</v>
      </c>
      <c r="N715" s="29" t="s">
        <v>898</v>
      </c>
      <c r="O715" s="29" t="s">
        <v>129</v>
      </c>
      <c r="P715" s="30" t="s">
        <v>909</v>
      </c>
    </row>
    <row r="716" s="25" customFormat="1" spans="1:16">
      <c r="A716" s="29" t="s">
        <v>1355</v>
      </c>
      <c r="B716" s="29" t="s">
        <v>1348</v>
      </c>
      <c r="C716" s="29" t="s">
        <v>47</v>
      </c>
      <c r="D716" s="29" t="s">
        <v>812</v>
      </c>
      <c r="E716" s="29" t="s">
        <v>35</v>
      </c>
      <c r="F716" s="29" t="s">
        <v>51</v>
      </c>
      <c r="G716" s="29" t="s">
        <v>650</v>
      </c>
      <c r="H716" s="29" t="s">
        <v>149</v>
      </c>
      <c r="I716" s="29" t="s">
        <v>39</v>
      </c>
      <c r="J716" s="29" t="s">
        <v>133</v>
      </c>
      <c r="K716" s="29" t="s">
        <v>1356</v>
      </c>
      <c r="L716" s="29" t="s">
        <v>968</v>
      </c>
      <c r="M716" s="29" t="s">
        <v>652</v>
      </c>
      <c r="N716" s="29" t="s">
        <v>898</v>
      </c>
      <c r="O716" s="29" t="s">
        <v>129</v>
      </c>
      <c r="P716" s="30" t="s">
        <v>911</v>
      </c>
    </row>
    <row r="717" s="25" customFormat="1" spans="1:16">
      <c r="A717" s="29" t="s">
        <v>1356</v>
      </c>
      <c r="B717" s="29" t="s">
        <v>1348</v>
      </c>
      <c r="C717" s="29" t="s">
        <v>47</v>
      </c>
      <c r="D717" s="29" t="s">
        <v>812</v>
      </c>
      <c r="E717" s="29" t="s">
        <v>35</v>
      </c>
      <c r="F717" s="29" t="s">
        <v>51</v>
      </c>
      <c r="G717" s="29" t="s">
        <v>650</v>
      </c>
      <c r="H717" s="29" t="s">
        <v>149</v>
      </c>
      <c r="I717" s="29" t="s">
        <v>39</v>
      </c>
      <c r="J717" s="29" t="s">
        <v>137</v>
      </c>
      <c r="K717" s="29" t="s">
        <v>1357</v>
      </c>
      <c r="L717" s="29" t="s">
        <v>971</v>
      </c>
      <c r="M717" s="29" t="s">
        <v>652</v>
      </c>
      <c r="N717" s="29" t="s">
        <v>898</v>
      </c>
      <c r="O717" s="29" t="s">
        <v>129</v>
      </c>
      <c r="P717" s="30" t="s">
        <v>913</v>
      </c>
    </row>
    <row r="718" s="25" customFormat="1" spans="1:16">
      <c r="A718" s="29" t="s">
        <v>1357</v>
      </c>
      <c r="B718" s="29" t="s">
        <v>1348</v>
      </c>
      <c r="C718" s="29" t="s">
        <v>47</v>
      </c>
      <c r="D718" s="29" t="s">
        <v>812</v>
      </c>
      <c r="E718" s="29" t="s">
        <v>35</v>
      </c>
      <c r="F718" s="29" t="s">
        <v>51</v>
      </c>
      <c r="G718" s="29" t="s">
        <v>650</v>
      </c>
      <c r="H718" s="29" t="s">
        <v>149</v>
      </c>
      <c r="I718" s="29" t="s">
        <v>39</v>
      </c>
      <c r="J718" s="29" t="s">
        <v>141</v>
      </c>
      <c r="K718" s="29" t="s">
        <v>1358</v>
      </c>
      <c r="L718" s="29" t="s">
        <v>974</v>
      </c>
      <c r="M718" s="29" t="s">
        <v>652</v>
      </c>
      <c r="N718" s="29" t="s">
        <v>898</v>
      </c>
      <c r="O718" s="29" t="s">
        <v>129</v>
      </c>
      <c r="P718" s="30" t="s">
        <v>915</v>
      </c>
    </row>
    <row r="719" s="25" customFormat="1" spans="1:16">
      <c r="A719" s="29" t="s">
        <v>1358</v>
      </c>
      <c r="B719" s="29" t="s">
        <v>1348</v>
      </c>
      <c r="C719" s="29" t="s">
        <v>47</v>
      </c>
      <c r="D719" s="29" t="s">
        <v>812</v>
      </c>
      <c r="E719" s="29" t="s">
        <v>35</v>
      </c>
      <c r="F719" s="29" t="s">
        <v>51</v>
      </c>
      <c r="G719" s="29" t="s">
        <v>650</v>
      </c>
      <c r="H719" s="29" t="s">
        <v>149</v>
      </c>
      <c r="I719" s="29" t="s">
        <v>39</v>
      </c>
      <c r="J719" s="29" t="s">
        <v>145</v>
      </c>
      <c r="K719" s="29" t="s">
        <v>1359</v>
      </c>
      <c r="L719" s="29" t="s">
        <v>976</v>
      </c>
      <c r="M719" s="29" t="s">
        <v>652</v>
      </c>
      <c r="N719" s="29" t="s">
        <v>898</v>
      </c>
      <c r="O719" s="29" t="s">
        <v>129</v>
      </c>
      <c r="P719" s="30" t="s">
        <v>916</v>
      </c>
    </row>
    <row r="720" s="25" customFormat="1" spans="1:16">
      <c r="A720" s="29" t="s">
        <v>1359</v>
      </c>
      <c r="B720" s="29" t="s">
        <v>1348</v>
      </c>
      <c r="C720" s="29" t="s">
        <v>47</v>
      </c>
      <c r="D720" s="29" t="s">
        <v>812</v>
      </c>
      <c r="E720" s="29" t="s">
        <v>35</v>
      </c>
      <c r="F720" s="29" t="s">
        <v>51</v>
      </c>
      <c r="G720" s="29" t="s">
        <v>650</v>
      </c>
      <c r="H720" s="29" t="s">
        <v>149</v>
      </c>
      <c r="I720" s="29" t="s">
        <v>39</v>
      </c>
      <c r="J720" s="29" t="s">
        <v>408</v>
      </c>
      <c r="K720" s="29" t="s">
        <v>1360</v>
      </c>
      <c r="L720" s="29" t="s">
        <v>1239</v>
      </c>
      <c r="M720" s="29" t="s">
        <v>652</v>
      </c>
      <c r="N720" s="29" t="s">
        <v>898</v>
      </c>
      <c r="O720" s="29" t="s">
        <v>129</v>
      </c>
      <c r="P720" s="30" t="s">
        <v>1164</v>
      </c>
    </row>
    <row r="721" s="25" customFormat="1" spans="1:16">
      <c r="A721" s="29" t="s">
        <v>1360</v>
      </c>
      <c r="B721" s="29" t="s">
        <v>1348</v>
      </c>
      <c r="C721" s="29" t="s">
        <v>47</v>
      </c>
      <c r="D721" s="29" t="s">
        <v>812</v>
      </c>
      <c r="E721" s="29" t="s">
        <v>35</v>
      </c>
      <c r="F721" s="29" t="s">
        <v>51</v>
      </c>
      <c r="G721" s="29" t="s">
        <v>650</v>
      </c>
      <c r="H721" s="29" t="s">
        <v>149</v>
      </c>
      <c r="I721" s="29" t="s">
        <v>39</v>
      </c>
      <c r="J721" s="29" t="s">
        <v>412</v>
      </c>
      <c r="K721" s="29" t="s">
        <v>1361</v>
      </c>
      <c r="L721" s="29" t="s">
        <v>1242</v>
      </c>
      <c r="M721" s="29" t="s">
        <v>652</v>
      </c>
      <c r="N721" s="29" t="s">
        <v>898</v>
      </c>
      <c r="O721" s="29" t="s">
        <v>129</v>
      </c>
      <c r="P721" s="30" t="s">
        <v>1166</v>
      </c>
    </row>
    <row r="722" s="25" customFormat="1" spans="1:16">
      <c r="A722" s="29" t="s">
        <v>1361</v>
      </c>
      <c r="B722" s="29" t="s">
        <v>1348</v>
      </c>
      <c r="C722" s="29" t="s">
        <v>47</v>
      </c>
      <c r="D722" s="29" t="s">
        <v>812</v>
      </c>
      <c r="E722" s="29" t="s">
        <v>35</v>
      </c>
      <c r="F722" s="29" t="s">
        <v>51</v>
      </c>
      <c r="G722" s="29" t="s">
        <v>650</v>
      </c>
      <c r="H722" s="29" t="s">
        <v>149</v>
      </c>
      <c r="I722" s="29" t="s">
        <v>39</v>
      </c>
      <c r="J722" s="29" t="s">
        <v>416</v>
      </c>
      <c r="K722" s="29" t="s">
        <v>1362</v>
      </c>
      <c r="L722" s="29" t="s">
        <v>1269</v>
      </c>
      <c r="M722" s="29" t="s">
        <v>652</v>
      </c>
      <c r="N722" s="29" t="s">
        <v>898</v>
      </c>
      <c r="O722" s="29" t="s">
        <v>129</v>
      </c>
      <c r="P722" s="30" t="s">
        <v>1168</v>
      </c>
    </row>
    <row r="723" s="25" customFormat="1" spans="1:16">
      <c r="A723" s="29" t="s">
        <v>1362</v>
      </c>
      <c r="B723" s="29" t="s">
        <v>1348</v>
      </c>
      <c r="C723" s="29" t="s">
        <v>47</v>
      </c>
      <c r="D723" s="29" t="s">
        <v>812</v>
      </c>
      <c r="E723" s="29" t="s">
        <v>35</v>
      </c>
      <c r="F723" s="29" t="s">
        <v>51</v>
      </c>
      <c r="G723" s="29" t="s">
        <v>650</v>
      </c>
      <c r="H723" s="29" t="s">
        <v>149</v>
      </c>
      <c r="I723" s="29" t="s">
        <v>39</v>
      </c>
      <c r="J723" s="29" t="s">
        <v>420</v>
      </c>
      <c r="K723" s="29" t="s">
        <v>1363</v>
      </c>
      <c r="L723" s="29" t="s">
        <v>1272</v>
      </c>
      <c r="M723" s="29" t="s">
        <v>652</v>
      </c>
      <c r="N723" s="29" t="s">
        <v>898</v>
      </c>
      <c r="O723" s="29" t="s">
        <v>129</v>
      </c>
      <c r="P723" s="30" t="s">
        <v>1170</v>
      </c>
    </row>
    <row r="724" s="25" customFormat="1" spans="1:16">
      <c r="A724" s="29" t="s">
        <v>1363</v>
      </c>
      <c r="B724" s="29" t="s">
        <v>1348</v>
      </c>
      <c r="C724" s="29" t="s">
        <v>47</v>
      </c>
      <c r="D724" s="29" t="s">
        <v>812</v>
      </c>
      <c r="E724" s="29" t="s">
        <v>35</v>
      </c>
      <c r="F724" s="29" t="s">
        <v>51</v>
      </c>
      <c r="G724" s="29" t="s">
        <v>650</v>
      </c>
      <c r="H724" s="29" t="s">
        <v>149</v>
      </c>
      <c r="I724" s="29" t="s">
        <v>39</v>
      </c>
      <c r="J724" s="29" t="s">
        <v>424</v>
      </c>
      <c r="K724" s="29" t="s">
        <v>1364</v>
      </c>
      <c r="L724" s="29" t="s">
        <v>1334</v>
      </c>
      <c r="M724" s="29" t="s">
        <v>652</v>
      </c>
      <c r="N724" s="29" t="s">
        <v>898</v>
      </c>
      <c r="O724" s="29" t="s">
        <v>129</v>
      </c>
      <c r="P724" s="30" t="s">
        <v>1171</v>
      </c>
    </row>
    <row r="725" s="25" customFormat="1" spans="1:16">
      <c r="A725" s="29" t="s">
        <v>1364</v>
      </c>
      <c r="B725" s="29" t="s">
        <v>1348</v>
      </c>
      <c r="C725" s="29" t="s">
        <v>47</v>
      </c>
      <c r="D725" s="29" t="s">
        <v>812</v>
      </c>
      <c r="E725" s="29" t="s">
        <v>35</v>
      </c>
      <c r="F725" s="29" t="s">
        <v>51</v>
      </c>
      <c r="G725" s="29" t="s">
        <v>650</v>
      </c>
      <c r="H725" s="29" t="s">
        <v>149</v>
      </c>
      <c r="I725" s="29" t="s">
        <v>39</v>
      </c>
      <c r="J725" s="29" t="s">
        <v>631</v>
      </c>
      <c r="K725" s="29" t="s">
        <v>1365</v>
      </c>
      <c r="L725" s="29" t="s">
        <v>1336</v>
      </c>
      <c r="M725" s="29" t="s">
        <v>652</v>
      </c>
      <c r="N725" s="29" t="s">
        <v>898</v>
      </c>
      <c r="O725" s="29" t="s">
        <v>129</v>
      </c>
      <c r="P725" s="30" t="s">
        <v>1366</v>
      </c>
    </row>
    <row r="726" s="25" customFormat="1" spans="1:16">
      <c r="A726" s="29" t="s">
        <v>1365</v>
      </c>
      <c r="B726" s="29" t="s">
        <v>1348</v>
      </c>
      <c r="C726" s="29" t="s">
        <v>47</v>
      </c>
      <c r="D726" s="29" t="s">
        <v>812</v>
      </c>
      <c r="E726" s="29" t="s">
        <v>35</v>
      </c>
      <c r="F726" s="29" t="s">
        <v>51</v>
      </c>
      <c r="G726" s="29" t="s">
        <v>650</v>
      </c>
      <c r="H726" s="29" t="s">
        <v>149</v>
      </c>
      <c r="I726" s="29" t="s">
        <v>39</v>
      </c>
      <c r="J726" s="29" t="s">
        <v>635</v>
      </c>
      <c r="K726" s="29" t="s">
        <v>1367</v>
      </c>
      <c r="L726" s="29" t="s">
        <v>1339</v>
      </c>
      <c r="M726" s="29" t="s">
        <v>652</v>
      </c>
      <c r="N726" s="29" t="s">
        <v>898</v>
      </c>
      <c r="O726" s="29" t="s">
        <v>129</v>
      </c>
      <c r="P726" s="30" t="s">
        <v>1368</v>
      </c>
    </row>
    <row r="727" s="25" customFormat="1" spans="1:16">
      <c r="A727" s="29" t="s">
        <v>1367</v>
      </c>
      <c r="B727" s="29" t="s">
        <v>1348</v>
      </c>
      <c r="C727" s="29" t="s">
        <v>47</v>
      </c>
      <c r="D727" s="29" t="s">
        <v>812</v>
      </c>
      <c r="E727" s="29" t="s">
        <v>35</v>
      </c>
      <c r="F727" s="29" t="s">
        <v>51</v>
      </c>
      <c r="G727" s="29" t="s">
        <v>650</v>
      </c>
      <c r="H727" s="29" t="s">
        <v>149</v>
      </c>
      <c r="I727" s="29" t="s">
        <v>39</v>
      </c>
      <c r="J727" s="29" t="s">
        <v>639</v>
      </c>
      <c r="K727" s="29" t="s">
        <v>1369</v>
      </c>
      <c r="L727" s="29" t="s">
        <v>1342</v>
      </c>
      <c r="M727" s="29" t="s">
        <v>652</v>
      </c>
      <c r="N727" s="29" t="s">
        <v>898</v>
      </c>
      <c r="O727" s="29" t="s">
        <v>129</v>
      </c>
      <c r="P727" s="30" t="s">
        <v>1370</v>
      </c>
    </row>
    <row r="728" s="25" customFormat="1" spans="1:16">
      <c r="A728" s="29" t="s">
        <v>1369</v>
      </c>
      <c r="B728" s="29" t="s">
        <v>1348</v>
      </c>
      <c r="C728" s="29" t="s">
        <v>47</v>
      </c>
      <c r="D728" s="29" t="s">
        <v>812</v>
      </c>
      <c r="E728" s="29" t="s">
        <v>35</v>
      </c>
      <c r="F728" s="29" t="s">
        <v>51</v>
      </c>
      <c r="G728" s="29" t="s">
        <v>650</v>
      </c>
      <c r="H728" s="29" t="s">
        <v>149</v>
      </c>
      <c r="I728" s="29" t="s">
        <v>39</v>
      </c>
      <c r="J728" s="29" t="s">
        <v>643</v>
      </c>
      <c r="K728" s="29" t="s">
        <v>1371</v>
      </c>
      <c r="L728" s="29" t="s">
        <v>1345</v>
      </c>
      <c r="M728" s="29" t="s">
        <v>652</v>
      </c>
      <c r="N728" s="29" t="s">
        <v>898</v>
      </c>
      <c r="O728" s="29" t="s">
        <v>129</v>
      </c>
      <c r="P728" s="30" t="s">
        <v>1372</v>
      </c>
    </row>
    <row r="729" s="25" customFormat="1" spans="1:16">
      <c r="A729" s="29" t="s">
        <v>1371</v>
      </c>
      <c r="B729" s="29" t="s">
        <v>1348</v>
      </c>
      <c r="C729" s="29" t="s">
        <v>47</v>
      </c>
      <c r="D729" s="29" t="s">
        <v>812</v>
      </c>
      <c r="E729" s="29" t="s">
        <v>35</v>
      </c>
      <c r="F729" s="29" t="s">
        <v>51</v>
      </c>
      <c r="G729" s="29" t="s">
        <v>650</v>
      </c>
      <c r="H729" s="29" t="s">
        <v>149</v>
      </c>
      <c r="I729" s="29" t="s">
        <v>39</v>
      </c>
      <c r="J729" s="29" t="s">
        <v>647</v>
      </c>
      <c r="K729" s="29" t="s">
        <v>39</v>
      </c>
      <c r="L729" s="29" t="s">
        <v>39</v>
      </c>
      <c r="M729" s="29" t="s">
        <v>39</v>
      </c>
      <c r="N729" s="29" t="s">
        <v>898</v>
      </c>
      <c r="O729" s="29" t="s">
        <v>129</v>
      </c>
      <c r="P729" s="30" t="s">
        <v>1373</v>
      </c>
    </row>
    <row r="730" s="25" customFormat="1" spans="1:16">
      <c r="A730" s="29" t="s">
        <v>1374</v>
      </c>
      <c r="B730" s="29" t="s">
        <v>1374</v>
      </c>
      <c r="C730" s="29" t="s">
        <v>47</v>
      </c>
      <c r="D730" s="29" t="s">
        <v>812</v>
      </c>
      <c r="E730" s="29" t="s">
        <v>35</v>
      </c>
      <c r="F730" s="29" t="s">
        <v>51</v>
      </c>
      <c r="G730" s="29" t="s">
        <v>678</v>
      </c>
      <c r="H730" s="29" t="s">
        <v>176</v>
      </c>
      <c r="I730" s="29" t="s">
        <v>39</v>
      </c>
      <c r="J730" s="29" t="s">
        <v>39</v>
      </c>
      <c r="K730" s="29" t="s">
        <v>1375</v>
      </c>
      <c r="L730" s="29" t="s">
        <v>945</v>
      </c>
      <c r="M730" s="29" t="s">
        <v>680</v>
      </c>
      <c r="N730" s="29" t="s">
        <v>1125</v>
      </c>
      <c r="O730" s="29" t="s">
        <v>133</v>
      </c>
      <c r="P730" s="30" t="s">
        <v>920</v>
      </c>
    </row>
    <row r="731" s="25" customFormat="1" spans="1:16">
      <c r="A731" s="29" t="s">
        <v>1375</v>
      </c>
      <c r="B731" s="29" t="s">
        <v>1374</v>
      </c>
      <c r="C731" s="29" t="s">
        <v>47</v>
      </c>
      <c r="D731" s="29" t="s">
        <v>812</v>
      </c>
      <c r="E731" s="29" t="s">
        <v>35</v>
      </c>
      <c r="F731" s="29" t="s">
        <v>51</v>
      </c>
      <c r="G731" s="29" t="s">
        <v>678</v>
      </c>
      <c r="H731" s="29" t="s">
        <v>176</v>
      </c>
      <c r="I731" s="29" t="s">
        <v>39</v>
      </c>
      <c r="J731" s="29" t="s">
        <v>35</v>
      </c>
      <c r="K731" s="29" t="s">
        <v>1376</v>
      </c>
      <c r="L731" s="29" t="s">
        <v>949</v>
      </c>
      <c r="M731" s="29" t="s">
        <v>680</v>
      </c>
      <c r="N731" s="29" t="s">
        <v>1127</v>
      </c>
      <c r="O731" s="29" t="s">
        <v>133</v>
      </c>
      <c r="P731" s="30" t="s">
        <v>923</v>
      </c>
    </row>
    <row r="732" s="25" customFormat="1" spans="1:16">
      <c r="A732" s="29" t="s">
        <v>1376</v>
      </c>
      <c r="B732" s="29" t="s">
        <v>1374</v>
      </c>
      <c r="C732" s="29" t="s">
        <v>47</v>
      </c>
      <c r="D732" s="29" t="s">
        <v>812</v>
      </c>
      <c r="E732" s="29" t="s">
        <v>35</v>
      </c>
      <c r="F732" s="29" t="s">
        <v>51</v>
      </c>
      <c r="G732" s="29" t="s">
        <v>678</v>
      </c>
      <c r="H732" s="29" t="s">
        <v>176</v>
      </c>
      <c r="I732" s="29" t="s">
        <v>39</v>
      </c>
      <c r="J732" s="29" t="s">
        <v>47</v>
      </c>
      <c r="K732" s="29" t="s">
        <v>1377</v>
      </c>
      <c r="L732" s="29" t="s">
        <v>953</v>
      </c>
      <c r="M732" s="29" t="s">
        <v>680</v>
      </c>
      <c r="N732" s="29" t="s">
        <v>1127</v>
      </c>
      <c r="O732" s="29" t="s">
        <v>133</v>
      </c>
      <c r="P732" s="30" t="s">
        <v>925</v>
      </c>
    </row>
    <row r="733" s="25" customFormat="1" spans="1:16">
      <c r="A733" s="29" t="s">
        <v>1377</v>
      </c>
      <c r="B733" s="29" t="s">
        <v>1374</v>
      </c>
      <c r="C733" s="29" t="s">
        <v>47</v>
      </c>
      <c r="D733" s="29" t="s">
        <v>812</v>
      </c>
      <c r="E733" s="29" t="s">
        <v>35</v>
      </c>
      <c r="F733" s="29" t="s">
        <v>51</v>
      </c>
      <c r="G733" s="29" t="s">
        <v>678</v>
      </c>
      <c r="H733" s="29" t="s">
        <v>176</v>
      </c>
      <c r="I733" s="29" t="s">
        <v>39</v>
      </c>
      <c r="J733" s="29" t="s">
        <v>51</v>
      </c>
      <c r="K733" s="29" t="s">
        <v>1378</v>
      </c>
      <c r="L733" s="29" t="s">
        <v>956</v>
      </c>
      <c r="M733" s="29" t="s">
        <v>680</v>
      </c>
      <c r="N733" s="29" t="s">
        <v>1127</v>
      </c>
      <c r="O733" s="29" t="s">
        <v>133</v>
      </c>
      <c r="P733" s="30" t="s">
        <v>927</v>
      </c>
    </row>
    <row r="734" s="25" customFormat="1" spans="1:16">
      <c r="A734" s="29" t="s">
        <v>1378</v>
      </c>
      <c r="B734" s="29" t="s">
        <v>1374</v>
      </c>
      <c r="C734" s="29" t="s">
        <v>47</v>
      </c>
      <c r="D734" s="29" t="s">
        <v>812</v>
      </c>
      <c r="E734" s="29" t="s">
        <v>35</v>
      </c>
      <c r="F734" s="29" t="s">
        <v>51</v>
      </c>
      <c r="G734" s="29" t="s">
        <v>678</v>
      </c>
      <c r="H734" s="29" t="s">
        <v>176</v>
      </c>
      <c r="I734" s="29" t="s">
        <v>39</v>
      </c>
      <c r="J734" s="29" t="s">
        <v>55</v>
      </c>
      <c r="K734" s="29" t="s">
        <v>1379</v>
      </c>
      <c r="L734" s="29" t="s">
        <v>959</v>
      </c>
      <c r="M734" s="29" t="s">
        <v>680</v>
      </c>
      <c r="N734" s="29" t="s">
        <v>1127</v>
      </c>
      <c r="O734" s="29" t="s">
        <v>133</v>
      </c>
      <c r="P734" s="30" t="s">
        <v>929</v>
      </c>
    </row>
    <row r="735" s="25" customFormat="1" spans="1:16">
      <c r="A735" s="29" t="s">
        <v>1379</v>
      </c>
      <c r="B735" s="29" t="s">
        <v>1374</v>
      </c>
      <c r="C735" s="29" t="s">
        <v>47</v>
      </c>
      <c r="D735" s="29" t="s">
        <v>812</v>
      </c>
      <c r="E735" s="29" t="s">
        <v>35</v>
      </c>
      <c r="F735" s="29" t="s">
        <v>51</v>
      </c>
      <c r="G735" s="29" t="s">
        <v>678</v>
      </c>
      <c r="H735" s="29" t="s">
        <v>176</v>
      </c>
      <c r="I735" s="29" t="s">
        <v>39</v>
      </c>
      <c r="J735" s="29" t="s">
        <v>59</v>
      </c>
      <c r="K735" s="29" t="s">
        <v>1380</v>
      </c>
      <c r="L735" s="29" t="s">
        <v>962</v>
      </c>
      <c r="M735" s="29" t="s">
        <v>680</v>
      </c>
      <c r="N735" s="29" t="s">
        <v>1127</v>
      </c>
      <c r="O735" s="29" t="s">
        <v>133</v>
      </c>
      <c r="P735" s="30" t="s">
        <v>931</v>
      </c>
    </row>
    <row r="736" s="25" customFormat="1" spans="1:16">
      <c r="A736" s="29" t="s">
        <v>1380</v>
      </c>
      <c r="B736" s="29" t="s">
        <v>1374</v>
      </c>
      <c r="C736" s="29" t="s">
        <v>47</v>
      </c>
      <c r="D736" s="29" t="s">
        <v>812</v>
      </c>
      <c r="E736" s="29" t="s">
        <v>35</v>
      </c>
      <c r="F736" s="29" t="s">
        <v>51</v>
      </c>
      <c r="G736" s="29" t="s">
        <v>678</v>
      </c>
      <c r="H736" s="29" t="s">
        <v>176</v>
      </c>
      <c r="I736" s="29" t="s">
        <v>39</v>
      </c>
      <c r="J736" s="29" t="s">
        <v>129</v>
      </c>
      <c r="K736" s="29" t="s">
        <v>1381</v>
      </c>
      <c r="L736" s="29" t="s">
        <v>965</v>
      </c>
      <c r="M736" s="29" t="s">
        <v>680</v>
      </c>
      <c r="N736" s="29" t="s">
        <v>1127</v>
      </c>
      <c r="O736" s="29" t="s">
        <v>133</v>
      </c>
      <c r="P736" s="30" t="s">
        <v>933</v>
      </c>
    </row>
    <row r="737" s="25" customFormat="1" spans="1:16">
      <c r="A737" s="29" t="s">
        <v>1381</v>
      </c>
      <c r="B737" s="29" t="s">
        <v>1374</v>
      </c>
      <c r="C737" s="29" t="s">
        <v>47</v>
      </c>
      <c r="D737" s="29" t="s">
        <v>812</v>
      </c>
      <c r="E737" s="29" t="s">
        <v>35</v>
      </c>
      <c r="F737" s="29" t="s">
        <v>51</v>
      </c>
      <c r="G737" s="29" t="s">
        <v>678</v>
      </c>
      <c r="H737" s="29" t="s">
        <v>176</v>
      </c>
      <c r="I737" s="29" t="s">
        <v>39</v>
      </c>
      <c r="J737" s="29" t="s">
        <v>133</v>
      </c>
      <c r="K737" s="29" t="s">
        <v>1382</v>
      </c>
      <c r="L737" s="29" t="s">
        <v>968</v>
      </c>
      <c r="M737" s="29" t="s">
        <v>680</v>
      </c>
      <c r="N737" s="29" t="s">
        <v>1127</v>
      </c>
      <c r="O737" s="29" t="s">
        <v>133</v>
      </c>
      <c r="P737" s="30" t="s">
        <v>935</v>
      </c>
    </row>
    <row r="738" s="25" customFormat="1" spans="1:16">
      <c r="A738" s="29" t="s">
        <v>1382</v>
      </c>
      <c r="B738" s="29" t="s">
        <v>1374</v>
      </c>
      <c r="C738" s="29" t="s">
        <v>47</v>
      </c>
      <c r="D738" s="29" t="s">
        <v>812</v>
      </c>
      <c r="E738" s="29" t="s">
        <v>35</v>
      </c>
      <c r="F738" s="29" t="s">
        <v>51</v>
      </c>
      <c r="G738" s="29" t="s">
        <v>678</v>
      </c>
      <c r="H738" s="29" t="s">
        <v>176</v>
      </c>
      <c r="I738" s="29" t="s">
        <v>39</v>
      </c>
      <c r="J738" s="29" t="s">
        <v>137</v>
      </c>
      <c r="K738" s="29" t="s">
        <v>1383</v>
      </c>
      <c r="L738" s="29" t="s">
        <v>971</v>
      </c>
      <c r="M738" s="29" t="s">
        <v>680</v>
      </c>
      <c r="N738" s="29" t="s">
        <v>1127</v>
      </c>
      <c r="O738" s="29" t="s">
        <v>133</v>
      </c>
      <c r="P738" s="30" t="s">
        <v>937</v>
      </c>
    </row>
    <row r="739" s="25" customFormat="1" spans="1:16">
      <c r="A739" s="29" t="s">
        <v>1383</v>
      </c>
      <c r="B739" s="29" t="s">
        <v>1374</v>
      </c>
      <c r="C739" s="29" t="s">
        <v>47</v>
      </c>
      <c r="D739" s="29" t="s">
        <v>812</v>
      </c>
      <c r="E739" s="29" t="s">
        <v>35</v>
      </c>
      <c r="F739" s="29" t="s">
        <v>51</v>
      </c>
      <c r="G739" s="29" t="s">
        <v>678</v>
      </c>
      <c r="H739" s="29" t="s">
        <v>176</v>
      </c>
      <c r="I739" s="29" t="s">
        <v>39</v>
      </c>
      <c r="J739" s="29" t="s">
        <v>141</v>
      </c>
      <c r="K739" s="29" t="s">
        <v>1384</v>
      </c>
      <c r="L739" s="29" t="s">
        <v>974</v>
      </c>
      <c r="M739" s="29" t="s">
        <v>680</v>
      </c>
      <c r="N739" s="29" t="s">
        <v>1127</v>
      </c>
      <c r="O739" s="29" t="s">
        <v>133</v>
      </c>
      <c r="P739" s="30" t="s">
        <v>939</v>
      </c>
    </row>
    <row r="740" s="25" customFormat="1" spans="1:16">
      <c r="A740" s="29" t="s">
        <v>1384</v>
      </c>
      <c r="B740" s="29" t="s">
        <v>1374</v>
      </c>
      <c r="C740" s="29" t="s">
        <v>47</v>
      </c>
      <c r="D740" s="29" t="s">
        <v>812</v>
      </c>
      <c r="E740" s="29" t="s">
        <v>35</v>
      </c>
      <c r="F740" s="29" t="s">
        <v>51</v>
      </c>
      <c r="G740" s="29" t="s">
        <v>678</v>
      </c>
      <c r="H740" s="29" t="s">
        <v>176</v>
      </c>
      <c r="I740" s="29" t="s">
        <v>39</v>
      </c>
      <c r="J740" s="29" t="s">
        <v>145</v>
      </c>
      <c r="K740" s="29" t="s">
        <v>1385</v>
      </c>
      <c r="L740" s="29" t="s">
        <v>976</v>
      </c>
      <c r="M740" s="29" t="s">
        <v>680</v>
      </c>
      <c r="N740" s="29" t="s">
        <v>1127</v>
      </c>
      <c r="O740" s="29" t="s">
        <v>133</v>
      </c>
      <c r="P740" s="30" t="s">
        <v>940</v>
      </c>
    </row>
    <row r="741" s="25" customFormat="1" spans="1:16">
      <c r="A741" s="29" t="s">
        <v>1385</v>
      </c>
      <c r="B741" s="29" t="s">
        <v>1374</v>
      </c>
      <c r="C741" s="29" t="s">
        <v>47</v>
      </c>
      <c r="D741" s="29" t="s">
        <v>812</v>
      </c>
      <c r="E741" s="29" t="s">
        <v>35</v>
      </c>
      <c r="F741" s="29" t="s">
        <v>51</v>
      </c>
      <c r="G741" s="29" t="s">
        <v>678</v>
      </c>
      <c r="H741" s="29" t="s">
        <v>176</v>
      </c>
      <c r="I741" s="29" t="s">
        <v>39</v>
      </c>
      <c r="J741" s="29" t="s">
        <v>408</v>
      </c>
      <c r="K741" s="29" t="s">
        <v>1386</v>
      </c>
      <c r="L741" s="29" t="s">
        <v>1239</v>
      </c>
      <c r="M741" s="29" t="s">
        <v>680</v>
      </c>
      <c r="N741" s="29" t="s">
        <v>1127</v>
      </c>
      <c r="O741" s="29" t="s">
        <v>133</v>
      </c>
      <c r="P741" s="30" t="s">
        <v>1185</v>
      </c>
    </row>
    <row r="742" s="25" customFormat="1" spans="1:16">
      <c r="A742" s="29" t="s">
        <v>1386</v>
      </c>
      <c r="B742" s="29" t="s">
        <v>1374</v>
      </c>
      <c r="C742" s="29" t="s">
        <v>47</v>
      </c>
      <c r="D742" s="29" t="s">
        <v>812</v>
      </c>
      <c r="E742" s="29" t="s">
        <v>35</v>
      </c>
      <c r="F742" s="29" t="s">
        <v>51</v>
      </c>
      <c r="G742" s="29" t="s">
        <v>678</v>
      </c>
      <c r="H742" s="29" t="s">
        <v>176</v>
      </c>
      <c r="I742" s="29" t="s">
        <v>39</v>
      </c>
      <c r="J742" s="29" t="s">
        <v>412</v>
      </c>
      <c r="K742" s="29" t="s">
        <v>1387</v>
      </c>
      <c r="L742" s="29" t="s">
        <v>1242</v>
      </c>
      <c r="M742" s="29" t="s">
        <v>680</v>
      </c>
      <c r="N742" s="29" t="s">
        <v>1127</v>
      </c>
      <c r="O742" s="29" t="s">
        <v>133</v>
      </c>
      <c r="P742" s="30" t="s">
        <v>1187</v>
      </c>
    </row>
    <row r="743" s="25" customFormat="1" spans="1:16">
      <c r="A743" s="29" t="s">
        <v>1387</v>
      </c>
      <c r="B743" s="29" t="s">
        <v>1374</v>
      </c>
      <c r="C743" s="29" t="s">
        <v>47</v>
      </c>
      <c r="D743" s="29" t="s">
        <v>812</v>
      </c>
      <c r="E743" s="29" t="s">
        <v>35</v>
      </c>
      <c r="F743" s="29" t="s">
        <v>51</v>
      </c>
      <c r="G743" s="29" t="s">
        <v>678</v>
      </c>
      <c r="H743" s="29" t="s">
        <v>176</v>
      </c>
      <c r="I743" s="29" t="s">
        <v>39</v>
      </c>
      <c r="J743" s="29" t="s">
        <v>416</v>
      </c>
      <c r="K743" s="29" t="s">
        <v>1388</v>
      </c>
      <c r="L743" s="29" t="s">
        <v>1269</v>
      </c>
      <c r="M743" s="29" t="s">
        <v>680</v>
      </c>
      <c r="N743" s="29" t="s">
        <v>1127</v>
      </c>
      <c r="O743" s="29" t="s">
        <v>133</v>
      </c>
      <c r="P743" s="30" t="s">
        <v>1189</v>
      </c>
    </row>
    <row r="744" s="25" customFormat="1" spans="1:16">
      <c r="A744" s="29" t="s">
        <v>1388</v>
      </c>
      <c r="B744" s="29" t="s">
        <v>1374</v>
      </c>
      <c r="C744" s="29" t="s">
        <v>47</v>
      </c>
      <c r="D744" s="29" t="s">
        <v>812</v>
      </c>
      <c r="E744" s="29" t="s">
        <v>35</v>
      </c>
      <c r="F744" s="29" t="s">
        <v>51</v>
      </c>
      <c r="G744" s="29" t="s">
        <v>678</v>
      </c>
      <c r="H744" s="29" t="s">
        <v>176</v>
      </c>
      <c r="I744" s="29" t="s">
        <v>39</v>
      </c>
      <c r="J744" s="29" t="s">
        <v>420</v>
      </c>
      <c r="K744" s="29" t="s">
        <v>1389</v>
      </c>
      <c r="L744" s="29" t="s">
        <v>1272</v>
      </c>
      <c r="M744" s="29" t="s">
        <v>680</v>
      </c>
      <c r="N744" s="29" t="s">
        <v>1127</v>
      </c>
      <c r="O744" s="29" t="s">
        <v>133</v>
      </c>
      <c r="P744" s="30" t="s">
        <v>1191</v>
      </c>
    </row>
    <row r="745" s="25" customFormat="1" spans="1:16">
      <c r="A745" s="29" t="s">
        <v>1389</v>
      </c>
      <c r="B745" s="29" t="s">
        <v>1374</v>
      </c>
      <c r="C745" s="29" t="s">
        <v>47</v>
      </c>
      <c r="D745" s="29" t="s">
        <v>812</v>
      </c>
      <c r="E745" s="29" t="s">
        <v>35</v>
      </c>
      <c r="F745" s="29" t="s">
        <v>51</v>
      </c>
      <c r="G745" s="29" t="s">
        <v>678</v>
      </c>
      <c r="H745" s="29" t="s">
        <v>176</v>
      </c>
      <c r="I745" s="29" t="s">
        <v>39</v>
      </c>
      <c r="J745" s="29" t="s">
        <v>424</v>
      </c>
      <c r="K745" s="29" t="s">
        <v>1390</v>
      </c>
      <c r="L745" s="29" t="s">
        <v>1334</v>
      </c>
      <c r="M745" s="29" t="s">
        <v>680</v>
      </c>
      <c r="N745" s="29" t="s">
        <v>1127</v>
      </c>
      <c r="O745" s="29" t="s">
        <v>133</v>
      </c>
      <c r="P745" s="30" t="s">
        <v>1192</v>
      </c>
    </row>
    <row r="746" s="25" customFormat="1" spans="1:16">
      <c r="A746" s="29" t="s">
        <v>1390</v>
      </c>
      <c r="B746" s="29" t="s">
        <v>1374</v>
      </c>
      <c r="C746" s="29" t="s">
        <v>47</v>
      </c>
      <c r="D746" s="29" t="s">
        <v>812</v>
      </c>
      <c r="E746" s="29" t="s">
        <v>35</v>
      </c>
      <c r="F746" s="29" t="s">
        <v>51</v>
      </c>
      <c r="G746" s="29" t="s">
        <v>678</v>
      </c>
      <c r="H746" s="29" t="s">
        <v>176</v>
      </c>
      <c r="I746" s="29" t="s">
        <v>39</v>
      </c>
      <c r="J746" s="29" t="s">
        <v>631</v>
      </c>
      <c r="K746" s="29" t="s">
        <v>1391</v>
      </c>
      <c r="L746" s="29" t="s">
        <v>1336</v>
      </c>
      <c r="M746" s="29" t="s">
        <v>680</v>
      </c>
      <c r="N746" s="29" t="s">
        <v>1127</v>
      </c>
      <c r="O746" s="29" t="s">
        <v>133</v>
      </c>
      <c r="P746" s="30" t="s">
        <v>1392</v>
      </c>
    </row>
    <row r="747" s="25" customFormat="1" spans="1:16">
      <c r="A747" s="29" t="s">
        <v>1391</v>
      </c>
      <c r="B747" s="29" t="s">
        <v>1374</v>
      </c>
      <c r="C747" s="29" t="s">
        <v>47</v>
      </c>
      <c r="D747" s="29" t="s">
        <v>812</v>
      </c>
      <c r="E747" s="29" t="s">
        <v>35</v>
      </c>
      <c r="F747" s="29" t="s">
        <v>51</v>
      </c>
      <c r="G747" s="29" t="s">
        <v>678</v>
      </c>
      <c r="H747" s="29" t="s">
        <v>176</v>
      </c>
      <c r="I747" s="29" t="s">
        <v>39</v>
      </c>
      <c r="J747" s="29" t="s">
        <v>635</v>
      </c>
      <c r="K747" s="29" t="s">
        <v>1393</v>
      </c>
      <c r="L747" s="29" t="s">
        <v>1339</v>
      </c>
      <c r="M747" s="29" t="s">
        <v>680</v>
      </c>
      <c r="N747" s="29" t="s">
        <v>1127</v>
      </c>
      <c r="O747" s="29" t="s">
        <v>133</v>
      </c>
      <c r="P747" s="30" t="s">
        <v>1394</v>
      </c>
    </row>
    <row r="748" s="25" customFormat="1" spans="1:16">
      <c r="A748" s="29" t="s">
        <v>1393</v>
      </c>
      <c r="B748" s="29" t="s">
        <v>1374</v>
      </c>
      <c r="C748" s="29" t="s">
        <v>47</v>
      </c>
      <c r="D748" s="29" t="s">
        <v>812</v>
      </c>
      <c r="E748" s="29" t="s">
        <v>35</v>
      </c>
      <c r="F748" s="29" t="s">
        <v>51</v>
      </c>
      <c r="G748" s="29" t="s">
        <v>678</v>
      </c>
      <c r="H748" s="29" t="s">
        <v>176</v>
      </c>
      <c r="I748" s="29" t="s">
        <v>39</v>
      </c>
      <c r="J748" s="29" t="s">
        <v>639</v>
      </c>
      <c r="K748" s="29" t="s">
        <v>1395</v>
      </c>
      <c r="L748" s="29" t="s">
        <v>1342</v>
      </c>
      <c r="M748" s="29" t="s">
        <v>680</v>
      </c>
      <c r="N748" s="29" t="s">
        <v>1127</v>
      </c>
      <c r="O748" s="29" t="s">
        <v>133</v>
      </c>
      <c r="P748" s="30" t="s">
        <v>1396</v>
      </c>
    </row>
    <row r="749" s="25" customFormat="1" spans="1:16">
      <c r="A749" s="29" t="s">
        <v>1395</v>
      </c>
      <c r="B749" s="29" t="s">
        <v>1374</v>
      </c>
      <c r="C749" s="29" t="s">
        <v>47</v>
      </c>
      <c r="D749" s="29" t="s">
        <v>812</v>
      </c>
      <c r="E749" s="29" t="s">
        <v>35</v>
      </c>
      <c r="F749" s="29" t="s">
        <v>51</v>
      </c>
      <c r="G749" s="29" t="s">
        <v>678</v>
      </c>
      <c r="H749" s="29" t="s">
        <v>176</v>
      </c>
      <c r="I749" s="29" t="s">
        <v>39</v>
      </c>
      <c r="J749" s="29" t="s">
        <v>643</v>
      </c>
      <c r="K749" s="29" t="s">
        <v>1397</v>
      </c>
      <c r="L749" s="29" t="s">
        <v>1345</v>
      </c>
      <c r="M749" s="29" t="s">
        <v>680</v>
      </c>
      <c r="N749" s="29" t="s">
        <v>1127</v>
      </c>
      <c r="O749" s="29" t="s">
        <v>133</v>
      </c>
      <c r="P749" s="30" t="s">
        <v>1398</v>
      </c>
    </row>
    <row r="750" s="25" customFormat="1" spans="1:16">
      <c r="A750" s="29" t="s">
        <v>1397</v>
      </c>
      <c r="B750" s="29" t="s">
        <v>1374</v>
      </c>
      <c r="C750" s="29" t="s">
        <v>47</v>
      </c>
      <c r="D750" s="29" t="s">
        <v>812</v>
      </c>
      <c r="E750" s="29" t="s">
        <v>35</v>
      </c>
      <c r="F750" s="29" t="s">
        <v>51</v>
      </c>
      <c r="G750" s="29" t="s">
        <v>678</v>
      </c>
      <c r="H750" s="29" t="s">
        <v>176</v>
      </c>
      <c r="I750" s="29" t="s">
        <v>39</v>
      </c>
      <c r="J750" s="29" t="s">
        <v>647</v>
      </c>
      <c r="K750" s="29" t="s">
        <v>39</v>
      </c>
      <c r="L750" s="29" t="s">
        <v>39</v>
      </c>
      <c r="M750" s="29" t="s">
        <v>39</v>
      </c>
      <c r="N750" s="29" t="s">
        <v>1127</v>
      </c>
      <c r="O750" s="29" t="s">
        <v>133</v>
      </c>
      <c r="P750" s="30" t="s">
        <v>1399</v>
      </c>
    </row>
    <row r="751" s="25" customFormat="1" spans="1:16">
      <c r="A751" s="29" t="s">
        <v>1400</v>
      </c>
      <c r="B751" s="29" t="s">
        <v>1400</v>
      </c>
      <c r="C751" s="29" t="s">
        <v>47</v>
      </c>
      <c r="D751" s="29" t="s">
        <v>812</v>
      </c>
      <c r="E751" s="29" t="s">
        <v>47</v>
      </c>
      <c r="F751" s="29" t="s">
        <v>51</v>
      </c>
      <c r="G751" s="29" t="s">
        <v>942</v>
      </c>
      <c r="H751" s="29" t="s">
        <v>943</v>
      </c>
      <c r="I751" s="29" t="s">
        <v>204</v>
      </c>
      <c r="J751" s="29" t="s">
        <v>39</v>
      </c>
      <c r="K751" s="29" t="s">
        <v>1401</v>
      </c>
      <c r="L751" s="29" t="s">
        <v>945</v>
      </c>
      <c r="M751" s="29" t="s">
        <v>709</v>
      </c>
      <c r="N751" s="29" t="s">
        <v>946</v>
      </c>
      <c r="O751" s="29" t="s">
        <v>137</v>
      </c>
      <c r="P751" s="30" t="s">
        <v>947</v>
      </c>
    </row>
    <row r="752" s="25" customFormat="1" spans="1:16">
      <c r="A752" s="29" t="s">
        <v>1401</v>
      </c>
      <c r="B752" s="29" t="s">
        <v>1400</v>
      </c>
      <c r="C752" s="29" t="s">
        <v>47</v>
      </c>
      <c r="D752" s="29" t="s">
        <v>812</v>
      </c>
      <c r="E752" s="29" t="s">
        <v>47</v>
      </c>
      <c r="F752" s="29" t="s">
        <v>51</v>
      </c>
      <c r="G752" s="29" t="s">
        <v>942</v>
      </c>
      <c r="H752" s="29" t="s">
        <v>943</v>
      </c>
      <c r="I752" s="29" t="s">
        <v>204</v>
      </c>
      <c r="J752" s="29" t="s">
        <v>35</v>
      </c>
      <c r="K752" s="29" t="s">
        <v>1402</v>
      </c>
      <c r="L752" s="29" t="s">
        <v>949</v>
      </c>
      <c r="M752" s="29" t="s">
        <v>709</v>
      </c>
      <c r="N752" s="29" t="s">
        <v>950</v>
      </c>
      <c r="O752" s="29" t="s">
        <v>137</v>
      </c>
      <c r="P752" s="30" t="s">
        <v>951</v>
      </c>
    </row>
    <row r="753" s="25" customFormat="1" spans="1:16">
      <c r="A753" s="29" t="s">
        <v>1402</v>
      </c>
      <c r="B753" s="29" t="s">
        <v>1400</v>
      </c>
      <c r="C753" s="29" t="s">
        <v>47</v>
      </c>
      <c r="D753" s="29" t="s">
        <v>812</v>
      </c>
      <c r="E753" s="29" t="s">
        <v>47</v>
      </c>
      <c r="F753" s="29" t="s">
        <v>51</v>
      </c>
      <c r="G753" s="29" t="s">
        <v>942</v>
      </c>
      <c r="H753" s="29" t="s">
        <v>943</v>
      </c>
      <c r="I753" s="29" t="s">
        <v>204</v>
      </c>
      <c r="J753" s="29" t="s">
        <v>47</v>
      </c>
      <c r="K753" s="29" t="s">
        <v>1403</v>
      </c>
      <c r="L753" s="29" t="s">
        <v>953</v>
      </c>
      <c r="M753" s="29" t="s">
        <v>709</v>
      </c>
      <c r="N753" s="29" t="s">
        <v>950</v>
      </c>
      <c r="O753" s="29" t="s">
        <v>137</v>
      </c>
      <c r="P753" s="30" t="s">
        <v>954</v>
      </c>
    </row>
    <row r="754" s="25" customFormat="1" spans="1:16">
      <c r="A754" s="29" t="s">
        <v>1403</v>
      </c>
      <c r="B754" s="29" t="s">
        <v>1400</v>
      </c>
      <c r="C754" s="29" t="s">
        <v>47</v>
      </c>
      <c r="D754" s="29" t="s">
        <v>812</v>
      </c>
      <c r="E754" s="29" t="s">
        <v>47</v>
      </c>
      <c r="F754" s="29" t="s">
        <v>51</v>
      </c>
      <c r="G754" s="29" t="s">
        <v>942</v>
      </c>
      <c r="H754" s="29" t="s">
        <v>943</v>
      </c>
      <c r="I754" s="29" t="s">
        <v>204</v>
      </c>
      <c r="J754" s="29" t="s">
        <v>51</v>
      </c>
      <c r="K754" s="29" t="s">
        <v>1404</v>
      </c>
      <c r="L754" s="29" t="s">
        <v>956</v>
      </c>
      <c r="M754" s="29" t="s">
        <v>709</v>
      </c>
      <c r="N754" s="29" t="s">
        <v>950</v>
      </c>
      <c r="O754" s="29" t="s">
        <v>137</v>
      </c>
      <c r="P754" s="30" t="s">
        <v>957</v>
      </c>
    </row>
    <row r="755" s="25" customFormat="1" spans="1:16">
      <c r="A755" s="29" t="s">
        <v>1404</v>
      </c>
      <c r="B755" s="29" t="s">
        <v>1400</v>
      </c>
      <c r="C755" s="29" t="s">
        <v>47</v>
      </c>
      <c r="D755" s="29" t="s">
        <v>812</v>
      </c>
      <c r="E755" s="29" t="s">
        <v>47</v>
      </c>
      <c r="F755" s="29" t="s">
        <v>51</v>
      </c>
      <c r="G755" s="29" t="s">
        <v>942</v>
      </c>
      <c r="H755" s="29" t="s">
        <v>943</v>
      </c>
      <c r="I755" s="29" t="s">
        <v>204</v>
      </c>
      <c r="J755" s="29" t="s">
        <v>55</v>
      </c>
      <c r="K755" s="29" t="s">
        <v>1405</v>
      </c>
      <c r="L755" s="29" t="s">
        <v>959</v>
      </c>
      <c r="M755" s="29" t="s">
        <v>709</v>
      </c>
      <c r="N755" s="29" t="s">
        <v>950</v>
      </c>
      <c r="O755" s="29" t="s">
        <v>137</v>
      </c>
      <c r="P755" s="30" t="s">
        <v>960</v>
      </c>
    </row>
    <row r="756" s="25" customFormat="1" spans="1:16">
      <c r="A756" s="29" t="s">
        <v>1405</v>
      </c>
      <c r="B756" s="29" t="s">
        <v>1400</v>
      </c>
      <c r="C756" s="29" t="s">
        <v>47</v>
      </c>
      <c r="D756" s="29" t="s">
        <v>812</v>
      </c>
      <c r="E756" s="29" t="s">
        <v>47</v>
      </c>
      <c r="F756" s="29" t="s">
        <v>51</v>
      </c>
      <c r="G756" s="29" t="s">
        <v>942</v>
      </c>
      <c r="H756" s="29" t="s">
        <v>943</v>
      </c>
      <c r="I756" s="29" t="s">
        <v>204</v>
      </c>
      <c r="J756" s="29" t="s">
        <v>59</v>
      </c>
      <c r="K756" s="29" t="s">
        <v>1406</v>
      </c>
      <c r="L756" s="29" t="s">
        <v>962</v>
      </c>
      <c r="M756" s="29" t="s">
        <v>709</v>
      </c>
      <c r="N756" s="29" t="s">
        <v>950</v>
      </c>
      <c r="O756" s="29" t="s">
        <v>137</v>
      </c>
      <c r="P756" s="30" t="s">
        <v>963</v>
      </c>
    </row>
    <row r="757" s="25" customFormat="1" spans="1:16">
      <c r="A757" s="29" t="s">
        <v>1406</v>
      </c>
      <c r="B757" s="29" t="s">
        <v>1400</v>
      </c>
      <c r="C757" s="29" t="s">
        <v>47</v>
      </c>
      <c r="D757" s="29" t="s">
        <v>812</v>
      </c>
      <c r="E757" s="29" t="s">
        <v>47</v>
      </c>
      <c r="F757" s="29" t="s">
        <v>51</v>
      </c>
      <c r="G757" s="29" t="s">
        <v>942</v>
      </c>
      <c r="H757" s="29" t="s">
        <v>943</v>
      </c>
      <c r="I757" s="29" t="s">
        <v>204</v>
      </c>
      <c r="J757" s="29" t="s">
        <v>129</v>
      </c>
      <c r="K757" s="29" t="s">
        <v>1407</v>
      </c>
      <c r="L757" s="29" t="s">
        <v>965</v>
      </c>
      <c r="M757" s="29" t="s">
        <v>709</v>
      </c>
      <c r="N757" s="29" t="s">
        <v>950</v>
      </c>
      <c r="O757" s="29" t="s">
        <v>137</v>
      </c>
      <c r="P757" s="30" t="s">
        <v>966</v>
      </c>
    </row>
    <row r="758" s="25" customFormat="1" spans="1:16">
      <c r="A758" s="29" t="s">
        <v>1407</v>
      </c>
      <c r="B758" s="29" t="s">
        <v>1400</v>
      </c>
      <c r="C758" s="29" t="s">
        <v>47</v>
      </c>
      <c r="D758" s="29" t="s">
        <v>812</v>
      </c>
      <c r="E758" s="29" t="s">
        <v>47</v>
      </c>
      <c r="F758" s="29" t="s">
        <v>51</v>
      </c>
      <c r="G758" s="29" t="s">
        <v>942</v>
      </c>
      <c r="H758" s="29" t="s">
        <v>943</v>
      </c>
      <c r="I758" s="29" t="s">
        <v>204</v>
      </c>
      <c r="J758" s="29" t="s">
        <v>133</v>
      </c>
      <c r="K758" s="29" t="s">
        <v>1408</v>
      </c>
      <c r="L758" s="29" t="s">
        <v>968</v>
      </c>
      <c r="M758" s="29" t="s">
        <v>709</v>
      </c>
      <c r="N758" s="29" t="s">
        <v>950</v>
      </c>
      <c r="O758" s="29" t="s">
        <v>137</v>
      </c>
      <c r="P758" s="30" t="s">
        <v>969</v>
      </c>
    </row>
    <row r="759" s="25" customFormat="1" spans="1:16">
      <c r="A759" s="29" t="s">
        <v>1408</v>
      </c>
      <c r="B759" s="29" t="s">
        <v>1400</v>
      </c>
      <c r="C759" s="29" t="s">
        <v>47</v>
      </c>
      <c r="D759" s="29" t="s">
        <v>812</v>
      </c>
      <c r="E759" s="29" t="s">
        <v>47</v>
      </c>
      <c r="F759" s="29" t="s">
        <v>51</v>
      </c>
      <c r="G759" s="29" t="s">
        <v>942</v>
      </c>
      <c r="H759" s="29" t="s">
        <v>943</v>
      </c>
      <c r="I759" s="29" t="s">
        <v>204</v>
      </c>
      <c r="J759" s="29" t="s">
        <v>137</v>
      </c>
      <c r="K759" s="29" t="s">
        <v>1409</v>
      </c>
      <c r="L759" s="29" t="s">
        <v>971</v>
      </c>
      <c r="M759" s="29" t="s">
        <v>709</v>
      </c>
      <c r="N759" s="29" t="s">
        <v>950</v>
      </c>
      <c r="O759" s="29" t="s">
        <v>137</v>
      </c>
      <c r="P759" s="30" t="s">
        <v>972</v>
      </c>
    </row>
    <row r="760" s="25" customFormat="1" spans="1:16">
      <c r="A760" s="29" t="s">
        <v>1409</v>
      </c>
      <c r="B760" s="29" t="s">
        <v>1400</v>
      </c>
      <c r="C760" s="29" t="s">
        <v>47</v>
      </c>
      <c r="D760" s="29" t="s">
        <v>812</v>
      </c>
      <c r="E760" s="29" t="s">
        <v>47</v>
      </c>
      <c r="F760" s="29" t="s">
        <v>51</v>
      </c>
      <c r="G760" s="29" t="s">
        <v>942</v>
      </c>
      <c r="H760" s="29" t="s">
        <v>943</v>
      </c>
      <c r="I760" s="29" t="s">
        <v>204</v>
      </c>
      <c r="J760" s="29" t="s">
        <v>141</v>
      </c>
      <c r="K760" s="29" t="s">
        <v>1410</v>
      </c>
      <c r="L760" s="29" t="s">
        <v>974</v>
      </c>
      <c r="M760" s="29" t="s">
        <v>709</v>
      </c>
      <c r="N760" s="29" t="s">
        <v>950</v>
      </c>
      <c r="O760" s="29" t="s">
        <v>137</v>
      </c>
      <c r="P760" s="30" t="s">
        <v>975</v>
      </c>
    </row>
    <row r="761" s="25" customFormat="1" spans="1:16">
      <c r="A761" s="29" t="s">
        <v>1410</v>
      </c>
      <c r="B761" s="29" t="s">
        <v>1400</v>
      </c>
      <c r="C761" s="29" t="s">
        <v>47</v>
      </c>
      <c r="D761" s="29" t="s">
        <v>812</v>
      </c>
      <c r="E761" s="29" t="s">
        <v>47</v>
      </c>
      <c r="F761" s="29" t="s">
        <v>51</v>
      </c>
      <c r="G761" s="29" t="s">
        <v>942</v>
      </c>
      <c r="H761" s="29" t="s">
        <v>943</v>
      </c>
      <c r="I761" s="29" t="s">
        <v>204</v>
      </c>
      <c r="J761" s="29" t="s">
        <v>145</v>
      </c>
      <c r="K761" s="29" t="s">
        <v>1411</v>
      </c>
      <c r="L761" s="29" t="s">
        <v>976</v>
      </c>
      <c r="M761" s="29" t="s">
        <v>709</v>
      </c>
      <c r="N761" s="29" t="s">
        <v>950</v>
      </c>
      <c r="O761" s="29" t="s">
        <v>137</v>
      </c>
      <c r="P761" s="30" t="s">
        <v>977</v>
      </c>
    </row>
    <row r="762" s="25" customFormat="1" spans="1:16">
      <c r="A762" s="29" t="s">
        <v>1411</v>
      </c>
      <c r="B762" s="29" t="s">
        <v>1400</v>
      </c>
      <c r="C762" s="29" t="s">
        <v>47</v>
      </c>
      <c r="D762" s="29" t="s">
        <v>812</v>
      </c>
      <c r="E762" s="29" t="s">
        <v>47</v>
      </c>
      <c r="F762" s="29" t="s">
        <v>51</v>
      </c>
      <c r="G762" s="29" t="s">
        <v>942</v>
      </c>
      <c r="H762" s="29" t="s">
        <v>943</v>
      </c>
      <c r="I762" s="29" t="s">
        <v>204</v>
      </c>
      <c r="J762" s="29" t="s">
        <v>408</v>
      </c>
      <c r="K762" s="29" t="s">
        <v>1412</v>
      </c>
      <c r="L762" s="29" t="s">
        <v>1239</v>
      </c>
      <c r="M762" s="29" t="s">
        <v>709</v>
      </c>
      <c r="N762" s="29" t="s">
        <v>950</v>
      </c>
      <c r="O762" s="29" t="s">
        <v>137</v>
      </c>
      <c r="P762" s="30" t="s">
        <v>1413</v>
      </c>
    </row>
    <row r="763" s="25" customFormat="1" spans="1:16">
      <c r="A763" s="29" t="s">
        <v>1412</v>
      </c>
      <c r="B763" s="29" t="s">
        <v>1400</v>
      </c>
      <c r="C763" s="29" t="s">
        <v>47</v>
      </c>
      <c r="D763" s="29" t="s">
        <v>812</v>
      </c>
      <c r="E763" s="29" t="s">
        <v>47</v>
      </c>
      <c r="F763" s="29" t="s">
        <v>51</v>
      </c>
      <c r="G763" s="29" t="s">
        <v>942</v>
      </c>
      <c r="H763" s="29" t="s">
        <v>943</v>
      </c>
      <c r="I763" s="29" t="s">
        <v>204</v>
      </c>
      <c r="J763" s="29" t="s">
        <v>412</v>
      </c>
      <c r="K763" s="29" t="s">
        <v>1414</v>
      </c>
      <c r="L763" s="29" t="s">
        <v>1242</v>
      </c>
      <c r="M763" s="29" t="s">
        <v>709</v>
      </c>
      <c r="N763" s="29" t="s">
        <v>950</v>
      </c>
      <c r="O763" s="29" t="s">
        <v>137</v>
      </c>
      <c r="P763" s="30" t="s">
        <v>1415</v>
      </c>
    </row>
    <row r="764" s="25" customFormat="1" spans="1:16">
      <c r="A764" s="29" t="s">
        <v>1414</v>
      </c>
      <c r="B764" s="29" t="s">
        <v>1400</v>
      </c>
      <c r="C764" s="29" t="s">
        <v>47</v>
      </c>
      <c r="D764" s="29" t="s">
        <v>812</v>
      </c>
      <c r="E764" s="29" t="s">
        <v>47</v>
      </c>
      <c r="F764" s="29" t="s">
        <v>51</v>
      </c>
      <c r="G764" s="29" t="s">
        <v>942</v>
      </c>
      <c r="H764" s="29" t="s">
        <v>943</v>
      </c>
      <c r="I764" s="29" t="s">
        <v>204</v>
      </c>
      <c r="J764" s="29" t="s">
        <v>416</v>
      </c>
      <c r="K764" s="29" t="s">
        <v>1416</v>
      </c>
      <c r="L764" s="29" t="s">
        <v>1269</v>
      </c>
      <c r="M764" s="29" t="s">
        <v>709</v>
      </c>
      <c r="N764" s="29" t="s">
        <v>950</v>
      </c>
      <c r="O764" s="29" t="s">
        <v>137</v>
      </c>
      <c r="P764" s="30" t="s">
        <v>1417</v>
      </c>
    </row>
    <row r="765" s="25" customFormat="1" spans="1:16">
      <c r="A765" s="29" t="s">
        <v>1416</v>
      </c>
      <c r="B765" s="29" t="s">
        <v>1400</v>
      </c>
      <c r="C765" s="29" t="s">
        <v>47</v>
      </c>
      <c r="D765" s="29" t="s">
        <v>812</v>
      </c>
      <c r="E765" s="29" t="s">
        <v>47</v>
      </c>
      <c r="F765" s="29" t="s">
        <v>51</v>
      </c>
      <c r="G765" s="29" t="s">
        <v>942</v>
      </c>
      <c r="H765" s="29" t="s">
        <v>943</v>
      </c>
      <c r="I765" s="29" t="s">
        <v>204</v>
      </c>
      <c r="J765" s="29" t="s">
        <v>420</v>
      </c>
      <c r="K765" s="29" t="s">
        <v>1418</v>
      </c>
      <c r="L765" s="29" t="s">
        <v>1272</v>
      </c>
      <c r="M765" s="29" t="s">
        <v>709</v>
      </c>
      <c r="N765" s="29" t="s">
        <v>950</v>
      </c>
      <c r="O765" s="29" t="s">
        <v>137</v>
      </c>
      <c r="P765" s="30" t="s">
        <v>1419</v>
      </c>
    </row>
    <row r="766" s="25" customFormat="1" spans="1:16">
      <c r="A766" s="29" t="s">
        <v>1418</v>
      </c>
      <c r="B766" s="29" t="s">
        <v>1400</v>
      </c>
      <c r="C766" s="29" t="s">
        <v>47</v>
      </c>
      <c r="D766" s="29" t="s">
        <v>812</v>
      </c>
      <c r="E766" s="29" t="s">
        <v>47</v>
      </c>
      <c r="F766" s="29" t="s">
        <v>51</v>
      </c>
      <c r="G766" s="29" t="s">
        <v>942</v>
      </c>
      <c r="H766" s="29" t="s">
        <v>943</v>
      </c>
      <c r="I766" s="29" t="s">
        <v>204</v>
      </c>
      <c r="J766" s="29" t="s">
        <v>424</v>
      </c>
      <c r="K766" s="29" t="s">
        <v>1420</v>
      </c>
      <c r="L766" s="29" t="s">
        <v>1334</v>
      </c>
      <c r="M766" s="29" t="s">
        <v>709</v>
      </c>
      <c r="N766" s="29" t="s">
        <v>950</v>
      </c>
      <c r="O766" s="29" t="s">
        <v>137</v>
      </c>
      <c r="P766" s="30" t="s">
        <v>1421</v>
      </c>
    </row>
    <row r="767" s="25" customFormat="1" spans="1:16">
      <c r="A767" s="29" t="s">
        <v>1420</v>
      </c>
      <c r="B767" s="29" t="s">
        <v>1400</v>
      </c>
      <c r="C767" s="29" t="s">
        <v>47</v>
      </c>
      <c r="D767" s="29" t="s">
        <v>812</v>
      </c>
      <c r="E767" s="29" t="s">
        <v>47</v>
      </c>
      <c r="F767" s="29" t="s">
        <v>51</v>
      </c>
      <c r="G767" s="29" t="s">
        <v>942</v>
      </c>
      <c r="H767" s="29" t="s">
        <v>943</v>
      </c>
      <c r="I767" s="29" t="s">
        <v>204</v>
      </c>
      <c r="J767" s="29" t="s">
        <v>631</v>
      </c>
      <c r="K767" s="29" t="s">
        <v>1422</v>
      </c>
      <c r="L767" s="29" t="s">
        <v>1336</v>
      </c>
      <c r="M767" s="29" t="s">
        <v>709</v>
      </c>
      <c r="N767" s="29" t="s">
        <v>950</v>
      </c>
      <c r="O767" s="29" t="s">
        <v>137</v>
      </c>
      <c r="P767" s="30" t="s">
        <v>1423</v>
      </c>
    </row>
    <row r="768" s="25" customFormat="1" spans="1:16">
      <c r="A768" s="29" t="s">
        <v>1422</v>
      </c>
      <c r="B768" s="29" t="s">
        <v>1400</v>
      </c>
      <c r="C768" s="29" t="s">
        <v>47</v>
      </c>
      <c r="D768" s="29" t="s">
        <v>812</v>
      </c>
      <c r="E768" s="29" t="s">
        <v>47</v>
      </c>
      <c r="F768" s="29" t="s">
        <v>51</v>
      </c>
      <c r="G768" s="29" t="s">
        <v>942</v>
      </c>
      <c r="H768" s="29" t="s">
        <v>943</v>
      </c>
      <c r="I768" s="29" t="s">
        <v>204</v>
      </c>
      <c r="J768" s="29" t="s">
        <v>635</v>
      </c>
      <c r="K768" s="29" t="s">
        <v>1424</v>
      </c>
      <c r="L768" s="29" t="s">
        <v>1339</v>
      </c>
      <c r="M768" s="29" t="s">
        <v>709</v>
      </c>
      <c r="N768" s="29" t="s">
        <v>950</v>
      </c>
      <c r="O768" s="29" t="s">
        <v>137</v>
      </c>
      <c r="P768" s="30" t="s">
        <v>1425</v>
      </c>
    </row>
    <row r="769" s="25" customFormat="1" spans="1:16">
      <c r="A769" s="29" t="s">
        <v>1424</v>
      </c>
      <c r="B769" s="29" t="s">
        <v>1400</v>
      </c>
      <c r="C769" s="29" t="s">
        <v>47</v>
      </c>
      <c r="D769" s="29" t="s">
        <v>812</v>
      </c>
      <c r="E769" s="29" t="s">
        <v>47</v>
      </c>
      <c r="F769" s="29" t="s">
        <v>51</v>
      </c>
      <c r="G769" s="29" t="s">
        <v>942</v>
      </c>
      <c r="H769" s="29" t="s">
        <v>943</v>
      </c>
      <c r="I769" s="29" t="s">
        <v>204</v>
      </c>
      <c r="J769" s="29" t="s">
        <v>639</v>
      </c>
      <c r="K769" s="29" t="s">
        <v>1426</v>
      </c>
      <c r="L769" s="29" t="s">
        <v>1342</v>
      </c>
      <c r="M769" s="29" t="s">
        <v>709</v>
      </c>
      <c r="N769" s="29" t="s">
        <v>950</v>
      </c>
      <c r="O769" s="29" t="s">
        <v>137</v>
      </c>
      <c r="P769" s="30" t="s">
        <v>1427</v>
      </c>
    </row>
    <row r="770" s="25" customFormat="1" spans="1:16">
      <c r="A770" s="29" t="s">
        <v>1426</v>
      </c>
      <c r="B770" s="29" t="s">
        <v>1400</v>
      </c>
      <c r="C770" s="29" t="s">
        <v>47</v>
      </c>
      <c r="D770" s="29" t="s">
        <v>812</v>
      </c>
      <c r="E770" s="29" t="s">
        <v>47</v>
      </c>
      <c r="F770" s="29" t="s">
        <v>51</v>
      </c>
      <c r="G770" s="29" t="s">
        <v>942</v>
      </c>
      <c r="H770" s="29" t="s">
        <v>943</v>
      </c>
      <c r="I770" s="29" t="s">
        <v>204</v>
      </c>
      <c r="J770" s="29" t="s">
        <v>643</v>
      </c>
      <c r="K770" s="29" t="s">
        <v>1428</v>
      </c>
      <c r="L770" s="29" t="s">
        <v>1345</v>
      </c>
      <c r="M770" s="29" t="s">
        <v>709</v>
      </c>
      <c r="N770" s="29" t="s">
        <v>950</v>
      </c>
      <c r="O770" s="29" t="s">
        <v>137</v>
      </c>
      <c r="P770" s="30" t="s">
        <v>1429</v>
      </c>
    </row>
    <row r="771" s="25" customFormat="1" spans="1:16">
      <c r="A771" s="29" t="s">
        <v>1428</v>
      </c>
      <c r="B771" s="29" t="s">
        <v>1400</v>
      </c>
      <c r="C771" s="29" t="s">
        <v>47</v>
      </c>
      <c r="D771" s="29" t="s">
        <v>812</v>
      </c>
      <c r="E771" s="29" t="s">
        <v>47</v>
      </c>
      <c r="F771" s="29" t="s">
        <v>51</v>
      </c>
      <c r="G771" s="29" t="s">
        <v>942</v>
      </c>
      <c r="H771" s="29" t="s">
        <v>943</v>
      </c>
      <c r="I771" s="29" t="s">
        <v>204</v>
      </c>
      <c r="J771" s="29" t="s">
        <v>647</v>
      </c>
      <c r="K771" s="29" t="s">
        <v>39</v>
      </c>
      <c r="L771" s="29" t="s">
        <v>39</v>
      </c>
      <c r="M771" s="29" t="s">
        <v>39</v>
      </c>
      <c r="N771" s="29" t="s">
        <v>950</v>
      </c>
      <c r="O771" s="29" t="s">
        <v>137</v>
      </c>
      <c r="P771" s="30" t="s">
        <v>1430</v>
      </c>
    </row>
    <row r="772" s="25" customFormat="1" spans="1:16">
      <c r="A772" s="29" t="s">
        <v>1431</v>
      </c>
      <c r="B772" s="29" t="s">
        <v>1431</v>
      </c>
      <c r="C772" s="29" t="s">
        <v>47</v>
      </c>
      <c r="D772" s="29" t="s">
        <v>812</v>
      </c>
      <c r="E772" s="29" t="s">
        <v>47</v>
      </c>
      <c r="F772" s="29" t="s">
        <v>51</v>
      </c>
      <c r="G772" s="29" t="s">
        <v>979</v>
      </c>
      <c r="H772" s="29" t="s">
        <v>980</v>
      </c>
      <c r="I772" s="29" t="s">
        <v>204</v>
      </c>
      <c r="J772" s="29" t="s">
        <v>39</v>
      </c>
      <c r="K772" s="29" t="s">
        <v>1432</v>
      </c>
      <c r="L772" s="29" t="s">
        <v>945</v>
      </c>
      <c r="M772" s="29" t="s">
        <v>741</v>
      </c>
      <c r="N772" s="29" t="s">
        <v>982</v>
      </c>
      <c r="O772" s="29" t="s">
        <v>141</v>
      </c>
      <c r="P772" s="30" t="s">
        <v>983</v>
      </c>
    </row>
    <row r="773" s="25" customFormat="1" spans="1:16">
      <c r="A773" s="29" t="s">
        <v>1432</v>
      </c>
      <c r="B773" s="29" t="s">
        <v>1431</v>
      </c>
      <c r="C773" s="29" t="s">
        <v>47</v>
      </c>
      <c r="D773" s="29" t="s">
        <v>812</v>
      </c>
      <c r="E773" s="29" t="s">
        <v>47</v>
      </c>
      <c r="F773" s="29" t="s">
        <v>51</v>
      </c>
      <c r="G773" s="29" t="s">
        <v>979</v>
      </c>
      <c r="H773" s="29" t="s">
        <v>980</v>
      </c>
      <c r="I773" s="29" t="s">
        <v>204</v>
      </c>
      <c r="J773" s="29" t="s">
        <v>35</v>
      </c>
      <c r="K773" s="29" t="s">
        <v>1433</v>
      </c>
      <c r="L773" s="29" t="s">
        <v>949</v>
      </c>
      <c r="M773" s="29" t="s">
        <v>741</v>
      </c>
      <c r="N773" s="29" t="s">
        <v>985</v>
      </c>
      <c r="O773" s="29" t="s">
        <v>141</v>
      </c>
      <c r="P773" s="30" t="s">
        <v>986</v>
      </c>
    </row>
    <row r="774" s="25" customFormat="1" spans="1:16">
      <c r="A774" s="29" t="s">
        <v>1433</v>
      </c>
      <c r="B774" s="29" t="s">
        <v>1431</v>
      </c>
      <c r="C774" s="29" t="s">
        <v>47</v>
      </c>
      <c r="D774" s="29" t="s">
        <v>812</v>
      </c>
      <c r="E774" s="29" t="s">
        <v>47</v>
      </c>
      <c r="F774" s="29" t="s">
        <v>51</v>
      </c>
      <c r="G774" s="29" t="s">
        <v>979</v>
      </c>
      <c r="H774" s="29" t="s">
        <v>980</v>
      </c>
      <c r="I774" s="29" t="s">
        <v>204</v>
      </c>
      <c r="J774" s="29" t="s">
        <v>47</v>
      </c>
      <c r="K774" s="29" t="s">
        <v>1434</v>
      </c>
      <c r="L774" s="29" t="s">
        <v>953</v>
      </c>
      <c r="M774" s="29" t="s">
        <v>741</v>
      </c>
      <c r="N774" s="29" t="s">
        <v>985</v>
      </c>
      <c r="O774" s="29" t="s">
        <v>141</v>
      </c>
      <c r="P774" s="30" t="s">
        <v>988</v>
      </c>
    </row>
    <row r="775" s="25" customFormat="1" spans="1:16">
      <c r="A775" s="29" t="s">
        <v>1434</v>
      </c>
      <c r="B775" s="29" t="s">
        <v>1431</v>
      </c>
      <c r="C775" s="29" t="s">
        <v>47</v>
      </c>
      <c r="D775" s="29" t="s">
        <v>812</v>
      </c>
      <c r="E775" s="29" t="s">
        <v>47</v>
      </c>
      <c r="F775" s="29" t="s">
        <v>51</v>
      </c>
      <c r="G775" s="29" t="s">
        <v>979</v>
      </c>
      <c r="H775" s="29" t="s">
        <v>980</v>
      </c>
      <c r="I775" s="29" t="s">
        <v>204</v>
      </c>
      <c r="J775" s="29" t="s">
        <v>51</v>
      </c>
      <c r="K775" s="29" t="s">
        <v>1435</v>
      </c>
      <c r="L775" s="29" t="s">
        <v>956</v>
      </c>
      <c r="M775" s="29" t="s">
        <v>741</v>
      </c>
      <c r="N775" s="29" t="s">
        <v>985</v>
      </c>
      <c r="O775" s="29" t="s">
        <v>141</v>
      </c>
      <c r="P775" s="30" t="s">
        <v>990</v>
      </c>
    </row>
    <row r="776" s="25" customFormat="1" spans="1:16">
      <c r="A776" s="29" t="s">
        <v>1435</v>
      </c>
      <c r="B776" s="29" t="s">
        <v>1431</v>
      </c>
      <c r="C776" s="29" t="s">
        <v>47</v>
      </c>
      <c r="D776" s="29" t="s">
        <v>812</v>
      </c>
      <c r="E776" s="29" t="s">
        <v>47</v>
      </c>
      <c r="F776" s="29" t="s">
        <v>51</v>
      </c>
      <c r="G776" s="29" t="s">
        <v>979</v>
      </c>
      <c r="H776" s="29" t="s">
        <v>980</v>
      </c>
      <c r="I776" s="29" t="s">
        <v>204</v>
      </c>
      <c r="J776" s="29" t="s">
        <v>55</v>
      </c>
      <c r="K776" s="29" t="s">
        <v>1436</v>
      </c>
      <c r="L776" s="29" t="s">
        <v>959</v>
      </c>
      <c r="M776" s="29" t="s">
        <v>741</v>
      </c>
      <c r="N776" s="29" t="s">
        <v>985</v>
      </c>
      <c r="O776" s="29" t="s">
        <v>141</v>
      </c>
      <c r="P776" s="30" t="s">
        <v>992</v>
      </c>
    </row>
    <row r="777" s="25" customFormat="1" spans="1:16">
      <c r="A777" s="29" t="s">
        <v>1436</v>
      </c>
      <c r="B777" s="29" t="s">
        <v>1431</v>
      </c>
      <c r="C777" s="29" t="s">
        <v>47</v>
      </c>
      <c r="D777" s="29" t="s">
        <v>812</v>
      </c>
      <c r="E777" s="29" t="s">
        <v>47</v>
      </c>
      <c r="F777" s="29" t="s">
        <v>51</v>
      </c>
      <c r="G777" s="29" t="s">
        <v>979</v>
      </c>
      <c r="H777" s="29" t="s">
        <v>980</v>
      </c>
      <c r="I777" s="29" t="s">
        <v>204</v>
      </c>
      <c r="J777" s="29" t="s">
        <v>59</v>
      </c>
      <c r="K777" s="29" t="s">
        <v>1437</v>
      </c>
      <c r="L777" s="29" t="s">
        <v>962</v>
      </c>
      <c r="M777" s="29" t="s">
        <v>741</v>
      </c>
      <c r="N777" s="29" t="s">
        <v>985</v>
      </c>
      <c r="O777" s="29" t="s">
        <v>141</v>
      </c>
      <c r="P777" s="30" t="s">
        <v>994</v>
      </c>
    </row>
    <row r="778" s="25" customFormat="1" spans="1:16">
      <c r="A778" s="29" t="s">
        <v>1437</v>
      </c>
      <c r="B778" s="29" t="s">
        <v>1431</v>
      </c>
      <c r="C778" s="29" t="s">
        <v>47</v>
      </c>
      <c r="D778" s="29" t="s">
        <v>812</v>
      </c>
      <c r="E778" s="29" t="s">
        <v>47</v>
      </c>
      <c r="F778" s="29" t="s">
        <v>51</v>
      </c>
      <c r="G778" s="29" t="s">
        <v>979</v>
      </c>
      <c r="H778" s="29" t="s">
        <v>980</v>
      </c>
      <c r="I778" s="29" t="s">
        <v>204</v>
      </c>
      <c r="J778" s="29" t="s">
        <v>129</v>
      </c>
      <c r="K778" s="29" t="s">
        <v>1438</v>
      </c>
      <c r="L778" s="29" t="s">
        <v>965</v>
      </c>
      <c r="M778" s="29" t="s">
        <v>741</v>
      </c>
      <c r="N778" s="29" t="s">
        <v>985</v>
      </c>
      <c r="O778" s="29" t="s">
        <v>141</v>
      </c>
      <c r="P778" s="30" t="s">
        <v>996</v>
      </c>
    </row>
    <row r="779" s="25" customFormat="1" spans="1:16">
      <c r="A779" s="29" t="s">
        <v>1438</v>
      </c>
      <c r="B779" s="29" t="s">
        <v>1431</v>
      </c>
      <c r="C779" s="29" t="s">
        <v>47</v>
      </c>
      <c r="D779" s="29" t="s">
        <v>812</v>
      </c>
      <c r="E779" s="29" t="s">
        <v>47</v>
      </c>
      <c r="F779" s="29" t="s">
        <v>51</v>
      </c>
      <c r="G779" s="29" t="s">
        <v>979</v>
      </c>
      <c r="H779" s="29" t="s">
        <v>980</v>
      </c>
      <c r="I779" s="29" t="s">
        <v>204</v>
      </c>
      <c r="J779" s="29" t="s">
        <v>133</v>
      </c>
      <c r="K779" s="29" t="s">
        <v>1439</v>
      </c>
      <c r="L779" s="29" t="s">
        <v>968</v>
      </c>
      <c r="M779" s="29" t="s">
        <v>741</v>
      </c>
      <c r="N779" s="29" t="s">
        <v>985</v>
      </c>
      <c r="O779" s="29" t="s">
        <v>141</v>
      </c>
      <c r="P779" s="30" t="s">
        <v>998</v>
      </c>
    </row>
    <row r="780" s="25" customFormat="1" spans="1:16">
      <c r="A780" s="29" t="s">
        <v>1439</v>
      </c>
      <c r="B780" s="29" t="s">
        <v>1431</v>
      </c>
      <c r="C780" s="29" t="s">
        <v>47</v>
      </c>
      <c r="D780" s="29" t="s">
        <v>812</v>
      </c>
      <c r="E780" s="29" t="s">
        <v>47</v>
      </c>
      <c r="F780" s="29" t="s">
        <v>51</v>
      </c>
      <c r="G780" s="29" t="s">
        <v>979</v>
      </c>
      <c r="H780" s="29" t="s">
        <v>980</v>
      </c>
      <c r="I780" s="29" t="s">
        <v>204</v>
      </c>
      <c r="J780" s="29" t="s">
        <v>137</v>
      </c>
      <c r="K780" s="29" t="s">
        <v>1440</v>
      </c>
      <c r="L780" s="29" t="s">
        <v>971</v>
      </c>
      <c r="M780" s="29" t="s">
        <v>741</v>
      </c>
      <c r="N780" s="29" t="s">
        <v>985</v>
      </c>
      <c r="O780" s="29" t="s">
        <v>141</v>
      </c>
      <c r="P780" s="30" t="s">
        <v>1000</v>
      </c>
    </row>
    <row r="781" s="25" customFormat="1" spans="1:16">
      <c r="A781" s="29" t="s">
        <v>1440</v>
      </c>
      <c r="B781" s="29" t="s">
        <v>1431</v>
      </c>
      <c r="C781" s="29" t="s">
        <v>47</v>
      </c>
      <c r="D781" s="29" t="s">
        <v>812</v>
      </c>
      <c r="E781" s="29" t="s">
        <v>47</v>
      </c>
      <c r="F781" s="29" t="s">
        <v>51</v>
      </c>
      <c r="G781" s="29" t="s">
        <v>979</v>
      </c>
      <c r="H781" s="29" t="s">
        <v>980</v>
      </c>
      <c r="I781" s="29" t="s">
        <v>204</v>
      </c>
      <c r="J781" s="29" t="s">
        <v>141</v>
      </c>
      <c r="K781" s="29" t="s">
        <v>1441</v>
      </c>
      <c r="L781" s="29" t="s">
        <v>974</v>
      </c>
      <c r="M781" s="29" t="s">
        <v>741</v>
      </c>
      <c r="N781" s="29" t="s">
        <v>985</v>
      </c>
      <c r="O781" s="29" t="s">
        <v>141</v>
      </c>
      <c r="P781" s="30" t="s">
        <v>1002</v>
      </c>
    </row>
    <row r="782" s="25" customFormat="1" spans="1:16">
      <c r="A782" s="29" t="s">
        <v>1441</v>
      </c>
      <c r="B782" s="29" t="s">
        <v>1431</v>
      </c>
      <c r="C782" s="29" t="s">
        <v>47</v>
      </c>
      <c r="D782" s="29" t="s">
        <v>812</v>
      </c>
      <c r="E782" s="29" t="s">
        <v>47</v>
      </c>
      <c r="F782" s="29" t="s">
        <v>51</v>
      </c>
      <c r="G782" s="29" t="s">
        <v>979</v>
      </c>
      <c r="H782" s="29" t="s">
        <v>980</v>
      </c>
      <c r="I782" s="29" t="s">
        <v>204</v>
      </c>
      <c r="J782" s="29" t="s">
        <v>145</v>
      </c>
      <c r="K782" s="29" t="s">
        <v>1442</v>
      </c>
      <c r="L782" s="29" t="s">
        <v>976</v>
      </c>
      <c r="M782" s="29" t="s">
        <v>741</v>
      </c>
      <c r="N782" s="29" t="s">
        <v>985</v>
      </c>
      <c r="O782" s="29" t="s">
        <v>141</v>
      </c>
      <c r="P782" s="30" t="s">
        <v>1003</v>
      </c>
    </row>
    <row r="783" s="25" customFormat="1" spans="1:16">
      <c r="A783" s="29" t="s">
        <v>1442</v>
      </c>
      <c r="B783" s="29" t="s">
        <v>1431</v>
      </c>
      <c r="C783" s="29" t="s">
        <v>47</v>
      </c>
      <c r="D783" s="29" t="s">
        <v>812</v>
      </c>
      <c r="E783" s="29" t="s">
        <v>47</v>
      </c>
      <c r="F783" s="29" t="s">
        <v>51</v>
      </c>
      <c r="G783" s="29" t="s">
        <v>979</v>
      </c>
      <c r="H783" s="29" t="s">
        <v>980</v>
      </c>
      <c r="I783" s="29" t="s">
        <v>204</v>
      </c>
      <c r="J783" s="29" t="s">
        <v>408</v>
      </c>
      <c r="K783" s="29" t="s">
        <v>1443</v>
      </c>
      <c r="L783" s="29" t="s">
        <v>1239</v>
      </c>
      <c r="M783" s="29" t="s">
        <v>741</v>
      </c>
      <c r="N783" s="29" t="s">
        <v>985</v>
      </c>
      <c r="O783" s="29" t="s">
        <v>141</v>
      </c>
      <c r="P783" s="30" t="s">
        <v>1444</v>
      </c>
    </row>
    <row r="784" s="25" customFormat="1" spans="1:16">
      <c r="A784" s="29" t="s">
        <v>1443</v>
      </c>
      <c r="B784" s="29" t="s">
        <v>1431</v>
      </c>
      <c r="C784" s="29" t="s">
        <v>47</v>
      </c>
      <c r="D784" s="29" t="s">
        <v>812</v>
      </c>
      <c r="E784" s="29" t="s">
        <v>47</v>
      </c>
      <c r="F784" s="29" t="s">
        <v>51</v>
      </c>
      <c r="G784" s="29" t="s">
        <v>979</v>
      </c>
      <c r="H784" s="29" t="s">
        <v>980</v>
      </c>
      <c r="I784" s="29" t="s">
        <v>204</v>
      </c>
      <c r="J784" s="29" t="s">
        <v>412</v>
      </c>
      <c r="K784" s="29" t="s">
        <v>1445</v>
      </c>
      <c r="L784" s="29" t="s">
        <v>1242</v>
      </c>
      <c r="M784" s="29" t="s">
        <v>741</v>
      </c>
      <c r="N784" s="29" t="s">
        <v>985</v>
      </c>
      <c r="O784" s="29" t="s">
        <v>141</v>
      </c>
      <c r="P784" s="30" t="s">
        <v>1446</v>
      </c>
    </row>
    <row r="785" s="25" customFormat="1" spans="1:16">
      <c r="A785" s="29" t="s">
        <v>1445</v>
      </c>
      <c r="B785" s="29" t="s">
        <v>1431</v>
      </c>
      <c r="C785" s="29" t="s">
        <v>47</v>
      </c>
      <c r="D785" s="29" t="s">
        <v>812</v>
      </c>
      <c r="E785" s="29" t="s">
        <v>47</v>
      </c>
      <c r="F785" s="29" t="s">
        <v>51</v>
      </c>
      <c r="G785" s="29" t="s">
        <v>979</v>
      </c>
      <c r="H785" s="29" t="s">
        <v>980</v>
      </c>
      <c r="I785" s="29" t="s">
        <v>204</v>
      </c>
      <c r="J785" s="29" t="s">
        <v>416</v>
      </c>
      <c r="K785" s="29" t="s">
        <v>1447</v>
      </c>
      <c r="L785" s="29" t="s">
        <v>1269</v>
      </c>
      <c r="M785" s="29" t="s">
        <v>741</v>
      </c>
      <c r="N785" s="29" t="s">
        <v>985</v>
      </c>
      <c r="O785" s="29" t="s">
        <v>141</v>
      </c>
      <c r="P785" s="30" t="s">
        <v>1448</v>
      </c>
    </row>
    <row r="786" s="25" customFormat="1" spans="1:16">
      <c r="A786" s="29" t="s">
        <v>1447</v>
      </c>
      <c r="B786" s="29" t="s">
        <v>1431</v>
      </c>
      <c r="C786" s="29" t="s">
        <v>47</v>
      </c>
      <c r="D786" s="29" t="s">
        <v>812</v>
      </c>
      <c r="E786" s="29" t="s">
        <v>47</v>
      </c>
      <c r="F786" s="29" t="s">
        <v>51</v>
      </c>
      <c r="G786" s="29" t="s">
        <v>979</v>
      </c>
      <c r="H786" s="29" t="s">
        <v>980</v>
      </c>
      <c r="I786" s="29" t="s">
        <v>204</v>
      </c>
      <c r="J786" s="29" t="s">
        <v>420</v>
      </c>
      <c r="K786" s="29" t="s">
        <v>1449</v>
      </c>
      <c r="L786" s="29" t="s">
        <v>1272</v>
      </c>
      <c r="M786" s="29" t="s">
        <v>741</v>
      </c>
      <c r="N786" s="29" t="s">
        <v>985</v>
      </c>
      <c r="O786" s="29" t="s">
        <v>141</v>
      </c>
      <c r="P786" s="30" t="s">
        <v>1450</v>
      </c>
    </row>
    <row r="787" s="25" customFormat="1" spans="1:16">
      <c r="A787" s="29" t="s">
        <v>1449</v>
      </c>
      <c r="B787" s="29" t="s">
        <v>1431</v>
      </c>
      <c r="C787" s="29" t="s">
        <v>47</v>
      </c>
      <c r="D787" s="29" t="s">
        <v>812</v>
      </c>
      <c r="E787" s="29" t="s">
        <v>47</v>
      </c>
      <c r="F787" s="29" t="s">
        <v>51</v>
      </c>
      <c r="G787" s="29" t="s">
        <v>979</v>
      </c>
      <c r="H787" s="29" t="s">
        <v>980</v>
      </c>
      <c r="I787" s="29" t="s">
        <v>204</v>
      </c>
      <c r="J787" s="29" t="s">
        <v>424</v>
      </c>
      <c r="K787" s="29" t="s">
        <v>1451</v>
      </c>
      <c r="L787" s="29" t="s">
        <v>1334</v>
      </c>
      <c r="M787" s="29" t="s">
        <v>741</v>
      </c>
      <c r="N787" s="29" t="s">
        <v>985</v>
      </c>
      <c r="O787" s="29" t="s">
        <v>141</v>
      </c>
      <c r="P787" s="30" t="s">
        <v>1452</v>
      </c>
    </row>
    <row r="788" s="25" customFormat="1" spans="1:16">
      <c r="A788" s="29" t="s">
        <v>1451</v>
      </c>
      <c r="B788" s="29" t="s">
        <v>1431</v>
      </c>
      <c r="C788" s="29" t="s">
        <v>47</v>
      </c>
      <c r="D788" s="29" t="s">
        <v>812</v>
      </c>
      <c r="E788" s="29" t="s">
        <v>47</v>
      </c>
      <c r="F788" s="29" t="s">
        <v>51</v>
      </c>
      <c r="G788" s="29" t="s">
        <v>979</v>
      </c>
      <c r="H788" s="29" t="s">
        <v>980</v>
      </c>
      <c r="I788" s="29" t="s">
        <v>204</v>
      </c>
      <c r="J788" s="29" t="s">
        <v>631</v>
      </c>
      <c r="K788" s="29" t="s">
        <v>1453</v>
      </c>
      <c r="L788" s="29" t="s">
        <v>1336</v>
      </c>
      <c r="M788" s="29" t="s">
        <v>741</v>
      </c>
      <c r="N788" s="29" t="s">
        <v>985</v>
      </c>
      <c r="O788" s="29" t="s">
        <v>141</v>
      </c>
      <c r="P788" s="30" t="s">
        <v>1454</v>
      </c>
    </row>
    <row r="789" s="25" customFormat="1" spans="1:16">
      <c r="A789" s="29" t="s">
        <v>1453</v>
      </c>
      <c r="B789" s="29" t="s">
        <v>1431</v>
      </c>
      <c r="C789" s="29" t="s">
        <v>47</v>
      </c>
      <c r="D789" s="29" t="s">
        <v>812</v>
      </c>
      <c r="E789" s="29" t="s">
        <v>47</v>
      </c>
      <c r="F789" s="29" t="s">
        <v>51</v>
      </c>
      <c r="G789" s="29" t="s">
        <v>979</v>
      </c>
      <c r="H789" s="29" t="s">
        <v>980</v>
      </c>
      <c r="I789" s="29" t="s">
        <v>204</v>
      </c>
      <c r="J789" s="29" t="s">
        <v>635</v>
      </c>
      <c r="K789" s="29" t="s">
        <v>1455</v>
      </c>
      <c r="L789" s="29" t="s">
        <v>1339</v>
      </c>
      <c r="M789" s="29" t="s">
        <v>741</v>
      </c>
      <c r="N789" s="29" t="s">
        <v>985</v>
      </c>
      <c r="O789" s="29" t="s">
        <v>141</v>
      </c>
      <c r="P789" s="30" t="s">
        <v>1456</v>
      </c>
    </row>
    <row r="790" s="25" customFormat="1" spans="1:16">
      <c r="A790" s="29" t="s">
        <v>1455</v>
      </c>
      <c r="B790" s="29" t="s">
        <v>1431</v>
      </c>
      <c r="C790" s="29" t="s">
        <v>47</v>
      </c>
      <c r="D790" s="29" t="s">
        <v>812</v>
      </c>
      <c r="E790" s="29" t="s">
        <v>47</v>
      </c>
      <c r="F790" s="29" t="s">
        <v>51</v>
      </c>
      <c r="G790" s="29" t="s">
        <v>979</v>
      </c>
      <c r="H790" s="29" t="s">
        <v>980</v>
      </c>
      <c r="I790" s="29" t="s">
        <v>204</v>
      </c>
      <c r="J790" s="29" t="s">
        <v>639</v>
      </c>
      <c r="K790" s="29" t="s">
        <v>1457</v>
      </c>
      <c r="L790" s="29" t="s">
        <v>1342</v>
      </c>
      <c r="M790" s="29" t="s">
        <v>741</v>
      </c>
      <c r="N790" s="29" t="s">
        <v>985</v>
      </c>
      <c r="O790" s="29" t="s">
        <v>141</v>
      </c>
      <c r="P790" s="30" t="s">
        <v>1458</v>
      </c>
    </row>
    <row r="791" s="25" customFormat="1" spans="1:16">
      <c r="A791" s="29" t="s">
        <v>1457</v>
      </c>
      <c r="B791" s="29" t="s">
        <v>1431</v>
      </c>
      <c r="C791" s="29" t="s">
        <v>47</v>
      </c>
      <c r="D791" s="29" t="s">
        <v>812</v>
      </c>
      <c r="E791" s="29" t="s">
        <v>47</v>
      </c>
      <c r="F791" s="29" t="s">
        <v>51</v>
      </c>
      <c r="G791" s="29" t="s">
        <v>979</v>
      </c>
      <c r="H791" s="29" t="s">
        <v>980</v>
      </c>
      <c r="I791" s="29" t="s">
        <v>204</v>
      </c>
      <c r="J791" s="29" t="s">
        <v>643</v>
      </c>
      <c r="K791" s="29" t="s">
        <v>1459</v>
      </c>
      <c r="L791" s="29" t="s">
        <v>1345</v>
      </c>
      <c r="M791" s="29" t="s">
        <v>741</v>
      </c>
      <c r="N791" s="29" t="s">
        <v>985</v>
      </c>
      <c r="O791" s="29" t="s">
        <v>141</v>
      </c>
      <c r="P791" s="30" t="s">
        <v>1460</v>
      </c>
    </row>
    <row r="792" s="25" customFormat="1" spans="1:16">
      <c r="A792" s="29" t="s">
        <v>1459</v>
      </c>
      <c r="B792" s="29" t="s">
        <v>1431</v>
      </c>
      <c r="C792" s="29" t="s">
        <v>47</v>
      </c>
      <c r="D792" s="29" t="s">
        <v>812</v>
      </c>
      <c r="E792" s="29" t="s">
        <v>47</v>
      </c>
      <c r="F792" s="29" t="s">
        <v>51</v>
      </c>
      <c r="G792" s="29" t="s">
        <v>979</v>
      </c>
      <c r="H792" s="29" t="s">
        <v>980</v>
      </c>
      <c r="I792" s="29" t="s">
        <v>204</v>
      </c>
      <c r="J792" s="29" t="s">
        <v>647</v>
      </c>
      <c r="K792" s="29" t="s">
        <v>39</v>
      </c>
      <c r="L792" s="29" t="s">
        <v>39</v>
      </c>
      <c r="M792" s="29" t="s">
        <v>39</v>
      </c>
      <c r="N792" s="29" t="s">
        <v>985</v>
      </c>
      <c r="O792" s="29" t="s">
        <v>141</v>
      </c>
      <c r="P792" s="30" t="s">
        <v>1461</v>
      </c>
    </row>
    <row r="793" s="25" customFormat="1" spans="1:16">
      <c r="A793" s="29" t="s">
        <v>1462</v>
      </c>
      <c r="B793" s="29" t="s">
        <v>1462</v>
      </c>
      <c r="C793" s="29" t="s">
        <v>47</v>
      </c>
      <c r="D793" s="29" t="s">
        <v>812</v>
      </c>
      <c r="E793" s="29" t="s">
        <v>47</v>
      </c>
      <c r="F793" s="29" t="s">
        <v>51</v>
      </c>
      <c r="G793" s="29" t="s">
        <v>1005</v>
      </c>
      <c r="H793" s="29" t="s">
        <v>1006</v>
      </c>
      <c r="I793" s="29" t="s">
        <v>204</v>
      </c>
      <c r="J793" s="29" t="s">
        <v>39</v>
      </c>
      <c r="K793" s="29" t="s">
        <v>1463</v>
      </c>
      <c r="L793" s="29" t="s">
        <v>945</v>
      </c>
      <c r="M793" s="29" t="s">
        <v>773</v>
      </c>
      <c r="N793" s="29" t="s">
        <v>1008</v>
      </c>
      <c r="O793" s="29" t="s">
        <v>145</v>
      </c>
      <c r="P793" s="30" t="s">
        <v>1009</v>
      </c>
    </row>
    <row r="794" s="25" customFormat="1" spans="1:16">
      <c r="A794" s="29" t="s">
        <v>1463</v>
      </c>
      <c r="B794" s="29" t="s">
        <v>1462</v>
      </c>
      <c r="C794" s="29" t="s">
        <v>47</v>
      </c>
      <c r="D794" s="29" t="s">
        <v>812</v>
      </c>
      <c r="E794" s="29" t="s">
        <v>47</v>
      </c>
      <c r="F794" s="29" t="s">
        <v>51</v>
      </c>
      <c r="G794" s="29" t="s">
        <v>1005</v>
      </c>
      <c r="H794" s="29" t="s">
        <v>1006</v>
      </c>
      <c r="I794" s="29" t="s">
        <v>204</v>
      </c>
      <c r="J794" s="29" t="s">
        <v>35</v>
      </c>
      <c r="K794" s="29" t="s">
        <v>1464</v>
      </c>
      <c r="L794" s="29" t="s">
        <v>949</v>
      </c>
      <c r="M794" s="29" t="s">
        <v>773</v>
      </c>
      <c r="N794" s="29" t="s">
        <v>1011</v>
      </c>
      <c r="O794" s="29" t="s">
        <v>145</v>
      </c>
      <c r="P794" s="30" t="s">
        <v>1012</v>
      </c>
    </row>
    <row r="795" s="25" customFormat="1" spans="1:16">
      <c r="A795" s="29" t="s">
        <v>1464</v>
      </c>
      <c r="B795" s="29" t="s">
        <v>1462</v>
      </c>
      <c r="C795" s="29" t="s">
        <v>47</v>
      </c>
      <c r="D795" s="29" t="s">
        <v>812</v>
      </c>
      <c r="E795" s="29" t="s">
        <v>47</v>
      </c>
      <c r="F795" s="29" t="s">
        <v>51</v>
      </c>
      <c r="G795" s="29" t="s">
        <v>1005</v>
      </c>
      <c r="H795" s="29" t="s">
        <v>1006</v>
      </c>
      <c r="I795" s="29" t="s">
        <v>204</v>
      </c>
      <c r="J795" s="29" t="s">
        <v>47</v>
      </c>
      <c r="K795" s="29" t="s">
        <v>1465</v>
      </c>
      <c r="L795" s="29" t="s">
        <v>953</v>
      </c>
      <c r="M795" s="29" t="s">
        <v>773</v>
      </c>
      <c r="N795" s="29" t="s">
        <v>1011</v>
      </c>
      <c r="O795" s="29" t="s">
        <v>145</v>
      </c>
      <c r="P795" s="30" t="s">
        <v>1014</v>
      </c>
    </row>
    <row r="796" s="25" customFormat="1" spans="1:16">
      <c r="A796" s="29" t="s">
        <v>1465</v>
      </c>
      <c r="B796" s="29" t="s">
        <v>1462</v>
      </c>
      <c r="C796" s="29" t="s">
        <v>47</v>
      </c>
      <c r="D796" s="29" t="s">
        <v>812</v>
      </c>
      <c r="E796" s="29" t="s">
        <v>47</v>
      </c>
      <c r="F796" s="29" t="s">
        <v>51</v>
      </c>
      <c r="G796" s="29" t="s">
        <v>1005</v>
      </c>
      <c r="H796" s="29" t="s">
        <v>1006</v>
      </c>
      <c r="I796" s="29" t="s">
        <v>204</v>
      </c>
      <c r="J796" s="29" t="s">
        <v>51</v>
      </c>
      <c r="K796" s="29" t="s">
        <v>1466</v>
      </c>
      <c r="L796" s="29" t="s">
        <v>956</v>
      </c>
      <c r="M796" s="29" t="s">
        <v>773</v>
      </c>
      <c r="N796" s="29" t="s">
        <v>1011</v>
      </c>
      <c r="O796" s="29" t="s">
        <v>145</v>
      </c>
      <c r="P796" s="30" t="s">
        <v>1016</v>
      </c>
    </row>
    <row r="797" s="25" customFormat="1" spans="1:16">
      <c r="A797" s="29" t="s">
        <v>1466</v>
      </c>
      <c r="B797" s="29" t="s">
        <v>1462</v>
      </c>
      <c r="C797" s="29" t="s">
        <v>47</v>
      </c>
      <c r="D797" s="29" t="s">
        <v>812</v>
      </c>
      <c r="E797" s="29" t="s">
        <v>47</v>
      </c>
      <c r="F797" s="29" t="s">
        <v>51</v>
      </c>
      <c r="G797" s="29" t="s">
        <v>1005</v>
      </c>
      <c r="H797" s="29" t="s">
        <v>1006</v>
      </c>
      <c r="I797" s="29" t="s">
        <v>204</v>
      </c>
      <c r="J797" s="29" t="s">
        <v>55</v>
      </c>
      <c r="K797" s="29" t="s">
        <v>1467</v>
      </c>
      <c r="L797" s="29" t="s">
        <v>959</v>
      </c>
      <c r="M797" s="29" t="s">
        <v>773</v>
      </c>
      <c r="N797" s="29" t="s">
        <v>1011</v>
      </c>
      <c r="O797" s="29" t="s">
        <v>145</v>
      </c>
      <c r="P797" s="30" t="s">
        <v>1018</v>
      </c>
    </row>
    <row r="798" s="25" customFormat="1" spans="1:16">
      <c r="A798" s="29" t="s">
        <v>1467</v>
      </c>
      <c r="B798" s="29" t="s">
        <v>1462</v>
      </c>
      <c r="C798" s="29" t="s">
        <v>47</v>
      </c>
      <c r="D798" s="29" t="s">
        <v>812</v>
      </c>
      <c r="E798" s="29" t="s">
        <v>47</v>
      </c>
      <c r="F798" s="29" t="s">
        <v>51</v>
      </c>
      <c r="G798" s="29" t="s">
        <v>1005</v>
      </c>
      <c r="H798" s="29" t="s">
        <v>1006</v>
      </c>
      <c r="I798" s="29" t="s">
        <v>204</v>
      </c>
      <c r="J798" s="29" t="s">
        <v>59</v>
      </c>
      <c r="K798" s="29" t="s">
        <v>1468</v>
      </c>
      <c r="L798" s="29" t="s">
        <v>962</v>
      </c>
      <c r="M798" s="29" t="s">
        <v>773</v>
      </c>
      <c r="N798" s="29" t="s">
        <v>1011</v>
      </c>
      <c r="O798" s="29" t="s">
        <v>145</v>
      </c>
      <c r="P798" s="30" t="s">
        <v>1020</v>
      </c>
    </row>
    <row r="799" s="25" customFormat="1" spans="1:16">
      <c r="A799" s="29" t="s">
        <v>1468</v>
      </c>
      <c r="B799" s="29" t="s">
        <v>1462</v>
      </c>
      <c r="C799" s="29" t="s">
        <v>47</v>
      </c>
      <c r="D799" s="29" t="s">
        <v>812</v>
      </c>
      <c r="E799" s="29" t="s">
        <v>47</v>
      </c>
      <c r="F799" s="29" t="s">
        <v>51</v>
      </c>
      <c r="G799" s="29" t="s">
        <v>1005</v>
      </c>
      <c r="H799" s="29" t="s">
        <v>1006</v>
      </c>
      <c r="I799" s="29" t="s">
        <v>204</v>
      </c>
      <c r="J799" s="29" t="s">
        <v>129</v>
      </c>
      <c r="K799" s="29" t="s">
        <v>1469</v>
      </c>
      <c r="L799" s="29" t="s">
        <v>965</v>
      </c>
      <c r="M799" s="29" t="s">
        <v>773</v>
      </c>
      <c r="N799" s="29" t="s">
        <v>1011</v>
      </c>
      <c r="O799" s="29" t="s">
        <v>145</v>
      </c>
      <c r="P799" s="30" t="s">
        <v>1022</v>
      </c>
    </row>
    <row r="800" s="25" customFormat="1" spans="1:16">
      <c r="A800" s="29" t="s">
        <v>1469</v>
      </c>
      <c r="B800" s="29" t="s">
        <v>1462</v>
      </c>
      <c r="C800" s="29" t="s">
        <v>47</v>
      </c>
      <c r="D800" s="29" t="s">
        <v>812</v>
      </c>
      <c r="E800" s="29" t="s">
        <v>47</v>
      </c>
      <c r="F800" s="29" t="s">
        <v>51</v>
      </c>
      <c r="G800" s="29" t="s">
        <v>1005</v>
      </c>
      <c r="H800" s="29" t="s">
        <v>1006</v>
      </c>
      <c r="I800" s="29" t="s">
        <v>204</v>
      </c>
      <c r="J800" s="29" t="s">
        <v>133</v>
      </c>
      <c r="K800" s="29" t="s">
        <v>1470</v>
      </c>
      <c r="L800" s="29" t="s">
        <v>968</v>
      </c>
      <c r="M800" s="29" t="s">
        <v>773</v>
      </c>
      <c r="N800" s="29" t="s">
        <v>1011</v>
      </c>
      <c r="O800" s="29" t="s">
        <v>145</v>
      </c>
      <c r="P800" s="30" t="s">
        <v>1024</v>
      </c>
    </row>
    <row r="801" s="25" customFormat="1" spans="1:16">
      <c r="A801" s="29" t="s">
        <v>1470</v>
      </c>
      <c r="B801" s="29" t="s">
        <v>1462</v>
      </c>
      <c r="C801" s="29" t="s">
        <v>47</v>
      </c>
      <c r="D801" s="29" t="s">
        <v>812</v>
      </c>
      <c r="E801" s="29" t="s">
        <v>47</v>
      </c>
      <c r="F801" s="29" t="s">
        <v>51</v>
      </c>
      <c r="G801" s="29" t="s">
        <v>1005</v>
      </c>
      <c r="H801" s="29" t="s">
        <v>1006</v>
      </c>
      <c r="I801" s="29" t="s">
        <v>204</v>
      </c>
      <c r="J801" s="29" t="s">
        <v>137</v>
      </c>
      <c r="K801" s="29" t="s">
        <v>1471</v>
      </c>
      <c r="L801" s="29" t="s">
        <v>971</v>
      </c>
      <c r="M801" s="29" t="s">
        <v>773</v>
      </c>
      <c r="N801" s="29" t="s">
        <v>1011</v>
      </c>
      <c r="O801" s="29" t="s">
        <v>145</v>
      </c>
      <c r="P801" s="30" t="s">
        <v>1026</v>
      </c>
    </row>
    <row r="802" s="25" customFormat="1" spans="1:16">
      <c r="A802" s="29" t="s">
        <v>1471</v>
      </c>
      <c r="B802" s="29" t="s">
        <v>1462</v>
      </c>
      <c r="C802" s="29" t="s">
        <v>47</v>
      </c>
      <c r="D802" s="29" t="s">
        <v>812</v>
      </c>
      <c r="E802" s="29" t="s">
        <v>47</v>
      </c>
      <c r="F802" s="29" t="s">
        <v>51</v>
      </c>
      <c r="G802" s="29" t="s">
        <v>1005</v>
      </c>
      <c r="H802" s="29" t="s">
        <v>1006</v>
      </c>
      <c r="I802" s="29" t="s">
        <v>204</v>
      </c>
      <c r="J802" s="29" t="s">
        <v>141</v>
      </c>
      <c r="K802" s="29" t="s">
        <v>1472</v>
      </c>
      <c r="L802" s="29" t="s">
        <v>974</v>
      </c>
      <c r="M802" s="29" t="s">
        <v>773</v>
      </c>
      <c r="N802" s="29" t="s">
        <v>1011</v>
      </c>
      <c r="O802" s="29" t="s">
        <v>145</v>
      </c>
      <c r="P802" s="30" t="s">
        <v>1028</v>
      </c>
    </row>
    <row r="803" s="25" customFormat="1" spans="1:16">
      <c r="A803" s="29" t="s">
        <v>1472</v>
      </c>
      <c r="B803" s="29" t="s">
        <v>1462</v>
      </c>
      <c r="C803" s="29" t="s">
        <v>47</v>
      </c>
      <c r="D803" s="29" t="s">
        <v>812</v>
      </c>
      <c r="E803" s="29" t="s">
        <v>47</v>
      </c>
      <c r="F803" s="29" t="s">
        <v>51</v>
      </c>
      <c r="G803" s="29" t="s">
        <v>1005</v>
      </c>
      <c r="H803" s="29" t="s">
        <v>1006</v>
      </c>
      <c r="I803" s="29" t="s">
        <v>204</v>
      </c>
      <c r="J803" s="29" t="s">
        <v>145</v>
      </c>
      <c r="K803" s="29" t="s">
        <v>1473</v>
      </c>
      <c r="L803" s="29" t="s">
        <v>976</v>
      </c>
      <c r="M803" s="29" t="s">
        <v>773</v>
      </c>
      <c r="N803" s="29" t="s">
        <v>1011</v>
      </c>
      <c r="O803" s="29" t="s">
        <v>145</v>
      </c>
      <c r="P803" s="30" t="s">
        <v>1029</v>
      </c>
    </row>
    <row r="804" s="25" customFormat="1" spans="1:16">
      <c r="A804" s="29" t="s">
        <v>1473</v>
      </c>
      <c r="B804" s="29" t="s">
        <v>1462</v>
      </c>
      <c r="C804" s="29" t="s">
        <v>47</v>
      </c>
      <c r="D804" s="29" t="s">
        <v>812</v>
      </c>
      <c r="E804" s="29" t="s">
        <v>47</v>
      </c>
      <c r="F804" s="29" t="s">
        <v>51</v>
      </c>
      <c r="G804" s="29" t="s">
        <v>1005</v>
      </c>
      <c r="H804" s="29" t="s">
        <v>1006</v>
      </c>
      <c r="I804" s="29" t="s">
        <v>204</v>
      </c>
      <c r="J804" s="29" t="s">
        <v>408</v>
      </c>
      <c r="K804" s="29" t="s">
        <v>1474</v>
      </c>
      <c r="L804" s="29" t="s">
        <v>1239</v>
      </c>
      <c r="M804" s="29" t="s">
        <v>773</v>
      </c>
      <c r="N804" s="29" t="s">
        <v>1011</v>
      </c>
      <c r="O804" s="29" t="s">
        <v>145</v>
      </c>
      <c r="P804" s="30" t="s">
        <v>1475</v>
      </c>
    </row>
    <row r="805" s="25" customFormat="1" spans="1:16">
      <c r="A805" s="29" t="s">
        <v>1474</v>
      </c>
      <c r="B805" s="29" t="s">
        <v>1462</v>
      </c>
      <c r="C805" s="29" t="s">
        <v>47</v>
      </c>
      <c r="D805" s="29" t="s">
        <v>812</v>
      </c>
      <c r="E805" s="29" t="s">
        <v>47</v>
      </c>
      <c r="F805" s="29" t="s">
        <v>51</v>
      </c>
      <c r="G805" s="29" t="s">
        <v>1005</v>
      </c>
      <c r="H805" s="29" t="s">
        <v>1006</v>
      </c>
      <c r="I805" s="29" t="s">
        <v>204</v>
      </c>
      <c r="J805" s="29" t="s">
        <v>412</v>
      </c>
      <c r="K805" s="29" t="s">
        <v>1476</v>
      </c>
      <c r="L805" s="29" t="s">
        <v>1242</v>
      </c>
      <c r="M805" s="29" t="s">
        <v>773</v>
      </c>
      <c r="N805" s="29" t="s">
        <v>1011</v>
      </c>
      <c r="O805" s="29" t="s">
        <v>145</v>
      </c>
      <c r="P805" s="30" t="s">
        <v>1477</v>
      </c>
    </row>
    <row r="806" s="25" customFormat="1" spans="1:16">
      <c r="A806" s="29" t="s">
        <v>1476</v>
      </c>
      <c r="B806" s="29" t="s">
        <v>1462</v>
      </c>
      <c r="C806" s="29" t="s">
        <v>47</v>
      </c>
      <c r="D806" s="29" t="s">
        <v>812</v>
      </c>
      <c r="E806" s="29" t="s">
        <v>47</v>
      </c>
      <c r="F806" s="29" t="s">
        <v>51</v>
      </c>
      <c r="G806" s="29" t="s">
        <v>1005</v>
      </c>
      <c r="H806" s="29" t="s">
        <v>1006</v>
      </c>
      <c r="I806" s="29" t="s">
        <v>204</v>
      </c>
      <c r="J806" s="29" t="s">
        <v>416</v>
      </c>
      <c r="K806" s="29" t="s">
        <v>1478</v>
      </c>
      <c r="L806" s="29" t="s">
        <v>1269</v>
      </c>
      <c r="M806" s="29" t="s">
        <v>773</v>
      </c>
      <c r="N806" s="29" t="s">
        <v>1011</v>
      </c>
      <c r="O806" s="29" t="s">
        <v>145</v>
      </c>
      <c r="P806" s="30" t="s">
        <v>1479</v>
      </c>
    </row>
    <row r="807" s="25" customFormat="1" spans="1:16">
      <c r="A807" s="29" t="s">
        <v>1478</v>
      </c>
      <c r="B807" s="29" t="s">
        <v>1462</v>
      </c>
      <c r="C807" s="29" t="s">
        <v>47</v>
      </c>
      <c r="D807" s="29" t="s">
        <v>812</v>
      </c>
      <c r="E807" s="29" t="s">
        <v>47</v>
      </c>
      <c r="F807" s="29" t="s">
        <v>51</v>
      </c>
      <c r="G807" s="29" t="s">
        <v>1005</v>
      </c>
      <c r="H807" s="29" t="s">
        <v>1006</v>
      </c>
      <c r="I807" s="29" t="s">
        <v>204</v>
      </c>
      <c r="J807" s="29" t="s">
        <v>420</v>
      </c>
      <c r="K807" s="29" t="s">
        <v>1480</v>
      </c>
      <c r="L807" s="29" t="s">
        <v>1272</v>
      </c>
      <c r="M807" s="29" t="s">
        <v>773</v>
      </c>
      <c r="N807" s="29" t="s">
        <v>1011</v>
      </c>
      <c r="O807" s="29" t="s">
        <v>145</v>
      </c>
      <c r="P807" s="30" t="s">
        <v>1481</v>
      </c>
    </row>
    <row r="808" s="25" customFormat="1" spans="1:16">
      <c r="A808" s="29" t="s">
        <v>1480</v>
      </c>
      <c r="B808" s="29" t="s">
        <v>1462</v>
      </c>
      <c r="C808" s="29" t="s">
        <v>47</v>
      </c>
      <c r="D808" s="29" t="s">
        <v>812</v>
      </c>
      <c r="E808" s="29" t="s">
        <v>47</v>
      </c>
      <c r="F808" s="29" t="s">
        <v>51</v>
      </c>
      <c r="G808" s="29" t="s">
        <v>1005</v>
      </c>
      <c r="H808" s="29" t="s">
        <v>1006</v>
      </c>
      <c r="I808" s="29" t="s">
        <v>204</v>
      </c>
      <c r="J808" s="29" t="s">
        <v>424</v>
      </c>
      <c r="K808" s="29" t="s">
        <v>1482</v>
      </c>
      <c r="L808" s="29" t="s">
        <v>1334</v>
      </c>
      <c r="M808" s="29" t="s">
        <v>773</v>
      </c>
      <c r="N808" s="29" t="s">
        <v>1011</v>
      </c>
      <c r="O808" s="29" t="s">
        <v>145</v>
      </c>
      <c r="P808" s="30" t="s">
        <v>1483</v>
      </c>
    </row>
    <row r="809" s="25" customFormat="1" spans="1:16">
      <c r="A809" s="29" t="s">
        <v>1482</v>
      </c>
      <c r="B809" s="29" t="s">
        <v>1462</v>
      </c>
      <c r="C809" s="29" t="s">
        <v>47</v>
      </c>
      <c r="D809" s="29" t="s">
        <v>812</v>
      </c>
      <c r="E809" s="29" t="s">
        <v>47</v>
      </c>
      <c r="F809" s="29" t="s">
        <v>51</v>
      </c>
      <c r="G809" s="29" t="s">
        <v>1005</v>
      </c>
      <c r="H809" s="29" t="s">
        <v>1006</v>
      </c>
      <c r="I809" s="29" t="s">
        <v>204</v>
      </c>
      <c r="J809" s="29" t="s">
        <v>631</v>
      </c>
      <c r="K809" s="29" t="s">
        <v>1484</v>
      </c>
      <c r="L809" s="29" t="s">
        <v>1336</v>
      </c>
      <c r="M809" s="29" t="s">
        <v>773</v>
      </c>
      <c r="N809" s="29" t="s">
        <v>1011</v>
      </c>
      <c r="O809" s="29" t="s">
        <v>145</v>
      </c>
      <c r="P809" s="30" t="s">
        <v>1485</v>
      </c>
    </row>
    <row r="810" s="25" customFormat="1" spans="1:16">
      <c r="A810" s="29" t="s">
        <v>1484</v>
      </c>
      <c r="B810" s="29" t="s">
        <v>1462</v>
      </c>
      <c r="C810" s="29" t="s">
        <v>47</v>
      </c>
      <c r="D810" s="29" t="s">
        <v>812</v>
      </c>
      <c r="E810" s="29" t="s">
        <v>47</v>
      </c>
      <c r="F810" s="29" t="s">
        <v>51</v>
      </c>
      <c r="G810" s="29" t="s">
        <v>1005</v>
      </c>
      <c r="H810" s="29" t="s">
        <v>1006</v>
      </c>
      <c r="I810" s="29" t="s">
        <v>204</v>
      </c>
      <c r="J810" s="29" t="s">
        <v>635</v>
      </c>
      <c r="K810" s="29" t="s">
        <v>1486</v>
      </c>
      <c r="L810" s="29" t="s">
        <v>1339</v>
      </c>
      <c r="M810" s="29" t="s">
        <v>773</v>
      </c>
      <c r="N810" s="29" t="s">
        <v>1011</v>
      </c>
      <c r="O810" s="29" t="s">
        <v>145</v>
      </c>
      <c r="P810" s="30" t="s">
        <v>1487</v>
      </c>
    </row>
    <row r="811" s="25" customFormat="1" spans="1:16">
      <c r="A811" s="29" t="s">
        <v>1486</v>
      </c>
      <c r="B811" s="29" t="s">
        <v>1462</v>
      </c>
      <c r="C811" s="29" t="s">
        <v>47</v>
      </c>
      <c r="D811" s="29" t="s">
        <v>812</v>
      </c>
      <c r="E811" s="29" t="s">
        <v>47</v>
      </c>
      <c r="F811" s="29" t="s">
        <v>51</v>
      </c>
      <c r="G811" s="29" t="s">
        <v>1005</v>
      </c>
      <c r="H811" s="29" t="s">
        <v>1006</v>
      </c>
      <c r="I811" s="29" t="s">
        <v>204</v>
      </c>
      <c r="J811" s="29" t="s">
        <v>639</v>
      </c>
      <c r="K811" s="29" t="s">
        <v>1488</v>
      </c>
      <c r="L811" s="29" t="s">
        <v>1342</v>
      </c>
      <c r="M811" s="29" t="s">
        <v>773</v>
      </c>
      <c r="N811" s="29" t="s">
        <v>1011</v>
      </c>
      <c r="O811" s="29" t="s">
        <v>145</v>
      </c>
      <c r="P811" s="30" t="s">
        <v>1489</v>
      </c>
    </row>
    <row r="812" s="25" customFormat="1" spans="1:16">
      <c r="A812" s="29" t="s">
        <v>1488</v>
      </c>
      <c r="B812" s="29" t="s">
        <v>1462</v>
      </c>
      <c r="C812" s="29" t="s">
        <v>47</v>
      </c>
      <c r="D812" s="29" t="s">
        <v>812</v>
      </c>
      <c r="E812" s="29" t="s">
        <v>47</v>
      </c>
      <c r="F812" s="29" t="s">
        <v>51</v>
      </c>
      <c r="G812" s="29" t="s">
        <v>1005</v>
      </c>
      <c r="H812" s="29" t="s">
        <v>1006</v>
      </c>
      <c r="I812" s="29" t="s">
        <v>204</v>
      </c>
      <c r="J812" s="29" t="s">
        <v>643</v>
      </c>
      <c r="K812" s="29" t="s">
        <v>1490</v>
      </c>
      <c r="L812" s="29" t="s">
        <v>1345</v>
      </c>
      <c r="M812" s="29" t="s">
        <v>773</v>
      </c>
      <c r="N812" s="29" t="s">
        <v>1011</v>
      </c>
      <c r="O812" s="29" t="s">
        <v>145</v>
      </c>
      <c r="P812" s="30" t="s">
        <v>1491</v>
      </c>
    </row>
    <row r="813" s="25" customFormat="1" spans="1:16">
      <c r="A813" s="29" t="s">
        <v>1490</v>
      </c>
      <c r="B813" s="29" t="s">
        <v>1462</v>
      </c>
      <c r="C813" s="29" t="s">
        <v>47</v>
      </c>
      <c r="D813" s="29" t="s">
        <v>812</v>
      </c>
      <c r="E813" s="29" t="s">
        <v>47</v>
      </c>
      <c r="F813" s="29" t="s">
        <v>51</v>
      </c>
      <c r="G813" s="29" t="s">
        <v>1005</v>
      </c>
      <c r="H813" s="29" t="s">
        <v>1006</v>
      </c>
      <c r="I813" s="29" t="s">
        <v>204</v>
      </c>
      <c r="J813" s="29" t="s">
        <v>647</v>
      </c>
      <c r="K813" s="29" t="s">
        <v>39</v>
      </c>
      <c r="L813" s="29" t="s">
        <v>39</v>
      </c>
      <c r="M813" s="29" t="s">
        <v>39</v>
      </c>
      <c r="N813" s="29" t="s">
        <v>1011</v>
      </c>
      <c r="O813" s="29" t="s">
        <v>145</v>
      </c>
      <c r="P813" s="30" t="s">
        <v>1492</v>
      </c>
    </row>
    <row r="814" s="25" customFormat="1" spans="1:16">
      <c r="A814" s="29" t="s">
        <v>1493</v>
      </c>
      <c r="B814" s="29" t="s">
        <v>1493</v>
      </c>
      <c r="C814" s="29" t="s">
        <v>51</v>
      </c>
      <c r="D814" s="29" t="s">
        <v>1494</v>
      </c>
      <c r="E814" s="29" t="s">
        <v>35</v>
      </c>
      <c r="F814" s="29" t="s">
        <v>35</v>
      </c>
      <c r="G814" s="29" t="s">
        <v>37</v>
      </c>
      <c r="H814" s="29" t="s">
        <v>38</v>
      </c>
      <c r="I814" s="29" t="s">
        <v>39</v>
      </c>
      <c r="J814" s="29" t="s">
        <v>39</v>
      </c>
      <c r="K814" s="29" t="s">
        <v>1494</v>
      </c>
      <c r="L814" s="29" t="s">
        <v>1495</v>
      </c>
      <c r="M814" s="29" t="s">
        <v>39</v>
      </c>
      <c r="N814" s="29" t="s">
        <v>1496</v>
      </c>
      <c r="O814" s="29" t="s">
        <v>35</v>
      </c>
      <c r="P814" s="30" t="s">
        <v>1497</v>
      </c>
    </row>
    <row r="815" s="25" customFormat="1" spans="1:16">
      <c r="A815" s="29" t="s">
        <v>1494</v>
      </c>
      <c r="B815" s="29" t="s">
        <v>1493</v>
      </c>
      <c r="C815" s="29" t="s">
        <v>51</v>
      </c>
      <c r="D815" s="29" t="s">
        <v>1494</v>
      </c>
      <c r="E815" s="29" t="s">
        <v>35</v>
      </c>
      <c r="F815" s="29" t="s">
        <v>35</v>
      </c>
      <c r="G815" s="29" t="s">
        <v>37</v>
      </c>
      <c r="H815" s="29" t="s">
        <v>38</v>
      </c>
      <c r="I815" s="29" t="s">
        <v>39</v>
      </c>
      <c r="J815" s="29" t="s">
        <v>35</v>
      </c>
      <c r="K815" s="29" t="s">
        <v>1498</v>
      </c>
      <c r="L815" s="29" t="s">
        <v>1499</v>
      </c>
      <c r="M815" s="29" t="s">
        <v>39</v>
      </c>
      <c r="N815" s="29" t="s">
        <v>1500</v>
      </c>
      <c r="O815" s="29" t="s">
        <v>35</v>
      </c>
      <c r="P815" s="30" t="s">
        <v>1501</v>
      </c>
    </row>
    <row r="816" s="25" customFormat="1" spans="1:16">
      <c r="A816" s="29" t="s">
        <v>1498</v>
      </c>
      <c r="B816" s="29" t="s">
        <v>1493</v>
      </c>
      <c r="C816" s="29" t="s">
        <v>51</v>
      </c>
      <c r="D816" s="29" t="s">
        <v>1494</v>
      </c>
      <c r="E816" s="29" t="s">
        <v>35</v>
      </c>
      <c r="F816" s="29" t="s">
        <v>35</v>
      </c>
      <c r="G816" s="29" t="s">
        <v>37</v>
      </c>
      <c r="H816" s="29" t="s">
        <v>38</v>
      </c>
      <c r="I816" s="29" t="s">
        <v>39</v>
      </c>
      <c r="J816" s="29" t="s">
        <v>47</v>
      </c>
      <c r="K816" s="29" t="s">
        <v>1502</v>
      </c>
      <c r="L816" s="29" t="s">
        <v>1503</v>
      </c>
      <c r="M816" s="29" t="s">
        <v>39</v>
      </c>
      <c r="N816" s="29" t="s">
        <v>1500</v>
      </c>
      <c r="O816" s="29" t="s">
        <v>35</v>
      </c>
      <c r="P816" s="30" t="s">
        <v>1504</v>
      </c>
    </row>
    <row r="817" s="25" customFormat="1" spans="1:16">
      <c r="A817" s="29" t="s">
        <v>1502</v>
      </c>
      <c r="B817" s="29" t="s">
        <v>1493</v>
      </c>
      <c r="C817" s="29" t="s">
        <v>51</v>
      </c>
      <c r="D817" s="29" t="s">
        <v>1494</v>
      </c>
      <c r="E817" s="29" t="s">
        <v>35</v>
      </c>
      <c r="F817" s="29" t="s">
        <v>35</v>
      </c>
      <c r="G817" s="29" t="s">
        <v>37</v>
      </c>
      <c r="H817" s="29" t="s">
        <v>38</v>
      </c>
      <c r="I817" s="29" t="s">
        <v>39</v>
      </c>
      <c r="J817" s="29" t="s">
        <v>51</v>
      </c>
      <c r="K817" s="29" t="s">
        <v>1505</v>
      </c>
      <c r="L817" s="29" t="s">
        <v>1506</v>
      </c>
      <c r="M817" s="29" t="s">
        <v>39</v>
      </c>
      <c r="N817" s="29" t="s">
        <v>1500</v>
      </c>
      <c r="O817" s="29" t="s">
        <v>35</v>
      </c>
      <c r="P817" s="30" t="s">
        <v>1507</v>
      </c>
    </row>
    <row r="818" s="25" customFormat="1" spans="1:16">
      <c r="A818" s="29" t="s">
        <v>1505</v>
      </c>
      <c r="B818" s="29" t="s">
        <v>1493</v>
      </c>
      <c r="C818" s="29" t="s">
        <v>51</v>
      </c>
      <c r="D818" s="29" t="s">
        <v>1494</v>
      </c>
      <c r="E818" s="29" t="s">
        <v>35</v>
      </c>
      <c r="F818" s="29" t="s">
        <v>35</v>
      </c>
      <c r="G818" s="29" t="s">
        <v>37</v>
      </c>
      <c r="H818" s="29" t="s">
        <v>38</v>
      </c>
      <c r="I818" s="29" t="s">
        <v>39</v>
      </c>
      <c r="J818" s="29" t="s">
        <v>55</v>
      </c>
      <c r="K818" s="29" t="s">
        <v>1508</v>
      </c>
      <c r="L818" s="29" t="s">
        <v>1509</v>
      </c>
      <c r="M818" s="29" t="s">
        <v>39</v>
      </c>
      <c r="N818" s="29" t="s">
        <v>1500</v>
      </c>
      <c r="O818" s="29" t="s">
        <v>35</v>
      </c>
      <c r="P818" s="30" t="s">
        <v>1510</v>
      </c>
    </row>
    <row r="819" s="25" customFormat="1" spans="1:16">
      <c r="A819" s="29" t="s">
        <v>1508</v>
      </c>
      <c r="B819" s="29" t="s">
        <v>1493</v>
      </c>
      <c r="C819" s="29" t="s">
        <v>51</v>
      </c>
      <c r="D819" s="29" t="s">
        <v>1494</v>
      </c>
      <c r="E819" s="29" t="s">
        <v>35</v>
      </c>
      <c r="F819" s="29" t="s">
        <v>35</v>
      </c>
      <c r="G819" s="29" t="s">
        <v>37</v>
      </c>
      <c r="H819" s="29" t="s">
        <v>38</v>
      </c>
      <c r="I819" s="29" t="s">
        <v>39</v>
      </c>
      <c r="J819" s="29" t="s">
        <v>59</v>
      </c>
      <c r="K819" s="29" t="s">
        <v>39</v>
      </c>
      <c r="L819" s="29" t="s">
        <v>39</v>
      </c>
      <c r="M819" s="29" t="s">
        <v>39</v>
      </c>
      <c r="N819" s="29" t="s">
        <v>1500</v>
      </c>
      <c r="O819" s="29" t="s">
        <v>35</v>
      </c>
      <c r="P819" s="30" t="s">
        <v>1511</v>
      </c>
    </row>
    <row r="820" s="25" customFormat="1" spans="1:16">
      <c r="A820" s="29" t="s">
        <v>1512</v>
      </c>
      <c r="B820" s="29" t="s">
        <v>1512</v>
      </c>
      <c r="C820" s="29" t="s">
        <v>51</v>
      </c>
      <c r="D820" s="29" t="s">
        <v>1494</v>
      </c>
      <c r="E820" s="29" t="s">
        <v>35</v>
      </c>
      <c r="F820" s="29" t="s">
        <v>35</v>
      </c>
      <c r="G820" s="29" t="s">
        <v>62</v>
      </c>
      <c r="H820" s="29" t="s">
        <v>63</v>
      </c>
      <c r="I820" s="29" t="s">
        <v>39</v>
      </c>
      <c r="J820" s="29" t="s">
        <v>39</v>
      </c>
      <c r="K820" s="29" t="s">
        <v>1513</v>
      </c>
      <c r="L820" s="29" t="s">
        <v>1495</v>
      </c>
      <c r="M820" s="29" t="s">
        <v>65</v>
      </c>
      <c r="N820" s="29" t="s">
        <v>1514</v>
      </c>
      <c r="O820" s="29" t="s">
        <v>47</v>
      </c>
      <c r="P820" s="30" t="s">
        <v>1515</v>
      </c>
    </row>
    <row r="821" s="25" customFormat="1" spans="1:16">
      <c r="A821" s="29" t="s">
        <v>1513</v>
      </c>
      <c r="B821" s="29" t="s">
        <v>1512</v>
      </c>
      <c r="C821" s="29" t="s">
        <v>51</v>
      </c>
      <c r="D821" s="29" t="s">
        <v>1494</v>
      </c>
      <c r="E821" s="29" t="s">
        <v>35</v>
      </c>
      <c r="F821" s="29" t="s">
        <v>35</v>
      </c>
      <c r="G821" s="29" t="s">
        <v>62</v>
      </c>
      <c r="H821" s="29" t="s">
        <v>63</v>
      </c>
      <c r="I821" s="29" t="s">
        <v>39</v>
      </c>
      <c r="J821" s="29" t="s">
        <v>35</v>
      </c>
      <c r="K821" s="29" t="s">
        <v>1516</v>
      </c>
      <c r="L821" s="29" t="s">
        <v>1499</v>
      </c>
      <c r="M821" s="29" t="s">
        <v>65</v>
      </c>
      <c r="N821" s="29" t="s">
        <v>1517</v>
      </c>
      <c r="O821" s="29" t="s">
        <v>47</v>
      </c>
      <c r="P821" s="30" t="s">
        <v>1518</v>
      </c>
    </row>
    <row r="822" s="25" customFormat="1" spans="1:16">
      <c r="A822" s="29" t="s">
        <v>1516</v>
      </c>
      <c r="B822" s="29" t="s">
        <v>1512</v>
      </c>
      <c r="C822" s="29" t="s">
        <v>51</v>
      </c>
      <c r="D822" s="29" t="s">
        <v>1494</v>
      </c>
      <c r="E822" s="29" t="s">
        <v>35</v>
      </c>
      <c r="F822" s="29" t="s">
        <v>35</v>
      </c>
      <c r="G822" s="29" t="s">
        <v>62</v>
      </c>
      <c r="H822" s="29" t="s">
        <v>63</v>
      </c>
      <c r="I822" s="29" t="s">
        <v>39</v>
      </c>
      <c r="J822" s="29" t="s">
        <v>47</v>
      </c>
      <c r="K822" s="29" t="s">
        <v>1519</v>
      </c>
      <c r="L822" s="29" t="s">
        <v>1503</v>
      </c>
      <c r="M822" s="29" t="s">
        <v>65</v>
      </c>
      <c r="N822" s="29" t="s">
        <v>1517</v>
      </c>
      <c r="O822" s="29" t="s">
        <v>47</v>
      </c>
      <c r="P822" s="30" t="s">
        <v>1520</v>
      </c>
    </row>
    <row r="823" s="25" customFormat="1" spans="1:16">
      <c r="A823" s="29" t="s">
        <v>1519</v>
      </c>
      <c r="B823" s="29" t="s">
        <v>1512</v>
      </c>
      <c r="C823" s="29" t="s">
        <v>51</v>
      </c>
      <c r="D823" s="29" t="s">
        <v>1494</v>
      </c>
      <c r="E823" s="29" t="s">
        <v>35</v>
      </c>
      <c r="F823" s="29" t="s">
        <v>35</v>
      </c>
      <c r="G823" s="29" t="s">
        <v>62</v>
      </c>
      <c r="H823" s="29" t="s">
        <v>63</v>
      </c>
      <c r="I823" s="29" t="s">
        <v>39</v>
      </c>
      <c r="J823" s="29" t="s">
        <v>51</v>
      </c>
      <c r="K823" s="29" t="s">
        <v>1521</v>
      </c>
      <c r="L823" s="29" t="s">
        <v>1506</v>
      </c>
      <c r="M823" s="29" t="s">
        <v>65</v>
      </c>
      <c r="N823" s="29" t="s">
        <v>1517</v>
      </c>
      <c r="O823" s="29" t="s">
        <v>47</v>
      </c>
      <c r="P823" s="30" t="s">
        <v>1522</v>
      </c>
    </row>
    <row r="824" s="25" customFormat="1" spans="1:16">
      <c r="A824" s="29" t="s">
        <v>1521</v>
      </c>
      <c r="B824" s="29" t="s">
        <v>1512</v>
      </c>
      <c r="C824" s="29" t="s">
        <v>51</v>
      </c>
      <c r="D824" s="29" t="s">
        <v>1494</v>
      </c>
      <c r="E824" s="29" t="s">
        <v>35</v>
      </c>
      <c r="F824" s="29" t="s">
        <v>35</v>
      </c>
      <c r="G824" s="29" t="s">
        <v>62</v>
      </c>
      <c r="H824" s="29" t="s">
        <v>63</v>
      </c>
      <c r="I824" s="29" t="s">
        <v>39</v>
      </c>
      <c r="J824" s="29" t="s">
        <v>55</v>
      </c>
      <c r="K824" s="29" t="s">
        <v>1523</v>
      </c>
      <c r="L824" s="29" t="s">
        <v>1509</v>
      </c>
      <c r="M824" s="29" t="s">
        <v>65</v>
      </c>
      <c r="N824" s="29" t="s">
        <v>1517</v>
      </c>
      <c r="O824" s="29" t="s">
        <v>47</v>
      </c>
      <c r="P824" s="30" t="s">
        <v>1524</v>
      </c>
    </row>
    <row r="825" s="25" customFormat="1" spans="1:16">
      <c r="A825" s="29" t="s">
        <v>1523</v>
      </c>
      <c r="B825" s="29" t="s">
        <v>1512</v>
      </c>
      <c r="C825" s="29" t="s">
        <v>51</v>
      </c>
      <c r="D825" s="29" t="s">
        <v>1494</v>
      </c>
      <c r="E825" s="29" t="s">
        <v>35</v>
      </c>
      <c r="F825" s="29" t="s">
        <v>35</v>
      </c>
      <c r="G825" s="29" t="s">
        <v>62</v>
      </c>
      <c r="H825" s="29" t="s">
        <v>63</v>
      </c>
      <c r="I825" s="29" t="s">
        <v>39</v>
      </c>
      <c r="J825" s="29" t="s">
        <v>59</v>
      </c>
      <c r="K825" s="29" t="s">
        <v>39</v>
      </c>
      <c r="L825" s="29" t="s">
        <v>39</v>
      </c>
      <c r="M825" s="29" t="s">
        <v>39</v>
      </c>
      <c r="N825" s="29" t="s">
        <v>1517</v>
      </c>
      <c r="O825" s="29" t="s">
        <v>47</v>
      </c>
      <c r="P825" s="30" t="s">
        <v>1525</v>
      </c>
    </row>
    <row r="826" s="25" customFormat="1" spans="1:16">
      <c r="A826" s="29" t="s">
        <v>1526</v>
      </c>
      <c r="B826" s="29" t="s">
        <v>1526</v>
      </c>
      <c r="C826" s="29" t="s">
        <v>51</v>
      </c>
      <c r="D826" s="29" t="s">
        <v>1494</v>
      </c>
      <c r="E826" s="29" t="s">
        <v>35</v>
      </c>
      <c r="F826" s="29" t="s">
        <v>35</v>
      </c>
      <c r="G826" s="29" t="s">
        <v>79</v>
      </c>
      <c r="H826" s="29" t="s">
        <v>80</v>
      </c>
      <c r="I826" s="29" t="s">
        <v>39</v>
      </c>
      <c r="J826" s="29" t="s">
        <v>39</v>
      </c>
      <c r="K826" s="29" t="s">
        <v>1527</v>
      </c>
      <c r="L826" s="29" t="s">
        <v>1495</v>
      </c>
      <c r="M826" s="29" t="s">
        <v>65</v>
      </c>
      <c r="N826" s="29" t="s">
        <v>1528</v>
      </c>
      <c r="O826" s="29" t="s">
        <v>51</v>
      </c>
      <c r="P826" s="30" t="s">
        <v>1529</v>
      </c>
    </row>
    <row r="827" s="25" customFormat="1" spans="1:16">
      <c r="A827" s="29" t="s">
        <v>1527</v>
      </c>
      <c r="B827" s="29" t="s">
        <v>1526</v>
      </c>
      <c r="C827" s="29" t="s">
        <v>51</v>
      </c>
      <c r="D827" s="29" t="s">
        <v>1494</v>
      </c>
      <c r="E827" s="29" t="s">
        <v>35</v>
      </c>
      <c r="F827" s="29" t="s">
        <v>35</v>
      </c>
      <c r="G827" s="29" t="s">
        <v>79</v>
      </c>
      <c r="H827" s="29" t="s">
        <v>80</v>
      </c>
      <c r="I827" s="29" t="s">
        <v>39</v>
      </c>
      <c r="J827" s="29" t="s">
        <v>35</v>
      </c>
      <c r="K827" s="29" t="s">
        <v>1530</v>
      </c>
      <c r="L827" s="29" t="s">
        <v>1499</v>
      </c>
      <c r="M827" s="29" t="s">
        <v>65</v>
      </c>
      <c r="N827" s="29" t="s">
        <v>1531</v>
      </c>
      <c r="O827" s="29" t="s">
        <v>51</v>
      </c>
      <c r="P827" s="30" t="s">
        <v>1532</v>
      </c>
    </row>
    <row r="828" s="25" customFormat="1" spans="1:16">
      <c r="A828" s="29" t="s">
        <v>1530</v>
      </c>
      <c r="B828" s="29" t="s">
        <v>1526</v>
      </c>
      <c r="C828" s="29" t="s">
        <v>51</v>
      </c>
      <c r="D828" s="29" t="s">
        <v>1494</v>
      </c>
      <c r="E828" s="29" t="s">
        <v>35</v>
      </c>
      <c r="F828" s="29" t="s">
        <v>35</v>
      </c>
      <c r="G828" s="29" t="s">
        <v>79</v>
      </c>
      <c r="H828" s="29" t="s">
        <v>80</v>
      </c>
      <c r="I828" s="29" t="s">
        <v>39</v>
      </c>
      <c r="J828" s="29" t="s">
        <v>47</v>
      </c>
      <c r="K828" s="29" t="s">
        <v>1533</v>
      </c>
      <c r="L828" s="29" t="s">
        <v>1503</v>
      </c>
      <c r="M828" s="29" t="s">
        <v>65</v>
      </c>
      <c r="N828" s="29" t="s">
        <v>1531</v>
      </c>
      <c r="O828" s="29" t="s">
        <v>51</v>
      </c>
      <c r="P828" s="30" t="s">
        <v>1534</v>
      </c>
    </row>
    <row r="829" s="25" customFormat="1" spans="1:16">
      <c r="A829" s="29" t="s">
        <v>1533</v>
      </c>
      <c r="B829" s="29" t="s">
        <v>1526</v>
      </c>
      <c r="C829" s="29" t="s">
        <v>51</v>
      </c>
      <c r="D829" s="29" t="s">
        <v>1494</v>
      </c>
      <c r="E829" s="29" t="s">
        <v>35</v>
      </c>
      <c r="F829" s="29" t="s">
        <v>35</v>
      </c>
      <c r="G829" s="29" t="s">
        <v>79</v>
      </c>
      <c r="H829" s="29" t="s">
        <v>80</v>
      </c>
      <c r="I829" s="29" t="s">
        <v>39</v>
      </c>
      <c r="J829" s="29" t="s">
        <v>51</v>
      </c>
      <c r="K829" s="29" t="s">
        <v>1535</v>
      </c>
      <c r="L829" s="29" t="s">
        <v>1506</v>
      </c>
      <c r="M829" s="29" t="s">
        <v>65</v>
      </c>
      <c r="N829" s="29" t="s">
        <v>1531</v>
      </c>
      <c r="O829" s="29" t="s">
        <v>51</v>
      </c>
      <c r="P829" s="30" t="s">
        <v>1536</v>
      </c>
    </row>
    <row r="830" s="25" customFormat="1" spans="1:16">
      <c r="A830" s="29" t="s">
        <v>1535</v>
      </c>
      <c r="B830" s="29" t="s">
        <v>1526</v>
      </c>
      <c r="C830" s="29" t="s">
        <v>51</v>
      </c>
      <c r="D830" s="29" t="s">
        <v>1494</v>
      </c>
      <c r="E830" s="29" t="s">
        <v>35</v>
      </c>
      <c r="F830" s="29" t="s">
        <v>35</v>
      </c>
      <c r="G830" s="29" t="s">
        <v>79</v>
      </c>
      <c r="H830" s="29" t="s">
        <v>80</v>
      </c>
      <c r="I830" s="29" t="s">
        <v>39</v>
      </c>
      <c r="J830" s="29" t="s">
        <v>55</v>
      </c>
      <c r="K830" s="29" t="s">
        <v>1537</v>
      </c>
      <c r="L830" s="29" t="s">
        <v>1509</v>
      </c>
      <c r="M830" s="29" t="s">
        <v>65</v>
      </c>
      <c r="N830" s="29" t="s">
        <v>1531</v>
      </c>
      <c r="O830" s="29" t="s">
        <v>51</v>
      </c>
      <c r="P830" s="30" t="s">
        <v>1538</v>
      </c>
    </row>
    <row r="831" s="25" customFormat="1" spans="1:16">
      <c r="A831" s="29" t="s">
        <v>1537</v>
      </c>
      <c r="B831" s="29" t="s">
        <v>1526</v>
      </c>
      <c r="C831" s="29" t="s">
        <v>51</v>
      </c>
      <c r="D831" s="29" t="s">
        <v>1494</v>
      </c>
      <c r="E831" s="29" t="s">
        <v>35</v>
      </c>
      <c r="F831" s="29" t="s">
        <v>35</v>
      </c>
      <c r="G831" s="29" t="s">
        <v>79</v>
      </c>
      <c r="H831" s="29" t="s">
        <v>80</v>
      </c>
      <c r="I831" s="29" t="s">
        <v>39</v>
      </c>
      <c r="J831" s="29" t="s">
        <v>59</v>
      </c>
      <c r="K831" s="29" t="s">
        <v>39</v>
      </c>
      <c r="L831" s="29" t="s">
        <v>39</v>
      </c>
      <c r="M831" s="29" t="s">
        <v>39</v>
      </c>
      <c r="N831" s="29" t="s">
        <v>1531</v>
      </c>
      <c r="O831" s="29" t="s">
        <v>51</v>
      </c>
      <c r="P831" s="30" t="s">
        <v>1539</v>
      </c>
    </row>
    <row r="832" s="25" customFormat="1" spans="1:16">
      <c r="A832" s="29" t="s">
        <v>1540</v>
      </c>
      <c r="B832" s="29" t="s">
        <v>1540</v>
      </c>
      <c r="C832" s="29" t="s">
        <v>51</v>
      </c>
      <c r="D832" s="29" t="s">
        <v>1494</v>
      </c>
      <c r="E832" s="29" t="s">
        <v>35</v>
      </c>
      <c r="F832" s="29" t="s">
        <v>35</v>
      </c>
      <c r="G832" s="29" t="s">
        <v>95</v>
      </c>
      <c r="H832" s="29" t="s">
        <v>96</v>
      </c>
      <c r="I832" s="29" t="s">
        <v>39</v>
      </c>
      <c r="J832" s="29" t="s">
        <v>39</v>
      </c>
      <c r="K832" s="29" t="s">
        <v>1541</v>
      </c>
      <c r="L832" s="29" t="s">
        <v>1495</v>
      </c>
      <c r="M832" s="29" t="s">
        <v>65</v>
      </c>
      <c r="N832" s="29" t="s">
        <v>1542</v>
      </c>
      <c r="O832" s="29" t="s">
        <v>55</v>
      </c>
      <c r="P832" s="30" t="s">
        <v>1543</v>
      </c>
    </row>
    <row r="833" s="25" customFormat="1" spans="1:16">
      <c r="A833" s="29" t="s">
        <v>1541</v>
      </c>
      <c r="B833" s="29" t="s">
        <v>1540</v>
      </c>
      <c r="C833" s="29" t="s">
        <v>51</v>
      </c>
      <c r="D833" s="29" t="s">
        <v>1494</v>
      </c>
      <c r="E833" s="29" t="s">
        <v>35</v>
      </c>
      <c r="F833" s="29" t="s">
        <v>35</v>
      </c>
      <c r="G833" s="29" t="s">
        <v>95</v>
      </c>
      <c r="H833" s="29" t="s">
        <v>96</v>
      </c>
      <c r="I833" s="29" t="s">
        <v>39</v>
      </c>
      <c r="J833" s="29" t="s">
        <v>35</v>
      </c>
      <c r="K833" s="29" t="s">
        <v>1544</v>
      </c>
      <c r="L833" s="29" t="s">
        <v>1499</v>
      </c>
      <c r="M833" s="29" t="s">
        <v>65</v>
      </c>
      <c r="N833" s="29" t="s">
        <v>1545</v>
      </c>
      <c r="O833" s="29" t="s">
        <v>55</v>
      </c>
      <c r="P833" s="30" t="s">
        <v>1546</v>
      </c>
    </row>
    <row r="834" s="25" customFormat="1" spans="1:16">
      <c r="A834" s="29" t="s">
        <v>1544</v>
      </c>
      <c r="B834" s="29" t="s">
        <v>1540</v>
      </c>
      <c r="C834" s="29" t="s">
        <v>51</v>
      </c>
      <c r="D834" s="29" t="s">
        <v>1494</v>
      </c>
      <c r="E834" s="29" t="s">
        <v>35</v>
      </c>
      <c r="F834" s="29" t="s">
        <v>35</v>
      </c>
      <c r="G834" s="29" t="s">
        <v>95</v>
      </c>
      <c r="H834" s="29" t="s">
        <v>96</v>
      </c>
      <c r="I834" s="29" t="s">
        <v>39</v>
      </c>
      <c r="J834" s="29" t="s">
        <v>47</v>
      </c>
      <c r="K834" s="29" t="s">
        <v>1547</v>
      </c>
      <c r="L834" s="29" t="s">
        <v>1503</v>
      </c>
      <c r="M834" s="29" t="s">
        <v>65</v>
      </c>
      <c r="N834" s="29" t="s">
        <v>1545</v>
      </c>
      <c r="O834" s="29" t="s">
        <v>55</v>
      </c>
      <c r="P834" s="30" t="s">
        <v>1548</v>
      </c>
    </row>
    <row r="835" s="25" customFormat="1" spans="1:16">
      <c r="A835" s="29" t="s">
        <v>1547</v>
      </c>
      <c r="B835" s="29" t="s">
        <v>1540</v>
      </c>
      <c r="C835" s="29" t="s">
        <v>51</v>
      </c>
      <c r="D835" s="29" t="s">
        <v>1494</v>
      </c>
      <c r="E835" s="29" t="s">
        <v>35</v>
      </c>
      <c r="F835" s="29" t="s">
        <v>35</v>
      </c>
      <c r="G835" s="29" t="s">
        <v>95</v>
      </c>
      <c r="H835" s="29" t="s">
        <v>96</v>
      </c>
      <c r="I835" s="29" t="s">
        <v>39</v>
      </c>
      <c r="J835" s="29" t="s">
        <v>51</v>
      </c>
      <c r="K835" s="29" t="s">
        <v>1549</v>
      </c>
      <c r="L835" s="29" t="s">
        <v>1506</v>
      </c>
      <c r="M835" s="29" t="s">
        <v>65</v>
      </c>
      <c r="N835" s="29" t="s">
        <v>1545</v>
      </c>
      <c r="O835" s="29" t="s">
        <v>55</v>
      </c>
      <c r="P835" s="30" t="s">
        <v>1550</v>
      </c>
    </row>
    <row r="836" s="25" customFormat="1" spans="1:16">
      <c r="A836" s="29" t="s">
        <v>1549</v>
      </c>
      <c r="B836" s="29" t="s">
        <v>1540</v>
      </c>
      <c r="C836" s="29" t="s">
        <v>51</v>
      </c>
      <c r="D836" s="29" t="s">
        <v>1494</v>
      </c>
      <c r="E836" s="29" t="s">
        <v>35</v>
      </c>
      <c r="F836" s="29" t="s">
        <v>35</v>
      </c>
      <c r="G836" s="29" t="s">
        <v>95</v>
      </c>
      <c r="H836" s="29" t="s">
        <v>96</v>
      </c>
      <c r="I836" s="29" t="s">
        <v>39</v>
      </c>
      <c r="J836" s="29" t="s">
        <v>55</v>
      </c>
      <c r="K836" s="29" t="s">
        <v>1551</v>
      </c>
      <c r="L836" s="29" t="s">
        <v>1509</v>
      </c>
      <c r="M836" s="29" t="s">
        <v>65</v>
      </c>
      <c r="N836" s="29" t="s">
        <v>1545</v>
      </c>
      <c r="O836" s="29" t="s">
        <v>55</v>
      </c>
      <c r="P836" s="30" t="s">
        <v>1552</v>
      </c>
    </row>
    <row r="837" s="25" customFormat="1" spans="1:16">
      <c r="A837" s="29" t="s">
        <v>1551</v>
      </c>
      <c r="B837" s="29" t="s">
        <v>1540</v>
      </c>
      <c r="C837" s="29" t="s">
        <v>51</v>
      </c>
      <c r="D837" s="29" t="s">
        <v>1494</v>
      </c>
      <c r="E837" s="29" t="s">
        <v>35</v>
      </c>
      <c r="F837" s="29" t="s">
        <v>35</v>
      </c>
      <c r="G837" s="29" t="s">
        <v>95</v>
      </c>
      <c r="H837" s="29" t="s">
        <v>96</v>
      </c>
      <c r="I837" s="29" t="s">
        <v>39</v>
      </c>
      <c r="J837" s="29" t="s">
        <v>59</v>
      </c>
      <c r="K837" s="29" t="s">
        <v>39</v>
      </c>
      <c r="L837" s="29" t="s">
        <v>39</v>
      </c>
      <c r="M837" s="29" t="s">
        <v>39</v>
      </c>
      <c r="N837" s="29" t="s">
        <v>1545</v>
      </c>
      <c r="O837" s="29" t="s">
        <v>55</v>
      </c>
      <c r="P837" s="30" t="s">
        <v>1553</v>
      </c>
    </row>
    <row r="838" s="25" customFormat="1" spans="1:16">
      <c r="A838" s="29" t="s">
        <v>1554</v>
      </c>
      <c r="B838" s="29" t="s">
        <v>1554</v>
      </c>
      <c r="C838" s="29" t="s">
        <v>51</v>
      </c>
      <c r="D838" s="29" t="s">
        <v>1494</v>
      </c>
      <c r="E838" s="29" t="s">
        <v>35</v>
      </c>
      <c r="F838" s="29" t="s">
        <v>35</v>
      </c>
      <c r="G838" s="29" t="s">
        <v>111</v>
      </c>
      <c r="H838" s="29" t="s">
        <v>112</v>
      </c>
      <c r="I838" s="29" t="s">
        <v>39</v>
      </c>
      <c r="J838" s="29" t="s">
        <v>39</v>
      </c>
      <c r="K838" s="29" t="s">
        <v>1555</v>
      </c>
      <c r="L838" s="29" t="s">
        <v>1495</v>
      </c>
      <c r="M838" s="29" t="s">
        <v>114</v>
      </c>
      <c r="N838" s="29" t="s">
        <v>1556</v>
      </c>
      <c r="O838" s="29" t="s">
        <v>59</v>
      </c>
      <c r="P838" s="30" t="s">
        <v>1557</v>
      </c>
    </row>
    <row r="839" s="25" customFormat="1" spans="1:16">
      <c r="A839" s="29" t="s">
        <v>1555</v>
      </c>
      <c r="B839" s="29" t="s">
        <v>1554</v>
      </c>
      <c r="C839" s="29" t="s">
        <v>51</v>
      </c>
      <c r="D839" s="29" t="s">
        <v>1494</v>
      </c>
      <c r="E839" s="29" t="s">
        <v>35</v>
      </c>
      <c r="F839" s="29" t="s">
        <v>35</v>
      </c>
      <c r="G839" s="29" t="s">
        <v>111</v>
      </c>
      <c r="H839" s="29" t="s">
        <v>112</v>
      </c>
      <c r="I839" s="29" t="s">
        <v>39</v>
      </c>
      <c r="J839" s="29" t="s">
        <v>35</v>
      </c>
      <c r="K839" s="29" t="s">
        <v>1558</v>
      </c>
      <c r="L839" s="29" t="s">
        <v>1499</v>
      </c>
      <c r="M839" s="29" t="s">
        <v>114</v>
      </c>
      <c r="N839" s="29" t="s">
        <v>1559</v>
      </c>
      <c r="O839" s="29" t="s">
        <v>59</v>
      </c>
      <c r="P839" s="30" t="s">
        <v>1560</v>
      </c>
    </row>
    <row r="840" s="25" customFormat="1" spans="1:16">
      <c r="A840" s="29" t="s">
        <v>1558</v>
      </c>
      <c r="B840" s="29" t="s">
        <v>1554</v>
      </c>
      <c r="C840" s="29" t="s">
        <v>51</v>
      </c>
      <c r="D840" s="29" t="s">
        <v>1494</v>
      </c>
      <c r="E840" s="29" t="s">
        <v>35</v>
      </c>
      <c r="F840" s="29" t="s">
        <v>35</v>
      </c>
      <c r="G840" s="29" t="s">
        <v>111</v>
      </c>
      <c r="H840" s="29" t="s">
        <v>112</v>
      </c>
      <c r="I840" s="29" t="s">
        <v>39</v>
      </c>
      <c r="J840" s="29" t="s">
        <v>47</v>
      </c>
      <c r="K840" s="29" t="s">
        <v>1561</v>
      </c>
      <c r="L840" s="29" t="s">
        <v>1503</v>
      </c>
      <c r="M840" s="29" t="s">
        <v>114</v>
      </c>
      <c r="N840" s="29" t="s">
        <v>1559</v>
      </c>
      <c r="O840" s="29" t="s">
        <v>59</v>
      </c>
      <c r="P840" s="30" t="s">
        <v>1562</v>
      </c>
    </row>
    <row r="841" s="25" customFormat="1" spans="1:16">
      <c r="A841" s="29" t="s">
        <v>1561</v>
      </c>
      <c r="B841" s="29" t="s">
        <v>1554</v>
      </c>
      <c r="C841" s="29" t="s">
        <v>51</v>
      </c>
      <c r="D841" s="29" t="s">
        <v>1494</v>
      </c>
      <c r="E841" s="29" t="s">
        <v>35</v>
      </c>
      <c r="F841" s="29" t="s">
        <v>35</v>
      </c>
      <c r="G841" s="29" t="s">
        <v>111</v>
      </c>
      <c r="H841" s="29" t="s">
        <v>112</v>
      </c>
      <c r="I841" s="29" t="s">
        <v>39</v>
      </c>
      <c r="J841" s="29" t="s">
        <v>51</v>
      </c>
      <c r="K841" s="29" t="s">
        <v>1563</v>
      </c>
      <c r="L841" s="29" t="s">
        <v>1506</v>
      </c>
      <c r="M841" s="29" t="s">
        <v>114</v>
      </c>
      <c r="N841" s="29" t="s">
        <v>1559</v>
      </c>
      <c r="O841" s="29" t="s">
        <v>59</v>
      </c>
      <c r="P841" s="30" t="s">
        <v>1564</v>
      </c>
    </row>
    <row r="842" s="25" customFormat="1" spans="1:16">
      <c r="A842" s="29" t="s">
        <v>1563</v>
      </c>
      <c r="B842" s="29" t="s">
        <v>1554</v>
      </c>
      <c r="C842" s="29" t="s">
        <v>51</v>
      </c>
      <c r="D842" s="29" t="s">
        <v>1494</v>
      </c>
      <c r="E842" s="29" t="s">
        <v>35</v>
      </c>
      <c r="F842" s="29" t="s">
        <v>35</v>
      </c>
      <c r="G842" s="29" t="s">
        <v>111</v>
      </c>
      <c r="H842" s="29" t="s">
        <v>112</v>
      </c>
      <c r="I842" s="29" t="s">
        <v>39</v>
      </c>
      <c r="J842" s="29" t="s">
        <v>55</v>
      </c>
      <c r="K842" s="29" t="s">
        <v>1565</v>
      </c>
      <c r="L842" s="29" t="s">
        <v>1509</v>
      </c>
      <c r="M842" s="29" t="s">
        <v>114</v>
      </c>
      <c r="N842" s="29" t="s">
        <v>1559</v>
      </c>
      <c r="O842" s="29" t="s">
        <v>59</v>
      </c>
      <c r="P842" s="30" t="s">
        <v>1566</v>
      </c>
    </row>
    <row r="843" s="25" customFormat="1" spans="1:16">
      <c r="A843" s="29" t="s">
        <v>1565</v>
      </c>
      <c r="B843" s="29" t="s">
        <v>1554</v>
      </c>
      <c r="C843" s="29" t="s">
        <v>51</v>
      </c>
      <c r="D843" s="29" t="s">
        <v>1494</v>
      </c>
      <c r="E843" s="29" t="s">
        <v>35</v>
      </c>
      <c r="F843" s="29" t="s">
        <v>35</v>
      </c>
      <c r="G843" s="29" t="s">
        <v>111</v>
      </c>
      <c r="H843" s="29" t="s">
        <v>112</v>
      </c>
      <c r="I843" s="29" t="s">
        <v>39</v>
      </c>
      <c r="J843" s="29" t="s">
        <v>59</v>
      </c>
      <c r="K843" s="29" t="s">
        <v>1567</v>
      </c>
      <c r="L843" s="29" t="s">
        <v>1568</v>
      </c>
      <c r="M843" s="29" t="s">
        <v>114</v>
      </c>
      <c r="N843" s="29" t="s">
        <v>1559</v>
      </c>
      <c r="O843" s="29" t="s">
        <v>59</v>
      </c>
      <c r="P843" s="30" t="s">
        <v>1569</v>
      </c>
    </row>
    <row r="844" s="25" customFormat="1" spans="1:16">
      <c r="A844" s="29" t="s">
        <v>1567</v>
      </c>
      <c r="B844" s="29" t="s">
        <v>1554</v>
      </c>
      <c r="C844" s="29" t="s">
        <v>51</v>
      </c>
      <c r="D844" s="29" t="s">
        <v>1494</v>
      </c>
      <c r="E844" s="29" t="s">
        <v>35</v>
      </c>
      <c r="F844" s="29" t="s">
        <v>35</v>
      </c>
      <c r="G844" s="29" t="s">
        <v>111</v>
      </c>
      <c r="H844" s="29" t="s">
        <v>112</v>
      </c>
      <c r="I844" s="29" t="s">
        <v>39</v>
      </c>
      <c r="J844" s="29" t="s">
        <v>129</v>
      </c>
      <c r="K844" s="29" t="s">
        <v>1570</v>
      </c>
      <c r="L844" s="29" t="s">
        <v>1571</v>
      </c>
      <c r="M844" s="29" t="s">
        <v>114</v>
      </c>
      <c r="N844" s="29" t="s">
        <v>1559</v>
      </c>
      <c r="O844" s="29" t="s">
        <v>59</v>
      </c>
      <c r="P844" s="30" t="s">
        <v>1572</v>
      </c>
    </row>
    <row r="845" s="25" customFormat="1" spans="1:16">
      <c r="A845" s="29" t="s">
        <v>1570</v>
      </c>
      <c r="B845" s="29" t="s">
        <v>1554</v>
      </c>
      <c r="C845" s="29" t="s">
        <v>51</v>
      </c>
      <c r="D845" s="29" t="s">
        <v>1494</v>
      </c>
      <c r="E845" s="29" t="s">
        <v>35</v>
      </c>
      <c r="F845" s="29" t="s">
        <v>35</v>
      </c>
      <c r="G845" s="29" t="s">
        <v>111</v>
      </c>
      <c r="H845" s="29" t="s">
        <v>112</v>
      </c>
      <c r="I845" s="29" t="s">
        <v>39</v>
      </c>
      <c r="J845" s="29" t="s">
        <v>133</v>
      </c>
      <c r="K845" s="29" t="s">
        <v>1573</v>
      </c>
      <c r="L845" s="29" t="s">
        <v>1574</v>
      </c>
      <c r="M845" s="29" t="s">
        <v>114</v>
      </c>
      <c r="N845" s="29" t="s">
        <v>1559</v>
      </c>
      <c r="O845" s="29" t="s">
        <v>59</v>
      </c>
      <c r="P845" s="30" t="s">
        <v>1575</v>
      </c>
    </row>
    <row r="846" s="25" customFormat="1" spans="1:16">
      <c r="A846" s="29" t="s">
        <v>1573</v>
      </c>
      <c r="B846" s="29" t="s">
        <v>1554</v>
      </c>
      <c r="C846" s="29" t="s">
        <v>51</v>
      </c>
      <c r="D846" s="29" t="s">
        <v>1494</v>
      </c>
      <c r="E846" s="29" t="s">
        <v>35</v>
      </c>
      <c r="F846" s="29" t="s">
        <v>35</v>
      </c>
      <c r="G846" s="29" t="s">
        <v>111</v>
      </c>
      <c r="H846" s="29" t="s">
        <v>112</v>
      </c>
      <c r="I846" s="29" t="s">
        <v>39</v>
      </c>
      <c r="J846" s="29" t="s">
        <v>137</v>
      </c>
      <c r="K846" s="29" t="s">
        <v>1576</v>
      </c>
      <c r="L846" s="29" t="s">
        <v>1577</v>
      </c>
      <c r="M846" s="29" t="s">
        <v>114</v>
      </c>
      <c r="N846" s="29" t="s">
        <v>1559</v>
      </c>
      <c r="O846" s="29" t="s">
        <v>59</v>
      </c>
      <c r="P846" s="30" t="s">
        <v>1578</v>
      </c>
    </row>
    <row r="847" s="25" customFormat="1" spans="1:16">
      <c r="A847" s="29" t="s">
        <v>1576</v>
      </c>
      <c r="B847" s="29" t="s">
        <v>1554</v>
      </c>
      <c r="C847" s="29" t="s">
        <v>51</v>
      </c>
      <c r="D847" s="29" t="s">
        <v>1494</v>
      </c>
      <c r="E847" s="29" t="s">
        <v>35</v>
      </c>
      <c r="F847" s="29" t="s">
        <v>35</v>
      </c>
      <c r="G847" s="29" t="s">
        <v>111</v>
      </c>
      <c r="H847" s="29" t="s">
        <v>112</v>
      </c>
      <c r="I847" s="29" t="s">
        <v>39</v>
      </c>
      <c r="J847" s="29" t="s">
        <v>141</v>
      </c>
      <c r="K847" s="29" t="s">
        <v>1579</v>
      </c>
      <c r="L847" s="29" t="s">
        <v>1580</v>
      </c>
      <c r="M847" s="29" t="s">
        <v>114</v>
      </c>
      <c r="N847" s="29" t="s">
        <v>1559</v>
      </c>
      <c r="O847" s="29" t="s">
        <v>59</v>
      </c>
      <c r="P847" s="30" t="s">
        <v>1581</v>
      </c>
    </row>
    <row r="848" s="25" customFormat="1" spans="1:16">
      <c r="A848" s="29" t="s">
        <v>1579</v>
      </c>
      <c r="B848" s="29" t="s">
        <v>1554</v>
      </c>
      <c r="C848" s="29" t="s">
        <v>51</v>
      </c>
      <c r="D848" s="29" t="s">
        <v>1494</v>
      </c>
      <c r="E848" s="29" t="s">
        <v>35</v>
      </c>
      <c r="F848" s="29" t="s">
        <v>35</v>
      </c>
      <c r="G848" s="29" t="s">
        <v>111</v>
      </c>
      <c r="H848" s="29" t="s">
        <v>112</v>
      </c>
      <c r="I848" s="29" t="s">
        <v>39</v>
      </c>
      <c r="J848" s="29" t="s">
        <v>145</v>
      </c>
      <c r="K848" s="29" t="s">
        <v>39</v>
      </c>
      <c r="L848" s="29" t="s">
        <v>39</v>
      </c>
      <c r="M848" s="29" t="s">
        <v>39</v>
      </c>
      <c r="N848" s="29" t="s">
        <v>1559</v>
      </c>
      <c r="O848" s="29" t="s">
        <v>59</v>
      </c>
      <c r="P848" s="30" t="s">
        <v>1582</v>
      </c>
    </row>
    <row r="849" s="25" customFormat="1" spans="1:16">
      <c r="A849" s="29" t="s">
        <v>1583</v>
      </c>
      <c r="B849" s="29" t="s">
        <v>1583</v>
      </c>
      <c r="C849" s="29" t="s">
        <v>51</v>
      </c>
      <c r="D849" s="29" t="s">
        <v>1494</v>
      </c>
      <c r="E849" s="29" t="s">
        <v>35</v>
      </c>
      <c r="F849" s="29" t="s">
        <v>35</v>
      </c>
      <c r="G849" s="29" t="s">
        <v>148</v>
      </c>
      <c r="H849" s="29" t="s">
        <v>149</v>
      </c>
      <c r="I849" s="29" t="s">
        <v>39</v>
      </c>
      <c r="J849" s="29" t="s">
        <v>39</v>
      </c>
      <c r="K849" s="29" t="s">
        <v>1584</v>
      </c>
      <c r="L849" s="29" t="s">
        <v>1495</v>
      </c>
      <c r="M849" s="29" t="s">
        <v>151</v>
      </c>
      <c r="N849" s="29" t="s">
        <v>1585</v>
      </c>
      <c r="O849" s="29" t="s">
        <v>129</v>
      </c>
      <c r="P849" s="30" t="s">
        <v>1586</v>
      </c>
    </row>
    <row r="850" s="25" customFormat="1" spans="1:16">
      <c r="A850" s="29" t="s">
        <v>1584</v>
      </c>
      <c r="B850" s="29" t="s">
        <v>1583</v>
      </c>
      <c r="C850" s="29" t="s">
        <v>51</v>
      </c>
      <c r="D850" s="29" t="s">
        <v>1494</v>
      </c>
      <c r="E850" s="29" t="s">
        <v>35</v>
      </c>
      <c r="F850" s="29" t="s">
        <v>35</v>
      </c>
      <c r="G850" s="29" t="s">
        <v>148</v>
      </c>
      <c r="H850" s="29" t="s">
        <v>149</v>
      </c>
      <c r="I850" s="29" t="s">
        <v>39</v>
      </c>
      <c r="J850" s="29" t="s">
        <v>35</v>
      </c>
      <c r="K850" s="29" t="s">
        <v>1587</v>
      </c>
      <c r="L850" s="29" t="s">
        <v>1499</v>
      </c>
      <c r="M850" s="29" t="s">
        <v>151</v>
      </c>
      <c r="N850" s="29" t="s">
        <v>1588</v>
      </c>
      <c r="O850" s="29" t="s">
        <v>129</v>
      </c>
      <c r="P850" s="30" t="s">
        <v>1589</v>
      </c>
    </row>
    <row r="851" s="25" customFormat="1" spans="1:16">
      <c r="A851" s="29" t="s">
        <v>1587</v>
      </c>
      <c r="B851" s="29" t="s">
        <v>1583</v>
      </c>
      <c r="C851" s="29" t="s">
        <v>51</v>
      </c>
      <c r="D851" s="29" t="s">
        <v>1494</v>
      </c>
      <c r="E851" s="29" t="s">
        <v>35</v>
      </c>
      <c r="F851" s="29" t="s">
        <v>35</v>
      </c>
      <c r="G851" s="29" t="s">
        <v>148</v>
      </c>
      <c r="H851" s="29" t="s">
        <v>149</v>
      </c>
      <c r="I851" s="29" t="s">
        <v>39</v>
      </c>
      <c r="J851" s="29" t="s">
        <v>47</v>
      </c>
      <c r="K851" s="29" t="s">
        <v>1590</v>
      </c>
      <c r="L851" s="29" t="s">
        <v>1503</v>
      </c>
      <c r="M851" s="29" t="s">
        <v>151</v>
      </c>
      <c r="N851" s="29" t="s">
        <v>1588</v>
      </c>
      <c r="O851" s="29" t="s">
        <v>129</v>
      </c>
      <c r="P851" s="30" t="s">
        <v>1591</v>
      </c>
    </row>
    <row r="852" s="25" customFormat="1" spans="1:16">
      <c r="A852" s="29" t="s">
        <v>1590</v>
      </c>
      <c r="B852" s="29" t="s">
        <v>1583</v>
      </c>
      <c r="C852" s="29" t="s">
        <v>51</v>
      </c>
      <c r="D852" s="29" t="s">
        <v>1494</v>
      </c>
      <c r="E852" s="29" t="s">
        <v>35</v>
      </c>
      <c r="F852" s="29" t="s">
        <v>35</v>
      </c>
      <c r="G852" s="29" t="s">
        <v>148</v>
      </c>
      <c r="H852" s="29" t="s">
        <v>149</v>
      </c>
      <c r="I852" s="29" t="s">
        <v>39</v>
      </c>
      <c r="J852" s="29" t="s">
        <v>51</v>
      </c>
      <c r="K852" s="29" t="s">
        <v>1592</v>
      </c>
      <c r="L852" s="29" t="s">
        <v>1506</v>
      </c>
      <c r="M852" s="29" t="s">
        <v>151</v>
      </c>
      <c r="N852" s="29" t="s">
        <v>1588</v>
      </c>
      <c r="O852" s="29" t="s">
        <v>129</v>
      </c>
      <c r="P852" s="30" t="s">
        <v>1593</v>
      </c>
    </row>
    <row r="853" s="25" customFormat="1" spans="1:16">
      <c r="A853" s="29" t="s">
        <v>1592</v>
      </c>
      <c r="B853" s="29" t="s">
        <v>1583</v>
      </c>
      <c r="C853" s="29" t="s">
        <v>51</v>
      </c>
      <c r="D853" s="29" t="s">
        <v>1494</v>
      </c>
      <c r="E853" s="29" t="s">
        <v>35</v>
      </c>
      <c r="F853" s="29" t="s">
        <v>35</v>
      </c>
      <c r="G853" s="29" t="s">
        <v>148</v>
      </c>
      <c r="H853" s="29" t="s">
        <v>149</v>
      </c>
      <c r="I853" s="29" t="s">
        <v>39</v>
      </c>
      <c r="J853" s="29" t="s">
        <v>55</v>
      </c>
      <c r="K853" s="29" t="s">
        <v>1594</v>
      </c>
      <c r="L853" s="29" t="s">
        <v>1509</v>
      </c>
      <c r="M853" s="29" t="s">
        <v>151</v>
      </c>
      <c r="N853" s="29" t="s">
        <v>1588</v>
      </c>
      <c r="O853" s="29" t="s">
        <v>129</v>
      </c>
      <c r="P853" s="30" t="s">
        <v>1595</v>
      </c>
    </row>
    <row r="854" s="25" customFormat="1" spans="1:16">
      <c r="A854" s="29" t="s">
        <v>1594</v>
      </c>
      <c r="B854" s="29" t="s">
        <v>1583</v>
      </c>
      <c r="C854" s="29" t="s">
        <v>51</v>
      </c>
      <c r="D854" s="29" t="s">
        <v>1494</v>
      </c>
      <c r="E854" s="29" t="s">
        <v>35</v>
      </c>
      <c r="F854" s="29" t="s">
        <v>35</v>
      </c>
      <c r="G854" s="29" t="s">
        <v>148</v>
      </c>
      <c r="H854" s="29" t="s">
        <v>149</v>
      </c>
      <c r="I854" s="29" t="s">
        <v>39</v>
      </c>
      <c r="J854" s="29" t="s">
        <v>59</v>
      </c>
      <c r="K854" s="29" t="s">
        <v>1596</v>
      </c>
      <c r="L854" s="29" t="s">
        <v>1568</v>
      </c>
      <c r="M854" s="29" t="s">
        <v>151</v>
      </c>
      <c r="N854" s="29" t="s">
        <v>1588</v>
      </c>
      <c r="O854" s="29" t="s">
        <v>129</v>
      </c>
      <c r="P854" s="30" t="s">
        <v>1597</v>
      </c>
    </row>
    <row r="855" s="25" customFormat="1" spans="1:16">
      <c r="A855" s="29" t="s">
        <v>1596</v>
      </c>
      <c r="B855" s="29" t="s">
        <v>1583</v>
      </c>
      <c r="C855" s="29" t="s">
        <v>51</v>
      </c>
      <c r="D855" s="29" t="s">
        <v>1494</v>
      </c>
      <c r="E855" s="29" t="s">
        <v>35</v>
      </c>
      <c r="F855" s="29" t="s">
        <v>35</v>
      </c>
      <c r="G855" s="29" t="s">
        <v>148</v>
      </c>
      <c r="H855" s="29" t="s">
        <v>149</v>
      </c>
      <c r="I855" s="29" t="s">
        <v>39</v>
      </c>
      <c r="J855" s="29" t="s">
        <v>129</v>
      </c>
      <c r="K855" s="29" t="s">
        <v>1598</v>
      </c>
      <c r="L855" s="29" t="s">
        <v>1571</v>
      </c>
      <c r="M855" s="29" t="s">
        <v>151</v>
      </c>
      <c r="N855" s="29" t="s">
        <v>1588</v>
      </c>
      <c r="O855" s="29" t="s">
        <v>129</v>
      </c>
      <c r="P855" s="30" t="s">
        <v>1599</v>
      </c>
    </row>
    <row r="856" s="25" customFormat="1" spans="1:16">
      <c r="A856" s="29" t="s">
        <v>1598</v>
      </c>
      <c r="B856" s="29" t="s">
        <v>1583</v>
      </c>
      <c r="C856" s="29" t="s">
        <v>51</v>
      </c>
      <c r="D856" s="29" t="s">
        <v>1494</v>
      </c>
      <c r="E856" s="29" t="s">
        <v>35</v>
      </c>
      <c r="F856" s="29" t="s">
        <v>35</v>
      </c>
      <c r="G856" s="29" t="s">
        <v>148</v>
      </c>
      <c r="H856" s="29" t="s">
        <v>149</v>
      </c>
      <c r="I856" s="29" t="s">
        <v>39</v>
      </c>
      <c r="J856" s="29" t="s">
        <v>133</v>
      </c>
      <c r="K856" s="29" t="s">
        <v>1600</v>
      </c>
      <c r="L856" s="29" t="s">
        <v>1574</v>
      </c>
      <c r="M856" s="29" t="s">
        <v>151</v>
      </c>
      <c r="N856" s="29" t="s">
        <v>1588</v>
      </c>
      <c r="O856" s="29" t="s">
        <v>129</v>
      </c>
      <c r="P856" s="30" t="s">
        <v>1601</v>
      </c>
    </row>
    <row r="857" s="26" customFormat="1" spans="1:18">
      <c r="A857" s="29" t="s">
        <v>1600</v>
      </c>
      <c r="B857" s="29" t="s">
        <v>1583</v>
      </c>
      <c r="C857" s="29" t="s">
        <v>51</v>
      </c>
      <c r="D857" s="29" t="s">
        <v>1494</v>
      </c>
      <c r="E857" s="29" t="s">
        <v>35</v>
      </c>
      <c r="F857" s="29" t="s">
        <v>35</v>
      </c>
      <c r="G857" s="29" t="s">
        <v>148</v>
      </c>
      <c r="H857" s="29" t="s">
        <v>149</v>
      </c>
      <c r="I857" s="29" t="s">
        <v>39</v>
      </c>
      <c r="J857" s="29" t="s">
        <v>137</v>
      </c>
      <c r="K857" s="29" t="s">
        <v>1602</v>
      </c>
      <c r="L857" s="29" t="s">
        <v>1577</v>
      </c>
      <c r="M857" s="29" t="s">
        <v>151</v>
      </c>
      <c r="N857" s="29" t="s">
        <v>1588</v>
      </c>
      <c r="O857" s="29" t="s">
        <v>129</v>
      </c>
      <c r="P857" s="30" t="s">
        <v>1603</v>
      </c>
      <c r="Q857" s="25"/>
      <c r="R857" s="25"/>
    </row>
    <row r="858" s="25" customFormat="1" spans="1:16">
      <c r="A858" s="29" t="s">
        <v>1602</v>
      </c>
      <c r="B858" s="29" t="s">
        <v>1583</v>
      </c>
      <c r="C858" s="29" t="s">
        <v>51</v>
      </c>
      <c r="D858" s="29" t="s">
        <v>1494</v>
      </c>
      <c r="E858" s="29" t="s">
        <v>35</v>
      </c>
      <c r="F858" s="29" t="s">
        <v>35</v>
      </c>
      <c r="G858" s="29" t="s">
        <v>148</v>
      </c>
      <c r="H858" s="29" t="s">
        <v>149</v>
      </c>
      <c r="I858" s="29" t="s">
        <v>39</v>
      </c>
      <c r="J858" s="29" t="s">
        <v>141</v>
      </c>
      <c r="K858" s="29" t="s">
        <v>1604</v>
      </c>
      <c r="L858" s="29" t="s">
        <v>1580</v>
      </c>
      <c r="M858" s="29" t="s">
        <v>151</v>
      </c>
      <c r="N858" s="29" t="s">
        <v>1588</v>
      </c>
      <c r="O858" s="29" t="s">
        <v>129</v>
      </c>
      <c r="P858" s="30" t="s">
        <v>1605</v>
      </c>
    </row>
    <row r="859" s="25" customFormat="1" spans="1:16">
      <c r="A859" s="29" t="s">
        <v>1604</v>
      </c>
      <c r="B859" s="29" t="s">
        <v>1583</v>
      </c>
      <c r="C859" s="29" t="s">
        <v>51</v>
      </c>
      <c r="D859" s="29" t="s">
        <v>1494</v>
      </c>
      <c r="E859" s="29" t="s">
        <v>35</v>
      </c>
      <c r="F859" s="29" t="s">
        <v>35</v>
      </c>
      <c r="G859" s="29" t="s">
        <v>148</v>
      </c>
      <c r="H859" s="29" t="s">
        <v>149</v>
      </c>
      <c r="I859" s="29" t="s">
        <v>39</v>
      </c>
      <c r="J859" s="29" t="s">
        <v>145</v>
      </c>
      <c r="K859" s="29" t="s">
        <v>39</v>
      </c>
      <c r="L859" s="29" t="s">
        <v>39</v>
      </c>
      <c r="M859" s="29" t="s">
        <v>39</v>
      </c>
      <c r="N859" s="29" t="s">
        <v>1588</v>
      </c>
      <c r="O859" s="29" t="s">
        <v>129</v>
      </c>
      <c r="P859" s="30" t="s">
        <v>1606</v>
      </c>
    </row>
    <row r="860" s="25" customFormat="1" spans="1:16">
      <c r="A860" s="29" t="s">
        <v>1607</v>
      </c>
      <c r="B860" s="29" t="s">
        <v>1607</v>
      </c>
      <c r="C860" s="29" t="s">
        <v>51</v>
      </c>
      <c r="D860" s="29" t="s">
        <v>1494</v>
      </c>
      <c r="E860" s="29" t="s">
        <v>35</v>
      </c>
      <c r="F860" s="29" t="s">
        <v>35</v>
      </c>
      <c r="G860" s="29" t="s">
        <v>175</v>
      </c>
      <c r="H860" s="29" t="s">
        <v>176</v>
      </c>
      <c r="I860" s="29" t="s">
        <v>39</v>
      </c>
      <c r="J860" s="29" t="s">
        <v>39</v>
      </c>
      <c r="K860" s="29" t="s">
        <v>1608</v>
      </c>
      <c r="L860" s="29" t="s">
        <v>1495</v>
      </c>
      <c r="M860" s="29" t="s">
        <v>178</v>
      </c>
      <c r="N860" s="29" t="s">
        <v>1609</v>
      </c>
      <c r="O860" s="29" t="s">
        <v>133</v>
      </c>
      <c r="P860" s="30" t="s">
        <v>1610</v>
      </c>
    </row>
    <row r="861" s="25" customFormat="1" spans="1:16">
      <c r="A861" s="29" t="s">
        <v>1608</v>
      </c>
      <c r="B861" s="29" t="s">
        <v>1607</v>
      </c>
      <c r="C861" s="29" t="s">
        <v>51</v>
      </c>
      <c r="D861" s="29" t="s">
        <v>1494</v>
      </c>
      <c r="E861" s="29" t="s">
        <v>35</v>
      </c>
      <c r="F861" s="29" t="s">
        <v>35</v>
      </c>
      <c r="G861" s="29" t="s">
        <v>175</v>
      </c>
      <c r="H861" s="29" t="s">
        <v>176</v>
      </c>
      <c r="I861" s="29" t="s">
        <v>39</v>
      </c>
      <c r="J861" s="29" t="s">
        <v>35</v>
      </c>
      <c r="K861" s="29" t="s">
        <v>1611</v>
      </c>
      <c r="L861" s="29" t="s">
        <v>1499</v>
      </c>
      <c r="M861" s="29" t="s">
        <v>178</v>
      </c>
      <c r="N861" s="29" t="s">
        <v>1612</v>
      </c>
      <c r="O861" s="29" t="s">
        <v>133</v>
      </c>
      <c r="P861" s="30" t="s">
        <v>1613</v>
      </c>
    </row>
    <row r="862" s="25" customFormat="1" spans="1:16">
      <c r="A862" s="29" t="s">
        <v>1611</v>
      </c>
      <c r="B862" s="29" t="s">
        <v>1607</v>
      </c>
      <c r="C862" s="29" t="s">
        <v>51</v>
      </c>
      <c r="D862" s="29" t="s">
        <v>1494</v>
      </c>
      <c r="E862" s="29" t="s">
        <v>35</v>
      </c>
      <c r="F862" s="29" t="s">
        <v>35</v>
      </c>
      <c r="G862" s="29" t="s">
        <v>175</v>
      </c>
      <c r="H862" s="29" t="s">
        <v>176</v>
      </c>
      <c r="I862" s="29" t="s">
        <v>39</v>
      </c>
      <c r="J862" s="29" t="s">
        <v>47</v>
      </c>
      <c r="K862" s="29" t="s">
        <v>1614</v>
      </c>
      <c r="L862" s="29" t="s">
        <v>1503</v>
      </c>
      <c r="M862" s="29" t="s">
        <v>178</v>
      </c>
      <c r="N862" s="29" t="s">
        <v>1612</v>
      </c>
      <c r="O862" s="29" t="s">
        <v>133</v>
      </c>
      <c r="P862" s="30" t="s">
        <v>1615</v>
      </c>
    </row>
    <row r="863" s="25" customFormat="1" spans="1:16">
      <c r="A863" s="29" t="s">
        <v>1614</v>
      </c>
      <c r="B863" s="29" t="s">
        <v>1607</v>
      </c>
      <c r="C863" s="29" t="s">
        <v>51</v>
      </c>
      <c r="D863" s="29" t="s">
        <v>1494</v>
      </c>
      <c r="E863" s="29" t="s">
        <v>35</v>
      </c>
      <c r="F863" s="29" t="s">
        <v>35</v>
      </c>
      <c r="G863" s="29" t="s">
        <v>175</v>
      </c>
      <c r="H863" s="29" t="s">
        <v>176</v>
      </c>
      <c r="I863" s="29" t="s">
        <v>39</v>
      </c>
      <c r="J863" s="29" t="s">
        <v>51</v>
      </c>
      <c r="K863" s="29" t="s">
        <v>1616</v>
      </c>
      <c r="L863" s="29" t="s">
        <v>1506</v>
      </c>
      <c r="M863" s="29" t="s">
        <v>178</v>
      </c>
      <c r="N863" s="29" t="s">
        <v>1612</v>
      </c>
      <c r="O863" s="29" t="s">
        <v>133</v>
      </c>
      <c r="P863" s="30" t="s">
        <v>1617</v>
      </c>
    </row>
    <row r="864" s="25" customFormat="1" spans="1:16">
      <c r="A864" s="29" t="s">
        <v>1616</v>
      </c>
      <c r="B864" s="29" t="s">
        <v>1607</v>
      </c>
      <c r="C864" s="29" t="s">
        <v>51</v>
      </c>
      <c r="D864" s="29" t="s">
        <v>1494</v>
      </c>
      <c r="E864" s="29" t="s">
        <v>35</v>
      </c>
      <c r="F864" s="29" t="s">
        <v>35</v>
      </c>
      <c r="G864" s="29" t="s">
        <v>175</v>
      </c>
      <c r="H864" s="29" t="s">
        <v>176</v>
      </c>
      <c r="I864" s="29" t="s">
        <v>39</v>
      </c>
      <c r="J864" s="29" t="s">
        <v>55</v>
      </c>
      <c r="K864" s="29" t="s">
        <v>1618</v>
      </c>
      <c r="L864" s="29" t="s">
        <v>1509</v>
      </c>
      <c r="M864" s="29" t="s">
        <v>178</v>
      </c>
      <c r="N864" s="29" t="s">
        <v>1612</v>
      </c>
      <c r="O864" s="29" t="s">
        <v>133</v>
      </c>
      <c r="P864" s="30" t="s">
        <v>1619</v>
      </c>
    </row>
    <row r="865" s="25" customFormat="1" spans="1:16">
      <c r="A865" s="29" t="s">
        <v>1618</v>
      </c>
      <c r="B865" s="29" t="s">
        <v>1607</v>
      </c>
      <c r="C865" s="29" t="s">
        <v>51</v>
      </c>
      <c r="D865" s="29" t="s">
        <v>1494</v>
      </c>
      <c r="E865" s="29" t="s">
        <v>35</v>
      </c>
      <c r="F865" s="29" t="s">
        <v>35</v>
      </c>
      <c r="G865" s="29" t="s">
        <v>175</v>
      </c>
      <c r="H865" s="29" t="s">
        <v>176</v>
      </c>
      <c r="I865" s="29" t="s">
        <v>39</v>
      </c>
      <c r="J865" s="29" t="s">
        <v>59</v>
      </c>
      <c r="K865" s="29" t="s">
        <v>1620</v>
      </c>
      <c r="L865" s="29" t="s">
        <v>1568</v>
      </c>
      <c r="M865" s="29" t="s">
        <v>178</v>
      </c>
      <c r="N865" s="29" t="s">
        <v>1612</v>
      </c>
      <c r="O865" s="29" t="s">
        <v>133</v>
      </c>
      <c r="P865" s="30" t="s">
        <v>1621</v>
      </c>
    </row>
    <row r="866" s="25" customFormat="1" spans="1:16">
      <c r="A866" s="29" t="s">
        <v>1620</v>
      </c>
      <c r="B866" s="29" t="s">
        <v>1607</v>
      </c>
      <c r="C866" s="29" t="s">
        <v>51</v>
      </c>
      <c r="D866" s="29" t="s">
        <v>1494</v>
      </c>
      <c r="E866" s="29" t="s">
        <v>35</v>
      </c>
      <c r="F866" s="29" t="s">
        <v>35</v>
      </c>
      <c r="G866" s="29" t="s">
        <v>175</v>
      </c>
      <c r="H866" s="29" t="s">
        <v>176</v>
      </c>
      <c r="I866" s="29" t="s">
        <v>39</v>
      </c>
      <c r="J866" s="29" t="s">
        <v>129</v>
      </c>
      <c r="K866" s="29" t="s">
        <v>1622</v>
      </c>
      <c r="L866" s="29" t="s">
        <v>1571</v>
      </c>
      <c r="M866" s="29" t="s">
        <v>178</v>
      </c>
      <c r="N866" s="29" t="s">
        <v>1612</v>
      </c>
      <c r="O866" s="29" t="s">
        <v>133</v>
      </c>
      <c r="P866" s="30" t="s">
        <v>1623</v>
      </c>
    </row>
    <row r="867" s="25" customFormat="1" spans="1:16">
      <c r="A867" s="29" t="s">
        <v>1622</v>
      </c>
      <c r="B867" s="29" t="s">
        <v>1607</v>
      </c>
      <c r="C867" s="29" t="s">
        <v>51</v>
      </c>
      <c r="D867" s="29" t="s">
        <v>1494</v>
      </c>
      <c r="E867" s="29" t="s">
        <v>35</v>
      </c>
      <c r="F867" s="29" t="s">
        <v>35</v>
      </c>
      <c r="G867" s="29" t="s">
        <v>175</v>
      </c>
      <c r="H867" s="29" t="s">
        <v>176</v>
      </c>
      <c r="I867" s="29" t="s">
        <v>39</v>
      </c>
      <c r="J867" s="29" t="s">
        <v>133</v>
      </c>
      <c r="K867" s="29" t="s">
        <v>1624</v>
      </c>
      <c r="L867" s="29" t="s">
        <v>1574</v>
      </c>
      <c r="M867" s="29" t="s">
        <v>178</v>
      </c>
      <c r="N867" s="29" t="s">
        <v>1612</v>
      </c>
      <c r="O867" s="29" t="s">
        <v>133</v>
      </c>
      <c r="P867" s="30" t="s">
        <v>1625</v>
      </c>
    </row>
    <row r="868" s="26" customFormat="1" spans="1:18">
      <c r="A868" s="29" t="s">
        <v>1624</v>
      </c>
      <c r="B868" s="29" t="s">
        <v>1607</v>
      </c>
      <c r="C868" s="29" t="s">
        <v>51</v>
      </c>
      <c r="D868" s="29" t="s">
        <v>1494</v>
      </c>
      <c r="E868" s="29" t="s">
        <v>35</v>
      </c>
      <c r="F868" s="29" t="s">
        <v>35</v>
      </c>
      <c r="G868" s="29" t="s">
        <v>175</v>
      </c>
      <c r="H868" s="29" t="s">
        <v>176</v>
      </c>
      <c r="I868" s="29" t="s">
        <v>39</v>
      </c>
      <c r="J868" s="29" t="s">
        <v>137</v>
      </c>
      <c r="K868" s="29" t="s">
        <v>1626</v>
      </c>
      <c r="L868" s="29" t="s">
        <v>1577</v>
      </c>
      <c r="M868" s="29" t="s">
        <v>178</v>
      </c>
      <c r="N868" s="29" t="s">
        <v>1612</v>
      </c>
      <c r="O868" s="29" t="s">
        <v>133</v>
      </c>
      <c r="P868" s="30" t="s">
        <v>1627</v>
      </c>
      <c r="Q868" s="25"/>
      <c r="R868" s="25"/>
    </row>
    <row r="869" s="25" customFormat="1" spans="1:16">
      <c r="A869" s="29" t="s">
        <v>1626</v>
      </c>
      <c r="B869" s="29" t="s">
        <v>1607</v>
      </c>
      <c r="C869" s="29" t="s">
        <v>51</v>
      </c>
      <c r="D869" s="29" t="s">
        <v>1494</v>
      </c>
      <c r="E869" s="29" t="s">
        <v>35</v>
      </c>
      <c r="F869" s="29" t="s">
        <v>35</v>
      </c>
      <c r="G869" s="29" t="s">
        <v>175</v>
      </c>
      <c r="H869" s="29" t="s">
        <v>176</v>
      </c>
      <c r="I869" s="29" t="s">
        <v>39</v>
      </c>
      <c r="J869" s="29" t="s">
        <v>141</v>
      </c>
      <c r="K869" s="29" t="s">
        <v>1628</v>
      </c>
      <c r="L869" s="29" t="s">
        <v>1580</v>
      </c>
      <c r="M869" s="29" t="s">
        <v>178</v>
      </c>
      <c r="N869" s="29" t="s">
        <v>1612</v>
      </c>
      <c r="O869" s="29" t="s">
        <v>133</v>
      </c>
      <c r="P869" s="30" t="s">
        <v>1629</v>
      </c>
    </row>
    <row r="870" s="25" customFormat="1" spans="1:16">
      <c r="A870" s="29" t="s">
        <v>1628</v>
      </c>
      <c r="B870" s="29" t="s">
        <v>1607</v>
      </c>
      <c r="C870" s="29" t="s">
        <v>51</v>
      </c>
      <c r="D870" s="29" t="s">
        <v>1494</v>
      </c>
      <c r="E870" s="29" t="s">
        <v>35</v>
      </c>
      <c r="F870" s="29" t="s">
        <v>35</v>
      </c>
      <c r="G870" s="29" t="s">
        <v>175</v>
      </c>
      <c r="H870" s="29" t="s">
        <v>176</v>
      </c>
      <c r="I870" s="29" t="s">
        <v>39</v>
      </c>
      <c r="J870" s="29" t="s">
        <v>145</v>
      </c>
      <c r="K870" s="29" t="s">
        <v>39</v>
      </c>
      <c r="L870" s="29" t="s">
        <v>39</v>
      </c>
      <c r="M870" s="29" t="s">
        <v>39</v>
      </c>
      <c r="N870" s="29" t="s">
        <v>1612</v>
      </c>
      <c r="O870" s="29" t="s">
        <v>133</v>
      </c>
      <c r="P870" s="30" t="s">
        <v>1630</v>
      </c>
    </row>
    <row r="871" s="25" customFormat="1" spans="1:16">
      <c r="A871" s="29" t="s">
        <v>1631</v>
      </c>
      <c r="B871" s="29" t="s">
        <v>1631</v>
      </c>
      <c r="C871" s="29" t="s">
        <v>51</v>
      </c>
      <c r="D871" s="29" t="s">
        <v>1494</v>
      </c>
      <c r="E871" s="29" t="s">
        <v>47</v>
      </c>
      <c r="F871" s="29" t="s">
        <v>35</v>
      </c>
      <c r="G871" s="29" t="s">
        <v>1632</v>
      </c>
      <c r="H871" s="29" t="s">
        <v>1633</v>
      </c>
      <c r="I871" s="29" t="s">
        <v>204</v>
      </c>
      <c r="J871" s="29" t="s">
        <v>39</v>
      </c>
      <c r="K871" s="29" t="s">
        <v>1634</v>
      </c>
      <c r="L871" s="29" t="s">
        <v>1635</v>
      </c>
      <c r="M871" s="29" t="s">
        <v>207</v>
      </c>
      <c r="N871" s="29" t="s">
        <v>1636</v>
      </c>
      <c r="O871" s="29" t="s">
        <v>137</v>
      </c>
      <c r="P871" s="30" t="s">
        <v>1637</v>
      </c>
    </row>
    <row r="872" s="25" customFormat="1" spans="1:16">
      <c r="A872" s="29" t="s">
        <v>1634</v>
      </c>
      <c r="B872" s="29" t="s">
        <v>1631</v>
      </c>
      <c r="C872" s="29" t="s">
        <v>51</v>
      </c>
      <c r="D872" s="29" t="s">
        <v>1494</v>
      </c>
      <c r="E872" s="29" t="s">
        <v>47</v>
      </c>
      <c r="F872" s="29" t="s">
        <v>35</v>
      </c>
      <c r="G872" s="29" t="s">
        <v>1632</v>
      </c>
      <c r="H872" s="29" t="s">
        <v>1633</v>
      </c>
      <c r="I872" s="29" t="s">
        <v>204</v>
      </c>
      <c r="J872" s="29" t="s">
        <v>35</v>
      </c>
      <c r="K872" s="29" t="s">
        <v>1638</v>
      </c>
      <c r="L872" s="29" t="s">
        <v>1639</v>
      </c>
      <c r="M872" s="29" t="s">
        <v>207</v>
      </c>
      <c r="N872" s="29" t="s">
        <v>1640</v>
      </c>
      <c r="O872" s="29" t="s">
        <v>137</v>
      </c>
      <c r="P872" s="30" t="s">
        <v>1641</v>
      </c>
    </row>
    <row r="873" s="25" customFormat="1" spans="1:16">
      <c r="A873" s="29" t="s">
        <v>1638</v>
      </c>
      <c r="B873" s="29" t="s">
        <v>1631</v>
      </c>
      <c r="C873" s="29" t="s">
        <v>51</v>
      </c>
      <c r="D873" s="29" t="s">
        <v>1494</v>
      </c>
      <c r="E873" s="29" t="s">
        <v>47</v>
      </c>
      <c r="F873" s="29" t="s">
        <v>35</v>
      </c>
      <c r="G873" s="29" t="s">
        <v>1632</v>
      </c>
      <c r="H873" s="29" t="s">
        <v>1633</v>
      </c>
      <c r="I873" s="29" t="s">
        <v>204</v>
      </c>
      <c r="J873" s="29" t="s">
        <v>47</v>
      </c>
      <c r="K873" s="29" t="s">
        <v>1642</v>
      </c>
      <c r="L873" s="29" t="s">
        <v>1643</v>
      </c>
      <c r="M873" s="29" t="s">
        <v>207</v>
      </c>
      <c r="N873" s="29" t="s">
        <v>1640</v>
      </c>
      <c r="O873" s="29" t="s">
        <v>137</v>
      </c>
      <c r="P873" s="30" t="s">
        <v>1644</v>
      </c>
    </row>
    <row r="874" s="25" customFormat="1" spans="1:16">
      <c r="A874" s="29" t="s">
        <v>1642</v>
      </c>
      <c r="B874" s="29" t="s">
        <v>1631</v>
      </c>
      <c r="C874" s="29" t="s">
        <v>51</v>
      </c>
      <c r="D874" s="29" t="s">
        <v>1494</v>
      </c>
      <c r="E874" s="29" t="s">
        <v>47</v>
      </c>
      <c r="F874" s="29" t="s">
        <v>35</v>
      </c>
      <c r="G874" s="29" t="s">
        <v>1632</v>
      </c>
      <c r="H874" s="29" t="s">
        <v>1633</v>
      </c>
      <c r="I874" s="29" t="s">
        <v>204</v>
      </c>
      <c r="J874" s="29" t="s">
        <v>51</v>
      </c>
      <c r="K874" s="29" t="s">
        <v>1645</v>
      </c>
      <c r="L874" s="29" t="s">
        <v>1646</v>
      </c>
      <c r="M874" s="29" t="s">
        <v>207</v>
      </c>
      <c r="N874" s="29" t="s">
        <v>1640</v>
      </c>
      <c r="O874" s="29" t="s">
        <v>137</v>
      </c>
      <c r="P874" s="30" t="s">
        <v>1647</v>
      </c>
    </row>
    <row r="875" s="25" customFormat="1" spans="1:16">
      <c r="A875" s="29" t="s">
        <v>1645</v>
      </c>
      <c r="B875" s="29" t="s">
        <v>1631</v>
      </c>
      <c r="C875" s="29" t="s">
        <v>51</v>
      </c>
      <c r="D875" s="29" t="s">
        <v>1494</v>
      </c>
      <c r="E875" s="29" t="s">
        <v>47</v>
      </c>
      <c r="F875" s="29" t="s">
        <v>35</v>
      </c>
      <c r="G875" s="29" t="s">
        <v>1632</v>
      </c>
      <c r="H875" s="29" t="s">
        <v>1633</v>
      </c>
      <c r="I875" s="29" t="s">
        <v>204</v>
      </c>
      <c r="J875" s="29" t="s">
        <v>55</v>
      </c>
      <c r="K875" s="29" t="s">
        <v>1648</v>
      </c>
      <c r="L875" s="29" t="s">
        <v>1649</v>
      </c>
      <c r="M875" s="29" t="s">
        <v>207</v>
      </c>
      <c r="N875" s="29" t="s">
        <v>1640</v>
      </c>
      <c r="O875" s="29" t="s">
        <v>137</v>
      </c>
      <c r="P875" s="30" t="s">
        <v>1650</v>
      </c>
    </row>
    <row r="876" s="25" customFormat="1" spans="1:16">
      <c r="A876" s="29" t="s">
        <v>1648</v>
      </c>
      <c r="B876" s="29" t="s">
        <v>1631</v>
      </c>
      <c r="C876" s="29" t="s">
        <v>51</v>
      </c>
      <c r="D876" s="29" t="s">
        <v>1494</v>
      </c>
      <c r="E876" s="29" t="s">
        <v>47</v>
      </c>
      <c r="F876" s="29" t="s">
        <v>35</v>
      </c>
      <c r="G876" s="29" t="s">
        <v>1632</v>
      </c>
      <c r="H876" s="29" t="s">
        <v>1633</v>
      </c>
      <c r="I876" s="29" t="s">
        <v>204</v>
      </c>
      <c r="J876" s="29" t="s">
        <v>59</v>
      </c>
      <c r="K876" s="29" t="s">
        <v>1651</v>
      </c>
      <c r="L876" s="29" t="s">
        <v>1652</v>
      </c>
      <c r="M876" s="29" t="s">
        <v>207</v>
      </c>
      <c r="N876" s="29" t="s">
        <v>1640</v>
      </c>
      <c r="O876" s="29" t="s">
        <v>137</v>
      </c>
      <c r="P876" s="30" t="s">
        <v>1653</v>
      </c>
    </row>
    <row r="877" s="25" customFormat="1" spans="1:16">
      <c r="A877" s="29" t="s">
        <v>1651</v>
      </c>
      <c r="B877" s="29" t="s">
        <v>1631</v>
      </c>
      <c r="C877" s="29" t="s">
        <v>51</v>
      </c>
      <c r="D877" s="29" t="s">
        <v>1494</v>
      </c>
      <c r="E877" s="29" t="s">
        <v>47</v>
      </c>
      <c r="F877" s="29" t="s">
        <v>35</v>
      </c>
      <c r="G877" s="29" t="s">
        <v>1632</v>
      </c>
      <c r="H877" s="29" t="s">
        <v>1633</v>
      </c>
      <c r="I877" s="29" t="s">
        <v>204</v>
      </c>
      <c r="J877" s="29" t="s">
        <v>129</v>
      </c>
      <c r="K877" s="29" t="s">
        <v>1654</v>
      </c>
      <c r="L877" s="29" t="s">
        <v>1655</v>
      </c>
      <c r="M877" s="29" t="s">
        <v>207</v>
      </c>
      <c r="N877" s="29" t="s">
        <v>1640</v>
      </c>
      <c r="O877" s="29" t="s">
        <v>137</v>
      </c>
      <c r="P877" s="30" t="s">
        <v>1656</v>
      </c>
    </row>
    <row r="878" s="25" customFormat="1" spans="1:16">
      <c r="A878" s="29" t="s">
        <v>1654</v>
      </c>
      <c r="B878" s="29" t="s">
        <v>1631</v>
      </c>
      <c r="C878" s="29" t="s">
        <v>51</v>
      </c>
      <c r="D878" s="29" t="s">
        <v>1494</v>
      </c>
      <c r="E878" s="29" t="s">
        <v>47</v>
      </c>
      <c r="F878" s="29" t="s">
        <v>35</v>
      </c>
      <c r="G878" s="29" t="s">
        <v>1632</v>
      </c>
      <c r="H878" s="29" t="s">
        <v>1633</v>
      </c>
      <c r="I878" s="29" t="s">
        <v>204</v>
      </c>
      <c r="J878" s="29" t="s">
        <v>133</v>
      </c>
      <c r="K878" s="29" t="s">
        <v>1657</v>
      </c>
      <c r="L878" s="29" t="s">
        <v>1658</v>
      </c>
      <c r="M878" s="29" t="s">
        <v>207</v>
      </c>
      <c r="N878" s="29" t="s">
        <v>1640</v>
      </c>
      <c r="O878" s="29" t="s">
        <v>137</v>
      </c>
      <c r="P878" s="30" t="s">
        <v>1659</v>
      </c>
    </row>
    <row r="879" s="26" customFormat="1" spans="1:18">
      <c r="A879" s="29" t="s">
        <v>1657</v>
      </c>
      <c r="B879" s="29" t="s">
        <v>1631</v>
      </c>
      <c r="C879" s="29" t="s">
        <v>51</v>
      </c>
      <c r="D879" s="29" t="s">
        <v>1494</v>
      </c>
      <c r="E879" s="29" t="s">
        <v>47</v>
      </c>
      <c r="F879" s="29" t="s">
        <v>35</v>
      </c>
      <c r="G879" s="29" t="s">
        <v>1632</v>
      </c>
      <c r="H879" s="29" t="s">
        <v>1633</v>
      </c>
      <c r="I879" s="29" t="s">
        <v>204</v>
      </c>
      <c r="J879" s="29" t="s">
        <v>137</v>
      </c>
      <c r="K879" s="29" t="s">
        <v>1660</v>
      </c>
      <c r="L879" s="29" t="s">
        <v>1661</v>
      </c>
      <c r="M879" s="29" t="s">
        <v>207</v>
      </c>
      <c r="N879" s="29" t="s">
        <v>1640</v>
      </c>
      <c r="O879" s="29" t="s">
        <v>137</v>
      </c>
      <c r="P879" s="30" t="s">
        <v>1662</v>
      </c>
      <c r="Q879" s="25"/>
      <c r="R879" s="25"/>
    </row>
    <row r="880" s="25" customFormat="1" spans="1:16">
      <c r="A880" s="29" t="s">
        <v>1660</v>
      </c>
      <c r="B880" s="29" t="s">
        <v>1631</v>
      </c>
      <c r="C880" s="29" t="s">
        <v>51</v>
      </c>
      <c r="D880" s="29" t="s">
        <v>1494</v>
      </c>
      <c r="E880" s="29" t="s">
        <v>47</v>
      </c>
      <c r="F880" s="29" t="s">
        <v>35</v>
      </c>
      <c r="G880" s="29" t="s">
        <v>1632</v>
      </c>
      <c r="H880" s="29" t="s">
        <v>1633</v>
      </c>
      <c r="I880" s="29" t="s">
        <v>204</v>
      </c>
      <c r="J880" s="29" t="s">
        <v>141</v>
      </c>
      <c r="K880" s="29" t="s">
        <v>1663</v>
      </c>
      <c r="L880" s="29" t="s">
        <v>1664</v>
      </c>
      <c r="M880" s="29" t="s">
        <v>207</v>
      </c>
      <c r="N880" s="29" t="s">
        <v>1640</v>
      </c>
      <c r="O880" s="29" t="s">
        <v>137</v>
      </c>
      <c r="P880" s="30" t="s">
        <v>1665</v>
      </c>
    </row>
    <row r="881" s="25" customFormat="1" spans="1:16">
      <c r="A881" s="29" t="s">
        <v>1663</v>
      </c>
      <c r="B881" s="29" t="s">
        <v>1631</v>
      </c>
      <c r="C881" s="29" t="s">
        <v>51</v>
      </c>
      <c r="D881" s="29" t="s">
        <v>1494</v>
      </c>
      <c r="E881" s="29" t="s">
        <v>47</v>
      </c>
      <c r="F881" s="29" t="s">
        <v>35</v>
      </c>
      <c r="G881" s="29" t="s">
        <v>1632</v>
      </c>
      <c r="H881" s="29" t="s">
        <v>1633</v>
      </c>
      <c r="I881" s="29" t="s">
        <v>204</v>
      </c>
      <c r="J881" s="29" t="s">
        <v>145</v>
      </c>
      <c r="K881" s="29" t="s">
        <v>39</v>
      </c>
      <c r="L881" s="29" t="s">
        <v>1666</v>
      </c>
      <c r="M881" s="29" t="s">
        <v>207</v>
      </c>
      <c r="N881" s="29" t="s">
        <v>1640</v>
      </c>
      <c r="O881" s="29" t="s">
        <v>137</v>
      </c>
      <c r="P881" s="30" t="s">
        <v>1667</v>
      </c>
    </row>
    <row r="882" s="25" customFormat="1" spans="1:16">
      <c r="A882" s="29" t="s">
        <v>1668</v>
      </c>
      <c r="B882" s="29" t="s">
        <v>1668</v>
      </c>
      <c r="C882" s="29" t="s">
        <v>51</v>
      </c>
      <c r="D882" s="29" t="s">
        <v>1494</v>
      </c>
      <c r="E882" s="29" t="s">
        <v>47</v>
      </c>
      <c r="F882" s="29" t="s">
        <v>35</v>
      </c>
      <c r="G882" s="29" t="s">
        <v>1669</v>
      </c>
      <c r="H882" s="29" t="s">
        <v>1670</v>
      </c>
      <c r="I882" s="29" t="s">
        <v>204</v>
      </c>
      <c r="J882" s="29" t="s">
        <v>39</v>
      </c>
      <c r="K882" s="29" t="s">
        <v>1671</v>
      </c>
      <c r="L882" s="29" t="s">
        <v>1635</v>
      </c>
      <c r="M882" s="29" t="s">
        <v>244</v>
      </c>
      <c r="N882" s="29" t="s">
        <v>1672</v>
      </c>
      <c r="O882" s="29" t="s">
        <v>141</v>
      </c>
      <c r="P882" s="30" t="s">
        <v>1673</v>
      </c>
    </row>
    <row r="883" s="25" customFormat="1" spans="1:16">
      <c r="A883" s="29" t="s">
        <v>1671</v>
      </c>
      <c r="B883" s="29" t="s">
        <v>1668</v>
      </c>
      <c r="C883" s="29" t="s">
        <v>51</v>
      </c>
      <c r="D883" s="29" t="s">
        <v>1494</v>
      </c>
      <c r="E883" s="29" t="s">
        <v>47</v>
      </c>
      <c r="F883" s="29" t="s">
        <v>35</v>
      </c>
      <c r="G883" s="29" t="s">
        <v>1669</v>
      </c>
      <c r="H883" s="29" t="s">
        <v>1670</v>
      </c>
      <c r="I883" s="29" t="s">
        <v>204</v>
      </c>
      <c r="J883" s="29" t="s">
        <v>35</v>
      </c>
      <c r="K883" s="29" t="s">
        <v>1674</v>
      </c>
      <c r="L883" s="29" t="s">
        <v>1639</v>
      </c>
      <c r="M883" s="29" t="s">
        <v>244</v>
      </c>
      <c r="N883" s="29" t="s">
        <v>1675</v>
      </c>
      <c r="O883" s="29" t="s">
        <v>141</v>
      </c>
      <c r="P883" s="30" t="s">
        <v>1676</v>
      </c>
    </row>
    <row r="884" s="25" customFormat="1" spans="1:16">
      <c r="A884" s="29" t="s">
        <v>1674</v>
      </c>
      <c r="B884" s="29" t="s">
        <v>1668</v>
      </c>
      <c r="C884" s="29" t="s">
        <v>51</v>
      </c>
      <c r="D884" s="29" t="s">
        <v>1494</v>
      </c>
      <c r="E884" s="29" t="s">
        <v>47</v>
      </c>
      <c r="F884" s="29" t="s">
        <v>35</v>
      </c>
      <c r="G884" s="29" t="s">
        <v>1669</v>
      </c>
      <c r="H884" s="29" t="s">
        <v>1670</v>
      </c>
      <c r="I884" s="29" t="s">
        <v>204</v>
      </c>
      <c r="J884" s="29" t="s">
        <v>47</v>
      </c>
      <c r="K884" s="29" t="s">
        <v>1677</v>
      </c>
      <c r="L884" s="29" t="s">
        <v>1643</v>
      </c>
      <c r="M884" s="29" t="s">
        <v>244</v>
      </c>
      <c r="N884" s="29" t="s">
        <v>1675</v>
      </c>
      <c r="O884" s="29" t="s">
        <v>141</v>
      </c>
      <c r="P884" s="30" t="s">
        <v>1678</v>
      </c>
    </row>
    <row r="885" s="25" customFormat="1" spans="1:16">
      <c r="A885" s="29" t="s">
        <v>1677</v>
      </c>
      <c r="B885" s="29" t="s">
        <v>1668</v>
      </c>
      <c r="C885" s="29" t="s">
        <v>51</v>
      </c>
      <c r="D885" s="29" t="s">
        <v>1494</v>
      </c>
      <c r="E885" s="29" t="s">
        <v>47</v>
      </c>
      <c r="F885" s="29" t="s">
        <v>35</v>
      </c>
      <c r="G885" s="29" t="s">
        <v>1669</v>
      </c>
      <c r="H885" s="29" t="s">
        <v>1670</v>
      </c>
      <c r="I885" s="29" t="s">
        <v>204</v>
      </c>
      <c r="J885" s="29" t="s">
        <v>51</v>
      </c>
      <c r="K885" s="29" t="s">
        <v>1679</v>
      </c>
      <c r="L885" s="29" t="s">
        <v>1646</v>
      </c>
      <c r="M885" s="29" t="s">
        <v>244</v>
      </c>
      <c r="N885" s="29" t="s">
        <v>1675</v>
      </c>
      <c r="O885" s="29" t="s">
        <v>141</v>
      </c>
      <c r="P885" s="30" t="s">
        <v>1680</v>
      </c>
    </row>
    <row r="886" s="25" customFormat="1" spans="1:16">
      <c r="A886" s="29" t="s">
        <v>1679</v>
      </c>
      <c r="B886" s="29" t="s">
        <v>1668</v>
      </c>
      <c r="C886" s="29" t="s">
        <v>51</v>
      </c>
      <c r="D886" s="29" t="s">
        <v>1494</v>
      </c>
      <c r="E886" s="29" t="s">
        <v>47</v>
      </c>
      <c r="F886" s="29" t="s">
        <v>35</v>
      </c>
      <c r="G886" s="29" t="s">
        <v>1669</v>
      </c>
      <c r="H886" s="29" t="s">
        <v>1670</v>
      </c>
      <c r="I886" s="29" t="s">
        <v>204</v>
      </c>
      <c r="J886" s="29" t="s">
        <v>55</v>
      </c>
      <c r="K886" s="29" t="s">
        <v>1681</v>
      </c>
      <c r="L886" s="29" t="s">
        <v>1649</v>
      </c>
      <c r="M886" s="29" t="s">
        <v>244</v>
      </c>
      <c r="N886" s="29" t="s">
        <v>1675</v>
      </c>
      <c r="O886" s="29" t="s">
        <v>141</v>
      </c>
      <c r="P886" s="30" t="s">
        <v>1682</v>
      </c>
    </row>
    <row r="887" s="25" customFormat="1" spans="1:16">
      <c r="A887" s="29" t="s">
        <v>1681</v>
      </c>
      <c r="B887" s="29" t="s">
        <v>1668</v>
      </c>
      <c r="C887" s="29" t="s">
        <v>51</v>
      </c>
      <c r="D887" s="29" t="s">
        <v>1494</v>
      </c>
      <c r="E887" s="29" t="s">
        <v>47</v>
      </c>
      <c r="F887" s="29" t="s">
        <v>35</v>
      </c>
      <c r="G887" s="29" t="s">
        <v>1669</v>
      </c>
      <c r="H887" s="29" t="s">
        <v>1670</v>
      </c>
      <c r="I887" s="29" t="s">
        <v>204</v>
      </c>
      <c r="J887" s="29" t="s">
        <v>59</v>
      </c>
      <c r="K887" s="29" t="s">
        <v>1683</v>
      </c>
      <c r="L887" s="29" t="s">
        <v>1652</v>
      </c>
      <c r="M887" s="29" t="s">
        <v>244</v>
      </c>
      <c r="N887" s="29" t="s">
        <v>1675</v>
      </c>
      <c r="O887" s="29" t="s">
        <v>141</v>
      </c>
      <c r="P887" s="30" t="s">
        <v>1684</v>
      </c>
    </row>
    <row r="888" s="25" customFormat="1" spans="1:16">
      <c r="A888" s="29" t="s">
        <v>1683</v>
      </c>
      <c r="B888" s="29" t="s">
        <v>1668</v>
      </c>
      <c r="C888" s="29" t="s">
        <v>51</v>
      </c>
      <c r="D888" s="29" t="s">
        <v>1494</v>
      </c>
      <c r="E888" s="29" t="s">
        <v>47</v>
      </c>
      <c r="F888" s="29" t="s">
        <v>35</v>
      </c>
      <c r="G888" s="29" t="s">
        <v>1669</v>
      </c>
      <c r="H888" s="29" t="s">
        <v>1670</v>
      </c>
      <c r="I888" s="29" t="s">
        <v>204</v>
      </c>
      <c r="J888" s="29" t="s">
        <v>129</v>
      </c>
      <c r="K888" s="29" t="s">
        <v>1685</v>
      </c>
      <c r="L888" s="29" t="s">
        <v>1655</v>
      </c>
      <c r="M888" s="29" t="s">
        <v>244</v>
      </c>
      <c r="N888" s="29" t="s">
        <v>1675</v>
      </c>
      <c r="O888" s="29" t="s">
        <v>141</v>
      </c>
      <c r="P888" s="30" t="s">
        <v>1686</v>
      </c>
    </row>
    <row r="889" s="25" customFormat="1" spans="1:16">
      <c r="A889" s="29" t="s">
        <v>1685</v>
      </c>
      <c r="B889" s="29" t="s">
        <v>1668</v>
      </c>
      <c r="C889" s="29" t="s">
        <v>51</v>
      </c>
      <c r="D889" s="29" t="s">
        <v>1494</v>
      </c>
      <c r="E889" s="29" t="s">
        <v>47</v>
      </c>
      <c r="F889" s="29" t="s">
        <v>35</v>
      </c>
      <c r="G889" s="29" t="s">
        <v>1669</v>
      </c>
      <c r="H889" s="29" t="s">
        <v>1670</v>
      </c>
      <c r="I889" s="29" t="s">
        <v>204</v>
      </c>
      <c r="J889" s="29" t="s">
        <v>133</v>
      </c>
      <c r="K889" s="29" t="s">
        <v>1687</v>
      </c>
      <c r="L889" s="29" t="s">
        <v>1658</v>
      </c>
      <c r="M889" s="29" t="s">
        <v>244</v>
      </c>
      <c r="N889" s="29" t="s">
        <v>1675</v>
      </c>
      <c r="O889" s="29" t="s">
        <v>141</v>
      </c>
      <c r="P889" s="30" t="s">
        <v>1688</v>
      </c>
    </row>
    <row r="890" s="25" customFormat="1" spans="1:16">
      <c r="A890" s="29" t="s">
        <v>1687</v>
      </c>
      <c r="B890" s="29" t="s">
        <v>1668</v>
      </c>
      <c r="C890" s="29" t="s">
        <v>51</v>
      </c>
      <c r="D890" s="29" t="s">
        <v>1494</v>
      </c>
      <c r="E890" s="29" t="s">
        <v>47</v>
      </c>
      <c r="F890" s="29" t="s">
        <v>35</v>
      </c>
      <c r="G890" s="29" t="s">
        <v>1669</v>
      </c>
      <c r="H890" s="29" t="s">
        <v>1670</v>
      </c>
      <c r="I890" s="29" t="s">
        <v>204</v>
      </c>
      <c r="J890" s="29" t="s">
        <v>137</v>
      </c>
      <c r="K890" s="29" t="s">
        <v>1689</v>
      </c>
      <c r="L890" s="29" t="s">
        <v>1661</v>
      </c>
      <c r="M890" s="29" t="s">
        <v>244</v>
      </c>
      <c r="N890" s="29" t="s">
        <v>1675</v>
      </c>
      <c r="O890" s="29" t="s">
        <v>141</v>
      </c>
      <c r="P890" s="30" t="s">
        <v>1690</v>
      </c>
    </row>
    <row r="891" s="26" customFormat="1" spans="1:18">
      <c r="A891" s="29" t="s">
        <v>1689</v>
      </c>
      <c r="B891" s="29" t="s">
        <v>1668</v>
      </c>
      <c r="C891" s="29" t="s">
        <v>51</v>
      </c>
      <c r="D891" s="29" t="s">
        <v>1494</v>
      </c>
      <c r="E891" s="29" t="s">
        <v>47</v>
      </c>
      <c r="F891" s="29" t="s">
        <v>35</v>
      </c>
      <c r="G891" s="29" t="s">
        <v>1669</v>
      </c>
      <c r="H891" s="29" t="s">
        <v>1670</v>
      </c>
      <c r="I891" s="29" t="s">
        <v>204</v>
      </c>
      <c r="J891" s="29" t="s">
        <v>141</v>
      </c>
      <c r="K891" s="29" t="s">
        <v>1691</v>
      </c>
      <c r="L891" s="29" t="s">
        <v>1664</v>
      </c>
      <c r="M891" s="29" t="s">
        <v>244</v>
      </c>
      <c r="N891" s="29" t="s">
        <v>1675</v>
      </c>
      <c r="O891" s="29" t="s">
        <v>141</v>
      </c>
      <c r="P891" s="30" t="s">
        <v>1692</v>
      </c>
      <c r="Q891" s="25"/>
      <c r="R891" s="25"/>
    </row>
    <row r="892" s="25" customFormat="1" spans="1:16">
      <c r="A892" s="29" t="s">
        <v>1691</v>
      </c>
      <c r="B892" s="29" t="s">
        <v>1668</v>
      </c>
      <c r="C892" s="29" t="s">
        <v>51</v>
      </c>
      <c r="D892" s="29" t="s">
        <v>1494</v>
      </c>
      <c r="E892" s="29" t="s">
        <v>47</v>
      </c>
      <c r="F892" s="29" t="s">
        <v>35</v>
      </c>
      <c r="G892" s="29" t="s">
        <v>1669</v>
      </c>
      <c r="H892" s="29" t="s">
        <v>1670</v>
      </c>
      <c r="I892" s="29" t="s">
        <v>204</v>
      </c>
      <c r="J892" s="29" t="s">
        <v>145</v>
      </c>
      <c r="K892" s="29" t="s">
        <v>39</v>
      </c>
      <c r="L892" s="29" t="s">
        <v>1666</v>
      </c>
      <c r="M892" s="29" t="s">
        <v>244</v>
      </c>
      <c r="N892" s="29" t="s">
        <v>1675</v>
      </c>
      <c r="O892" s="29" t="s">
        <v>141</v>
      </c>
      <c r="P892" s="30" t="s">
        <v>1693</v>
      </c>
    </row>
    <row r="893" s="25" customFormat="1" spans="1:16">
      <c r="A893" s="29" t="s">
        <v>1694</v>
      </c>
      <c r="B893" s="29" t="s">
        <v>1694</v>
      </c>
      <c r="C893" s="29" t="s">
        <v>51</v>
      </c>
      <c r="D893" s="29" t="s">
        <v>1494</v>
      </c>
      <c r="E893" s="29" t="s">
        <v>47</v>
      </c>
      <c r="F893" s="29" t="s">
        <v>35</v>
      </c>
      <c r="G893" s="29" t="s">
        <v>1695</v>
      </c>
      <c r="H893" s="29" t="s">
        <v>1696</v>
      </c>
      <c r="I893" s="29" t="s">
        <v>204</v>
      </c>
      <c r="J893" s="29" t="s">
        <v>39</v>
      </c>
      <c r="K893" s="29" t="s">
        <v>1697</v>
      </c>
      <c r="L893" s="29" t="s">
        <v>1635</v>
      </c>
      <c r="M893" s="29" t="s">
        <v>271</v>
      </c>
      <c r="N893" s="29" t="s">
        <v>1698</v>
      </c>
      <c r="O893" s="29" t="s">
        <v>145</v>
      </c>
      <c r="P893" s="30" t="s">
        <v>1699</v>
      </c>
    </row>
    <row r="894" s="25" customFormat="1" spans="1:16">
      <c r="A894" s="29" t="s">
        <v>1697</v>
      </c>
      <c r="B894" s="29" t="s">
        <v>1694</v>
      </c>
      <c r="C894" s="29" t="s">
        <v>51</v>
      </c>
      <c r="D894" s="29" t="s">
        <v>1494</v>
      </c>
      <c r="E894" s="29" t="s">
        <v>47</v>
      </c>
      <c r="F894" s="29" t="s">
        <v>35</v>
      </c>
      <c r="G894" s="29" t="s">
        <v>1695</v>
      </c>
      <c r="H894" s="29" t="s">
        <v>1696</v>
      </c>
      <c r="I894" s="29" t="s">
        <v>204</v>
      </c>
      <c r="J894" s="29" t="s">
        <v>35</v>
      </c>
      <c r="K894" s="29" t="s">
        <v>1700</v>
      </c>
      <c r="L894" s="29" t="s">
        <v>1639</v>
      </c>
      <c r="M894" s="29" t="s">
        <v>271</v>
      </c>
      <c r="N894" s="29" t="s">
        <v>1701</v>
      </c>
      <c r="O894" s="29" t="s">
        <v>145</v>
      </c>
      <c r="P894" s="30" t="s">
        <v>1702</v>
      </c>
    </row>
    <row r="895" s="25" customFormat="1" spans="1:16">
      <c r="A895" s="29" t="s">
        <v>1700</v>
      </c>
      <c r="B895" s="29" t="s">
        <v>1694</v>
      </c>
      <c r="C895" s="29" t="s">
        <v>51</v>
      </c>
      <c r="D895" s="29" t="s">
        <v>1494</v>
      </c>
      <c r="E895" s="29" t="s">
        <v>47</v>
      </c>
      <c r="F895" s="29" t="s">
        <v>35</v>
      </c>
      <c r="G895" s="29" t="s">
        <v>1695</v>
      </c>
      <c r="H895" s="29" t="s">
        <v>1696</v>
      </c>
      <c r="I895" s="29" t="s">
        <v>204</v>
      </c>
      <c r="J895" s="29" t="s">
        <v>47</v>
      </c>
      <c r="K895" s="29" t="s">
        <v>1703</v>
      </c>
      <c r="L895" s="29" t="s">
        <v>1643</v>
      </c>
      <c r="M895" s="29" t="s">
        <v>271</v>
      </c>
      <c r="N895" s="29" t="s">
        <v>1701</v>
      </c>
      <c r="O895" s="29" t="s">
        <v>145</v>
      </c>
      <c r="P895" s="30" t="s">
        <v>1704</v>
      </c>
    </row>
    <row r="896" s="25" customFormat="1" spans="1:16">
      <c r="A896" s="29" t="s">
        <v>1703</v>
      </c>
      <c r="B896" s="29" t="s">
        <v>1694</v>
      </c>
      <c r="C896" s="29" t="s">
        <v>51</v>
      </c>
      <c r="D896" s="29" t="s">
        <v>1494</v>
      </c>
      <c r="E896" s="29" t="s">
        <v>47</v>
      </c>
      <c r="F896" s="29" t="s">
        <v>35</v>
      </c>
      <c r="G896" s="29" t="s">
        <v>1695</v>
      </c>
      <c r="H896" s="29" t="s">
        <v>1696</v>
      </c>
      <c r="I896" s="29" t="s">
        <v>204</v>
      </c>
      <c r="J896" s="29" t="s">
        <v>51</v>
      </c>
      <c r="K896" s="29" t="s">
        <v>1705</v>
      </c>
      <c r="L896" s="29" t="s">
        <v>1646</v>
      </c>
      <c r="M896" s="29" t="s">
        <v>271</v>
      </c>
      <c r="N896" s="29" t="s">
        <v>1701</v>
      </c>
      <c r="O896" s="29" t="s">
        <v>145</v>
      </c>
      <c r="P896" s="30" t="s">
        <v>1706</v>
      </c>
    </row>
    <row r="897" s="25" customFormat="1" spans="1:16">
      <c r="A897" s="29" t="s">
        <v>1705</v>
      </c>
      <c r="B897" s="29" t="s">
        <v>1694</v>
      </c>
      <c r="C897" s="29" t="s">
        <v>51</v>
      </c>
      <c r="D897" s="29" t="s">
        <v>1494</v>
      </c>
      <c r="E897" s="29" t="s">
        <v>47</v>
      </c>
      <c r="F897" s="29" t="s">
        <v>35</v>
      </c>
      <c r="G897" s="29" t="s">
        <v>1695</v>
      </c>
      <c r="H897" s="29" t="s">
        <v>1696</v>
      </c>
      <c r="I897" s="29" t="s">
        <v>204</v>
      </c>
      <c r="J897" s="29" t="s">
        <v>55</v>
      </c>
      <c r="K897" s="29" t="s">
        <v>1707</v>
      </c>
      <c r="L897" s="29" t="s">
        <v>1649</v>
      </c>
      <c r="M897" s="29" t="s">
        <v>271</v>
      </c>
      <c r="N897" s="29" t="s">
        <v>1701</v>
      </c>
      <c r="O897" s="29" t="s">
        <v>145</v>
      </c>
      <c r="P897" s="30" t="s">
        <v>1708</v>
      </c>
    </row>
    <row r="898" s="25" customFormat="1" spans="1:16">
      <c r="A898" s="29" t="s">
        <v>1707</v>
      </c>
      <c r="B898" s="29" t="s">
        <v>1694</v>
      </c>
      <c r="C898" s="29" t="s">
        <v>51</v>
      </c>
      <c r="D898" s="29" t="s">
        <v>1494</v>
      </c>
      <c r="E898" s="29" t="s">
        <v>47</v>
      </c>
      <c r="F898" s="29" t="s">
        <v>35</v>
      </c>
      <c r="G898" s="29" t="s">
        <v>1695</v>
      </c>
      <c r="H898" s="29" t="s">
        <v>1696</v>
      </c>
      <c r="I898" s="29" t="s">
        <v>204</v>
      </c>
      <c r="J898" s="29" t="s">
        <v>59</v>
      </c>
      <c r="K898" s="29" t="s">
        <v>1709</v>
      </c>
      <c r="L898" s="29" t="s">
        <v>1652</v>
      </c>
      <c r="M898" s="29" t="s">
        <v>271</v>
      </c>
      <c r="N898" s="29" t="s">
        <v>1701</v>
      </c>
      <c r="O898" s="29" t="s">
        <v>145</v>
      </c>
      <c r="P898" s="30" t="s">
        <v>1710</v>
      </c>
    </row>
    <row r="899" s="25" customFormat="1" spans="1:16">
      <c r="A899" s="29" t="s">
        <v>1709</v>
      </c>
      <c r="B899" s="29" t="s">
        <v>1694</v>
      </c>
      <c r="C899" s="29" t="s">
        <v>51</v>
      </c>
      <c r="D899" s="29" t="s">
        <v>1494</v>
      </c>
      <c r="E899" s="29" t="s">
        <v>47</v>
      </c>
      <c r="F899" s="29" t="s">
        <v>35</v>
      </c>
      <c r="G899" s="29" t="s">
        <v>1695</v>
      </c>
      <c r="H899" s="29" t="s">
        <v>1696</v>
      </c>
      <c r="I899" s="29" t="s">
        <v>204</v>
      </c>
      <c r="J899" s="29" t="s">
        <v>129</v>
      </c>
      <c r="K899" s="29" t="s">
        <v>1711</v>
      </c>
      <c r="L899" s="29" t="s">
        <v>1655</v>
      </c>
      <c r="M899" s="29" t="s">
        <v>271</v>
      </c>
      <c r="N899" s="29" t="s">
        <v>1701</v>
      </c>
      <c r="O899" s="29" t="s">
        <v>145</v>
      </c>
      <c r="P899" s="30" t="s">
        <v>1712</v>
      </c>
    </row>
    <row r="900" s="25" customFormat="1" spans="1:16">
      <c r="A900" s="29" t="s">
        <v>1711</v>
      </c>
      <c r="B900" s="29" t="s">
        <v>1694</v>
      </c>
      <c r="C900" s="29" t="s">
        <v>51</v>
      </c>
      <c r="D900" s="29" t="s">
        <v>1494</v>
      </c>
      <c r="E900" s="29" t="s">
        <v>47</v>
      </c>
      <c r="F900" s="29" t="s">
        <v>35</v>
      </c>
      <c r="G900" s="29" t="s">
        <v>1695</v>
      </c>
      <c r="H900" s="29" t="s">
        <v>1696</v>
      </c>
      <c r="I900" s="29" t="s">
        <v>204</v>
      </c>
      <c r="J900" s="29" t="s">
        <v>133</v>
      </c>
      <c r="K900" s="29" t="s">
        <v>1713</v>
      </c>
      <c r="L900" s="29" t="s">
        <v>1658</v>
      </c>
      <c r="M900" s="29" t="s">
        <v>271</v>
      </c>
      <c r="N900" s="29" t="s">
        <v>1701</v>
      </c>
      <c r="O900" s="29" t="s">
        <v>145</v>
      </c>
      <c r="P900" s="30" t="s">
        <v>1714</v>
      </c>
    </row>
    <row r="901" s="25" customFormat="1" spans="1:16">
      <c r="A901" s="29" t="s">
        <v>1713</v>
      </c>
      <c r="B901" s="29" t="s">
        <v>1694</v>
      </c>
      <c r="C901" s="29" t="s">
        <v>51</v>
      </c>
      <c r="D901" s="29" t="s">
        <v>1494</v>
      </c>
      <c r="E901" s="29" t="s">
        <v>47</v>
      </c>
      <c r="F901" s="29" t="s">
        <v>35</v>
      </c>
      <c r="G901" s="29" t="s">
        <v>1695</v>
      </c>
      <c r="H901" s="29" t="s">
        <v>1696</v>
      </c>
      <c r="I901" s="29" t="s">
        <v>204</v>
      </c>
      <c r="J901" s="29" t="s">
        <v>137</v>
      </c>
      <c r="K901" s="29" t="s">
        <v>1715</v>
      </c>
      <c r="L901" s="29" t="s">
        <v>1661</v>
      </c>
      <c r="M901" s="29" t="s">
        <v>271</v>
      </c>
      <c r="N901" s="29" t="s">
        <v>1701</v>
      </c>
      <c r="O901" s="29" t="s">
        <v>145</v>
      </c>
      <c r="P901" s="30" t="s">
        <v>1716</v>
      </c>
    </row>
    <row r="902" s="25" customFormat="1" spans="1:16">
      <c r="A902" s="29" t="s">
        <v>1715</v>
      </c>
      <c r="B902" s="29" t="s">
        <v>1694</v>
      </c>
      <c r="C902" s="29" t="s">
        <v>51</v>
      </c>
      <c r="D902" s="29" t="s">
        <v>1494</v>
      </c>
      <c r="E902" s="29" t="s">
        <v>47</v>
      </c>
      <c r="F902" s="29" t="s">
        <v>35</v>
      </c>
      <c r="G902" s="29" t="s">
        <v>1695</v>
      </c>
      <c r="H902" s="29" t="s">
        <v>1696</v>
      </c>
      <c r="I902" s="29" t="s">
        <v>204</v>
      </c>
      <c r="J902" s="29" t="s">
        <v>141</v>
      </c>
      <c r="K902" s="29" t="s">
        <v>1717</v>
      </c>
      <c r="L902" s="29" t="s">
        <v>1664</v>
      </c>
      <c r="M902" s="29" t="s">
        <v>271</v>
      </c>
      <c r="N902" s="29" t="s">
        <v>1701</v>
      </c>
      <c r="O902" s="29" t="s">
        <v>145</v>
      </c>
      <c r="P902" s="30" t="s">
        <v>1718</v>
      </c>
    </row>
    <row r="903" s="26" customFormat="1" spans="1:18">
      <c r="A903" s="29" t="s">
        <v>1717</v>
      </c>
      <c r="B903" s="29" t="s">
        <v>1694</v>
      </c>
      <c r="C903" s="29" t="s">
        <v>51</v>
      </c>
      <c r="D903" s="29" t="s">
        <v>1494</v>
      </c>
      <c r="E903" s="29" t="s">
        <v>47</v>
      </c>
      <c r="F903" s="29" t="s">
        <v>35</v>
      </c>
      <c r="G903" s="29" t="s">
        <v>1695</v>
      </c>
      <c r="H903" s="29" t="s">
        <v>1696</v>
      </c>
      <c r="I903" s="29" t="s">
        <v>204</v>
      </c>
      <c r="J903" s="29" t="s">
        <v>145</v>
      </c>
      <c r="K903" s="29" t="s">
        <v>39</v>
      </c>
      <c r="L903" s="29" t="s">
        <v>1666</v>
      </c>
      <c r="M903" s="29" t="s">
        <v>271</v>
      </c>
      <c r="N903" s="29" t="s">
        <v>1701</v>
      </c>
      <c r="O903" s="29" t="s">
        <v>145</v>
      </c>
      <c r="P903" s="30" t="s">
        <v>1719</v>
      </c>
      <c r="Q903" s="25"/>
      <c r="R903" s="25"/>
    </row>
    <row r="904" s="26" customFormat="1" spans="1:18">
      <c r="A904" s="29" t="s">
        <v>1720</v>
      </c>
      <c r="B904" s="29" t="s">
        <v>1720</v>
      </c>
      <c r="C904" s="29" t="s">
        <v>51</v>
      </c>
      <c r="D904" s="29" t="s">
        <v>1498</v>
      </c>
      <c r="E904" s="29" t="s">
        <v>35</v>
      </c>
      <c r="F904" s="29" t="s">
        <v>47</v>
      </c>
      <c r="G904" s="29" t="s">
        <v>295</v>
      </c>
      <c r="H904" s="29" t="s">
        <v>38</v>
      </c>
      <c r="I904" s="29" t="s">
        <v>39</v>
      </c>
      <c r="J904" s="29" t="s">
        <v>39</v>
      </c>
      <c r="K904" s="29" t="s">
        <v>1721</v>
      </c>
      <c r="L904" s="29" t="s">
        <v>1722</v>
      </c>
      <c r="M904" s="29" t="s">
        <v>298</v>
      </c>
      <c r="N904" s="29" t="s">
        <v>1496</v>
      </c>
      <c r="O904" s="29" t="s">
        <v>35</v>
      </c>
      <c r="P904" s="30" t="s">
        <v>1497</v>
      </c>
      <c r="Q904" s="25"/>
      <c r="R904" s="25"/>
    </row>
    <row r="905" s="25" customFormat="1" spans="1:16">
      <c r="A905" s="29" t="s">
        <v>1721</v>
      </c>
      <c r="B905" s="29" t="s">
        <v>1720</v>
      </c>
      <c r="C905" s="29" t="s">
        <v>51</v>
      </c>
      <c r="D905" s="29" t="s">
        <v>1498</v>
      </c>
      <c r="E905" s="29" t="s">
        <v>35</v>
      </c>
      <c r="F905" s="29" t="s">
        <v>47</v>
      </c>
      <c r="G905" s="29" t="s">
        <v>295</v>
      </c>
      <c r="H905" s="29" t="s">
        <v>38</v>
      </c>
      <c r="I905" s="29" t="s">
        <v>39</v>
      </c>
      <c r="J905" s="29" t="s">
        <v>35</v>
      </c>
      <c r="K905" s="29" t="s">
        <v>1723</v>
      </c>
      <c r="L905" s="29" t="s">
        <v>1724</v>
      </c>
      <c r="M905" s="29" t="s">
        <v>298</v>
      </c>
      <c r="N905" s="29" t="s">
        <v>1725</v>
      </c>
      <c r="O905" s="29" t="s">
        <v>35</v>
      </c>
      <c r="P905" s="30" t="s">
        <v>1726</v>
      </c>
    </row>
    <row r="906" s="25" customFormat="1" spans="1:16">
      <c r="A906" s="29" t="s">
        <v>1723</v>
      </c>
      <c r="B906" s="29" t="s">
        <v>1720</v>
      </c>
      <c r="C906" s="29" t="s">
        <v>51</v>
      </c>
      <c r="D906" s="29" t="s">
        <v>1498</v>
      </c>
      <c r="E906" s="29" t="s">
        <v>35</v>
      </c>
      <c r="F906" s="29" t="s">
        <v>47</v>
      </c>
      <c r="G906" s="29" t="s">
        <v>295</v>
      </c>
      <c r="H906" s="29" t="s">
        <v>38</v>
      </c>
      <c r="I906" s="29" t="s">
        <v>39</v>
      </c>
      <c r="J906" s="29" t="s">
        <v>47</v>
      </c>
      <c r="K906" s="29" t="s">
        <v>1727</v>
      </c>
      <c r="L906" s="29" t="s">
        <v>1728</v>
      </c>
      <c r="M906" s="29" t="s">
        <v>298</v>
      </c>
      <c r="N906" s="29" t="s">
        <v>1725</v>
      </c>
      <c r="O906" s="29" t="s">
        <v>35</v>
      </c>
      <c r="P906" s="30" t="s">
        <v>1729</v>
      </c>
    </row>
    <row r="907" s="25" customFormat="1" spans="1:16">
      <c r="A907" s="29" t="s">
        <v>1727</v>
      </c>
      <c r="B907" s="29" t="s">
        <v>1720</v>
      </c>
      <c r="C907" s="29" t="s">
        <v>51</v>
      </c>
      <c r="D907" s="29" t="s">
        <v>1498</v>
      </c>
      <c r="E907" s="29" t="s">
        <v>35</v>
      </c>
      <c r="F907" s="29" t="s">
        <v>47</v>
      </c>
      <c r="G907" s="29" t="s">
        <v>295</v>
      </c>
      <c r="H907" s="29" t="s">
        <v>38</v>
      </c>
      <c r="I907" s="29" t="s">
        <v>39</v>
      </c>
      <c r="J907" s="29" t="s">
        <v>51</v>
      </c>
      <c r="K907" s="29" t="s">
        <v>1730</v>
      </c>
      <c r="L907" s="29" t="s">
        <v>1731</v>
      </c>
      <c r="M907" s="29" t="s">
        <v>298</v>
      </c>
      <c r="N907" s="29" t="s">
        <v>1725</v>
      </c>
      <c r="O907" s="29" t="s">
        <v>35</v>
      </c>
      <c r="P907" s="30" t="s">
        <v>1504</v>
      </c>
    </row>
    <row r="908" s="25" customFormat="1" spans="1:16">
      <c r="A908" s="29" t="s">
        <v>1730</v>
      </c>
      <c r="B908" s="29" t="s">
        <v>1720</v>
      </c>
      <c r="C908" s="29" t="s">
        <v>51</v>
      </c>
      <c r="D908" s="29" t="s">
        <v>1498</v>
      </c>
      <c r="E908" s="29" t="s">
        <v>35</v>
      </c>
      <c r="F908" s="29" t="s">
        <v>47</v>
      </c>
      <c r="G908" s="29" t="s">
        <v>295</v>
      </c>
      <c r="H908" s="29" t="s">
        <v>38</v>
      </c>
      <c r="I908" s="29" t="s">
        <v>39</v>
      </c>
      <c r="J908" s="29" t="s">
        <v>55</v>
      </c>
      <c r="K908" s="29" t="s">
        <v>1732</v>
      </c>
      <c r="L908" s="29" t="s">
        <v>1733</v>
      </c>
      <c r="M908" s="29" t="s">
        <v>298</v>
      </c>
      <c r="N908" s="29" t="s">
        <v>1725</v>
      </c>
      <c r="O908" s="29" t="s">
        <v>35</v>
      </c>
      <c r="P908" s="30" t="s">
        <v>1734</v>
      </c>
    </row>
    <row r="909" s="25" customFormat="1" spans="1:16">
      <c r="A909" s="29" t="s">
        <v>1732</v>
      </c>
      <c r="B909" s="29" t="s">
        <v>1720</v>
      </c>
      <c r="C909" s="29" t="s">
        <v>51</v>
      </c>
      <c r="D909" s="29" t="s">
        <v>1498</v>
      </c>
      <c r="E909" s="29" t="s">
        <v>35</v>
      </c>
      <c r="F909" s="29" t="s">
        <v>47</v>
      </c>
      <c r="G909" s="29" t="s">
        <v>295</v>
      </c>
      <c r="H909" s="29" t="s">
        <v>38</v>
      </c>
      <c r="I909" s="29" t="s">
        <v>39</v>
      </c>
      <c r="J909" s="29" t="s">
        <v>59</v>
      </c>
      <c r="K909" s="29" t="s">
        <v>1735</v>
      </c>
      <c r="L909" s="29" t="s">
        <v>1736</v>
      </c>
      <c r="M909" s="29" t="s">
        <v>298</v>
      </c>
      <c r="N909" s="29" t="s">
        <v>1725</v>
      </c>
      <c r="O909" s="29" t="s">
        <v>35</v>
      </c>
      <c r="P909" s="30" t="s">
        <v>1737</v>
      </c>
    </row>
    <row r="910" s="25" customFormat="1" spans="1:16">
      <c r="A910" s="29" t="s">
        <v>1735</v>
      </c>
      <c r="B910" s="29" t="s">
        <v>1720</v>
      </c>
      <c r="C910" s="29" t="s">
        <v>51</v>
      </c>
      <c r="D910" s="29" t="s">
        <v>1498</v>
      </c>
      <c r="E910" s="29" t="s">
        <v>35</v>
      </c>
      <c r="F910" s="29" t="s">
        <v>47</v>
      </c>
      <c r="G910" s="29" t="s">
        <v>295</v>
      </c>
      <c r="H910" s="29" t="s">
        <v>38</v>
      </c>
      <c r="I910" s="29" t="s">
        <v>39</v>
      </c>
      <c r="J910" s="29" t="s">
        <v>129</v>
      </c>
      <c r="K910" s="29" t="s">
        <v>1738</v>
      </c>
      <c r="L910" s="29" t="s">
        <v>1739</v>
      </c>
      <c r="M910" s="29" t="s">
        <v>298</v>
      </c>
      <c r="N910" s="29" t="s">
        <v>1725</v>
      </c>
      <c r="O910" s="29" t="s">
        <v>35</v>
      </c>
      <c r="P910" s="30" t="s">
        <v>1510</v>
      </c>
    </row>
    <row r="911" s="25" customFormat="1" spans="1:16">
      <c r="A911" s="29" t="s">
        <v>1738</v>
      </c>
      <c r="B911" s="29" t="s">
        <v>1720</v>
      </c>
      <c r="C911" s="29" t="s">
        <v>51</v>
      </c>
      <c r="D911" s="29" t="s">
        <v>1498</v>
      </c>
      <c r="E911" s="29" t="s">
        <v>35</v>
      </c>
      <c r="F911" s="29" t="s">
        <v>47</v>
      </c>
      <c r="G911" s="29" t="s">
        <v>295</v>
      </c>
      <c r="H911" s="29" t="s">
        <v>38</v>
      </c>
      <c r="I911" s="29" t="s">
        <v>39</v>
      </c>
      <c r="J911" s="29" t="s">
        <v>133</v>
      </c>
      <c r="K911" s="29" t="s">
        <v>1740</v>
      </c>
      <c r="L911" s="29" t="s">
        <v>1741</v>
      </c>
      <c r="M911" s="29" t="s">
        <v>298</v>
      </c>
      <c r="N911" s="29" t="s">
        <v>1725</v>
      </c>
      <c r="O911" s="29" t="s">
        <v>35</v>
      </c>
      <c r="P911" s="30" t="s">
        <v>1742</v>
      </c>
    </row>
    <row r="912" s="25" customFormat="1" spans="1:16">
      <c r="A912" s="29" t="s">
        <v>1740</v>
      </c>
      <c r="B912" s="29" t="s">
        <v>1720</v>
      </c>
      <c r="C912" s="29" t="s">
        <v>51</v>
      </c>
      <c r="D912" s="29" t="s">
        <v>1498</v>
      </c>
      <c r="E912" s="29" t="s">
        <v>35</v>
      </c>
      <c r="F912" s="29" t="s">
        <v>47</v>
      </c>
      <c r="G912" s="29" t="s">
        <v>295</v>
      </c>
      <c r="H912" s="29" t="s">
        <v>38</v>
      </c>
      <c r="I912" s="29" t="s">
        <v>39</v>
      </c>
      <c r="J912" s="29" t="s">
        <v>137</v>
      </c>
      <c r="K912" s="29" t="s">
        <v>1743</v>
      </c>
      <c r="L912" s="29" t="s">
        <v>1744</v>
      </c>
      <c r="M912" s="29" t="s">
        <v>298</v>
      </c>
      <c r="N912" s="29" t="s">
        <v>1725</v>
      </c>
      <c r="O912" s="29" t="s">
        <v>35</v>
      </c>
      <c r="P912" s="30" t="s">
        <v>1745</v>
      </c>
    </row>
    <row r="913" s="25" customFormat="1" spans="1:16">
      <c r="A913" s="29" t="s">
        <v>1743</v>
      </c>
      <c r="B913" s="29" t="s">
        <v>1720</v>
      </c>
      <c r="C913" s="29" t="s">
        <v>51</v>
      </c>
      <c r="D913" s="29" t="s">
        <v>1498</v>
      </c>
      <c r="E913" s="29" t="s">
        <v>35</v>
      </c>
      <c r="F913" s="29" t="s">
        <v>47</v>
      </c>
      <c r="G913" s="29" t="s">
        <v>295</v>
      </c>
      <c r="H913" s="29" t="s">
        <v>38</v>
      </c>
      <c r="I913" s="29" t="s">
        <v>39</v>
      </c>
      <c r="J913" s="29" t="s">
        <v>141</v>
      </c>
      <c r="K913" s="29" t="s">
        <v>1746</v>
      </c>
      <c r="L913" s="29" t="s">
        <v>1747</v>
      </c>
      <c r="M913" s="29" t="s">
        <v>298</v>
      </c>
      <c r="N913" s="29" t="s">
        <v>1725</v>
      </c>
      <c r="O913" s="29" t="s">
        <v>35</v>
      </c>
      <c r="P913" s="30" t="s">
        <v>1748</v>
      </c>
    </row>
    <row r="914" s="25" customFormat="1" spans="1:16">
      <c r="A914" s="29" t="s">
        <v>1746</v>
      </c>
      <c r="B914" s="29" t="s">
        <v>1720</v>
      </c>
      <c r="C914" s="29" t="s">
        <v>51</v>
      </c>
      <c r="D914" s="29" t="s">
        <v>1498</v>
      </c>
      <c r="E914" s="29" t="s">
        <v>35</v>
      </c>
      <c r="F914" s="29" t="s">
        <v>47</v>
      </c>
      <c r="G914" s="29" t="s">
        <v>295</v>
      </c>
      <c r="H914" s="29" t="s">
        <v>38</v>
      </c>
      <c r="I914" s="29" t="s">
        <v>39</v>
      </c>
      <c r="J914" s="29" t="s">
        <v>145</v>
      </c>
      <c r="K914" s="29" t="s">
        <v>39</v>
      </c>
      <c r="L914" s="29" t="s">
        <v>39</v>
      </c>
      <c r="M914" s="29" t="s">
        <v>39</v>
      </c>
      <c r="N914" s="29" t="s">
        <v>1725</v>
      </c>
      <c r="O914" s="29" t="s">
        <v>35</v>
      </c>
      <c r="P914" s="30" t="s">
        <v>1749</v>
      </c>
    </row>
    <row r="915" s="26" customFormat="1" spans="1:18">
      <c r="A915" s="29" t="s">
        <v>1750</v>
      </c>
      <c r="B915" s="29" t="s">
        <v>1750</v>
      </c>
      <c r="C915" s="29" t="s">
        <v>51</v>
      </c>
      <c r="D915" s="29" t="s">
        <v>1498</v>
      </c>
      <c r="E915" s="29" t="s">
        <v>35</v>
      </c>
      <c r="F915" s="29" t="s">
        <v>47</v>
      </c>
      <c r="G915" s="29" t="s">
        <v>327</v>
      </c>
      <c r="H915" s="29" t="s">
        <v>63</v>
      </c>
      <c r="I915" s="29" t="s">
        <v>39</v>
      </c>
      <c r="J915" s="29" t="s">
        <v>39</v>
      </c>
      <c r="K915" s="29" t="s">
        <v>1751</v>
      </c>
      <c r="L915" s="29" t="s">
        <v>1722</v>
      </c>
      <c r="M915" s="29" t="s">
        <v>329</v>
      </c>
      <c r="N915" s="29" t="s">
        <v>1514</v>
      </c>
      <c r="O915" s="29" t="s">
        <v>47</v>
      </c>
      <c r="P915" s="30" t="s">
        <v>1515</v>
      </c>
      <c r="Q915" s="25"/>
      <c r="R915" s="25"/>
    </row>
    <row r="916" s="25" customFormat="1" spans="1:16">
      <c r="A916" s="29" t="s">
        <v>1751</v>
      </c>
      <c r="B916" s="29" t="s">
        <v>1750</v>
      </c>
      <c r="C916" s="29" t="s">
        <v>51</v>
      </c>
      <c r="D916" s="29" t="s">
        <v>1498</v>
      </c>
      <c r="E916" s="29" t="s">
        <v>35</v>
      </c>
      <c r="F916" s="29" t="s">
        <v>47</v>
      </c>
      <c r="G916" s="29" t="s">
        <v>327</v>
      </c>
      <c r="H916" s="29" t="s">
        <v>63</v>
      </c>
      <c r="I916" s="29" t="s">
        <v>39</v>
      </c>
      <c r="J916" s="29" t="s">
        <v>35</v>
      </c>
      <c r="K916" s="29" t="s">
        <v>1752</v>
      </c>
      <c r="L916" s="29" t="s">
        <v>1724</v>
      </c>
      <c r="M916" s="29" t="s">
        <v>329</v>
      </c>
      <c r="N916" s="29" t="s">
        <v>1753</v>
      </c>
      <c r="O916" s="29" t="s">
        <v>47</v>
      </c>
      <c r="P916" s="30" t="s">
        <v>1754</v>
      </c>
    </row>
    <row r="917" s="25" customFormat="1" spans="1:16">
      <c r="A917" s="29" t="s">
        <v>1752</v>
      </c>
      <c r="B917" s="29" t="s">
        <v>1750</v>
      </c>
      <c r="C917" s="29" t="s">
        <v>51</v>
      </c>
      <c r="D917" s="29" t="s">
        <v>1498</v>
      </c>
      <c r="E917" s="29" t="s">
        <v>35</v>
      </c>
      <c r="F917" s="29" t="s">
        <v>47</v>
      </c>
      <c r="G917" s="29" t="s">
        <v>327</v>
      </c>
      <c r="H917" s="29" t="s">
        <v>63</v>
      </c>
      <c r="I917" s="29" t="s">
        <v>39</v>
      </c>
      <c r="J917" s="29" t="s">
        <v>47</v>
      </c>
      <c r="K917" s="29" t="s">
        <v>1755</v>
      </c>
      <c r="L917" s="29" t="s">
        <v>1728</v>
      </c>
      <c r="M917" s="29" t="s">
        <v>329</v>
      </c>
      <c r="N917" s="29" t="s">
        <v>1753</v>
      </c>
      <c r="O917" s="29" t="s">
        <v>47</v>
      </c>
      <c r="P917" s="30" t="s">
        <v>1756</v>
      </c>
    </row>
    <row r="918" s="25" customFormat="1" spans="1:16">
      <c r="A918" s="29" t="s">
        <v>1755</v>
      </c>
      <c r="B918" s="29" t="s">
        <v>1750</v>
      </c>
      <c r="C918" s="29" t="s">
        <v>51</v>
      </c>
      <c r="D918" s="29" t="s">
        <v>1498</v>
      </c>
      <c r="E918" s="29" t="s">
        <v>35</v>
      </c>
      <c r="F918" s="29" t="s">
        <v>47</v>
      </c>
      <c r="G918" s="29" t="s">
        <v>327</v>
      </c>
      <c r="H918" s="29" t="s">
        <v>63</v>
      </c>
      <c r="I918" s="29" t="s">
        <v>39</v>
      </c>
      <c r="J918" s="29" t="s">
        <v>51</v>
      </c>
      <c r="K918" s="29" t="s">
        <v>1757</v>
      </c>
      <c r="L918" s="29" t="s">
        <v>1731</v>
      </c>
      <c r="M918" s="29" t="s">
        <v>329</v>
      </c>
      <c r="N918" s="29" t="s">
        <v>1753</v>
      </c>
      <c r="O918" s="29" t="s">
        <v>47</v>
      </c>
      <c r="P918" s="30" t="s">
        <v>1758</v>
      </c>
    </row>
    <row r="919" s="25" customFormat="1" spans="1:16">
      <c r="A919" s="29" t="s">
        <v>1757</v>
      </c>
      <c r="B919" s="29" t="s">
        <v>1750</v>
      </c>
      <c r="C919" s="29" t="s">
        <v>51</v>
      </c>
      <c r="D919" s="29" t="s">
        <v>1498</v>
      </c>
      <c r="E919" s="29" t="s">
        <v>35</v>
      </c>
      <c r="F919" s="29" t="s">
        <v>47</v>
      </c>
      <c r="G919" s="29" t="s">
        <v>327</v>
      </c>
      <c r="H919" s="29" t="s">
        <v>63</v>
      </c>
      <c r="I919" s="29" t="s">
        <v>39</v>
      </c>
      <c r="J919" s="29" t="s">
        <v>55</v>
      </c>
      <c r="K919" s="29" t="s">
        <v>1759</v>
      </c>
      <c r="L919" s="29" t="s">
        <v>1733</v>
      </c>
      <c r="M919" s="29" t="s">
        <v>329</v>
      </c>
      <c r="N919" s="29" t="s">
        <v>1753</v>
      </c>
      <c r="O919" s="29" t="s">
        <v>47</v>
      </c>
      <c r="P919" s="30" t="s">
        <v>1760</v>
      </c>
    </row>
    <row r="920" s="25" customFormat="1" spans="1:16">
      <c r="A920" s="29" t="s">
        <v>1759</v>
      </c>
      <c r="B920" s="29" t="s">
        <v>1750</v>
      </c>
      <c r="C920" s="29" t="s">
        <v>51</v>
      </c>
      <c r="D920" s="29" t="s">
        <v>1498</v>
      </c>
      <c r="E920" s="29" t="s">
        <v>35</v>
      </c>
      <c r="F920" s="29" t="s">
        <v>47</v>
      </c>
      <c r="G920" s="29" t="s">
        <v>327</v>
      </c>
      <c r="H920" s="29" t="s">
        <v>63</v>
      </c>
      <c r="I920" s="29" t="s">
        <v>39</v>
      </c>
      <c r="J920" s="29" t="s">
        <v>59</v>
      </c>
      <c r="K920" s="29" t="s">
        <v>1761</v>
      </c>
      <c r="L920" s="29" t="s">
        <v>1736</v>
      </c>
      <c r="M920" s="29" t="s">
        <v>329</v>
      </c>
      <c r="N920" s="29" t="s">
        <v>1753</v>
      </c>
      <c r="O920" s="29" t="s">
        <v>47</v>
      </c>
      <c r="P920" s="30" t="s">
        <v>1762</v>
      </c>
    </row>
    <row r="921" s="25" customFormat="1" spans="1:16">
      <c r="A921" s="29" t="s">
        <v>1761</v>
      </c>
      <c r="B921" s="29" t="s">
        <v>1750</v>
      </c>
      <c r="C921" s="29" t="s">
        <v>51</v>
      </c>
      <c r="D921" s="29" t="s">
        <v>1498</v>
      </c>
      <c r="E921" s="29" t="s">
        <v>35</v>
      </c>
      <c r="F921" s="29" t="s">
        <v>47</v>
      </c>
      <c r="G921" s="29" t="s">
        <v>327</v>
      </c>
      <c r="H921" s="29" t="s">
        <v>63</v>
      </c>
      <c r="I921" s="29" t="s">
        <v>39</v>
      </c>
      <c r="J921" s="29" t="s">
        <v>129</v>
      </c>
      <c r="K921" s="29" t="s">
        <v>1763</v>
      </c>
      <c r="L921" s="29" t="s">
        <v>1739</v>
      </c>
      <c r="M921" s="29" t="s">
        <v>329</v>
      </c>
      <c r="N921" s="29" t="s">
        <v>1753</v>
      </c>
      <c r="O921" s="29" t="s">
        <v>47</v>
      </c>
      <c r="P921" s="30" t="s">
        <v>1525</v>
      </c>
    </row>
    <row r="922" s="25" customFormat="1" spans="1:16">
      <c r="A922" s="29" t="s">
        <v>1763</v>
      </c>
      <c r="B922" s="29" t="s">
        <v>1750</v>
      </c>
      <c r="C922" s="29" t="s">
        <v>51</v>
      </c>
      <c r="D922" s="29" t="s">
        <v>1498</v>
      </c>
      <c r="E922" s="29" t="s">
        <v>35</v>
      </c>
      <c r="F922" s="29" t="s">
        <v>47</v>
      </c>
      <c r="G922" s="29" t="s">
        <v>327</v>
      </c>
      <c r="H922" s="29" t="s">
        <v>63</v>
      </c>
      <c r="I922" s="29" t="s">
        <v>39</v>
      </c>
      <c r="J922" s="29" t="s">
        <v>133</v>
      </c>
      <c r="K922" s="29" t="s">
        <v>1764</v>
      </c>
      <c r="L922" s="29" t="s">
        <v>1741</v>
      </c>
      <c r="M922" s="29" t="s">
        <v>329</v>
      </c>
      <c r="N922" s="29" t="s">
        <v>1753</v>
      </c>
      <c r="O922" s="29" t="s">
        <v>47</v>
      </c>
      <c r="P922" s="30" t="s">
        <v>1765</v>
      </c>
    </row>
    <row r="923" s="25" customFormat="1" spans="1:16">
      <c r="A923" s="29" t="s">
        <v>1764</v>
      </c>
      <c r="B923" s="29" t="s">
        <v>1750</v>
      </c>
      <c r="C923" s="29" t="s">
        <v>51</v>
      </c>
      <c r="D923" s="29" t="s">
        <v>1498</v>
      </c>
      <c r="E923" s="29" t="s">
        <v>35</v>
      </c>
      <c r="F923" s="29" t="s">
        <v>47</v>
      </c>
      <c r="G923" s="29" t="s">
        <v>327</v>
      </c>
      <c r="H923" s="29" t="s">
        <v>63</v>
      </c>
      <c r="I923" s="29" t="s">
        <v>39</v>
      </c>
      <c r="J923" s="29" t="s">
        <v>137</v>
      </c>
      <c r="K923" s="29" t="s">
        <v>1766</v>
      </c>
      <c r="L923" s="29" t="s">
        <v>1744</v>
      </c>
      <c r="M923" s="29" t="s">
        <v>329</v>
      </c>
      <c r="N923" s="29" t="s">
        <v>1753</v>
      </c>
      <c r="O923" s="29" t="s">
        <v>47</v>
      </c>
      <c r="P923" s="30" t="s">
        <v>1767</v>
      </c>
    </row>
    <row r="924" s="25" customFormat="1" spans="1:16">
      <c r="A924" s="29" t="s">
        <v>1766</v>
      </c>
      <c r="B924" s="29" t="s">
        <v>1750</v>
      </c>
      <c r="C924" s="29" t="s">
        <v>51</v>
      </c>
      <c r="D924" s="29" t="s">
        <v>1498</v>
      </c>
      <c r="E924" s="29" t="s">
        <v>35</v>
      </c>
      <c r="F924" s="29" t="s">
        <v>47</v>
      </c>
      <c r="G924" s="29" t="s">
        <v>327</v>
      </c>
      <c r="H924" s="29" t="s">
        <v>63</v>
      </c>
      <c r="I924" s="29" t="s">
        <v>39</v>
      </c>
      <c r="J924" s="29" t="s">
        <v>141</v>
      </c>
      <c r="K924" s="29" t="s">
        <v>1768</v>
      </c>
      <c r="L924" s="29" t="s">
        <v>1747</v>
      </c>
      <c r="M924" s="29" t="s">
        <v>329</v>
      </c>
      <c r="N924" s="29" t="s">
        <v>1753</v>
      </c>
      <c r="O924" s="29" t="s">
        <v>47</v>
      </c>
      <c r="P924" s="30" t="s">
        <v>1769</v>
      </c>
    </row>
    <row r="925" s="25" customFormat="1" spans="1:16">
      <c r="A925" s="29" t="s">
        <v>1768</v>
      </c>
      <c r="B925" s="29" t="s">
        <v>1750</v>
      </c>
      <c r="C925" s="29" t="s">
        <v>51</v>
      </c>
      <c r="D925" s="29" t="s">
        <v>1498</v>
      </c>
      <c r="E925" s="29" t="s">
        <v>35</v>
      </c>
      <c r="F925" s="29" t="s">
        <v>47</v>
      </c>
      <c r="G925" s="29" t="s">
        <v>327</v>
      </c>
      <c r="H925" s="29" t="s">
        <v>63</v>
      </c>
      <c r="I925" s="29" t="s">
        <v>39</v>
      </c>
      <c r="J925" s="29" t="s">
        <v>145</v>
      </c>
      <c r="K925" s="29" t="s">
        <v>39</v>
      </c>
      <c r="L925" s="29" t="s">
        <v>39</v>
      </c>
      <c r="M925" s="29" t="s">
        <v>39</v>
      </c>
      <c r="N925" s="29" t="s">
        <v>1753</v>
      </c>
      <c r="O925" s="29" t="s">
        <v>47</v>
      </c>
      <c r="P925" s="30" t="s">
        <v>1770</v>
      </c>
    </row>
    <row r="926" s="26" customFormat="1" spans="1:18">
      <c r="A926" s="29" t="s">
        <v>1771</v>
      </c>
      <c r="B926" s="29" t="s">
        <v>1771</v>
      </c>
      <c r="C926" s="29" t="s">
        <v>51</v>
      </c>
      <c r="D926" s="29" t="s">
        <v>1498</v>
      </c>
      <c r="E926" s="29" t="s">
        <v>35</v>
      </c>
      <c r="F926" s="29" t="s">
        <v>47</v>
      </c>
      <c r="G926" s="29" t="s">
        <v>350</v>
      </c>
      <c r="H926" s="29" t="s">
        <v>80</v>
      </c>
      <c r="I926" s="29" t="s">
        <v>39</v>
      </c>
      <c r="J926" s="29" t="s">
        <v>39</v>
      </c>
      <c r="K926" s="29" t="s">
        <v>1772</v>
      </c>
      <c r="L926" s="29" t="s">
        <v>1722</v>
      </c>
      <c r="M926" s="29" t="s">
        <v>329</v>
      </c>
      <c r="N926" s="29" t="s">
        <v>1528</v>
      </c>
      <c r="O926" s="29" t="s">
        <v>51</v>
      </c>
      <c r="P926" s="30" t="s">
        <v>1529</v>
      </c>
      <c r="Q926" s="25"/>
      <c r="R926" s="25"/>
    </row>
    <row r="927" s="25" customFormat="1" spans="1:16">
      <c r="A927" s="29" t="s">
        <v>1772</v>
      </c>
      <c r="B927" s="29" t="s">
        <v>1771</v>
      </c>
      <c r="C927" s="29" t="s">
        <v>51</v>
      </c>
      <c r="D927" s="29" t="s">
        <v>1498</v>
      </c>
      <c r="E927" s="29" t="s">
        <v>35</v>
      </c>
      <c r="F927" s="29" t="s">
        <v>47</v>
      </c>
      <c r="G927" s="29" t="s">
        <v>350</v>
      </c>
      <c r="H927" s="29" t="s">
        <v>80</v>
      </c>
      <c r="I927" s="29" t="s">
        <v>39</v>
      </c>
      <c r="J927" s="29" t="s">
        <v>35</v>
      </c>
      <c r="K927" s="29" t="s">
        <v>1773</v>
      </c>
      <c r="L927" s="29" t="s">
        <v>1724</v>
      </c>
      <c r="M927" s="29" t="s">
        <v>329</v>
      </c>
      <c r="N927" s="29" t="s">
        <v>1774</v>
      </c>
      <c r="O927" s="29" t="s">
        <v>51</v>
      </c>
      <c r="P927" s="30" t="s">
        <v>1775</v>
      </c>
    </row>
    <row r="928" s="25" customFormat="1" spans="1:16">
      <c r="A928" s="29" t="s">
        <v>1773</v>
      </c>
      <c r="B928" s="29" t="s">
        <v>1771</v>
      </c>
      <c r="C928" s="29" t="s">
        <v>51</v>
      </c>
      <c r="D928" s="29" t="s">
        <v>1498</v>
      </c>
      <c r="E928" s="29" t="s">
        <v>35</v>
      </c>
      <c r="F928" s="29" t="s">
        <v>47</v>
      </c>
      <c r="G928" s="29" t="s">
        <v>350</v>
      </c>
      <c r="H928" s="29" t="s">
        <v>80</v>
      </c>
      <c r="I928" s="29" t="s">
        <v>39</v>
      </c>
      <c r="J928" s="29" t="s">
        <v>47</v>
      </c>
      <c r="K928" s="29" t="s">
        <v>1776</v>
      </c>
      <c r="L928" s="29" t="s">
        <v>1728</v>
      </c>
      <c r="M928" s="29" t="s">
        <v>329</v>
      </c>
      <c r="N928" s="29" t="s">
        <v>1774</v>
      </c>
      <c r="O928" s="29" t="s">
        <v>51</v>
      </c>
      <c r="P928" s="30" t="s">
        <v>1777</v>
      </c>
    </row>
    <row r="929" s="25" customFormat="1" spans="1:16">
      <c r="A929" s="29" t="s">
        <v>1776</v>
      </c>
      <c r="B929" s="29" t="s">
        <v>1771</v>
      </c>
      <c r="C929" s="29" t="s">
        <v>51</v>
      </c>
      <c r="D929" s="29" t="s">
        <v>1498</v>
      </c>
      <c r="E929" s="29" t="s">
        <v>35</v>
      </c>
      <c r="F929" s="29" t="s">
        <v>47</v>
      </c>
      <c r="G929" s="29" t="s">
        <v>350</v>
      </c>
      <c r="H929" s="29" t="s">
        <v>80</v>
      </c>
      <c r="I929" s="29" t="s">
        <v>39</v>
      </c>
      <c r="J929" s="29" t="s">
        <v>51</v>
      </c>
      <c r="K929" s="29" t="s">
        <v>1778</v>
      </c>
      <c r="L929" s="29" t="s">
        <v>1731</v>
      </c>
      <c r="M929" s="29" t="s">
        <v>329</v>
      </c>
      <c r="N929" s="29" t="s">
        <v>1774</v>
      </c>
      <c r="O929" s="29" t="s">
        <v>51</v>
      </c>
      <c r="P929" s="30" t="s">
        <v>1779</v>
      </c>
    </row>
    <row r="930" s="25" customFormat="1" spans="1:16">
      <c r="A930" s="29" t="s">
        <v>1778</v>
      </c>
      <c r="B930" s="29" t="s">
        <v>1771</v>
      </c>
      <c r="C930" s="29" t="s">
        <v>51</v>
      </c>
      <c r="D930" s="29" t="s">
        <v>1498</v>
      </c>
      <c r="E930" s="29" t="s">
        <v>35</v>
      </c>
      <c r="F930" s="29" t="s">
        <v>47</v>
      </c>
      <c r="G930" s="29" t="s">
        <v>350</v>
      </c>
      <c r="H930" s="29" t="s">
        <v>80</v>
      </c>
      <c r="I930" s="29" t="s">
        <v>39</v>
      </c>
      <c r="J930" s="29" t="s">
        <v>55</v>
      </c>
      <c r="K930" s="29" t="s">
        <v>1780</v>
      </c>
      <c r="L930" s="29" t="s">
        <v>1733</v>
      </c>
      <c r="M930" s="29" t="s">
        <v>329</v>
      </c>
      <c r="N930" s="29" t="s">
        <v>1774</v>
      </c>
      <c r="O930" s="29" t="s">
        <v>51</v>
      </c>
      <c r="P930" s="30" t="s">
        <v>1781</v>
      </c>
    </row>
    <row r="931" s="25" customFormat="1" spans="1:16">
      <c r="A931" s="29" t="s">
        <v>1780</v>
      </c>
      <c r="B931" s="29" t="s">
        <v>1771</v>
      </c>
      <c r="C931" s="29" t="s">
        <v>51</v>
      </c>
      <c r="D931" s="29" t="s">
        <v>1498</v>
      </c>
      <c r="E931" s="29" t="s">
        <v>35</v>
      </c>
      <c r="F931" s="29" t="s">
        <v>47</v>
      </c>
      <c r="G931" s="29" t="s">
        <v>350</v>
      </c>
      <c r="H931" s="29" t="s">
        <v>80</v>
      </c>
      <c r="I931" s="29" t="s">
        <v>39</v>
      </c>
      <c r="J931" s="29" t="s">
        <v>59</v>
      </c>
      <c r="K931" s="29" t="s">
        <v>1782</v>
      </c>
      <c r="L931" s="29" t="s">
        <v>1736</v>
      </c>
      <c r="M931" s="29" t="s">
        <v>329</v>
      </c>
      <c r="N931" s="29" t="s">
        <v>1774</v>
      </c>
      <c r="O931" s="29" t="s">
        <v>51</v>
      </c>
      <c r="P931" s="30" t="s">
        <v>1538</v>
      </c>
    </row>
    <row r="932" s="25" customFormat="1" spans="1:16">
      <c r="A932" s="29" t="s">
        <v>1782</v>
      </c>
      <c r="B932" s="29" t="s">
        <v>1771</v>
      </c>
      <c r="C932" s="29" t="s">
        <v>51</v>
      </c>
      <c r="D932" s="29" t="s">
        <v>1498</v>
      </c>
      <c r="E932" s="29" t="s">
        <v>35</v>
      </c>
      <c r="F932" s="29" t="s">
        <v>47</v>
      </c>
      <c r="G932" s="29" t="s">
        <v>350</v>
      </c>
      <c r="H932" s="29" t="s">
        <v>80</v>
      </c>
      <c r="I932" s="29" t="s">
        <v>39</v>
      </c>
      <c r="J932" s="29" t="s">
        <v>129</v>
      </c>
      <c r="K932" s="29" t="s">
        <v>1783</v>
      </c>
      <c r="L932" s="29" t="s">
        <v>1739</v>
      </c>
      <c r="M932" s="29" t="s">
        <v>329</v>
      </c>
      <c r="N932" s="29" t="s">
        <v>1774</v>
      </c>
      <c r="O932" s="29" t="s">
        <v>51</v>
      </c>
      <c r="P932" s="30" t="s">
        <v>1784</v>
      </c>
    </row>
    <row r="933" s="25" customFormat="1" spans="1:16">
      <c r="A933" s="29" t="s">
        <v>1783</v>
      </c>
      <c r="B933" s="29" t="s">
        <v>1771</v>
      </c>
      <c r="C933" s="29" t="s">
        <v>51</v>
      </c>
      <c r="D933" s="29" t="s">
        <v>1498</v>
      </c>
      <c r="E933" s="29" t="s">
        <v>35</v>
      </c>
      <c r="F933" s="29" t="s">
        <v>47</v>
      </c>
      <c r="G933" s="29" t="s">
        <v>350</v>
      </c>
      <c r="H933" s="29" t="s">
        <v>80</v>
      </c>
      <c r="I933" s="29" t="s">
        <v>39</v>
      </c>
      <c r="J933" s="29" t="s">
        <v>133</v>
      </c>
      <c r="K933" s="29" t="s">
        <v>1785</v>
      </c>
      <c r="L933" s="29" t="s">
        <v>1741</v>
      </c>
      <c r="M933" s="29" t="s">
        <v>329</v>
      </c>
      <c r="N933" s="29" t="s">
        <v>1774</v>
      </c>
      <c r="O933" s="29" t="s">
        <v>51</v>
      </c>
      <c r="P933" s="30" t="s">
        <v>1786</v>
      </c>
    </row>
    <row r="934" s="25" customFormat="1" spans="1:16">
      <c r="A934" s="29" t="s">
        <v>1785</v>
      </c>
      <c r="B934" s="29" t="s">
        <v>1771</v>
      </c>
      <c r="C934" s="29" t="s">
        <v>51</v>
      </c>
      <c r="D934" s="29" t="s">
        <v>1498</v>
      </c>
      <c r="E934" s="29" t="s">
        <v>35</v>
      </c>
      <c r="F934" s="29" t="s">
        <v>47</v>
      </c>
      <c r="G934" s="29" t="s">
        <v>350</v>
      </c>
      <c r="H934" s="29" t="s">
        <v>80</v>
      </c>
      <c r="I934" s="29" t="s">
        <v>39</v>
      </c>
      <c r="J934" s="29" t="s">
        <v>137</v>
      </c>
      <c r="K934" s="29" t="s">
        <v>1787</v>
      </c>
      <c r="L934" s="29" t="s">
        <v>1744</v>
      </c>
      <c r="M934" s="29" t="s">
        <v>329</v>
      </c>
      <c r="N934" s="29" t="s">
        <v>1774</v>
      </c>
      <c r="O934" s="29" t="s">
        <v>51</v>
      </c>
      <c r="P934" s="30" t="s">
        <v>1788</v>
      </c>
    </row>
    <row r="935" s="25" customFormat="1" spans="1:16">
      <c r="A935" s="29" t="s">
        <v>1787</v>
      </c>
      <c r="B935" s="29" t="s">
        <v>1771</v>
      </c>
      <c r="C935" s="29" t="s">
        <v>51</v>
      </c>
      <c r="D935" s="29" t="s">
        <v>1498</v>
      </c>
      <c r="E935" s="29" t="s">
        <v>35</v>
      </c>
      <c r="F935" s="29" t="s">
        <v>47</v>
      </c>
      <c r="G935" s="29" t="s">
        <v>350</v>
      </c>
      <c r="H935" s="29" t="s">
        <v>80</v>
      </c>
      <c r="I935" s="29" t="s">
        <v>39</v>
      </c>
      <c r="J935" s="29" t="s">
        <v>141</v>
      </c>
      <c r="K935" s="29" t="s">
        <v>1789</v>
      </c>
      <c r="L935" s="29" t="s">
        <v>1747</v>
      </c>
      <c r="M935" s="29" t="s">
        <v>329</v>
      </c>
      <c r="N935" s="29" t="s">
        <v>1774</v>
      </c>
      <c r="O935" s="29" t="s">
        <v>51</v>
      </c>
      <c r="P935" s="30" t="s">
        <v>1790</v>
      </c>
    </row>
    <row r="936" s="25" customFormat="1" spans="1:16">
      <c r="A936" s="29" t="s">
        <v>1789</v>
      </c>
      <c r="B936" s="29" t="s">
        <v>1771</v>
      </c>
      <c r="C936" s="29" t="s">
        <v>51</v>
      </c>
      <c r="D936" s="29" t="s">
        <v>1498</v>
      </c>
      <c r="E936" s="29" t="s">
        <v>35</v>
      </c>
      <c r="F936" s="29" t="s">
        <v>47</v>
      </c>
      <c r="G936" s="29" t="s">
        <v>350</v>
      </c>
      <c r="H936" s="29" t="s">
        <v>80</v>
      </c>
      <c r="I936" s="29" t="s">
        <v>39</v>
      </c>
      <c r="J936" s="29" t="s">
        <v>145</v>
      </c>
      <c r="K936" s="29" t="s">
        <v>39</v>
      </c>
      <c r="L936" s="29" t="s">
        <v>39</v>
      </c>
      <c r="M936" s="29" t="s">
        <v>39</v>
      </c>
      <c r="N936" s="29" t="s">
        <v>1774</v>
      </c>
      <c r="O936" s="29" t="s">
        <v>51</v>
      </c>
      <c r="P936" s="30" t="s">
        <v>1791</v>
      </c>
    </row>
    <row r="937" s="25" customFormat="1" spans="1:16">
      <c r="A937" s="29" t="s">
        <v>1792</v>
      </c>
      <c r="B937" s="29" t="s">
        <v>1792</v>
      </c>
      <c r="C937" s="29" t="s">
        <v>51</v>
      </c>
      <c r="D937" s="29" t="s">
        <v>1498</v>
      </c>
      <c r="E937" s="29" t="s">
        <v>35</v>
      </c>
      <c r="F937" s="29" t="s">
        <v>47</v>
      </c>
      <c r="G937" s="29" t="s">
        <v>372</v>
      </c>
      <c r="H937" s="29" t="s">
        <v>96</v>
      </c>
      <c r="I937" s="29" t="s">
        <v>39</v>
      </c>
      <c r="J937" s="29" t="s">
        <v>39</v>
      </c>
      <c r="K937" s="29" t="s">
        <v>1793</v>
      </c>
      <c r="L937" s="29" t="s">
        <v>1722</v>
      </c>
      <c r="M937" s="29" t="s">
        <v>329</v>
      </c>
      <c r="N937" s="29" t="s">
        <v>1542</v>
      </c>
      <c r="O937" s="29" t="s">
        <v>55</v>
      </c>
      <c r="P937" s="30" t="s">
        <v>1543</v>
      </c>
    </row>
    <row r="938" s="25" customFormat="1" spans="1:16">
      <c r="A938" s="29" t="s">
        <v>1793</v>
      </c>
      <c r="B938" s="29" t="s">
        <v>1792</v>
      </c>
      <c r="C938" s="29" t="s">
        <v>51</v>
      </c>
      <c r="D938" s="29" t="s">
        <v>1498</v>
      </c>
      <c r="E938" s="29" t="s">
        <v>35</v>
      </c>
      <c r="F938" s="29" t="s">
        <v>47</v>
      </c>
      <c r="G938" s="29" t="s">
        <v>372</v>
      </c>
      <c r="H938" s="29" t="s">
        <v>96</v>
      </c>
      <c r="I938" s="29" t="s">
        <v>39</v>
      </c>
      <c r="J938" s="29" t="s">
        <v>35</v>
      </c>
      <c r="K938" s="29" t="s">
        <v>1794</v>
      </c>
      <c r="L938" s="29" t="s">
        <v>1724</v>
      </c>
      <c r="M938" s="29" t="s">
        <v>329</v>
      </c>
      <c r="N938" s="29" t="s">
        <v>1795</v>
      </c>
      <c r="O938" s="29" t="s">
        <v>55</v>
      </c>
      <c r="P938" s="30" t="s">
        <v>1796</v>
      </c>
    </row>
    <row r="939" s="25" customFormat="1" spans="1:16">
      <c r="A939" s="29" t="s">
        <v>1794</v>
      </c>
      <c r="B939" s="29" t="s">
        <v>1792</v>
      </c>
      <c r="C939" s="29" t="s">
        <v>51</v>
      </c>
      <c r="D939" s="29" t="s">
        <v>1498</v>
      </c>
      <c r="E939" s="29" t="s">
        <v>35</v>
      </c>
      <c r="F939" s="29" t="s">
        <v>47</v>
      </c>
      <c r="G939" s="29" t="s">
        <v>372</v>
      </c>
      <c r="H939" s="29" t="s">
        <v>96</v>
      </c>
      <c r="I939" s="29" t="s">
        <v>39</v>
      </c>
      <c r="J939" s="29" t="s">
        <v>47</v>
      </c>
      <c r="K939" s="29" t="s">
        <v>1797</v>
      </c>
      <c r="L939" s="29" t="s">
        <v>1728</v>
      </c>
      <c r="M939" s="29" t="s">
        <v>329</v>
      </c>
      <c r="N939" s="29" t="s">
        <v>1795</v>
      </c>
      <c r="O939" s="29" t="s">
        <v>55</v>
      </c>
      <c r="P939" s="30" t="s">
        <v>1798</v>
      </c>
    </row>
    <row r="940" s="25" customFormat="1" spans="1:16">
      <c r="A940" s="29" t="s">
        <v>1797</v>
      </c>
      <c r="B940" s="29" t="s">
        <v>1792</v>
      </c>
      <c r="C940" s="29" t="s">
        <v>51</v>
      </c>
      <c r="D940" s="29" t="s">
        <v>1498</v>
      </c>
      <c r="E940" s="29" t="s">
        <v>35</v>
      </c>
      <c r="F940" s="29" t="s">
        <v>47</v>
      </c>
      <c r="G940" s="29" t="s">
        <v>372</v>
      </c>
      <c r="H940" s="29" t="s">
        <v>96</v>
      </c>
      <c r="I940" s="29" t="s">
        <v>39</v>
      </c>
      <c r="J940" s="29" t="s">
        <v>51</v>
      </c>
      <c r="K940" s="29" t="s">
        <v>1799</v>
      </c>
      <c r="L940" s="29" t="s">
        <v>1731</v>
      </c>
      <c r="M940" s="29" t="s">
        <v>329</v>
      </c>
      <c r="N940" s="29" t="s">
        <v>1795</v>
      </c>
      <c r="O940" s="29" t="s">
        <v>55</v>
      </c>
      <c r="P940" s="30" t="s">
        <v>1800</v>
      </c>
    </row>
    <row r="941" s="25" customFormat="1" spans="1:16">
      <c r="A941" s="29" t="s">
        <v>1799</v>
      </c>
      <c r="B941" s="29" t="s">
        <v>1792</v>
      </c>
      <c r="C941" s="29" t="s">
        <v>51</v>
      </c>
      <c r="D941" s="29" t="s">
        <v>1498</v>
      </c>
      <c r="E941" s="29" t="s">
        <v>35</v>
      </c>
      <c r="F941" s="29" t="s">
        <v>47</v>
      </c>
      <c r="G941" s="29" t="s">
        <v>372</v>
      </c>
      <c r="H941" s="29" t="s">
        <v>96</v>
      </c>
      <c r="I941" s="29" t="s">
        <v>39</v>
      </c>
      <c r="J941" s="29" t="s">
        <v>55</v>
      </c>
      <c r="K941" s="29" t="s">
        <v>1801</v>
      </c>
      <c r="L941" s="29" t="s">
        <v>1733</v>
      </c>
      <c r="M941" s="29" t="s">
        <v>329</v>
      </c>
      <c r="N941" s="29" t="s">
        <v>1795</v>
      </c>
      <c r="O941" s="29" t="s">
        <v>55</v>
      </c>
      <c r="P941" s="30" t="s">
        <v>1802</v>
      </c>
    </row>
    <row r="942" s="25" customFormat="1" spans="1:16">
      <c r="A942" s="29" t="s">
        <v>1801</v>
      </c>
      <c r="B942" s="29" t="s">
        <v>1792</v>
      </c>
      <c r="C942" s="29" t="s">
        <v>51</v>
      </c>
      <c r="D942" s="29" t="s">
        <v>1498</v>
      </c>
      <c r="E942" s="29" t="s">
        <v>35</v>
      </c>
      <c r="F942" s="29" t="s">
        <v>47</v>
      </c>
      <c r="G942" s="29" t="s">
        <v>372</v>
      </c>
      <c r="H942" s="29" t="s">
        <v>96</v>
      </c>
      <c r="I942" s="29" t="s">
        <v>39</v>
      </c>
      <c r="J942" s="29" t="s">
        <v>59</v>
      </c>
      <c r="K942" s="29" t="s">
        <v>1803</v>
      </c>
      <c r="L942" s="29" t="s">
        <v>1736</v>
      </c>
      <c r="M942" s="29" t="s">
        <v>329</v>
      </c>
      <c r="N942" s="29" t="s">
        <v>1795</v>
      </c>
      <c r="O942" s="29" t="s">
        <v>55</v>
      </c>
      <c r="P942" s="30" t="s">
        <v>1804</v>
      </c>
    </row>
    <row r="943" s="25" customFormat="1" spans="1:16">
      <c r="A943" s="29" t="s">
        <v>1803</v>
      </c>
      <c r="B943" s="29" t="s">
        <v>1792</v>
      </c>
      <c r="C943" s="29" t="s">
        <v>51</v>
      </c>
      <c r="D943" s="29" t="s">
        <v>1498</v>
      </c>
      <c r="E943" s="29" t="s">
        <v>35</v>
      </c>
      <c r="F943" s="29" t="s">
        <v>47</v>
      </c>
      <c r="G943" s="29" t="s">
        <v>372</v>
      </c>
      <c r="H943" s="29" t="s">
        <v>96</v>
      </c>
      <c r="I943" s="29" t="s">
        <v>39</v>
      </c>
      <c r="J943" s="29" t="s">
        <v>129</v>
      </c>
      <c r="K943" s="29" t="s">
        <v>1805</v>
      </c>
      <c r="L943" s="29" t="s">
        <v>1739</v>
      </c>
      <c r="M943" s="29" t="s">
        <v>329</v>
      </c>
      <c r="N943" s="29" t="s">
        <v>1795</v>
      </c>
      <c r="O943" s="29" t="s">
        <v>55</v>
      </c>
      <c r="P943" s="30" t="s">
        <v>1553</v>
      </c>
    </row>
    <row r="944" s="25" customFormat="1" spans="1:16">
      <c r="A944" s="29" t="s">
        <v>1805</v>
      </c>
      <c r="B944" s="29" t="s">
        <v>1792</v>
      </c>
      <c r="C944" s="29" t="s">
        <v>51</v>
      </c>
      <c r="D944" s="29" t="s">
        <v>1498</v>
      </c>
      <c r="E944" s="29" t="s">
        <v>35</v>
      </c>
      <c r="F944" s="29" t="s">
        <v>47</v>
      </c>
      <c r="G944" s="29" t="s">
        <v>372</v>
      </c>
      <c r="H944" s="29" t="s">
        <v>96</v>
      </c>
      <c r="I944" s="29" t="s">
        <v>39</v>
      </c>
      <c r="J944" s="29" t="s">
        <v>133</v>
      </c>
      <c r="K944" s="29" t="s">
        <v>1806</v>
      </c>
      <c r="L944" s="29" t="s">
        <v>1741</v>
      </c>
      <c r="M944" s="29" t="s">
        <v>329</v>
      </c>
      <c r="N944" s="29" t="s">
        <v>1795</v>
      </c>
      <c r="O944" s="29" t="s">
        <v>55</v>
      </c>
      <c r="P944" s="30" t="s">
        <v>1807</v>
      </c>
    </row>
    <row r="945" s="25" customFormat="1" spans="1:16">
      <c r="A945" s="29" t="s">
        <v>1806</v>
      </c>
      <c r="B945" s="29" t="s">
        <v>1792</v>
      </c>
      <c r="C945" s="29" t="s">
        <v>51</v>
      </c>
      <c r="D945" s="29" t="s">
        <v>1498</v>
      </c>
      <c r="E945" s="29" t="s">
        <v>35</v>
      </c>
      <c r="F945" s="29" t="s">
        <v>47</v>
      </c>
      <c r="G945" s="29" t="s">
        <v>372</v>
      </c>
      <c r="H945" s="29" t="s">
        <v>96</v>
      </c>
      <c r="I945" s="29" t="s">
        <v>39</v>
      </c>
      <c r="J945" s="29" t="s">
        <v>137</v>
      </c>
      <c r="K945" s="29" t="s">
        <v>1808</v>
      </c>
      <c r="L945" s="29" t="s">
        <v>1744</v>
      </c>
      <c r="M945" s="29" t="s">
        <v>329</v>
      </c>
      <c r="N945" s="29" t="s">
        <v>1795</v>
      </c>
      <c r="O945" s="29" t="s">
        <v>55</v>
      </c>
      <c r="P945" s="30" t="s">
        <v>1809</v>
      </c>
    </row>
    <row r="946" s="25" customFormat="1" spans="1:16">
      <c r="A946" s="29" t="s">
        <v>1808</v>
      </c>
      <c r="B946" s="29" t="s">
        <v>1792</v>
      </c>
      <c r="C946" s="29" t="s">
        <v>51</v>
      </c>
      <c r="D946" s="29" t="s">
        <v>1498</v>
      </c>
      <c r="E946" s="29" t="s">
        <v>35</v>
      </c>
      <c r="F946" s="29" t="s">
        <v>47</v>
      </c>
      <c r="G946" s="29" t="s">
        <v>372</v>
      </c>
      <c r="H946" s="29" t="s">
        <v>96</v>
      </c>
      <c r="I946" s="29" t="s">
        <v>39</v>
      </c>
      <c r="J946" s="29" t="s">
        <v>141</v>
      </c>
      <c r="K946" s="29" t="s">
        <v>1810</v>
      </c>
      <c r="L946" s="29" t="s">
        <v>1747</v>
      </c>
      <c r="M946" s="29" t="s">
        <v>329</v>
      </c>
      <c r="N946" s="29" t="s">
        <v>1795</v>
      </c>
      <c r="O946" s="29" t="s">
        <v>55</v>
      </c>
      <c r="P946" s="30" t="s">
        <v>1811</v>
      </c>
    </row>
    <row r="947" s="25" customFormat="1" spans="1:16">
      <c r="A947" s="29" t="s">
        <v>1810</v>
      </c>
      <c r="B947" s="29" t="s">
        <v>1792</v>
      </c>
      <c r="C947" s="29" t="s">
        <v>51</v>
      </c>
      <c r="D947" s="29" t="s">
        <v>1498</v>
      </c>
      <c r="E947" s="29" t="s">
        <v>35</v>
      </c>
      <c r="F947" s="29" t="s">
        <v>47</v>
      </c>
      <c r="G947" s="29" t="s">
        <v>372</v>
      </c>
      <c r="H947" s="29" t="s">
        <v>96</v>
      </c>
      <c r="I947" s="29" t="s">
        <v>39</v>
      </c>
      <c r="J947" s="29" t="s">
        <v>145</v>
      </c>
      <c r="K947" s="29" t="s">
        <v>39</v>
      </c>
      <c r="L947" s="29" t="s">
        <v>39</v>
      </c>
      <c r="M947" s="29" t="s">
        <v>39</v>
      </c>
      <c r="N947" s="29" t="s">
        <v>1795</v>
      </c>
      <c r="O947" s="29" t="s">
        <v>55</v>
      </c>
      <c r="P947" s="30" t="s">
        <v>1812</v>
      </c>
    </row>
    <row r="948" s="25" customFormat="1" spans="1:16">
      <c r="A948" s="29" t="s">
        <v>1813</v>
      </c>
      <c r="B948" s="29" t="s">
        <v>1813</v>
      </c>
      <c r="C948" s="29" t="s">
        <v>51</v>
      </c>
      <c r="D948" s="29" t="s">
        <v>1498</v>
      </c>
      <c r="E948" s="29" t="s">
        <v>35</v>
      </c>
      <c r="F948" s="29" t="s">
        <v>47</v>
      </c>
      <c r="G948" s="29" t="s">
        <v>394</v>
      </c>
      <c r="H948" s="29" t="s">
        <v>112</v>
      </c>
      <c r="I948" s="29" t="s">
        <v>39</v>
      </c>
      <c r="J948" s="29" t="s">
        <v>39</v>
      </c>
      <c r="K948" s="29" t="s">
        <v>1814</v>
      </c>
      <c r="L948" s="29" t="s">
        <v>1722</v>
      </c>
      <c r="M948" s="29" t="s">
        <v>396</v>
      </c>
      <c r="N948" s="29" t="s">
        <v>1815</v>
      </c>
      <c r="O948" s="29" t="s">
        <v>59</v>
      </c>
      <c r="P948" s="30" t="s">
        <v>1557</v>
      </c>
    </row>
    <row r="949" s="25" customFormat="1" spans="1:16">
      <c r="A949" s="29" t="s">
        <v>1814</v>
      </c>
      <c r="B949" s="29" t="s">
        <v>1813</v>
      </c>
      <c r="C949" s="29" t="s">
        <v>51</v>
      </c>
      <c r="D949" s="29" t="s">
        <v>1498</v>
      </c>
      <c r="E949" s="29" t="s">
        <v>35</v>
      </c>
      <c r="F949" s="29" t="s">
        <v>47</v>
      </c>
      <c r="G949" s="29" t="s">
        <v>394</v>
      </c>
      <c r="H949" s="29" t="s">
        <v>112</v>
      </c>
      <c r="I949" s="29" t="s">
        <v>39</v>
      </c>
      <c r="J949" s="29" t="s">
        <v>35</v>
      </c>
      <c r="K949" s="29" t="s">
        <v>1816</v>
      </c>
      <c r="L949" s="29" t="s">
        <v>1724</v>
      </c>
      <c r="M949" s="29" t="s">
        <v>396</v>
      </c>
      <c r="N949" s="29" t="s">
        <v>1817</v>
      </c>
      <c r="O949" s="29" t="s">
        <v>59</v>
      </c>
      <c r="P949" s="30" t="s">
        <v>1560</v>
      </c>
    </row>
    <row r="950" s="25" customFormat="1" spans="1:16">
      <c r="A950" s="29" t="s">
        <v>1816</v>
      </c>
      <c r="B950" s="29" t="s">
        <v>1813</v>
      </c>
      <c r="C950" s="29" t="s">
        <v>51</v>
      </c>
      <c r="D950" s="29" t="s">
        <v>1498</v>
      </c>
      <c r="E950" s="29" t="s">
        <v>35</v>
      </c>
      <c r="F950" s="29" t="s">
        <v>47</v>
      </c>
      <c r="G950" s="29" t="s">
        <v>394</v>
      </c>
      <c r="H950" s="29" t="s">
        <v>112</v>
      </c>
      <c r="I950" s="29" t="s">
        <v>39</v>
      </c>
      <c r="J950" s="29" t="s">
        <v>47</v>
      </c>
      <c r="K950" s="29" t="s">
        <v>1818</v>
      </c>
      <c r="L950" s="29" t="s">
        <v>1728</v>
      </c>
      <c r="M950" s="29" t="s">
        <v>396</v>
      </c>
      <c r="N950" s="29" t="s">
        <v>1817</v>
      </c>
      <c r="O950" s="29" t="s">
        <v>59</v>
      </c>
      <c r="P950" s="30" t="s">
        <v>1562</v>
      </c>
    </row>
    <row r="951" s="25" customFormat="1" spans="1:16">
      <c r="A951" s="29" t="s">
        <v>1818</v>
      </c>
      <c r="B951" s="29" t="s">
        <v>1813</v>
      </c>
      <c r="C951" s="29" t="s">
        <v>51</v>
      </c>
      <c r="D951" s="29" t="s">
        <v>1498</v>
      </c>
      <c r="E951" s="29" t="s">
        <v>35</v>
      </c>
      <c r="F951" s="29" t="s">
        <v>47</v>
      </c>
      <c r="G951" s="29" t="s">
        <v>394</v>
      </c>
      <c r="H951" s="29" t="s">
        <v>112</v>
      </c>
      <c r="I951" s="29" t="s">
        <v>39</v>
      </c>
      <c r="J951" s="29" t="s">
        <v>51</v>
      </c>
      <c r="K951" s="29" t="s">
        <v>1819</v>
      </c>
      <c r="L951" s="29" t="s">
        <v>1731</v>
      </c>
      <c r="M951" s="29" t="s">
        <v>396</v>
      </c>
      <c r="N951" s="29" t="s">
        <v>1817</v>
      </c>
      <c r="O951" s="29" t="s">
        <v>59</v>
      </c>
      <c r="P951" s="30" t="s">
        <v>1564</v>
      </c>
    </row>
    <row r="952" s="25" customFormat="1" spans="1:16">
      <c r="A952" s="29" t="s">
        <v>1819</v>
      </c>
      <c r="B952" s="29" t="s">
        <v>1813</v>
      </c>
      <c r="C952" s="29" t="s">
        <v>51</v>
      </c>
      <c r="D952" s="29" t="s">
        <v>1498</v>
      </c>
      <c r="E952" s="29" t="s">
        <v>35</v>
      </c>
      <c r="F952" s="29" t="s">
        <v>47</v>
      </c>
      <c r="G952" s="29" t="s">
        <v>394</v>
      </c>
      <c r="H952" s="29" t="s">
        <v>112</v>
      </c>
      <c r="I952" s="29" t="s">
        <v>39</v>
      </c>
      <c r="J952" s="29" t="s">
        <v>55</v>
      </c>
      <c r="K952" s="29" t="s">
        <v>1820</v>
      </c>
      <c r="L952" s="29" t="s">
        <v>1733</v>
      </c>
      <c r="M952" s="29" t="s">
        <v>396</v>
      </c>
      <c r="N952" s="29" t="s">
        <v>1817</v>
      </c>
      <c r="O952" s="29" t="s">
        <v>59</v>
      </c>
      <c r="P952" s="30" t="s">
        <v>1566</v>
      </c>
    </row>
    <row r="953" s="25" customFormat="1" spans="1:16">
      <c r="A953" s="29" t="s">
        <v>1820</v>
      </c>
      <c r="B953" s="29" t="s">
        <v>1813</v>
      </c>
      <c r="C953" s="29" t="s">
        <v>51</v>
      </c>
      <c r="D953" s="29" t="s">
        <v>1498</v>
      </c>
      <c r="E953" s="29" t="s">
        <v>35</v>
      </c>
      <c r="F953" s="29" t="s">
        <v>47</v>
      </c>
      <c r="G953" s="29" t="s">
        <v>394</v>
      </c>
      <c r="H953" s="29" t="s">
        <v>112</v>
      </c>
      <c r="I953" s="29" t="s">
        <v>39</v>
      </c>
      <c r="J953" s="29" t="s">
        <v>59</v>
      </c>
      <c r="K953" s="29" t="s">
        <v>1821</v>
      </c>
      <c r="L953" s="29" t="s">
        <v>1736</v>
      </c>
      <c r="M953" s="29" t="s">
        <v>396</v>
      </c>
      <c r="N953" s="29" t="s">
        <v>1817</v>
      </c>
      <c r="O953" s="29" t="s">
        <v>59</v>
      </c>
      <c r="P953" s="30" t="s">
        <v>1569</v>
      </c>
    </row>
    <row r="954" s="25" customFormat="1" spans="1:16">
      <c r="A954" s="29" t="s">
        <v>1821</v>
      </c>
      <c r="B954" s="29" t="s">
        <v>1813</v>
      </c>
      <c r="C954" s="29" t="s">
        <v>51</v>
      </c>
      <c r="D954" s="29" t="s">
        <v>1498</v>
      </c>
      <c r="E954" s="29" t="s">
        <v>35</v>
      </c>
      <c r="F954" s="29" t="s">
        <v>47</v>
      </c>
      <c r="G954" s="29" t="s">
        <v>394</v>
      </c>
      <c r="H954" s="29" t="s">
        <v>112</v>
      </c>
      <c r="I954" s="29" t="s">
        <v>39</v>
      </c>
      <c r="J954" s="29" t="s">
        <v>129</v>
      </c>
      <c r="K954" s="29" t="s">
        <v>1822</v>
      </c>
      <c r="L954" s="29" t="s">
        <v>1739</v>
      </c>
      <c r="M954" s="29" t="s">
        <v>396</v>
      </c>
      <c r="N954" s="29" t="s">
        <v>1817</v>
      </c>
      <c r="O954" s="29" t="s">
        <v>59</v>
      </c>
      <c r="P954" s="30" t="s">
        <v>1572</v>
      </c>
    </row>
    <row r="955" s="25" customFormat="1" spans="1:16">
      <c r="A955" s="29" t="s">
        <v>1822</v>
      </c>
      <c r="B955" s="29" t="s">
        <v>1813</v>
      </c>
      <c r="C955" s="29" t="s">
        <v>51</v>
      </c>
      <c r="D955" s="29" t="s">
        <v>1498</v>
      </c>
      <c r="E955" s="29" t="s">
        <v>35</v>
      </c>
      <c r="F955" s="29" t="s">
        <v>47</v>
      </c>
      <c r="G955" s="29" t="s">
        <v>394</v>
      </c>
      <c r="H955" s="29" t="s">
        <v>112</v>
      </c>
      <c r="I955" s="29" t="s">
        <v>39</v>
      </c>
      <c r="J955" s="29" t="s">
        <v>133</v>
      </c>
      <c r="K955" s="29" t="s">
        <v>1823</v>
      </c>
      <c r="L955" s="29" t="s">
        <v>1741</v>
      </c>
      <c r="M955" s="29" t="s">
        <v>396</v>
      </c>
      <c r="N955" s="29" t="s">
        <v>1817</v>
      </c>
      <c r="O955" s="29" t="s">
        <v>59</v>
      </c>
      <c r="P955" s="30" t="s">
        <v>1575</v>
      </c>
    </row>
    <row r="956" s="25" customFormat="1" spans="1:16">
      <c r="A956" s="29" t="s">
        <v>1823</v>
      </c>
      <c r="B956" s="29" t="s">
        <v>1813</v>
      </c>
      <c r="C956" s="29" t="s">
        <v>51</v>
      </c>
      <c r="D956" s="29" t="s">
        <v>1498</v>
      </c>
      <c r="E956" s="29" t="s">
        <v>35</v>
      </c>
      <c r="F956" s="29" t="s">
        <v>47</v>
      </c>
      <c r="G956" s="29" t="s">
        <v>394</v>
      </c>
      <c r="H956" s="29" t="s">
        <v>112</v>
      </c>
      <c r="I956" s="29" t="s">
        <v>39</v>
      </c>
      <c r="J956" s="29" t="s">
        <v>137</v>
      </c>
      <c r="K956" s="29" t="s">
        <v>1824</v>
      </c>
      <c r="L956" s="29" t="s">
        <v>1744</v>
      </c>
      <c r="M956" s="29" t="s">
        <v>396</v>
      </c>
      <c r="N956" s="29" t="s">
        <v>1817</v>
      </c>
      <c r="O956" s="29" t="s">
        <v>59</v>
      </c>
      <c r="P956" s="30" t="s">
        <v>1578</v>
      </c>
    </row>
    <row r="957" s="25" customFormat="1" spans="1:16">
      <c r="A957" s="29" t="s">
        <v>1824</v>
      </c>
      <c r="B957" s="29" t="s">
        <v>1813</v>
      </c>
      <c r="C957" s="29" t="s">
        <v>51</v>
      </c>
      <c r="D957" s="29" t="s">
        <v>1498</v>
      </c>
      <c r="E957" s="29" t="s">
        <v>35</v>
      </c>
      <c r="F957" s="29" t="s">
        <v>47</v>
      </c>
      <c r="G957" s="29" t="s">
        <v>394</v>
      </c>
      <c r="H957" s="29" t="s">
        <v>112</v>
      </c>
      <c r="I957" s="29" t="s">
        <v>39</v>
      </c>
      <c r="J957" s="29" t="s">
        <v>141</v>
      </c>
      <c r="K957" s="29" t="s">
        <v>1825</v>
      </c>
      <c r="L957" s="29" t="s">
        <v>1747</v>
      </c>
      <c r="M957" s="29" t="s">
        <v>396</v>
      </c>
      <c r="N957" s="29" t="s">
        <v>1817</v>
      </c>
      <c r="O957" s="29" t="s">
        <v>59</v>
      </c>
      <c r="P957" s="30" t="s">
        <v>1581</v>
      </c>
    </row>
    <row r="958" s="25" customFormat="1" spans="1:16">
      <c r="A958" s="29" t="s">
        <v>1825</v>
      </c>
      <c r="B958" s="29" t="s">
        <v>1813</v>
      </c>
      <c r="C958" s="29" t="s">
        <v>51</v>
      </c>
      <c r="D958" s="29" t="s">
        <v>1498</v>
      </c>
      <c r="E958" s="29" t="s">
        <v>35</v>
      </c>
      <c r="F958" s="29" t="s">
        <v>47</v>
      </c>
      <c r="G958" s="29" t="s">
        <v>394</v>
      </c>
      <c r="H958" s="29" t="s">
        <v>112</v>
      </c>
      <c r="I958" s="29" t="s">
        <v>39</v>
      </c>
      <c r="J958" s="29" t="s">
        <v>145</v>
      </c>
      <c r="K958" s="29" t="s">
        <v>1826</v>
      </c>
      <c r="L958" s="29" t="s">
        <v>1827</v>
      </c>
      <c r="M958" s="29" t="s">
        <v>396</v>
      </c>
      <c r="N958" s="29" t="s">
        <v>1817</v>
      </c>
      <c r="O958" s="29" t="s">
        <v>59</v>
      </c>
      <c r="P958" s="30" t="s">
        <v>1582</v>
      </c>
    </row>
    <row r="959" s="25" customFormat="1" spans="1:16">
      <c r="A959" s="29" t="s">
        <v>1826</v>
      </c>
      <c r="B959" s="29" t="s">
        <v>1813</v>
      </c>
      <c r="C959" s="29" t="s">
        <v>51</v>
      </c>
      <c r="D959" s="29" t="s">
        <v>1498</v>
      </c>
      <c r="E959" s="29" t="s">
        <v>35</v>
      </c>
      <c r="F959" s="29" t="s">
        <v>47</v>
      </c>
      <c r="G959" s="29" t="s">
        <v>394</v>
      </c>
      <c r="H959" s="29" t="s">
        <v>112</v>
      </c>
      <c r="I959" s="29" t="s">
        <v>39</v>
      </c>
      <c r="J959" s="29" t="s">
        <v>408</v>
      </c>
      <c r="K959" s="29" t="s">
        <v>1828</v>
      </c>
      <c r="L959" s="29" t="s">
        <v>1829</v>
      </c>
      <c r="M959" s="29" t="s">
        <v>396</v>
      </c>
      <c r="N959" s="29" t="s">
        <v>1817</v>
      </c>
      <c r="O959" s="29" t="s">
        <v>59</v>
      </c>
      <c r="P959" s="30" t="s">
        <v>1830</v>
      </c>
    </row>
    <row r="960" s="25" customFormat="1" spans="1:16">
      <c r="A960" s="29" t="s">
        <v>1828</v>
      </c>
      <c r="B960" s="29" t="s">
        <v>1813</v>
      </c>
      <c r="C960" s="29" t="s">
        <v>51</v>
      </c>
      <c r="D960" s="29" t="s">
        <v>1498</v>
      </c>
      <c r="E960" s="29" t="s">
        <v>35</v>
      </c>
      <c r="F960" s="29" t="s">
        <v>47</v>
      </c>
      <c r="G960" s="29" t="s">
        <v>394</v>
      </c>
      <c r="H960" s="29" t="s">
        <v>112</v>
      </c>
      <c r="I960" s="29" t="s">
        <v>39</v>
      </c>
      <c r="J960" s="29" t="s">
        <v>412</v>
      </c>
      <c r="K960" s="29" t="s">
        <v>1831</v>
      </c>
      <c r="L960" s="29" t="s">
        <v>1832</v>
      </c>
      <c r="M960" s="29" t="s">
        <v>396</v>
      </c>
      <c r="N960" s="29" t="s">
        <v>1817</v>
      </c>
      <c r="O960" s="29" t="s">
        <v>59</v>
      </c>
      <c r="P960" s="30" t="s">
        <v>1833</v>
      </c>
    </row>
    <row r="961" s="25" customFormat="1" spans="1:16">
      <c r="A961" s="29" t="s">
        <v>1831</v>
      </c>
      <c r="B961" s="29" t="s">
        <v>1813</v>
      </c>
      <c r="C961" s="29" t="s">
        <v>51</v>
      </c>
      <c r="D961" s="29" t="s">
        <v>1498</v>
      </c>
      <c r="E961" s="29" t="s">
        <v>35</v>
      </c>
      <c r="F961" s="29" t="s">
        <v>47</v>
      </c>
      <c r="G961" s="29" t="s">
        <v>394</v>
      </c>
      <c r="H961" s="29" t="s">
        <v>112</v>
      </c>
      <c r="I961" s="29" t="s">
        <v>39</v>
      </c>
      <c r="J961" s="29" t="s">
        <v>416</v>
      </c>
      <c r="K961" s="29" t="s">
        <v>1834</v>
      </c>
      <c r="L961" s="29" t="s">
        <v>1835</v>
      </c>
      <c r="M961" s="29" t="s">
        <v>396</v>
      </c>
      <c r="N961" s="29" t="s">
        <v>1817</v>
      </c>
      <c r="O961" s="29" t="s">
        <v>59</v>
      </c>
      <c r="P961" s="30" t="s">
        <v>1836</v>
      </c>
    </row>
    <row r="962" s="25" customFormat="1" spans="1:16">
      <c r="A962" s="29" t="s">
        <v>1834</v>
      </c>
      <c r="B962" s="29" t="s">
        <v>1813</v>
      </c>
      <c r="C962" s="29" t="s">
        <v>51</v>
      </c>
      <c r="D962" s="29" t="s">
        <v>1498</v>
      </c>
      <c r="E962" s="29" t="s">
        <v>35</v>
      </c>
      <c r="F962" s="29" t="s">
        <v>47</v>
      </c>
      <c r="G962" s="29" t="s">
        <v>394</v>
      </c>
      <c r="H962" s="29" t="s">
        <v>112</v>
      </c>
      <c r="I962" s="29" t="s">
        <v>39</v>
      </c>
      <c r="J962" s="29" t="s">
        <v>420</v>
      </c>
      <c r="K962" s="29" t="s">
        <v>1837</v>
      </c>
      <c r="L962" s="29" t="s">
        <v>1838</v>
      </c>
      <c r="M962" s="29" t="s">
        <v>396</v>
      </c>
      <c r="N962" s="29" t="s">
        <v>1817</v>
      </c>
      <c r="O962" s="29" t="s">
        <v>59</v>
      </c>
      <c r="P962" s="30" t="s">
        <v>1839</v>
      </c>
    </row>
    <row r="963" s="25" customFormat="1" spans="1:16">
      <c r="A963" s="29" t="s">
        <v>1837</v>
      </c>
      <c r="B963" s="29" t="s">
        <v>1813</v>
      </c>
      <c r="C963" s="29" t="s">
        <v>51</v>
      </c>
      <c r="D963" s="29" t="s">
        <v>1498</v>
      </c>
      <c r="E963" s="29" t="s">
        <v>35</v>
      </c>
      <c r="F963" s="29" t="s">
        <v>47</v>
      </c>
      <c r="G963" s="29" t="s">
        <v>394</v>
      </c>
      <c r="H963" s="29" t="s">
        <v>112</v>
      </c>
      <c r="I963" s="29" t="s">
        <v>39</v>
      </c>
      <c r="J963" s="29" t="s">
        <v>424</v>
      </c>
      <c r="K963" s="29" t="s">
        <v>39</v>
      </c>
      <c r="L963" s="29" t="s">
        <v>39</v>
      </c>
      <c r="M963" s="29" t="s">
        <v>39</v>
      </c>
      <c r="N963" s="29" t="s">
        <v>1817</v>
      </c>
      <c r="O963" s="29" t="s">
        <v>59</v>
      </c>
      <c r="P963" s="30" t="s">
        <v>1840</v>
      </c>
    </row>
    <row r="964" s="25" customFormat="1" spans="1:16">
      <c r="A964" s="29" t="s">
        <v>1841</v>
      </c>
      <c r="B964" s="29" t="s">
        <v>1841</v>
      </c>
      <c r="C964" s="29" t="s">
        <v>51</v>
      </c>
      <c r="D964" s="29" t="s">
        <v>1498</v>
      </c>
      <c r="E964" s="29" t="s">
        <v>35</v>
      </c>
      <c r="F964" s="29" t="s">
        <v>47</v>
      </c>
      <c r="G964" s="29" t="s">
        <v>427</v>
      </c>
      <c r="H964" s="29" t="s">
        <v>149</v>
      </c>
      <c r="I964" s="29" t="s">
        <v>39</v>
      </c>
      <c r="J964" s="29" t="s">
        <v>39</v>
      </c>
      <c r="K964" s="29" t="s">
        <v>1842</v>
      </c>
      <c r="L964" s="29" t="s">
        <v>1722</v>
      </c>
      <c r="M964" s="29" t="s">
        <v>429</v>
      </c>
      <c r="N964" s="29" t="s">
        <v>1585</v>
      </c>
      <c r="O964" s="29" t="s">
        <v>129</v>
      </c>
      <c r="P964" s="30" t="s">
        <v>1586</v>
      </c>
    </row>
    <row r="965" s="25" customFormat="1" spans="1:16">
      <c r="A965" s="29" t="s">
        <v>1842</v>
      </c>
      <c r="B965" s="29" t="s">
        <v>1841</v>
      </c>
      <c r="C965" s="29" t="s">
        <v>51</v>
      </c>
      <c r="D965" s="29" t="s">
        <v>1498</v>
      </c>
      <c r="E965" s="29" t="s">
        <v>35</v>
      </c>
      <c r="F965" s="29" t="s">
        <v>47</v>
      </c>
      <c r="G965" s="29" t="s">
        <v>427</v>
      </c>
      <c r="H965" s="29" t="s">
        <v>149</v>
      </c>
      <c r="I965" s="29" t="s">
        <v>39</v>
      </c>
      <c r="J965" s="29" t="s">
        <v>35</v>
      </c>
      <c r="K965" s="29" t="s">
        <v>1843</v>
      </c>
      <c r="L965" s="29" t="s">
        <v>1724</v>
      </c>
      <c r="M965" s="29" t="s">
        <v>429</v>
      </c>
      <c r="N965" s="29" t="s">
        <v>1588</v>
      </c>
      <c r="O965" s="29" t="s">
        <v>129</v>
      </c>
      <c r="P965" s="30" t="s">
        <v>1589</v>
      </c>
    </row>
    <row r="966" s="25" customFormat="1" spans="1:16">
      <c r="A966" s="29" t="s">
        <v>1843</v>
      </c>
      <c r="B966" s="29" t="s">
        <v>1841</v>
      </c>
      <c r="C966" s="29" t="s">
        <v>51</v>
      </c>
      <c r="D966" s="29" t="s">
        <v>1498</v>
      </c>
      <c r="E966" s="29" t="s">
        <v>35</v>
      </c>
      <c r="F966" s="29" t="s">
        <v>47</v>
      </c>
      <c r="G966" s="29" t="s">
        <v>427</v>
      </c>
      <c r="H966" s="29" t="s">
        <v>149</v>
      </c>
      <c r="I966" s="29" t="s">
        <v>39</v>
      </c>
      <c r="J966" s="29" t="s">
        <v>47</v>
      </c>
      <c r="K966" s="29" t="s">
        <v>1844</v>
      </c>
      <c r="L966" s="29" t="s">
        <v>1728</v>
      </c>
      <c r="M966" s="29" t="s">
        <v>429</v>
      </c>
      <c r="N966" s="29" t="s">
        <v>1588</v>
      </c>
      <c r="O966" s="29" t="s">
        <v>129</v>
      </c>
      <c r="P966" s="30" t="s">
        <v>1591</v>
      </c>
    </row>
    <row r="967" s="25" customFormat="1" spans="1:16">
      <c r="A967" s="29" t="s">
        <v>1844</v>
      </c>
      <c r="B967" s="29" t="s">
        <v>1841</v>
      </c>
      <c r="C967" s="29" t="s">
        <v>51</v>
      </c>
      <c r="D967" s="29" t="s">
        <v>1498</v>
      </c>
      <c r="E967" s="29" t="s">
        <v>35</v>
      </c>
      <c r="F967" s="29" t="s">
        <v>47</v>
      </c>
      <c r="G967" s="29" t="s">
        <v>427</v>
      </c>
      <c r="H967" s="29" t="s">
        <v>149</v>
      </c>
      <c r="I967" s="29" t="s">
        <v>39</v>
      </c>
      <c r="J967" s="29" t="s">
        <v>51</v>
      </c>
      <c r="K967" s="29" t="s">
        <v>1845</v>
      </c>
      <c r="L967" s="29" t="s">
        <v>1731</v>
      </c>
      <c r="M967" s="29" t="s">
        <v>429</v>
      </c>
      <c r="N967" s="29" t="s">
        <v>1588</v>
      </c>
      <c r="O967" s="29" t="s">
        <v>129</v>
      </c>
      <c r="P967" s="30" t="s">
        <v>1593</v>
      </c>
    </row>
    <row r="968" s="25" customFormat="1" spans="1:16">
      <c r="A968" s="29" t="s">
        <v>1845</v>
      </c>
      <c r="B968" s="29" t="s">
        <v>1841</v>
      </c>
      <c r="C968" s="29" t="s">
        <v>51</v>
      </c>
      <c r="D968" s="29" t="s">
        <v>1498</v>
      </c>
      <c r="E968" s="29" t="s">
        <v>35</v>
      </c>
      <c r="F968" s="29" t="s">
        <v>47</v>
      </c>
      <c r="G968" s="29" t="s">
        <v>427</v>
      </c>
      <c r="H968" s="29" t="s">
        <v>149</v>
      </c>
      <c r="I968" s="29" t="s">
        <v>39</v>
      </c>
      <c r="J968" s="29" t="s">
        <v>55</v>
      </c>
      <c r="K968" s="29" t="s">
        <v>1846</v>
      </c>
      <c r="L968" s="29" t="s">
        <v>1733</v>
      </c>
      <c r="M968" s="29" t="s">
        <v>429</v>
      </c>
      <c r="N968" s="29" t="s">
        <v>1588</v>
      </c>
      <c r="O968" s="29" t="s">
        <v>129</v>
      </c>
      <c r="P968" s="30" t="s">
        <v>1595</v>
      </c>
    </row>
    <row r="969" s="25" customFormat="1" spans="1:16">
      <c r="A969" s="29" t="s">
        <v>1846</v>
      </c>
      <c r="B969" s="29" t="s">
        <v>1841</v>
      </c>
      <c r="C969" s="29" t="s">
        <v>51</v>
      </c>
      <c r="D969" s="29" t="s">
        <v>1498</v>
      </c>
      <c r="E969" s="29" t="s">
        <v>35</v>
      </c>
      <c r="F969" s="29" t="s">
        <v>47</v>
      </c>
      <c r="G969" s="29" t="s">
        <v>427</v>
      </c>
      <c r="H969" s="29" t="s">
        <v>149</v>
      </c>
      <c r="I969" s="29" t="s">
        <v>39</v>
      </c>
      <c r="J969" s="29" t="s">
        <v>59</v>
      </c>
      <c r="K969" s="29" t="s">
        <v>1847</v>
      </c>
      <c r="L969" s="29" t="s">
        <v>1736</v>
      </c>
      <c r="M969" s="29" t="s">
        <v>429</v>
      </c>
      <c r="N969" s="29" t="s">
        <v>1588</v>
      </c>
      <c r="O969" s="29" t="s">
        <v>129</v>
      </c>
      <c r="P969" s="30" t="s">
        <v>1597</v>
      </c>
    </row>
    <row r="970" s="25" customFormat="1" spans="1:16">
      <c r="A970" s="29" t="s">
        <v>1847</v>
      </c>
      <c r="B970" s="29" t="s">
        <v>1841</v>
      </c>
      <c r="C970" s="29" t="s">
        <v>51</v>
      </c>
      <c r="D970" s="29" t="s">
        <v>1498</v>
      </c>
      <c r="E970" s="29" t="s">
        <v>35</v>
      </c>
      <c r="F970" s="29" t="s">
        <v>47</v>
      </c>
      <c r="G970" s="29" t="s">
        <v>427</v>
      </c>
      <c r="H970" s="29" t="s">
        <v>149</v>
      </c>
      <c r="I970" s="29" t="s">
        <v>39</v>
      </c>
      <c r="J970" s="29" t="s">
        <v>129</v>
      </c>
      <c r="K970" s="29" t="s">
        <v>1848</v>
      </c>
      <c r="L970" s="29" t="s">
        <v>1739</v>
      </c>
      <c r="M970" s="29" t="s">
        <v>429</v>
      </c>
      <c r="N970" s="29" t="s">
        <v>1588</v>
      </c>
      <c r="O970" s="29" t="s">
        <v>129</v>
      </c>
      <c r="P970" s="30" t="s">
        <v>1599</v>
      </c>
    </row>
    <row r="971" s="25" customFormat="1" spans="1:16">
      <c r="A971" s="29" t="s">
        <v>1848</v>
      </c>
      <c r="B971" s="29" t="s">
        <v>1841</v>
      </c>
      <c r="C971" s="29" t="s">
        <v>51</v>
      </c>
      <c r="D971" s="29" t="s">
        <v>1498</v>
      </c>
      <c r="E971" s="29" t="s">
        <v>35</v>
      </c>
      <c r="F971" s="29" t="s">
        <v>47</v>
      </c>
      <c r="G971" s="29" t="s">
        <v>427</v>
      </c>
      <c r="H971" s="29" t="s">
        <v>149</v>
      </c>
      <c r="I971" s="29" t="s">
        <v>39</v>
      </c>
      <c r="J971" s="29" t="s">
        <v>133</v>
      </c>
      <c r="K971" s="29" t="s">
        <v>1849</v>
      </c>
      <c r="L971" s="29" t="s">
        <v>1741</v>
      </c>
      <c r="M971" s="29" t="s">
        <v>429</v>
      </c>
      <c r="N971" s="29" t="s">
        <v>1588</v>
      </c>
      <c r="O971" s="29" t="s">
        <v>129</v>
      </c>
      <c r="P971" s="30" t="s">
        <v>1601</v>
      </c>
    </row>
    <row r="972" s="25" customFormat="1" spans="1:16">
      <c r="A972" s="29" t="s">
        <v>1849</v>
      </c>
      <c r="B972" s="29" t="s">
        <v>1841</v>
      </c>
      <c r="C972" s="29" t="s">
        <v>51</v>
      </c>
      <c r="D972" s="29" t="s">
        <v>1498</v>
      </c>
      <c r="E972" s="29" t="s">
        <v>35</v>
      </c>
      <c r="F972" s="29" t="s">
        <v>47</v>
      </c>
      <c r="G972" s="29" t="s">
        <v>427</v>
      </c>
      <c r="H972" s="29" t="s">
        <v>149</v>
      </c>
      <c r="I972" s="29" t="s">
        <v>39</v>
      </c>
      <c r="J972" s="29" t="s">
        <v>137</v>
      </c>
      <c r="K972" s="29" t="s">
        <v>1850</v>
      </c>
      <c r="L972" s="29" t="s">
        <v>1744</v>
      </c>
      <c r="M972" s="29" t="s">
        <v>429</v>
      </c>
      <c r="N972" s="29" t="s">
        <v>1588</v>
      </c>
      <c r="O972" s="29" t="s">
        <v>129</v>
      </c>
      <c r="P972" s="30" t="s">
        <v>1603</v>
      </c>
    </row>
    <row r="973" s="25" customFormat="1" spans="1:16">
      <c r="A973" s="29" t="s">
        <v>1850</v>
      </c>
      <c r="B973" s="29" t="s">
        <v>1841</v>
      </c>
      <c r="C973" s="29" t="s">
        <v>51</v>
      </c>
      <c r="D973" s="29" t="s">
        <v>1498</v>
      </c>
      <c r="E973" s="29" t="s">
        <v>35</v>
      </c>
      <c r="F973" s="29" t="s">
        <v>47</v>
      </c>
      <c r="G973" s="29" t="s">
        <v>427</v>
      </c>
      <c r="H973" s="29" t="s">
        <v>149</v>
      </c>
      <c r="I973" s="29" t="s">
        <v>39</v>
      </c>
      <c r="J973" s="29" t="s">
        <v>141</v>
      </c>
      <c r="K973" s="29" t="s">
        <v>1851</v>
      </c>
      <c r="L973" s="29" t="s">
        <v>1747</v>
      </c>
      <c r="M973" s="29" t="s">
        <v>429</v>
      </c>
      <c r="N973" s="29" t="s">
        <v>1588</v>
      </c>
      <c r="O973" s="29" t="s">
        <v>129</v>
      </c>
      <c r="P973" s="30" t="s">
        <v>1605</v>
      </c>
    </row>
    <row r="974" s="25" customFormat="1" spans="1:16">
      <c r="A974" s="29" t="s">
        <v>1851</v>
      </c>
      <c r="B974" s="29" t="s">
        <v>1841</v>
      </c>
      <c r="C974" s="29" t="s">
        <v>51</v>
      </c>
      <c r="D974" s="29" t="s">
        <v>1498</v>
      </c>
      <c r="E974" s="29" t="s">
        <v>35</v>
      </c>
      <c r="F974" s="29" t="s">
        <v>47</v>
      </c>
      <c r="G974" s="29" t="s">
        <v>427</v>
      </c>
      <c r="H974" s="29" t="s">
        <v>149</v>
      </c>
      <c r="I974" s="29" t="s">
        <v>39</v>
      </c>
      <c r="J974" s="29" t="s">
        <v>145</v>
      </c>
      <c r="K974" s="29" t="s">
        <v>1852</v>
      </c>
      <c r="L974" s="29" t="s">
        <v>1827</v>
      </c>
      <c r="M974" s="29" t="s">
        <v>429</v>
      </c>
      <c r="N974" s="29" t="s">
        <v>1588</v>
      </c>
      <c r="O974" s="29" t="s">
        <v>129</v>
      </c>
      <c r="P974" s="30" t="s">
        <v>1606</v>
      </c>
    </row>
    <row r="975" s="25" customFormat="1" spans="1:16">
      <c r="A975" s="29" t="s">
        <v>1852</v>
      </c>
      <c r="B975" s="29" t="s">
        <v>1841</v>
      </c>
      <c r="C975" s="29" t="s">
        <v>51</v>
      </c>
      <c r="D975" s="29" t="s">
        <v>1498</v>
      </c>
      <c r="E975" s="29" t="s">
        <v>35</v>
      </c>
      <c r="F975" s="29" t="s">
        <v>47</v>
      </c>
      <c r="G975" s="29" t="s">
        <v>427</v>
      </c>
      <c r="H975" s="29" t="s">
        <v>149</v>
      </c>
      <c r="I975" s="29" t="s">
        <v>39</v>
      </c>
      <c r="J975" s="29" t="s">
        <v>408</v>
      </c>
      <c r="K975" s="29" t="s">
        <v>1853</v>
      </c>
      <c r="L975" s="29" t="s">
        <v>1829</v>
      </c>
      <c r="M975" s="29" t="s">
        <v>429</v>
      </c>
      <c r="N975" s="29" t="s">
        <v>1588</v>
      </c>
      <c r="O975" s="29" t="s">
        <v>129</v>
      </c>
      <c r="P975" s="30" t="s">
        <v>1854</v>
      </c>
    </row>
    <row r="976" s="25" customFormat="1" spans="1:16">
      <c r="A976" s="29" t="s">
        <v>1853</v>
      </c>
      <c r="B976" s="29" t="s">
        <v>1841</v>
      </c>
      <c r="C976" s="29" t="s">
        <v>51</v>
      </c>
      <c r="D976" s="29" t="s">
        <v>1498</v>
      </c>
      <c r="E976" s="29" t="s">
        <v>35</v>
      </c>
      <c r="F976" s="29" t="s">
        <v>47</v>
      </c>
      <c r="G976" s="29" t="s">
        <v>427</v>
      </c>
      <c r="H976" s="29" t="s">
        <v>149</v>
      </c>
      <c r="I976" s="29" t="s">
        <v>39</v>
      </c>
      <c r="J976" s="29" t="s">
        <v>412</v>
      </c>
      <c r="K976" s="29" t="s">
        <v>1855</v>
      </c>
      <c r="L976" s="29" t="s">
        <v>1832</v>
      </c>
      <c r="M976" s="29" t="s">
        <v>429</v>
      </c>
      <c r="N976" s="29" t="s">
        <v>1588</v>
      </c>
      <c r="O976" s="29" t="s">
        <v>129</v>
      </c>
      <c r="P976" s="30" t="s">
        <v>1856</v>
      </c>
    </row>
    <row r="977" s="25" customFormat="1" spans="1:16">
      <c r="A977" s="29" t="s">
        <v>1855</v>
      </c>
      <c r="B977" s="29" t="s">
        <v>1841</v>
      </c>
      <c r="C977" s="29" t="s">
        <v>51</v>
      </c>
      <c r="D977" s="29" t="s">
        <v>1498</v>
      </c>
      <c r="E977" s="29" t="s">
        <v>35</v>
      </c>
      <c r="F977" s="29" t="s">
        <v>47</v>
      </c>
      <c r="G977" s="29" t="s">
        <v>427</v>
      </c>
      <c r="H977" s="29" t="s">
        <v>149</v>
      </c>
      <c r="I977" s="29" t="s">
        <v>39</v>
      </c>
      <c r="J977" s="29" t="s">
        <v>416</v>
      </c>
      <c r="K977" s="29" t="s">
        <v>1857</v>
      </c>
      <c r="L977" s="29" t="s">
        <v>1835</v>
      </c>
      <c r="M977" s="29" t="s">
        <v>429</v>
      </c>
      <c r="N977" s="29" t="s">
        <v>1588</v>
      </c>
      <c r="O977" s="29" t="s">
        <v>129</v>
      </c>
      <c r="P977" s="30" t="s">
        <v>1858</v>
      </c>
    </row>
    <row r="978" s="25" customFormat="1" spans="1:16">
      <c r="A978" s="29" t="s">
        <v>1857</v>
      </c>
      <c r="B978" s="29" t="s">
        <v>1841</v>
      </c>
      <c r="C978" s="29" t="s">
        <v>51</v>
      </c>
      <c r="D978" s="29" t="s">
        <v>1498</v>
      </c>
      <c r="E978" s="29" t="s">
        <v>35</v>
      </c>
      <c r="F978" s="29" t="s">
        <v>47</v>
      </c>
      <c r="G978" s="29" t="s">
        <v>427</v>
      </c>
      <c r="H978" s="29" t="s">
        <v>149</v>
      </c>
      <c r="I978" s="29" t="s">
        <v>39</v>
      </c>
      <c r="J978" s="29" t="s">
        <v>420</v>
      </c>
      <c r="K978" s="29" t="s">
        <v>1859</v>
      </c>
      <c r="L978" s="29" t="s">
        <v>1838</v>
      </c>
      <c r="M978" s="29" t="s">
        <v>429</v>
      </c>
      <c r="N978" s="29" t="s">
        <v>1588</v>
      </c>
      <c r="O978" s="29" t="s">
        <v>129</v>
      </c>
      <c r="P978" s="30" t="s">
        <v>1860</v>
      </c>
    </row>
    <row r="979" s="25" customFormat="1" spans="1:16">
      <c r="A979" s="29" t="s">
        <v>1859</v>
      </c>
      <c r="B979" s="29" t="s">
        <v>1841</v>
      </c>
      <c r="C979" s="29" t="s">
        <v>51</v>
      </c>
      <c r="D979" s="29" t="s">
        <v>1498</v>
      </c>
      <c r="E979" s="29" t="s">
        <v>35</v>
      </c>
      <c r="F979" s="29" t="s">
        <v>47</v>
      </c>
      <c r="G979" s="29" t="s">
        <v>427</v>
      </c>
      <c r="H979" s="29" t="s">
        <v>149</v>
      </c>
      <c r="I979" s="29" t="s">
        <v>39</v>
      </c>
      <c r="J979" s="29" t="s">
        <v>424</v>
      </c>
      <c r="K979" s="29" t="s">
        <v>39</v>
      </c>
      <c r="L979" s="29" t="s">
        <v>39</v>
      </c>
      <c r="M979" s="29" t="s">
        <v>39</v>
      </c>
      <c r="N979" s="29" t="s">
        <v>1588</v>
      </c>
      <c r="O979" s="29" t="s">
        <v>129</v>
      </c>
      <c r="P979" s="30" t="s">
        <v>1861</v>
      </c>
    </row>
    <row r="980" s="25" customFormat="1" spans="1:16">
      <c r="A980" s="29" t="s">
        <v>1862</v>
      </c>
      <c r="B980" s="29" t="s">
        <v>1862</v>
      </c>
      <c r="C980" s="29" t="s">
        <v>51</v>
      </c>
      <c r="D980" s="29" t="s">
        <v>1498</v>
      </c>
      <c r="E980" s="29" t="s">
        <v>35</v>
      </c>
      <c r="F980" s="29" t="s">
        <v>47</v>
      </c>
      <c r="G980" s="29" t="s">
        <v>450</v>
      </c>
      <c r="H980" s="29" t="s">
        <v>176</v>
      </c>
      <c r="I980" s="29" t="s">
        <v>39</v>
      </c>
      <c r="J980" s="29" t="s">
        <v>39</v>
      </c>
      <c r="K980" s="29" t="s">
        <v>1863</v>
      </c>
      <c r="L980" s="29" t="s">
        <v>1722</v>
      </c>
      <c r="M980" s="29" t="s">
        <v>452</v>
      </c>
      <c r="N980" s="29" t="s">
        <v>1609</v>
      </c>
      <c r="O980" s="29" t="s">
        <v>133</v>
      </c>
      <c r="P980" s="30" t="s">
        <v>1610</v>
      </c>
    </row>
    <row r="981" s="25" customFormat="1" spans="1:16">
      <c r="A981" s="29" t="s">
        <v>1863</v>
      </c>
      <c r="B981" s="29" t="s">
        <v>1862</v>
      </c>
      <c r="C981" s="29" t="s">
        <v>51</v>
      </c>
      <c r="D981" s="29" t="s">
        <v>1498</v>
      </c>
      <c r="E981" s="29" t="s">
        <v>35</v>
      </c>
      <c r="F981" s="29" t="s">
        <v>47</v>
      </c>
      <c r="G981" s="29" t="s">
        <v>450</v>
      </c>
      <c r="H981" s="29" t="s">
        <v>176</v>
      </c>
      <c r="I981" s="29" t="s">
        <v>39</v>
      </c>
      <c r="J981" s="29" t="s">
        <v>35</v>
      </c>
      <c r="K981" s="29" t="s">
        <v>1864</v>
      </c>
      <c r="L981" s="29" t="s">
        <v>1724</v>
      </c>
      <c r="M981" s="29" t="s">
        <v>452</v>
      </c>
      <c r="N981" s="29" t="s">
        <v>1612</v>
      </c>
      <c r="O981" s="29" t="s">
        <v>133</v>
      </c>
      <c r="P981" s="30" t="s">
        <v>1613</v>
      </c>
    </row>
    <row r="982" s="25" customFormat="1" spans="1:16">
      <c r="A982" s="29" t="s">
        <v>1864</v>
      </c>
      <c r="B982" s="29" t="s">
        <v>1862</v>
      </c>
      <c r="C982" s="29" t="s">
        <v>51</v>
      </c>
      <c r="D982" s="29" t="s">
        <v>1498</v>
      </c>
      <c r="E982" s="29" t="s">
        <v>35</v>
      </c>
      <c r="F982" s="29" t="s">
        <v>47</v>
      </c>
      <c r="G982" s="29" t="s">
        <v>450</v>
      </c>
      <c r="H982" s="29" t="s">
        <v>176</v>
      </c>
      <c r="I982" s="29" t="s">
        <v>39</v>
      </c>
      <c r="J982" s="29" t="s">
        <v>47</v>
      </c>
      <c r="K982" s="29" t="s">
        <v>1865</v>
      </c>
      <c r="L982" s="29" t="s">
        <v>1728</v>
      </c>
      <c r="M982" s="29" t="s">
        <v>452</v>
      </c>
      <c r="N982" s="29" t="s">
        <v>1612</v>
      </c>
      <c r="O982" s="29" t="s">
        <v>133</v>
      </c>
      <c r="P982" s="30" t="s">
        <v>1615</v>
      </c>
    </row>
    <row r="983" s="25" customFormat="1" spans="1:16">
      <c r="A983" s="29" t="s">
        <v>1865</v>
      </c>
      <c r="B983" s="29" t="s">
        <v>1862</v>
      </c>
      <c r="C983" s="29" t="s">
        <v>51</v>
      </c>
      <c r="D983" s="29" t="s">
        <v>1498</v>
      </c>
      <c r="E983" s="29" t="s">
        <v>35</v>
      </c>
      <c r="F983" s="29" t="s">
        <v>47</v>
      </c>
      <c r="G983" s="29" t="s">
        <v>450</v>
      </c>
      <c r="H983" s="29" t="s">
        <v>176</v>
      </c>
      <c r="I983" s="29" t="s">
        <v>39</v>
      </c>
      <c r="J983" s="29" t="s">
        <v>51</v>
      </c>
      <c r="K983" s="29" t="s">
        <v>1866</v>
      </c>
      <c r="L983" s="29" t="s">
        <v>1731</v>
      </c>
      <c r="M983" s="29" t="s">
        <v>452</v>
      </c>
      <c r="N983" s="29" t="s">
        <v>1612</v>
      </c>
      <c r="O983" s="29" t="s">
        <v>133</v>
      </c>
      <c r="P983" s="30" t="s">
        <v>1617</v>
      </c>
    </row>
    <row r="984" s="25" customFormat="1" spans="1:16">
      <c r="A984" s="29" t="s">
        <v>1866</v>
      </c>
      <c r="B984" s="29" t="s">
        <v>1862</v>
      </c>
      <c r="C984" s="29" t="s">
        <v>51</v>
      </c>
      <c r="D984" s="29" t="s">
        <v>1498</v>
      </c>
      <c r="E984" s="29" t="s">
        <v>35</v>
      </c>
      <c r="F984" s="29" t="s">
        <v>47</v>
      </c>
      <c r="G984" s="29" t="s">
        <v>450</v>
      </c>
      <c r="H984" s="29" t="s">
        <v>176</v>
      </c>
      <c r="I984" s="29" t="s">
        <v>39</v>
      </c>
      <c r="J984" s="29" t="s">
        <v>55</v>
      </c>
      <c r="K984" s="29" t="s">
        <v>1867</v>
      </c>
      <c r="L984" s="29" t="s">
        <v>1733</v>
      </c>
      <c r="M984" s="29" t="s">
        <v>452</v>
      </c>
      <c r="N984" s="29" t="s">
        <v>1612</v>
      </c>
      <c r="O984" s="29" t="s">
        <v>133</v>
      </c>
      <c r="P984" s="30" t="s">
        <v>1619</v>
      </c>
    </row>
    <row r="985" s="25" customFormat="1" spans="1:16">
      <c r="A985" s="29" t="s">
        <v>1867</v>
      </c>
      <c r="B985" s="29" t="s">
        <v>1862</v>
      </c>
      <c r="C985" s="29" t="s">
        <v>51</v>
      </c>
      <c r="D985" s="29" t="s">
        <v>1498</v>
      </c>
      <c r="E985" s="29" t="s">
        <v>35</v>
      </c>
      <c r="F985" s="29" t="s">
        <v>47</v>
      </c>
      <c r="G985" s="29" t="s">
        <v>450</v>
      </c>
      <c r="H985" s="29" t="s">
        <v>176</v>
      </c>
      <c r="I985" s="29" t="s">
        <v>39</v>
      </c>
      <c r="J985" s="29" t="s">
        <v>59</v>
      </c>
      <c r="K985" s="29" t="s">
        <v>1868</v>
      </c>
      <c r="L985" s="29" t="s">
        <v>1736</v>
      </c>
      <c r="M985" s="29" t="s">
        <v>452</v>
      </c>
      <c r="N985" s="29" t="s">
        <v>1612</v>
      </c>
      <c r="O985" s="29" t="s">
        <v>133</v>
      </c>
      <c r="P985" s="30" t="s">
        <v>1621</v>
      </c>
    </row>
    <row r="986" s="25" customFormat="1" spans="1:16">
      <c r="A986" s="29" t="s">
        <v>1868</v>
      </c>
      <c r="B986" s="29" t="s">
        <v>1862</v>
      </c>
      <c r="C986" s="29" t="s">
        <v>51</v>
      </c>
      <c r="D986" s="29" t="s">
        <v>1498</v>
      </c>
      <c r="E986" s="29" t="s">
        <v>35</v>
      </c>
      <c r="F986" s="29" t="s">
        <v>47</v>
      </c>
      <c r="G986" s="29" t="s">
        <v>450</v>
      </c>
      <c r="H986" s="29" t="s">
        <v>176</v>
      </c>
      <c r="I986" s="29" t="s">
        <v>39</v>
      </c>
      <c r="J986" s="29" t="s">
        <v>129</v>
      </c>
      <c r="K986" s="29" t="s">
        <v>1869</v>
      </c>
      <c r="L986" s="29" t="s">
        <v>1739</v>
      </c>
      <c r="M986" s="29" t="s">
        <v>452</v>
      </c>
      <c r="N986" s="29" t="s">
        <v>1612</v>
      </c>
      <c r="O986" s="29" t="s">
        <v>133</v>
      </c>
      <c r="P986" s="30" t="s">
        <v>1623</v>
      </c>
    </row>
    <row r="987" s="25" customFormat="1" spans="1:16">
      <c r="A987" s="29" t="s">
        <v>1869</v>
      </c>
      <c r="B987" s="29" t="s">
        <v>1862</v>
      </c>
      <c r="C987" s="29" t="s">
        <v>51</v>
      </c>
      <c r="D987" s="29" t="s">
        <v>1498</v>
      </c>
      <c r="E987" s="29" t="s">
        <v>35</v>
      </c>
      <c r="F987" s="29" t="s">
        <v>47</v>
      </c>
      <c r="G987" s="29" t="s">
        <v>450</v>
      </c>
      <c r="H987" s="29" t="s">
        <v>176</v>
      </c>
      <c r="I987" s="29" t="s">
        <v>39</v>
      </c>
      <c r="J987" s="29" t="s">
        <v>133</v>
      </c>
      <c r="K987" s="29" t="s">
        <v>1870</v>
      </c>
      <c r="L987" s="29" t="s">
        <v>1741</v>
      </c>
      <c r="M987" s="29" t="s">
        <v>452</v>
      </c>
      <c r="N987" s="29" t="s">
        <v>1612</v>
      </c>
      <c r="O987" s="29" t="s">
        <v>133</v>
      </c>
      <c r="P987" s="30" t="s">
        <v>1625</v>
      </c>
    </row>
    <row r="988" s="25" customFormat="1" spans="1:16">
      <c r="A988" s="29" t="s">
        <v>1870</v>
      </c>
      <c r="B988" s="29" t="s">
        <v>1862</v>
      </c>
      <c r="C988" s="29" t="s">
        <v>51</v>
      </c>
      <c r="D988" s="29" t="s">
        <v>1498</v>
      </c>
      <c r="E988" s="29" t="s">
        <v>35</v>
      </c>
      <c r="F988" s="29" t="s">
        <v>47</v>
      </c>
      <c r="G988" s="29" t="s">
        <v>450</v>
      </c>
      <c r="H988" s="29" t="s">
        <v>176</v>
      </c>
      <c r="I988" s="29" t="s">
        <v>39</v>
      </c>
      <c r="J988" s="29" t="s">
        <v>137</v>
      </c>
      <c r="K988" s="29" t="s">
        <v>1871</v>
      </c>
      <c r="L988" s="29" t="s">
        <v>1744</v>
      </c>
      <c r="M988" s="29" t="s">
        <v>452</v>
      </c>
      <c r="N988" s="29" t="s">
        <v>1612</v>
      </c>
      <c r="O988" s="29" t="s">
        <v>133</v>
      </c>
      <c r="P988" s="30" t="s">
        <v>1627</v>
      </c>
    </row>
    <row r="989" s="25" customFormat="1" spans="1:16">
      <c r="A989" s="29" t="s">
        <v>1871</v>
      </c>
      <c r="B989" s="29" t="s">
        <v>1862</v>
      </c>
      <c r="C989" s="29" t="s">
        <v>51</v>
      </c>
      <c r="D989" s="29" t="s">
        <v>1498</v>
      </c>
      <c r="E989" s="29" t="s">
        <v>35</v>
      </c>
      <c r="F989" s="29" t="s">
        <v>47</v>
      </c>
      <c r="G989" s="29" t="s">
        <v>450</v>
      </c>
      <c r="H989" s="29" t="s">
        <v>176</v>
      </c>
      <c r="I989" s="29" t="s">
        <v>39</v>
      </c>
      <c r="J989" s="29" t="s">
        <v>141</v>
      </c>
      <c r="K989" s="29" t="s">
        <v>1872</v>
      </c>
      <c r="L989" s="29" t="s">
        <v>1747</v>
      </c>
      <c r="M989" s="29" t="s">
        <v>452</v>
      </c>
      <c r="N989" s="29" t="s">
        <v>1612</v>
      </c>
      <c r="O989" s="29" t="s">
        <v>133</v>
      </c>
      <c r="P989" s="30" t="s">
        <v>1629</v>
      </c>
    </row>
    <row r="990" s="25" customFormat="1" spans="1:16">
      <c r="A990" s="29" t="s">
        <v>1872</v>
      </c>
      <c r="B990" s="29" t="s">
        <v>1862</v>
      </c>
      <c r="C990" s="29" t="s">
        <v>51</v>
      </c>
      <c r="D990" s="29" t="s">
        <v>1498</v>
      </c>
      <c r="E990" s="29" t="s">
        <v>35</v>
      </c>
      <c r="F990" s="29" t="s">
        <v>47</v>
      </c>
      <c r="G990" s="29" t="s">
        <v>450</v>
      </c>
      <c r="H990" s="29" t="s">
        <v>176</v>
      </c>
      <c r="I990" s="29" t="s">
        <v>39</v>
      </c>
      <c r="J990" s="29" t="s">
        <v>145</v>
      </c>
      <c r="K990" s="29" t="s">
        <v>1873</v>
      </c>
      <c r="L990" s="29" t="s">
        <v>1827</v>
      </c>
      <c r="M990" s="29" t="s">
        <v>452</v>
      </c>
      <c r="N990" s="29" t="s">
        <v>1612</v>
      </c>
      <c r="O990" s="29" t="s">
        <v>133</v>
      </c>
      <c r="P990" s="30" t="s">
        <v>1630</v>
      </c>
    </row>
    <row r="991" s="25" customFormat="1" spans="1:16">
      <c r="A991" s="29" t="s">
        <v>1873</v>
      </c>
      <c r="B991" s="29" t="s">
        <v>1862</v>
      </c>
      <c r="C991" s="29" t="s">
        <v>51</v>
      </c>
      <c r="D991" s="29" t="s">
        <v>1498</v>
      </c>
      <c r="E991" s="29" t="s">
        <v>35</v>
      </c>
      <c r="F991" s="29" t="s">
        <v>47</v>
      </c>
      <c r="G991" s="29" t="s">
        <v>450</v>
      </c>
      <c r="H991" s="29" t="s">
        <v>176</v>
      </c>
      <c r="I991" s="29" t="s">
        <v>39</v>
      </c>
      <c r="J991" s="29" t="s">
        <v>408</v>
      </c>
      <c r="K991" s="29" t="s">
        <v>1874</v>
      </c>
      <c r="L991" s="29" t="s">
        <v>1829</v>
      </c>
      <c r="M991" s="29" t="s">
        <v>452</v>
      </c>
      <c r="N991" s="29" t="s">
        <v>1612</v>
      </c>
      <c r="O991" s="29" t="s">
        <v>133</v>
      </c>
      <c r="P991" s="30" t="s">
        <v>1875</v>
      </c>
    </row>
    <row r="992" s="25" customFormat="1" spans="1:16">
      <c r="A992" s="29" t="s">
        <v>1874</v>
      </c>
      <c r="B992" s="29" t="s">
        <v>1862</v>
      </c>
      <c r="C992" s="29" t="s">
        <v>51</v>
      </c>
      <c r="D992" s="29" t="s">
        <v>1498</v>
      </c>
      <c r="E992" s="29" t="s">
        <v>35</v>
      </c>
      <c r="F992" s="29" t="s">
        <v>47</v>
      </c>
      <c r="G992" s="29" t="s">
        <v>450</v>
      </c>
      <c r="H992" s="29" t="s">
        <v>176</v>
      </c>
      <c r="I992" s="29" t="s">
        <v>39</v>
      </c>
      <c r="J992" s="29" t="s">
        <v>412</v>
      </c>
      <c r="K992" s="29" t="s">
        <v>1876</v>
      </c>
      <c r="L992" s="29" t="s">
        <v>1832</v>
      </c>
      <c r="M992" s="29" t="s">
        <v>452</v>
      </c>
      <c r="N992" s="29" t="s">
        <v>1612</v>
      </c>
      <c r="O992" s="29" t="s">
        <v>133</v>
      </c>
      <c r="P992" s="30" t="s">
        <v>1877</v>
      </c>
    </row>
    <row r="993" s="25" customFormat="1" spans="1:16">
      <c r="A993" s="29" t="s">
        <v>1876</v>
      </c>
      <c r="B993" s="29" t="s">
        <v>1862</v>
      </c>
      <c r="C993" s="29" t="s">
        <v>51</v>
      </c>
      <c r="D993" s="29" t="s">
        <v>1498</v>
      </c>
      <c r="E993" s="29" t="s">
        <v>35</v>
      </c>
      <c r="F993" s="29" t="s">
        <v>47</v>
      </c>
      <c r="G993" s="29" t="s">
        <v>450</v>
      </c>
      <c r="H993" s="29" t="s">
        <v>176</v>
      </c>
      <c r="I993" s="29" t="s">
        <v>39</v>
      </c>
      <c r="J993" s="29" t="s">
        <v>416</v>
      </c>
      <c r="K993" s="29" t="s">
        <v>1878</v>
      </c>
      <c r="L993" s="29" t="s">
        <v>1835</v>
      </c>
      <c r="M993" s="29" t="s">
        <v>452</v>
      </c>
      <c r="N993" s="29" t="s">
        <v>1612</v>
      </c>
      <c r="O993" s="29" t="s">
        <v>133</v>
      </c>
      <c r="P993" s="30" t="s">
        <v>1879</v>
      </c>
    </row>
    <row r="994" s="25" customFormat="1" spans="1:16">
      <c r="A994" s="29" t="s">
        <v>1878</v>
      </c>
      <c r="B994" s="29" t="s">
        <v>1862</v>
      </c>
      <c r="C994" s="29" t="s">
        <v>51</v>
      </c>
      <c r="D994" s="29" t="s">
        <v>1498</v>
      </c>
      <c r="E994" s="29" t="s">
        <v>35</v>
      </c>
      <c r="F994" s="29" t="s">
        <v>47</v>
      </c>
      <c r="G994" s="29" t="s">
        <v>450</v>
      </c>
      <c r="H994" s="29" t="s">
        <v>176</v>
      </c>
      <c r="I994" s="29" t="s">
        <v>39</v>
      </c>
      <c r="J994" s="29" t="s">
        <v>420</v>
      </c>
      <c r="K994" s="29" t="s">
        <v>1880</v>
      </c>
      <c r="L994" s="29" t="s">
        <v>1838</v>
      </c>
      <c r="M994" s="29" t="s">
        <v>452</v>
      </c>
      <c r="N994" s="29" t="s">
        <v>1612</v>
      </c>
      <c r="O994" s="29" t="s">
        <v>133</v>
      </c>
      <c r="P994" s="30" t="s">
        <v>1881</v>
      </c>
    </row>
    <row r="995" s="25" customFormat="1" spans="1:16">
      <c r="A995" s="29" t="s">
        <v>1880</v>
      </c>
      <c r="B995" s="29" t="s">
        <v>1862</v>
      </c>
      <c r="C995" s="29" t="s">
        <v>51</v>
      </c>
      <c r="D995" s="29" t="s">
        <v>1498</v>
      </c>
      <c r="E995" s="29" t="s">
        <v>35</v>
      </c>
      <c r="F995" s="29" t="s">
        <v>47</v>
      </c>
      <c r="G995" s="29" t="s">
        <v>450</v>
      </c>
      <c r="H995" s="29" t="s">
        <v>176</v>
      </c>
      <c r="I995" s="29" t="s">
        <v>39</v>
      </c>
      <c r="J995" s="29" t="s">
        <v>424</v>
      </c>
      <c r="K995" s="29" t="s">
        <v>39</v>
      </c>
      <c r="L995" s="29" t="s">
        <v>39</v>
      </c>
      <c r="M995" s="29" t="s">
        <v>39</v>
      </c>
      <c r="N995" s="29" t="s">
        <v>1612</v>
      </c>
      <c r="O995" s="29" t="s">
        <v>133</v>
      </c>
      <c r="P995" s="30" t="s">
        <v>1882</v>
      </c>
    </row>
    <row r="996" s="25" customFormat="1" spans="1:16">
      <c r="A996" s="29" t="s">
        <v>1883</v>
      </c>
      <c r="B996" s="29" t="s">
        <v>1883</v>
      </c>
      <c r="C996" s="29" t="s">
        <v>51</v>
      </c>
      <c r="D996" s="29" t="s">
        <v>1498</v>
      </c>
      <c r="E996" s="29" t="s">
        <v>47</v>
      </c>
      <c r="F996" s="29" t="s">
        <v>47</v>
      </c>
      <c r="G996" s="29" t="s">
        <v>1632</v>
      </c>
      <c r="H996" s="29" t="s">
        <v>1633</v>
      </c>
      <c r="I996" s="29" t="s">
        <v>204</v>
      </c>
      <c r="J996" s="29" t="s">
        <v>39</v>
      </c>
      <c r="K996" s="29" t="s">
        <v>1884</v>
      </c>
      <c r="L996" s="29" t="s">
        <v>1635</v>
      </c>
      <c r="M996" s="29" t="s">
        <v>474</v>
      </c>
      <c r="N996" s="29" t="s">
        <v>1636</v>
      </c>
      <c r="O996" s="29" t="s">
        <v>137</v>
      </c>
      <c r="P996" s="30" t="s">
        <v>1637</v>
      </c>
    </row>
    <row r="997" s="25" customFormat="1" spans="1:16">
      <c r="A997" s="29" t="s">
        <v>1884</v>
      </c>
      <c r="B997" s="29" t="s">
        <v>1883</v>
      </c>
      <c r="C997" s="29" t="s">
        <v>51</v>
      </c>
      <c r="D997" s="29" t="s">
        <v>1498</v>
      </c>
      <c r="E997" s="29" t="s">
        <v>47</v>
      </c>
      <c r="F997" s="29" t="s">
        <v>47</v>
      </c>
      <c r="G997" s="29" t="s">
        <v>1632</v>
      </c>
      <c r="H997" s="29" t="s">
        <v>1633</v>
      </c>
      <c r="I997" s="29" t="s">
        <v>204</v>
      </c>
      <c r="J997" s="29" t="s">
        <v>35</v>
      </c>
      <c r="K997" s="29" t="s">
        <v>1885</v>
      </c>
      <c r="L997" s="29" t="s">
        <v>1639</v>
      </c>
      <c r="M997" s="29" t="s">
        <v>474</v>
      </c>
      <c r="N997" s="29" t="s">
        <v>1640</v>
      </c>
      <c r="O997" s="29" t="s">
        <v>137</v>
      </c>
      <c r="P997" s="30" t="s">
        <v>1641</v>
      </c>
    </row>
    <row r="998" s="25" customFormat="1" spans="1:16">
      <c r="A998" s="29" t="s">
        <v>1885</v>
      </c>
      <c r="B998" s="29" t="s">
        <v>1883</v>
      </c>
      <c r="C998" s="29" t="s">
        <v>51</v>
      </c>
      <c r="D998" s="29" t="s">
        <v>1498</v>
      </c>
      <c r="E998" s="29" t="s">
        <v>47</v>
      </c>
      <c r="F998" s="29" t="s">
        <v>47</v>
      </c>
      <c r="G998" s="29" t="s">
        <v>1632</v>
      </c>
      <c r="H998" s="29" t="s">
        <v>1633</v>
      </c>
      <c r="I998" s="29" t="s">
        <v>204</v>
      </c>
      <c r="J998" s="29" t="s">
        <v>47</v>
      </c>
      <c r="K998" s="29" t="s">
        <v>1886</v>
      </c>
      <c r="L998" s="29" t="s">
        <v>1643</v>
      </c>
      <c r="M998" s="29" t="s">
        <v>474</v>
      </c>
      <c r="N998" s="29" t="s">
        <v>1640</v>
      </c>
      <c r="O998" s="29" t="s">
        <v>137</v>
      </c>
      <c r="P998" s="30" t="s">
        <v>1644</v>
      </c>
    </row>
    <row r="999" s="25" customFormat="1" spans="1:16">
      <c r="A999" s="29" t="s">
        <v>1886</v>
      </c>
      <c r="B999" s="29" t="s">
        <v>1883</v>
      </c>
      <c r="C999" s="29" t="s">
        <v>51</v>
      </c>
      <c r="D999" s="29" t="s">
        <v>1498</v>
      </c>
      <c r="E999" s="29" t="s">
        <v>47</v>
      </c>
      <c r="F999" s="29" t="s">
        <v>47</v>
      </c>
      <c r="G999" s="29" t="s">
        <v>1632</v>
      </c>
      <c r="H999" s="29" t="s">
        <v>1633</v>
      </c>
      <c r="I999" s="29" t="s">
        <v>204</v>
      </c>
      <c r="J999" s="29" t="s">
        <v>51</v>
      </c>
      <c r="K999" s="29" t="s">
        <v>1887</v>
      </c>
      <c r="L999" s="29" t="s">
        <v>1646</v>
      </c>
      <c r="M999" s="29" t="s">
        <v>474</v>
      </c>
      <c r="N999" s="29" t="s">
        <v>1640</v>
      </c>
      <c r="O999" s="29" t="s">
        <v>137</v>
      </c>
      <c r="P999" s="30" t="s">
        <v>1647</v>
      </c>
    </row>
    <row r="1000" s="25" customFormat="1" spans="1:16">
      <c r="A1000" s="29" t="s">
        <v>1887</v>
      </c>
      <c r="B1000" s="29" t="s">
        <v>1883</v>
      </c>
      <c r="C1000" s="29" t="s">
        <v>51</v>
      </c>
      <c r="D1000" s="29" t="s">
        <v>1498</v>
      </c>
      <c r="E1000" s="29" t="s">
        <v>47</v>
      </c>
      <c r="F1000" s="29" t="s">
        <v>47</v>
      </c>
      <c r="G1000" s="29" t="s">
        <v>1632</v>
      </c>
      <c r="H1000" s="29" t="s">
        <v>1633</v>
      </c>
      <c r="I1000" s="29" t="s">
        <v>204</v>
      </c>
      <c r="J1000" s="29" t="s">
        <v>55</v>
      </c>
      <c r="K1000" s="29" t="s">
        <v>1888</v>
      </c>
      <c r="L1000" s="29" t="s">
        <v>1649</v>
      </c>
      <c r="M1000" s="29" t="s">
        <v>474</v>
      </c>
      <c r="N1000" s="29" t="s">
        <v>1640</v>
      </c>
      <c r="O1000" s="29" t="s">
        <v>137</v>
      </c>
      <c r="P1000" s="30" t="s">
        <v>1650</v>
      </c>
    </row>
    <row r="1001" s="25" customFormat="1" spans="1:16">
      <c r="A1001" s="29" t="s">
        <v>1888</v>
      </c>
      <c r="B1001" s="29" t="s">
        <v>1883</v>
      </c>
      <c r="C1001" s="29" t="s">
        <v>51</v>
      </c>
      <c r="D1001" s="29" t="s">
        <v>1498</v>
      </c>
      <c r="E1001" s="29" t="s">
        <v>47</v>
      </c>
      <c r="F1001" s="29" t="s">
        <v>47</v>
      </c>
      <c r="G1001" s="29" t="s">
        <v>1632</v>
      </c>
      <c r="H1001" s="29" t="s">
        <v>1633</v>
      </c>
      <c r="I1001" s="29" t="s">
        <v>204</v>
      </c>
      <c r="J1001" s="29" t="s">
        <v>59</v>
      </c>
      <c r="K1001" s="29" t="s">
        <v>1889</v>
      </c>
      <c r="L1001" s="29" t="s">
        <v>1652</v>
      </c>
      <c r="M1001" s="29" t="s">
        <v>474</v>
      </c>
      <c r="N1001" s="29" t="s">
        <v>1640</v>
      </c>
      <c r="O1001" s="29" t="s">
        <v>137</v>
      </c>
      <c r="P1001" s="30" t="s">
        <v>1653</v>
      </c>
    </row>
    <row r="1002" s="25" customFormat="1" spans="1:16">
      <c r="A1002" s="29" t="s">
        <v>1889</v>
      </c>
      <c r="B1002" s="29" t="s">
        <v>1883</v>
      </c>
      <c r="C1002" s="29" t="s">
        <v>51</v>
      </c>
      <c r="D1002" s="29" t="s">
        <v>1498</v>
      </c>
      <c r="E1002" s="29" t="s">
        <v>47</v>
      </c>
      <c r="F1002" s="29" t="s">
        <v>47</v>
      </c>
      <c r="G1002" s="29" t="s">
        <v>1632</v>
      </c>
      <c r="H1002" s="29" t="s">
        <v>1633</v>
      </c>
      <c r="I1002" s="29" t="s">
        <v>204</v>
      </c>
      <c r="J1002" s="29" t="s">
        <v>129</v>
      </c>
      <c r="K1002" s="29" t="s">
        <v>1890</v>
      </c>
      <c r="L1002" s="29" t="s">
        <v>1655</v>
      </c>
      <c r="M1002" s="29" t="s">
        <v>474</v>
      </c>
      <c r="N1002" s="29" t="s">
        <v>1640</v>
      </c>
      <c r="O1002" s="29" t="s">
        <v>137</v>
      </c>
      <c r="P1002" s="30" t="s">
        <v>1656</v>
      </c>
    </row>
    <row r="1003" s="25" customFormat="1" spans="1:16">
      <c r="A1003" s="29" t="s">
        <v>1890</v>
      </c>
      <c r="B1003" s="29" t="s">
        <v>1883</v>
      </c>
      <c r="C1003" s="29" t="s">
        <v>51</v>
      </c>
      <c r="D1003" s="29" t="s">
        <v>1498</v>
      </c>
      <c r="E1003" s="29" t="s">
        <v>47</v>
      </c>
      <c r="F1003" s="29" t="s">
        <v>47</v>
      </c>
      <c r="G1003" s="29" t="s">
        <v>1632</v>
      </c>
      <c r="H1003" s="29" t="s">
        <v>1633</v>
      </c>
      <c r="I1003" s="29" t="s">
        <v>204</v>
      </c>
      <c r="J1003" s="29" t="s">
        <v>133</v>
      </c>
      <c r="K1003" s="29" t="s">
        <v>1891</v>
      </c>
      <c r="L1003" s="29" t="s">
        <v>1658</v>
      </c>
      <c r="M1003" s="29" t="s">
        <v>474</v>
      </c>
      <c r="N1003" s="29" t="s">
        <v>1640</v>
      </c>
      <c r="O1003" s="29" t="s">
        <v>137</v>
      </c>
      <c r="P1003" s="30" t="s">
        <v>1659</v>
      </c>
    </row>
    <row r="1004" s="25" customFormat="1" spans="1:16">
      <c r="A1004" s="29" t="s">
        <v>1891</v>
      </c>
      <c r="B1004" s="29" t="s">
        <v>1883</v>
      </c>
      <c r="C1004" s="29" t="s">
        <v>51</v>
      </c>
      <c r="D1004" s="29" t="s">
        <v>1498</v>
      </c>
      <c r="E1004" s="29" t="s">
        <v>47</v>
      </c>
      <c r="F1004" s="29" t="s">
        <v>47</v>
      </c>
      <c r="G1004" s="29" t="s">
        <v>1632</v>
      </c>
      <c r="H1004" s="29" t="s">
        <v>1633</v>
      </c>
      <c r="I1004" s="29" t="s">
        <v>204</v>
      </c>
      <c r="J1004" s="29" t="s">
        <v>137</v>
      </c>
      <c r="K1004" s="29" t="s">
        <v>1892</v>
      </c>
      <c r="L1004" s="29" t="s">
        <v>1661</v>
      </c>
      <c r="M1004" s="29" t="s">
        <v>474</v>
      </c>
      <c r="N1004" s="29" t="s">
        <v>1640</v>
      </c>
      <c r="O1004" s="29" t="s">
        <v>137</v>
      </c>
      <c r="P1004" s="30" t="s">
        <v>1662</v>
      </c>
    </row>
    <row r="1005" s="25" customFormat="1" spans="1:16">
      <c r="A1005" s="29" t="s">
        <v>1892</v>
      </c>
      <c r="B1005" s="29" t="s">
        <v>1883</v>
      </c>
      <c r="C1005" s="29" t="s">
        <v>51</v>
      </c>
      <c r="D1005" s="29" t="s">
        <v>1498</v>
      </c>
      <c r="E1005" s="29" t="s">
        <v>47</v>
      </c>
      <c r="F1005" s="29" t="s">
        <v>47</v>
      </c>
      <c r="G1005" s="29" t="s">
        <v>1632</v>
      </c>
      <c r="H1005" s="29" t="s">
        <v>1633</v>
      </c>
      <c r="I1005" s="29" t="s">
        <v>204</v>
      </c>
      <c r="J1005" s="29" t="s">
        <v>141</v>
      </c>
      <c r="K1005" s="29" t="s">
        <v>1893</v>
      </c>
      <c r="L1005" s="29" t="s">
        <v>1664</v>
      </c>
      <c r="M1005" s="29" t="s">
        <v>474</v>
      </c>
      <c r="N1005" s="29" t="s">
        <v>1640</v>
      </c>
      <c r="O1005" s="29" t="s">
        <v>137</v>
      </c>
      <c r="P1005" s="30" t="s">
        <v>1665</v>
      </c>
    </row>
    <row r="1006" s="25" customFormat="1" spans="1:16">
      <c r="A1006" s="29" t="s">
        <v>1893</v>
      </c>
      <c r="B1006" s="29" t="s">
        <v>1883</v>
      </c>
      <c r="C1006" s="29" t="s">
        <v>51</v>
      </c>
      <c r="D1006" s="29" t="s">
        <v>1498</v>
      </c>
      <c r="E1006" s="29" t="s">
        <v>47</v>
      </c>
      <c r="F1006" s="29" t="s">
        <v>47</v>
      </c>
      <c r="G1006" s="29" t="s">
        <v>1632</v>
      </c>
      <c r="H1006" s="29" t="s">
        <v>1633</v>
      </c>
      <c r="I1006" s="29" t="s">
        <v>204</v>
      </c>
      <c r="J1006" s="29" t="s">
        <v>145</v>
      </c>
      <c r="K1006" s="29" t="s">
        <v>39</v>
      </c>
      <c r="L1006" s="29" t="s">
        <v>1666</v>
      </c>
      <c r="M1006" s="29" t="s">
        <v>474</v>
      </c>
      <c r="N1006" s="29" t="s">
        <v>1640</v>
      </c>
      <c r="O1006" s="29" t="s">
        <v>137</v>
      </c>
      <c r="P1006" s="30" t="s">
        <v>1667</v>
      </c>
    </row>
    <row r="1007" s="25" customFormat="1" spans="1:16">
      <c r="A1007" s="29" t="s">
        <v>1894</v>
      </c>
      <c r="B1007" s="29" t="s">
        <v>1894</v>
      </c>
      <c r="C1007" s="29" t="s">
        <v>51</v>
      </c>
      <c r="D1007" s="29" t="s">
        <v>1498</v>
      </c>
      <c r="E1007" s="29" t="s">
        <v>47</v>
      </c>
      <c r="F1007" s="29" t="s">
        <v>47</v>
      </c>
      <c r="G1007" s="29" t="s">
        <v>1669</v>
      </c>
      <c r="H1007" s="29" t="s">
        <v>1670</v>
      </c>
      <c r="I1007" s="29" t="s">
        <v>204</v>
      </c>
      <c r="J1007" s="29" t="s">
        <v>39</v>
      </c>
      <c r="K1007" s="29" t="s">
        <v>1895</v>
      </c>
      <c r="L1007" s="29" t="s">
        <v>1635</v>
      </c>
      <c r="M1007" s="29" t="s">
        <v>488</v>
      </c>
      <c r="N1007" s="29" t="s">
        <v>1672</v>
      </c>
      <c r="O1007" s="29" t="s">
        <v>141</v>
      </c>
      <c r="P1007" s="30" t="s">
        <v>1673</v>
      </c>
    </row>
    <row r="1008" s="25" customFormat="1" spans="1:16">
      <c r="A1008" s="29" t="s">
        <v>1895</v>
      </c>
      <c r="B1008" s="29" t="s">
        <v>1894</v>
      </c>
      <c r="C1008" s="29" t="s">
        <v>51</v>
      </c>
      <c r="D1008" s="29" t="s">
        <v>1498</v>
      </c>
      <c r="E1008" s="29" t="s">
        <v>47</v>
      </c>
      <c r="F1008" s="29" t="s">
        <v>47</v>
      </c>
      <c r="G1008" s="29" t="s">
        <v>1669</v>
      </c>
      <c r="H1008" s="29" t="s">
        <v>1670</v>
      </c>
      <c r="I1008" s="29" t="s">
        <v>204</v>
      </c>
      <c r="J1008" s="29" t="s">
        <v>35</v>
      </c>
      <c r="K1008" s="29" t="s">
        <v>1896</v>
      </c>
      <c r="L1008" s="29" t="s">
        <v>1639</v>
      </c>
      <c r="M1008" s="29" t="s">
        <v>488</v>
      </c>
      <c r="N1008" s="29" t="s">
        <v>1675</v>
      </c>
      <c r="O1008" s="29" t="s">
        <v>141</v>
      </c>
      <c r="P1008" s="30" t="s">
        <v>1676</v>
      </c>
    </row>
    <row r="1009" s="25" customFormat="1" spans="1:16">
      <c r="A1009" s="29" t="s">
        <v>1896</v>
      </c>
      <c r="B1009" s="29" t="s">
        <v>1894</v>
      </c>
      <c r="C1009" s="29" t="s">
        <v>51</v>
      </c>
      <c r="D1009" s="29" t="s">
        <v>1498</v>
      </c>
      <c r="E1009" s="29" t="s">
        <v>47</v>
      </c>
      <c r="F1009" s="29" t="s">
        <v>47</v>
      </c>
      <c r="G1009" s="29" t="s">
        <v>1669</v>
      </c>
      <c r="H1009" s="29" t="s">
        <v>1670</v>
      </c>
      <c r="I1009" s="29" t="s">
        <v>204</v>
      </c>
      <c r="J1009" s="29" t="s">
        <v>47</v>
      </c>
      <c r="K1009" s="29" t="s">
        <v>1897</v>
      </c>
      <c r="L1009" s="29" t="s">
        <v>1643</v>
      </c>
      <c r="M1009" s="29" t="s">
        <v>488</v>
      </c>
      <c r="N1009" s="29" t="s">
        <v>1675</v>
      </c>
      <c r="O1009" s="29" t="s">
        <v>141</v>
      </c>
      <c r="P1009" s="30" t="s">
        <v>1678</v>
      </c>
    </row>
    <row r="1010" s="25" customFormat="1" spans="1:16">
      <c r="A1010" s="29" t="s">
        <v>1897</v>
      </c>
      <c r="B1010" s="29" t="s">
        <v>1894</v>
      </c>
      <c r="C1010" s="29" t="s">
        <v>51</v>
      </c>
      <c r="D1010" s="29" t="s">
        <v>1498</v>
      </c>
      <c r="E1010" s="29" t="s">
        <v>47</v>
      </c>
      <c r="F1010" s="29" t="s">
        <v>47</v>
      </c>
      <c r="G1010" s="29" t="s">
        <v>1669</v>
      </c>
      <c r="H1010" s="29" t="s">
        <v>1670</v>
      </c>
      <c r="I1010" s="29" t="s">
        <v>204</v>
      </c>
      <c r="J1010" s="29" t="s">
        <v>51</v>
      </c>
      <c r="K1010" s="29" t="s">
        <v>1898</v>
      </c>
      <c r="L1010" s="29" t="s">
        <v>1646</v>
      </c>
      <c r="M1010" s="29" t="s">
        <v>488</v>
      </c>
      <c r="N1010" s="29" t="s">
        <v>1675</v>
      </c>
      <c r="O1010" s="29" t="s">
        <v>141</v>
      </c>
      <c r="P1010" s="30" t="s">
        <v>1680</v>
      </c>
    </row>
    <row r="1011" s="25" customFormat="1" spans="1:16">
      <c r="A1011" s="29" t="s">
        <v>1898</v>
      </c>
      <c r="B1011" s="29" t="s">
        <v>1894</v>
      </c>
      <c r="C1011" s="29" t="s">
        <v>51</v>
      </c>
      <c r="D1011" s="29" t="s">
        <v>1498</v>
      </c>
      <c r="E1011" s="29" t="s">
        <v>47</v>
      </c>
      <c r="F1011" s="29" t="s">
        <v>47</v>
      </c>
      <c r="G1011" s="29" t="s">
        <v>1669</v>
      </c>
      <c r="H1011" s="29" t="s">
        <v>1670</v>
      </c>
      <c r="I1011" s="29" t="s">
        <v>204</v>
      </c>
      <c r="J1011" s="29" t="s">
        <v>55</v>
      </c>
      <c r="K1011" s="29" t="s">
        <v>1899</v>
      </c>
      <c r="L1011" s="29" t="s">
        <v>1649</v>
      </c>
      <c r="M1011" s="29" t="s">
        <v>488</v>
      </c>
      <c r="N1011" s="29" t="s">
        <v>1675</v>
      </c>
      <c r="O1011" s="29" t="s">
        <v>141</v>
      </c>
      <c r="P1011" s="30" t="s">
        <v>1682</v>
      </c>
    </row>
    <row r="1012" s="25" customFormat="1" spans="1:16">
      <c r="A1012" s="29" t="s">
        <v>1899</v>
      </c>
      <c r="B1012" s="29" t="s">
        <v>1894</v>
      </c>
      <c r="C1012" s="29" t="s">
        <v>51</v>
      </c>
      <c r="D1012" s="29" t="s">
        <v>1498</v>
      </c>
      <c r="E1012" s="29" t="s">
        <v>47</v>
      </c>
      <c r="F1012" s="29" t="s">
        <v>47</v>
      </c>
      <c r="G1012" s="29" t="s">
        <v>1669</v>
      </c>
      <c r="H1012" s="29" t="s">
        <v>1670</v>
      </c>
      <c r="I1012" s="29" t="s">
        <v>204</v>
      </c>
      <c r="J1012" s="29" t="s">
        <v>59</v>
      </c>
      <c r="K1012" s="29" t="s">
        <v>1900</v>
      </c>
      <c r="L1012" s="29" t="s">
        <v>1652</v>
      </c>
      <c r="M1012" s="29" t="s">
        <v>488</v>
      </c>
      <c r="N1012" s="29" t="s">
        <v>1675</v>
      </c>
      <c r="O1012" s="29" t="s">
        <v>141</v>
      </c>
      <c r="P1012" s="30" t="s">
        <v>1684</v>
      </c>
    </row>
    <row r="1013" s="25" customFormat="1" spans="1:16">
      <c r="A1013" s="29" t="s">
        <v>1900</v>
      </c>
      <c r="B1013" s="29" t="s">
        <v>1894</v>
      </c>
      <c r="C1013" s="29" t="s">
        <v>51</v>
      </c>
      <c r="D1013" s="29" t="s">
        <v>1498</v>
      </c>
      <c r="E1013" s="29" t="s">
        <v>47</v>
      </c>
      <c r="F1013" s="29" t="s">
        <v>47</v>
      </c>
      <c r="G1013" s="29" t="s">
        <v>1669</v>
      </c>
      <c r="H1013" s="29" t="s">
        <v>1670</v>
      </c>
      <c r="I1013" s="29" t="s">
        <v>204</v>
      </c>
      <c r="J1013" s="29" t="s">
        <v>129</v>
      </c>
      <c r="K1013" s="29" t="s">
        <v>1901</v>
      </c>
      <c r="L1013" s="29" t="s">
        <v>1655</v>
      </c>
      <c r="M1013" s="29" t="s">
        <v>488</v>
      </c>
      <c r="N1013" s="29" t="s">
        <v>1675</v>
      </c>
      <c r="O1013" s="29" t="s">
        <v>141</v>
      </c>
      <c r="P1013" s="30" t="s">
        <v>1686</v>
      </c>
    </row>
    <row r="1014" s="25" customFormat="1" spans="1:16">
      <c r="A1014" s="29" t="s">
        <v>1901</v>
      </c>
      <c r="B1014" s="29" t="s">
        <v>1894</v>
      </c>
      <c r="C1014" s="29" t="s">
        <v>51</v>
      </c>
      <c r="D1014" s="29" t="s">
        <v>1498</v>
      </c>
      <c r="E1014" s="29" t="s">
        <v>47</v>
      </c>
      <c r="F1014" s="29" t="s">
        <v>47</v>
      </c>
      <c r="G1014" s="29" t="s">
        <v>1669</v>
      </c>
      <c r="H1014" s="29" t="s">
        <v>1670</v>
      </c>
      <c r="I1014" s="29" t="s">
        <v>204</v>
      </c>
      <c r="J1014" s="29" t="s">
        <v>133</v>
      </c>
      <c r="K1014" s="29" t="s">
        <v>1902</v>
      </c>
      <c r="L1014" s="29" t="s">
        <v>1658</v>
      </c>
      <c r="M1014" s="29" t="s">
        <v>488</v>
      </c>
      <c r="N1014" s="29" t="s">
        <v>1675</v>
      </c>
      <c r="O1014" s="29" t="s">
        <v>141</v>
      </c>
      <c r="P1014" s="30" t="s">
        <v>1688</v>
      </c>
    </row>
    <row r="1015" s="25" customFormat="1" spans="1:16">
      <c r="A1015" s="29" t="s">
        <v>1902</v>
      </c>
      <c r="B1015" s="29" t="s">
        <v>1894</v>
      </c>
      <c r="C1015" s="29" t="s">
        <v>51</v>
      </c>
      <c r="D1015" s="29" t="s">
        <v>1498</v>
      </c>
      <c r="E1015" s="29" t="s">
        <v>47</v>
      </c>
      <c r="F1015" s="29" t="s">
        <v>47</v>
      </c>
      <c r="G1015" s="29" t="s">
        <v>1669</v>
      </c>
      <c r="H1015" s="29" t="s">
        <v>1670</v>
      </c>
      <c r="I1015" s="29" t="s">
        <v>204</v>
      </c>
      <c r="J1015" s="29" t="s">
        <v>137</v>
      </c>
      <c r="K1015" s="29" t="s">
        <v>1903</v>
      </c>
      <c r="L1015" s="29" t="s">
        <v>1661</v>
      </c>
      <c r="M1015" s="29" t="s">
        <v>488</v>
      </c>
      <c r="N1015" s="29" t="s">
        <v>1675</v>
      </c>
      <c r="O1015" s="29" t="s">
        <v>141</v>
      </c>
      <c r="P1015" s="30" t="s">
        <v>1690</v>
      </c>
    </row>
    <row r="1016" s="25" customFormat="1" spans="1:16">
      <c r="A1016" s="29" t="s">
        <v>1903</v>
      </c>
      <c r="B1016" s="29" t="s">
        <v>1894</v>
      </c>
      <c r="C1016" s="29" t="s">
        <v>51</v>
      </c>
      <c r="D1016" s="29" t="s">
        <v>1498</v>
      </c>
      <c r="E1016" s="29" t="s">
        <v>47</v>
      </c>
      <c r="F1016" s="29" t="s">
        <v>47</v>
      </c>
      <c r="G1016" s="29" t="s">
        <v>1669</v>
      </c>
      <c r="H1016" s="29" t="s">
        <v>1670</v>
      </c>
      <c r="I1016" s="29" t="s">
        <v>204</v>
      </c>
      <c r="J1016" s="29" t="s">
        <v>141</v>
      </c>
      <c r="K1016" s="29" t="s">
        <v>1904</v>
      </c>
      <c r="L1016" s="29" t="s">
        <v>1664</v>
      </c>
      <c r="M1016" s="29" t="s">
        <v>488</v>
      </c>
      <c r="N1016" s="29" t="s">
        <v>1675</v>
      </c>
      <c r="O1016" s="29" t="s">
        <v>141</v>
      </c>
      <c r="P1016" s="30" t="s">
        <v>1692</v>
      </c>
    </row>
    <row r="1017" s="25" customFormat="1" spans="1:16">
      <c r="A1017" s="29" t="s">
        <v>1904</v>
      </c>
      <c r="B1017" s="29" t="s">
        <v>1894</v>
      </c>
      <c r="C1017" s="29" t="s">
        <v>51</v>
      </c>
      <c r="D1017" s="29" t="s">
        <v>1498</v>
      </c>
      <c r="E1017" s="29" t="s">
        <v>47</v>
      </c>
      <c r="F1017" s="29" t="s">
        <v>47</v>
      </c>
      <c r="G1017" s="29" t="s">
        <v>1669</v>
      </c>
      <c r="H1017" s="29" t="s">
        <v>1670</v>
      </c>
      <c r="I1017" s="29" t="s">
        <v>204</v>
      </c>
      <c r="J1017" s="29" t="s">
        <v>145</v>
      </c>
      <c r="K1017" s="29" t="s">
        <v>39</v>
      </c>
      <c r="L1017" s="29" t="s">
        <v>1666</v>
      </c>
      <c r="M1017" s="29" t="s">
        <v>488</v>
      </c>
      <c r="N1017" s="29" t="s">
        <v>1675</v>
      </c>
      <c r="O1017" s="29" t="s">
        <v>141</v>
      </c>
      <c r="P1017" s="30" t="s">
        <v>1693</v>
      </c>
    </row>
    <row r="1018" s="25" customFormat="1" spans="1:16">
      <c r="A1018" s="29" t="s">
        <v>1905</v>
      </c>
      <c r="B1018" s="29" t="s">
        <v>1905</v>
      </c>
      <c r="C1018" s="29" t="s">
        <v>51</v>
      </c>
      <c r="D1018" s="29" t="s">
        <v>1498</v>
      </c>
      <c r="E1018" s="29" t="s">
        <v>47</v>
      </c>
      <c r="F1018" s="29" t="s">
        <v>47</v>
      </c>
      <c r="G1018" s="29" t="s">
        <v>1695</v>
      </c>
      <c r="H1018" s="29" t="s">
        <v>1696</v>
      </c>
      <c r="I1018" s="29" t="s">
        <v>204</v>
      </c>
      <c r="J1018" s="29" t="s">
        <v>39</v>
      </c>
      <c r="K1018" s="29" t="s">
        <v>1906</v>
      </c>
      <c r="L1018" s="29" t="s">
        <v>1635</v>
      </c>
      <c r="M1018" s="29" t="s">
        <v>502</v>
      </c>
      <c r="N1018" s="29" t="s">
        <v>1698</v>
      </c>
      <c r="O1018" s="29" t="s">
        <v>145</v>
      </c>
      <c r="P1018" s="30" t="s">
        <v>1699</v>
      </c>
    </row>
    <row r="1019" s="25" customFormat="1" spans="1:16">
      <c r="A1019" s="29" t="s">
        <v>1906</v>
      </c>
      <c r="B1019" s="29" t="s">
        <v>1905</v>
      </c>
      <c r="C1019" s="29" t="s">
        <v>51</v>
      </c>
      <c r="D1019" s="29" t="s">
        <v>1498</v>
      </c>
      <c r="E1019" s="29" t="s">
        <v>47</v>
      </c>
      <c r="F1019" s="29" t="s">
        <v>47</v>
      </c>
      <c r="G1019" s="29" t="s">
        <v>1695</v>
      </c>
      <c r="H1019" s="29" t="s">
        <v>1696</v>
      </c>
      <c r="I1019" s="29" t="s">
        <v>204</v>
      </c>
      <c r="J1019" s="29" t="s">
        <v>35</v>
      </c>
      <c r="K1019" s="29" t="s">
        <v>1907</v>
      </c>
      <c r="L1019" s="29" t="s">
        <v>1639</v>
      </c>
      <c r="M1019" s="29" t="s">
        <v>502</v>
      </c>
      <c r="N1019" s="29" t="s">
        <v>1701</v>
      </c>
      <c r="O1019" s="29" t="s">
        <v>145</v>
      </c>
      <c r="P1019" s="30" t="s">
        <v>1702</v>
      </c>
    </row>
    <row r="1020" s="25" customFormat="1" spans="1:16">
      <c r="A1020" s="29" t="s">
        <v>1907</v>
      </c>
      <c r="B1020" s="29" t="s">
        <v>1905</v>
      </c>
      <c r="C1020" s="29" t="s">
        <v>51</v>
      </c>
      <c r="D1020" s="29" t="s">
        <v>1498</v>
      </c>
      <c r="E1020" s="29" t="s">
        <v>47</v>
      </c>
      <c r="F1020" s="29" t="s">
        <v>47</v>
      </c>
      <c r="G1020" s="29" t="s">
        <v>1695</v>
      </c>
      <c r="H1020" s="29" t="s">
        <v>1696</v>
      </c>
      <c r="I1020" s="29" t="s">
        <v>204</v>
      </c>
      <c r="J1020" s="29" t="s">
        <v>47</v>
      </c>
      <c r="K1020" s="29" t="s">
        <v>1908</v>
      </c>
      <c r="L1020" s="29" t="s">
        <v>1643</v>
      </c>
      <c r="M1020" s="29" t="s">
        <v>502</v>
      </c>
      <c r="N1020" s="29" t="s">
        <v>1701</v>
      </c>
      <c r="O1020" s="29" t="s">
        <v>145</v>
      </c>
      <c r="P1020" s="30" t="s">
        <v>1704</v>
      </c>
    </row>
    <row r="1021" s="25" customFormat="1" spans="1:16">
      <c r="A1021" s="29" t="s">
        <v>1908</v>
      </c>
      <c r="B1021" s="29" t="s">
        <v>1905</v>
      </c>
      <c r="C1021" s="29" t="s">
        <v>51</v>
      </c>
      <c r="D1021" s="29" t="s">
        <v>1498</v>
      </c>
      <c r="E1021" s="29" t="s">
        <v>47</v>
      </c>
      <c r="F1021" s="29" t="s">
        <v>47</v>
      </c>
      <c r="G1021" s="29" t="s">
        <v>1695</v>
      </c>
      <c r="H1021" s="29" t="s">
        <v>1696</v>
      </c>
      <c r="I1021" s="29" t="s">
        <v>204</v>
      </c>
      <c r="J1021" s="29" t="s">
        <v>51</v>
      </c>
      <c r="K1021" s="29" t="s">
        <v>1909</v>
      </c>
      <c r="L1021" s="29" t="s">
        <v>1646</v>
      </c>
      <c r="M1021" s="29" t="s">
        <v>502</v>
      </c>
      <c r="N1021" s="29" t="s">
        <v>1701</v>
      </c>
      <c r="O1021" s="29" t="s">
        <v>145</v>
      </c>
      <c r="P1021" s="30" t="s">
        <v>1706</v>
      </c>
    </row>
    <row r="1022" s="25" customFormat="1" spans="1:16">
      <c r="A1022" s="29" t="s">
        <v>1909</v>
      </c>
      <c r="B1022" s="29" t="s">
        <v>1905</v>
      </c>
      <c r="C1022" s="29" t="s">
        <v>51</v>
      </c>
      <c r="D1022" s="29" t="s">
        <v>1498</v>
      </c>
      <c r="E1022" s="29" t="s">
        <v>47</v>
      </c>
      <c r="F1022" s="29" t="s">
        <v>47</v>
      </c>
      <c r="G1022" s="29" t="s">
        <v>1695</v>
      </c>
      <c r="H1022" s="29" t="s">
        <v>1696</v>
      </c>
      <c r="I1022" s="29" t="s">
        <v>204</v>
      </c>
      <c r="J1022" s="29" t="s">
        <v>55</v>
      </c>
      <c r="K1022" s="29" t="s">
        <v>1910</v>
      </c>
      <c r="L1022" s="29" t="s">
        <v>1649</v>
      </c>
      <c r="M1022" s="29" t="s">
        <v>502</v>
      </c>
      <c r="N1022" s="29" t="s">
        <v>1701</v>
      </c>
      <c r="O1022" s="29" t="s">
        <v>145</v>
      </c>
      <c r="P1022" s="30" t="s">
        <v>1708</v>
      </c>
    </row>
    <row r="1023" s="25" customFormat="1" spans="1:16">
      <c r="A1023" s="29" t="s">
        <v>1910</v>
      </c>
      <c r="B1023" s="29" t="s">
        <v>1905</v>
      </c>
      <c r="C1023" s="29" t="s">
        <v>51</v>
      </c>
      <c r="D1023" s="29" t="s">
        <v>1498</v>
      </c>
      <c r="E1023" s="29" t="s">
        <v>47</v>
      </c>
      <c r="F1023" s="29" t="s">
        <v>47</v>
      </c>
      <c r="G1023" s="29" t="s">
        <v>1695</v>
      </c>
      <c r="H1023" s="29" t="s">
        <v>1696</v>
      </c>
      <c r="I1023" s="29" t="s">
        <v>204</v>
      </c>
      <c r="J1023" s="29" t="s">
        <v>59</v>
      </c>
      <c r="K1023" s="29" t="s">
        <v>1911</v>
      </c>
      <c r="L1023" s="29" t="s">
        <v>1652</v>
      </c>
      <c r="M1023" s="29" t="s">
        <v>502</v>
      </c>
      <c r="N1023" s="29" t="s">
        <v>1701</v>
      </c>
      <c r="O1023" s="29" t="s">
        <v>145</v>
      </c>
      <c r="P1023" s="30" t="s">
        <v>1710</v>
      </c>
    </row>
    <row r="1024" s="25" customFormat="1" spans="1:16">
      <c r="A1024" s="29" t="s">
        <v>1911</v>
      </c>
      <c r="B1024" s="29" t="s">
        <v>1905</v>
      </c>
      <c r="C1024" s="29" t="s">
        <v>51</v>
      </c>
      <c r="D1024" s="29" t="s">
        <v>1498</v>
      </c>
      <c r="E1024" s="29" t="s">
        <v>47</v>
      </c>
      <c r="F1024" s="29" t="s">
        <v>47</v>
      </c>
      <c r="G1024" s="29" t="s">
        <v>1695</v>
      </c>
      <c r="H1024" s="29" t="s">
        <v>1696</v>
      </c>
      <c r="I1024" s="29" t="s">
        <v>204</v>
      </c>
      <c r="J1024" s="29" t="s">
        <v>129</v>
      </c>
      <c r="K1024" s="29" t="s">
        <v>1912</v>
      </c>
      <c r="L1024" s="29" t="s">
        <v>1655</v>
      </c>
      <c r="M1024" s="29" t="s">
        <v>502</v>
      </c>
      <c r="N1024" s="29" t="s">
        <v>1701</v>
      </c>
      <c r="O1024" s="29" t="s">
        <v>145</v>
      </c>
      <c r="P1024" s="30" t="s">
        <v>1712</v>
      </c>
    </row>
    <row r="1025" s="25" customFormat="1" spans="1:16">
      <c r="A1025" s="29" t="s">
        <v>1912</v>
      </c>
      <c r="B1025" s="29" t="s">
        <v>1905</v>
      </c>
      <c r="C1025" s="29" t="s">
        <v>51</v>
      </c>
      <c r="D1025" s="29" t="s">
        <v>1498</v>
      </c>
      <c r="E1025" s="29" t="s">
        <v>47</v>
      </c>
      <c r="F1025" s="29" t="s">
        <v>47</v>
      </c>
      <c r="G1025" s="29" t="s">
        <v>1695</v>
      </c>
      <c r="H1025" s="29" t="s">
        <v>1696</v>
      </c>
      <c r="I1025" s="29" t="s">
        <v>204</v>
      </c>
      <c r="J1025" s="29" t="s">
        <v>133</v>
      </c>
      <c r="K1025" s="29" t="s">
        <v>1913</v>
      </c>
      <c r="L1025" s="29" t="s">
        <v>1658</v>
      </c>
      <c r="M1025" s="29" t="s">
        <v>502</v>
      </c>
      <c r="N1025" s="29" t="s">
        <v>1701</v>
      </c>
      <c r="O1025" s="29" t="s">
        <v>145</v>
      </c>
      <c r="P1025" s="30" t="s">
        <v>1714</v>
      </c>
    </row>
    <row r="1026" s="25" customFormat="1" spans="1:16">
      <c r="A1026" s="29" t="s">
        <v>1913</v>
      </c>
      <c r="B1026" s="29" t="s">
        <v>1905</v>
      </c>
      <c r="C1026" s="29" t="s">
        <v>51</v>
      </c>
      <c r="D1026" s="29" t="s">
        <v>1498</v>
      </c>
      <c r="E1026" s="29" t="s">
        <v>47</v>
      </c>
      <c r="F1026" s="29" t="s">
        <v>47</v>
      </c>
      <c r="G1026" s="29" t="s">
        <v>1695</v>
      </c>
      <c r="H1026" s="29" t="s">
        <v>1696</v>
      </c>
      <c r="I1026" s="29" t="s">
        <v>204</v>
      </c>
      <c r="J1026" s="29" t="s">
        <v>137</v>
      </c>
      <c r="K1026" s="29" t="s">
        <v>1914</v>
      </c>
      <c r="L1026" s="29" t="s">
        <v>1661</v>
      </c>
      <c r="M1026" s="29" t="s">
        <v>502</v>
      </c>
      <c r="N1026" s="29" t="s">
        <v>1701</v>
      </c>
      <c r="O1026" s="29" t="s">
        <v>145</v>
      </c>
      <c r="P1026" s="30" t="s">
        <v>1716</v>
      </c>
    </row>
    <row r="1027" s="25" customFormat="1" spans="1:16">
      <c r="A1027" s="29" t="s">
        <v>1914</v>
      </c>
      <c r="B1027" s="29" t="s">
        <v>1905</v>
      </c>
      <c r="C1027" s="29" t="s">
        <v>51</v>
      </c>
      <c r="D1027" s="29" t="s">
        <v>1498</v>
      </c>
      <c r="E1027" s="29" t="s">
        <v>47</v>
      </c>
      <c r="F1027" s="29" t="s">
        <v>47</v>
      </c>
      <c r="G1027" s="29" t="s">
        <v>1695</v>
      </c>
      <c r="H1027" s="29" t="s">
        <v>1696</v>
      </c>
      <c r="I1027" s="29" t="s">
        <v>204</v>
      </c>
      <c r="J1027" s="29" t="s">
        <v>141</v>
      </c>
      <c r="K1027" s="29" t="s">
        <v>1915</v>
      </c>
      <c r="L1027" s="29" t="s">
        <v>1664</v>
      </c>
      <c r="M1027" s="29" t="s">
        <v>502</v>
      </c>
      <c r="N1027" s="29" t="s">
        <v>1701</v>
      </c>
      <c r="O1027" s="29" t="s">
        <v>145</v>
      </c>
      <c r="P1027" s="30" t="s">
        <v>1718</v>
      </c>
    </row>
    <row r="1028" s="25" customFormat="1" spans="1:16">
      <c r="A1028" s="29" t="s">
        <v>1915</v>
      </c>
      <c r="B1028" s="29" t="s">
        <v>1905</v>
      </c>
      <c r="C1028" s="29" t="s">
        <v>51</v>
      </c>
      <c r="D1028" s="29" t="s">
        <v>1498</v>
      </c>
      <c r="E1028" s="29" t="s">
        <v>47</v>
      </c>
      <c r="F1028" s="29" t="s">
        <v>47</v>
      </c>
      <c r="G1028" s="29" t="s">
        <v>1695</v>
      </c>
      <c r="H1028" s="29" t="s">
        <v>1696</v>
      </c>
      <c r="I1028" s="29" t="s">
        <v>204</v>
      </c>
      <c r="J1028" s="29" t="s">
        <v>145</v>
      </c>
      <c r="K1028" s="29" t="s">
        <v>39</v>
      </c>
      <c r="L1028" s="29" t="s">
        <v>1666</v>
      </c>
      <c r="M1028" s="29" t="s">
        <v>502</v>
      </c>
      <c r="N1028" s="29" t="s">
        <v>1701</v>
      </c>
      <c r="O1028" s="29" t="s">
        <v>145</v>
      </c>
      <c r="P1028" s="30" t="s">
        <v>1719</v>
      </c>
    </row>
    <row r="1029" s="25" customFormat="1" spans="1:16">
      <c r="A1029" s="29" t="s">
        <v>1916</v>
      </c>
      <c r="B1029" s="29" t="s">
        <v>1916</v>
      </c>
      <c r="C1029" s="29" t="s">
        <v>51</v>
      </c>
      <c r="D1029" s="29" t="s">
        <v>1502</v>
      </c>
      <c r="E1029" s="29" t="s">
        <v>35</v>
      </c>
      <c r="F1029" s="29" t="s">
        <v>51</v>
      </c>
      <c r="G1029" s="29" t="s">
        <v>515</v>
      </c>
      <c r="H1029" s="29" t="s">
        <v>38</v>
      </c>
      <c r="I1029" s="29" t="s">
        <v>39</v>
      </c>
      <c r="J1029" s="29" t="s">
        <v>39</v>
      </c>
      <c r="K1029" s="29" t="s">
        <v>1917</v>
      </c>
      <c r="L1029" s="29" t="s">
        <v>1635</v>
      </c>
      <c r="M1029" s="29" t="s">
        <v>517</v>
      </c>
      <c r="N1029" s="29" t="s">
        <v>1496</v>
      </c>
      <c r="O1029" s="29" t="s">
        <v>35</v>
      </c>
      <c r="P1029" s="30" t="s">
        <v>1497</v>
      </c>
    </row>
    <row r="1030" s="25" customFormat="1" spans="1:16">
      <c r="A1030" s="29" t="s">
        <v>1917</v>
      </c>
      <c r="B1030" s="29" t="s">
        <v>1916</v>
      </c>
      <c r="C1030" s="29" t="s">
        <v>51</v>
      </c>
      <c r="D1030" s="29" t="s">
        <v>1502</v>
      </c>
      <c r="E1030" s="29" t="s">
        <v>35</v>
      </c>
      <c r="F1030" s="29" t="s">
        <v>51</v>
      </c>
      <c r="G1030" s="29" t="s">
        <v>515</v>
      </c>
      <c r="H1030" s="29" t="s">
        <v>38</v>
      </c>
      <c r="I1030" s="29" t="s">
        <v>39</v>
      </c>
      <c r="J1030" s="29" t="s">
        <v>35</v>
      </c>
      <c r="K1030" s="29" t="s">
        <v>1918</v>
      </c>
      <c r="L1030" s="29" t="s">
        <v>1639</v>
      </c>
      <c r="M1030" s="29" t="s">
        <v>517</v>
      </c>
      <c r="N1030" s="29" t="s">
        <v>1725</v>
      </c>
      <c r="O1030" s="29" t="s">
        <v>35</v>
      </c>
      <c r="P1030" s="30" t="s">
        <v>1726</v>
      </c>
    </row>
    <row r="1031" s="25" customFormat="1" spans="1:16">
      <c r="A1031" s="29" t="s">
        <v>1918</v>
      </c>
      <c r="B1031" s="29" t="s">
        <v>1916</v>
      </c>
      <c r="C1031" s="29" t="s">
        <v>51</v>
      </c>
      <c r="D1031" s="29" t="s">
        <v>1502</v>
      </c>
      <c r="E1031" s="29" t="s">
        <v>35</v>
      </c>
      <c r="F1031" s="29" t="s">
        <v>51</v>
      </c>
      <c r="G1031" s="29" t="s">
        <v>515</v>
      </c>
      <c r="H1031" s="29" t="s">
        <v>38</v>
      </c>
      <c r="I1031" s="29" t="s">
        <v>39</v>
      </c>
      <c r="J1031" s="29" t="s">
        <v>47</v>
      </c>
      <c r="K1031" s="29" t="s">
        <v>1919</v>
      </c>
      <c r="L1031" s="29" t="s">
        <v>1643</v>
      </c>
      <c r="M1031" s="29" t="s">
        <v>517</v>
      </c>
      <c r="N1031" s="29" t="s">
        <v>1725</v>
      </c>
      <c r="O1031" s="29" t="s">
        <v>35</v>
      </c>
      <c r="P1031" s="30" t="s">
        <v>1729</v>
      </c>
    </row>
    <row r="1032" s="25" customFormat="1" spans="1:16">
      <c r="A1032" s="29" t="s">
        <v>1919</v>
      </c>
      <c r="B1032" s="29" t="s">
        <v>1916</v>
      </c>
      <c r="C1032" s="29" t="s">
        <v>51</v>
      </c>
      <c r="D1032" s="29" t="s">
        <v>1502</v>
      </c>
      <c r="E1032" s="29" t="s">
        <v>35</v>
      </c>
      <c r="F1032" s="29" t="s">
        <v>51</v>
      </c>
      <c r="G1032" s="29" t="s">
        <v>515</v>
      </c>
      <c r="H1032" s="29" t="s">
        <v>38</v>
      </c>
      <c r="I1032" s="29" t="s">
        <v>39</v>
      </c>
      <c r="J1032" s="29" t="s">
        <v>51</v>
      </c>
      <c r="K1032" s="29" t="s">
        <v>1920</v>
      </c>
      <c r="L1032" s="29" t="s">
        <v>1646</v>
      </c>
      <c r="M1032" s="29" t="s">
        <v>517</v>
      </c>
      <c r="N1032" s="29" t="s">
        <v>1725</v>
      </c>
      <c r="O1032" s="29" t="s">
        <v>35</v>
      </c>
      <c r="P1032" s="30" t="s">
        <v>1504</v>
      </c>
    </row>
    <row r="1033" s="25" customFormat="1" spans="1:16">
      <c r="A1033" s="29" t="s">
        <v>1920</v>
      </c>
      <c r="B1033" s="29" t="s">
        <v>1916</v>
      </c>
      <c r="C1033" s="29" t="s">
        <v>51</v>
      </c>
      <c r="D1033" s="29" t="s">
        <v>1502</v>
      </c>
      <c r="E1033" s="29" t="s">
        <v>35</v>
      </c>
      <c r="F1033" s="29" t="s">
        <v>51</v>
      </c>
      <c r="G1033" s="29" t="s">
        <v>515</v>
      </c>
      <c r="H1033" s="29" t="s">
        <v>38</v>
      </c>
      <c r="I1033" s="29" t="s">
        <v>39</v>
      </c>
      <c r="J1033" s="29" t="s">
        <v>55</v>
      </c>
      <c r="K1033" s="29" t="s">
        <v>1921</v>
      </c>
      <c r="L1033" s="29" t="s">
        <v>1649</v>
      </c>
      <c r="M1033" s="29" t="s">
        <v>517</v>
      </c>
      <c r="N1033" s="29" t="s">
        <v>1725</v>
      </c>
      <c r="O1033" s="29" t="s">
        <v>35</v>
      </c>
      <c r="P1033" s="30" t="s">
        <v>1734</v>
      </c>
    </row>
    <row r="1034" s="25" customFormat="1" spans="1:16">
      <c r="A1034" s="29" t="s">
        <v>1921</v>
      </c>
      <c r="B1034" s="29" t="s">
        <v>1916</v>
      </c>
      <c r="C1034" s="29" t="s">
        <v>51</v>
      </c>
      <c r="D1034" s="29" t="s">
        <v>1502</v>
      </c>
      <c r="E1034" s="29" t="s">
        <v>35</v>
      </c>
      <c r="F1034" s="29" t="s">
        <v>51</v>
      </c>
      <c r="G1034" s="29" t="s">
        <v>515</v>
      </c>
      <c r="H1034" s="29" t="s">
        <v>38</v>
      </c>
      <c r="I1034" s="29" t="s">
        <v>39</v>
      </c>
      <c r="J1034" s="29" t="s">
        <v>59</v>
      </c>
      <c r="K1034" s="29" t="s">
        <v>1922</v>
      </c>
      <c r="L1034" s="29" t="s">
        <v>1652</v>
      </c>
      <c r="M1034" s="29" t="s">
        <v>517</v>
      </c>
      <c r="N1034" s="29" t="s">
        <v>1725</v>
      </c>
      <c r="O1034" s="29" t="s">
        <v>35</v>
      </c>
      <c r="P1034" s="30" t="s">
        <v>1737</v>
      </c>
    </row>
    <row r="1035" s="25" customFormat="1" spans="1:16">
      <c r="A1035" s="29" t="s">
        <v>1922</v>
      </c>
      <c r="B1035" s="29" t="s">
        <v>1916</v>
      </c>
      <c r="C1035" s="29" t="s">
        <v>51</v>
      </c>
      <c r="D1035" s="29" t="s">
        <v>1502</v>
      </c>
      <c r="E1035" s="29" t="s">
        <v>35</v>
      </c>
      <c r="F1035" s="29" t="s">
        <v>51</v>
      </c>
      <c r="G1035" s="29" t="s">
        <v>515</v>
      </c>
      <c r="H1035" s="29" t="s">
        <v>38</v>
      </c>
      <c r="I1035" s="29" t="s">
        <v>39</v>
      </c>
      <c r="J1035" s="29" t="s">
        <v>129</v>
      </c>
      <c r="K1035" s="29" t="s">
        <v>1923</v>
      </c>
      <c r="L1035" s="29" t="s">
        <v>1655</v>
      </c>
      <c r="M1035" s="29" t="s">
        <v>517</v>
      </c>
      <c r="N1035" s="29" t="s">
        <v>1725</v>
      </c>
      <c r="O1035" s="29" t="s">
        <v>35</v>
      </c>
      <c r="P1035" s="30" t="s">
        <v>1510</v>
      </c>
    </row>
    <row r="1036" s="25" customFormat="1" spans="1:16">
      <c r="A1036" s="29" t="s">
        <v>1923</v>
      </c>
      <c r="B1036" s="29" t="s">
        <v>1916</v>
      </c>
      <c r="C1036" s="29" t="s">
        <v>51</v>
      </c>
      <c r="D1036" s="29" t="s">
        <v>1502</v>
      </c>
      <c r="E1036" s="29" t="s">
        <v>35</v>
      </c>
      <c r="F1036" s="29" t="s">
        <v>51</v>
      </c>
      <c r="G1036" s="29" t="s">
        <v>515</v>
      </c>
      <c r="H1036" s="29" t="s">
        <v>38</v>
      </c>
      <c r="I1036" s="29" t="s">
        <v>39</v>
      </c>
      <c r="J1036" s="29" t="s">
        <v>133</v>
      </c>
      <c r="K1036" s="29" t="s">
        <v>1924</v>
      </c>
      <c r="L1036" s="29" t="s">
        <v>1658</v>
      </c>
      <c r="M1036" s="29" t="s">
        <v>517</v>
      </c>
      <c r="N1036" s="29" t="s">
        <v>1725</v>
      </c>
      <c r="O1036" s="29" t="s">
        <v>35</v>
      </c>
      <c r="P1036" s="30" t="s">
        <v>1742</v>
      </c>
    </row>
    <row r="1037" s="25" customFormat="1" spans="1:16">
      <c r="A1037" s="29" t="s">
        <v>1924</v>
      </c>
      <c r="B1037" s="29" t="s">
        <v>1916</v>
      </c>
      <c r="C1037" s="29" t="s">
        <v>51</v>
      </c>
      <c r="D1037" s="29" t="s">
        <v>1502</v>
      </c>
      <c r="E1037" s="29" t="s">
        <v>35</v>
      </c>
      <c r="F1037" s="29" t="s">
        <v>51</v>
      </c>
      <c r="G1037" s="29" t="s">
        <v>515</v>
      </c>
      <c r="H1037" s="29" t="s">
        <v>38</v>
      </c>
      <c r="I1037" s="29" t="s">
        <v>39</v>
      </c>
      <c r="J1037" s="29" t="s">
        <v>137</v>
      </c>
      <c r="K1037" s="29" t="s">
        <v>1925</v>
      </c>
      <c r="L1037" s="29" t="s">
        <v>1661</v>
      </c>
      <c r="M1037" s="29" t="s">
        <v>517</v>
      </c>
      <c r="N1037" s="29" t="s">
        <v>1725</v>
      </c>
      <c r="O1037" s="29" t="s">
        <v>35</v>
      </c>
      <c r="P1037" s="30" t="s">
        <v>1745</v>
      </c>
    </row>
    <row r="1038" s="25" customFormat="1" spans="1:16">
      <c r="A1038" s="29" t="s">
        <v>1925</v>
      </c>
      <c r="B1038" s="29" t="s">
        <v>1916</v>
      </c>
      <c r="C1038" s="29" t="s">
        <v>51</v>
      </c>
      <c r="D1038" s="29" t="s">
        <v>1502</v>
      </c>
      <c r="E1038" s="29" t="s">
        <v>35</v>
      </c>
      <c r="F1038" s="29" t="s">
        <v>51</v>
      </c>
      <c r="G1038" s="29" t="s">
        <v>515</v>
      </c>
      <c r="H1038" s="29" t="s">
        <v>38</v>
      </c>
      <c r="I1038" s="29" t="s">
        <v>39</v>
      </c>
      <c r="J1038" s="29" t="s">
        <v>141</v>
      </c>
      <c r="K1038" s="29" t="s">
        <v>1926</v>
      </c>
      <c r="L1038" s="29" t="s">
        <v>1664</v>
      </c>
      <c r="M1038" s="29" t="s">
        <v>517</v>
      </c>
      <c r="N1038" s="29" t="s">
        <v>1725</v>
      </c>
      <c r="O1038" s="29" t="s">
        <v>35</v>
      </c>
      <c r="P1038" s="30" t="s">
        <v>1748</v>
      </c>
    </row>
    <row r="1039" s="25" customFormat="1" spans="1:16">
      <c r="A1039" s="29" t="s">
        <v>1926</v>
      </c>
      <c r="B1039" s="29" t="s">
        <v>1916</v>
      </c>
      <c r="C1039" s="29" t="s">
        <v>51</v>
      </c>
      <c r="D1039" s="29" t="s">
        <v>1502</v>
      </c>
      <c r="E1039" s="29" t="s">
        <v>35</v>
      </c>
      <c r="F1039" s="29" t="s">
        <v>51</v>
      </c>
      <c r="G1039" s="29" t="s">
        <v>515</v>
      </c>
      <c r="H1039" s="29" t="s">
        <v>38</v>
      </c>
      <c r="I1039" s="29" t="s">
        <v>39</v>
      </c>
      <c r="J1039" s="29" t="s">
        <v>145</v>
      </c>
      <c r="K1039" s="29" t="s">
        <v>1927</v>
      </c>
      <c r="L1039" s="29" t="s">
        <v>1666</v>
      </c>
      <c r="M1039" s="29" t="s">
        <v>517</v>
      </c>
      <c r="N1039" s="29" t="s">
        <v>1725</v>
      </c>
      <c r="O1039" s="29" t="s">
        <v>35</v>
      </c>
      <c r="P1039" s="30" t="s">
        <v>1749</v>
      </c>
    </row>
    <row r="1040" s="25" customFormat="1" spans="1:16">
      <c r="A1040" s="29" t="s">
        <v>1927</v>
      </c>
      <c r="B1040" s="29" t="s">
        <v>1916</v>
      </c>
      <c r="C1040" s="29" t="s">
        <v>51</v>
      </c>
      <c r="D1040" s="29" t="s">
        <v>1502</v>
      </c>
      <c r="E1040" s="29" t="s">
        <v>35</v>
      </c>
      <c r="F1040" s="29" t="s">
        <v>51</v>
      </c>
      <c r="G1040" s="29" t="s">
        <v>515</v>
      </c>
      <c r="H1040" s="29" t="s">
        <v>38</v>
      </c>
      <c r="I1040" s="29" t="s">
        <v>39</v>
      </c>
      <c r="J1040" s="29" t="s">
        <v>408</v>
      </c>
      <c r="K1040" s="29" t="s">
        <v>1928</v>
      </c>
      <c r="L1040" s="29" t="s">
        <v>1929</v>
      </c>
      <c r="M1040" s="29" t="s">
        <v>517</v>
      </c>
      <c r="N1040" s="29" t="s">
        <v>1725</v>
      </c>
      <c r="O1040" s="29" t="s">
        <v>35</v>
      </c>
      <c r="P1040" s="30" t="s">
        <v>1930</v>
      </c>
    </row>
    <row r="1041" s="25" customFormat="1" spans="1:16">
      <c r="A1041" s="29" t="s">
        <v>1928</v>
      </c>
      <c r="B1041" s="29" t="s">
        <v>1916</v>
      </c>
      <c r="C1041" s="29" t="s">
        <v>51</v>
      </c>
      <c r="D1041" s="29" t="s">
        <v>1502</v>
      </c>
      <c r="E1041" s="29" t="s">
        <v>35</v>
      </c>
      <c r="F1041" s="29" t="s">
        <v>51</v>
      </c>
      <c r="G1041" s="29" t="s">
        <v>515</v>
      </c>
      <c r="H1041" s="29" t="s">
        <v>38</v>
      </c>
      <c r="I1041" s="29" t="s">
        <v>39</v>
      </c>
      <c r="J1041" s="29" t="s">
        <v>412</v>
      </c>
      <c r="K1041" s="29" t="s">
        <v>1931</v>
      </c>
      <c r="L1041" s="29" t="s">
        <v>1932</v>
      </c>
      <c r="M1041" s="29" t="s">
        <v>517</v>
      </c>
      <c r="N1041" s="29" t="s">
        <v>1725</v>
      </c>
      <c r="O1041" s="29" t="s">
        <v>35</v>
      </c>
      <c r="P1041" s="30" t="s">
        <v>1933</v>
      </c>
    </row>
    <row r="1042" s="25" customFormat="1" spans="1:16">
      <c r="A1042" s="29" t="s">
        <v>1931</v>
      </c>
      <c r="B1042" s="29" t="s">
        <v>1916</v>
      </c>
      <c r="C1042" s="29" t="s">
        <v>51</v>
      </c>
      <c r="D1042" s="29" t="s">
        <v>1502</v>
      </c>
      <c r="E1042" s="29" t="s">
        <v>35</v>
      </c>
      <c r="F1042" s="29" t="s">
        <v>51</v>
      </c>
      <c r="G1042" s="29" t="s">
        <v>515</v>
      </c>
      <c r="H1042" s="29" t="s">
        <v>38</v>
      </c>
      <c r="I1042" s="29" t="s">
        <v>39</v>
      </c>
      <c r="J1042" s="29" t="s">
        <v>416</v>
      </c>
      <c r="K1042" s="29" t="s">
        <v>1934</v>
      </c>
      <c r="L1042" s="29" t="s">
        <v>1935</v>
      </c>
      <c r="M1042" s="29" t="s">
        <v>517</v>
      </c>
      <c r="N1042" s="29" t="s">
        <v>1725</v>
      </c>
      <c r="O1042" s="29" t="s">
        <v>35</v>
      </c>
      <c r="P1042" s="30" t="s">
        <v>1936</v>
      </c>
    </row>
    <row r="1043" s="25" customFormat="1" spans="1:16">
      <c r="A1043" s="29" t="s">
        <v>1934</v>
      </c>
      <c r="B1043" s="29" t="s">
        <v>1916</v>
      </c>
      <c r="C1043" s="29" t="s">
        <v>51</v>
      </c>
      <c r="D1043" s="29" t="s">
        <v>1502</v>
      </c>
      <c r="E1043" s="29" t="s">
        <v>35</v>
      </c>
      <c r="F1043" s="29" t="s">
        <v>51</v>
      </c>
      <c r="G1043" s="29" t="s">
        <v>515</v>
      </c>
      <c r="H1043" s="29" t="s">
        <v>38</v>
      </c>
      <c r="I1043" s="29" t="s">
        <v>39</v>
      </c>
      <c r="J1043" s="29" t="s">
        <v>420</v>
      </c>
      <c r="K1043" s="29" t="s">
        <v>1937</v>
      </c>
      <c r="L1043" s="29" t="s">
        <v>1938</v>
      </c>
      <c r="M1043" s="29" t="s">
        <v>517</v>
      </c>
      <c r="N1043" s="29" t="s">
        <v>1725</v>
      </c>
      <c r="O1043" s="29" t="s">
        <v>35</v>
      </c>
      <c r="P1043" s="30" t="s">
        <v>1939</v>
      </c>
    </row>
    <row r="1044" s="25" customFormat="1" spans="1:16">
      <c r="A1044" s="29" t="s">
        <v>1937</v>
      </c>
      <c r="B1044" s="29" t="s">
        <v>1916</v>
      </c>
      <c r="C1044" s="29" t="s">
        <v>51</v>
      </c>
      <c r="D1044" s="29" t="s">
        <v>1502</v>
      </c>
      <c r="E1044" s="29" t="s">
        <v>35</v>
      </c>
      <c r="F1044" s="29" t="s">
        <v>51</v>
      </c>
      <c r="G1044" s="29" t="s">
        <v>515</v>
      </c>
      <c r="H1044" s="29" t="s">
        <v>38</v>
      </c>
      <c r="I1044" s="29" t="s">
        <v>39</v>
      </c>
      <c r="J1044" s="29" t="s">
        <v>424</v>
      </c>
      <c r="K1044" s="29" t="s">
        <v>39</v>
      </c>
      <c r="L1044" s="29" t="s">
        <v>1940</v>
      </c>
      <c r="M1044" s="29" t="s">
        <v>517</v>
      </c>
      <c r="N1044" s="29" t="s">
        <v>1725</v>
      </c>
      <c r="O1044" s="29" t="s">
        <v>35</v>
      </c>
      <c r="P1044" s="30" t="s">
        <v>1941</v>
      </c>
    </row>
    <row r="1045" s="25" customFormat="1" spans="1:16">
      <c r="A1045" s="29" t="s">
        <v>1942</v>
      </c>
      <c r="B1045" s="29" t="s">
        <v>1942</v>
      </c>
      <c r="C1045" s="29" t="s">
        <v>51</v>
      </c>
      <c r="D1045" s="29" t="s">
        <v>1502</v>
      </c>
      <c r="E1045" s="29" t="s">
        <v>35</v>
      </c>
      <c r="F1045" s="29" t="s">
        <v>51</v>
      </c>
      <c r="G1045" s="29" t="s">
        <v>543</v>
      </c>
      <c r="H1045" s="29" t="s">
        <v>63</v>
      </c>
      <c r="I1045" s="29" t="s">
        <v>39</v>
      </c>
      <c r="J1045" s="29" t="s">
        <v>39</v>
      </c>
      <c r="K1045" s="29" t="s">
        <v>1943</v>
      </c>
      <c r="L1045" s="29" t="s">
        <v>1635</v>
      </c>
      <c r="M1045" s="29" t="s">
        <v>545</v>
      </c>
      <c r="N1045" s="29" t="s">
        <v>1514</v>
      </c>
      <c r="O1045" s="29" t="s">
        <v>47</v>
      </c>
      <c r="P1045" s="30" t="s">
        <v>1515</v>
      </c>
    </row>
    <row r="1046" s="25" customFormat="1" spans="1:16">
      <c r="A1046" s="29" t="s">
        <v>1943</v>
      </c>
      <c r="B1046" s="29" t="s">
        <v>1942</v>
      </c>
      <c r="C1046" s="29" t="s">
        <v>51</v>
      </c>
      <c r="D1046" s="29" t="s">
        <v>1502</v>
      </c>
      <c r="E1046" s="29" t="s">
        <v>35</v>
      </c>
      <c r="F1046" s="29" t="s">
        <v>51</v>
      </c>
      <c r="G1046" s="29" t="s">
        <v>543</v>
      </c>
      <c r="H1046" s="29" t="s">
        <v>63</v>
      </c>
      <c r="I1046" s="29" t="s">
        <v>39</v>
      </c>
      <c r="J1046" s="29" t="s">
        <v>35</v>
      </c>
      <c r="K1046" s="29" t="s">
        <v>1944</v>
      </c>
      <c r="L1046" s="29" t="s">
        <v>1639</v>
      </c>
      <c r="M1046" s="29" t="s">
        <v>545</v>
      </c>
      <c r="N1046" s="29" t="s">
        <v>1753</v>
      </c>
      <c r="O1046" s="29" t="s">
        <v>47</v>
      </c>
      <c r="P1046" s="30" t="s">
        <v>1754</v>
      </c>
    </row>
    <row r="1047" s="25" customFormat="1" spans="1:16">
      <c r="A1047" s="29" t="s">
        <v>1944</v>
      </c>
      <c r="B1047" s="29" t="s">
        <v>1942</v>
      </c>
      <c r="C1047" s="29" t="s">
        <v>51</v>
      </c>
      <c r="D1047" s="29" t="s">
        <v>1502</v>
      </c>
      <c r="E1047" s="29" t="s">
        <v>35</v>
      </c>
      <c r="F1047" s="29" t="s">
        <v>51</v>
      </c>
      <c r="G1047" s="29" t="s">
        <v>543</v>
      </c>
      <c r="H1047" s="29" t="s">
        <v>63</v>
      </c>
      <c r="I1047" s="29" t="s">
        <v>39</v>
      </c>
      <c r="J1047" s="29" t="s">
        <v>47</v>
      </c>
      <c r="K1047" s="29" t="s">
        <v>1945</v>
      </c>
      <c r="L1047" s="29" t="s">
        <v>1643</v>
      </c>
      <c r="M1047" s="29" t="s">
        <v>545</v>
      </c>
      <c r="N1047" s="29" t="s">
        <v>1753</v>
      </c>
      <c r="O1047" s="29" t="s">
        <v>47</v>
      </c>
      <c r="P1047" s="30" t="s">
        <v>1756</v>
      </c>
    </row>
    <row r="1048" s="25" customFormat="1" spans="1:16">
      <c r="A1048" s="29" t="s">
        <v>1945</v>
      </c>
      <c r="B1048" s="29" t="s">
        <v>1942</v>
      </c>
      <c r="C1048" s="29" t="s">
        <v>51</v>
      </c>
      <c r="D1048" s="29" t="s">
        <v>1502</v>
      </c>
      <c r="E1048" s="29" t="s">
        <v>35</v>
      </c>
      <c r="F1048" s="29" t="s">
        <v>51</v>
      </c>
      <c r="G1048" s="29" t="s">
        <v>543</v>
      </c>
      <c r="H1048" s="29" t="s">
        <v>63</v>
      </c>
      <c r="I1048" s="29" t="s">
        <v>39</v>
      </c>
      <c r="J1048" s="29" t="s">
        <v>51</v>
      </c>
      <c r="K1048" s="29" t="s">
        <v>1946</v>
      </c>
      <c r="L1048" s="29" t="s">
        <v>1646</v>
      </c>
      <c r="M1048" s="29" t="s">
        <v>545</v>
      </c>
      <c r="N1048" s="29" t="s">
        <v>1753</v>
      </c>
      <c r="O1048" s="29" t="s">
        <v>47</v>
      </c>
      <c r="P1048" s="30" t="s">
        <v>1758</v>
      </c>
    </row>
    <row r="1049" s="25" customFormat="1" spans="1:16">
      <c r="A1049" s="29" t="s">
        <v>1946</v>
      </c>
      <c r="B1049" s="29" t="s">
        <v>1942</v>
      </c>
      <c r="C1049" s="29" t="s">
        <v>51</v>
      </c>
      <c r="D1049" s="29" t="s">
        <v>1502</v>
      </c>
      <c r="E1049" s="29" t="s">
        <v>35</v>
      </c>
      <c r="F1049" s="29" t="s">
        <v>51</v>
      </c>
      <c r="G1049" s="29" t="s">
        <v>543</v>
      </c>
      <c r="H1049" s="29" t="s">
        <v>63</v>
      </c>
      <c r="I1049" s="29" t="s">
        <v>39</v>
      </c>
      <c r="J1049" s="29" t="s">
        <v>55</v>
      </c>
      <c r="K1049" s="29" t="s">
        <v>1947</v>
      </c>
      <c r="L1049" s="29" t="s">
        <v>1649</v>
      </c>
      <c r="M1049" s="29" t="s">
        <v>545</v>
      </c>
      <c r="N1049" s="29" t="s">
        <v>1753</v>
      </c>
      <c r="O1049" s="29" t="s">
        <v>47</v>
      </c>
      <c r="P1049" s="30" t="s">
        <v>1760</v>
      </c>
    </row>
    <row r="1050" s="25" customFormat="1" spans="1:16">
      <c r="A1050" s="29" t="s">
        <v>1947</v>
      </c>
      <c r="B1050" s="29" t="s">
        <v>1942</v>
      </c>
      <c r="C1050" s="29" t="s">
        <v>51</v>
      </c>
      <c r="D1050" s="29" t="s">
        <v>1502</v>
      </c>
      <c r="E1050" s="29" t="s">
        <v>35</v>
      </c>
      <c r="F1050" s="29" t="s">
        <v>51</v>
      </c>
      <c r="G1050" s="29" t="s">
        <v>543</v>
      </c>
      <c r="H1050" s="29" t="s">
        <v>63</v>
      </c>
      <c r="I1050" s="29" t="s">
        <v>39</v>
      </c>
      <c r="J1050" s="29" t="s">
        <v>59</v>
      </c>
      <c r="K1050" s="29" t="s">
        <v>1948</v>
      </c>
      <c r="L1050" s="29" t="s">
        <v>1652</v>
      </c>
      <c r="M1050" s="29" t="s">
        <v>545</v>
      </c>
      <c r="N1050" s="29" t="s">
        <v>1753</v>
      </c>
      <c r="O1050" s="29" t="s">
        <v>47</v>
      </c>
      <c r="P1050" s="30" t="s">
        <v>1762</v>
      </c>
    </row>
    <row r="1051" s="25" customFormat="1" spans="1:16">
      <c r="A1051" s="29" t="s">
        <v>1948</v>
      </c>
      <c r="B1051" s="29" t="s">
        <v>1942</v>
      </c>
      <c r="C1051" s="29" t="s">
        <v>51</v>
      </c>
      <c r="D1051" s="29" t="s">
        <v>1502</v>
      </c>
      <c r="E1051" s="29" t="s">
        <v>35</v>
      </c>
      <c r="F1051" s="29" t="s">
        <v>51</v>
      </c>
      <c r="G1051" s="29" t="s">
        <v>543</v>
      </c>
      <c r="H1051" s="29" t="s">
        <v>63</v>
      </c>
      <c r="I1051" s="29" t="s">
        <v>39</v>
      </c>
      <c r="J1051" s="29" t="s">
        <v>129</v>
      </c>
      <c r="K1051" s="29" t="s">
        <v>1949</v>
      </c>
      <c r="L1051" s="29" t="s">
        <v>1655</v>
      </c>
      <c r="M1051" s="29" t="s">
        <v>545</v>
      </c>
      <c r="N1051" s="29" t="s">
        <v>1753</v>
      </c>
      <c r="O1051" s="29" t="s">
        <v>47</v>
      </c>
      <c r="P1051" s="30" t="s">
        <v>1525</v>
      </c>
    </row>
    <row r="1052" s="25" customFormat="1" spans="1:16">
      <c r="A1052" s="29" t="s">
        <v>1949</v>
      </c>
      <c r="B1052" s="29" t="s">
        <v>1942</v>
      </c>
      <c r="C1052" s="29" t="s">
        <v>51</v>
      </c>
      <c r="D1052" s="29" t="s">
        <v>1502</v>
      </c>
      <c r="E1052" s="29" t="s">
        <v>35</v>
      </c>
      <c r="F1052" s="29" t="s">
        <v>51</v>
      </c>
      <c r="G1052" s="29" t="s">
        <v>543</v>
      </c>
      <c r="H1052" s="29" t="s">
        <v>63</v>
      </c>
      <c r="I1052" s="29" t="s">
        <v>39</v>
      </c>
      <c r="J1052" s="29" t="s">
        <v>133</v>
      </c>
      <c r="K1052" s="29" t="s">
        <v>1950</v>
      </c>
      <c r="L1052" s="29" t="s">
        <v>1658</v>
      </c>
      <c r="M1052" s="29" t="s">
        <v>545</v>
      </c>
      <c r="N1052" s="29" t="s">
        <v>1753</v>
      </c>
      <c r="O1052" s="29" t="s">
        <v>47</v>
      </c>
      <c r="P1052" s="30" t="s">
        <v>1765</v>
      </c>
    </row>
    <row r="1053" s="25" customFormat="1" spans="1:16">
      <c r="A1053" s="29" t="s">
        <v>1950</v>
      </c>
      <c r="B1053" s="29" t="s">
        <v>1942</v>
      </c>
      <c r="C1053" s="29" t="s">
        <v>51</v>
      </c>
      <c r="D1053" s="29" t="s">
        <v>1502</v>
      </c>
      <c r="E1053" s="29" t="s">
        <v>35</v>
      </c>
      <c r="F1053" s="29" t="s">
        <v>51</v>
      </c>
      <c r="G1053" s="29" t="s">
        <v>543</v>
      </c>
      <c r="H1053" s="29" t="s">
        <v>63</v>
      </c>
      <c r="I1053" s="29" t="s">
        <v>39</v>
      </c>
      <c r="J1053" s="29" t="s">
        <v>137</v>
      </c>
      <c r="K1053" s="29" t="s">
        <v>1951</v>
      </c>
      <c r="L1053" s="29" t="s">
        <v>1661</v>
      </c>
      <c r="M1053" s="29" t="s">
        <v>545</v>
      </c>
      <c r="N1053" s="29" t="s">
        <v>1753</v>
      </c>
      <c r="O1053" s="29" t="s">
        <v>47</v>
      </c>
      <c r="P1053" s="30" t="s">
        <v>1767</v>
      </c>
    </row>
    <row r="1054" s="25" customFormat="1" spans="1:16">
      <c r="A1054" s="29" t="s">
        <v>1951</v>
      </c>
      <c r="B1054" s="29" t="s">
        <v>1942</v>
      </c>
      <c r="C1054" s="29" t="s">
        <v>51</v>
      </c>
      <c r="D1054" s="29" t="s">
        <v>1502</v>
      </c>
      <c r="E1054" s="29" t="s">
        <v>35</v>
      </c>
      <c r="F1054" s="29" t="s">
        <v>51</v>
      </c>
      <c r="G1054" s="29" t="s">
        <v>543</v>
      </c>
      <c r="H1054" s="29" t="s">
        <v>63</v>
      </c>
      <c r="I1054" s="29" t="s">
        <v>39</v>
      </c>
      <c r="J1054" s="29" t="s">
        <v>141</v>
      </c>
      <c r="K1054" s="29" t="s">
        <v>1952</v>
      </c>
      <c r="L1054" s="29" t="s">
        <v>1664</v>
      </c>
      <c r="M1054" s="29" t="s">
        <v>545</v>
      </c>
      <c r="N1054" s="29" t="s">
        <v>1753</v>
      </c>
      <c r="O1054" s="29" t="s">
        <v>47</v>
      </c>
      <c r="P1054" s="30" t="s">
        <v>1769</v>
      </c>
    </row>
    <row r="1055" s="25" customFormat="1" spans="1:16">
      <c r="A1055" s="29" t="s">
        <v>1952</v>
      </c>
      <c r="B1055" s="29" t="s">
        <v>1942</v>
      </c>
      <c r="C1055" s="29" t="s">
        <v>51</v>
      </c>
      <c r="D1055" s="29" t="s">
        <v>1502</v>
      </c>
      <c r="E1055" s="29" t="s">
        <v>35</v>
      </c>
      <c r="F1055" s="29" t="s">
        <v>51</v>
      </c>
      <c r="G1055" s="29" t="s">
        <v>543</v>
      </c>
      <c r="H1055" s="29" t="s">
        <v>63</v>
      </c>
      <c r="I1055" s="29" t="s">
        <v>39</v>
      </c>
      <c r="J1055" s="29" t="s">
        <v>145</v>
      </c>
      <c r="K1055" s="29" t="s">
        <v>1953</v>
      </c>
      <c r="L1055" s="29" t="s">
        <v>1666</v>
      </c>
      <c r="M1055" s="29" t="s">
        <v>545</v>
      </c>
      <c r="N1055" s="29" t="s">
        <v>1753</v>
      </c>
      <c r="O1055" s="29" t="s">
        <v>47</v>
      </c>
      <c r="P1055" s="30" t="s">
        <v>1770</v>
      </c>
    </row>
    <row r="1056" s="25" customFormat="1" spans="1:16">
      <c r="A1056" s="29" t="s">
        <v>1953</v>
      </c>
      <c r="B1056" s="29" t="s">
        <v>1942</v>
      </c>
      <c r="C1056" s="29" t="s">
        <v>51</v>
      </c>
      <c r="D1056" s="29" t="s">
        <v>1502</v>
      </c>
      <c r="E1056" s="29" t="s">
        <v>35</v>
      </c>
      <c r="F1056" s="29" t="s">
        <v>51</v>
      </c>
      <c r="G1056" s="29" t="s">
        <v>543</v>
      </c>
      <c r="H1056" s="29" t="s">
        <v>63</v>
      </c>
      <c r="I1056" s="29" t="s">
        <v>39</v>
      </c>
      <c r="J1056" s="29" t="s">
        <v>408</v>
      </c>
      <c r="K1056" s="29" t="s">
        <v>1954</v>
      </c>
      <c r="L1056" s="29" t="s">
        <v>1929</v>
      </c>
      <c r="M1056" s="29" t="s">
        <v>545</v>
      </c>
      <c r="N1056" s="29" t="s">
        <v>1753</v>
      </c>
      <c r="O1056" s="29" t="s">
        <v>47</v>
      </c>
      <c r="P1056" s="30" t="s">
        <v>1955</v>
      </c>
    </row>
    <row r="1057" s="25" customFormat="1" spans="1:16">
      <c r="A1057" s="29" t="s">
        <v>1954</v>
      </c>
      <c r="B1057" s="29" t="s">
        <v>1942</v>
      </c>
      <c r="C1057" s="29" t="s">
        <v>51</v>
      </c>
      <c r="D1057" s="29" t="s">
        <v>1502</v>
      </c>
      <c r="E1057" s="29" t="s">
        <v>35</v>
      </c>
      <c r="F1057" s="29" t="s">
        <v>51</v>
      </c>
      <c r="G1057" s="29" t="s">
        <v>543</v>
      </c>
      <c r="H1057" s="29" t="s">
        <v>63</v>
      </c>
      <c r="I1057" s="29" t="s">
        <v>39</v>
      </c>
      <c r="J1057" s="29" t="s">
        <v>412</v>
      </c>
      <c r="K1057" s="29" t="s">
        <v>1956</v>
      </c>
      <c r="L1057" s="29" t="s">
        <v>1932</v>
      </c>
      <c r="M1057" s="29" t="s">
        <v>545</v>
      </c>
      <c r="N1057" s="29" t="s">
        <v>1753</v>
      </c>
      <c r="O1057" s="29" t="s">
        <v>47</v>
      </c>
      <c r="P1057" s="30" t="s">
        <v>1957</v>
      </c>
    </row>
    <row r="1058" s="25" customFormat="1" spans="1:16">
      <c r="A1058" s="29" t="s">
        <v>1956</v>
      </c>
      <c r="B1058" s="29" t="s">
        <v>1942</v>
      </c>
      <c r="C1058" s="29" t="s">
        <v>51</v>
      </c>
      <c r="D1058" s="29" t="s">
        <v>1502</v>
      </c>
      <c r="E1058" s="29" t="s">
        <v>35</v>
      </c>
      <c r="F1058" s="29" t="s">
        <v>51</v>
      </c>
      <c r="G1058" s="29" t="s">
        <v>543</v>
      </c>
      <c r="H1058" s="29" t="s">
        <v>63</v>
      </c>
      <c r="I1058" s="29" t="s">
        <v>39</v>
      </c>
      <c r="J1058" s="29" t="s">
        <v>416</v>
      </c>
      <c r="K1058" s="29" t="s">
        <v>1958</v>
      </c>
      <c r="L1058" s="29" t="s">
        <v>1959</v>
      </c>
      <c r="M1058" s="29" t="s">
        <v>545</v>
      </c>
      <c r="N1058" s="29" t="s">
        <v>1753</v>
      </c>
      <c r="O1058" s="29" t="s">
        <v>47</v>
      </c>
      <c r="P1058" s="30" t="s">
        <v>1960</v>
      </c>
    </row>
    <row r="1059" s="25" customFormat="1" spans="1:16">
      <c r="A1059" s="29" t="s">
        <v>1958</v>
      </c>
      <c r="B1059" s="29" t="s">
        <v>1942</v>
      </c>
      <c r="C1059" s="29" t="s">
        <v>51</v>
      </c>
      <c r="D1059" s="29" t="s">
        <v>1502</v>
      </c>
      <c r="E1059" s="29" t="s">
        <v>35</v>
      </c>
      <c r="F1059" s="29" t="s">
        <v>51</v>
      </c>
      <c r="G1059" s="29" t="s">
        <v>543</v>
      </c>
      <c r="H1059" s="29" t="s">
        <v>63</v>
      </c>
      <c r="I1059" s="29" t="s">
        <v>39</v>
      </c>
      <c r="J1059" s="29" t="s">
        <v>420</v>
      </c>
      <c r="K1059" s="29" t="s">
        <v>1961</v>
      </c>
      <c r="L1059" s="29" t="s">
        <v>1962</v>
      </c>
      <c r="M1059" s="29" t="s">
        <v>545</v>
      </c>
      <c r="N1059" s="29" t="s">
        <v>1753</v>
      </c>
      <c r="O1059" s="29" t="s">
        <v>47</v>
      </c>
      <c r="P1059" s="30" t="s">
        <v>1963</v>
      </c>
    </row>
    <row r="1060" s="25" customFormat="1" spans="1:16">
      <c r="A1060" s="29" t="s">
        <v>1961</v>
      </c>
      <c r="B1060" s="29" t="s">
        <v>1942</v>
      </c>
      <c r="C1060" s="29" t="s">
        <v>51</v>
      </c>
      <c r="D1060" s="29" t="s">
        <v>1502</v>
      </c>
      <c r="E1060" s="29" t="s">
        <v>35</v>
      </c>
      <c r="F1060" s="29" t="s">
        <v>51</v>
      </c>
      <c r="G1060" s="29" t="s">
        <v>543</v>
      </c>
      <c r="H1060" s="29" t="s">
        <v>63</v>
      </c>
      <c r="I1060" s="29" t="s">
        <v>39</v>
      </c>
      <c r="J1060" s="29" t="s">
        <v>424</v>
      </c>
      <c r="K1060" s="29" t="s">
        <v>39</v>
      </c>
      <c r="L1060" s="29" t="s">
        <v>39</v>
      </c>
      <c r="M1060" s="29" t="s">
        <v>39</v>
      </c>
      <c r="N1060" s="29" t="s">
        <v>1753</v>
      </c>
      <c r="O1060" s="29" t="s">
        <v>47</v>
      </c>
      <c r="P1060" s="30" t="s">
        <v>1964</v>
      </c>
    </row>
    <row r="1061" s="25" customFormat="1" spans="1:16">
      <c r="A1061" s="29" t="s">
        <v>1965</v>
      </c>
      <c r="B1061" s="29" t="s">
        <v>1965</v>
      </c>
      <c r="C1061" s="29" t="s">
        <v>51</v>
      </c>
      <c r="D1061" s="29" t="s">
        <v>1502</v>
      </c>
      <c r="E1061" s="29" t="s">
        <v>35</v>
      </c>
      <c r="F1061" s="29" t="s">
        <v>51</v>
      </c>
      <c r="G1061" s="29" t="s">
        <v>568</v>
      </c>
      <c r="H1061" s="29" t="s">
        <v>80</v>
      </c>
      <c r="I1061" s="29" t="s">
        <v>39</v>
      </c>
      <c r="J1061" s="29" t="s">
        <v>39</v>
      </c>
      <c r="K1061" s="29" t="s">
        <v>1966</v>
      </c>
      <c r="L1061" s="29" t="s">
        <v>1635</v>
      </c>
      <c r="M1061" s="29" t="s">
        <v>545</v>
      </c>
      <c r="N1061" s="29" t="s">
        <v>1528</v>
      </c>
      <c r="O1061" s="29" t="s">
        <v>51</v>
      </c>
      <c r="P1061" s="30" t="s">
        <v>1529</v>
      </c>
    </row>
    <row r="1062" s="25" customFormat="1" spans="1:16">
      <c r="A1062" s="29" t="s">
        <v>1966</v>
      </c>
      <c r="B1062" s="29" t="s">
        <v>1965</v>
      </c>
      <c r="C1062" s="29" t="s">
        <v>51</v>
      </c>
      <c r="D1062" s="29" t="s">
        <v>1502</v>
      </c>
      <c r="E1062" s="29" t="s">
        <v>35</v>
      </c>
      <c r="F1062" s="29" t="s">
        <v>51</v>
      </c>
      <c r="G1062" s="29" t="s">
        <v>568</v>
      </c>
      <c r="H1062" s="29" t="s">
        <v>80</v>
      </c>
      <c r="I1062" s="29" t="s">
        <v>39</v>
      </c>
      <c r="J1062" s="29" t="s">
        <v>35</v>
      </c>
      <c r="K1062" s="29" t="s">
        <v>1967</v>
      </c>
      <c r="L1062" s="29" t="s">
        <v>1639</v>
      </c>
      <c r="M1062" s="29" t="s">
        <v>545</v>
      </c>
      <c r="N1062" s="29" t="s">
        <v>1774</v>
      </c>
      <c r="O1062" s="29" t="s">
        <v>51</v>
      </c>
      <c r="P1062" s="30" t="s">
        <v>1775</v>
      </c>
    </row>
    <row r="1063" s="25" customFormat="1" spans="1:16">
      <c r="A1063" s="29" t="s">
        <v>1967</v>
      </c>
      <c r="B1063" s="29" t="s">
        <v>1965</v>
      </c>
      <c r="C1063" s="29" t="s">
        <v>51</v>
      </c>
      <c r="D1063" s="29" t="s">
        <v>1502</v>
      </c>
      <c r="E1063" s="29" t="s">
        <v>35</v>
      </c>
      <c r="F1063" s="29" t="s">
        <v>51</v>
      </c>
      <c r="G1063" s="29" t="s">
        <v>568</v>
      </c>
      <c r="H1063" s="29" t="s">
        <v>80</v>
      </c>
      <c r="I1063" s="29" t="s">
        <v>39</v>
      </c>
      <c r="J1063" s="29" t="s">
        <v>47</v>
      </c>
      <c r="K1063" s="29" t="s">
        <v>1968</v>
      </c>
      <c r="L1063" s="29" t="s">
        <v>1643</v>
      </c>
      <c r="M1063" s="29" t="s">
        <v>545</v>
      </c>
      <c r="N1063" s="29" t="s">
        <v>1774</v>
      </c>
      <c r="O1063" s="29" t="s">
        <v>51</v>
      </c>
      <c r="P1063" s="30" t="s">
        <v>1777</v>
      </c>
    </row>
    <row r="1064" s="25" customFormat="1" spans="1:16">
      <c r="A1064" s="29" t="s">
        <v>1968</v>
      </c>
      <c r="B1064" s="29" t="s">
        <v>1965</v>
      </c>
      <c r="C1064" s="29" t="s">
        <v>51</v>
      </c>
      <c r="D1064" s="29" t="s">
        <v>1502</v>
      </c>
      <c r="E1064" s="29" t="s">
        <v>35</v>
      </c>
      <c r="F1064" s="29" t="s">
        <v>51</v>
      </c>
      <c r="G1064" s="29" t="s">
        <v>568</v>
      </c>
      <c r="H1064" s="29" t="s">
        <v>80</v>
      </c>
      <c r="I1064" s="29" t="s">
        <v>39</v>
      </c>
      <c r="J1064" s="29" t="s">
        <v>51</v>
      </c>
      <c r="K1064" s="29" t="s">
        <v>1969</v>
      </c>
      <c r="L1064" s="29" t="s">
        <v>1646</v>
      </c>
      <c r="M1064" s="29" t="s">
        <v>545</v>
      </c>
      <c r="N1064" s="29" t="s">
        <v>1774</v>
      </c>
      <c r="O1064" s="29" t="s">
        <v>51</v>
      </c>
      <c r="P1064" s="30" t="s">
        <v>1779</v>
      </c>
    </row>
    <row r="1065" s="25" customFormat="1" spans="1:16">
      <c r="A1065" s="29" t="s">
        <v>1969</v>
      </c>
      <c r="B1065" s="29" t="s">
        <v>1965</v>
      </c>
      <c r="C1065" s="29" t="s">
        <v>51</v>
      </c>
      <c r="D1065" s="29" t="s">
        <v>1502</v>
      </c>
      <c r="E1065" s="29" t="s">
        <v>35</v>
      </c>
      <c r="F1065" s="29" t="s">
        <v>51</v>
      </c>
      <c r="G1065" s="29" t="s">
        <v>568</v>
      </c>
      <c r="H1065" s="29" t="s">
        <v>80</v>
      </c>
      <c r="I1065" s="29" t="s">
        <v>39</v>
      </c>
      <c r="J1065" s="29" t="s">
        <v>55</v>
      </c>
      <c r="K1065" s="29" t="s">
        <v>1970</v>
      </c>
      <c r="L1065" s="29" t="s">
        <v>1649</v>
      </c>
      <c r="M1065" s="29" t="s">
        <v>545</v>
      </c>
      <c r="N1065" s="29" t="s">
        <v>1774</v>
      </c>
      <c r="O1065" s="29" t="s">
        <v>51</v>
      </c>
      <c r="P1065" s="30" t="s">
        <v>1781</v>
      </c>
    </row>
    <row r="1066" s="25" customFormat="1" spans="1:16">
      <c r="A1066" s="29" t="s">
        <v>1970</v>
      </c>
      <c r="B1066" s="29" t="s">
        <v>1965</v>
      </c>
      <c r="C1066" s="29" t="s">
        <v>51</v>
      </c>
      <c r="D1066" s="29" t="s">
        <v>1502</v>
      </c>
      <c r="E1066" s="29" t="s">
        <v>35</v>
      </c>
      <c r="F1066" s="29" t="s">
        <v>51</v>
      </c>
      <c r="G1066" s="29" t="s">
        <v>568</v>
      </c>
      <c r="H1066" s="29" t="s">
        <v>80</v>
      </c>
      <c r="I1066" s="29" t="s">
        <v>39</v>
      </c>
      <c r="J1066" s="29" t="s">
        <v>59</v>
      </c>
      <c r="K1066" s="29" t="s">
        <v>1971</v>
      </c>
      <c r="L1066" s="29" t="s">
        <v>1652</v>
      </c>
      <c r="M1066" s="29" t="s">
        <v>545</v>
      </c>
      <c r="N1066" s="29" t="s">
        <v>1774</v>
      </c>
      <c r="O1066" s="29" t="s">
        <v>51</v>
      </c>
      <c r="P1066" s="30" t="s">
        <v>1538</v>
      </c>
    </row>
    <row r="1067" s="25" customFormat="1" spans="1:16">
      <c r="A1067" s="29" t="s">
        <v>1971</v>
      </c>
      <c r="B1067" s="29" t="s">
        <v>1965</v>
      </c>
      <c r="C1067" s="29" t="s">
        <v>51</v>
      </c>
      <c r="D1067" s="29" t="s">
        <v>1502</v>
      </c>
      <c r="E1067" s="29" t="s">
        <v>35</v>
      </c>
      <c r="F1067" s="29" t="s">
        <v>51</v>
      </c>
      <c r="G1067" s="29" t="s">
        <v>568</v>
      </c>
      <c r="H1067" s="29" t="s">
        <v>80</v>
      </c>
      <c r="I1067" s="29" t="s">
        <v>39</v>
      </c>
      <c r="J1067" s="29" t="s">
        <v>129</v>
      </c>
      <c r="K1067" s="29" t="s">
        <v>1972</v>
      </c>
      <c r="L1067" s="29" t="s">
        <v>1655</v>
      </c>
      <c r="M1067" s="29" t="s">
        <v>545</v>
      </c>
      <c r="N1067" s="29" t="s">
        <v>1774</v>
      </c>
      <c r="O1067" s="29" t="s">
        <v>51</v>
      </c>
      <c r="P1067" s="30" t="s">
        <v>1784</v>
      </c>
    </row>
    <row r="1068" s="25" customFormat="1" spans="1:16">
      <c r="A1068" s="29" t="s">
        <v>1972</v>
      </c>
      <c r="B1068" s="29" t="s">
        <v>1965</v>
      </c>
      <c r="C1068" s="29" t="s">
        <v>51</v>
      </c>
      <c r="D1068" s="29" t="s">
        <v>1502</v>
      </c>
      <c r="E1068" s="29" t="s">
        <v>35</v>
      </c>
      <c r="F1068" s="29" t="s">
        <v>51</v>
      </c>
      <c r="G1068" s="29" t="s">
        <v>568</v>
      </c>
      <c r="H1068" s="29" t="s">
        <v>80</v>
      </c>
      <c r="I1068" s="29" t="s">
        <v>39</v>
      </c>
      <c r="J1068" s="29" t="s">
        <v>133</v>
      </c>
      <c r="K1068" s="29" t="s">
        <v>1973</v>
      </c>
      <c r="L1068" s="29" t="s">
        <v>1658</v>
      </c>
      <c r="M1068" s="29" t="s">
        <v>545</v>
      </c>
      <c r="N1068" s="29" t="s">
        <v>1774</v>
      </c>
      <c r="O1068" s="29" t="s">
        <v>51</v>
      </c>
      <c r="P1068" s="30" t="s">
        <v>1786</v>
      </c>
    </row>
    <row r="1069" s="25" customFormat="1" spans="1:16">
      <c r="A1069" s="29" t="s">
        <v>1973</v>
      </c>
      <c r="B1069" s="29" t="s">
        <v>1965</v>
      </c>
      <c r="C1069" s="29" t="s">
        <v>51</v>
      </c>
      <c r="D1069" s="29" t="s">
        <v>1502</v>
      </c>
      <c r="E1069" s="29" t="s">
        <v>35</v>
      </c>
      <c r="F1069" s="29" t="s">
        <v>51</v>
      </c>
      <c r="G1069" s="29" t="s">
        <v>568</v>
      </c>
      <c r="H1069" s="29" t="s">
        <v>80</v>
      </c>
      <c r="I1069" s="29" t="s">
        <v>39</v>
      </c>
      <c r="J1069" s="29" t="s">
        <v>137</v>
      </c>
      <c r="K1069" s="29" t="s">
        <v>1974</v>
      </c>
      <c r="L1069" s="29" t="s">
        <v>1661</v>
      </c>
      <c r="M1069" s="29" t="s">
        <v>545</v>
      </c>
      <c r="N1069" s="29" t="s">
        <v>1774</v>
      </c>
      <c r="O1069" s="29" t="s">
        <v>51</v>
      </c>
      <c r="P1069" s="30" t="s">
        <v>1788</v>
      </c>
    </row>
    <row r="1070" s="25" customFormat="1" spans="1:16">
      <c r="A1070" s="29" t="s">
        <v>1974</v>
      </c>
      <c r="B1070" s="29" t="s">
        <v>1965</v>
      </c>
      <c r="C1070" s="29" t="s">
        <v>51</v>
      </c>
      <c r="D1070" s="29" t="s">
        <v>1502</v>
      </c>
      <c r="E1070" s="29" t="s">
        <v>35</v>
      </c>
      <c r="F1070" s="29" t="s">
        <v>51</v>
      </c>
      <c r="G1070" s="29" t="s">
        <v>568</v>
      </c>
      <c r="H1070" s="29" t="s">
        <v>80</v>
      </c>
      <c r="I1070" s="29" t="s">
        <v>39</v>
      </c>
      <c r="J1070" s="29" t="s">
        <v>141</v>
      </c>
      <c r="K1070" s="29" t="s">
        <v>1975</v>
      </c>
      <c r="L1070" s="29" t="s">
        <v>1664</v>
      </c>
      <c r="M1070" s="29" t="s">
        <v>545</v>
      </c>
      <c r="N1070" s="29" t="s">
        <v>1774</v>
      </c>
      <c r="O1070" s="29" t="s">
        <v>51</v>
      </c>
      <c r="P1070" s="30" t="s">
        <v>1790</v>
      </c>
    </row>
    <row r="1071" s="25" customFormat="1" spans="1:16">
      <c r="A1071" s="29" t="s">
        <v>1975</v>
      </c>
      <c r="B1071" s="29" t="s">
        <v>1965</v>
      </c>
      <c r="C1071" s="29" t="s">
        <v>51</v>
      </c>
      <c r="D1071" s="29" t="s">
        <v>1502</v>
      </c>
      <c r="E1071" s="29" t="s">
        <v>35</v>
      </c>
      <c r="F1071" s="29" t="s">
        <v>51</v>
      </c>
      <c r="G1071" s="29" t="s">
        <v>568</v>
      </c>
      <c r="H1071" s="29" t="s">
        <v>80</v>
      </c>
      <c r="I1071" s="29" t="s">
        <v>39</v>
      </c>
      <c r="J1071" s="29" t="s">
        <v>145</v>
      </c>
      <c r="K1071" s="29" t="s">
        <v>1976</v>
      </c>
      <c r="L1071" s="29" t="s">
        <v>1666</v>
      </c>
      <c r="M1071" s="29" t="s">
        <v>545</v>
      </c>
      <c r="N1071" s="29" t="s">
        <v>1774</v>
      </c>
      <c r="O1071" s="29" t="s">
        <v>51</v>
      </c>
      <c r="P1071" s="30" t="s">
        <v>1791</v>
      </c>
    </row>
    <row r="1072" s="25" customFormat="1" spans="1:16">
      <c r="A1072" s="29" t="s">
        <v>1976</v>
      </c>
      <c r="B1072" s="29" t="s">
        <v>1965</v>
      </c>
      <c r="C1072" s="29" t="s">
        <v>51</v>
      </c>
      <c r="D1072" s="29" t="s">
        <v>1502</v>
      </c>
      <c r="E1072" s="29" t="s">
        <v>35</v>
      </c>
      <c r="F1072" s="29" t="s">
        <v>51</v>
      </c>
      <c r="G1072" s="29" t="s">
        <v>568</v>
      </c>
      <c r="H1072" s="29" t="s">
        <v>80</v>
      </c>
      <c r="I1072" s="29" t="s">
        <v>39</v>
      </c>
      <c r="J1072" s="29" t="s">
        <v>408</v>
      </c>
      <c r="K1072" s="29" t="s">
        <v>1977</v>
      </c>
      <c r="L1072" s="29" t="s">
        <v>1929</v>
      </c>
      <c r="M1072" s="29" t="s">
        <v>545</v>
      </c>
      <c r="N1072" s="29" t="s">
        <v>1774</v>
      </c>
      <c r="O1072" s="29" t="s">
        <v>51</v>
      </c>
      <c r="P1072" s="30" t="s">
        <v>1978</v>
      </c>
    </row>
    <row r="1073" s="25" customFormat="1" spans="1:16">
      <c r="A1073" s="29" t="s">
        <v>1977</v>
      </c>
      <c r="B1073" s="29" t="s">
        <v>1965</v>
      </c>
      <c r="C1073" s="29" t="s">
        <v>51</v>
      </c>
      <c r="D1073" s="29" t="s">
        <v>1502</v>
      </c>
      <c r="E1073" s="29" t="s">
        <v>35</v>
      </c>
      <c r="F1073" s="29" t="s">
        <v>51</v>
      </c>
      <c r="G1073" s="29" t="s">
        <v>568</v>
      </c>
      <c r="H1073" s="29" t="s">
        <v>80</v>
      </c>
      <c r="I1073" s="29" t="s">
        <v>39</v>
      </c>
      <c r="J1073" s="29" t="s">
        <v>412</v>
      </c>
      <c r="K1073" s="29" t="s">
        <v>1979</v>
      </c>
      <c r="L1073" s="29" t="s">
        <v>1932</v>
      </c>
      <c r="M1073" s="29" t="s">
        <v>545</v>
      </c>
      <c r="N1073" s="29" t="s">
        <v>1774</v>
      </c>
      <c r="O1073" s="29" t="s">
        <v>51</v>
      </c>
      <c r="P1073" s="30" t="s">
        <v>1980</v>
      </c>
    </row>
    <row r="1074" s="25" customFormat="1" spans="1:16">
      <c r="A1074" s="29" t="s">
        <v>1979</v>
      </c>
      <c r="B1074" s="29" t="s">
        <v>1965</v>
      </c>
      <c r="C1074" s="29" t="s">
        <v>51</v>
      </c>
      <c r="D1074" s="29" t="s">
        <v>1502</v>
      </c>
      <c r="E1074" s="29" t="s">
        <v>35</v>
      </c>
      <c r="F1074" s="29" t="s">
        <v>51</v>
      </c>
      <c r="G1074" s="29" t="s">
        <v>568</v>
      </c>
      <c r="H1074" s="29" t="s">
        <v>80</v>
      </c>
      <c r="I1074" s="29" t="s">
        <v>39</v>
      </c>
      <c r="J1074" s="29" t="s">
        <v>416</v>
      </c>
      <c r="K1074" s="29" t="s">
        <v>1981</v>
      </c>
      <c r="L1074" s="29" t="s">
        <v>1959</v>
      </c>
      <c r="M1074" s="29" t="s">
        <v>545</v>
      </c>
      <c r="N1074" s="29" t="s">
        <v>1774</v>
      </c>
      <c r="O1074" s="29" t="s">
        <v>51</v>
      </c>
      <c r="P1074" s="30" t="s">
        <v>1982</v>
      </c>
    </row>
    <row r="1075" s="25" customFormat="1" spans="1:16">
      <c r="A1075" s="29" t="s">
        <v>1981</v>
      </c>
      <c r="B1075" s="29" t="s">
        <v>1965</v>
      </c>
      <c r="C1075" s="29" t="s">
        <v>51</v>
      </c>
      <c r="D1075" s="29" t="s">
        <v>1502</v>
      </c>
      <c r="E1075" s="29" t="s">
        <v>35</v>
      </c>
      <c r="F1075" s="29" t="s">
        <v>51</v>
      </c>
      <c r="G1075" s="29" t="s">
        <v>568</v>
      </c>
      <c r="H1075" s="29" t="s">
        <v>80</v>
      </c>
      <c r="I1075" s="29" t="s">
        <v>39</v>
      </c>
      <c r="J1075" s="29" t="s">
        <v>420</v>
      </c>
      <c r="K1075" s="29" t="s">
        <v>1983</v>
      </c>
      <c r="L1075" s="29" t="s">
        <v>1962</v>
      </c>
      <c r="M1075" s="29" t="s">
        <v>545</v>
      </c>
      <c r="N1075" s="29" t="s">
        <v>1774</v>
      </c>
      <c r="O1075" s="29" t="s">
        <v>51</v>
      </c>
      <c r="P1075" s="30" t="s">
        <v>1984</v>
      </c>
    </row>
    <row r="1076" s="25" customFormat="1" spans="1:16">
      <c r="A1076" s="29" t="s">
        <v>1983</v>
      </c>
      <c r="B1076" s="29" t="s">
        <v>1965</v>
      </c>
      <c r="C1076" s="29" t="s">
        <v>51</v>
      </c>
      <c r="D1076" s="29" t="s">
        <v>1502</v>
      </c>
      <c r="E1076" s="29" t="s">
        <v>35</v>
      </c>
      <c r="F1076" s="29" t="s">
        <v>51</v>
      </c>
      <c r="G1076" s="29" t="s">
        <v>568</v>
      </c>
      <c r="H1076" s="29" t="s">
        <v>80</v>
      </c>
      <c r="I1076" s="29" t="s">
        <v>39</v>
      </c>
      <c r="J1076" s="29" t="s">
        <v>424</v>
      </c>
      <c r="K1076" s="29" t="s">
        <v>39</v>
      </c>
      <c r="L1076" s="29" t="s">
        <v>39</v>
      </c>
      <c r="M1076" s="29" t="s">
        <v>39</v>
      </c>
      <c r="N1076" s="29" t="s">
        <v>1774</v>
      </c>
      <c r="O1076" s="29" t="s">
        <v>51</v>
      </c>
      <c r="P1076" s="30" t="s">
        <v>1985</v>
      </c>
    </row>
    <row r="1077" s="25" customFormat="1" spans="1:16">
      <c r="A1077" s="29" t="s">
        <v>1986</v>
      </c>
      <c r="B1077" s="29" t="s">
        <v>1986</v>
      </c>
      <c r="C1077" s="29" t="s">
        <v>51</v>
      </c>
      <c r="D1077" s="29" t="s">
        <v>1502</v>
      </c>
      <c r="E1077" s="29" t="s">
        <v>35</v>
      </c>
      <c r="F1077" s="29" t="s">
        <v>51</v>
      </c>
      <c r="G1077" s="29" t="s">
        <v>590</v>
      </c>
      <c r="H1077" s="29" t="s">
        <v>96</v>
      </c>
      <c r="I1077" s="29" t="s">
        <v>39</v>
      </c>
      <c r="J1077" s="29" t="s">
        <v>39</v>
      </c>
      <c r="K1077" s="29" t="s">
        <v>1987</v>
      </c>
      <c r="L1077" s="29" t="s">
        <v>1635</v>
      </c>
      <c r="M1077" s="29" t="s">
        <v>545</v>
      </c>
      <c r="N1077" s="29" t="s">
        <v>1542</v>
      </c>
      <c r="O1077" s="29" t="s">
        <v>55</v>
      </c>
      <c r="P1077" s="30" t="s">
        <v>1543</v>
      </c>
    </row>
    <row r="1078" s="25" customFormat="1" spans="1:16">
      <c r="A1078" s="29" t="s">
        <v>1987</v>
      </c>
      <c r="B1078" s="29" t="s">
        <v>1986</v>
      </c>
      <c r="C1078" s="29" t="s">
        <v>51</v>
      </c>
      <c r="D1078" s="29" t="s">
        <v>1502</v>
      </c>
      <c r="E1078" s="29" t="s">
        <v>35</v>
      </c>
      <c r="F1078" s="29" t="s">
        <v>51</v>
      </c>
      <c r="G1078" s="29" t="s">
        <v>590</v>
      </c>
      <c r="H1078" s="29" t="s">
        <v>96</v>
      </c>
      <c r="I1078" s="29" t="s">
        <v>39</v>
      </c>
      <c r="J1078" s="29" t="s">
        <v>35</v>
      </c>
      <c r="K1078" s="29" t="s">
        <v>1988</v>
      </c>
      <c r="L1078" s="29" t="s">
        <v>1639</v>
      </c>
      <c r="M1078" s="29" t="s">
        <v>545</v>
      </c>
      <c r="N1078" s="29" t="s">
        <v>1795</v>
      </c>
      <c r="O1078" s="29" t="s">
        <v>55</v>
      </c>
      <c r="P1078" s="30" t="s">
        <v>1796</v>
      </c>
    </row>
    <row r="1079" s="25" customFormat="1" spans="1:16">
      <c r="A1079" s="29" t="s">
        <v>1988</v>
      </c>
      <c r="B1079" s="29" t="s">
        <v>1986</v>
      </c>
      <c r="C1079" s="29" t="s">
        <v>51</v>
      </c>
      <c r="D1079" s="29" t="s">
        <v>1502</v>
      </c>
      <c r="E1079" s="29" t="s">
        <v>35</v>
      </c>
      <c r="F1079" s="29" t="s">
        <v>51</v>
      </c>
      <c r="G1079" s="29" t="s">
        <v>590</v>
      </c>
      <c r="H1079" s="29" t="s">
        <v>96</v>
      </c>
      <c r="I1079" s="29" t="s">
        <v>39</v>
      </c>
      <c r="J1079" s="29" t="s">
        <v>47</v>
      </c>
      <c r="K1079" s="29" t="s">
        <v>1989</v>
      </c>
      <c r="L1079" s="29" t="s">
        <v>1643</v>
      </c>
      <c r="M1079" s="29" t="s">
        <v>545</v>
      </c>
      <c r="N1079" s="29" t="s">
        <v>1795</v>
      </c>
      <c r="O1079" s="29" t="s">
        <v>55</v>
      </c>
      <c r="P1079" s="30" t="s">
        <v>1798</v>
      </c>
    </row>
    <row r="1080" s="25" customFormat="1" spans="1:16">
      <c r="A1080" s="29" t="s">
        <v>1989</v>
      </c>
      <c r="B1080" s="29" t="s">
        <v>1986</v>
      </c>
      <c r="C1080" s="29" t="s">
        <v>51</v>
      </c>
      <c r="D1080" s="29" t="s">
        <v>1502</v>
      </c>
      <c r="E1080" s="29" t="s">
        <v>35</v>
      </c>
      <c r="F1080" s="29" t="s">
        <v>51</v>
      </c>
      <c r="G1080" s="29" t="s">
        <v>590</v>
      </c>
      <c r="H1080" s="29" t="s">
        <v>96</v>
      </c>
      <c r="I1080" s="29" t="s">
        <v>39</v>
      </c>
      <c r="J1080" s="29" t="s">
        <v>51</v>
      </c>
      <c r="K1080" s="29" t="s">
        <v>1990</v>
      </c>
      <c r="L1080" s="29" t="s">
        <v>1646</v>
      </c>
      <c r="M1080" s="29" t="s">
        <v>545</v>
      </c>
      <c r="N1080" s="29" t="s">
        <v>1795</v>
      </c>
      <c r="O1080" s="29" t="s">
        <v>55</v>
      </c>
      <c r="P1080" s="30" t="s">
        <v>1800</v>
      </c>
    </row>
    <row r="1081" s="25" customFormat="1" spans="1:16">
      <c r="A1081" s="29" t="s">
        <v>1990</v>
      </c>
      <c r="B1081" s="29" t="s">
        <v>1986</v>
      </c>
      <c r="C1081" s="29" t="s">
        <v>51</v>
      </c>
      <c r="D1081" s="29" t="s">
        <v>1502</v>
      </c>
      <c r="E1081" s="29" t="s">
        <v>35</v>
      </c>
      <c r="F1081" s="29" t="s">
        <v>51</v>
      </c>
      <c r="G1081" s="29" t="s">
        <v>590</v>
      </c>
      <c r="H1081" s="29" t="s">
        <v>96</v>
      </c>
      <c r="I1081" s="29" t="s">
        <v>39</v>
      </c>
      <c r="J1081" s="29" t="s">
        <v>55</v>
      </c>
      <c r="K1081" s="29" t="s">
        <v>1991</v>
      </c>
      <c r="L1081" s="29" t="s">
        <v>1649</v>
      </c>
      <c r="M1081" s="29" t="s">
        <v>545</v>
      </c>
      <c r="N1081" s="29" t="s">
        <v>1795</v>
      </c>
      <c r="O1081" s="29" t="s">
        <v>55</v>
      </c>
      <c r="P1081" s="30" t="s">
        <v>1802</v>
      </c>
    </row>
    <row r="1082" s="25" customFormat="1" spans="1:16">
      <c r="A1082" s="29" t="s">
        <v>1991</v>
      </c>
      <c r="B1082" s="29" t="s">
        <v>1986</v>
      </c>
      <c r="C1082" s="29" t="s">
        <v>51</v>
      </c>
      <c r="D1082" s="29" t="s">
        <v>1502</v>
      </c>
      <c r="E1082" s="29" t="s">
        <v>35</v>
      </c>
      <c r="F1082" s="29" t="s">
        <v>51</v>
      </c>
      <c r="G1082" s="29" t="s">
        <v>590</v>
      </c>
      <c r="H1082" s="29" t="s">
        <v>96</v>
      </c>
      <c r="I1082" s="29" t="s">
        <v>39</v>
      </c>
      <c r="J1082" s="29" t="s">
        <v>59</v>
      </c>
      <c r="K1082" s="29" t="s">
        <v>1992</v>
      </c>
      <c r="L1082" s="29" t="s">
        <v>1652</v>
      </c>
      <c r="M1082" s="29" t="s">
        <v>545</v>
      </c>
      <c r="N1082" s="29" t="s">
        <v>1795</v>
      </c>
      <c r="O1082" s="29" t="s">
        <v>55</v>
      </c>
      <c r="P1082" s="30" t="s">
        <v>1804</v>
      </c>
    </row>
    <row r="1083" s="25" customFormat="1" spans="1:16">
      <c r="A1083" s="29" t="s">
        <v>1992</v>
      </c>
      <c r="B1083" s="29" t="s">
        <v>1986</v>
      </c>
      <c r="C1083" s="29" t="s">
        <v>51</v>
      </c>
      <c r="D1083" s="29" t="s">
        <v>1502</v>
      </c>
      <c r="E1083" s="29" t="s">
        <v>35</v>
      </c>
      <c r="F1083" s="29" t="s">
        <v>51</v>
      </c>
      <c r="G1083" s="29" t="s">
        <v>590</v>
      </c>
      <c r="H1083" s="29" t="s">
        <v>96</v>
      </c>
      <c r="I1083" s="29" t="s">
        <v>39</v>
      </c>
      <c r="J1083" s="29" t="s">
        <v>129</v>
      </c>
      <c r="K1083" s="29" t="s">
        <v>1993</v>
      </c>
      <c r="L1083" s="29" t="s">
        <v>1655</v>
      </c>
      <c r="M1083" s="29" t="s">
        <v>545</v>
      </c>
      <c r="N1083" s="29" t="s">
        <v>1795</v>
      </c>
      <c r="O1083" s="29" t="s">
        <v>55</v>
      </c>
      <c r="P1083" s="30" t="s">
        <v>1553</v>
      </c>
    </row>
    <row r="1084" s="25" customFormat="1" spans="1:16">
      <c r="A1084" s="29" t="s">
        <v>1993</v>
      </c>
      <c r="B1084" s="29" t="s">
        <v>1986</v>
      </c>
      <c r="C1084" s="29" t="s">
        <v>51</v>
      </c>
      <c r="D1084" s="29" t="s">
        <v>1502</v>
      </c>
      <c r="E1084" s="29" t="s">
        <v>35</v>
      </c>
      <c r="F1084" s="29" t="s">
        <v>51</v>
      </c>
      <c r="G1084" s="29" t="s">
        <v>590</v>
      </c>
      <c r="H1084" s="29" t="s">
        <v>96</v>
      </c>
      <c r="I1084" s="29" t="s">
        <v>39</v>
      </c>
      <c r="J1084" s="29" t="s">
        <v>133</v>
      </c>
      <c r="K1084" s="29" t="s">
        <v>1994</v>
      </c>
      <c r="L1084" s="29" t="s">
        <v>1658</v>
      </c>
      <c r="M1084" s="29" t="s">
        <v>545</v>
      </c>
      <c r="N1084" s="29" t="s">
        <v>1795</v>
      </c>
      <c r="O1084" s="29" t="s">
        <v>55</v>
      </c>
      <c r="P1084" s="30" t="s">
        <v>1807</v>
      </c>
    </row>
    <row r="1085" s="25" customFormat="1" spans="1:16">
      <c r="A1085" s="29" t="s">
        <v>1994</v>
      </c>
      <c r="B1085" s="29" t="s">
        <v>1986</v>
      </c>
      <c r="C1085" s="29" t="s">
        <v>51</v>
      </c>
      <c r="D1085" s="29" t="s">
        <v>1502</v>
      </c>
      <c r="E1085" s="29" t="s">
        <v>35</v>
      </c>
      <c r="F1085" s="29" t="s">
        <v>51</v>
      </c>
      <c r="G1085" s="29" t="s">
        <v>590</v>
      </c>
      <c r="H1085" s="29" t="s">
        <v>96</v>
      </c>
      <c r="I1085" s="29" t="s">
        <v>39</v>
      </c>
      <c r="J1085" s="29" t="s">
        <v>137</v>
      </c>
      <c r="K1085" s="29" t="s">
        <v>1995</v>
      </c>
      <c r="L1085" s="29" t="s">
        <v>1661</v>
      </c>
      <c r="M1085" s="29" t="s">
        <v>545</v>
      </c>
      <c r="N1085" s="29" t="s">
        <v>1795</v>
      </c>
      <c r="O1085" s="29" t="s">
        <v>55</v>
      </c>
      <c r="P1085" s="30" t="s">
        <v>1809</v>
      </c>
    </row>
    <row r="1086" s="25" customFormat="1" spans="1:16">
      <c r="A1086" s="29" t="s">
        <v>1995</v>
      </c>
      <c r="B1086" s="29" t="s">
        <v>1986</v>
      </c>
      <c r="C1086" s="29" t="s">
        <v>51</v>
      </c>
      <c r="D1086" s="29" t="s">
        <v>1502</v>
      </c>
      <c r="E1086" s="29" t="s">
        <v>35</v>
      </c>
      <c r="F1086" s="29" t="s">
        <v>51</v>
      </c>
      <c r="G1086" s="29" t="s">
        <v>590</v>
      </c>
      <c r="H1086" s="29" t="s">
        <v>96</v>
      </c>
      <c r="I1086" s="29" t="s">
        <v>39</v>
      </c>
      <c r="J1086" s="29" t="s">
        <v>141</v>
      </c>
      <c r="K1086" s="29" t="s">
        <v>1996</v>
      </c>
      <c r="L1086" s="29" t="s">
        <v>1664</v>
      </c>
      <c r="M1086" s="29" t="s">
        <v>545</v>
      </c>
      <c r="N1086" s="29" t="s">
        <v>1795</v>
      </c>
      <c r="O1086" s="29" t="s">
        <v>55</v>
      </c>
      <c r="P1086" s="30" t="s">
        <v>1811</v>
      </c>
    </row>
    <row r="1087" s="25" customFormat="1" spans="1:16">
      <c r="A1087" s="29" t="s">
        <v>1996</v>
      </c>
      <c r="B1087" s="29" t="s">
        <v>1986</v>
      </c>
      <c r="C1087" s="29" t="s">
        <v>51</v>
      </c>
      <c r="D1087" s="29" t="s">
        <v>1502</v>
      </c>
      <c r="E1087" s="29" t="s">
        <v>35</v>
      </c>
      <c r="F1087" s="29" t="s">
        <v>51</v>
      </c>
      <c r="G1087" s="29" t="s">
        <v>590</v>
      </c>
      <c r="H1087" s="29" t="s">
        <v>96</v>
      </c>
      <c r="I1087" s="29" t="s">
        <v>39</v>
      </c>
      <c r="J1087" s="29" t="s">
        <v>145</v>
      </c>
      <c r="K1087" s="29" t="s">
        <v>1997</v>
      </c>
      <c r="L1087" s="29" t="s">
        <v>1666</v>
      </c>
      <c r="M1087" s="29" t="s">
        <v>545</v>
      </c>
      <c r="N1087" s="29" t="s">
        <v>1795</v>
      </c>
      <c r="O1087" s="29" t="s">
        <v>55</v>
      </c>
      <c r="P1087" s="30" t="s">
        <v>1812</v>
      </c>
    </row>
    <row r="1088" s="25" customFormat="1" spans="1:16">
      <c r="A1088" s="29" t="s">
        <v>1997</v>
      </c>
      <c r="B1088" s="29" t="s">
        <v>1986</v>
      </c>
      <c r="C1088" s="29" t="s">
        <v>51</v>
      </c>
      <c r="D1088" s="29" t="s">
        <v>1502</v>
      </c>
      <c r="E1088" s="29" t="s">
        <v>35</v>
      </c>
      <c r="F1088" s="29" t="s">
        <v>51</v>
      </c>
      <c r="G1088" s="29" t="s">
        <v>590</v>
      </c>
      <c r="H1088" s="29" t="s">
        <v>96</v>
      </c>
      <c r="I1088" s="29" t="s">
        <v>39</v>
      </c>
      <c r="J1088" s="29" t="s">
        <v>408</v>
      </c>
      <c r="K1088" s="29" t="s">
        <v>1998</v>
      </c>
      <c r="L1088" s="29" t="s">
        <v>1929</v>
      </c>
      <c r="M1088" s="29" t="s">
        <v>545</v>
      </c>
      <c r="N1088" s="29" t="s">
        <v>1795</v>
      </c>
      <c r="O1088" s="29" t="s">
        <v>55</v>
      </c>
      <c r="P1088" s="30" t="s">
        <v>1999</v>
      </c>
    </row>
    <row r="1089" s="25" customFormat="1" spans="1:16">
      <c r="A1089" s="29" t="s">
        <v>1998</v>
      </c>
      <c r="B1089" s="29" t="s">
        <v>1986</v>
      </c>
      <c r="C1089" s="29" t="s">
        <v>51</v>
      </c>
      <c r="D1089" s="29" t="s">
        <v>1502</v>
      </c>
      <c r="E1089" s="29" t="s">
        <v>35</v>
      </c>
      <c r="F1089" s="29" t="s">
        <v>51</v>
      </c>
      <c r="G1089" s="29" t="s">
        <v>590</v>
      </c>
      <c r="H1089" s="29" t="s">
        <v>96</v>
      </c>
      <c r="I1089" s="29" t="s">
        <v>39</v>
      </c>
      <c r="J1089" s="29" t="s">
        <v>412</v>
      </c>
      <c r="K1089" s="29" t="s">
        <v>2000</v>
      </c>
      <c r="L1089" s="29" t="s">
        <v>1932</v>
      </c>
      <c r="M1089" s="29" t="s">
        <v>545</v>
      </c>
      <c r="N1089" s="29" t="s">
        <v>1795</v>
      </c>
      <c r="O1089" s="29" t="s">
        <v>55</v>
      </c>
      <c r="P1089" s="30" t="s">
        <v>2001</v>
      </c>
    </row>
    <row r="1090" s="25" customFormat="1" spans="1:16">
      <c r="A1090" s="29" t="s">
        <v>2000</v>
      </c>
      <c r="B1090" s="29" t="s">
        <v>1986</v>
      </c>
      <c r="C1090" s="29" t="s">
        <v>51</v>
      </c>
      <c r="D1090" s="29" t="s">
        <v>1502</v>
      </c>
      <c r="E1090" s="29" t="s">
        <v>35</v>
      </c>
      <c r="F1090" s="29" t="s">
        <v>51</v>
      </c>
      <c r="G1090" s="29" t="s">
        <v>590</v>
      </c>
      <c r="H1090" s="29" t="s">
        <v>96</v>
      </c>
      <c r="I1090" s="29" t="s">
        <v>39</v>
      </c>
      <c r="J1090" s="29" t="s">
        <v>416</v>
      </c>
      <c r="K1090" s="29" t="s">
        <v>2002</v>
      </c>
      <c r="L1090" s="29" t="s">
        <v>1959</v>
      </c>
      <c r="M1090" s="29" t="s">
        <v>545</v>
      </c>
      <c r="N1090" s="29" t="s">
        <v>1795</v>
      </c>
      <c r="O1090" s="29" t="s">
        <v>55</v>
      </c>
      <c r="P1090" s="30" t="s">
        <v>2003</v>
      </c>
    </row>
    <row r="1091" s="25" customFormat="1" spans="1:16">
      <c r="A1091" s="29" t="s">
        <v>2002</v>
      </c>
      <c r="B1091" s="29" t="s">
        <v>1986</v>
      </c>
      <c r="C1091" s="29" t="s">
        <v>51</v>
      </c>
      <c r="D1091" s="29" t="s">
        <v>1502</v>
      </c>
      <c r="E1091" s="29" t="s">
        <v>35</v>
      </c>
      <c r="F1091" s="29" t="s">
        <v>51</v>
      </c>
      <c r="G1091" s="29" t="s">
        <v>590</v>
      </c>
      <c r="H1091" s="29" t="s">
        <v>96</v>
      </c>
      <c r="I1091" s="29" t="s">
        <v>39</v>
      </c>
      <c r="J1091" s="29" t="s">
        <v>420</v>
      </c>
      <c r="K1091" s="29" t="s">
        <v>2004</v>
      </c>
      <c r="L1091" s="29" t="s">
        <v>1962</v>
      </c>
      <c r="M1091" s="29" t="s">
        <v>545</v>
      </c>
      <c r="N1091" s="29" t="s">
        <v>1795</v>
      </c>
      <c r="O1091" s="29" t="s">
        <v>55</v>
      </c>
      <c r="P1091" s="30" t="s">
        <v>2005</v>
      </c>
    </row>
    <row r="1092" s="25" customFormat="1" spans="1:16">
      <c r="A1092" s="29" t="s">
        <v>2004</v>
      </c>
      <c r="B1092" s="29" t="s">
        <v>1986</v>
      </c>
      <c r="C1092" s="29" t="s">
        <v>51</v>
      </c>
      <c r="D1092" s="29" t="s">
        <v>1502</v>
      </c>
      <c r="E1092" s="29" t="s">
        <v>35</v>
      </c>
      <c r="F1092" s="29" t="s">
        <v>51</v>
      </c>
      <c r="G1092" s="29" t="s">
        <v>590</v>
      </c>
      <c r="H1092" s="29" t="s">
        <v>96</v>
      </c>
      <c r="I1092" s="29" t="s">
        <v>39</v>
      </c>
      <c r="J1092" s="29" t="s">
        <v>424</v>
      </c>
      <c r="K1092" s="29" t="s">
        <v>39</v>
      </c>
      <c r="L1092" s="29" t="s">
        <v>39</v>
      </c>
      <c r="M1092" s="29" t="s">
        <v>39</v>
      </c>
      <c r="N1092" s="29" t="s">
        <v>1795</v>
      </c>
      <c r="O1092" s="29" t="s">
        <v>55</v>
      </c>
      <c r="P1092" s="30" t="s">
        <v>2006</v>
      </c>
    </row>
    <row r="1093" s="25" customFormat="1" spans="1:16">
      <c r="A1093" s="29" t="s">
        <v>2007</v>
      </c>
      <c r="B1093" s="29" t="s">
        <v>2007</v>
      </c>
      <c r="C1093" s="29" t="s">
        <v>51</v>
      </c>
      <c r="D1093" s="29" t="s">
        <v>1502</v>
      </c>
      <c r="E1093" s="29" t="s">
        <v>35</v>
      </c>
      <c r="F1093" s="29" t="s">
        <v>51</v>
      </c>
      <c r="G1093" s="29" t="s">
        <v>612</v>
      </c>
      <c r="H1093" s="29" t="s">
        <v>112</v>
      </c>
      <c r="I1093" s="29" t="s">
        <v>39</v>
      </c>
      <c r="J1093" s="29" t="s">
        <v>39</v>
      </c>
      <c r="K1093" s="29" t="s">
        <v>2008</v>
      </c>
      <c r="L1093" s="29" t="s">
        <v>1635</v>
      </c>
      <c r="M1093" s="29" t="s">
        <v>614</v>
      </c>
      <c r="N1093" s="29" t="s">
        <v>1556</v>
      </c>
      <c r="O1093" s="29" t="s">
        <v>59</v>
      </c>
      <c r="P1093" s="30" t="s">
        <v>1557</v>
      </c>
    </row>
    <row r="1094" s="25" customFormat="1" spans="1:16">
      <c r="A1094" s="29" t="s">
        <v>2008</v>
      </c>
      <c r="B1094" s="29" t="s">
        <v>2007</v>
      </c>
      <c r="C1094" s="29" t="s">
        <v>51</v>
      </c>
      <c r="D1094" s="29" t="s">
        <v>1502</v>
      </c>
      <c r="E1094" s="29" t="s">
        <v>35</v>
      </c>
      <c r="F1094" s="29" t="s">
        <v>51</v>
      </c>
      <c r="G1094" s="29" t="s">
        <v>612</v>
      </c>
      <c r="H1094" s="29" t="s">
        <v>112</v>
      </c>
      <c r="I1094" s="29" t="s">
        <v>39</v>
      </c>
      <c r="J1094" s="29" t="s">
        <v>35</v>
      </c>
      <c r="K1094" s="29" t="s">
        <v>2009</v>
      </c>
      <c r="L1094" s="29" t="s">
        <v>1639</v>
      </c>
      <c r="M1094" s="29" t="s">
        <v>614</v>
      </c>
      <c r="N1094" s="29" t="s">
        <v>1559</v>
      </c>
      <c r="O1094" s="29" t="s">
        <v>59</v>
      </c>
      <c r="P1094" s="30" t="s">
        <v>1560</v>
      </c>
    </row>
    <row r="1095" s="25" customFormat="1" spans="1:16">
      <c r="A1095" s="29" t="s">
        <v>2009</v>
      </c>
      <c r="B1095" s="29" t="s">
        <v>2007</v>
      </c>
      <c r="C1095" s="29" t="s">
        <v>51</v>
      </c>
      <c r="D1095" s="29" t="s">
        <v>1502</v>
      </c>
      <c r="E1095" s="29" t="s">
        <v>35</v>
      </c>
      <c r="F1095" s="29" t="s">
        <v>51</v>
      </c>
      <c r="G1095" s="29" t="s">
        <v>612</v>
      </c>
      <c r="H1095" s="29" t="s">
        <v>112</v>
      </c>
      <c r="I1095" s="29" t="s">
        <v>39</v>
      </c>
      <c r="J1095" s="29" t="s">
        <v>47</v>
      </c>
      <c r="K1095" s="29" t="s">
        <v>2010</v>
      </c>
      <c r="L1095" s="29" t="s">
        <v>1643</v>
      </c>
      <c r="M1095" s="29" t="s">
        <v>614</v>
      </c>
      <c r="N1095" s="29" t="s">
        <v>1559</v>
      </c>
      <c r="O1095" s="29" t="s">
        <v>59</v>
      </c>
      <c r="P1095" s="30" t="s">
        <v>1562</v>
      </c>
    </row>
    <row r="1096" s="25" customFormat="1" spans="1:16">
      <c r="A1096" s="29" t="s">
        <v>2010</v>
      </c>
      <c r="B1096" s="29" t="s">
        <v>2007</v>
      </c>
      <c r="C1096" s="29" t="s">
        <v>51</v>
      </c>
      <c r="D1096" s="29" t="s">
        <v>1502</v>
      </c>
      <c r="E1096" s="29" t="s">
        <v>35</v>
      </c>
      <c r="F1096" s="29" t="s">
        <v>51</v>
      </c>
      <c r="G1096" s="29" t="s">
        <v>612</v>
      </c>
      <c r="H1096" s="29" t="s">
        <v>112</v>
      </c>
      <c r="I1096" s="29" t="s">
        <v>39</v>
      </c>
      <c r="J1096" s="29" t="s">
        <v>51</v>
      </c>
      <c r="K1096" s="29" t="s">
        <v>2011</v>
      </c>
      <c r="L1096" s="29" t="s">
        <v>1646</v>
      </c>
      <c r="M1096" s="29" t="s">
        <v>614</v>
      </c>
      <c r="N1096" s="29" t="s">
        <v>1559</v>
      </c>
      <c r="O1096" s="29" t="s">
        <v>59</v>
      </c>
      <c r="P1096" s="30" t="s">
        <v>1564</v>
      </c>
    </row>
    <row r="1097" s="25" customFormat="1" spans="1:16">
      <c r="A1097" s="29" t="s">
        <v>2011</v>
      </c>
      <c r="B1097" s="29" t="s">
        <v>2007</v>
      </c>
      <c r="C1097" s="29" t="s">
        <v>51</v>
      </c>
      <c r="D1097" s="29" t="s">
        <v>1502</v>
      </c>
      <c r="E1097" s="29" t="s">
        <v>35</v>
      </c>
      <c r="F1097" s="29" t="s">
        <v>51</v>
      </c>
      <c r="G1097" s="29" t="s">
        <v>612</v>
      </c>
      <c r="H1097" s="29" t="s">
        <v>112</v>
      </c>
      <c r="I1097" s="29" t="s">
        <v>39</v>
      </c>
      <c r="J1097" s="29" t="s">
        <v>55</v>
      </c>
      <c r="K1097" s="29" t="s">
        <v>2012</v>
      </c>
      <c r="L1097" s="29" t="s">
        <v>1649</v>
      </c>
      <c r="M1097" s="29" t="s">
        <v>614</v>
      </c>
      <c r="N1097" s="29" t="s">
        <v>1559</v>
      </c>
      <c r="O1097" s="29" t="s">
        <v>59</v>
      </c>
      <c r="P1097" s="30" t="s">
        <v>1566</v>
      </c>
    </row>
    <row r="1098" s="25" customFormat="1" spans="1:16">
      <c r="A1098" s="29" t="s">
        <v>2012</v>
      </c>
      <c r="B1098" s="29" t="s">
        <v>2007</v>
      </c>
      <c r="C1098" s="29" t="s">
        <v>51</v>
      </c>
      <c r="D1098" s="29" t="s">
        <v>1502</v>
      </c>
      <c r="E1098" s="29" t="s">
        <v>35</v>
      </c>
      <c r="F1098" s="29" t="s">
        <v>51</v>
      </c>
      <c r="G1098" s="29" t="s">
        <v>612</v>
      </c>
      <c r="H1098" s="29" t="s">
        <v>112</v>
      </c>
      <c r="I1098" s="29" t="s">
        <v>39</v>
      </c>
      <c r="J1098" s="29" t="s">
        <v>59</v>
      </c>
      <c r="K1098" s="29" t="s">
        <v>2013</v>
      </c>
      <c r="L1098" s="29" t="s">
        <v>1652</v>
      </c>
      <c r="M1098" s="29" t="s">
        <v>614</v>
      </c>
      <c r="N1098" s="29" t="s">
        <v>1559</v>
      </c>
      <c r="O1098" s="29" t="s">
        <v>59</v>
      </c>
      <c r="P1098" s="30" t="s">
        <v>1569</v>
      </c>
    </row>
    <row r="1099" s="25" customFormat="1" spans="1:16">
      <c r="A1099" s="29" t="s">
        <v>2013</v>
      </c>
      <c r="B1099" s="29" t="s">
        <v>2007</v>
      </c>
      <c r="C1099" s="29" t="s">
        <v>51</v>
      </c>
      <c r="D1099" s="29" t="s">
        <v>1502</v>
      </c>
      <c r="E1099" s="29" t="s">
        <v>35</v>
      </c>
      <c r="F1099" s="29" t="s">
        <v>51</v>
      </c>
      <c r="G1099" s="29" t="s">
        <v>612</v>
      </c>
      <c r="H1099" s="29" t="s">
        <v>112</v>
      </c>
      <c r="I1099" s="29" t="s">
        <v>39</v>
      </c>
      <c r="J1099" s="29" t="s">
        <v>129</v>
      </c>
      <c r="K1099" s="29" t="s">
        <v>2014</v>
      </c>
      <c r="L1099" s="29" t="s">
        <v>1655</v>
      </c>
      <c r="M1099" s="29" t="s">
        <v>614</v>
      </c>
      <c r="N1099" s="29" t="s">
        <v>1559</v>
      </c>
      <c r="O1099" s="29" t="s">
        <v>59</v>
      </c>
      <c r="P1099" s="30" t="s">
        <v>1572</v>
      </c>
    </row>
    <row r="1100" s="25" customFormat="1" spans="1:16">
      <c r="A1100" s="29" t="s">
        <v>2014</v>
      </c>
      <c r="B1100" s="29" t="s">
        <v>2007</v>
      </c>
      <c r="C1100" s="29" t="s">
        <v>51</v>
      </c>
      <c r="D1100" s="29" t="s">
        <v>1502</v>
      </c>
      <c r="E1100" s="29" t="s">
        <v>35</v>
      </c>
      <c r="F1100" s="29" t="s">
        <v>51</v>
      </c>
      <c r="G1100" s="29" t="s">
        <v>612</v>
      </c>
      <c r="H1100" s="29" t="s">
        <v>112</v>
      </c>
      <c r="I1100" s="29" t="s">
        <v>39</v>
      </c>
      <c r="J1100" s="29" t="s">
        <v>133</v>
      </c>
      <c r="K1100" s="29" t="s">
        <v>2015</v>
      </c>
      <c r="L1100" s="29" t="s">
        <v>1658</v>
      </c>
      <c r="M1100" s="29" t="s">
        <v>614</v>
      </c>
      <c r="N1100" s="29" t="s">
        <v>1559</v>
      </c>
      <c r="O1100" s="29" t="s">
        <v>59</v>
      </c>
      <c r="P1100" s="30" t="s">
        <v>1575</v>
      </c>
    </row>
    <row r="1101" s="25" customFormat="1" spans="1:16">
      <c r="A1101" s="29" t="s">
        <v>2015</v>
      </c>
      <c r="B1101" s="29" t="s">
        <v>2007</v>
      </c>
      <c r="C1101" s="29" t="s">
        <v>51</v>
      </c>
      <c r="D1101" s="29" t="s">
        <v>1502</v>
      </c>
      <c r="E1101" s="29" t="s">
        <v>35</v>
      </c>
      <c r="F1101" s="29" t="s">
        <v>51</v>
      </c>
      <c r="G1101" s="29" t="s">
        <v>612</v>
      </c>
      <c r="H1101" s="29" t="s">
        <v>112</v>
      </c>
      <c r="I1101" s="29" t="s">
        <v>39</v>
      </c>
      <c r="J1101" s="29" t="s">
        <v>137</v>
      </c>
      <c r="K1101" s="29" t="s">
        <v>2016</v>
      </c>
      <c r="L1101" s="29" t="s">
        <v>1661</v>
      </c>
      <c r="M1101" s="29" t="s">
        <v>614</v>
      </c>
      <c r="N1101" s="29" t="s">
        <v>1559</v>
      </c>
      <c r="O1101" s="29" t="s">
        <v>59</v>
      </c>
      <c r="P1101" s="30" t="s">
        <v>1578</v>
      </c>
    </row>
    <row r="1102" s="25" customFormat="1" spans="1:16">
      <c r="A1102" s="29" t="s">
        <v>2016</v>
      </c>
      <c r="B1102" s="29" t="s">
        <v>2007</v>
      </c>
      <c r="C1102" s="29" t="s">
        <v>51</v>
      </c>
      <c r="D1102" s="29" t="s">
        <v>1502</v>
      </c>
      <c r="E1102" s="29" t="s">
        <v>35</v>
      </c>
      <c r="F1102" s="29" t="s">
        <v>51</v>
      </c>
      <c r="G1102" s="29" t="s">
        <v>612</v>
      </c>
      <c r="H1102" s="29" t="s">
        <v>112</v>
      </c>
      <c r="I1102" s="29" t="s">
        <v>39</v>
      </c>
      <c r="J1102" s="29" t="s">
        <v>141</v>
      </c>
      <c r="K1102" s="29" t="s">
        <v>2017</v>
      </c>
      <c r="L1102" s="29" t="s">
        <v>1664</v>
      </c>
      <c r="M1102" s="29" t="s">
        <v>614</v>
      </c>
      <c r="N1102" s="29" t="s">
        <v>1559</v>
      </c>
      <c r="O1102" s="29" t="s">
        <v>59</v>
      </c>
      <c r="P1102" s="30" t="s">
        <v>1581</v>
      </c>
    </row>
    <row r="1103" s="25" customFormat="1" spans="1:16">
      <c r="A1103" s="29" t="s">
        <v>2017</v>
      </c>
      <c r="B1103" s="29" t="s">
        <v>2007</v>
      </c>
      <c r="C1103" s="29" t="s">
        <v>51</v>
      </c>
      <c r="D1103" s="29" t="s">
        <v>1502</v>
      </c>
      <c r="E1103" s="29" t="s">
        <v>35</v>
      </c>
      <c r="F1103" s="29" t="s">
        <v>51</v>
      </c>
      <c r="G1103" s="29" t="s">
        <v>612</v>
      </c>
      <c r="H1103" s="29" t="s">
        <v>112</v>
      </c>
      <c r="I1103" s="29" t="s">
        <v>39</v>
      </c>
      <c r="J1103" s="29" t="s">
        <v>145</v>
      </c>
      <c r="K1103" s="29" t="s">
        <v>2018</v>
      </c>
      <c r="L1103" s="29" t="s">
        <v>1666</v>
      </c>
      <c r="M1103" s="29" t="s">
        <v>614</v>
      </c>
      <c r="N1103" s="29" t="s">
        <v>1559</v>
      </c>
      <c r="O1103" s="29" t="s">
        <v>59</v>
      </c>
      <c r="P1103" s="30" t="s">
        <v>1582</v>
      </c>
    </row>
    <row r="1104" s="25" customFormat="1" spans="1:16">
      <c r="A1104" s="29" t="s">
        <v>2018</v>
      </c>
      <c r="B1104" s="29" t="s">
        <v>2007</v>
      </c>
      <c r="C1104" s="29" t="s">
        <v>51</v>
      </c>
      <c r="D1104" s="29" t="s">
        <v>1502</v>
      </c>
      <c r="E1104" s="29" t="s">
        <v>35</v>
      </c>
      <c r="F1104" s="29" t="s">
        <v>51</v>
      </c>
      <c r="G1104" s="29" t="s">
        <v>612</v>
      </c>
      <c r="H1104" s="29" t="s">
        <v>112</v>
      </c>
      <c r="I1104" s="29" t="s">
        <v>39</v>
      </c>
      <c r="J1104" s="29" t="s">
        <v>408</v>
      </c>
      <c r="K1104" s="29" t="s">
        <v>2019</v>
      </c>
      <c r="L1104" s="29" t="s">
        <v>1929</v>
      </c>
      <c r="M1104" s="29" t="s">
        <v>614</v>
      </c>
      <c r="N1104" s="29" t="s">
        <v>1559</v>
      </c>
      <c r="O1104" s="29" t="s">
        <v>59</v>
      </c>
      <c r="P1104" s="30" t="s">
        <v>1830</v>
      </c>
    </row>
    <row r="1105" s="25" customFormat="1" spans="1:16">
      <c r="A1105" s="29" t="s">
        <v>2019</v>
      </c>
      <c r="B1105" s="29" t="s">
        <v>2007</v>
      </c>
      <c r="C1105" s="29" t="s">
        <v>51</v>
      </c>
      <c r="D1105" s="29" t="s">
        <v>1502</v>
      </c>
      <c r="E1105" s="29" t="s">
        <v>35</v>
      </c>
      <c r="F1105" s="29" t="s">
        <v>51</v>
      </c>
      <c r="G1105" s="29" t="s">
        <v>612</v>
      </c>
      <c r="H1105" s="29" t="s">
        <v>112</v>
      </c>
      <c r="I1105" s="29" t="s">
        <v>39</v>
      </c>
      <c r="J1105" s="29" t="s">
        <v>412</v>
      </c>
      <c r="K1105" s="29" t="s">
        <v>2020</v>
      </c>
      <c r="L1105" s="29" t="s">
        <v>1932</v>
      </c>
      <c r="M1105" s="29" t="s">
        <v>614</v>
      </c>
      <c r="N1105" s="29" t="s">
        <v>1559</v>
      </c>
      <c r="O1105" s="29" t="s">
        <v>59</v>
      </c>
      <c r="P1105" s="30" t="s">
        <v>1833</v>
      </c>
    </row>
    <row r="1106" s="25" customFormat="1" spans="1:16">
      <c r="A1106" s="29" t="s">
        <v>2020</v>
      </c>
      <c r="B1106" s="29" t="s">
        <v>2007</v>
      </c>
      <c r="C1106" s="29" t="s">
        <v>51</v>
      </c>
      <c r="D1106" s="29" t="s">
        <v>1502</v>
      </c>
      <c r="E1106" s="29" t="s">
        <v>35</v>
      </c>
      <c r="F1106" s="29" t="s">
        <v>51</v>
      </c>
      <c r="G1106" s="29" t="s">
        <v>612</v>
      </c>
      <c r="H1106" s="29" t="s">
        <v>112</v>
      </c>
      <c r="I1106" s="29" t="s">
        <v>39</v>
      </c>
      <c r="J1106" s="29" t="s">
        <v>416</v>
      </c>
      <c r="K1106" s="29" t="s">
        <v>2021</v>
      </c>
      <c r="L1106" s="29" t="s">
        <v>1959</v>
      </c>
      <c r="M1106" s="29" t="s">
        <v>614</v>
      </c>
      <c r="N1106" s="29" t="s">
        <v>1559</v>
      </c>
      <c r="O1106" s="29" t="s">
        <v>59</v>
      </c>
      <c r="P1106" s="30" t="s">
        <v>1836</v>
      </c>
    </row>
    <row r="1107" s="25" customFormat="1" spans="1:16">
      <c r="A1107" s="29" t="s">
        <v>2021</v>
      </c>
      <c r="B1107" s="29" t="s">
        <v>2007</v>
      </c>
      <c r="C1107" s="29" t="s">
        <v>51</v>
      </c>
      <c r="D1107" s="29" t="s">
        <v>1502</v>
      </c>
      <c r="E1107" s="29" t="s">
        <v>35</v>
      </c>
      <c r="F1107" s="29" t="s">
        <v>51</v>
      </c>
      <c r="G1107" s="29" t="s">
        <v>612</v>
      </c>
      <c r="H1107" s="29" t="s">
        <v>112</v>
      </c>
      <c r="I1107" s="29" t="s">
        <v>39</v>
      </c>
      <c r="J1107" s="29" t="s">
        <v>420</v>
      </c>
      <c r="K1107" s="29" t="s">
        <v>2022</v>
      </c>
      <c r="L1107" s="29" t="s">
        <v>1962</v>
      </c>
      <c r="M1107" s="29" t="s">
        <v>614</v>
      </c>
      <c r="N1107" s="29" t="s">
        <v>1559</v>
      </c>
      <c r="O1107" s="29" t="s">
        <v>59</v>
      </c>
      <c r="P1107" s="30" t="s">
        <v>1839</v>
      </c>
    </row>
    <row r="1108" s="25" customFormat="1" spans="1:16">
      <c r="A1108" s="29" t="s">
        <v>2022</v>
      </c>
      <c r="B1108" s="29" t="s">
        <v>2007</v>
      </c>
      <c r="C1108" s="29" t="s">
        <v>51</v>
      </c>
      <c r="D1108" s="29" t="s">
        <v>1502</v>
      </c>
      <c r="E1108" s="29" t="s">
        <v>35</v>
      </c>
      <c r="F1108" s="29" t="s">
        <v>51</v>
      </c>
      <c r="G1108" s="29" t="s">
        <v>612</v>
      </c>
      <c r="H1108" s="29" t="s">
        <v>112</v>
      </c>
      <c r="I1108" s="29" t="s">
        <v>39</v>
      </c>
      <c r="J1108" s="29" t="s">
        <v>424</v>
      </c>
      <c r="K1108" s="29" t="s">
        <v>2023</v>
      </c>
      <c r="L1108" s="29" t="s">
        <v>2024</v>
      </c>
      <c r="M1108" s="29" t="s">
        <v>614</v>
      </c>
      <c r="N1108" s="29" t="s">
        <v>1559</v>
      </c>
      <c r="O1108" s="29" t="s">
        <v>59</v>
      </c>
      <c r="P1108" s="30" t="s">
        <v>1840</v>
      </c>
    </row>
    <row r="1109" s="25" customFormat="1" spans="1:16">
      <c r="A1109" s="29" t="s">
        <v>2023</v>
      </c>
      <c r="B1109" s="29" t="s">
        <v>2007</v>
      </c>
      <c r="C1109" s="29" t="s">
        <v>51</v>
      </c>
      <c r="D1109" s="29" t="s">
        <v>1502</v>
      </c>
      <c r="E1109" s="29" t="s">
        <v>35</v>
      </c>
      <c r="F1109" s="29" t="s">
        <v>51</v>
      </c>
      <c r="G1109" s="29" t="s">
        <v>612</v>
      </c>
      <c r="H1109" s="29" t="s">
        <v>112</v>
      </c>
      <c r="I1109" s="29" t="s">
        <v>39</v>
      </c>
      <c r="J1109" s="29" t="s">
        <v>631</v>
      </c>
      <c r="K1109" s="29" t="s">
        <v>2025</v>
      </c>
      <c r="L1109" s="29" t="s">
        <v>2026</v>
      </c>
      <c r="M1109" s="29" t="s">
        <v>614</v>
      </c>
      <c r="N1109" s="29" t="s">
        <v>1559</v>
      </c>
      <c r="O1109" s="29" t="s">
        <v>59</v>
      </c>
      <c r="P1109" s="30" t="s">
        <v>2027</v>
      </c>
    </row>
    <row r="1110" s="25" customFormat="1" spans="1:16">
      <c r="A1110" s="29" t="s">
        <v>2025</v>
      </c>
      <c r="B1110" s="29" t="s">
        <v>2007</v>
      </c>
      <c r="C1110" s="29" t="s">
        <v>51</v>
      </c>
      <c r="D1110" s="29" t="s">
        <v>1502</v>
      </c>
      <c r="E1110" s="29" t="s">
        <v>35</v>
      </c>
      <c r="F1110" s="29" t="s">
        <v>51</v>
      </c>
      <c r="G1110" s="29" t="s">
        <v>612</v>
      </c>
      <c r="H1110" s="29" t="s">
        <v>112</v>
      </c>
      <c r="I1110" s="29" t="s">
        <v>39</v>
      </c>
      <c r="J1110" s="29" t="s">
        <v>635</v>
      </c>
      <c r="K1110" s="29" t="s">
        <v>2028</v>
      </c>
      <c r="L1110" s="29" t="s">
        <v>2029</v>
      </c>
      <c r="M1110" s="29" t="s">
        <v>614</v>
      </c>
      <c r="N1110" s="29" t="s">
        <v>1559</v>
      </c>
      <c r="O1110" s="29" t="s">
        <v>59</v>
      </c>
      <c r="P1110" s="30" t="s">
        <v>2030</v>
      </c>
    </row>
    <row r="1111" s="25" customFormat="1" spans="1:16">
      <c r="A1111" s="29" t="s">
        <v>2028</v>
      </c>
      <c r="B1111" s="29" t="s">
        <v>2007</v>
      </c>
      <c r="C1111" s="29" t="s">
        <v>51</v>
      </c>
      <c r="D1111" s="29" t="s">
        <v>1502</v>
      </c>
      <c r="E1111" s="29" t="s">
        <v>35</v>
      </c>
      <c r="F1111" s="29" t="s">
        <v>51</v>
      </c>
      <c r="G1111" s="29" t="s">
        <v>612</v>
      </c>
      <c r="H1111" s="29" t="s">
        <v>112</v>
      </c>
      <c r="I1111" s="29" t="s">
        <v>39</v>
      </c>
      <c r="J1111" s="29" t="s">
        <v>639</v>
      </c>
      <c r="K1111" s="29" t="s">
        <v>2031</v>
      </c>
      <c r="L1111" s="29" t="s">
        <v>2032</v>
      </c>
      <c r="M1111" s="29" t="s">
        <v>614</v>
      </c>
      <c r="N1111" s="29" t="s">
        <v>1559</v>
      </c>
      <c r="O1111" s="29" t="s">
        <v>59</v>
      </c>
      <c r="P1111" s="30" t="s">
        <v>2033</v>
      </c>
    </row>
    <row r="1112" s="25" customFormat="1" spans="1:16">
      <c r="A1112" s="29" t="s">
        <v>2031</v>
      </c>
      <c r="B1112" s="29" t="s">
        <v>2007</v>
      </c>
      <c r="C1112" s="29" t="s">
        <v>51</v>
      </c>
      <c r="D1112" s="29" t="s">
        <v>1502</v>
      </c>
      <c r="E1112" s="29" t="s">
        <v>35</v>
      </c>
      <c r="F1112" s="29" t="s">
        <v>51</v>
      </c>
      <c r="G1112" s="29" t="s">
        <v>612</v>
      </c>
      <c r="H1112" s="29" t="s">
        <v>112</v>
      </c>
      <c r="I1112" s="29" t="s">
        <v>39</v>
      </c>
      <c r="J1112" s="29" t="s">
        <v>643</v>
      </c>
      <c r="K1112" s="29" t="s">
        <v>2034</v>
      </c>
      <c r="L1112" s="29" t="s">
        <v>2035</v>
      </c>
      <c r="M1112" s="29" t="s">
        <v>614</v>
      </c>
      <c r="N1112" s="29" t="s">
        <v>1559</v>
      </c>
      <c r="O1112" s="29" t="s">
        <v>59</v>
      </c>
      <c r="P1112" s="30" t="s">
        <v>2036</v>
      </c>
    </row>
    <row r="1113" s="25" customFormat="1" spans="1:16">
      <c r="A1113" s="29" t="s">
        <v>2034</v>
      </c>
      <c r="B1113" s="29" t="s">
        <v>2007</v>
      </c>
      <c r="C1113" s="29" t="s">
        <v>51</v>
      </c>
      <c r="D1113" s="29" t="s">
        <v>1502</v>
      </c>
      <c r="E1113" s="29" t="s">
        <v>35</v>
      </c>
      <c r="F1113" s="29" t="s">
        <v>51</v>
      </c>
      <c r="G1113" s="29" t="s">
        <v>612</v>
      </c>
      <c r="H1113" s="29" t="s">
        <v>112</v>
      </c>
      <c r="I1113" s="29" t="s">
        <v>39</v>
      </c>
      <c r="J1113" s="29" t="s">
        <v>647</v>
      </c>
      <c r="K1113" s="29" t="s">
        <v>39</v>
      </c>
      <c r="L1113" s="29" t="s">
        <v>39</v>
      </c>
      <c r="M1113" s="29" t="s">
        <v>39</v>
      </c>
      <c r="N1113" s="29" t="s">
        <v>1559</v>
      </c>
      <c r="O1113" s="29" t="s">
        <v>59</v>
      </c>
      <c r="P1113" s="30" t="s">
        <v>2037</v>
      </c>
    </row>
    <row r="1114" s="25" customFormat="1" spans="1:16">
      <c r="A1114" s="29" t="s">
        <v>2038</v>
      </c>
      <c r="B1114" s="29" t="s">
        <v>2038</v>
      </c>
      <c r="C1114" s="29" t="s">
        <v>51</v>
      </c>
      <c r="D1114" s="29" t="s">
        <v>1502</v>
      </c>
      <c r="E1114" s="29" t="s">
        <v>35</v>
      </c>
      <c r="F1114" s="29" t="s">
        <v>51</v>
      </c>
      <c r="G1114" s="29" t="s">
        <v>650</v>
      </c>
      <c r="H1114" s="29" t="s">
        <v>149</v>
      </c>
      <c r="I1114" s="29" t="s">
        <v>39</v>
      </c>
      <c r="J1114" s="29" t="s">
        <v>39</v>
      </c>
      <c r="K1114" s="29" t="s">
        <v>2039</v>
      </c>
      <c r="L1114" s="29" t="s">
        <v>1635</v>
      </c>
      <c r="M1114" s="29" t="s">
        <v>652</v>
      </c>
      <c r="N1114" s="29" t="s">
        <v>1585</v>
      </c>
      <c r="O1114" s="29" t="s">
        <v>129</v>
      </c>
      <c r="P1114" s="30" t="s">
        <v>1586</v>
      </c>
    </row>
    <row r="1115" s="25" customFormat="1" spans="1:16">
      <c r="A1115" s="29" t="s">
        <v>2039</v>
      </c>
      <c r="B1115" s="29" t="s">
        <v>2038</v>
      </c>
      <c r="C1115" s="29" t="s">
        <v>51</v>
      </c>
      <c r="D1115" s="29" t="s">
        <v>1502</v>
      </c>
      <c r="E1115" s="29" t="s">
        <v>35</v>
      </c>
      <c r="F1115" s="29" t="s">
        <v>51</v>
      </c>
      <c r="G1115" s="29" t="s">
        <v>650</v>
      </c>
      <c r="H1115" s="29" t="s">
        <v>149</v>
      </c>
      <c r="I1115" s="29" t="s">
        <v>39</v>
      </c>
      <c r="J1115" s="29" t="s">
        <v>35</v>
      </c>
      <c r="K1115" s="29" t="s">
        <v>2040</v>
      </c>
      <c r="L1115" s="29" t="s">
        <v>1639</v>
      </c>
      <c r="M1115" s="29" t="s">
        <v>652</v>
      </c>
      <c r="N1115" s="29" t="s">
        <v>1588</v>
      </c>
      <c r="O1115" s="29" t="s">
        <v>129</v>
      </c>
      <c r="P1115" s="30" t="s">
        <v>1589</v>
      </c>
    </row>
    <row r="1116" s="25" customFormat="1" spans="1:16">
      <c r="A1116" s="29" t="s">
        <v>2040</v>
      </c>
      <c r="B1116" s="29" t="s">
        <v>2038</v>
      </c>
      <c r="C1116" s="29" t="s">
        <v>51</v>
      </c>
      <c r="D1116" s="29" t="s">
        <v>1502</v>
      </c>
      <c r="E1116" s="29" t="s">
        <v>35</v>
      </c>
      <c r="F1116" s="29" t="s">
        <v>51</v>
      </c>
      <c r="G1116" s="29" t="s">
        <v>650</v>
      </c>
      <c r="H1116" s="29" t="s">
        <v>149</v>
      </c>
      <c r="I1116" s="29" t="s">
        <v>39</v>
      </c>
      <c r="J1116" s="29" t="s">
        <v>47</v>
      </c>
      <c r="K1116" s="29" t="s">
        <v>2041</v>
      </c>
      <c r="L1116" s="29" t="s">
        <v>1643</v>
      </c>
      <c r="M1116" s="29" t="s">
        <v>652</v>
      </c>
      <c r="N1116" s="29" t="s">
        <v>1588</v>
      </c>
      <c r="O1116" s="29" t="s">
        <v>129</v>
      </c>
      <c r="P1116" s="30" t="s">
        <v>1591</v>
      </c>
    </row>
    <row r="1117" s="25" customFormat="1" spans="1:16">
      <c r="A1117" s="29" t="s">
        <v>2041</v>
      </c>
      <c r="B1117" s="29" t="s">
        <v>2038</v>
      </c>
      <c r="C1117" s="29" t="s">
        <v>51</v>
      </c>
      <c r="D1117" s="29" t="s">
        <v>1502</v>
      </c>
      <c r="E1117" s="29" t="s">
        <v>35</v>
      </c>
      <c r="F1117" s="29" t="s">
        <v>51</v>
      </c>
      <c r="G1117" s="29" t="s">
        <v>650</v>
      </c>
      <c r="H1117" s="29" t="s">
        <v>149</v>
      </c>
      <c r="I1117" s="29" t="s">
        <v>39</v>
      </c>
      <c r="J1117" s="29" t="s">
        <v>51</v>
      </c>
      <c r="K1117" s="29" t="s">
        <v>2042</v>
      </c>
      <c r="L1117" s="29" t="s">
        <v>1646</v>
      </c>
      <c r="M1117" s="29" t="s">
        <v>652</v>
      </c>
      <c r="N1117" s="29" t="s">
        <v>1588</v>
      </c>
      <c r="O1117" s="29" t="s">
        <v>129</v>
      </c>
      <c r="P1117" s="30" t="s">
        <v>1593</v>
      </c>
    </row>
    <row r="1118" s="25" customFormat="1" spans="1:16">
      <c r="A1118" s="29" t="s">
        <v>2042</v>
      </c>
      <c r="B1118" s="29" t="s">
        <v>2038</v>
      </c>
      <c r="C1118" s="29" t="s">
        <v>51</v>
      </c>
      <c r="D1118" s="29" t="s">
        <v>1502</v>
      </c>
      <c r="E1118" s="29" t="s">
        <v>35</v>
      </c>
      <c r="F1118" s="29" t="s">
        <v>51</v>
      </c>
      <c r="G1118" s="29" t="s">
        <v>650</v>
      </c>
      <c r="H1118" s="29" t="s">
        <v>149</v>
      </c>
      <c r="I1118" s="29" t="s">
        <v>39</v>
      </c>
      <c r="J1118" s="29" t="s">
        <v>55</v>
      </c>
      <c r="K1118" s="29" t="s">
        <v>2043</v>
      </c>
      <c r="L1118" s="29" t="s">
        <v>1649</v>
      </c>
      <c r="M1118" s="29" t="s">
        <v>652</v>
      </c>
      <c r="N1118" s="29" t="s">
        <v>1588</v>
      </c>
      <c r="O1118" s="29" t="s">
        <v>129</v>
      </c>
      <c r="P1118" s="30" t="s">
        <v>1595</v>
      </c>
    </row>
    <row r="1119" s="25" customFormat="1" spans="1:16">
      <c r="A1119" s="29" t="s">
        <v>2043</v>
      </c>
      <c r="B1119" s="29" t="s">
        <v>2038</v>
      </c>
      <c r="C1119" s="29" t="s">
        <v>51</v>
      </c>
      <c r="D1119" s="29" t="s">
        <v>1502</v>
      </c>
      <c r="E1119" s="29" t="s">
        <v>35</v>
      </c>
      <c r="F1119" s="29" t="s">
        <v>51</v>
      </c>
      <c r="G1119" s="29" t="s">
        <v>650</v>
      </c>
      <c r="H1119" s="29" t="s">
        <v>149</v>
      </c>
      <c r="I1119" s="29" t="s">
        <v>39</v>
      </c>
      <c r="J1119" s="29" t="s">
        <v>59</v>
      </c>
      <c r="K1119" s="29" t="s">
        <v>2044</v>
      </c>
      <c r="L1119" s="29" t="s">
        <v>1652</v>
      </c>
      <c r="M1119" s="29" t="s">
        <v>652</v>
      </c>
      <c r="N1119" s="29" t="s">
        <v>1588</v>
      </c>
      <c r="O1119" s="29" t="s">
        <v>129</v>
      </c>
      <c r="P1119" s="30" t="s">
        <v>1597</v>
      </c>
    </row>
    <row r="1120" s="25" customFormat="1" spans="1:16">
      <c r="A1120" s="29" t="s">
        <v>2044</v>
      </c>
      <c r="B1120" s="29" t="s">
        <v>2038</v>
      </c>
      <c r="C1120" s="29" t="s">
        <v>51</v>
      </c>
      <c r="D1120" s="29" t="s">
        <v>1502</v>
      </c>
      <c r="E1120" s="29" t="s">
        <v>35</v>
      </c>
      <c r="F1120" s="29" t="s">
        <v>51</v>
      </c>
      <c r="G1120" s="29" t="s">
        <v>650</v>
      </c>
      <c r="H1120" s="29" t="s">
        <v>149</v>
      </c>
      <c r="I1120" s="29" t="s">
        <v>39</v>
      </c>
      <c r="J1120" s="29" t="s">
        <v>129</v>
      </c>
      <c r="K1120" s="29" t="s">
        <v>2045</v>
      </c>
      <c r="L1120" s="29" t="s">
        <v>1655</v>
      </c>
      <c r="M1120" s="29" t="s">
        <v>652</v>
      </c>
      <c r="N1120" s="29" t="s">
        <v>1588</v>
      </c>
      <c r="O1120" s="29" t="s">
        <v>129</v>
      </c>
      <c r="P1120" s="30" t="s">
        <v>1599</v>
      </c>
    </row>
    <row r="1121" s="25" customFormat="1" spans="1:16">
      <c r="A1121" s="29" t="s">
        <v>2045</v>
      </c>
      <c r="B1121" s="29" t="s">
        <v>2038</v>
      </c>
      <c r="C1121" s="29" t="s">
        <v>51</v>
      </c>
      <c r="D1121" s="29" t="s">
        <v>1502</v>
      </c>
      <c r="E1121" s="29" t="s">
        <v>35</v>
      </c>
      <c r="F1121" s="29" t="s">
        <v>51</v>
      </c>
      <c r="G1121" s="29" t="s">
        <v>650</v>
      </c>
      <c r="H1121" s="29" t="s">
        <v>149</v>
      </c>
      <c r="I1121" s="29" t="s">
        <v>39</v>
      </c>
      <c r="J1121" s="29" t="s">
        <v>133</v>
      </c>
      <c r="K1121" s="29" t="s">
        <v>2046</v>
      </c>
      <c r="L1121" s="29" t="s">
        <v>1658</v>
      </c>
      <c r="M1121" s="29" t="s">
        <v>652</v>
      </c>
      <c r="N1121" s="29" t="s">
        <v>1588</v>
      </c>
      <c r="O1121" s="29" t="s">
        <v>129</v>
      </c>
      <c r="P1121" s="30" t="s">
        <v>1601</v>
      </c>
    </row>
    <row r="1122" s="25" customFormat="1" spans="1:16">
      <c r="A1122" s="29" t="s">
        <v>2046</v>
      </c>
      <c r="B1122" s="29" t="s">
        <v>2038</v>
      </c>
      <c r="C1122" s="29" t="s">
        <v>51</v>
      </c>
      <c r="D1122" s="29" t="s">
        <v>1502</v>
      </c>
      <c r="E1122" s="29" t="s">
        <v>35</v>
      </c>
      <c r="F1122" s="29" t="s">
        <v>51</v>
      </c>
      <c r="G1122" s="29" t="s">
        <v>650</v>
      </c>
      <c r="H1122" s="29" t="s">
        <v>149</v>
      </c>
      <c r="I1122" s="29" t="s">
        <v>39</v>
      </c>
      <c r="J1122" s="29" t="s">
        <v>137</v>
      </c>
      <c r="K1122" s="29" t="s">
        <v>2047</v>
      </c>
      <c r="L1122" s="29" t="s">
        <v>1661</v>
      </c>
      <c r="M1122" s="29" t="s">
        <v>652</v>
      </c>
      <c r="N1122" s="29" t="s">
        <v>1588</v>
      </c>
      <c r="O1122" s="29" t="s">
        <v>129</v>
      </c>
      <c r="P1122" s="30" t="s">
        <v>1603</v>
      </c>
    </row>
    <row r="1123" s="25" customFormat="1" spans="1:16">
      <c r="A1123" s="29" t="s">
        <v>2047</v>
      </c>
      <c r="B1123" s="29" t="s">
        <v>2038</v>
      </c>
      <c r="C1123" s="29" t="s">
        <v>51</v>
      </c>
      <c r="D1123" s="29" t="s">
        <v>1502</v>
      </c>
      <c r="E1123" s="29" t="s">
        <v>35</v>
      </c>
      <c r="F1123" s="29" t="s">
        <v>51</v>
      </c>
      <c r="G1123" s="29" t="s">
        <v>650</v>
      </c>
      <c r="H1123" s="29" t="s">
        <v>149</v>
      </c>
      <c r="I1123" s="29" t="s">
        <v>39</v>
      </c>
      <c r="J1123" s="29" t="s">
        <v>141</v>
      </c>
      <c r="K1123" s="29" t="s">
        <v>2048</v>
      </c>
      <c r="L1123" s="29" t="s">
        <v>1664</v>
      </c>
      <c r="M1123" s="29" t="s">
        <v>652</v>
      </c>
      <c r="N1123" s="29" t="s">
        <v>1588</v>
      </c>
      <c r="O1123" s="29" t="s">
        <v>129</v>
      </c>
      <c r="P1123" s="30" t="s">
        <v>1605</v>
      </c>
    </row>
    <row r="1124" s="25" customFormat="1" spans="1:16">
      <c r="A1124" s="29" t="s">
        <v>2048</v>
      </c>
      <c r="B1124" s="29" t="s">
        <v>2038</v>
      </c>
      <c r="C1124" s="29" t="s">
        <v>51</v>
      </c>
      <c r="D1124" s="29" t="s">
        <v>1502</v>
      </c>
      <c r="E1124" s="29" t="s">
        <v>35</v>
      </c>
      <c r="F1124" s="29" t="s">
        <v>51</v>
      </c>
      <c r="G1124" s="29" t="s">
        <v>650</v>
      </c>
      <c r="H1124" s="29" t="s">
        <v>149</v>
      </c>
      <c r="I1124" s="29" t="s">
        <v>39</v>
      </c>
      <c r="J1124" s="29" t="s">
        <v>145</v>
      </c>
      <c r="K1124" s="29" t="s">
        <v>2049</v>
      </c>
      <c r="L1124" s="29" t="s">
        <v>1666</v>
      </c>
      <c r="M1124" s="29" t="s">
        <v>652</v>
      </c>
      <c r="N1124" s="29" t="s">
        <v>1588</v>
      </c>
      <c r="O1124" s="29" t="s">
        <v>129</v>
      </c>
      <c r="P1124" s="30" t="s">
        <v>1606</v>
      </c>
    </row>
    <row r="1125" s="25" customFormat="1" spans="1:16">
      <c r="A1125" s="29" t="s">
        <v>2049</v>
      </c>
      <c r="B1125" s="29" t="s">
        <v>2038</v>
      </c>
      <c r="C1125" s="29" t="s">
        <v>51</v>
      </c>
      <c r="D1125" s="29" t="s">
        <v>1502</v>
      </c>
      <c r="E1125" s="29" t="s">
        <v>35</v>
      </c>
      <c r="F1125" s="29" t="s">
        <v>51</v>
      </c>
      <c r="G1125" s="29" t="s">
        <v>650</v>
      </c>
      <c r="H1125" s="29" t="s">
        <v>149</v>
      </c>
      <c r="I1125" s="29" t="s">
        <v>39</v>
      </c>
      <c r="J1125" s="29" t="s">
        <v>408</v>
      </c>
      <c r="K1125" s="29" t="s">
        <v>2050</v>
      </c>
      <c r="L1125" s="29" t="s">
        <v>1929</v>
      </c>
      <c r="M1125" s="29" t="s">
        <v>652</v>
      </c>
      <c r="N1125" s="29" t="s">
        <v>1588</v>
      </c>
      <c r="O1125" s="29" t="s">
        <v>129</v>
      </c>
      <c r="P1125" s="30" t="s">
        <v>1854</v>
      </c>
    </row>
    <row r="1126" s="25" customFormat="1" spans="1:16">
      <c r="A1126" s="29" t="s">
        <v>2050</v>
      </c>
      <c r="B1126" s="29" t="s">
        <v>2038</v>
      </c>
      <c r="C1126" s="29" t="s">
        <v>51</v>
      </c>
      <c r="D1126" s="29" t="s">
        <v>1502</v>
      </c>
      <c r="E1126" s="29" t="s">
        <v>35</v>
      </c>
      <c r="F1126" s="29" t="s">
        <v>51</v>
      </c>
      <c r="G1126" s="29" t="s">
        <v>650</v>
      </c>
      <c r="H1126" s="29" t="s">
        <v>149</v>
      </c>
      <c r="I1126" s="29" t="s">
        <v>39</v>
      </c>
      <c r="J1126" s="29" t="s">
        <v>412</v>
      </c>
      <c r="K1126" s="29" t="s">
        <v>2051</v>
      </c>
      <c r="L1126" s="29" t="s">
        <v>1932</v>
      </c>
      <c r="M1126" s="29" t="s">
        <v>652</v>
      </c>
      <c r="N1126" s="29" t="s">
        <v>1588</v>
      </c>
      <c r="O1126" s="29" t="s">
        <v>129</v>
      </c>
      <c r="P1126" s="30" t="s">
        <v>1856</v>
      </c>
    </row>
    <row r="1127" s="26" customFormat="1" spans="1:18">
      <c r="A1127" s="29" t="s">
        <v>2051</v>
      </c>
      <c r="B1127" s="29" t="s">
        <v>2038</v>
      </c>
      <c r="C1127" s="29" t="s">
        <v>51</v>
      </c>
      <c r="D1127" s="29" t="s">
        <v>1502</v>
      </c>
      <c r="E1127" s="29" t="s">
        <v>35</v>
      </c>
      <c r="F1127" s="29" t="s">
        <v>51</v>
      </c>
      <c r="G1127" s="29" t="s">
        <v>650</v>
      </c>
      <c r="H1127" s="29" t="s">
        <v>149</v>
      </c>
      <c r="I1127" s="29" t="s">
        <v>39</v>
      </c>
      <c r="J1127" s="29" t="s">
        <v>416</v>
      </c>
      <c r="K1127" s="29" t="s">
        <v>2052</v>
      </c>
      <c r="L1127" s="29" t="s">
        <v>1959</v>
      </c>
      <c r="M1127" s="29" t="s">
        <v>652</v>
      </c>
      <c r="N1127" s="29" t="s">
        <v>1588</v>
      </c>
      <c r="O1127" s="29" t="s">
        <v>129</v>
      </c>
      <c r="P1127" s="30" t="s">
        <v>1858</v>
      </c>
      <c r="Q1127" s="25"/>
      <c r="R1127" s="25"/>
    </row>
    <row r="1128" s="25" customFormat="1" spans="1:16">
      <c r="A1128" s="29" t="s">
        <v>2052</v>
      </c>
      <c r="B1128" s="29" t="s">
        <v>2038</v>
      </c>
      <c r="C1128" s="29" t="s">
        <v>51</v>
      </c>
      <c r="D1128" s="29" t="s">
        <v>1502</v>
      </c>
      <c r="E1128" s="29" t="s">
        <v>35</v>
      </c>
      <c r="F1128" s="29" t="s">
        <v>51</v>
      </c>
      <c r="G1128" s="29" t="s">
        <v>650</v>
      </c>
      <c r="H1128" s="29" t="s">
        <v>149</v>
      </c>
      <c r="I1128" s="29" t="s">
        <v>39</v>
      </c>
      <c r="J1128" s="29" t="s">
        <v>420</v>
      </c>
      <c r="K1128" s="29" t="s">
        <v>2053</v>
      </c>
      <c r="L1128" s="29" t="s">
        <v>1962</v>
      </c>
      <c r="M1128" s="29" t="s">
        <v>652</v>
      </c>
      <c r="N1128" s="29" t="s">
        <v>1588</v>
      </c>
      <c r="O1128" s="29" t="s">
        <v>129</v>
      </c>
      <c r="P1128" s="30" t="s">
        <v>1860</v>
      </c>
    </row>
    <row r="1129" s="25" customFormat="1" spans="1:16">
      <c r="A1129" s="29" t="s">
        <v>2053</v>
      </c>
      <c r="B1129" s="29" t="s">
        <v>2038</v>
      </c>
      <c r="C1129" s="29" t="s">
        <v>51</v>
      </c>
      <c r="D1129" s="29" t="s">
        <v>1502</v>
      </c>
      <c r="E1129" s="29" t="s">
        <v>35</v>
      </c>
      <c r="F1129" s="29" t="s">
        <v>51</v>
      </c>
      <c r="G1129" s="29" t="s">
        <v>650</v>
      </c>
      <c r="H1129" s="29" t="s">
        <v>149</v>
      </c>
      <c r="I1129" s="29" t="s">
        <v>39</v>
      </c>
      <c r="J1129" s="29" t="s">
        <v>424</v>
      </c>
      <c r="K1129" s="29" t="s">
        <v>2054</v>
      </c>
      <c r="L1129" s="29" t="s">
        <v>2024</v>
      </c>
      <c r="M1129" s="29" t="s">
        <v>652</v>
      </c>
      <c r="N1129" s="29" t="s">
        <v>1588</v>
      </c>
      <c r="O1129" s="29" t="s">
        <v>129</v>
      </c>
      <c r="P1129" s="30" t="s">
        <v>1861</v>
      </c>
    </row>
    <row r="1130" s="25" customFormat="1" spans="1:16">
      <c r="A1130" s="29" t="s">
        <v>2054</v>
      </c>
      <c r="B1130" s="29" t="s">
        <v>2038</v>
      </c>
      <c r="C1130" s="29" t="s">
        <v>51</v>
      </c>
      <c r="D1130" s="29" t="s">
        <v>1502</v>
      </c>
      <c r="E1130" s="29" t="s">
        <v>35</v>
      </c>
      <c r="F1130" s="29" t="s">
        <v>51</v>
      </c>
      <c r="G1130" s="29" t="s">
        <v>650</v>
      </c>
      <c r="H1130" s="29" t="s">
        <v>149</v>
      </c>
      <c r="I1130" s="29" t="s">
        <v>39</v>
      </c>
      <c r="J1130" s="29" t="s">
        <v>631</v>
      </c>
      <c r="K1130" s="29" t="s">
        <v>2055</v>
      </c>
      <c r="L1130" s="29" t="s">
        <v>2026</v>
      </c>
      <c r="M1130" s="29" t="s">
        <v>652</v>
      </c>
      <c r="N1130" s="29" t="s">
        <v>1588</v>
      </c>
      <c r="O1130" s="29" t="s">
        <v>129</v>
      </c>
      <c r="P1130" s="30" t="s">
        <v>2056</v>
      </c>
    </row>
    <row r="1131" s="25" customFormat="1" spans="1:16">
      <c r="A1131" s="29" t="s">
        <v>2055</v>
      </c>
      <c r="B1131" s="29" t="s">
        <v>2038</v>
      </c>
      <c r="C1131" s="29" t="s">
        <v>51</v>
      </c>
      <c r="D1131" s="29" t="s">
        <v>1502</v>
      </c>
      <c r="E1131" s="29" t="s">
        <v>35</v>
      </c>
      <c r="F1131" s="29" t="s">
        <v>51</v>
      </c>
      <c r="G1131" s="29" t="s">
        <v>650</v>
      </c>
      <c r="H1131" s="29" t="s">
        <v>149</v>
      </c>
      <c r="I1131" s="29" t="s">
        <v>39</v>
      </c>
      <c r="J1131" s="29" t="s">
        <v>635</v>
      </c>
      <c r="K1131" s="29" t="s">
        <v>2057</v>
      </c>
      <c r="L1131" s="29" t="s">
        <v>2029</v>
      </c>
      <c r="M1131" s="29" t="s">
        <v>652</v>
      </c>
      <c r="N1131" s="29" t="s">
        <v>1588</v>
      </c>
      <c r="O1131" s="29" t="s">
        <v>129</v>
      </c>
      <c r="P1131" s="30" t="s">
        <v>2058</v>
      </c>
    </row>
    <row r="1132" s="25" customFormat="1" spans="1:16">
      <c r="A1132" s="29" t="s">
        <v>2057</v>
      </c>
      <c r="B1132" s="29" t="s">
        <v>2038</v>
      </c>
      <c r="C1132" s="29" t="s">
        <v>51</v>
      </c>
      <c r="D1132" s="29" t="s">
        <v>1502</v>
      </c>
      <c r="E1132" s="29" t="s">
        <v>35</v>
      </c>
      <c r="F1132" s="29" t="s">
        <v>51</v>
      </c>
      <c r="G1132" s="29" t="s">
        <v>650</v>
      </c>
      <c r="H1132" s="29" t="s">
        <v>149</v>
      </c>
      <c r="I1132" s="29" t="s">
        <v>39</v>
      </c>
      <c r="J1132" s="29" t="s">
        <v>639</v>
      </c>
      <c r="K1132" s="29" t="s">
        <v>2059</v>
      </c>
      <c r="L1132" s="29" t="s">
        <v>2032</v>
      </c>
      <c r="M1132" s="29" t="s">
        <v>652</v>
      </c>
      <c r="N1132" s="29" t="s">
        <v>1588</v>
      </c>
      <c r="O1132" s="29" t="s">
        <v>129</v>
      </c>
      <c r="P1132" s="30" t="s">
        <v>2060</v>
      </c>
    </row>
    <row r="1133" s="25" customFormat="1" spans="1:16">
      <c r="A1133" s="29" t="s">
        <v>2059</v>
      </c>
      <c r="B1133" s="29" t="s">
        <v>2038</v>
      </c>
      <c r="C1133" s="29" t="s">
        <v>51</v>
      </c>
      <c r="D1133" s="29" t="s">
        <v>1502</v>
      </c>
      <c r="E1133" s="29" t="s">
        <v>35</v>
      </c>
      <c r="F1133" s="29" t="s">
        <v>51</v>
      </c>
      <c r="G1133" s="29" t="s">
        <v>650</v>
      </c>
      <c r="H1133" s="29" t="s">
        <v>149</v>
      </c>
      <c r="I1133" s="29" t="s">
        <v>39</v>
      </c>
      <c r="J1133" s="29" t="s">
        <v>643</v>
      </c>
      <c r="K1133" s="29" t="s">
        <v>2061</v>
      </c>
      <c r="L1133" s="29" t="s">
        <v>2035</v>
      </c>
      <c r="M1133" s="29" t="s">
        <v>652</v>
      </c>
      <c r="N1133" s="29" t="s">
        <v>1588</v>
      </c>
      <c r="O1133" s="29" t="s">
        <v>129</v>
      </c>
      <c r="P1133" s="30" t="s">
        <v>2062</v>
      </c>
    </row>
    <row r="1134" s="25" customFormat="1" spans="1:16">
      <c r="A1134" s="29" t="s">
        <v>2061</v>
      </c>
      <c r="B1134" s="29" t="s">
        <v>2038</v>
      </c>
      <c r="C1134" s="29" t="s">
        <v>51</v>
      </c>
      <c r="D1134" s="29" t="s">
        <v>1502</v>
      </c>
      <c r="E1134" s="29" t="s">
        <v>35</v>
      </c>
      <c r="F1134" s="29" t="s">
        <v>51</v>
      </c>
      <c r="G1134" s="29" t="s">
        <v>650</v>
      </c>
      <c r="H1134" s="29" t="s">
        <v>149</v>
      </c>
      <c r="I1134" s="29" t="s">
        <v>39</v>
      </c>
      <c r="J1134" s="29" t="s">
        <v>647</v>
      </c>
      <c r="K1134" s="29" t="s">
        <v>39</v>
      </c>
      <c r="L1134" s="29" t="s">
        <v>39</v>
      </c>
      <c r="M1134" s="29" t="s">
        <v>39</v>
      </c>
      <c r="N1134" s="29" t="s">
        <v>1588</v>
      </c>
      <c r="O1134" s="29" t="s">
        <v>129</v>
      </c>
      <c r="P1134" s="30" t="s">
        <v>2063</v>
      </c>
    </row>
    <row r="1135" s="25" customFormat="1" spans="1:16">
      <c r="A1135" s="29" t="s">
        <v>2064</v>
      </c>
      <c r="B1135" s="29" t="s">
        <v>2064</v>
      </c>
      <c r="C1135" s="29" t="s">
        <v>51</v>
      </c>
      <c r="D1135" s="29" t="s">
        <v>1502</v>
      </c>
      <c r="E1135" s="29" t="s">
        <v>35</v>
      </c>
      <c r="F1135" s="29" t="s">
        <v>51</v>
      </c>
      <c r="G1135" s="29" t="s">
        <v>678</v>
      </c>
      <c r="H1135" s="29" t="s">
        <v>176</v>
      </c>
      <c r="I1135" s="29" t="s">
        <v>39</v>
      </c>
      <c r="J1135" s="29" t="s">
        <v>39</v>
      </c>
      <c r="K1135" s="29" t="s">
        <v>2065</v>
      </c>
      <c r="L1135" s="29" t="s">
        <v>1635</v>
      </c>
      <c r="M1135" s="29" t="s">
        <v>680</v>
      </c>
      <c r="N1135" s="29" t="s">
        <v>1815</v>
      </c>
      <c r="O1135" s="29" t="s">
        <v>133</v>
      </c>
      <c r="P1135" s="30" t="s">
        <v>1610</v>
      </c>
    </row>
    <row r="1136" s="25" customFormat="1" spans="1:16">
      <c r="A1136" s="29" t="s">
        <v>2065</v>
      </c>
      <c r="B1136" s="29" t="s">
        <v>2064</v>
      </c>
      <c r="C1136" s="29" t="s">
        <v>51</v>
      </c>
      <c r="D1136" s="29" t="s">
        <v>1502</v>
      </c>
      <c r="E1136" s="29" t="s">
        <v>35</v>
      </c>
      <c r="F1136" s="29" t="s">
        <v>51</v>
      </c>
      <c r="G1136" s="29" t="s">
        <v>678</v>
      </c>
      <c r="H1136" s="29" t="s">
        <v>176</v>
      </c>
      <c r="I1136" s="29" t="s">
        <v>39</v>
      </c>
      <c r="J1136" s="29" t="s">
        <v>35</v>
      </c>
      <c r="K1136" s="29" t="s">
        <v>2066</v>
      </c>
      <c r="L1136" s="29" t="s">
        <v>1639</v>
      </c>
      <c r="M1136" s="29" t="s">
        <v>680</v>
      </c>
      <c r="N1136" s="29" t="s">
        <v>1817</v>
      </c>
      <c r="O1136" s="29" t="s">
        <v>133</v>
      </c>
      <c r="P1136" s="30" t="s">
        <v>1613</v>
      </c>
    </row>
    <row r="1137" s="25" customFormat="1" spans="1:16">
      <c r="A1137" s="29" t="s">
        <v>2066</v>
      </c>
      <c r="B1137" s="29" t="s">
        <v>2064</v>
      </c>
      <c r="C1137" s="29" t="s">
        <v>51</v>
      </c>
      <c r="D1137" s="29" t="s">
        <v>1502</v>
      </c>
      <c r="E1137" s="29" t="s">
        <v>35</v>
      </c>
      <c r="F1137" s="29" t="s">
        <v>51</v>
      </c>
      <c r="G1137" s="29" t="s">
        <v>678</v>
      </c>
      <c r="H1137" s="29" t="s">
        <v>176</v>
      </c>
      <c r="I1137" s="29" t="s">
        <v>39</v>
      </c>
      <c r="J1137" s="29" t="s">
        <v>47</v>
      </c>
      <c r="K1137" s="29" t="s">
        <v>2067</v>
      </c>
      <c r="L1137" s="29" t="s">
        <v>1643</v>
      </c>
      <c r="M1137" s="29" t="s">
        <v>680</v>
      </c>
      <c r="N1137" s="29" t="s">
        <v>1817</v>
      </c>
      <c r="O1137" s="29" t="s">
        <v>133</v>
      </c>
      <c r="P1137" s="30" t="s">
        <v>1615</v>
      </c>
    </row>
    <row r="1138" s="26" customFormat="1" spans="1:18">
      <c r="A1138" s="29" t="s">
        <v>2067</v>
      </c>
      <c r="B1138" s="29" t="s">
        <v>2064</v>
      </c>
      <c r="C1138" s="29" t="s">
        <v>51</v>
      </c>
      <c r="D1138" s="29" t="s">
        <v>1502</v>
      </c>
      <c r="E1138" s="29" t="s">
        <v>35</v>
      </c>
      <c r="F1138" s="29" t="s">
        <v>51</v>
      </c>
      <c r="G1138" s="29" t="s">
        <v>678</v>
      </c>
      <c r="H1138" s="29" t="s">
        <v>176</v>
      </c>
      <c r="I1138" s="29" t="s">
        <v>39</v>
      </c>
      <c r="J1138" s="29" t="s">
        <v>51</v>
      </c>
      <c r="K1138" s="29" t="s">
        <v>2068</v>
      </c>
      <c r="L1138" s="29" t="s">
        <v>1646</v>
      </c>
      <c r="M1138" s="29" t="s">
        <v>680</v>
      </c>
      <c r="N1138" s="29" t="s">
        <v>1817</v>
      </c>
      <c r="O1138" s="29" t="s">
        <v>133</v>
      </c>
      <c r="P1138" s="30" t="s">
        <v>1617</v>
      </c>
      <c r="Q1138" s="25"/>
      <c r="R1138" s="25"/>
    </row>
    <row r="1139" s="25" customFormat="1" spans="1:16">
      <c r="A1139" s="29" t="s">
        <v>2068</v>
      </c>
      <c r="B1139" s="29" t="s">
        <v>2064</v>
      </c>
      <c r="C1139" s="29" t="s">
        <v>51</v>
      </c>
      <c r="D1139" s="29" t="s">
        <v>1502</v>
      </c>
      <c r="E1139" s="29" t="s">
        <v>35</v>
      </c>
      <c r="F1139" s="29" t="s">
        <v>51</v>
      </c>
      <c r="G1139" s="29" t="s">
        <v>678</v>
      </c>
      <c r="H1139" s="29" t="s">
        <v>176</v>
      </c>
      <c r="I1139" s="29" t="s">
        <v>39</v>
      </c>
      <c r="J1139" s="29" t="s">
        <v>55</v>
      </c>
      <c r="K1139" s="29" t="s">
        <v>2069</v>
      </c>
      <c r="L1139" s="29" t="s">
        <v>1649</v>
      </c>
      <c r="M1139" s="29" t="s">
        <v>680</v>
      </c>
      <c r="N1139" s="29" t="s">
        <v>1817</v>
      </c>
      <c r="O1139" s="29" t="s">
        <v>133</v>
      </c>
      <c r="P1139" s="30" t="s">
        <v>1619</v>
      </c>
    </row>
    <row r="1140" s="25" customFormat="1" spans="1:16">
      <c r="A1140" s="29" t="s">
        <v>2069</v>
      </c>
      <c r="B1140" s="29" t="s">
        <v>2064</v>
      </c>
      <c r="C1140" s="29" t="s">
        <v>51</v>
      </c>
      <c r="D1140" s="29" t="s">
        <v>1502</v>
      </c>
      <c r="E1140" s="29" t="s">
        <v>35</v>
      </c>
      <c r="F1140" s="29" t="s">
        <v>51</v>
      </c>
      <c r="G1140" s="29" t="s">
        <v>678</v>
      </c>
      <c r="H1140" s="29" t="s">
        <v>176</v>
      </c>
      <c r="I1140" s="29" t="s">
        <v>39</v>
      </c>
      <c r="J1140" s="29" t="s">
        <v>59</v>
      </c>
      <c r="K1140" s="29" t="s">
        <v>2070</v>
      </c>
      <c r="L1140" s="29" t="s">
        <v>1652</v>
      </c>
      <c r="M1140" s="29" t="s">
        <v>680</v>
      </c>
      <c r="N1140" s="29" t="s">
        <v>1817</v>
      </c>
      <c r="O1140" s="29" t="s">
        <v>133</v>
      </c>
      <c r="P1140" s="30" t="s">
        <v>1621</v>
      </c>
    </row>
    <row r="1141" s="25" customFormat="1" spans="1:16">
      <c r="A1141" s="29" t="s">
        <v>2070</v>
      </c>
      <c r="B1141" s="29" t="s">
        <v>2064</v>
      </c>
      <c r="C1141" s="29" t="s">
        <v>51</v>
      </c>
      <c r="D1141" s="29" t="s">
        <v>1502</v>
      </c>
      <c r="E1141" s="29" t="s">
        <v>35</v>
      </c>
      <c r="F1141" s="29" t="s">
        <v>51</v>
      </c>
      <c r="G1141" s="29" t="s">
        <v>678</v>
      </c>
      <c r="H1141" s="29" t="s">
        <v>176</v>
      </c>
      <c r="I1141" s="29" t="s">
        <v>39</v>
      </c>
      <c r="J1141" s="29" t="s">
        <v>129</v>
      </c>
      <c r="K1141" s="29" t="s">
        <v>2071</v>
      </c>
      <c r="L1141" s="29" t="s">
        <v>1655</v>
      </c>
      <c r="M1141" s="29" t="s">
        <v>680</v>
      </c>
      <c r="N1141" s="29" t="s">
        <v>1817</v>
      </c>
      <c r="O1141" s="29" t="s">
        <v>133</v>
      </c>
      <c r="P1141" s="30" t="s">
        <v>1623</v>
      </c>
    </row>
    <row r="1142" s="25" customFormat="1" spans="1:16">
      <c r="A1142" s="29" t="s">
        <v>2071</v>
      </c>
      <c r="B1142" s="29" t="s">
        <v>2064</v>
      </c>
      <c r="C1142" s="29" t="s">
        <v>51</v>
      </c>
      <c r="D1142" s="29" t="s">
        <v>1502</v>
      </c>
      <c r="E1142" s="29" t="s">
        <v>35</v>
      </c>
      <c r="F1142" s="29" t="s">
        <v>51</v>
      </c>
      <c r="G1142" s="29" t="s">
        <v>678</v>
      </c>
      <c r="H1142" s="29" t="s">
        <v>176</v>
      </c>
      <c r="I1142" s="29" t="s">
        <v>39</v>
      </c>
      <c r="J1142" s="29" t="s">
        <v>133</v>
      </c>
      <c r="K1142" s="29" t="s">
        <v>2072</v>
      </c>
      <c r="L1142" s="29" t="s">
        <v>1658</v>
      </c>
      <c r="M1142" s="29" t="s">
        <v>680</v>
      </c>
      <c r="N1142" s="29" t="s">
        <v>1817</v>
      </c>
      <c r="O1142" s="29" t="s">
        <v>133</v>
      </c>
      <c r="P1142" s="30" t="s">
        <v>1625</v>
      </c>
    </row>
    <row r="1143" s="25" customFormat="1" spans="1:16">
      <c r="A1143" s="29" t="s">
        <v>2072</v>
      </c>
      <c r="B1143" s="29" t="s">
        <v>2064</v>
      </c>
      <c r="C1143" s="29" t="s">
        <v>51</v>
      </c>
      <c r="D1143" s="29" t="s">
        <v>1502</v>
      </c>
      <c r="E1143" s="29" t="s">
        <v>35</v>
      </c>
      <c r="F1143" s="29" t="s">
        <v>51</v>
      </c>
      <c r="G1143" s="29" t="s">
        <v>678</v>
      </c>
      <c r="H1143" s="29" t="s">
        <v>176</v>
      </c>
      <c r="I1143" s="29" t="s">
        <v>39</v>
      </c>
      <c r="J1143" s="29" t="s">
        <v>137</v>
      </c>
      <c r="K1143" s="29" t="s">
        <v>2073</v>
      </c>
      <c r="L1143" s="29" t="s">
        <v>1661</v>
      </c>
      <c r="M1143" s="29" t="s">
        <v>680</v>
      </c>
      <c r="N1143" s="29" t="s">
        <v>1817</v>
      </c>
      <c r="O1143" s="29" t="s">
        <v>133</v>
      </c>
      <c r="P1143" s="30" t="s">
        <v>1627</v>
      </c>
    </row>
    <row r="1144" s="25" customFormat="1" spans="1:16">
      <c r="A1144" s="29" t="s">
        <v>2073</v>
      </c>
      <c r="B1144" s="29" t="s">
        <v>2064</v>
      </c>
      <c r="C1144" s="29" t="s">
        <v>51</v>
      </c>
      <c r="D1144" s="29" t="s">
        <v>1502</v>
      </c>
      <c r="E1144" s="29" t="s">
        <v>35</v>
      </c>
      <c r="F1144" s="29" t="s">
        <v>51</v>
      </c>
      <c r="G1144" s="29" t="s">
        <v>678</v>
      </c>
      <c r="H1144" s="29" t="s">
        <v>176</v>
      </c>
      <c r="I1144" s="29" t="s">
        <v>39</v>
      </c>
      <c r="J1144" s="29" t="s">
        <v>141</v>
      </c>
      <c r="K1144" s="29" t="s">
        <v>2074</v>
      </c>
      <c r="L1144" s="29" t="s">
        <v>1664</v>
      </c>
      <c r="M1144" s="29" t="s">
        <v>680</v>
      </c>
      <c r="N1144" s="29" t="s">
        <v>1817</v>
      </c>
      <c r="O1144" s="29" t="s">
        <v>133</v>
      </c>
      <c r="P1144" s="30" t="s">
        <v>1629</v>
      </c>
    </row>
    <row r="1145" s="25" customFormat="1" spans="1:16">
      <c r="A1145" s="29" t="s">
        <v>2074</v>
      </c>
      <c r="B1145" s="29" t="s">
        <v>2064</v>
      </c>
      <c r="C1145" s="29" t="s">
        <v>51</v>
      </c>
      <c r="D1145" s="29" t="s">
        <v>1502</v>
      </c>
      <c r="E1145" s="29" t="s">
        <v>35</v>
      </c>
      <c r="F1145" s="29" t="s">
        <v>51</v>
      </c>
      <c r="G1145" s="29" t="s">
        <v>678</v>
      </c>
      <c r="H1145" s="29" t="s">
        <v>176</v>
      </c>
      <c r="I1145" s="29" t="s">
        <v>39</v>
      </c>
      <c r="J1145" s="29" t="s">
        <v>145</v>
      </c>
      <c r="K1145" s="29" t="s">
        <v>2075</v>
      </c>
      <c r="L1145" s="29" t="s">
        <v>1666</v>
      </c>
      <c r="M1145" s="29" t="s">
        <v>680</v>
      </c>
      <c r="N1145" s="29" t="s">
        <v>1817</v>
      </c>
      <c r="O1145" s="29" t="s">
        <v>133</v>
      </c>
      <c r="P1145" s="30" t="s">
        <v>1630</v>
      </c>
    </row>
    <row r="1146" s="25" customFormat="1" spans="1:16">
      <c r="A1146" s="29" t="s">
        <v>2075</v>
      </c>
      <c r="B1146" s="29" t="s">
        <v>2064</v>
      </c>
      <c r="C1146" s="29" t="s">
        <v>51</v>
      </c>
      <c r="D1146" s="29" t="s">
        <v>1502</v>
      </c>
      <c r="E1146" s="29" t="s">
        <v>35</v>
      </c>
      <c r="F1146" s="29" t="s">
        <v>51</v>
      </c>
      <c r="G1146" s="29" t="s">
        <v>678</v>
      </c>
      <c r="H1146" s="29" t="s">
        <v>176</v>
      </c>
      <c r="I1146" s="29" t="s">
        <v>39</v>
      </c>
      <c r="J1146" s="29" t="s">
        <v>408</v>
      </c>
      <c r="K1146" s="29" t="s">
        <v>2076</v>
      </c>
      <c r="L1146" s="29" t="s">
        <v>1929</v>
      </c>
      <c r="M1146" s="29" t="s">
        <v>680</v>
      </c>
      <c r="N1146" s="29" t="s">
        <v>1817</v>
      </c>
      <c r="O1146" s="29" t="s">
        <v>133</v>
      </c>
      <c r="P1146" s="30" t="s">
        <v>1875</v>
      </c>
    </row>
    <row r="1147" s="25" customFormat="1" spans="1:16">
      <c r="A1147" s="29" t="s">
        <v>2076</v>
      </c>
      <c r="B1147" s="29" t="s">
        <v>2064</v>
      </c>
      <c r="C1147" s="29" t="s">
        <v>51</v>
      </c>
      <c r="D1147" s="29" t="s">
        <v>1502</v>
      </c>
      <c r="E1147" s="29" t="s">
        <v>35</v>
      </c>
      <c r="F1147" s="29" t="s">
        <v>51</v>
      </c>
      <c r="G1147" s="29" t="s">
        <v>678</v>
      </c>
      <c r="H1147" s="29" t="s">
        <v>176</v>
      </c>
      <c r="I1147" s="29" t="s">
        <v>39</v>
      </c>
      <c r="J1147" s="29" t="s">
        <v>412</v>
      </c>
      <c r="K1147" s="29" t="s">
        <v>2077</v>
      </c>
      <c r="L1147" s="29" t="s">
        <v>1932</v>
      </c>
      <c r="M1147" s="29" t="s">
        <v>680</v>
      </c>
      <c r="N1147" s="29" t="s">
        <v>1817</v>
      </c>
      <c r="O1147" s="29" t="s">
        <v>133</v>
      </c>
      <c r="P1147" s="30" t="s">
        <v>1877</v>
      </c>
    </row>
    <row r="1148" s="25" customFormat="1" spans="1:16">
      <c r="A1148" s="29" t="s">
        <v>2077</v>
      </c>
      <c r="B1148" s="29" t="s">
        <v>2064</v>
      </c>
      <c r="C1148" s="29" t="s">
        <v>51</v>
      </c>
      <c r="D1148" s="29" t="s">
        <v>1502</v>
      </c>
      <c r="E1148" s="29" t="s">
        <v>35</v>
      </c>
      <c r="F1148" s="29" t="s">
        <v>51</v>
      </c>
      <c r="G1148" s="29" t="s">
        <v>678</v>
      </c>
      <c r="H1148" s="29" t="s">
        <v>176</v>
      </c>
      <c r="I1148" s="29" t="s">
        <v>39</v>
      </c>
      <c r="J1148" s="29" t="s">
        <v>416</v>
      </c>
      <c r="K1148" s="29" t="s">
        <v>2078</v>
      </c>
      <c r="L1148" s="29" t="s">
        <v>1959</v>
      </c>
      <c r="M1148" s="29" t="s">
        <v>680</v>
      </c>
      <c r="N1148" s="29" t="s">
        <v>1817</v>
      </c>
      <c r="O1148" s="29" t="s">
        <v>133</v>
      </c>
      <c r="P1148" s="30" t="s">
        <v>1879</v>
      </c>
    </row>
    <row r="1149" s="26" customFormat="1" spans="1:18">
      <c r="A1149" s="29" t="s">
        <v>2078</v>
      </c>
      <c r="B1149" s="29" t="s">
        <v>2064</v>
      </c>
      <c r="C1149" s="29" t="s">
        <v>51</v>
      </c>
      <c r="D1149" s="29" t="s">
        <v>1502</v>
      </c>
      <c r="E1149" s="29" t="s">
        <v>35</v>
      </c>
      <c r="F1149" s="29" t="s">
        <v>51</v>
      </c>
      <c r="G1149" s="29" t="s">
        <v>678</v>
      </c>
      <c r="H1149" s="29" t="s">
        <v>176</v>
      </c>
      <c r="I1149" s="29" t="s">
        <v>39</v>
      </c>
      <c r="J1149" s="29" t="s">
        <v>420</v>
      </c>
      <c r="K1149" s="29" t="s">
        <v>2079</v>
      </c>
      <c r="L1149" s="29" t="s">
        <v>1962</v>
      </c>
      <c r="M1149" s="29" t="s">
        <v>680</v>
      </c>
      <c r="N1149" s="29" t="s">
        <v>1817</v>
      </c>
      <c r="O1149" s="29" t="s">
        <v>133</v>
      </c>
      <c r="P1149" s="30" t="s">
        <v>1881</v>
      </c>
      <c r="Q1149" s="25"/>
      <c r="R1149" s="25"/>
    </row>
    <row r="1150" s="25" customFormat="1" spans="1:16">
      <c r="A1150" s="29" t="s">
        <v>2079</v>
      </c>
      <c r="B1150" s="29" t="s">
        <v>2064</v>
      </c>
      <c r="C1150" s="29" t="s">
        <v>51</v>
      </c>
      <c r="D1150" s="29" t="s">
        <v>1502</v>
      </c>
      <c r="E1150" s="29" t="s">
        <v>35</v>
      </c>
      <c r="F1150" s="29" t="s">
        <v>51</v>
      </c>
      <c r="G1150" s="29" t="s">
        <v>678</v>
      </c>
      <c r="H1150" s="29" t="s">
        <v>176</v>
      </c>
      <c r="I1150" s="29" t="s">
        <v>39</v>
      </c>
      <c r="J1150" s="29" t="s">
        <v>424</v>
      </c>
      <c r="K1150" s="29" t="s">
        <v>2080</v>
      </c>
      <c r="L1150" s="29" t="s">
        <v>2024</v>
      </c>
      <c r="M1150" s="29" t="s">
        <v>680</v>
      </c>
      <c r="N1150" s="29" t="s">
        <v>1817</v>
      </c>
      <c r="O1150" s="29" t="s">
        <v>133</v>
      </c>
      <c r="P1150" s="30" t="s">
        <v>1882</v>
      </c>
    </row>
    <row r="1151" s="25" customFormat="1" spans="1:16">
      <c r="A1151" s="29" t="s">
        <v>2080</v>
      </c>
      <c r="B1151" s="29" t="s">
        <v>2064</v>
      </c>
      <c r="C1151" s="29" t="s">
        <v>51</v>
      </c>
      <c r="D1151" s="29" t="s">
        <v>1502</v>
      </c>
      <c r="E1151" s="29" t="s">
        <v>35</v>
      </c>
      <c r="F1151" s="29" t="s">
        <v>51</v>
      </c>
      <c r="G1151" s="29" t="s">
        <v>678</v>
      </c>
      <c r="H1151" s="29" t="s">
        <v>176</v>
      </c>
      <c r="I1151" s="29" t="s">
        <v>39</v>
      </c>
      <c r="J1151" s="29" t="s">
        <v>631</v>
      </c>
      <c r="K1151" s="29" t="s">
        <v>2081</v>
      </c>
      <c r="L1151" s="29" t="s">
        <v>2026</v>
      </c>
      <c r="M1151" s="29" t="s">
        <v>680</v>
      </c>
      <c r="N1151" s="29" t="s">
        <v>1817</v>
      </c>
      <c r="O1151" s="29" t="s">
        <v>133</v>
      </c>
      <c r="P1151" s="30" t="s">
        <v>2082</v>
      </c>
    </row>
    <row r="1152" s="25" customFormat="1" spans="1:16">
      <c r="A1152" s="29" t="s">
        <v>2081</v>
      </c>
      <c r="B1152" s="29" t="s">
        <v>2064</v>
      </c>
      <c r="C1152" s="29" t="s">
        <v>51</v>
      </c>
      <c r="D1152" s="29" t="s">
        <v>1502</v>
      </c>
      <c r="E1152" s="29" t="s">
        <v>35</v>
      </c>
      <c r="F1152" s="29" t="s">
        <v>51</v>
      </c>
      <c r="G1152" s="29" t="s">
        <v>678</v>
      </c>
      <c r="H1152" s="29" t="s">
        <v>176</v>
      </c>
      <c r="I1152" s="29" t="s">
        <v>39</v>
      </c>
      <c r="J1152" s="29" t="s">
        <v>635</v>
      </c>
      <c r="K1152" s="29" t="s">
        <v>2083</v>
      </c>
      <c r="L1152" s="29" t="s">
        <v>2029</v>
      </c>
      <c r="M1152" s="29" t="s">
        <v>680</v>
      </c>
      <c r="N1152" s="29" t="s">
        <v>1817</v>
      </c>
      <c r="O1152" s="29" t="s">
        <v>133</v>
      </c>
      <c r="P1152" s="30" t="s">
        <v>2084</v>
      </c>
    </row>
    <row r="1153" s="25" customFormat="1" spans="1:16">
      <c r="A1153" s="29" t="s">
        <v>2083</v>
      </c>
      <c r="B1153" s="29" t="s">
        <v>2064</v>
      </c>
      <c r="C1153" s="29" t="s">
        <v>51</v>
      </c>
      <c r="D1153" s="29" t="s">
        <v>1502</v>
      </c>
      <c r="E1153" s="29" t="s">
        <v>35</v>
      </c>
      <c r="F1153" s="29" t="s">
        <v>51</v>
      </c>
      <c r="G1153" s="29" t="s">
        <v>678</v>
      </c>
      <c r="H1153" s="29" t="s">
        <v>176</v>
      </c>
      <c r="I1153" s="29" t="s">
        <v>39</v>
      </c>
      <c r="J1153" s="29" t="s">
        <v>639</v>
      </c>
      <c r="K1153" s="29" t="s">
        <v>2085</v>
      </c>
      <c r="L1153" s="29" t="s">
        <v>2032</v>
      </c>
      <c r="M1153" s="29" t="s">
        <v>680</v>
      </c>
      <c r="N1153" s="29" t="s">
        <v>1817</v>
      </c>
      <c r="O1153" s="29" t="s">
        <v>133</v>
      </c>
      <c r="P1153" s="30" t="s">
        <v>2086</v>
      </c>
    </row>
    <row r="1154" s="25" customFormat="1" spans="1:16">
      <c r="A1154" s="29" t="s">
        <v>2085</v>
      </c>
      <c r="B1154" s="29" t="s">
        <v>2064</v>
      </c>
      <c r="C1154" s="29" t="s">
        <v>51</v>
      </c>
      <c r="D1154" s="29" t="s">
        <v>1502</v>
      </c>
      <c r="E1154" s="29" t="s">
        <v>35</v>
      </c>
      <c r="F1154" s="29" t="s">
        <v>51</v>
      </c>
      <c r="G1154" s="29" t="s">
        <v>678</v>
      </c>
      <c r="H1154" s="29" t="s">
        <v>176</v>
      </c>
      <c r="I1154" s="29" t="s">
        <v>39</v>
      </c>
      <c r="J1154" s="29" t="s">
        <v>643</v>
      </c>
      <c r="K1154" s="29" t="s">
        <v>2087</v>
      </c>
      <c r="L1154" s="29" t="s">
        <v>2035</v>
      </c>
      <c r="M1154" s="29" t="s">
        <v>680</v>
      </c>
      <c r="N1154" s="29" t="s">
        <v>1817</v>
      </c>
      <c r="O1154" s="29" t="s">
        <v>133</v>
      </c>
      <c r="P1154" s="30" t="s">
        <v>2088</v>
      </c>
    </row>
    <row r="1155" s="25" customFormat="1" spans="1:16">
      <c r="A1155" s="29" t="s">
        <v>2087</v>
      </c>
      <c r="B1155" s="29" t="s">
        <v>2064</v>
      </c>
      <c r="C1155" s="29" t="s">
        <v>51</v>
      </c>
      <c r="D1155" s="29" t="s">
        <v>1502</v>
      </c>
      <c r="E1155" s="29" t="s">
        <v>35</v>
      </c>
      <c r="F1155" s="29" t="s">
        <v>51</v>
      </c>
      <c r="G1155" s="29" t="s">
        <v>678</v>
      </c>
      <c r="H1155" s="29" t="s">
        <v>176</v>
      </c>
      <c r="I1155" s="29" t="s">
        <v>39</v>
      </c>
      <c r="J1155" s="29" t="s">
        <v>647</v>
      </c>
      <c r="K1155" s="29" t="s">
        <v>39</v>
      </c>
      <c r="L1155" s="29" t="s">
        <v>39</v>
      </c>
      <c r="M1155" s="29" t="s">
        <v>39</v>
      </c>
      <c r="N1155" s="29" t="s">
        <v>1817</v>
      </c>
      <c r="O1155" s="29" t="s">
        <v>133</v>
      </c>
      <c r="P1155" s="30" t="s">
        <v>2089</v>
      </c>
    </row>
    <row r="1156" s="25" customFormat="1" spans="1:16">
      <c r="A1156" s="29" t="s">
        <v>2090</v>
      </c>
      <c r="B1156" s="29" t="s">
        <v>2090</v>
      </c>
      <c r="C1156" s="29" t="s">
        <v>51</v>
      </c>
      <c r="D1156" s="29" t="s">
        <v>1502</v>
      </c>
      <c r="E1156" s="29" t="s">
        <v>47</v>
      </c>
      <c r="F1156" s="29" t="s">
        <v>51</v>
      </c>
      <c r="G1156" s="29" t="s">
        <v>1632</v>
      </c>
      <c r="H1156" s="29" t="s">
        <v>1633</v>
      </c>
      <c r="I1156" s="29" t="s">
        <v>204</v>
      </c>
      <c r="J1156" s="29" t="s">
        <v>39</v>
      </c>
      <c r="K1156" s="29" t="s">
        <v>2091</v>
      </c>
      <c r="L1156" s="29" t="s">
        <v>1635</v>
      </c>
      <c r="M1156" s="29" t="s">
        <v>709</v>
      </c>
      <c r="N1156" s="29" t="s">
        <v>1636</v>
      </c>
      <c r="O1156" s="29" t="s">
        <v>137</v>
      </c>
      <c r="P1156" s="30" t="s">
        <v>1637</v>
      </c>
    </row>
    <row r="1157" s="25" customFormat="1" spans="1:16">
      <c r="A1157" s="29" t="s">
        <v>2091</v>
      </c>
      <c r="B1157" s="29" t="s">
        <v>2090</v>
      </c>
      <c r="C1157" s="29" t="s">
        <v>51</v>
      </c>
      <c r="D1157" s="29" t="s">
        <v>1502</v>
      </c>
      <c r="E1157" s="29" t="s">
        <v>47</v>
      </c>
      <c r="F1157" s="29" t="s">
        <v>51</v>
      </c>
      <c r="G1157" s="29" t="s">
        <v>1632</v>
      </c>
      <c r="H1157" s="29" t="s">
        <v>1633</v>
      </c>
      <c r="I1157" s="29" t="s">
        <v>204</v>
      </c>
      <c r="J1157" s="29" t="s">
        <v>35</v>
      </c>
      <c r="K1157" s="29" t="s">
        <v>2092</v>
      </c>
      <c r="L1157" s="29" t="s">
        <v>1639</v>
      </c>
      <c r="M1157" s="29" t="s">
        <v>709</v>
      </c>
      <c r="N1157" s="29" t="s">
        <v>1640</v>
      </c>
      <c r="O1157" s="29" t="s">
        <v>137</v>
      </c>
      <c r="P1157" s="30" t="s">
        <v>1641</v>
      </c>
    </row>
    <row r="1158" s="25" customFormat="1" spans="1:16">
      <c r="A1158" s="29" t="s">
        <v>2092</v>
      </c>
      <c r="B1158" s="29" t="s">
        <v>2090</v>
      </c>
      <c r="C1158" s="29" t="s">
        <v>51</v>
      </c>
      <c r="D1158" s="29" t="s">
        <v>1502</v>
      </c>
      <c r="E1158" s="29" t="s">
        <v>47</v>
      </c>
      <c r="F1158" s="29" t="s">
        <v>51</v>
      </c>
      <c r="G1158" s="29" t="s">
        <v>1632</v>
      </c>
      <c r="H1158" s="29" t="s">
        <v>1633</v>
      </c>
      <c r="I1158" s="29" t="s">
        <v>204</v>
      </c>
      <c r="J1158" s="29" t="s">
        <v>47</v>
      </c>
      <c r="K1158" s="29" t="s">
        <v>2093</v>
      </c>
      <c r="L1158" s="29" t="s">
        <v>1643</v>
      </c>
      <c r="M1158" s="29" t="s">
        <v>709</v>
      </c>
      <c r="N1158" s="29" t="s">
        <v>1640</v>
      </c>
      <c r="O1158" s="29" t="s">
        <v>137</v>
      </c>
      <c r="P1158" s="30" t="s">
        <v>1644</v>
      </c>
    </row>
    <row r="1159" s="25" customFormat="1" spans="1:16">
      <c r="A1159" s="29" t="s">
        <v>2093</v>
      </c>
      <c r="B1159" s="29" t="s">
        <v>2090</v>
      </c>
      <c r="C1159" s="29" t="s">
        <v>51</v>
      </c>
      <c r="D1159" s="29" t="s">
        <v>1502</v>
      </c>
      <c r="E1159" s="29" t="s">
        <v>47</v>
      </c>
      <c r="F1159" s="29" t="s">
        <v>51</v>
      </c>
      <c r="G1159" s="29" t="s">
        <v>1632</v>
      </c>
      <c r="H1159" s="29" t="s">
        <v>1633</v>
      </c>
      <c r="I1159" s="29" t="s">
        <v>204</v>
      </c>
      <c r="J1159" s="29" t="s">
        <v>51</v>
      </c>
      <c r="K1159" s="29" t="s">
        <v>2094</v>
      </c>
      <c r="L1159" s="29" t="s">
        <v>1646</v>
      </c>
      <c r="M1159" s="29" t="s">
        <v>709</v>
      </c>
      <c r="N1159" s="29" t="s">
        <v>1640</v>
      </c>
      <c r="O1159" s="29" t="s">
        <v>137</v>
      </c>
      <c r="P1159" s="30" t="s">
        <v>1647</v>
      </c>
    </row>
    <row r="1160" s="26" customFormat="1" spans="1:18">
      <c r="A1160" s="29" t="s">
        <v>2094</v>
      </c>
      <c r="B1160" s="29" t="s">
        <v>2090</v>
      </c>
      <c r="C1160" s="29" t="s">
        <v>51</v>
      </c>
      <c r="D1160" s="29" t="s">
        <v>1502</v>
      </c>
      <c r="E1160" s="29" t="s">
        <v>47</v>
      </c>
      <c r="F1160" s="29" t="s">
        <v>51</v>
      </c>
      <c r="G1160" s="29" t="s">
        <v>1632</v>
      </c>
      <c r="H1160" s="29" t="s">
        <v>1633</v>
      </c>
      <c r="I1160" s="29" t="s">
        <v>204</v>
      </c>
      <c r="J1160" s="29" t="s">
        <v>55</v>
      </c>
      <c r="K1160" s="29" t="s">
        <v>2095</v>
      </c>
      <c r="L1160" s="29" t="s">
        <v>1649</v>
      </c>
      <c r="M1160" s="29" t="s">
        <v>709</v>
      </c>
      <c r="N1160" s="29" t="s">
        <v>1640</v>
      </c>
      <c r="O1160" s="29" t="s">
        <v>137</v>
      </c>
      <c r="P1160" s="30" t="s">
        <v>1650</v>
      </c>
      <c r="Q1160" s="25"/>
      <c r="R1160" s="25"/>
    </row>
    <row r="1161" s="25" customFormat="1" spans="1:16">
      <c r="A1161" s="29" t="s">
        <v>2095</v>
      </c>
      <c r="B1161" s="29" t="s">
        <v>2090</v>
      </c>
      <c r="C1161" s="29" t="s">
        <v>51</v>
      </c>
      <c r="D1161" s="29" t="s">
        <v>1502</v>
      </c>
      <c r="E1161" s="29" t="s">
        <v>47</v>
      </c>
      <c r="F1161" s="29" t="s">
        <v>51</v>
      </c>
      <c r="G1161" s="29" t="s">
        <v>1632</v>
      </c>
      <c r="H1161" s="29" t="s">
        <v>1633</v>
      </c>
      <c r="I1161" s="29" t="s">
        <v>204</v>
      </c>
      <c r="J1161" s="29" t="s">
        <v>59</v>
      </c>
      <c r="K1161" s="29" t="s">
        <v>2096</v>
      </c>
      <c r="L1161" s="29" t="s">
        <v>1652</v>
      </c>
      <c r="M1161" s="29" t="s">
        <v>709</v>
      </c>
      <c r="N1161" s="29" t="s">
        <v>1640</v>
      </c>
      <c r="O1161" s="29" t="s">
        <v>137</v>
      </c>
      <c r="P1161" s="30" t="s">
        <v>1653</v>
      </c>
    </row>
    <row r="1162" s="25" customFormat="1" spans="1:16">
      <c r="A1162" s="29" t="s">
        <v>2096</v>
      </c>
      <c r="B1162" s="29" t="s">
        <v>2090</v>
      </c>
      <c r="C1162" s="29" t="s">
        <v>51</v>
      </c>
      <c r="D1162" s="29" t="s">
        <v>1502</v>
      </c>
      <c r="E1162" s="29" t="s">
        <v>47</v>
      </c>
      <c r="F1162" s="29" t="s">
        <v>51</v>
      </c>
      <c r="G1162" s="29" t="s">
        <v>1632</v>
      </c>
      <c r="H1162" s="29" t="s">
        <v>1633</v>
      </c>
      <c r="I1162" s="29" t="s">
        <v>204</v>
      </c>
      <c r="J1162" s="29" t="s">
        <v>129</v>
      </c>
      <c r="K1162" s="29" t="s">
        <v>2097</v>
      </c>
      <c r="L1162" s="29" t="s">
        <v>1655</v>
      </c>
      <c r="M1162" s="29" t="s">
        <v>709</v>
      </c>
      <c r="N1162" s="29" t="s">
        <v>1640</v>
      </c>
      <c r="O1162" s="29" t="s">
        <v>137</v>
      </c>
      <c r="P1162" s="30" t="s">
        <v>1656</v>
      </c>
    </row>
    <row r="1163" s="25" customFormat="1" spans="1:16">
      <c r="A1163" s="29" t="s">
        <v>2097</v>
      </c>
      <c r="B1163" s="29" t="s">
        <v>2090</v>
      </c>
      <c r="C1163" s="29" t="s">
        <v>51</v>
      </c>
      <c r="D1163" s="29" t="s">
        <v>1502</v>
      </c>
      <c r="E1163" s="29" t="s">
        <v>47</v>
      </c>
      <c r="F1163" s="29" t="s">
        <v>51</v>
      </c>
      <c r="G1163" s="29" t="s">
        <v>1632</v>
      </c>
      <c r="H1163" s="29" t="s">
        <v>1633</v>
      </c>
      <c r="I1163" s="29" t="s">
        <v>204</v>
      </c>
      <c r="J1163" s="29" t="s">
        <v>133</v>
      </c>
      <c r="K1163" s="29" t="s">
        <v>2098</v>
      </c>
      <c r="L1163" s="29" t="s">
        <v>1658</v>
      </c>
      <c r="M1163" s="29" t="s">
        <v>709</v>
      </c>
      <c r="N1163" s="29" t="s">
        <v>1640</v>
      </c>
      <c r="O1163" s="29" t="s">
        <v>137</v>
      </c>
      <c r="P1163" s="30" t="s">
        <v>1659</v>
      </c>
    </row>
    <row r="1164" s="25" customFormat="1" spans="1:16">
      <c r="A1164" s="29" t="s">
        <v>2098</v>
      </c>
      <c r="B1164" s="29" t="s">
        <v>2090</v>
      </c>
      <c r="C1164" s="29" t="s">
        <v>51</v>
      </c>
      <c r="D1164" s="29" t="s">
        <v>1502</v>
      </c>
      <c r="E1164" s="29" t="s">
        <v>47</v>
      </c>
      <c r="F1164" s="29" t="s">
        <v>51</v>
      </c>
      <c r="G1164" s="29" t="s">
        <v>1632</v>
      </c>
      <c r="H1164" s="29" t="s">
        <v>1633</v>
      </c>
      <c r="I1164" s="29" t="s">
        <v>204</v>
      </c>
      <c r="J1164" s="29" t="s">
        <v>137</v>
      </c>
      <c r="K1164" s="29" t="s">
        <v>2099</v>
      </c>
      <c r="L1164" s="29" t="s">
        <v>1661</v>
      </c>
      <c r="M1164" s="29" t="s">
        <v>709</v>
      </c>
      <c r="N1164" s="29" t="s">
        <v>1640</v>
      </c>
      <c r="O1164" s="29" t="s">
        <v>137</v>
      </c>
      <c r="P1164" s="30" t="s">
        <v>1662</v>
      </c>
    </row>
    <row r="1165" s="25" customFormat="1" spans="1:16">
      <c r="A1165" s="29" t="s">
        <v>2099</v>
      </c>
      <c r="B1165" s="29" t="s">
        <v>2090</v>
      </c>
      <c r="C1165" s="29" t="s">
        <v>51</v>
      </c>
      <c r="D1165" s="29" t="s">
        <v>1502</v>
      </c>
      <c r="E1165" s="29" t="s">
        <v>47</v>
      </c>
      <c r="F1165" s="29" t="s">
        <v>51</v>
      </c>
      <c r="G1165" s="29" t="s">
        <v>1632</v>
      </c>
      <c r="H1165" s="29" t="s">
        <v>1633</v>
      </c>
      <c r="I1165" s="29" t="s">
        <v>204</v>
      </c>
      <c r="J1165" s="29" t="s">
        <v>141</v>
      </c>
      <c r="K1165" s="29" t="s">
        <v>2100</v>
      </c>
      <c r="L1165" s="29" t="s">
        <v>1664</v>
      </c>
      <c r="M1165" s="29" t="s">
        <v>709</v>
      </c>
      <c r="N1165" s="29" t="s">
        <v>1640</v>
      </c>
      <c r="O1165" s="29" t="s">
        <v>137</v>
      </c>
      <c r="P1165" s="30" t="s">
        <v>1665</v>
      </c>
    </row>
    <row r="1166" s="25" customFormat="1" spans="1:16">
      <c r="A1166" s="29" t="s">
        <v>2100</v>
      </c>
      <c r="B1166" s="29" t="s">
        <v>2090</v>
      </c>
      <c r="C1166" s="29" t="s">
        <v>51</v>
      </c>
      <c r="D1166" s="29" t="s">
        <v>1502</v>
      </c>
      <c r="E1166" s="29" t="s">
        <v>47</v>
      </c>
      <c r="F1166" s="29" t="s">
        <v>51</v>
      </c>
      <c r="G1166" s="29" t="s">
        <v>1632</v>
      </c>
      <c r="H1166" s="29" t="s">
        <v>1633</v>
      </c>
      <c r="I1166" s="29" t="s">
        <v>204</v>
      </c>
      <c r="J1166" s="29" t="s">
        <v>145</v>
      </c>
      <c r="K1166" s="29" t="s">
        <v>2101</v>
      </c>
      <c r="L1166" s="29" t="s">
        <v>1666</v>
      </c>
      <c r="M1166" s="29" t="s">
        <v>709</v>
      </c>
      <c r="N1166" s="29" t="s">
        <v>1640</v>
      </c>
      <c r="O1166" s="29" t="s">
        <v>137</v>
      </c>
      <c r="P1166" s="30" t="s">
        <v>1667</v>
      </c>
    </row>
    <row r="1167" s="25" customFormat="1" spans="1:16">
      <c r="A1167" s="29" t="s">
        <v>2101</v>
      </c>
      <c r="B1167" s="29" t="s">
        <v>2090</v>
      </c>
      <c r="C1167" s="29" t="s">
        <v>51</v>
      </c>
      <c r="D1167" s="29" t="s">
        <v>1502</v>
      </c>
      <c r="E1167" s="29" t="s">
        <v>47</v>
      </c>
      <c r="F1167" s="29" t="s">
        <v>51</v>
      </c>
      <c r="G1167" s="29" t="s">
        <v>1632</v>
      </c>
      <c r="H1167" s="29" t="s">
        <v>1633</v>
      </c>
      <c r="I1167" s="29" t="s">
        <v>204</v>
      </c>
      <c r="J1167" s="29" t="s">
        <v>408</v>
      </c>
      <c r="K1167" s="29" t="s">
        <v>2102</v>
      </c>
      <c r="L1167" s="29" t="s">
        <v>1929</v>
      </c>
      <c r="M1167" s="29" t="s">
        <v>709</v>
      </c>
      <c r="N1167" s="29" t="s">
        <v>1640</v>
      </c>
      <c r="O1167" s="29" t="s">
        <v>137</v>
      </c>
      <c r="P1167" s="30" t="s">
        <v>2103</v>
      </c>
    </row>
    <row r="1168" s="25" customFormat="1" spans="1:16">
      <c r="A1168" s="29" t="s">
        <v>2102</v>
      </c>
      <c r="B1168" s="29" t="s">
        <v>2090</v>
      </c>
      <c r="C1168" s="29" t="s">
        <v>51</v>
      </c>
      <c r="D1168" s="29" t="s">
        <v>1502</v>
      </c>
      <c r="E1168" s="29" t="s">
        <v>47</v>
      </c>
      <c r="F1168" s="29" t="s">
        <v>51</v>
      </c>
      <c r="G1168" s="29" t="s">
        <v>1632</v>
      </c>
      <c r="H1168" s="29" t="s">
        <v>1633</v>
      </c>
      <c r="I1168" s="29" t="s">
        <v>204</v>
      </c>
      <c r="J1168" s="29" t="s">
        <v>412</v>
      </c>
      <c r="K1168" s="29" t="s">
        <v>2104</v>
      </c>
      <c r="L1168" s="29" t="s">
        <v>1932</v>
      </c>
      <c r="M1168" s="29" t="s">
        <v>709</v>
      </c>
      <c r="N1168" s="29" t="s">
        <v>1640</v>
      </c>
      <c r="O1168" s="29" t="s">
        <v>137</v>
      </c>
      <c r="P1168" s="30" t="s">
        <v>2105</v>
      </c>
    </row>
    <row r="1169" s="25" customFormat="1" spans="1:16">
      <c r="A1169" s="29" t="s">
        <v>2104</v>
      </c>
      <c r="B1169" s="29" t="s">
        <v>2090</v>
      </c>
      <c r="C1169" s="29" t="s">
        <v>51</v>
      </c>
      <c r="D1169" s="29" t="s">
        <v>1502</v>
      </c>
      <c r="E1169" s="29" t="s">
        <v>47</v>
      </c>
      <c r="F1169" s="29" t="s">
        <v>51</v>
      </c>
      <c r="G1169" s="29" t="s">
        <v>1632</v>
      </c>
      <c r="H1169" s="29" t="s">
        <v>1633</v>
      </c>
      <c r="I1169" s="29" t="s">
        <v>204</v>
      </c>
      <c r="J1169" s="29" t="s">
        <v>416</v>
      </c>
      <c r="K1169" s="29" t="s">
        <v>2106</v>
      </c>
      <c r="L1169" s="29" t="s">
        <v>1959</v>
      </c>
      <c r="M1169" s="29" t="s">
        <v>709</v>
      </c>
      <c r="N1169" s="29" t="s">
        <v>1640</v>
      </c>
      <c r="O1169" s="29" t="s">
        <v>137</v>
      </c>
      <c r="P1169" s="30" t="s">
        <v>2107</v>
      </c>
    </row>
    <row r="1170" s="25" customFormat="1" spans="1:16">
      <c r="A1170" s="29" t="s">
        <v>2106</v>
      </c>
      <c r="B1170" s="29" t="s">
        <v>2090</v>
      </c>
      <c r="C1170" s="29" t="s">
        <v>51</v>
      </c>
      <c r="D1170" s="29" t="s">
        <v>1502</v>
      </c>
      <c r="E1170" s="29" t="s">
        <v>47</v>
      </c>
      <c r="F1170" s="29" t="s">
        <v>51</v>
      </c>
      <c r="G1170" s="29" t="s">
        <v>1632</v>
      </c>
      <c r="H1170" s="29" t="s">
        <v>1633</v>
      </c>
      <c r="I1170" s="29" t="s">
        <v>204</v>
      </c>
      <c r="J1170" s="29" t="s">
        <v>420</v>
      </c>
      <c r="K1170" s="29" t="s">
        <v>2108</v>
      </c>
      <c r="L1170" s="29" t="s">
        <v>1962</v>
      </c>
      <c r="M1170" s="29" t="s">
        <v>709</v>
      </c>
      <c r="N1170" s="29" t="s">
        <v>1640</v>
      </c>
      <c r="O1170" s="29" t="s">
        <v>137</v>
      </c>
      <c r="P1170" s="30" t="s">
        <v>2109</v>
      </c>
    </row>
    <row r="1171" s="26" customFormat="1" spans="1:18">
      <c r="A1171" s="29" t="s">
        <v>2108</v>
      </c>
      <c r="B1171" s="29" t="s">
        <v>2090</v>
      </c>
      <c r="C1171" s="29" t="s">
        <v>51</v>
      </c>
      <c r="D1171" s="29" t="s">
        <v>1502</v>
      </c>
      <c r="E1171" s="29" t="s">
        <v>47</v>
      </c>
      <c r="F1171" s="29" t="s">
        <v>51</v>
      </c>
      <c r="G1171" s="29" t="s">
        <v>1632</v>
      </c>
      <c r="H1171" s="29" t="s">
        <v>1633</v>
      </c>
      <c r="I1171" s="29" t="s">
        <v>204</v>
      </c>
      <c r="J1171" s="29" t="s">
        <v>424</v>
      </c>
      <c r="K1171" s="29" t="s">
        <v>2110</v>
      </c>
      <c r="L1171" s="29" t="s">
        <v>2024</v>
      </c>
      <c r="M1171" s="29" t="s">
        <v>709</v>
      </c>
      <c r="N1171" s="29" t="s">
        <v>1640</v>
      </c>
      <c r="O1171" s="29" t="s">
        <v>137</v>
      </c>
      <c r="P1171" s="30" t="s">
        <v>2111</v>
      </c>
      <c r="Q1171" s="25"/>
      <c r="R1171" s="25"/>
    </row>
    <row r="1172" s="25" customFormat="1" spans="1:16">
      <c r="A1172" s="29" t="s">
        <v>2110</v>
      </c>
      <c r="B1172" s="29" t="s">
        <v>2090</v>
      </c>
      <c r="C1172" s="29" t="s">
        <v>51</v>
      </c>
      <c r="D1172" s="29" t="s">
        <v>1502</v>
      </c>
      <c r="E1172" s="29" t="s">
        <v>47</v>
      </c>
      <c r="F1172" s="29" t="s">
        <v>51</v>
      </c>
      <c r="G1172" s="29" t="s">
        <v>1632</v>
      </c>
      <c r="H1172" s="29" t="s">
        <v>1633</v>
      </c>
      <c r="I1172" s="29" t="s">
        <v>204</v>
      </c>
      <c r="J1172" s="29" t="s">
        <v>631</v>
      </c>
      <c r="K1172" s="29" t="s">
        <v>2112</v>
      </c>
      <c r="L1172" s="29" t="s">
        <v>2026</v>
      </c>
      <c r="M1172" s="29" t="s">
        <v>709</v>
      </c>
      <c r="N1172" s="29" t="s">
        <v>1640</v>
      </c>
      <c r="O1172" s="29" t="s">
        <v>137</v>
      </c>
      <c r="P1172" s="30" t="s">
        <v>2113</v>
      </c>
    </row>
    <row r="1173" s="25" customFormat="1" spans="1:16">
      <c r="A1173" s="29" t="s">
        <v>2112</v>
      </c>
      <c r="B1173" s="29" t="s">
        <v>2090</v>
      </c>
      <c r="C1173" s="29" t="s">
        <v>51</v>
      </c>
      <c r="D1173" s="29" t="s">
        <v>1502</v>
      </c>
      <c r="E1173" s="29" t="s">
        <v>47</v>
      </c>
      <c r="F1173" s="29" t="s">
        <v>51</v>
      </c>
      <c r="G1173" s="29" t="s">
        <v>1632</v>
      </c>
      <c r="H1173" s="29" t="s">
        <v>1633</v>
      </c>
      <c r="I1173" s="29" t="s">
        <v>204</v>
      </c>
      <c r="J1173" s="29" t="s">
        <v>635</v>
      </c>
      <c r="K1173" s="29" t="s">
        <v>2114</v>
      </c>
      <c r="L1173" s="29" t="s">
        <v>2029</v>
      </c>
      <c r="M1173" s="29" t="s">
        <v>709</v>
      </c>
      <c r="N1173" s="29" t="s">
        <v>1640</v>
      </c>
      <c r="O1173" s="29" t="s">
        <v>137</v>
      </c>
      <c r="P1173" s="30" t="s">
        <v>2115</v>
      </c>
    </row>
    <row r="1174" s="25" customFormat="1" spans="1:16">
      <c r="A1174" s="29" t="s">
        <v>2114</v>
      </c>
      <c r="B1174" s="29" t="s">
        <v>2090</v>
      </c>
      <c r="C1174" s="29" t="s">
        <v>51</v>
      </c>
      <c r="D1174" s="29" t="s">
        <v>1502</v>
      </c>
      <c r="E1174" s="29" t="s">
        <v>47</v>
      </c>
      <c r="F1174" s="29" t="s">
        <v>51</v>
      </c>
      <c r="G1174" s="29" t="s">
        <v>1632</v>
      </c>
      <c r="H1174" s="29" t="s">
        <v>1633</v>
      </c>
      <c r="I1174" s="29" t="s">
        <v>204</v>
      </c>
      <c r="J1174" s="29" t="s">
        <v>639</v>
      </c>
      <c r="K1174" s="29" t="s">
        <v>2116</v>
      </c>
      <c r="L1174" s="29" t="s">
        <v>2032</v>
      </c>
      <c r="M1174" s="29" t="s">
        <v>709</v>
      </c>
      <c r="N1174" s="29" t="s">
        <v>1640</v>
      </c>
      <c r="O1174" s="29" t="s">
        <v>137</v>
      </c>
      <c r="P1174" s="30" t="s">
        <v>2117</v>
      </c>
    </row>
    <row r="1175" s="25" customFormat="1" spans="1:16">
      <c r="A1175" s="29" t="s">
        <v>2116</v>
      </c>
      <c r="B1175" s="29" t="s">
        <v>2090</v>
      </c>
      <c r="C1175" s="29" t="s">
        <v>51</v>
      </c>
      <c r="D1175" s="29" t="s">
        <v>1502</v>
      </c>
      <c r="E1175" s="29" t="s">
        <v>47</v>
      </c>
      <c r="F1175" s="29" t="s">
        <v>51</v>
      </c>
      <c r="G1175" s="29" t="s">
        <v>1632</v>
      </c>
      <c r="H1175" s="29" t="s">
        <v>1633</v>
      </c>
      <c r="I1175" s="29" t="s">
        <v>204</v>
      </c>
      <c r="J1175" s="29" t="s">
        <v>643</v>
      </c>
      <c r="K1175" s="29" t="s">
        <v>2118</v>
      </c>
      <c r="L1175" s="29" t="s">
        <v>2035</v>
      </c>
      <c r="M1175" s="29" t="s">
        <v>709</v>
      </c>
      <c r="N1175" s="29" t="s">
        <v>1640</v>
      </c>
      <c r="O1175" s="29" t="s">
        <v>137</v>
      </c>
      <c r="P1175" s="30" t="s">
        <v>2119</v>
      </c>
    </row>
    <row r="1176" s="25" customFormat="1" spans="1:16">
      <c r="A1176" s="29" t="s">
        <v>2118</v>
      </c>
      <c r="B1176" s="29" t="s">
        <v>2090</v>
      </c>
      <c r="C1176" s="29" t="s">
        <v>51</v>
      </c>
      <c r="D1176" s="29" t="s">
        <v>1502</v>
      </c>
      <c r="E1176" s="29" t="s">
        <v>47</v>
      </c>
      <c r="F1176" s="29" t="s">
        <v>51</v>
      </c>
      <c r="G1176" s="29" t="s">
        <v>1632</v>
      </c>
      <c r="H1176" s="29" t="s">
        <v>1633</v>
      </c>
      <c r="I1176" s="29" t="s">
        <v>204</v>
      </c>
      <c r="J1176" s="29" t="s">
        <v>647</v>
      </c>
      <c r="K1176" s="29" t="s">
        <v>39</v>
      </c>
      <c r="L1176" s="29" t="s">
        <v>39</v>
      </c>
      <c r="M1176" s="29" t="s">
        <v>39</v>
      </c>
      <c r="N1176" s="29" t="s">
        <v>1640</v>
      </c>
      <c r="O1176" s="29" t="s">
        <v>137</v>
      </c>
      <c r="P1176" s="30" t="s">
        <v>2120</v>
      </c>
    </row>
    <row r="1177" s="25" customFormat="1" spans="1:16">
      <c r="A1177" s="29" t="s">
        <v>2121</v>
      </c>
      <c r="B1177" s="29" t="s">
        <v>2121</v>
      </c>
      <c r="C1177" s="29" t="s">
        <v>51</v>
      </c>
      <c r="D1177" s="29" t="s">
        <v>1502</v>
      </c>
      <c r="E1177" s="29" t="s">
        <v>47</v>
      </c>
      <c r="F1177" s="29" t="s">
        <v>51</v>
      </c>
      <c r="G1177" s="29" t="s">
        <v>1669</v>
      </c>
      <c r="H1177" s="29" t="s">
        <v>1670</v>
      </c>
      <c r="I1177" s="29" t="s">
        <v>204</v>
      </c>
      <c r="J1177" s="29" t="s">
        <v>39</v>
      </c>
      <c r="K1177" s="29" t="s">
        <v>2122</v>
      </c>
      <c r="L1177" s="29" t="s">
        <v>1635</v>
      </c>
      <c r="M1177" s="29" t="s">
        <v>741</v>
      </c>
      <c r="N1177" s="29" t="s">
        <v>1672</v>
      </c>
      <c r="O1177" s="29" t="s">
        <v>141</v>
      </c>
      <c r="P1177" s="30" t="s">
        <v>1673</v>
      </c>
    </row>
    <row r="1178" s="25" customFormat="1" spans="1:16">
      <c r="A1178" s="29" t="s">
        <v>2122</v>
      </c>
      <c r="B1178" s="29" t="s">
        <v>2121</v>
      </c>
      <c r="C1178" s="29" t="s">
        <v>51</v>
      </c>
      <c r="D1178" s="29" t="s">
        <v>1502</v>
      </c>
      <c r="E1178" s="29" t="s">
        <v>47</v>
      </c>
      <c r="F1178" s="29" t="s">
        <v>51</v>
      </c>
      <c r="G1178" s="29" t="s">
        <v>1669</v>
      </c>
      <c r="H1178" s="29" t="s">
        <v>1670</v>
      </c>
      <c r="I1178" s="29" t="s">
        <v>204</v>
      </c>
      <c r="J1178" s="29" t="s">
        <v>35</v>
      </c>
      <c r="K1178" s="29" t="s">
        <v>2123</v>
      </c>
      <c r="L1178" s="29" t="s">
        <v>1639</v>
      </c>
      <c r="M1178" s="29" t="s">
        <v>741</v>
      </c>
      <c r="N1178" s="29" t="s">
        <v>1675</v>
      </c>
      <c r="O1178" s="29" t="s">
        <v>141</v>
      </c>
      <c r="P1178" s="30" t="s">
        <v>1676</v>
      </c>
    </row>
    <row r="1179" s="25" customFormat="1" spans="1:16">
      <c r="A1179" s="29" t="s">
        <v>2123</v>
      </c>
      <c r="B1179" s="29" t="s">
        <v>2121</v>
      </c>
      <c r="C1179" s="29" t="s">
        <v>51</v>
      </c>
      <c r="D1179" s="29" t="s">
        <v>1502</v>
      </c>
      <c r="E1179" s="29" t="s">
        <v>47</v>
      </c>
      <c r="F1179" s="29" t="s">
        <v>51</v>
      </c>
      <c r="G1179" s="29" t="s">
        <v>1669</v>
      </c>
      <c r="H1179" s="29" t="s">
        <v>1670</v>
      </c>
      <c r="I1179" s="29" t="s">
        <v>204</v>
      </c>
      <c r="J1179" s="29" t="s">
        <v>47</v>
      </c>
      <c r="K1179" s="29" t="s">
        <v>2124</v>
      </c>
      <c r="L1179" s="29" t="s">
        <v>1643</v>
      </c>
      <c r="M1179" s="29" t="s">
        <v>741</v>
      </c>
      <c r="N1179" s="29" t="s">
        <v>1675</v>
      </c>
      <c r="O1179" s="29" t="s">
        <v>141</v>
      </c>
      <c r="P1179" s="30" t="s">
        <v>1678</v>
      </c>
    </row>
    <row r="1180" s="25" customFormat="1" spans="1:16">
      <c r="A1180" s="29" t="s">
        <v>2124</v>
      </c>
      <c r="B1180" s="29" t="s">
        <v>2121</v>
      </c>
      <c r="C1180" s="29" t="s">
        <v>51</v>
      </c>
      <c r="D1180" s="29" t="s">
        <v>1502</v>
      </c>
      <c r="E1180" s="29" t="s">
        <v>47</v>
      </c>
      <c r="F1180" s="29" t="s">
        <v>51</v>
      </c>
      <c r="G1180" s="29" t="s">
        <v>1669</v>
      </c>
      <c r="H1180" s="29" t="s">
        <v>1670</v>
      </c>
      <c r="I1180" s="29" t="s">
        <v>204</v>
      </c>
      <c r="J1180" s="29" t="s">
        <v>51</v>
      </c>
      <c r="K1180" s="29" t="s">
        <v>2125</v>
      </c>
      <c r="L1180" s="29" t="s">
        <v>1646</v>
      </c>
      <c r="M1180" s="29" t="s">
        <v>741</v>
      </c>
      <c r="N1180" s="29" t="s">
        <v>1675</v>
      </c>
      <c r="O1180" s="29" t="s">
        <v>141</v>
      </c>
      <c r="P1180" s="30" t="s">
        <v>1680</v>
      </c>
    </row>
    <row r="1181" s="25" customFormat="1" spans="1:16">
      <c r="A1181" s="29" t="s">
        <v>2125</v>
      </c>
      <c r="B1181" s="29" t="s">
        <v>2121</v>
      </c>
      <c r="C1181" s="29" t="s">
        <v>51</v>
      </c>
      <c r="D1181" s="29" t="s">
        <v>1502</v>
      </c>
      <c r="E1181" s="29" t="s">
        <v>47</v>
      </c>
      <c r="F1181" s="29" t="s">
        <v>51</v>
      </c>
      <c r="G1181" s="29" t="s">
        <v>1669</v>
      </c>
      <c r="H1181" s="29" t="s">
        <v>1670</v>
      </c>
      <c r="I1181" s="29" t="s">
        <v>204</v>
      </c>
      <c r="J1181" s="29" t="s">
        <v>55</v>
      </c>
      <c r="K1181" s="29" t="s">
        <v>2126</v>
      </c>
      <c r="L1181" s="29" t="s">
        <v>1649</v>
      </c>
      <c r="M1181" s="29" t="s">
        <v>741</v>
      </c>
      <c r="N1181" s="29" t="s">
        <v>1675</v>
      </c>
      <c r="O1181" s="29" t="s">
        <v>141</v>
      </c>
      <c r="P1181" s="30" t="s">
        <v>1682</v>
      </c>
    </row>
    <row r="1182" s="26" customFormat="1" spans="1:18">
      <c r="A1182" s="29" t="s">
        <v>2126</v>
      </c>
      <c r="B1182" s="29" t="s">
        <v>2121</v>
      </c>
      <c r="C1182" s="29" t="s">
        <v>51</v>
      </c>
      <c r="D1182" s="29" t="s">
        <v>1502</v>
      </c>
      <c r="E1182" s="29" t="s">
        <v>47</v>
      </c>
      <c r="F1182" s="29" t="s">
        <v>51</v>
      </c>
      <c r="G1182" s="29" t="s">
        <v>1669</v>
      </c>
      <c r="H1182" s="29" t="s">
        <v>1670</v>
      </c>
      <c r="I1182" s="29" t="s">
        <v>204</v>
      </c>
      <c r="J1182" s="29" t="s">
        <v>59</v>
      </c>
      <c r="K1182" s="29" t="s">
        <v>2127</v>
      </c>
      <c r="L1182" s="29" t="s">
        <v>1652</v>
      </c>
      <c r="M1182" s="29" t="s">
        <v>741</v>
      </c>
      <c r="N1182" s="29" t="s">
        <v>1675</v>
      </c>
      <c r="O1182" s="29" t="s">
        <v>141</v>
      </c>
      <c r="P1182" s="30" t="s">
        <v>1684</v>
      </c>
      <c r="Q1182" s="25"/>
      <c r="R1182" s="25"/>
    </row>
    <row r="1183" s="25" customFormat="1" spans="1:16">
      <c r="A1183" s="29" t="s">
        <v>2127</v>
      </c>
      <c r="B1183" s="29" t="s">
        <v>2121</v>
      </c>
      <c r="C1183" s="29" t="s">
        <v>51</v>
      </c>
      <c r="D1183" s="29" t="s">
        <v>1502</v>
      </c>
      <c r="E1183" s="29" t="s">
        <v>47</v>
      </c>
      <c r="F1183" s="29" t="s">
        <v>51</v>
      </c>
      <c r="G1183" s="29" t="s">
        <v>1669</v>
      </c>
      <c r="H1183" s="29" t="s">
        <v>1670</v>
      </c>
      <c r="I1183" s="29" t="s">
        <v>204</v>
      </c>
      <c r="J1183" s="29" t="s">
        <v>129</v>
      </c>
      <c r="K1183" s="29" t="s">
        <v>2128</v>
      </c>
      <c r="L1183" s="29" t="s">
        <v>1655</v>
      </c>
      <c r="M1183" s="29" t="s">
        <v>741</v>
      </c>
      <c r="N1183" s="29" t="s">
        <v>1675</v>
      </c>
      <c r="O1183" s="29" t="s">
        <v>141</v>
      </c>
      <c r="P1183" s="30" t="s">
        <v>1686</v>
      </c>
    </row>
    <row r="1184" s="25" customFormat="1" spans="1:16">
      <c r="A1184" s="29" t="s">
        <v>2128</v>
      </c>
      <c r="B1184" s="29" t="s">
        <v>2121</v>
      </c>
      <c r="C1184" s="29" t="s">
        <v>51</v>
      </c>
      <c r="D1184" s="29" t="s">
        <v>1502</v>
      </c>
      <c r="E1184" s="29" t="s">
        <v>47</v>
      </c>
      <c r="F1184" s="29" t="s">
        <v>51</v>
      </c>
      <c r="G1184" s="29" t="s">
        <v>1669</v>
      </c>
      <c r="H1184" s="29" t="s">
        <v>1670</v>
      </c>
      <c r="I1184" s="29" t="s">
        <v>204</v>
      </c>
      <c r="J1184" s="29" t="s">
        <v>133</v>
      </c>
      <c r="K1184" s="29" t="s">
        <v>2129</v>
      </c>
      <c r="L1184" s="29" t="s">
        <v>1658</v>
      </c>
      <c r="M1184" s="29" t="s">
        <v>741</v>
      </c>
      <c r="N1184" s="29" t="s">
        <v>1675</v>
      </c>
      <c r="O1184" s="29" t="s">
        <v>141</v>
      </c>
      <c r="P1184" s="30" t="s">
        <v>1688</v>
      </c>
    </row>
    <row r="1185" s="25" customFormat="1" spans="1:16">
      <c r="A1185" s="29" t="s">
        <v>2129</v>
      </c>
      <c r="B1185" s="29" t="s">
        <v>2121</v>
      </c>
      <c r="C1185" s="29" t="s">
        <v>51</v>
      </c>
      <c r="D1185" s="29" t="s">
        <v>1502</v>
      </c>
      <c r="E1185" s="29" t="s">
        <v>47</v>
      </c>
      <c r="F1185" s="29" t="s">
        <v>51</v>
      </c>
      <c r="G1185" s="29" t="s">
        <v>1669</v>
      </c>
      <c r="H1185" s="29" t="s">
        <v>1670</v>
      </c>
      <c r="I1185" s="29" t="s">
        <v>204</v>
      </c>
      <c r="J1185" s="29" t="s">
        <v>137</v>
      </c>
      <c r="K1185" s="29" t="s">
        <v>2130</v>
      </c>
      <c r="L1185" s="29" t="s">
        <v>1661</v>
      </c>
      <c r="M1185" s="29" t="s">
        <v>741</v>
      </c>
      <c r="N1185" s="29" t="s">
        <v>1675</v>
      </c>
      <c r="O1185" s="29" t="s">
        <v>141</v>
      </c>
      <c r="P1185" s="30" t="s">
        <v>1690</v>
      </c>
    </row>
    <row r="1186" s="25" customFormat="1" spans="1:16">
      <c r="A1186" s="29" t="s">
        <v>2130</v>
      </c>
      <c r="B1186" s="29" t="s">
        <v>2121</v>
      </c>
      <c r="C1186" s="29" t="s">
        <v>51</v>
      </c>
      <c r="D1186" s="29" t="s">
        <v>1502</v>
      </c>
      <c r="E1186" s="29" t="s">
        <v>47</v>
      </c>
      <c r="F1186" s="29" t="s">
        <v>51</v>
      </c>
      <c r="G1186" s="29" t="s">
        <v>1669</v>
      </c>
      <c r="H1186" s="29" t="s">
        <v>1670</v>
      </c>
      <c r="I1186" s="29" t="s">
        <v>204</v>
      </c>
      <c r="J1186" s="29" t="s">
        <v>141</v>
      </c>
      <c r="K1186" s="29" t="s">
        <v>2131</v>
      </c>
      <c r="L1186" s="29" t="s">
        <v>1664</v>
      </c>
      <c r="M1186" s="29" t="s">
        <v>741</v>
      </c>
      <c r="N1186" s="29" t="s">
        <v>1675</v>
      </c>
      <c r="O1186" s="29" t="s">
        <v>141</v>
      </c>
      <c r="P1186" s="30" t="s">
        <v>1692</v>
      </c>
    </row>
    <row r="1187" s="25" customFormat="1" spans="1:16">
      <c r="A1187" s="29" t="s">
        <v>2131</v>
      </c>
      <c r="B1187" s="29" t="s">
        <v>2121</v>
      </c>
      <c r="C1187" s="29" t="s">
        <v>51</v>
      </c>
      <c r="D1187" s="29" t="s">
        <v>1502</v>
      </c>
      <c r="E1187" s="29" t="s">
        <v>47</v>
      </c>
      <c r="F1187" s="29" t="s">
        <v>51</v>
      </c>
      <c r="G1187" s="29" t="s">
        <v>1669</v>
      </c>
      <c r="H1187" s="29" t="s">
        <v>1670</v>
      </c>
      <c r="I1187" s="29" t="s">
        <v>204</v>
      </c>
      <c r="J1187" s="29" t="s">
        <v>145</v>
      </c>
      <c r="K1187" s="29" t="s">
        <v>2132</v>
      </c>
      <c r="L1187" s="29" t="s">
        <v>1666</v>
      </c>
      <c r="M1187" s="29" t="s">
        <v>741</v>
      </c>
      <c r="N1187" s="29" t="s">
        <v>1675</v>
      </c>
      <c r="O1187" s="29" t="s">
        <v>141</v>
      </c>
      <c r="P1187" s="30" t="s">
        <v>1693</v>
      </c>
    </row>
    <row r="1188" s="25" customFormat="1" spans="1:16">
      <c r="A1188" s="29" t="s">
        <v>2132</v>
      </c>
      <c r="B1188" s="29" t="s">
        <v>2121</v>
      </c>
      <c r="C1188" s="29" t="s">
        <v>51</v>
      </c>
      <c r="D1188" s="29" t="s">
        <v>1502</v>
      </c>
      <c r="E1188" s="29" t="s">
        <v>47</v>
      </c>
      <c r="F1188" s="29" t="s">
        <v>51</v>
      </c>
      <c r="G1188" s="29" t="s">
        <v>1669</v>
      </c>
      <c r="H1188" s="29" t="s">
        <v>1670</v>
      </c>
      <c r="I1188" s="29" t="s">
        <v>204</v>
      </c>
      <c r="J1188" s="29" t="s">
        <v>408</v>
      </c>
      <c r="K1188" s="29" t="s">
        <v>2133</v>
      </c>
      <c r="L1188" s="29" t="s">
        <v>1929</v>
      </c>
      <c r="M1188" s="29" t="s">
        <v>741</v>
      </c>
      <c r="N1188" s="29" t="s">
        <v>1675</v>
      </c>
      <c r="O1188" s="29" t="s">
        <v>141</v>
      </c>
      <c r="P1188" s="30" t="s">
        <v>2134</v>
      </c>
    </row>
    <row r="1189" s="25" customFormat="1" spans="1:16">
      <c r="A1189" s="29" t="s">
        <v>2133</v>
      </c>
      <c r="B1189" s="29" t="s">
        <v>2121</v>
      </c>
      <c r="C1189" s="29" t="s">
        <v>51</v>
      </c>
      <c r="D1189" s="29" t="s">
        <v>1502</v>
      </c>
      <c r="E1189" s="29" t="s">
        <v>47</v>
      </c>
      <c r="F1189" s="29" t="s">
        <v>51</v>
      </c>
      <c r="G1189" s="29" t="s">
        <v>1669</v>
      </c>
      <c r="H1189" s="29" t="s">
        <v>1670</v>
      </c>
      <c r="I1189" s="29" t="s">
        <v>204</v>
      </c>
      <c r="J1189" s="29" t="s">
        <v>412</v>
      </c>
      <c r="K1189" s="29" t="s">
        <v>2135</v>
      </c>
      <c r="L1189" s="29" t="s">
        <v>1932</v>
      </c>
      <c r="M1189" s="29" t="s">
        <v>741</v>
      </c>
      <c r="N1189" s="29" t="s">
        <v>1675</v>
      </c>
      <c r="O1189" s="29" t="s">
        <v>141</v>
      </c>
      <c r="P1189" s="30" t="s">
        <v>2136</v>
      </c>
    </row>
    <row r="1190" s="25" customFormat="1" spans="1:16">
      <c r="A1190" s="29" t="s">
        <v>2135</v>
      </c>
      <c r="B1190" s="29" t="s">
        <v>2121</v>
      </c>
      <c r="C1190" s="29" t="s">
        <v>51</v>
      </c>
      <c r="D1190" s="29" t="s">
        <v>1502</v>
      </c>
      <c r="E1190" s="29" t="s">
        <v>47</v>
      </c>
      <c r="F1190" s="29" t="s">
        <v>51</v>
      </c>
      <c r="G1190" s="29" t="s">
        <v>1669</v>
      </c>
      <c r="H1190" s="29" t="s">
        <v>1670</v>
      </c>
      <c r="I1190" s="29" t="s">
        <v>204</v>
      </c>
      <c r="J1190" s="29" t="s">
        <v>416</v>
      </c>
      <c r="K1190" s="29" t="s">
        <v>2137</v>
      </c>
      <c r="L1190" s="29" t="s">
        <v>1959</v>
      </c>
      <c r="M1190" s="29" t="s">
        <v>741</v>
      </c>
      <c r="N1190" s="29" t="s">
        <v>1675</v>
      </c>
      <c r="O1190" s="29" t="s">
        <v>141</v>
      </c>
      <c r="P1190" s="30" t="s">
        <v>2138</v>
      </c>
    </row>
    <row r="1191" s="25" customFormat="1" spans="1:16">
      <c r="A1191" s="29" t="s">
        <v>2137</v>
      </c>
      <c r="B1191" s="29" t="s">
        <v>2121</v>
      </c>
      <c r="C1191" s="29" t="s">
        <v>51</v>
      </c>
      <c r="D1191" s="29" t="s">
        <v>1502</v>
      </c>
      <c r="E1191" s="29" t="s">
        <v>47</v>
      </c>
      <c r="F1191" s="29" t="s">
        <v>51</v>
      </c>
      <c r="G1191" s="29" t="s">
        <v>1669</v>
      </c>
      <c r="H1191" s="29" t="s">
        <v>1670</v>
      </c>
      <c r="I1191" s="29" t="s">
        <v>204</v>
      </c>
      <c r="J1191" s="29" t="s">
        <v>420</v>
      </c>
      <c r="K1191" s="29" t="s">
        <v>2139</v>
      </c>
      <c r="L1191" s="29" t="s">
        <v>1962</v>
      </c>
      <c r="M1191" s="29" t="s">
        <v>741</v>
      </c>
      <c r="N1191" s="29" t="s">
        <v>1675</v>
      </c>
      <c r="O1191" s="29" t="s">
        <v>141</v>
      </c>
      <c r="P1191" s="30" t="s">
        <v>2140</v>
      </c>
    </row>
    <row r="1192" s="25" customFormat="1" spans="1:16">
      <c r="A1192" s="29" t="s">
        <v>2139</v>
      </c>
      <c r="B1192" s="29" t="s">
        <v>2121</v>
      </c>
      <c r="C1192" s="29" t="s">
        <v>51</v>
      </c>
      <c r="D1192" s="29" t="s">
        <v>1502</v>
      </c>
      <c r="E1192" s="29" t="s">
        <v>47</v>
      </c>
      <c r="F1192" s="29" t="s">
        <v>51</v>
      </c>
      <c r="G1192" s="29" t="s">
        <v>1669</v>
      </c>
      <c r="H1192" s="29" t="s">
        <v>1670</v>
      </c>
      <c r="I1192" s="29" t="s">
        <v>204</v>
      </c>
      <c r="J1192" s="29" t="s">
        <v>424</v>
      </c>
      <c r="K1192" s="29" t="s">
        <v>2141</v>
      </c>
      <c r="L1192" s="29" t="s">
        <v>2024</v>
      </c>
      <c r="M1192" s="29" t="s">
        <v>741</v>
      </c>
      <c r="N1192" s="29" t="s">
        <v>1675</v>
      </c>
      <c r="O1192" s="29" t="s">
        <v>141</v>
      </c>
      <c r="P1192" s="30" t="s">
        <v>2142</v>
      </c>
    </row>
    <row r="1193" s="26" customFormat="1" spans="1:18">
      <c r="A1193" s="29" t="s">
        <v>2141</v>
      </c>
      <c r="B1193" s="29" t="s">
        <v>2121</v>
      </c>
      <c r="C1193" s="29" t="s">
        <v>51</v>
      </c>
      <c r="D1193" s="29" t="s">
        <v>1502</v>
      </c>
      <c r="E1193" s="29" t="s">
        <v>47</v>
      </c>
      <c r="F1193" s="29" t="s">
        <v>51</v>
      </c>
      <c r="G1193" s="29" t="s">
        <v>1669</v>
      </c>
      <c r="H1193" s="29" t="s">
        <v>1670</v>
      </c>
      <c r="I1193" s="29" t="s">
        <v>204</v>
      </c>
      <c r="J1193" s="29" t="s">
        <v>631</v>
      </c>
      <c r="K1193" s="29" t="s">
        <v>2143</v>
      </c>
      <c r="L1193" s="29" t="s">
        <v>2026</v>
      </c>
      <c r="M1193" s="29" t="s">
        <v>741</v>
      </c>
      <c r="N1193" s="29" t="s">
        <v>1675</v>
      </c>
      <c r="O1193" s="29" t="s">
        <v>141</v>
      </c>
      <c r="P1193" s="30" t="s">
        <v>2144</v>
      </c>
      <c r="Q1193" s="25"/>
      <c r="R1193" s="25"/>
    </row>
    <row r="1194" s="25" customFormat="1" spans="1:16">
      <c r="A1194" s="29" t="s">
        <v>2143</v>
      </c>
      <c r="B1194" s="29" t="s">
        <v>2121</v>
      </c>
      <c r="C1194" s="29" t="s">
        <v>51</v>
      </c>
      <c r="D1194" s="29" t="s">
        <v>1502</v>
      </c>
      <c r="E1194" s="29" t="s">
        <v>47</v>
      </c>
      <c r="F1194" s="29" t="s">
        <v>51</v>
      </c>
      <c r="G1194" s="29" t="s">
        <v>1669</v>
      </c>
      <c r="H1194" s="29" t="s">
        <v>1670</v>
      </c>
      <c r="I1194" s="29" t="s">
        <v>204</v>
      </c>
      <c r="J1194" s="29" t="s">
        <v>635</v>
      </c>
      <c r="K1194" s="29" t="s">
        <v>2145</v>
      </c>
      <c r="L1194" s="29" t="s">
        <v>2029</v>
      </c>
      <c r="M1194" s="29" t="s">
        <v>741</v>
      </c>
      <c r="N1194" s="29" t="s">
        <v>1675</v>
      </c>
      <c r="O1194" s="29" t="s">
        <v>141</v>
      </c>
      <c r="P1194" s="30" t="s">
        <v>2146</v>
      </c>
    </row>
    <row r="1195" s="25" customFormat="1" spans="1:16">
      <c r="A1195" s="29" t="s">
        <v>2145</v>
      </c>
      <c r="B1195" s="29" t="s">
        <v>2121</v>
      </c>
      <c r="C1195" s="29" t="s">
        <v>51</v>
      </c>
      <c r="D1195" s="29" t="s">
        <v>1502</v>
      </c>
      <c r="E1195" s="29" t="s">
        <v>47</v>
      </c>
      <c r="F1195" s="29" t="s">
        <v>51</v>
      </c>
      <c r="G1195" s="29" t="s">
        <v>1669</v>
      </c>
      <c r="H1195" s="29" t="s">
        <v>1670</v>
      </c>
      <c r="I1195" s="29" t="s">
        <v>204</v>
      </c>
      <c r="J1195" s="29" t="s">
        <v>639</v>
      </c>
      <c r="K1195" s="29" t="s">
        <v>2147</v>
      </c>
      <c r="L1195" s="29" t="s">
        <v>2032</v>
      </c>
      <c r="M1195" s="29" t="s">
        <v>741</v>
      </c>
      <c r="N1195" s="29" t="s">
        <v>1675</v>
      </c>
      <c r="O1195" s="29" t="s">
        <v>141</v>
      </c>
      <c r="P1195" s="30" t="s">
        <v>2148</v>
      </c>
    </row>
    <row r="1196" s="25" customFormat="1" spans="1:16">
      <c r="A1196" s="29" t="s">
        <v>2147</v>
      </c>
      <c r="B1196" s="29" t="s">
        <v>2121</v>
      </c>
      <c r="C1196" s="29" t="s">
        <v>51</v>
      </c>
      <c r="D1196" s="29" t="s">
        <v>1502</v>
      </c>
      <c r="E1196" s="29" t="s">
        <v>47</v>
      </c>
      <c r="F1196" s="29" t="s">
        <v>51</v>
      </c>
      <c r="G1196" s="29" t="s">
        <v>1669</v>
      </c>
      <c r="H1196" s="29" t="s">
        <v>1670</v>
      </c>
      <c r="I1196" s="29" t="s">
        <v>204</v>
      </c>
      <c r="J1196" s="29" t="s">
        <v>643</v>
      </c>
      <c r="K1196" s="29" t="s">
        <v>2149</v>
      </c>
      <c r="L1196" s="29" t="s">
        <v>2035</v>
      </c>
      <c r="M1196" s="29" t="s">
        <v>741</v>
      </c>
      <c r="N1196" s="29" t="s">
        <v>1675</v>
      </c>
      <c r="O1196" s="29" t="s">
        <v>141</v>
      </c>
      <c r="P1196" s="30" t="s">
        <v>2150</v>
      </c>
    </row>
    <row r="1197" s="25" customFormat="1" spans="1:16">
      <c r="A1197" s="29" t="s">
        <v>2149</v>
      </c>
      <c r="B1197" s="29" t="s">
        <v>2121</v>
      </c>
      <c r="C1197" s="29" t="s">
        <v>51</v>
      </c>
      <c r="D1197" s="29" t="s">
        <v>1502</v>
      </c>
      <c r="E1197" s="29" t="s">
        <v>47</v>
      </c>
      <c r="F1197" s="29" t="s">
        <v>51</v>
      </c>
      <c r="G1197" s="29" t="s">
        <v>1669</v>
      </c>
      <c r="H1197" s="29" t="s">
        <v>1670</v>
      </c>
      <c r="I1197" s="29" t="s">
        <v>204</v>
      </c>
      <c r="J1197" s="29" t="s">
        <v>647</v>
      </c>
      <c r="K1197" s="29" t="s">
        <v>39</v>
      </c>
      <c r="L1197" s="29" t="s">
        <v>39</v>
      </c>
      <c r="M1197" s="29" t="s">
        <v>39</v>
      </c>
      <c r="N1197" s="29" t="s">
        <v>1675</v>
      </c>
      <c r="O1197" s="29" t="s">
        <v>141</v>
      </c>
      <c r="P1197" s="30" t="s">
        <v>2151</v>
      </c>
    </row>
    <row r="1198" s="25" customFormat="1" spans="1:16">
      <c r="A1198" s="29" t="s">
        <v>2152</v>
      </c>
      <c r="B1198" s="29" t="s">
        <v>2152</v>
      </c>
      <c r="C1198" s="29" t="s">
        <v>51</v>
      </c>
      <c r="D1198" s="29" t="s">
        <v>1502</v>
      </c>
      <c r="E1198" s="29" t="s">
        <v>47</v>
      </c>
      <c r="F1198" s="29" t="s">
        <v>51</v>
      </c>
      <c r="G1198" s="29" t="s">
        <v>1695</v>
      </c>
      <c r="H1198" s="29" t="s">
        <v>1696</v>
      </c>
      <c r="I1198" s="29" t="s">
        <v>204</v>
      </c>
      <c r="J1198" s="29" t="s">
        <v>39</v>
      </c>
      <c r="K1198" s="29" t="s">
        <v>2153</v>
      </c>
      <c r="L1198" s="29" t="s">
        <v>1635</v>
      </c>
      <c r="M1198" s="29" t="s">
        <v>773</v>
      </c>
      <c r="N1198" s="29" t="s">
        <v>1698</v>
      </c>
      <c r="O1198" s="29" t="s">
        <v>145</v>
      </c>
      <c r="P1198" s="30" t="s">
        <v>1699</v>
      </c>
    </row>
    <row r="1199" s="25" customFormat="1" spans="1:16">
      <c r="A1199" s="29" t="s">
        <v>2153</v>
      </c>
      <c r="B1199" s="29" t="s">
        <v>2152</v>
      </c>
      <c r="C1199" s="29" t="s">
        <v>51</v>
      </c>
      <c r="D1199" s="29" t="s">
        <v>1502</v>
      </c>
      <c r="E1199" s="29" t="s">
        <v>47</v>
      </c>
      <c r="F1199" s="29" t="s">
        <v>51</v>
      </c>
      <c r="G1199" s="29" t="s">
        <v>1695</v>
      </c>
      <c r="H1199" s="29" t="s">
        <v>1696</v>
      </c>
      <c r="I1199" s="29" t="s">
        <v>204</v>
      </c>
      <c r="J1199" s="29" t="s">
        <v>35</v>
      </c>
      <c r="K1199" s="29" t="s">
        <v>2154</v>
      </c>
      <c r="L1199" s="29" t="s">
        <v>1639</v>
      </c>
      <c r="M1199" s="29" t="s">
        <v>773</v>
      </c>
      <c r="N1199" s="29" t="s">
        <v>1701</v>
      </c>
      <c r="O1199" s="29" t="s">
        <v>145</v>
      </c>
      <c r="P1199" s="30" t="s">
        <v>1702</v>
      </c>
    </row>
    <row r="1200" s="25" customFormat="1" spans="1:16">
      <c r="A1200" s="29" t="s">
        <v>2154</v>
      </c>
      <c r="B1200" s="29" t="s">
        <v>2152</v>
      </c>
      <c r="C1200" s="29" t="s">
        <v>51</v>
      </c>
      <c r="D1200" s="29" t="s">
        <v>1502</v>
      </c>
      <c r="E1200" s="29" t="s">
        <v>47</v>
      </c>
      <c r="F1200" s="29" t="s">
        <v>51</v>
      </c>
      <c r="G1200" s="29" t="s">
        <v>1695</v>
      </c>
      <c r="H1200" s="29" t="s">
        <v>1696</v>
      </c>
      <c r="I1200" s="29" t="s">
        <v>204</v>
      </c>
      <c r="J1200" s="29" t="s">
        <v>47</v>
      </c>
      <c r="K1200" s="29" t="s">
        <v>2155</v>
      </c>
      <c r="L1200" s="29" t="s">
        <v>1643</v>
      </c>
      <c r="M1200" s="29" t="s">
        <v>773</v>
      </c>
      <c r="N1200" s="29" t="s">
        <v>1701</v>
      </c>
      <c r="O1200" s="29" t="s">
        <v>145</v>
      </c>
      <c r="P1200" s="30" t="s">
        <v>1704</v>
      </c>
    </row>
    <row r="1201" s="25" customFormat="1" spans="1:16">
      <c r="A1201" s="29" t="s">
        <v>2155</v>
      </c>
      <c r="B1201" s="29" t="s">
        <v>2152</v>
      </c>
      <c r="C1201" s="29" t="s">
        <v>51</v>
      </c>
      <c r="D1201" s="29" t="s">
        <v>1502</v>
      </c>
      <c r="E1201" s="29" t="s">
        <v>47</v>
      </c>
      <c r="F1201" s="29" t="s">
        <v>51</v>
      </c>
      <c r="G1201" s="29" t="s">
        <v>1695</v>
      </c>
      <c r="H1201" s="29" t="s">
        <v>1696</v>
      </c>
      <c r="I1201" s="29" t="s">
        <v>204</v>
      </c>
      <c r="J1201" s="29" t="s">
        <v>51</v>
      </c>
      <c r="K1201" s="29" t="s">
        <v>2156</v>
      </c>
      <c r="L1201" s="29" t="s">
        <v>1646</v>
      </c>
      <c r="M1201" s="29" t="s">
        <v>773</v>
      </c>
      <c r="N1201" s="29" t="s">
        <v>1701</v>
      </c>
      <c r="O1201" s="29" t="s">
        <v>145</v>
      </c>
      <c r="P1201" s="30" t="s">
        <v>1706</v>
      </c>
    </row>
    <row r="1202" s="25" customFormat="1" spans="1:16">
      <c r="A1202" s="29" t="s">
        <v>2156</v>
      </c>
      <c r="B1202" s="29" t="s">
        <v>2152</v>
      </c>
      <c r="C1202" s="29" t="s">
        <v>51</v>
      </c>
      <c r="D1202" s="29" t="s">
        <v>1502</v>
      </c>
      <c r="E1202" s="29" t="s">
        <v>47</v>
      </c>
      <c r="F1202" s="29" t="s">
        <v>51</v>
      </c>
      <c r="G1202" s="29" t="s">
        <v>1695</v>
      </c>
      <c r="H1202" s="29" t="s">
        <v>1696</v>
      </c>
      <c r="I1202" s="29" t="s">
        <v>204</v>
      </c>
      <c r="J1202" s="29" t="s">
        <v>55</v>
      </c>
      <c r="K1202" s="29" t="s">
        <v>2157</v>
      </c>
      <c r="L1202" s="29" t="s">
        <v>1649</v>
      </c>
      <c r="M1202" s="29" t="s">
        <v>773</v>
      </c>
      <c r="N1202" s="29" t="s">
        <v>1701</v>
      </c>
      <c r="O1202" s="29" t="s">
        <v>145</v>
      </c>
      <c r="P1202" s="30" t="s">
        <v>1708</v>
      </c>
    </row>
    <row r="1203" s="25" customFormat="1" spans="1:16">
      <c r="A1203" s="29" t="s">
        <v>2157</v>
      </c>
      <c r="B1203" s="29" t="s">
        <v>2152</v>
      </c>
      <c r="C1203" s="29" t="s">
        <v>51</v>
      </c>
      <c r="D1203" s="29" t="s">
        <v>1502</v>
      </c>
      <c r="E1203" s="29" t="s">
        <v>47</v>
      </c>
      <c r="F1203" s="29" t="s">
        <v>51</v>
      </c>
      <c r="G1203" s="29" t="s">
        <v>1695</v>
      </c>
      <c r="H1203" s="29" t="s">
        <v>1696</v>
      </c>
      <c r="I1203" s="29" t="s">
        <v>204</v>
      </c>
      <c r="J1203" s="29" t="s">
        <v>59</v>
      </c>
      <c r="K1203" s="29" t="s">
        <v>2158</v>
      </c>
      <c r="L1203" s="29" t="s">
        <v>1652</v>
      </c>
      <c r="M1203" s="29" t="s">
        <v>773</v>
      </c>
      <c r="N1203" s="29" t="s">
        <v>1701</v>
      </c>
      <c r="O1203" s="29" t="s">
        <v>145</v>
      </c>
      <c r="P1203" s="30" t="s">
        <v>1710</v>
      </c>
    </row>
    <row r="1204" s="26" customFormat="1" spans="1:18">
      <c r="A1204" s="29" t="s">
        <v>2158</v>
      </c>
      <c r="B1204" s="29" t="s">
        <v>2152</v>
      </c>
      <c r="C1204" s="29" t="s">
        <v>51</v>
      </c>
      <c r="D1204" s="29" t="s">
        <v>1502</v>
      </c>
      <c r="E1204" s="29" t="s">
        <v>47</v>
      </c>
      <c r="F1204" s="29" t="s">
        <v>51</v>
      </c>
      <c r="G1204" s="29" t="s">
        <v>1695</v>
      </c>
      <c r="H1204" s="29" t="s">
        <v>1696</v>
      </c>
      <c r="I1204" s="29" t="s">
        <v>204</v>
      </c>
      <c r="J1204" s="29" t="s">
        <v>129</v>
      </c>
      <c r="K1204" s="29" t="s">
        <v>2159</v>
      </c>
      <c r="L1204" s="29" t="s">
        <v>1655</v>
      </c>
      <c r="M1204" s="29" t="s">
        <v>773</v>
      </c>
      <c r="N1204" s="29" t="s">
        <v>1701</v>
      </c>
      <c r="O1204" s="29" t="s">
        <v>145</v>
      </c>
      <c r="P1204" s="30" t="s">
        <v>1712</v>
      </c>
      <c r="Q1204" s="25"/>
      <c r="R1204" s="25"/>
    </row>
    <row r="1205" s="25" customFormat="1" spans="1:16">
      <c r="A1205" s="29" t="s">
        <v>2159</v>
      </c>
      <c r="B1205" s="29" t="s">
        <v>2152</v>
      </c>
      <c r="C1205" s="29" t="s">
        <v>51</v>
      </c>
      <c r="D1205" s="29" t="s">
        <v>1502</v>
      </c>
      <c r="E1205" s="29" t="s">
        <v>47</v>
      </c>
      <c r="F1205" s="29" t="s">
        <v>51</v>
      </c>
      <c r="G1205" s="29" t="s">
        <v>1695</v>
      </c>
      <c r="H1205" s="29" t="s">
        <v>1696</v>
      </c>
      <c r="I1205" s="29" t="s">
        <v>204</v>
      </c>
      <c r="J1205" s="29" t="s">
        <v>133</v>
      </c>
      <c r="K1205" s="29" t="s">
        <v>2160</v>
      </c>
      <c r="L1205" s="29" t="s">
        <v>1658</v>
      </c>
      <c r="M1205" s="29" t="s">
        <v>773</v>
      </c>
      <c r="N1205" s="29" t="s">
        <v>1701</v>
      </c>
      <c r="O1205" s="29" t="s">
        <v>145</v>
      </c>
      <c r="P1205" s="30" t="s">
        <v>1714</v>
      </c>
    </row>
    <row r="1206" s="25" customFormat="1" spans="1:16">
      <c r="A1206" s="29" t="s">
        <v>2160</v>
      </c>
      <c r="B1206" s="29" t="s">
        <v>2152</v>
      </c>
      <c r="C1206" s="29" t="s">
        <v>51</v>
      </c>
      <c r="D1206" s="29" t="s">
        <v>1502</v>
      </c>
      <c r="E1206" s="29" t="s">
        <v>47</v>
      </c>
      <c r="F1206" s="29" t="s">
        <v>51</v>
      </c>
      <c r="G1206" s="29" t="s">
        <v>1695</v>
      </c>
      <c r="H1206" s="29" t="s">
        <v>1696</v>
      </c>
      <c r="I1206" s="29" t="s">
        <v>204</v>
      </c>
      <c r="J1206" s="29" t="s">
        <v>137</v>
      </c>
      <c r="K1206" s="29" t="s">
        <v>2161</v>
      </c>
      <c r="L1206" s="29" t="s">
        <v>1661</v>
      </c>
      <c r="M1206" s="29" t="s">
        <v>773</v>
      </c>
      <c r="N1206" s="29" t="s">
        <v>1701</v>
      </c>
      <c r="O1206" s="29" t="s">
        <v>145</v>
      </c>
      <c r="P1206" s="30" t="s">
        <v>1716</v>
      </c>
    </row>
    <row r="1207" s="25" customFormat="1" spans="1:16">
      <c r="A1207" s="29" t="s">
        <v>2161</v>
      </c>
      <c r="B1207" s="29" t="s">
        <v>2152</v>
      </c>
      <c r="C1207" s="29" t="s">
        <v>51</v>
      </c>
      <c r="D1207" s="29" t="s">
        <v>1502</v>
      </c>
      <c r="E1207" s="29" t="s">
        <v>47</v>
      </c>
      <c r="F1207" s="29" t="s">
        <v>51</v>
      </c>
      <c r="G1207" s="29" t="s">
        <v>1695</v>
      </c>
      <c r="H1207" s="29" t="s">
        <v>1696</v>
      </c>
      <c r="I1207" s="29" t="s">
        <v>204</v>
      </c>
      <c r="J1207" s="29" t="s">
        <v>141</v>
      </c>
      <c r="K1207" s="29" t="s">
        <v>2162</v>
      </c>
      <c r="L1207" s="29" t="s">
        <v>1664</v>
      </c>
      <c r="M1207" s="29" t="s">
        <v>773</v>
      </c>
      <c r="N1207" s="29" t="s">
        <v>1701</v>
      </c>
      <c r="O1207" s="29" t="s">
        <v>145</v>
      </c>
      <c r="P1207" s="30" t="s">
        <v>1718</v>
      </c>
    </row>
    <row r="1208" s="25" customFormat="1" spans="1:16">
      <c r="A1208" s="29" t="s">
        <v>2162</v>
      </c>
      <c r="B1208" s="29" t="s">
        <v>2152</v>
      </c>
      <c r="C1208" s="29" t="s">
        <v>51</v>
      </c>
      <c r="D1208" s="29" t="s">
        <v>1502</v>
      </c>
      <c r="E1208" s="29" t="s">
        <v>47</v>
      </c>
      <c r="F1208" s="29" t="s">
        <v>51</v>
      </c>
      <c r="G1208" s="29" t="s">
        <v>1695</v>
      </c>
      <c r="H1208" s="29" t="s">
        <v>1696</v>
      </c>
      <c r="I1208" s="29" t="s">
        <v>204</v>
      </c>
      <c r="J1208" s="29" t="s">
        <v>145</v>
      </c>
      <c r="K1208" s="29" t="s">
        <v>2163</v>
      </c>
      <c r="L1208" s="29" t="s">
        <v>1666</v>
      </c>
      <c r="M1208" s="29" t="s">
        <v>773</v>
      </c>
      <c r="N1208" s="29" t="s">
        <v>1701</v>
      </c>
      <c r="O1208" s="29" t="s">
        <v>145</v>
      </c>
      <c r="P1208" s="30" t="s">
        <v>1719</v>
      </c>
    </row>
    <row r="1209" s="25" customFormat="1" spans="1:16">
      <c r="A1209" s="29" t="s">
        <v>2163</v>
      </c>
      <c r="B1209" s="29" t="s">
        <v>2152</v>
      </c>
      <c r="C1209" s="29" t="s">
        <v>51</v>
      </c>
      <c r="D1209" s="29" t="s">
        <v>1502</v>
      </c>
      <c r="E1209" s="29" t="s">
        <v>47</v>
      </c>
      <c r="F1209" s="29" t="s">
        <v>51</v>
      </c>
      <c r="G1209" s="29" t="s">
        <v>1695</v>
      </c>
      <c r="H1209" s="29" t="s">
        <v>1696</v>
      </c>
      <c r="I1209" s="29" t="s">
        <v>204</v>
      </c>
      <c r="J1209" s="29" t="s">
        <v>408</v>
      </c>
      <c r="K1209" s="29" t="s">
        <v>2164</v>
      </c>
      <c r="L1209" s="29" t="s">
        <v>1929</v>
      </c>
      <c r="M1209" s="29" t="s">
        <v>773</v>
      </c>
      <c r="N1209" s="29" t="s">
        <v>1701</v>
      </c>
      <c r="O1209" s="29" t="s">
        <v>145</v>
      </c>
      <c r="P1209" s="30" t="s">
        <v>2165</v>
      </c>
    </row>
    <row r="1210" s="25" customFormat="1" spans="1:16">
      <c r="A1210" s="29" t="s">
        <v>2164</v>
      </c>
      <c r="B1210" s="29" t="s">
        <v>2152</v>
      </c>
      <c r="C1210" s="29" t="s">
        <v>51</v>
      </c>
      <c r="D1210" s="29" t="s">
        <v>1502</v>
      </c>
      <c r="E1210" s="29" t="s">
        <v>47</v>
      </c>
      <c r="F1210" s="29" t="s">
        <v>51</v>
      </c>
      <c r="G1210" s="29" t="s">
        <v>1695</v>
      </c>
      <c r="H1210" s="29" t="s">
        <v>1696</v>
      </c>
      <c r="I1210" s="29" t="s">
        <v>204</v>
      </c>
      <c r="J1210" s="29" t="s">
        <v>412</v>
      </c>
      <c r="K1210" s="29" t="s">
        <v>2166</v>
      </c>
      <c r="L1210" s="29" t="s">
        <v>1932</v>
      </c>
      <c r="M1210" s="29" t="s">
        <v>773</v>
      </c>
      <c r="N1210" s="29" t="s">
        <v>1701</v>
      </c>
      <c r="O1210" s="29" t="s">
        <v>145</v>
      </c>
      <c r="P1210" s="30" t="s">
        <v>2167</v>
      </c>
    </row>
    <row r="1211" s="25" customFormat="1" spans="1:16">
      <c r="A1211" s="29" t="s">
        <v>2166</v>
      </c>
      <c r="B1211" s="29" t="s">
        <v>2152</v>
      </c>
      <c r="C1211" s="29" t="s">
        <v>51</v>
      </c>
      <c r="D1211" s="29" t="s">
        <v>1502</v>
      </c>
      <c r="E1211" s="29" t="s">
        <v>47</v>
      </c>
      <c r="F1211" s="29" t="s">
        <v>51</v>
      </c>
      <c r="G1211" s="29" t="s">
        <v>1695</v>
      </c>
      <c r="H1211" s="29" t="s">
        <v>1696</v>
      </c>
      <c r="I1211" s="29" t="s">
        <v>204</v>
      </c>
      <c r="J1211" s="29" t="s">
        <v>416</v>
      </c>
      <c r="K1211" s="29" t="s">
        <v>2168</v>
      </c>
      <c r="L1211" s="29" t="s">
        <v>1959</v>
      </c>
      <c r="M1211" s="29" t="s">
        <v>773</v>
      </c>
      <c r="N1211" s="29" t="s">
        <v>1701</v>
      </c>
      <c r="O1211" s="29" t="s">
        <v>145</v>
      </c>
      <c r="P1211" s="30" t="s">
        <v>2169</v>
      </c>
    </row>
    <row r="1212" s="25" customFormat="1" spans="1:16">
      <c r="A1212" s="29" t="s">
        <v>2168</v>
      </c>
      <c r="B1212" s="29" t="s">
        <v>2152</v>
      </c>
      <c r="C1212" s="29" t="s">
        <v>51</v>
      </c>
      <c r="D1212" s="29" t="s">
        <v>1502</v>
      </c>
      <c r="E1212" s="29" t="s">
        <v>47</v>
      </c>
      <c r="F1212" s="29" t="s">
        <v>51</v>
      </c>
      <c r="G1212" s="29" t="s">
        <v>1695</v>
      </c>
      <c r="H1212" s="29" t="s">
        <v>1696</v>
      </c>
      <c r="I1212" s="29" t="s">
        <v>204</v>
      </c>
      <c r="J1212" s="29" t="s">
        <v>420</v>
      </c>
      <c r="K1212" s="29" t="s">
        <v>2170</v>
      </c>
      <c r="L1212" s="29" t="s">
        <v>1962</v>
      </c>
      <c r="M1212" s="29" t="s">
        <v>773</v>
      </c>
      <c r="N1212" s="29" t="s">
        <v>1701</v>
      </c>
      <c r="O1212" s="29" t="s">
        <v>145</v>
      </c>
      <c r="P1212" s="30" t="s">
        <v>2171</v>
      </c>
    </row>
    <row r="1213" s="25" customFormat="1" spans="1:16">
      <c r="A1213" s="29" t="s">
        <v>2170</v>
      </c>
      <c r="B1213" s="29" t="s">
        <v>2152</v>
      </c>
      <c r="C1213" s="29" t="s">
        <v>51</v>
      </c>
      <c r="D1213" s="29" t="s">
        <v>1502</v>
      </c>
      <c r="E1213" s="29" t="s">
        <v>47</v>
      </c>
      <c r="F1213" s="29" t="s">
        <v>51</v>
      </c>
      <c r="G1213" s="29" t="s">
        <v>1695</v>
      </c>
      <c r="H1213" s="29" t="s">
        <v>1696</v>
      </c>
      <c r="I1213" s="29" t="s">
        <v>204</v>
      </c>
      <c r="J1213" s="29" t="s">
        <v>424</v>
      </c>
      <c r="K1213" s="29" t="s">
        <v>2172</v>
      </c>
      <c r="L1213" s="29" t="s">
        <v>2024</v>
      </c>
      <c r="M1213" s="29" t="s">
        <v>773</v>
      </c>
      <c r="N1213" s="29" t="s">
        <v>1701</v>
      </c>
      <c r="O1213" s="29" t="s">
        <v>145</v>
      </c>
      <c r="P1213" s="30" t="s">
        <v>2173</v>
      </c>
    </row>
    <row r="1214" s="25" customFormat="1" spans="1:16">
      <c r="A1214" s="29" t="s">
        <v>2172</v>
      </c>
      <c r="B1214" s="29" t="s">
        <v>2152</v>
      </c>
      <c r="C1214" s="29" t="s">
        <v>51</v>
      </c>
      <c r="D1214" s="29" t="s">
        <v>1502</v>
      </c>
      <c r="E1214" s="29" t="s">
        <v>47</v>
      </c>
      <c r="F1214" s="29" t="s">
        <v>51</v>
      </c>
      <c r="G1214" s="29" t="s">
        <v>1695</v>
      </c>
      <c r="H1214" s="29" t="s">
        <v>1696</v>
      </c>
      <c r="I1214" s="29" t="s">
        <v>204</v>
      </c>
      <c r="J1214" s="29" t="s">
        <v>631</v>
      </c>
      <c r="K1214" s="29" t="s">
        <v>2174</v>
      </c>
      <c r="L1214" s="29" t="s">
        <v>2026</v>
      </c>
      <c r="M1214" s="29" t="s">
        <v>773</v>
      </c>
      <c r="N1214" s="29" t="s">
        <v>1701</v>
      </c>
      <c r="O1214" s="29" t="s">
        <v>145</v>
      </c>
      <c r="P1214" s="30" t="s">
        <v>2175</v>
      </c>
    </row>
    <row r="1215" s="26" customFormat="1" spans="1:18">
      <c r="A1215" s="29" t="s">
        <v>2174</v>
      </c>
      <c r="B1215" s="29" t="s">
        <v>2152</v>
      </c>
      <c r="C1215" s="29" t="s">
        <v>51</v>
      </c>
      <c r="D1215" s="29" t="s">
        <v>1502</v>
      </c>
      <c r="E1215" s="29" t="s">
        <v>47</v>
      </c>
      <c r="F1215" s="29" t="s">
        <v>51</v>
      </c>
      <c r="G1215" s="29" t="s">
        <v>1695</v>
      </c>
      <c r="H1215" s="29" t="s">
        <v>1696</v>
      </c>
      <c r="I1215" s="29" t="s">
        <v>204</v>
      </c>
      <c r="J1215" s="29" t="s">
        <v>635</v>
      </c>
      <c r="K1215" s="29" t="s">
        <v>2176</v>
      </c>
      <c r="L1215" s="29" t="s">
        <v>2029</v>
      </c>
      <c r="M1215" s="29" t="s">
        <v>773</v>
      </c>
      <c r="N1215" s="29" t="s">
        <v>1701</v>
      </c>
      <c r="O1215" s="29" t="s">
        <v>145</v>
      </c>
      <c r="P1215" s="30" t="s">
        <v>2177</v>
      </c>
      <c r="Q1215" s="25"/>
      <c r="R1215" s="25"/>
    </row>
    <row r="1216" s="25" customFormat="1" spans="1:16">
      <c r="A1216" s="29" t="s">
        <v>2176</v>
      </c>
      <c r="B1216" s="29" t="s">
        <v>2152</v>
      </c>
      <c r="C1216" s="29" t="s">
        <v>51</v>
      </c>
      <c r="D1216" s="29" t="s">
        <v>1502</v>
      </c>
      <c r="E1216" s="29" t="s">
        <v>47</v>
      </c>
      <c r="F1216" s="29" t="s">
        <v>51</v>
      </c>
      <c r="G1216" s="29" t="s">
        <v>1695</v>
      </c>
      <c r="H1216" s="29" t="s">
        <v>1696</v>
      </c>
      <c r="I1216" s="29" t="s">
        <v>204</v>
      </c>
      <c r="J1216" s="29" t="s">
        <v>639</v>
      </c>
      <c r="K1216" s="29" t="s">
        <v>2178</v>
      </c>
      <c r="L1216" s="29" t="s">
        <v>2032</v>
      </c>
      <c r="M1216" s="29" t="s">
        <v>773</v>
      </c>
      <c r="N1216" s="29" t="s">
        <v>1701</v>
      </c>
      <c r="O1216" s="29" t="s">
        <v>145</v>
      </c>
      <c r="P1216" s="30" t="s">
        <v>2179</v>
      </c>
    </row>
    <row r="1217" s="25" customFormat="1" spans="1:16">
      <c r="A1217" s="29" t="s">
        <v>2178</v>
      </c>
      <c r="B1217" s="29" t="s">
        <v>2152</v>
      </c>
      <c r="C1217" s="29" t="s">
        <v>51</v>
      </c>
      <c r="D1217" s="29" t="s">
        <v>1502</v>
      </c>
      <c r="E1217" s="29" t="s">
        <v>47</v>
      </c>
      <c r="F1217" s="29" t="s">
        <v>51</v>
      </c>
      <c r="G1217" s="29" t="s">
        <v>1695</v>
      </c>
      <c r="H1217" s="29" t="s">
        <v>1696</v>
      </c>
      <c r="I1217" s="29" t="s">
        <v>204</v>
      </c>
      <c r="J1217" s="29" t="s">
        <v>643</v>
      </c>
      <c r="K1217" s="29" t="s">
        <v>2180</v>
      </c>
      <c r="L1217" s="29" t="s">
        <v>2035</v>
      </c>
      <c r="M1217" s="29" t="s">
        <v>773</v>
      </c>
      <c r="N1217" s="29" t="s">
        <v>1701</v>
      </c>
      <c r="O1217" s="29" t="s">
        <v>145</v>
      </c>
      <c r="P1217" s="30" t="s">
        <v>2181</v>
      </c>
    </row>
    <row r="1218" s="25" customFormat="1" spans="1:16">
      <c r="A1218" s="29" t="s">
        <v>2180</v>
      </c>
      <c r="B1218" s="29" t="s">
        <v>2152</v>
      </c>
      <c r="C1218" s="29" t="s">
        <v>51</v>
      </c>
      <c r="D1218" s="29" t="s">
        <v>1502</v>
      </c>
      <c r="E1218" s="29" t="s">
        <v>47</v>
      </c>
      <c r="F1218" s="29" t="s">
        <v>51</v>
      </c>
      <c r="G1218" s="29" t="s">
        <v>1695</v>
      </c>
      <c r="H1218" s="29" t="s">
        <v>1696</v>
      </c>
      <c r="I1218" s="29" t="s">
        <v>204</v>
      </c>
      <c r="J1218" s="29" t="s">
        <v>647</v>
      </c>
      <c r="K1218" s="29" t="s">
        <v>39</v>
      </c>
      <c r="L1218" s="29" t="s">
        <v>39</v>
      </c>
      <c r="M1218" s="29" t="s">
        <v>39</v>
      </c>
      <c r="N1218" s="29" t="s">
        <v>1701</v>
      </c>
      <c r="O1218" s="29" t="s">
        <v>145</v>
      </c>
      <c r="P1218" s="30" t="s">
        <v>2182</v>
      </c>
    </row>
    <row r="1219" s="25" customFormat="1" spans="1:16">
      <c r="A1219" s="29" t="s">
        <v>2183</v>
      </c>
      <c r="B1219" s="29" t="s">
        <v>2183</v>
      </c>
      <c r="C1219" s="29" t="s">
        <v>55</v>
      </c>
      <c r="D1219" s="29" t="s">
        <v>2184</v>
      </c>
      <c r="E1219" s="29" t="s">
        <v>35</v>
      </c>
      <c r="F1219" s="29" t="s">
        <v>35</v>
      </c>
      <c r="G1219" s="29" t="s">
        <v>37</v>
      </c>
      <c r="H1219" s="29" t="s">
        <v>38</v>
      </c>
      <c r="I1219" s="29" t="s">
        <v>39</v>
      </c>
      <c r="J1219" s="29" t="s">
        <v>39</v>
      </c>
      <c r="K1219" s="29" t="s">
        <v>2184</v>
      </c>
      <c r="L1219" s="29" t="s">
        <v>2185</v>
      </c>
      <c r="M1219" s="29" t="s">
        <v>39</v>
      </c>
      <c r="N1219" s="29" t="s">
        <v>2186</v>
      </c>
      <c r="O1219" s="29" t="s">
        <v>35</v>
      </c>
      <c r="P1219" s="30" t="s">
        <v>2187</v>
      </c>
    </row>
    <row r="1220" s="25" customFormat="1" spans="1:16">
      <c r="A1220" s="29" t="s">
        <v>2184</v>
      </c>
      <c r="B1220" s="29" t="s">
        <v>2183</v>
      </c>
      <c r="C1220" s="29" t="s">
        <v>55</v>
      </c>
      <c r="D1220" s="29" t="s">
        <v>2184</v>
      </c>
      <c r="E1220" s="29" t="s">
        <v>35</v>
      </c>
      <c r="F1220" s="29" t="s">
        <v>35</v>
      </c>
      <c r="G1220" s="29" t="s">
        <v>37</v>
      </c>
      <c r="H1220" s="29" t="s">
        <v>38</v>
      </c>
      <c r="I1220" s="29" t="s">
        <v>39</v>
      </c>
      <c r="J1220" s="29" t="s">
        <v>35</v>
      </c>
      <c r="K1220" s="29" t="s">
        <v>2188</v>
      </c>
      <c r="L1220" s="29" t="s">
        <v>2189</v>
      </c>
      <c r="M1220" s="29" t="s">
        <v>39</v>
      </c>
      <c r="N1220" s="29" t="s">
        <v>2190</v>
      </c>
      <c r="O1220" s="29" t="s">
        <v>35</v>
      </c>
      <c r="P1220" s="30" t="s">
        <v>2191</v>
      </c>
    </row>
    <row r="1221" s="25" customFormat="1" spans="1:16">
      <c r="A1221" s="29" t="s">
        <v>2188</v>
      </c>
      <c r="B1221" s="29" t="s">
        <v>2183</v>
      </c>
      <c r="C1221" s="29" t="s">
        <v>55</v>
      </c>
      <c r="D1221" s="29" t="s">
        <v>2184</v>
      </c>
      <c r="E1221" s="29" t="s">
        <v>35</v>
      </c>
      <c r="F1221" s="29" t="s">
        <v>35</v>
      </c>
      <c r="G1221" s="29" t="s">
        <v>37</v>
      </c>
      <c r="H1221" s="29" t="s">
        <v>38</v>
      </c>
      <c r="I1221" s="29" t="s">
        <v>39</v>
      </c>
      <c r="J1221" s="29" t="s">
        <v>47</v>
      </c>
      <c r="K1221" s="29" t="s">
        <v>2192</v>
      </c>
      <c r="L1221" s="29" t="s">
        <v>2193</v>
      </c>
      <c r="M1221" s="29" t="s">
        <v>39</v>
      </c>
      <c r="N1221" s="29" t="s">
        <v>2190</v>
      </c>
      <c r="O1221" s="29" t="s">
        <v>35</v>
      </c>
      <c r="P1221" s="30" t="s">
        <v>2194</v>
      </c>
    </row>
    <row r="1222" s="25" customFormat="1" spans="1:16">
      <c r="A1222" s="29" t="s">
        <v>2192</v>
      </c>
      <c r="B1222" s="29" t="s">
        <v>2183</v>
      </c>
      <c r="C1222" s="29" t="s">
        <v>55</v>
      </c>
      <c r="D1222" s="29" t="s">
        <v>2184</v>
      </c>
      <c r="E1222" s="29" t="s">
        <v>35</v>
      </c>
      <c r="F1222" s="29" t="s">
        <v>35</v>
      </c>
      <c r="G1222" s="29" t="s">
        <v>37</v>
      </c>
      <c r="H1222" s="29" t="s">
        <v>38</v>
      </c>
      <c r="I1222" s="29" t="s">
        <v>39</v>
      </c>
      <c r="J1222" s="29" t="s">
        <v>51</v>
      </c>
      <c r="K1222" s="29" t="s">
        <v>2195</v>
      </c>
      <c r="L1222" s="29" t="s">
        <v>2196</v>
      </c>
      <c r="M1222" s="29" t="s">
        <v>39</v>
      </c>
      <c r="N1222" s="29" t="s">
        <v>2190</v>
      </c>
      <c r="O1222" s="29" t="s">
        <v>35</v>
      </c>
      <c r="P1222" s="30" t="s">
        <v>2197</v>
      </c>
    </row>
    <row r="1223" s="25" customFormat="1" spans="1:16">
      <c r="A1223" s="29" t="s">
        <v>2195</v>
      </c>
      <c r="B1223" s="29" t="s">
        <v>2183</v>
      </c>
      <c r="C1223" s="29" t="s">
        <v>55</v>
      </c>
      <c r="D1223" s="29" t="s">
        <v>2184</v>
      </c>
      <c r="E1223" s="29" t="s">
        <v>35</v>
      </c>
      <c r="F1223" s="29" t="s">
        <v>35</v>
      </c>
      <c r="G1223" s="29" t="s">
        <v>37</v>
      </c>
      <c r="H1223" s="29" t="s">
        <v>38</v>
      </c>
      <c r="I1223" s="29" t="s">
        <v>39</v>
      </c>
      <c r="J1223" s="29" t="s">
        <v>55</v>
      </c>
      <c r="K1223" s="29" t="s">
        <v>2198</v>
      </c>
      <c r="L1223" s="29" t="s">
        <v>2199</v>
      </c>
      <c r="M1223" s="29" t="s">
        <v>39</v>
      </c>
      <c r="N1223" s="29" t="s">
        <v>2190</v>
      </c>
      <c r="O1223" s="29" t="s">
        <v>35</v>
      </c>
      <c r="P1223" s="30" t="s">
        <v>2200</v>
      </c>
    </row>
    <row r="1224" s="25" customFormat="1" spans="1:16">
      <c r="A1224" s="29" t="s">
        <v>2198</v>
      </c>
      <c r="B1224" s="29" t="s">
        <v>2183</v>
      </c>
      <c r="C1224" s="29" t="s">
        <v>55</v>
      </c>
      <c r="D1224" s="29" t="s">
        <v>2184</v>
      </c>
      <c r="E1224" s="29" t="s">
        <v>35</v>
      </c>
      <c r="F1224" s="29" t="s">
        <v>35</v>
      </c>
      <c r="G1224" s="29" t="s">
        <v>37</v>
      </c>
      <c r="H1224" s="29" t="s">
        <v>38</v>
      </c>
      <c r="I1224" s="29" t="s">
        <v>39</v>
      </c>
      <c r="J1224" s="29" t="s">
        <v>59</v>
      </c>
      <c r="K1224" s="29" t="s">
        <v>39</v>
      </c>
      <c r="L1224" s="29" t="s">
        <v>39</v>
      </c>
      <c r="M1224" s="29" t="s">
        <v>39</v>
      </c>
      <c r="N1224" s="29" t="s">
        <v>2190</v>
      </c>
      <c r="O1224" s="29" t="s">
        <v>35</v>
      </c>
      <c r="P1224" s="30" t="s">
        <v>2201</v>
      </c>
    </row>
    <row r="1225" s="25" customFormat="1" spans="1:16">
      <c r="A1225" s="29" t="s">
        <v>2202</v>
      </c>
      <c r="B1225" s="29" t="s">
        <v>2202</v>
      </c>
      <c r="C1225" s="29" t="s">
        <v>55</v>
      </c>
      <c r="D1225" s="29" t="s">
        <v>2184</v>
      </c>
      <c r="E1225" s="29" t="s">
        <v>35</v>
      </c>
      <c r="F1225" s="29" t="s">
        <v>35</v>
      </c>
      <c r="G1225" s="29" t="s">
        <v>62</v>
      </c>
      <c r="H1225" s="29" t="s">
        <v>63</v>
      </c>
      <c r="I1225" s="29" t="s">
        <v>39</v>
      </c>
      <c r="J1225" s="29" t="s">
        <v>39</v>
      </c>
      <c r="K1225" s="29" t="s">
        <v>2203</v>
      </c>
      <c r="L1225" s="29" t="s">
        <v>2185</v>
      </c>
      <c r="M1225" s="29" t="s">
        <v>65</v>
      </c>
      <c r="N1225" s="29" t="s">
        <v>2204</v>
      </c>
      <c r="O1225" s="29" t="s">
        <v>47</v>
      </c>
      <c r="P1225" s="30" t="s">
        <v>2205</v>
      </c>
    </row>
    <row r="1226" s="26" customFormat="1" spans="1:18">
      <c r="A1226" s="29" t="s">
        <v>2203</v>
      </c>
      <c r="B1226" s="29" t="s">
        <v>2202</v>
      </c>
      <c r="C1226" s="29" t="s">
        <v>55</v>
      </c>
      <c r="D1226" s="29" t="s">
        <v>2184</v>
      </c>
      <c r="E1226" s="29" t="s">
        <v>35</v>
      </c>
      <c r="F1226" s="29" t="s">
        <v>35</v>
      </c>
      <c r="G1226" s="29" t="s">
        <v>62</v>
      </c>
      <c r="H1226" s="29" t="s">
        <v>63</v>
      </c>
      <c r="I1226" s="29" t="s">
        <v>39</v>
      </c>
      <c r="J1226" s="29" t="s">
        <v>35</v>
      </c>
      <c r="K1226" s="29" t="s">
        <v>2206</v>
      </c>
      <c r="L1226" s="29" t="s">
        <v>2189</v>
      </c>
      <c r="M1226" s="29" t="s">
        <v>65</v>
      </c>
      <c r="N1226" s="29" t="s">
        <v>2207</v>
      </c>
      <c r="O1226" s="29" t="s">
        <v>47</v>
      </c>
      <c r="P1226" s="30" t="s">
        <v>2208</v>
      </c>
      <c r="Q1226" s="25"/>
      <c r="R1226" s="25"/>
    </row>
    <row r="1227" s="25" customFormat="1" spans="1:16">
      <c r="A1227" s="29" t="s">
        <v>2206</v>
      </c>
      <c r="B1227" s="29" t="s">
        <v>2202</v>
      </c>
      <c r="C1227" s="29" t="s">
        <v>55</v>
      </c>
      <c r="D1227" s="29" t="s">
        <v>2184</v>
      </c>
      <c r="E1227" s="29" t="s">
        <v>35</v>
      </c>
      <c r="F1227" s="29" t="s">
        <v>35</v>
      </c>
      <c r="G1227" s="29" t="s">
        <v>62</v>
      </c>
      <c r="H1227" s="29" t="s">
        <v>63</v>
      </c>
      <c r="I1227" s="29" t="s">
        <v>39</v>
      </c>
      <c r="J1227" s="29" t="s">
        <v>47</v>
      </c>
      <c r="K1227" s="29" t="s">
        <v>2209</v>
      </c>
      <c r="L1227" s="29" t="s">
        <v>2193</v>
      </c>
      <c r="M1227" s="29" t="s">
        <v>65</v>
      </c>
      <c r="N1227" s="29" t="s">
        <v>2207</v>
      </c>
      <c r="O1227" s="29" t="s">
        <v>47</v>
      </c>
      <c r="P1227" s="30" t="s">
        <v>2210</v>
      </c>
    </row>
    <row r="1228" s="25" customFormat="1" spans="1:16">
      <c r="A1228" s="29" t="s">
        <v>2209</v>
      </c>
      <c r="B1228" s="29" t="s">
        <v>2202</v>
      </c>
      <c r="C1228" s="29" t="s">
        <v>55</v>
      </c>
      <c r="D1228" s="29" t="s">
        <v>2184</v>
      </c>
      <c r="E1228" s="29" t="s">
        <v>35</v>
      </c>
      <c r="F1228" s="29" t="s">
        <v>35</v>
      </c>
      <c r="G1228" s="29" t="s">
        <v>62</v>
      </c>
      <c r="H1228" s="29" t="s">
        <v>63</v>
      </c>
      <c r="I1228" s="29" t="s">
        <v>39</v>
      </c>
      <c r="J1228" s="29" t="s">
        <v>51</v>
      </c>
      <c r="K1228" s="29" t="s">
        <v>2211</v>
      </c>
      <c r="L1228" s="29" t="s">
        <v>2196</v>
      </c>
      <c r="M1228" s="29" t="s">
        <v>65</v>
      </c>
      <c r="N1228" s="29" t="s">
        <v>2207</v>
      </c>
      <c r="O1228" s="29" t="s">
        <v>47</v>
      </c>
      <c r="P1228" s="30" t="s">
        <v>2212</v>
      </c>
    </row>
    <row r="1229" s="25" customFormat="1" spans="1:16">
      <c r="A1229" s="29" t="s">
        <v>2211</v>
      </c>
      <c r="B1229" s="29" t="s">
        <v>2202</v>
      </c>
      <c r="C1229" s="29" t="s">
        <v>55</v>
      </c>
      <c r="D1229" s="29" t="s">
        <v>2184</v>
      </c>
      <c r="E1229" s="29" t="s">
        <v>35</v>
      </c>
      <c r="F1229" s="29" t="s">
        <v>35</v>
      </c>
      <c r="G1229" s="29" t="s">
        <v>62</v>
      </c>
      <c r="H1229" s="29" t="s">
        <v>63</v>
      </c>
      <c r="I1229" s="29" t="s">
        <v>39</v>
      </c>
      <c r="J1229" s="29" t="s">
        <v>55</v>
      </c>
      <c r="K1229" s="29" t="s">
        <v>2213</v>
      </c>
      <c r="L1229" s="29" t="s">
        <v>2199</v>
      </c>
      <c r="M1229" s="29" t="s">
        <v>65</v>
      </c>
      <c r="N1229" s="29" t="s">
        <v>2207</v>
      </c>
      <c r="O1229" s="29" t="s">
        <v>47</v>
      </c>
      <c r="P1229" s="30" t="s">
        <v>2214</v>
      </c>
    </row>
    <row r="1230" s="25" customFormat="1" spans="1:16">
      <c r="A1230" s="29" t="s">
        <v>2213</v>
      </c>
      <c r="B1230" s="29" t="s">
        <v>2202</v>
      </c>
      <c r="C1230" s="29" t="s">
        <v>55</v>
      </c>
      <c r="D1230" s="29" t="s">
        <v>2184</v>
      </c>
      <c r="E1230" s="29" t="s">
        <v>35</v>
      </c>
      <c r="F1230" s="29" t="s">
        <v>35</v>
      </c>
      <c r="G1230" s="29" t="s">
        <v>62</v>
      </c>
      <c r="H1230" s="29" t="s">
        <v>63</v>
      </c>
      <c r="I1230" s="29" t="s">
        <v>39</v>
      </c>
      <c r="J1230" s="29" t="s">
        <v>59</v>
      </c>
      <c r="K1230" s="29" t="s">
        <v>39</v>
      </c>
      <c r="L1230" s="29" t="s">
        <v>39</v>
      </c>
      <c r="M1230" s="29" t="s">
        <v>39</v>
      </c>
      <c r="N1230" s="29" t="s">
        <v>2207</v>
      </c>
      <c r="O1230" s="29" t="s">
        <v>47</v>
      </c>
      <c r="P1230" s="30" t="s">
        <v>2215</v>
      </c>
    </row>
    <row r="1231" s="25" customFormat="1" spans="1:16">
      <c r="A1231" s="29" t="s">
        <v>2216</v>
      </c>
      <c r="B1231" s="29" t="s">
        <v>2216</v>
      </c>
      <c r="C1231" s="29" t="s">
        <v>55</v>
      </c>
      <c r="D1231" s="29" t="s">
        <v>2184</v>
      </c>
      <c r="E1231" s="29" t="s">
        <v>35</v>
      </c>
      <c r="F1231" s="29" t="s">
        <v>35</v>
      </c>
      <c r="G1231" s="29" t="s">
        <v>79</v>
      </c>
      <c r="H1231" s="29" t="s">
        <v>80</v>
      </c>
      <c r="I1231" s="29" t="s">
        <v>39</v>
      </c>
      <c r="J1231" s="29" t="s">
        <v>39</v>
      </c>
      <c r="K1231" s="29" t="s">
        <v>2217</v>
      </c>
      <c r="L1231" s="29" t="s">
        <v>2185</v>
      </c>
      <c r="M1231" s="29" t="s">
        <v>65</v>
      </c>
      <c r="N1231" s="29" t="s">
        <v>2218</v>
      </c>
      <c r="O1231" s="29" t="s">
        <v>51</v>
      </c>
      <c r="P1231" s="30" t="s">
        <v>2219</v>
      </c>
    </row>
    <row r="1232" s="25" customFormat="1" spans="1:16">
      <c r="A1232" s="29" t="s">
        <v>2217</v>
      </c>
      <c r="B1232" s="29" t="s">
        <v>2216</v>
      </c>
      <c r="C1232" s="29" t="s">
        <v>55</v>
      </c>
      <c r="D1232" s="29" t="s">
        <v>2184</v>
      </c>
      <c r="E1232" s="29" t="s">
        <v>35</v>
      </c>
      <c r="F1232" s="29" t="s">
        <v>35</v>
      </c>
      <c r="G1232" s="29" t="s">
        <v>79</v>
      </c>
      <c r="H1232" s="29" t="s">
        <v>80</v>
      </c>
      <c r="I1232" s="29" t="s">
        <v>39</v>
      </c>
      <c r="J1232" s="29" t="s">
        <v>35</v>
      </c>
      <c r="K1232" s="29" t="s">
        <v>2220</v>
      </c>
      <c r="L1232" s="29" t="s">
        <v>2189</v>
      </c>
      <c r="M1232" s="29" t="s">
        <v>65</v>
      </c>
      <c r="N1232" s="29" t="s">
        <v>2221</v>
      </c>
      <c r="O1232" s="29" t="s">
        <v>51</v>
      </c>
      <c r="P1232" s="30" t="s">
        <v>2222</v>
      </c>
    </row>
    <row r="1233" s="25" customFormat="1" spans="1:16">
      <c r="A1233" s="29" t="s">
        <v>2220</v>
      </c>
      <c r="B1233" s="29" t="s">
        <v>2216</v>
      </c>
      <c r="C1233" s="29" t="s">
        <v>55</v>
      </c>
      <c r="D1233" s="29" t="s">
        <v>2184</v>
      </c>
      <c r="E1233" s="29" t="s">
        <v>35</v>
      </c>
      <c r="F1233" s="29" t="s">
        <v>35</v>
      </c>
      <c r="G1233" s="29" t="s">
        <v>79</v>
      </c>
      <c r="H1233" s="29" t="s">
        <v>80</v>
      </c>
      <c r="I1233" s="29" t="s">
        <v>39</v>
      </c>
      <c r="J1233" s="29" t="s">
        <v>47</v>
      </c>
      <c r="K1233" s="29" t="s">
        <v>2223</v>
      </c>
      <c r="L1233" s="29" t="s">
        <v>2193</v>
      </c>
      <c r="M1233" s="29" t="s">
        <v>65</v>
      </c>
      <c r="N1233" s="29" t="s">
        <v>2221</v>
      </c>
      <c r="O1233" s="29" t="s">
        <v>51</v>
      </c>
      <c r="P1233" s="30" t="s">
        <v>2224</v>
      </c>
    </row>
    <row r="1234" s="25" customFormat="1" spans="1:16">
      <c r="A1234" s="29" t="s">
        <v>2223</v>
      </c>
      <c r="B1234" s="29" t="s">
        <v>2216</v>
      </c>
      <c r="C1234" s="29" t="s">
        <v>55</v>
      </c>
      <c r="D1234" s="29" t="s">
        <v>2184</v>
      </c>
      <c r="E1234" s="29" t="s">
        <v>35</v>
      </c>
      <c r="F1234" s="29" t="s">
        <v>35</v>
      </c>
      <c r="G1234" s="29" t="s">
        <v>79</v>
      </c>
      <c r="H1234" s="29" t="s">
        <v>80</v>
      </c>
      <c r="I1234" s="29" t="s">
        <v>39</v>
      </c>
      <c r="J1234" s="29" t="s">
        <v>51</v>
      </c>
      <c r="K1234" s="29" t="s">
        <v>2225</v>
      </c>
      <c r="L1234" s="29" t="s">
        <v>2196</v>
      </c>
      <c r="M1234" s="29" t="s">
        <v>65</v>
      </c>
      <c r="N1234" s="29" t="s">
        <v>2221</v>
      </c>
      <c r="O1234" s="29" t="s">
        <v>51</v>
      </c>
      <c r="P1234" s="30" t="s">
        <v>2226</v>
      </c>
    </row>
    <row r="1235" s="25" customFormat="1" spans="1:16">
      <c r="A1235" s="29" t="s">
        <v>2225</v>
      </c>
      <c r="B1235" s="29" t="s">
        <v>2216</v>
      </c>
      <c r="C1235" s="29" t="s">
        <v>55</v>
      </c>
      <c r="D1235" s="29" t="s">
        <v>2184</v>
      </c>
      <c r="E1235" s="29" t="s">
        <v>35</v>
      </c>
      <c r="F1235" s="29" t="s">
        <v>35</v>
      </c>
      <c r="G1235" s="29" t="s">
        <v>79</v>
      </c>
      <c r="H1235" s="29" t="s">
        <v>80</v>
      </c>
      <c r="I1235" s="29" t="s">
        <v>39</v>
      </c>
      <c r="J1235" s="29" t="s">
        <v>55</v>
      </c>
      <c r="K1235" s="29" t="s">
        <v>2227</v>
      </c>
      <c r="L1235" s="29" t="s">
        <v>2199</v>
      </c>
      <c r="M1235" s="29" t="s">
        <v>65</v>
      </c>
      <c r="N1235" s="29" t="s">
        <v>2221</v>
      </c>
      <c r="O1235" s="29" t="s">
        <v>51</v>
      </c>
      <c r="P1235" s="30" t="s">
        <v>2228</v>
      </c>
    </row>
    <row r="1236" s="25" customFormat="1" spans="1:16">
      <c r="A1236" s="29" t="s">
        <v>2227</v>
      </c>
      <c r="B1236" s="29" t="s">
        <v>2216</v>
      </c>
      <c r="C1236" s="29" t="s">
        <v>55</v>
      </c>
      <c r="D1236" s="29" t="s">
        <v>2184</v>
      </c>
      <c r="E1236" s="29" t="s">
        <v>35</v>
      </c>
      <c r="F1236" s="29" t="s">
        <v>35</v>
      </c>
      <c r="G1236" s="29" t="s">
        <v>79</v>
      </c>
      <c r="H1236" s="29" t="s">
        <v>80</v>
      </c>
      <c r="I1236" s="29" t="s">
        <v>39</v>
      </c>
      <c r="J1236" s="29" t="s">
        <v>59</v>
      </c>
      <c r="K1236" s="29" t="s">
        <v>39</v>
      </c>
      <c r="L1236" s="29" t="s">
        <v>39</v>
      </c>
      <c r="M1236" s="29" t="s">
        <v>39</v>
      </c>
      <c r="N1236" s="29" t="s">
        <v>2221</v>
      </c>
      <c r="O1236" s="29" t="s">
        <v>51</v>
      </c>
      <c r="P1236" s="30" t="s">
        <v>2229</v>
      </c>
    </row>
    <row r="1237" s="25" customFormat="1" spans="1:16">
      <c r="A1237" s="29" t="s">
        <v>2230</v>
      </c>
      <c r="B1237" s="29" t="s">
        <v>2230</v>
      </c>
      <c r="C1237" s="29" t="s">
        <v>55</v>
      </c>
      <c r="D1237" s="29" t="s">
        <v>2184</v>
      </c>
      <c r="E1237" s="29" t="s">
        <v>35</v>
      </c>
      <c r="F1237" s="29" t="s">
        <v>35</v>
      </c>
      <c r="G1237" s="29" t="s">
        <v>95</v>
      </c>
      <c r="H1237" s="29" t="s">
        <v>96</v>
      </c>
      <c r="I1237" s="29" t="s">
        <v>39</v>
      </c>
      <c r="J1237" s="29" t="s">
        <v>39</v>
      </c>
      <c r="K1237" s="29" t="s">
        <v>2231</v>
      </c>
      <c r="L1237" s="29" t="s">
        <v>2185</v>
      </c>
      <c r="M1237" s="29" t="s">
        <v>65</v>
      </c>
      <c r="N1237" s="29" t="s">
        <v>2232</v>
      </c>
      <c r="O1237" s="29" t="s">
        <v>55</v>
      </c>
      <c r="P1237" s="30" t="s">
        <v>2233</v>
      </c>
    </row>
    <row r="1238" s="25" customFormat="1" spans="1:16">
      <c r="A1238" s="29" t="s">
        <v>2231</v>
      </c>
      <c r="B1238" s="29" t="s">
        <v>2230</v>
      </c>
      <c r="C1238" s="29" t="s">
        <v>55</v>
      </c>
      <c r="D1238" s="29" t="s">
        <v>2184</v>
      </c>
      <c r="E1238" s="29" t="s">
        <v>35</v>
      </c>
      <c r="F1238" s="29" t="s">
        <v>35</v>
      </c>
      <c r="G1238" s="29" t="s">
        <v>95</v>
      </c>
      <c r="H1238" s="29" t="s">
        <v>96</v>
      </c>
      <c r="I1238" s="29" t="s">
        <v>39</v>
      </c>
      <c r="J1238" s="29" t="s">
        <v>35</v>
      </c>
      <c r="K1238" s="29" t="s">
        <v>2234</v>
      </c>
      <c r="L1238" s="29" t="s">
        <v>2189</v>
      </c>
      <c r="M1238" s="29" t="s">
        <v>65</v>
      </c>
      <c r="N1238" s="29" t="s">
        <v>2235</v>
      </c>
      <c r="O1238" s="29" t="s">
        <v>55</v>
      </c>
      <c r="P1238" s="30" t="s">
        <v>2236</v>
      </c>
    </row>
    <row r="1239" s="25" customFormat="1" spans="1:16">
      <c r="A1239" s="29" t="s">
        <v>2234</v>
      </c>
      <c r="B1239" s="29" t="s">
        <v>2230</v>
      </c>
      <c r="C1239" s="29" t="s">
        <v>55</v>
      </c>
      <c r="D1239" s="29" t="s">
        <v>2184</v>
      </c>
      <c r="E1239" s="29" t="s">
        <v>35</v>
      </c>
      <c r="F1239" s="29" t="s">
        <v>35</v>
      </c>
      <c r="G1239" s="29" t="s">
        <v>95</v>
      </c>
      <c r="H1239" s="29" t="s">
        <v>96</v>
      </c>
      <c r="I1239" s="29" t="s">
        <v>39</v>
      </c>
      <c r="J1239" s="29" t="s">
        <v>47</v>
      </c>
      <c r="K1239" s="29" t="s">
        <v>2237</v>
      </c>
      <c r="L1239" s="29" t="s">
        <v>2193</v>
      </c>
      <c r="M1239" s="29" t="s">
        <v>65</v>
      </c>
      <c r="N1239" s="29" t="s">
        <v>2235</v>
      </c>
      <c r="O1239" s="29" t="s">
        <v>55</v>
      </c>
      <c r="P1239" s="30" t="s">
        <v>2238</v>
      </c>
    </row>
    <row r="1240" s="25" customFormat="1" spans="1:16">
      <c r="A1240" s="29" t="s">
        <v>2237</v>
      </c>
      <c r="B1240" s="29" t="s">
        <v>2230</v>
      </c>
      <c r="C1240" s="29" t="s">
        <v>55</v>
      </c>
      <c r="D1240" s="29" t="s">
        <v>2184</v>
      </c>
      <c r="E1240" s="29" t="s">
        <v>35</v>
      </c>
      <c r="F1240" s="29" t="s">
        <v>35</v>
      </c>
      <c r="G1240" s="29" t="s">
        <v>95</v>
      </c>
      <c r="H1240" s="29" t="s">
        <v>96</v>
      </c>
      <c r="I1240" s="29" t="s">
        <v>39</v>
      </c>
      <c r="J1240" s="29" t="s">
        <v>51</v>
      </c>
      <c r="K1240" s="29" t="s">
        <v>2239</v>
      </c>
      <c r="L1240" s="29" t="s">
        <v>2196</v>
      </c>
      <c r="M1240" s="29" t="s">
        <v>65</v>
      </c>
      <c r="N1240" s="29" t="s">
        <v>2235</v>
      </c>
      <c r="O1240" s="29" t="s">
        <v>55</v>
      </c>
      <c r="P1240" s="30" t="s">
        <v>2240</v>
      </c>
    </row>
    <row r="1241" s="25" customFormat="1" spans="1:16">
      <c r="A1241" s="29" t="s">
        <v>2239</v>
      </c>
      <c r="B1241" s="29" t="s">
        <v>2230</v>
      </c>
      <c r="C1241" s="29" t="s">
        <v>55</v>
      </c>
      <c r="D1241" s="29" t="s">
        <v>2184</v>
      </c>
      <c r="E1241" s="29" t="s">
        <v>35</v>
      </c>
      <c r="F1241" s="29" t="s">
        <v>35</v>
      </c>
      <c r="G1241" s="29" t="s">
        <v>95</v>
      </c>
      <c r="H1241" s="29" t="s">
        <v>96</v>
      </c>
      <c r="I1241" s="29" t="s">
        <v>39</v>
      </c>
      <c r="J1241" s="29" t="s">
        <v>55</v>
      </c>
      <c r="K1241" s="29" t="s">
        <v>2241</v>
      </c>
      <c r="L1241" s="29" t="s">
        <v>2199</v>
      </c>
      <c r="M1241" s="29" t="s">
        <v>65</v>
      </c>
      <c r="N1241" s="29" t="s">
        <v>2235</v>
      </c>
      <c r="O1241" s="29" t="s">
        <v>55</v>
      </c>
      <c r="P1241" s="30" t="s">
        <v>2242</v>
      </c>
    </row>
    <row r="1242" s="25" customFormat="1" spans="1:16">
      <c r="A1242" s="29" t="s">
        <v>2241</v>
      </c>
      <c r="B1242" s="29" t="s">
        <v>2230</v>
      </c>
      <c r="C1242" s="29" t="s">
        <v>55</v>
      </c>
      <c r="D1242" s="29" t="s">
        <v>2184</v>
      </c>
      <c r="E1242" s="29" t="s">
        <v>35</v>
      </c>
      <c r="F1242" s="29" t="s">
        <v>35</v>
      </c>
      <c r="G1242" s="29" t="s">
        <v>95</v>
      </c>
      <c r="H1242" s="29" t="s">
        <v>96</v>
      </c>
      <c r="I1242" s="29" t="s">
        <v>39</v>
      </c>
      <c r="J1242" s="29" t="s">
        <v>59</v>
      </c>
      <c r="K1242" s="29" t="s">
        <v>39</v>
      </c>
      <c r="L1242" s="29" t="s">
        <v>39</v>
      </c>
      <c r="M1242" s="29" t="s">
        <v>39</v>
      </c>
      <c r="N1242" s="29" t="s">
        <v>2235</v>
      </c>
      <c r="O1242" s="29" t="s">
        <v>55</v>
      </c>
      <c r="P1242" s="30" t="s">
        <v>2243</v>
      </c>
    </row>
    <row r="1243" s="25" customFormat="1" spans="1:16">
      <c r="A1243" s="29" t="s">
        <v>2244</v>
      </c>
      <c r="B1243" s="29" t="s">
        <v>2244</v>
      </c>
      <c r="C1243" s="29" t="s">
        <v>55</v>
      </c>
      <c r="D1243" s="29" t="s">
        <v>2184</v>
      </c>
      <c r="E1243" s="29" t="s">
        <v>35</v>
      </c>
      <c r="F1243" s="29" t="s">
        <v>35</v>
      </c>
      <c r="G1243" s="29" t="s">
        <v>111</v>
      </c>
      <c r="H1243" s="29" t="s">
        <v>112</v>
      </c>
      <c r="I1243" s="29" t="s">
        <v>39</v>
      </c>
      <c r="J1243" s="29" t="s">
        <v>39</v>
      </c>
      <c r="K1243" s="29" t="s">
        <v>2245</v>
      </c>
      <c r="L1243" s="29" t="s">
        <v>2185</v>
      </c>
      <c r="M1243" s="29" t="s">
        <v>114</v>
      </c>
      <c r="N1243" s="29" t="s">
        <v>2246</v>
      </c>
      <c r="O1243" s="29" t="s">
        <v>59</v>
      </c>
      <c r="P1243" s="30" t="s">
        <v>2247</v>
      </c>
    </row>
    <row r="1244" s="25" customFormat="1" spans="1:16">
      <c r="A1244" s="29" t="s">
        <v>2245</v>
      </c>
      <c r="B1244" s="29" t="s">
        <v>2244</v>
      </c>
      <c r="C1244" s="29" t="s">
        <v>55</v>
      </c>
      <c r="D1244" s="29" t="s">
        <v>2184</v>
      </c>
      <c r="E1244" s="29" t="s">
        <v>35</v>
      </c>
      <c r="F1244" s="29" t="s">
        <v>35</v>
      </c>
      <c r="G1244" s="29" t="s">
        <v>111</v>
      </c>
      <c r="H1244" s="29" t="s">
        <v>112</v>
      </c>
      <c r="I1244" s="29" t="s">
        <v>39</v>
      </c>
      <c r="J1244" s="29" t="s">
        <v>35</v>
      </c>
      <c r="K1244" s="29" t="s">
        <v>2248</v>
      </c>
      <c r="L1244" s="29" t="s">
        <v>2189</v>
      </c>
      <c r="M1244" s="29" t="s">
        <v>114</v>
      </c>
      <c r="N1244" s="29" t="s">
        <v>2249</v>
      </c>
      <c r="O1244" s="29" t="s">
        <v>59</v>
      </c>
      <c r="P1244" s="30" t="s">
        <v>2250</v>
      </c>
    </row>
    <row r="1245" s="25" customFormat="1" spans="1:16">
      <c r="A1245" s="29" t="s">
        <v>2248</v>
      </c>
      <c r="B1245" s="29" t="s">
        <v>2244</v>
      </c>
      <c r="C1245" s="29" t="s">
        <v>55</v>
      </c>
      <c r="D1245" s="29" t="s">
        <v>2184</v>
      </c>
      <c r="E1245" s="29" t="s">
        <v>35</v>
      </c>
      <c r="F1245" s="29" t="s">
        <v>35</v>
      </c>
      <c r="G1245" s="29" t="s">
        <v>111</v>
      </c>
      <c r="H1245" s="29" t="s">
        <v>112</v>
      </c>
      <c r="I1245" s="29" t="s">
        <v>39</v>
      </c>
      <c r="J1245" s="29" t="s">
        <v>47</v>
      </c>
      <c r="K1245" s="29" t="s">
        <v>2251</v>
      </c>
      <c r="L1245" s="29" t="s">
        <v>2193</v>
      </c>
      <c r="M1245" s="29" t="s">
        <v>114</v>
      </c>
      <c r="N1245" s="29" t="s">
        <v>2249</v>
      </c>
      <c r="O1245" s="29" t="s">
        <v>59</v>
      </c>
      <c r="P1245" s="30" t="s">
        <v>2252</v>
      </c>
    </row>
    <row r="1246" s="25" customFormat="1" spans="1:16">
      <c r="A1246" s="29" t="s">
        <v>2251</v>
      </c>
      <c r="B1246" s="29" t="s">
        <v>2244</v>
      </c>
      <c r="C1246" s="29" t="s">
        <v>55</v>
      </c>
      <c r="D1246" s="29" t="s">
        <v>2184</v>
      </c>
      <c r="E1246" s="29" t="s">
        <v>35</v>
      </c>
      <c r="F1246" s="29" t="s">
        <v>35</v>
      </c>
      <c r="G1246" s="29" t="s">
        <v>111</v>
      </c>
      <c r="H1246" s="29" t="s">
        <v>112</v>
      </c>
      <c r="I1246" s="29" t="s">
        <v>39</v>
      </c>
      <c r="J1246" s="29" t="s">
        <v>51</v>
      </c>
      <c r="K1246" s="29" t="s">
        <v>2253</v>
      </c>
      <c r="L1246" s="29" t="s">
        <v>2196</v>
      </c>
      <c r="M1246" s="29" t="s">
        <v>114</v>
      </c>
      <c r="N1246" s="29" t="s">
        <v>2249</v>
      </c>
      <c r="O1246" s="29" t="s">
        <v>59</v>
      </c>
      <c r="P1246" s="30" t="s">
        <v>2254</v>
      </c>
    </row>
    <row r="1247" s="25" customFormat="1" spans="1:16">
      <c r="A1247" s="29" t="s">
        <v>2253</v>
      </c>
      <c r="B1247" s="29" t="s">
        <v>2244</v>
      </c>
      <c r="C1247" s="29" t="s">
        <v>55</v>
      </c>
      <c r="D1247" s="29" t="s">
        <v>2184</v>
      </c>
      <c r="E1247" s="29" t="s">
        <v>35</v>
      </c>
      <c r="F1247" s="29" t="s">
        <v>35</v>
      </c>
      <c r="G1247" s="29" t="s">
        <v>111</v>
      </c>
      <c r="H1247" s="29" t="s">
        <v>112</v>
      </c>
      <c r="I1247" s="29" t="s">
        <v>39</v>
      </c>
      <c r="J1247" s="29" t="s">
        <v>55</v>
      </c>
      <c r="K1247" s="29" t="s">
        <v>2255</v>
      </c>
      <c r="L1247" s="29" t="s">
        <v>2199</v>
      </c>
      <c r="M1247" s="29" t="s">
        <v>114</v>
      </c>
      <c r="N1247" s="29" t="s">
        <v>2249</v>
      </c>
      <c r="O1247" s="29" t="s">
        <v>59</v>
      </c>
      <c r="P1247" s="30" t="s">
        <v>2256</v>
      </c>
    </row>
    <row r="1248" s="25" customFormat="1" spans="1:16">
      <c r="A1248" s="29" t="s">
        <v>2255</v>
      </c>
      <c r="B1248" s="29" t="s">
        <v>2244</v>
      </c>
      <c r="C1248" s="29" t="s">
        <v>55</v>
      </c>
      <c r="D1248" s="29" t="s">
        <v>2184</v>
      </c>
      <c r="E1248" s="29" t="s">
        <v>35</v>
      </c>
      <c r="F1248" s="29" t="s">
        <v>35</v>
      </c>
      <c r="G1248" s="29" t="s">
        <v>111</v>
      </c>
      <c r="H1248" s="29" t="s">
        <v>112</v>
      </c>
      <c r="I1248" s="29" t="s">
        <v>39</v>
      </c>
      <c r="J1248" s="29" t="s">
        <v>59</v>
      </c>
      <c r="K1248" s="29" t="s">
        <v>2257</v>
      </c>
      <c r="L1248" s="29" t="s">
        <v>2258</v>
      </c>
      <c r="M1248" s="29" t="s">
        <v>114</v>
      </c>
      <c r="N1248" s="29" t="s">
        <v>2249</v>
      </c>
      <c r="O1248" s="29" t="s">
        <v>59</v>
      </c>
      <c r="P1248" s="30" t="s">
        <v>2259</v>
      </c>
    </row>
    <row r="1249" s="25" customFormat="1" spans="1:16">
      <c r="A1249" s="29" t="s">
        <v>2257</v>
      </c>
      <c r="B1249" s="29" t="s">
        <v>2244</v>
      </c>
      <c r="C1249" s="29" t="s">
        <v>55</v>
      </c>
      <c r="D1249" s="29" t="s">
        <v>2184</v>
      </c>
      <c r="E1249" s="29" t="s">
        <v>35</v>
      </c>
      <c r="F1249" s="29" t="s">
        <v>35</v>
      </c>
      <c r="G1249" s="29" t="s">
        <v>111</v>
      </c>
      <c r="H1249" s="29" t="s">
        <v>112</v>
      </c>
      <c r="I1249" s="29" t="s">
        <v>39</v>
      </c>
      <c r="J1249" s="29" t="s">
        <v>129</v>
      </c>
      <c r="K1249" s="29" t="s">
        <v>2260</v>
      </c>
      <c r="L1249" s="29" t="s">
        <v>2261</v>
      </c>
      <c r="M1249" s="29" t="s">
        <v>114</v>
      </c>
      <c r="N1249" s="29" t="s">
        <v>2249</v>
      </c>
      <c r="O1249" s="29" t="s">
        <v>59</v>
      </c>
      <c r="P1249" s="30" t="s">
        <v>2262</v>
      </c>
    </row>
    <row r="1250" s="25" customFormat="1" spans="1:16">
      <c r="A1250" s="29" t="s">
        <v>2260</v>
      </c>
      <c r="B1250" s="29" t="s">
        <v>2244</v>
      </c>
      <c r="C1250" s="29" t="s">
        <v>55</v>
      </c>
      <c r="D1250" s="29" t="s">
        <v>2184</v>
      </c>
      <c r="E1250" s="29" t="s">
        <v>35</v>
      </c>
      <c r="F1250" s="29" t="s">
        <v>35</v>
      </c>
      <c r="G1250" s="29" t="s">
        <v>111</v>
      </c>
      <c r="H1250" s="29" t="s">
        <v>112</v>
      </c>
      <c r="I1250" s="29" t="s">
        <v>39</v>
      </c>
      <c r="J1250" s="29" t="s">
        <v>133</v>
      </c>
      <c r="K1250" s="29" t="s">
        <v>2263</v>
      </c>
      <c r="L1250" s="29" t="s">
        <v>2264</v>
      </c>
      <c r="M1250" s="29" t="s">
        <v>114</v>
      </c>
      <c r="N1250" s="29" t="s">
        <v>2249</v>
      </c>
      <c r="O1250" s="29" t="s">
        <v>59</v>
      </c>
      <c r="P1250" s="30" t="s">
        <v>2265</v>
      </c>
    </row>
    <row r="1251" s="25" customFormat="1" spans="1:16">
      <c r="A1251" s="29" t="s">
        <v>2263</v>
      </c>
      <c r="B1251" s="29" t="s">
        <v>2244</v>
      </c>
      <c r="C1251" s="29" t="s">
        <v>55</v>
      </c>
      <c r="D1251" s="29" t="s">
        <v>2184</v>
      </c>
      <c r="E1251" s="29" t="s">
        <v>35</v>
      </c>
      <c r="F1251" s="29" t="s">
        <v>35</v>
      </c>
      <c r="G1251" s="29" t="s">
        <v>111</v>
      </c>
      <c r="H1251" s="29" t="s">
        <v>112</v>
      </c>
      <c r="I1251" s="29" t="s">
        <v>39</v>
      </c>
      <c r="J1251" s="29" t="s">
        <v>137</v>
      </c>
      <c r="K1251" s="29" t="s">
        <v>2266</v>
      </c>
      <c r="L1251" s="29" t="s">
        <v>2267</v>
      </c>
      <c r="M1251" s="29" t="s">
        <v>114</v>
      </c>
      <c r="N1251" s="29" t="s">
        <v>2249</v>
      </c>
      <c r="O1251" s="29" t="s">
        <v>59</v>
      </c>
      <c r="P1251" s="30" t="s">
        <v>2268</v>
      </c>
    </row>
    <row r="1252" s="25" customFormat="1" spans="1:16">
      <c r="A1252" s="29" t="s">
        <v>2266</v>
      </c>
      <c r="B1252" s="29" t="s">
        <v>2244</v>
      </c>
      <c r="C1252" s="29" t="s">
        <v>55</v>
      </c>
      <c r="D1252" s="29" t="s">
        <v>2184</v>
      </c>
      <c r="E1252" s="29" t="s">
        <v>35</v>
      </c>
      <c r="F1252" s="29" t="s">
        <v>35</v>
      </c>
      <c r="G1252" s="29" t="s">
        <v>111</v>
      </c>
      <c r="H1252" s="29" t="s">
        <v>112</v>
      </c>
      <c r="I1252" s="29" t="s">
        <v>39</v>
      </c>
      <c r="J1252" s="29" t="s">
        <v>141</v>
      </c>
      <c r="K1252" s="29" t="s">
        <v>2269</v>
      </c>
      <c r="L1252" s="29" t="s">
        <v>2270</v>
      </c>
      <c r="M1252" s="29" t="s">
        <v>114</v>
      </c>
      <c r="N1252" s="29" t="s">
        <v>2249</v>
      </c>
      <c r="O1252" s="29" t="s">
        <v>59</v>
      </c>
      <c r="P1252" s="30" t="s">
        <v>2271</v>
      </c>
    </row>
    <row r="1253" s="25" customFormat="1" spans="1:16">
      <c r="A1253" s="29" t="s">
        <v>2269</v>
      </c>
      <c r="B1253" s="29" t="s">
        <v>2244</v>
      </c>
      <c r="C1253" s="29" t="s">
        <v>55</v>
      </c>
      <c r="D1253" s="29" t="s">
        <v>2184</v>
      </c>
      <c r="E1253" s="29" t="s">
        <v>35</v>
      </c>
      <c r="F1253" s="29" t="s">
        <v>35</v>
      </c>
      <c r="G1253" s="29" t="s">
        <v>111</v>
      </c>
      <c r="H1253" s="29" t="s">
        <v>112</v>
      </c>
      <c r="I1253" s="29" t="s">
        <v>39</v>
      </c>
      <c r="J1253" s="29" t="s">
        <v>145</v>
      </c>
      <c r="K1253" s="29" t="s">
        <v>39</v>
      </c>
      <c r="L1253" s="29" t="s">
        <v>39</v>
      </c>
      <c r="M1253" s="29" t="s">
        <v>39</v>
      </c>
      <c r="N1253" s="29" t="s">
        <v>2249</v>
      </c>
      <c r="O1253" s="29" t="s">
        <v>59</v>
      </c>
      <c r="P1253" s="30" t="s">
        <v>2272</v>
      </c>
    </row>
    <row r="1254" s="25" customFormat="1" spans="1:16">
      <c r="A1254" s="29" t="s">
        <v>2273</v>
      </c>
      <c r="B1254" s="29" t="s">
        <v>2273</v>
      </c>
      <c r="C1254" s="29" t="s">
        <v>55</v>
      </c>
      <c r="D1254" s="29" t="s">
        <v>2184</v>
      </c>
      <c r="E1254" s="29" t="s">
        <v>35</v>
      </c>
      <c r="F1254" s="29" t="s">
        <v>35</v>
      </c>
      <c r="G1254" s="29" t="s">
        <v>148</v>
      </c>
      <c r="H1254" s="29" t="s">
        <v>149</v>
      </c>
      <c r="I1254" s="29" t="s">
        <v>39</v>
      </c>
      <c r="J1254" s="29" t="s">
        <v>39</v>
      </c>
      <c r="K1254" s="29" t="s">
        <v>2274</v>
      </c>
      <c r="L1254" s="29" t="s">
        <v>2185</v>
      </c>
      <c r="M1254" s="29" t="s">
        <v>151</v>
      </c>
      <c r="N1254" s="29" t="s">
        <v>2275</v>
      </c>
      <c r="O1254" s="29" t="s">
        <v>129</v>
      </c>
      <c r="P1254" s="30" t="s">
        <v>2276</v>
      </c>
    </row>
    <row r="1255" s="25" customFormat="1" spans="1:16">
      <c r="A1255" s="29" t="s">
        <v>2274</v>
      </c>
      <c r="B1255" s="29" t="s">
        <v>2273</v>
      </c>
      <c r="C1255" s="29" t="s">
        <v>55</v>
      </c>
      <c r="D1255" s="29" t="s">
        <v>2184</v>
      </c>
      <c r="E1255" s="29" t="s">
        <v>35</v>
      </c>
      <c r="F1255" s="29" t="s">
        <v>35</v>
      </c>
      <c r="G1255" s="29" t="s">
        <v>148</v>
      </c>
      <c r="H1255" s="29" t="s">
        <v>149</v>
      </c>
      <c r="I1255" s="29" t="s">
        <v>39</v>
      </c>
      <c r="J1255" s="29" t="s">
        <v>35</v>
      </c>
      <c r="K1255" s="29" t="s">
        <v>2277</v>
      </c>
      <c r="L1255" s="29" t="s">
        <v>2189</v>
      </c>
      <c r="M1255" s="29" t="s">
        <v>151</v>
      </c>
      <c r="N1255" s="29" t="s">
        <v>2278</v>
      </c>
      <c r="O1255" s="29" t="s">
        <v>129</v>
      </c>
      <c r="P1255" s="30" t="s">
        <v>2279</v>
      </c>
    </row>
    <row r="1256" s="25" customFormat="1" spans="1:16">
      <c r="A1256" s="29" t="s">
        <v>2277</v>
      </c>
      <c r="B1256" s="29" t="s">
        <v>2273</v>
      </c>
      <c r="C1256" s="29" t="s">
        <v>55</v>
      </c>
      <c r="D1256" s="29" t="s">
        <v>2184</v>
      </c>
      <c r="E1256" s="29" t="s">
        <v>35</v>
      </c>
      <c r="F1256" s="29" t="s">
        <v>35</v>
      </c>
      <c r="G1256" s="29" t="s">
        <v>148</v>
      </c>
      <c r="H1256" s="29" t="s">
        <v>149</v>
      </c>
      <c r="I1256" s="29" t="s">
        <v>39</v>
      </c>
      <c r="J1256" s="29" t="s">
        <v>47</v>
      </c>
      <c r="K1256" s="29" t="s">
        <v>2280</v>
      </c>
      <c r="L1256" s="29" t="s">
        <v>2193</v>
      </c>
      <c r="M1256" s="29" t="s">
        <v>151</v>
      </c>
      <c r="N1256" s="29" t="s">
        <v>2278</v>
      </c>
      <c r="O1256" s="29" t="s">
        <v>129</v>
      </c>
      <c r="P1256" s="30" t="s">
        <v>2281</v>
      </c>
    </row>
    <row r="1257" s="25" customFormat="1" spans="1:16">
      <c r="A1257" s="29" t="s">
        <v>2280</v>
      </c>
      <c r="B1257" s="29" t="s">
        <v>2273</v>
      </c>
      <c r="C1257" s="29" t="s">
        <v>55</v>
      </c>
      <c r="D1257" s="29" t="s">
        <v>2184</v>
      </c>
      <c r="E1257" s="29" t="s">
        <v>35</v>
      </c>
      <c r="F1257" s="29" t="s">
        <v>35</v>
      </c>
      <c r="G1257" s="29" t="s">
        <v>148</v>
      </c>
      <c r="H1257" s="29" t="s">
        <v>149</v>
      </c>
      <c r="I1257" s="29" t="s">
        <v>39</v>
      </c>
      <c r="J1257" s="29" t="s">
        <v>51</v>
      </c>
      <c r="K1257" s="29" t="s">
        <v>2282</v>
      </c>
      <c r="L1257" s="29" t="s">
        <v>2196</v>
      </c>
      <c r="M1257" s="29" t="s">
        <v>151</v>
      </c>
      <c r="N1257" s="29" t="s">
        <v>2278</v>
      </c>
      <c r="O1257" s="29" t="s">
        <v>129</v>
      </c>
      <c r="P1257" s="30" t="s">
        <v>2283</v>
      </c>
    </row>
    <row r="1258" s="25" customFormat="1" spans="1:16">
      <c r="A1258" s="29" t="s">
        <v>2282</v>
      </c>
      <c r="B1258" s="29" t="s">
        <v>2273</v>
      </c>
      <c r="C1258" s="29" t="s">
        <v>55</v>
      </c>
      <c r="D1258" s="29" t="s">
        <v>2184</v>
      </c>
      <c r="E1258" s="29" t="s">
        <v>35</v>
      </c>
      <c r="F1258" s="29" t="s">
        <v>35</v>
      </c>
      <c r="G1258" s="29" t="s">
        <v>148</v>
      </c>
      <c r="H1258" s="29" t="s">
        <v>149</v>
      </c>
      <c r="I1258" s="29" t="s">
        <v>39</v>
      </c>
      <c r="J1258" s="29" t="s">
        <v>55</v>
      </c>
      <c r="K1258" s="29" t="s">
        <v>2284</v>
      </c>
      <c r="L1258" s="29" t="s">
        <v>2199</v>
      </c>
      <c r="M1258" s="29" t="s">
        <v>151</v>
      </c>
      <c r="N1258" s="29" t="s">
        <v>2278</v>
      </c>
      <c r="O1258" s="29" t="s">
        <v>129</v>
      </c>
      <c r="P1258" s="30" t="s">
        <v>2285</v>
      </c>
    </row>
    <row r="1259" s="25" customFormat="1" spans="1:16">
      <c r="A1259" s="29" t="s">
        <v>2284</v>
      </c>
      <c r="B1259" s="29" t="s">
        <v>2273</v>
      </c>
      <c r="C1259" s="29" t="s">
        <v>55</v>
      </c>
      <c r="D1259" s="29" t="s">
        <v>2184</v>
      </c>
      <c r="E1259" s="29" t="s">
        <v>35</v>
      </c>
      <c r="F1259" s="29" t="s">
        <v>35</v>
      </c>
      <c r="G1259" s="29" t="s">
        <v>148</v>
      </c>
      <c r="H1259" s="29" t="s">
        <v>149</v>
      </c>
      <c r="I1259" s="29" t="s">
        <v>39</v>
      </c>
      <c r="J1259" s="29" t="s">
        <v>59</v>
      </c>
      <c r="K1259" s="29" t="s">
        <v>2286</v>
      </c>
      <c r="L1259" s="29" t="s">
        <v>2258</v>
      </c>
      <c r="M1259" s="29" t="s">
        <v>151</v>
      </c>
      <c r="N1259" s="29" t="s">
        <v>2278</v>
      </c>
      <c r="O1259" s="29" t="s">
        <v>129</v>
      </c>
      <c r="P1259" s="30" t="s">
        <v>2287</v>
      </c>
    </row>
    <row r="1260" s="25" customFormat="1" spans="1:16">
      <c r="A1260" s="29" t="s">
        <v>2286</v>
      </c>
      <c r="B1260" s="29" t="s">
        <v>2273</v>
      </c>
      <c r="C1260" s="29" t="s">
        <v>55</v>
      </c>
      <c r="D1260" s="29" t="s">
        <v>2184</v>
      </c>
      <c r="E1260" s="29" t="s">
        <v>35</v>
      </c>
      <c r="F1260" s="29" t="s">
        <v>35</v>
      </c>
      <c r="G1260" s="29" t="s">
        <v>148</v>
      </c>
      <c r="H1260" s="29" t="s">
        <v>149</v>
      </c>
      <c r="I1260" s="29" t="s">
        <v>39</v>
      </c>
      <c r="J1260" s="29" t="s">
        <v>129</v>
      </c>
      <c r="K1260" s="29" t="s">
        <v>2288</v>
      </c>
      <c r="L1260" s="29" t="s">
        <v>2261</v>
      </c>
      <c r="M1260" s="29" t="s">
        <v>151</v>
      </c>
      <c r="N1260" s="29" t="s">
        <v>2278</v>
      </c>
      <c r="O1260" s="29" t="s">
        <v>129</v>
      </c>
      <c r="P1260" s="30" t="s">
        <v>2289</v>
      </c>
    </row>
    <row r="1261" s="25" customFormat="1" spans="1:16">
      <c r="A1261" s="29" t="s">
        <v>2288</v>
      </c>
      <c r="B1261" s="29" t="s">
        <v>2273</v>
      </c>
      <c r="C1261" s="29" t="s">
        <v>55</v>
      </c>
      <c r="D1261" s="29" t="s">
        <v>2184</v>
      </c>
      <c r="E1261" s="29" t="s">
        <v>35</v>
      </c>
      <c r="F1261" s="29" t="s">
        <v>35</v>
      </c>
      <c r="G1261" s="29" t="s">
        <v>148</v>
      </c>
      <c r="H1261" s="29" t="s">
        <v>149</v>
      </c>
      <c r="I1261" s="29" t="s">
        <v>39</v>
      </c>
      <c r="J1261" s="29" t="s">
        <v>133</v>
      </c>
      <c r="K1261" s="29" t="s">
        <v>2290</v>
      </c>
      <c r="L1261" s="29" t="s">
        <v>2264</v>
      </c>
      <c r="M1261" s="29" t="s">
        <v>151</v>
      </c>
      <c r="N1261" s="29" t="s">
        <v>2278</v>
      </c>
      <c r="O1261" s="29" t="s">
        <v>129</v>
      </c>
      <c r="P1261" s="30" t="s">
        <v>2291</v>
      </c>
    </row>
    <row r="1262" s="25" customFormat="1" spans="1:16">
      <c r="A1262" s="29" t="s">
        <v>2290</v>
      </c>
      <c r="B1262" s="29" t="s">
        <v>2273</v>
      </c>
      <c r="C1262" s="29" t="s">
        <v>55</v>
      </c>
      <c r="D1262" s="29" t="s">
        <v>2184</v>
      </c>
      <c r="E1262" s="29" t="s">
        <v>35</v>
      </c>
      <c r="F1262" s="29" t="s">
        <v>35</v>
      </c>
      <c r="G1262" s="29" t="s">
        <v>148</v>
      </c>
      <c r="H1262" s="29" t="s">
        <v>149</v>
      </c>
      <c r="I1262" s="29" t="s">
        <v>39</v>
      </c>
      <c r="J1262" s="29" t="s">
        <v>137</v>
      </c>
      <c r="K1262" s="29" t="s">
        <v>2292</v>
      </c>
      <c r="L1262" s="29" t="s">
        <v>2267</v>
      </c>
      <c r="M1262" s="29" t="s">
        <v>151</v>
      </c>
      <c r="N1262" s="29" t="s">
        <v>2278</v>
      </c>
      <c r="O1262" s="29" t="s">
        <v>129</v>
      </c>
      <c r="P1262" s="30" t="s">
        <v>2293</v>
      </c>
    </row>
    <row r="1263" s="25" customFormat="1" spans="1:16">
      <c r="A1263" s="29" t="s">
        <v>2292</v>
      </c>
      <c r="B1263" s="29" t="s">
        <v>2273</v>
      </c>
      <c r="C1263" s="29" t="s">
        <v>55</v>
      </c>
      <c r="D1263" s="29" t="s">
        <v>2184</v>
      </c>
      <c r="E1263" s="29" t="s">
        <v>35</v>
      </c>
      <c r="F1263" s="29" t="s">
        <v>35</v>
      </c>
      <c r="G1263" s="29" t="s">
        <v>148</v>
      </c>
      <c r="H1263" s="29" t="s">
        <v>149</v>
      </c>
      <c r="I1263" s="29" t="s">
        <v>39</v>
      </c>
      <c r="J1263" s="29" t="s">
        <v>141</v>
      </c>
      <c r="K1263" s="29" t="s">
        <v>2294</v>
      </c>
      <c r="L1263" s="29" t="s">
        <v>2270</v>
      </c>
      <c r="M1263" s="29" t="s">
        <v>151</v>
      </c>
      <c r="N1263" s="29" t="s">
        <v>2278</v>
      </c>
      <c r="O1263" s="29" t="s">
        <v>129</v>
      </c>
      <c r="P1263" s="30" t="s">
        <v>2295</v>
      </c>
    </row>
    <row r="1264" s="25" customFormat="1" spans="1:16">
      <c r="A1264" s="29" t="s">
        <v>2294</v>
      </c>
      <c r="B1264" s="29" t="s">
        <v>2273</v>
      </c>
      <c r="C1264" s="29" t="s">
        <v>55</v>
      </c>
      <c r="D1264" s="29" t="s">
        <v>2184</v>
      </c>
      <c r="E1264" s="29" t="s">
        <v>35</v>
      </c>
      <c r="F1264" s="29" t="s">
        <v>35</v>
      </c>
      <c r="G1264" s="29" t="s">
        <v>148</v>
      </c>
      <c r="H1264" s="29" t="s">
        <v>149</v>
      </c>
      <c r="I1264" s="29" t="s">
        <v>39</v>
      </c>
      <c r="J1264" s="29" t="s">
        <v>145</v>
      </c>
      <c r="K1264" s="29" t="s">
        <v>39</v>
      </c>
      <c r="L1264" s="29" t="s">
        <v>39</v>
      </c>
      <c r="M1264" s="29" t="s">
        <v>39</v>
      </c>
      <c r="N1264" s="29" t="s">
        <v>2278</v>
      </c>
      <c r="O1264" s="29" t="s">
        <v>129</v>
      </c>
      <c r="P1264" s="30" t="s">
        <v>2296</v>
      </c>
    </row>
    <row r="1265" s="25" customFormat="1" spans="1:16">
      <c r="A1265" s="29" t="s">
        <v>2297</v>
      </c>
      <c r="B1265" s="29" t="s">
        <v>2297</v>
      </c>
      <c r="C1265" s="29" t="s">
        <v>55</v>
      </c>
      <c r="D1265" s="29" t="s">
        <v>2184</v>
      </c>
      <c r="E1265" s="29" t="s">
        <v>35</v>
      </c>
      <c r="F1265" s="29" t="s">
        <v>35</v>
      </c>
      <c r="G1265" s="29" t="s">
        <v>175</v>
      </c>
      <c r="H1265" s="29" t="s">
        <v>176</v>
      </c>
      <c r="I1265" s="29" t="s">
        <v>39</v>
      </c>
      <c r="J1265" s="29" t="s">
        <v>39</v>
      </c>
      <c r="K1265" s="29" t="s">
        <v>2298</v>
      </c>
      <c r="L1265" s="29" t="s">
        <v>2185</v>
      </c>
      <c r="M1265" s="29" t="s">
        <v>178</v>
      </c>
      <c r="N1265" s="29" t="s">
        <v>2299</v>
      </c>
      <c r="O1265" s="29" t="s">
        <v>133</v>
      </c>
      <c r="P1265" s="30" t="s">
        <v>2300</v>
      </c>
    </row>
    <row r="1266" s="25" customFormat="1" spans="1:16">
      <c r="A1266" s="29" t="s">
        <v>2298</v>
      </c>
      <c r="B1266" s="29" t="s">
        <v>2297</v>
      </c>
      <c r="C1266" s="29" t="s">
        <v>55</v>
      </c>
      <c r="D1266" s="29" t="s">
        <v>2184</v>
      </c>
      <c r="E1266" s="29" t="s">
        <v>35</v>
      </c>
      <c r="F1266" s="29" t="s">
        <v>35</v>
      </c>
      <c r="G1266" s="29" t="s">
        <v>175</v>
      </c>
      <c r="H1266" s="29" t="s">
        <v>176</v>
      </c>
      <c r="I1266" s="29" t="s">
        <v>39</v>
      </c>
      <c r="J1266" s="29" t="s">
        <v>35</v>
      </c>
      <c r="K1266" s="29" t="s">
        <v>2301</v>
      </c>
      <c r="L1266" s="29" t="s">
        <v>2189</v>
      </c>
      <c r="M1266" s="29" t="s">
        <v>178</v>
      </c>
      <c r="N1266" s="29" t="s">
        <v>2302</v>
      </c>
      <c r="O1266" s="29" t="s">
        <v>133</v>
      </c>
      <c r="P1266" s="30" t="s">
        <v>2303</v>
      </c>
    </row>
    <row r="1267" s="25" customFormat="1" spans="1:16">
      <c r="A1267" s="29" t="s">
        <v>2301</v>
      </c>
      <c r="B1267" s="29" t="s">
        <v>2297</v>
      </c>
      <c r="C1267" s="29" t="s">
        <v>55</v>
      </c>
      <c r="D1267" s="29" t="s">
        <v>2184</v>
      </c>
      <c r="E1267" s="29" t="s">
        <v>35</v>
      </c>
      <c r="F1267" s="29" t="s">
        <v>35</v>
      </c>
      <c r="G1267" s="29" t="s">
        <v>175</v>
      </c>
      <c r="H1267" s="29" t="s">
        <v>176</v>
      </c>
      <c r="I1267" s="29" t="s">
        <v>39</v>
      </c>
      <c r="J1267" s="29" t="s">
        <v>47</v>
      </c>
      <c r="K1267" s="29" t="s">
        <v>2304</v>
      </c>
      <c r="L1267" s="29" t="s">
        <v>2193</v>
      </c>
      <c r="M1267" s="29" t="s">
        <v>178</v>
      </c>
      <c r="N1267" s="29" t="s">
        <v>2302</v>
      </c>
      <c r="O1267" s="29" t="s">
        <v>133</v>
      </c>
      <c r="P1267" s="30" t="s">
        <v>2305</v>
      </c>
    </row>
    <row r="1268" s="25" customFormat="1" spans="1:16">
      <c r="A1268" s="29" t="s">
        <v>2304</v>
      </c>
      <c r="B1268" s="29" t="s">
        <v>2297</v>
      </c>
      <c r="C1268" s="29" t="s">
        <v>55</v>
      </c>
      <c r="D1268" s="29" t="s">
        <v>2184</v>
      </c>
      <c r="E1268" s="29" t="s">
        <v>35</v>
      </c>
      <c r="F1268" s="29" t="s">
        <v>35</v>
      </c>
      <c r="G1268" s="29" t="s">
        <v>175</v>
      </c>
      <c r="H1268" s="29" t="s">
        <v>176</v>
      </c>
      <c r="I1268" s="29" t="s">
        <v>39</v>
      </c>
      <c r="J1268" s="29" t="s">
        <v>51</v>
      </c>
      <c r="K1268" s="29" t="s">
        <v>2306</v>
      </c>
      <c r="L1268" s="29" t="s">
        <v>2196</v>
      </c>
      <c r="M1268" s="29" t="s">
        <v>178</v>
      </c>
      <c r="N1268" s="29" t="s">
        <v>2302</v>
      </c>
      <c r="O1268" s="29" t="s">
        <v>133</v>
      </c>
      <c r="P1268" s="30" t="s">
        <v>2307</v>
      </c>
    </row>
    <row r="1269" s="25" customFormat="1" spans="1:16">
      <c r="A1269" s="29" t="s">
        <v>2306</v>
      </c>
      <c r="B1269" s="29" t="s">
        <v>2297</v>
      </c>
      <c r="C1269" s="29" t="s">
        <v>55</v>
      </c>
      <c r="D1269" s="29" t="s">
        <v>2184</v>
      </c>
      <c r="E1269" s="29" t="s">
        <v>35</v>
      </c>
      <c r="F1269" s="29" t="s">
        <v>35</v>
      </c>
      <c r="G1269" s="29" t="s">
        <v>175</v>
      </c>
      <c r="H1269" s="29" t="s">
        <v>176</v>
      </c>
      <c r="I1269" s="29" t="s">
        <v>39</v>
      </c>
      <c r="J1269" s="29" t="s">
        <v>55</v>
      </c>
      <c r="K1269" s="29" t="s">
        <v>2308</v>
      </c>
      <c r="L1269" s="29" t="s">
        <v>2199</v>
      </c>
      <c r="M1269" s="29" t="s">
        <v>178</v>
      </c>
      <c r="N1269" s="29" t="s">
        <v>2302</v>
      </c>
      <c r="O1269" s="29" t="s">
        <v>133</v>
      </c>
      <c r="P1269" s="30" t="s">
        <v>2309</v>
      </c>
    </row>
    <row r="1270" s="25" customFormat="1" spans="1:16">
      <c r="A1270" s="29" t="s">
        <v>2308</v>
      </c>
      <c r="B1270" s="29" t="s">
        <v>2297</v>
      </c>
      <c r="C1270" s="29" t="s">
        <v>55</v>
      </c>
      <c r="D1270" s="29" t="s">
        <v>2184</v>
      </c>
      <c r="E1270" s="29" t="s">
        <v>35</v>
      </c>
      <c r="F1270" s="29" t="s">
        <v>35</v>
      </c>
      <c r="G1270" s="29" t="s">
        <v>175</v>
      </c>
      <c r="H1270" s="29" t="s">
        <v>176</v>
      </c>
      <c r="I1270" s="29" t="s">
        <v>39</v>
      </c>
      <c r="J1270" s="29" t="s">
        <v>59</v>
      </c>
      <c r="K1270" s="29" t="s">
        <v>2310</v>
      </c>
      <c r="L1270" s="29" t="s">
        <v>2258</v>
      </c>
      <c r="M1270" s="29" t="s">
        <v>178</v>
      </c>
      <c r="N1270" s="29" t="s">
        <v>2302</v>
      </c>
      <c r="O1270" s="29" t="s">
        <v>133</v>
      </c>
      <c r="P1270" s="30" t="s">
        <v>2311</v>
      </c>
    </row>
    <row r="1271" s="25" customFormat="1" spans="1:16">
      <c r="A1271" s="29" t="s">
        <v>2310</v>
      </c>
      <c r="B1271" s="29" t="s">
        <v>2297</v>
      </c>
      <c r="C1271" s="29" t="s">
        <v>55</v>
      </c>
      <c r="D1271" s="29" t="s">
        <v>2184</v>
      </c>
      <c r="E1271" s="29" t="s">
        <v>35</v>
      </c>
      <c r="F1271" s="29" t="s">
        <v>35</v>
      </c>
      <c r="G1271" s="29" t="s">
        <v>175</v>
      </c>
      <c r="H1271" s="29" t="s">
        <v>176</v>
      </c>
      <c r="I1271" s="29" t="s">
        <v>39</v>
      </c>
      <c r="J1271" s="29" t="s">
        <v>129</v>
      </c>
      <c r="K1271" s="29" t="s">
        <v>2312</v>
      </c>
      <c r="L1271" s="29" t="s">
        <v>2261</v>
      </c>
      <c r="M1271" s="29" t="s">
        <v>178</v>
      </c>
      <c r="N1271" s="29" t="s">
        <v>2302</v>
      </c>
      <c r="O1271" s="29" t="s">
        <v>133</v>
      </c>
      <c r="P1271" s="30" t="s">
        <v>2313</v>
      </c>
    </row>
    <row r="1272" s="25" customFormat="1" spans="1:16">
      <c r="A1272" s="29" t="s">
        <v>2312</v>
      </c>
      <c r="B1272" s="29" t="s">
        <v>2297</v>
      </c>
      <c r="C1272" s="29" t="s">
        <v>55</v>
      </c>
      <c r="D1272" s="29" t="s">
        <v>2184</v>
      </c>
      <c r="E1272" s="29" t="s">
        <v>35</v>
      </c>
      <c r="F1272" s="29" t="s">
        <v>35</v>
      </c>
      <c r="G1272" s="29" t="s">
        <v>175</v>
      </c>
      <c r="H1272" s="29" t="s">
        <v>176</v>
      </c>
      <c r="I1272" s="29" t="s">
        <v>39</v>
      </c>
      <c r="J1272" s="29" t="s">
        <v>133</v>
      </c>
      <c r="K1272" s="29" t="s">
        <v>2314</v>
      </c>
      <c r="L1272" s="29" t="s">
        <v>2264</v>
      </c>
      <c r="M1272" s="29" t="s">
        <v>178</v>
      </c>
      <c r="N1272" s="29" t="s">
        <v>2302</v>
      </c>
      <c r="O1272" s="29" t="s">
        <v>133</v>
      </c>
      <c r="P1272" s="30" t="s">
        <v>2315</v>
      </c>
    </row>
    <row r="1273" s="25" customFormat="1" spans="1:16">
      <c r="A1273" s="29" t="s">
        <v>2314</v>
      </c>
      <c r="B1273" s="29" t="s">
        <v>2297</v>
      </c>
      <c r="C1273" s="29" t="s">
        <v>55</v>
      </c>
      <c r="D1273" s="29" t="s">
        <v>2184</v>
      </c>
      <c r="E1273" s="29" t="s">
        <v>35</v>
      </c>
      <c r="F1273" s="29" t="s">
        <v>35</v>
      </c>
      <c r="G1273" s="29" t="s">
        <v>175</v>
      </c>
      <c r="H1273" s="29" t="s">
        <v>176</v>
      </c>
      <c r="I1273" s="29" t="s">
        <v>39</v>
      </c>
      <c r="J1273" s="29" t="s">
        <v>137</v>
      </c>
      <c r="K1273" s="29" t="s">
        <v>2316</v>
      </c>
      <c r="L1273" s="29" t="s">
        <v>2267</v>
      </c>
      <c r="M1273" s="29" t="s">
        <v>178</v>
      </c>
      <c r="N1273" s="29" t="s">
        <v>2302</v>
      </c>
      <c r="O1273" s="29" t="s">
        <v>133</v>
      </c>
      <c r="P1273" s="30" t="s">
        <v>2317</v>
      </c>
    </row>
    <row r="1274" s="25" customFormat="1" spans="1:16">
      <c r="A1274" s="29" t="s">
        <v>2316</v>
      </c>
      <c r="B1274" s="29" t="s">
        <v>2297</v>
      </c>
      <c r="C1274" s="29" t="s">
        <v>55</v>
      </c>
      <c r="D1274" s="29" t="s">
        <v>2184</v>
      </c>
      <c r="E1274" s="29" t="s">
        <v>35</v>
      </c>
      <c r="F1274" s="29" t="s">
        <v>35</v>
      </c>
      <c r="G1274" s="29" t="s">
        <v>175</v>
      </c>
      <c r="H1274" s="29" t="s">
        <v>176</v>
      </c>
      <c r="I1274" s="29" t="s">
        <v>39</v>
      </c>
      <c r="J1274" s="29" t="s">
        <v>141</v>
      </c>
      <c r="K1274" s="29" t="s">
        <v>2318</v>
      </c>
      <c r="L1274" s="29" t="s">
        <v>2270</v>
      </c>
      <c r="M1274" s="29" t="s">
        <v>178</v>
      </c>
      <c r="N1274" s="29" t="s">
        <v>2302</v>
      </c>
      <c r="O1274" s="29" t="s">
        <v>133</v>
      </c>
      <c r="P1274" s="30" t="s">
        <v>2319</v>
      </c>
    </row>
    <row r="1275" s="25" customFormat="1" spans="1:16">
      <c r="A1275" s="29" t="s">
        <v>2318</v>
      </c>
      <c r="B1275" s="29" t="s">
        <v>2297</v>
      </c>
      <c r="C1275" s="29" t="s">
        <v>55</v>
      </c>
      <c r="D1275" s="29" t="s">
        <v>2184</v>
      </c>
      <c r="E1275" s="29" t="s">
        <v>35</v>
      </c>
      <c r="F1275" s="29" t="s">
        <v>35</v>
      </c>
      <c r="G1275" s="29" t="s">
        <v>175</v>
      </c>
      <c r="H1275" s="29" t="s">
        <v>176</v>
      </c>
      <c r="I1275" s="29" t="s">
        <v>39</v>
      </c>
      <c r="J1275" s="29" t="s">
        <v>145</v>
      </c>
      <c r="K1275" s="29" t="s">
        <v>39</v>
      </c>
      <c r="L1275" s="29" t="s">
        <v>39</v>
      </c>
      <c r="M1275" s="29" t="s">
        <v>39</v>
      </c>
      <c r="N1275" s="29" t="s">
        <v>2302</v>
      </c>
      <c r="O1275" s="29" t="s">
        <v>133</v>
      </c>
      <c r="P1275" s="30" t="s">
        <v>2320</v>
      </c>
    </row>
    <row r="1276" s="25" customFormat="1" spans="1:16">
      <c r="A1276" s="29" t="s">
        <v>2321</v>
      </c>
      <c r="B1276" s="29" t="s">
        <v>2321</v>
      </c>
      <c r="C1276" s="29" t="s">
        <v>55</v>
      </c>
      <c r="D1276" s="29" t="s">
        <v>2184</v>
      </c>
      <c r="E1276" s="29" t="s">
        <v>47</v>
      </c>
      <c r="F1276" s="29" t="s">
        <v>35</v>
      </c>
      <c r="G1276" s="29" t="s">
        <v>2322</v>
      </c>
      <c r="H1276" s="29" t="s">
        <v>2323</v>
      </c>
      <c r="I1276" s="29" t="s">
        <v>2324</v>
      </c>
      <c r="J1276" s="29" t="s">
        <v>39</v>
      </c>
      <c r="K1276" s="29" t="s">
        <v>2325</v>
      </c>
      <c r="L1276" s="29" t="s">
        <v>2326</v>
      </c>
      <c r="M1276" s="29" t="s">
        <v>207</v>
      </c>
      <c r="N1276" s="29" t="s">
        <v>2327</v>
      </c>
      <c r="O1276" s="29" t="s">
        <v>137</v>
      </c>
      <c r="P1276" s="30" t="s">
        <v>2328</v>
      </c>
    </row>
    <row r="1277" s="25" customFormat="1" spans="1:16">
      <c r="A1277" s="29" t="s">
        <v>2325</v>
      </c>
      <c r="B1277" s="29" t="s">
        <v>2321</v>
      </c>
      <c r="C1277" s="29" t="s">
        <v>55</v>
      </c>
      <c r="D1277" s="29" t="s">
        <v>2184</v>
      </c>
      <c r="E1277" s="29" t="s">
        <v>47</v>
      </c>
      <c r="F1277" s="29" t="s">
        <v>35</v>
      </c>
      <c r="G1277" s="29" t="s">
        <v>2322</v>
      </c>
      <c r="H1277" s="29" t="s">
        <v>2323</v>
      </c>
      <c r="I1277" s="29" t="s">
        <v>2324</v>
      </c>
      <c r="J1277" s="29" t="s">
        <v>35</v>
      </c>
      <c r="K1277" s="29" t="s">
        <v>2329</v>
      </c>
      <c r="L1277" s="29" t="s">
        <v>2330</v>
      </c>
      <c r="M1277" s="29" t="s">
        <v>207</v>
      </c>
      <c r="N1277" s="29" t="s">
        <v>2331</v>
      </c>
      <c r="O1277" s="29" t="s">
        <v>137</v>
      </c>
      <c r="P1277" s="30" t="s">
        <v>2332</v>
      </c>
    </row>
    <row r="1278" s="25" customFormat="1" spans="1:16">
      <c r="A1278" s="29" t="s">
        <v>2329</v>
      </c>
      <c r="B1278" s="29" t="s">
        <v>2321</v>
      </c>
      <c r="C1278" s="29" t="s">
        <v>55</v>
      </c>
      <c r="D1278" s="29" t="s">
        <v>2184</v>
      </c>
      <c r="E1278" s="29" t="s">
        <v>47</v>
      </c>
      <c r="F1278" s="29" t="s">
        <v>35</v>
      </c>
      <c r="G1278" s="29" t="s">
        <v>2322</v>
      </c>
      <c r="H1278" s="29" t="s">
        <v>2323</v>
      </c>
      <c r="I1278" s="29" t="s">
        <v>2324</v>
      </c>
      <c r="J1278" s="29" t="s">
        <v>47</v>
      </c>
      <c r="K1278" s="29" t="s">
        <v>2333</v>
      </c>
      <c r="L1278" s="29" t="s">
        <v>2334</v>
      </c>
      <c r="M1278" s="29" t="s">
        <v>207</v>
      </c>
      <c r="N1278" s="29" t="s">
        <v>2331</v>
      </c>
      <c r="O1278" s="29" t="s">
        <v>137</v>
      </c>
      <c r="P1278" s="30" t="s">
        <v>2335</v>
      </c>
    </row>
    <row r="1279" s="25" customFormat="1" spans="1:16">
      <c r="A1279" s="29" t="s">
        <v>2333</v>
      </c>
      <c r="B1279" s="29" t="s">
        <v>2321</v>
      </c>
      <c r="C1279" s="29" t="s">
        <v>55</v>
      </c>
      <c r="D1279" s="29" t="s">
        <v>2184</v>
      </c>
      <c r="E1279" s="29" t="s">
        <v>47</v>
      </c>
      <c r="F1279" s="29" t="s">
        <v>35</v>
      </c>
      <c r="G1279" s="29" t="s">
        <v>2322</v>
      </c>
      <c r="H1279" s="29" t="s">
        <v>2323</v>
      </c>
      <c r="I1279" s="29" t="s">
        <v>2324</v>
      </c>
      <c r="J1279" s="29" t="s">
        <v>51</v>
      </c>
      <c r="K1279" s="29" t="s">
        <v>2336</v>
      </c>
      <c r="L1279" s="29" t="s">
        <v>2337</v>
      </c>
      <c r="M1279" s="29" t="s">
        <v>207</v>
      </c>
      <c r="N1279" s="29" t="s">
        <v>2331</v>
      </c>
      <c r="O1279" s="29" t="s">
        <v>137</v>
      </c>
      <c r="P1279" s="30" t="s">
        <v>2338</v>
      </c>
    </row>
    <row r="1280" s="25" customFormat="1" spans="1:16">
      <c r="A1280" s="29" t="s">
        <v>2336</v>
      </c>
      <c r="B1280" s="29" t="s">
        <v>2321</v>
      </c>
      <c r="C1280" s="29" t="s">
        <v>55</v>
      </c>
      <c r="D1280" s="29" t="s">
        <v>2184</v>
      </c>
      <c r="E1280" s="29" t="s">
        <v>47</v>
      </c>
      <c r="F1280" s="29" t="s">
        <v>35</v>
      </c>
      <c r="G1280" s="29" t="s">
        <v>2322</v>
      </c>
      <c r="H1280" s="29" t="s">
        <v>2323</v>
      </c>
      <c r="I1280" s="29" t="s">
        <v>2324</v>
      </c>
      <c r="J1280" s="29" t="s">
        <v>55</v>
      </c>
      <c r="K1280" s="29" t="s">
        <v>2339</v>
      </c>
      <c r="L1280" s="29" t="s">
        <v>2340</v>
      </c>
      <c r="M1280" s="29" t="s">
        <v>207</v>
      </c>
      <c r="N1280" s="29" t="s">
        <v>2331</v>
      </c>
      <c r="O1280" s="29" t="s">
        <v>137</v>
      </c>
      <c r="P1280" s="30" t="s">
        <v>2341</v>
      </c>
    </row>
    <row r="1281" s="25" customFormat="1" spans="1:16">
      <c r="A1281" s="29" t="s">
        <v>2339</v>
      </c>
      <c r="B1281" s="29" t="s">
        <v>2321</v>
      </c>
      <c r="C1281" s="29" t="s">
        <v>55</v>
      </c>
      <c r="D1281" s="29" t="s">
        <v>2184</v>
      </c>
      <c r="E1281" s="29" t="s">
        <v>47</v>
      </c>
      <c r="F1281" s="29" t="s">
        <v>35</v>
      </c>
      <c r="G1281" s="29" t="s">
        <v>2322</v>
      </c>
      <c r="H1281" s="29" t="s">
        <v>2323</v>
      </c>
      <c r="I1281" s="29" t="s">
        <v>2324</v>
      </c>
      <c r="J1281" s="29" t="s">
        <v>59</v>
      </c>
      <c r="K1281" s="29" t="s">
        <v>2342</v>
      </c>
      <c r="L1281" s="29" t="s">
        <v>2343</v>
      </c>
      <c r="M1281" s="29" t="s">
        <v>207</v>
      </c>
      <c r="N1281" s="29" t="s">
        <v>2331</v>
      </c>
      <c r="O1281" s="29" t="s">
        <v>137</v>
      </c>
      <c r="P1281" s="30" t="s">
        <v>2344</v>
      </c>
    </row>
    <row r="1282" s="25" customFormat="1" spans="1:16">
      <c r="A1282" s="29" t="s">
        <v>2342</v>
      </c>
      <c r="B1282" s="29" t="s">
        <v>2321</v>
      </c>
      <c r="C1282" s="29" t="s">
        <v>55</v>
      </c>
      <c r="D1282" s="29" t="s">
        <v>2184</v>
      </c>
      <c r="E1282" s="29" t="s">
        <v>47</v>
      </c>
      <c r="F1282" s="29" t="s">
        <v>35</v>
      </c>
      <c r="G1282" s="29" t="s">
        <v>2322</v>
      </c>
      <c r="H1282" s="29" t="s">
        <v>2323</v>
      </c>
      <c r="I1282" s="29" t="s">
        <v>2324</v>
      </c>
      <c r="J1282" s="29" t="s">
        <v>129</v>
      </c>
      <c r="K1282" s="29" t="s">
        <v>2345</v>
      </c>
      <c r="L1282" s="29" t="s">
        <v>2346</v>
      </c>
      <c r="M1282" s="29" t="s">
        <v>207</v>
      </c>
      <c r="N1282" s="29" t="s">
        <v>2331</v>
      </c>
      <c r="O1282" s="29" t="s">
        <v>137</v>
      </c>
      <c r="P1282" s="30" t="s">
        <v>2347</v>
      </c>
    </row>
    <row r="1283" s="25" customFormat="1" spans="1:16">
      <c r="A1283" s="29" t="s">
        <v>2345</v>
      </c>
      <c r="B1283" s="29" t="s">
        <v>2321</v>
      </c>
      <c r="C1283" s="29" t="s">
        <v>55</v>
      </c>
      <c r="D1283" s="29" t="s">
        <v>2184</v>
      </c>
      <c r="E1283" s="29" t="s">
        <v>47</v>
      </c>
      <c r="F1283" s="29" t="s">
        <v>35</v>
      </c>
      <c r="G1283" s="29" t="s">
        <v>2322</v>
      </c>
      <c r="H1283" s="29" t="s">
        <v>2323</v>
      </c>
      <c r="I1283" s="29" t="s">
        <v>2324</v>
      </c>
      <c r="J1283" s="29" t="s">
        <v>133</v>
      </c>
      <c r="K1283" s="29" t="s">
        <v>2348</v>
      </c>
      <c r="L1283" s="29" t="s">
        <v>2349</v>
      </c>
      <c r="M1283" s="29" t="s">
        <v>207</v>
      </c>
      <c r="N1283" s="29" t="s">
        <v>2331</v>
      </c>
      <c r="O1283" s="29" t="s">
        <v>137</v>
      </c>
      <c r="P1283" s="30" t="s">
        <v>2350</v>
      </c>
    </row>
    <row r="1284" s="25" customFormat="1" spans="1:16">
      <c r="A1284" s="29" t="s">
        <v>2348</v>
      </c>
      <c r="B1284" s="29" t="s">
        <v>2321</v>
      </c>
      <c r="C1284" s="29" t="s">
        <v>55</v>
      </c>
      <c r="D1284" s="29" t="s">
        <v>2184</v>
      </c>
      <c r="E1284" s="29" t="s">
        <v>47</v>
      </c>
      <c r="F1284" s="29" t="s">
        <v>35</v>
      </c>
      <c r="G1284" s="29" t="s">
        <v>2322</v>
      </c>
      <c r="H1284" s="29" t="s">
        <v>2323</v>
      </c>
      <c r="I1284" s="29" t="s">
        <v>2324</v>
      </c>
      <c r="J1284" s="29" t="s">
        <v>137</v>
      </c>
      <c r="K1284" s="29" t="s">
        <v>2351</v>
      </c>
      <c r="L1284" s="29" t="s">
        <v>2352</v>
      </c>
      <c r="M1284" s="29" t="s">
        <v>207</v>
      </c>
      <c r="N1284" s="29" t="s">
        <v>2331</v>
      </c>
      <c r="O1284" s="29" t="s">
        <v>137</v>
      </c>
      <c r="P1284" s="30" t="s">
        <v>2353</v>
      </c>
    </row>
    <row r="1285" s="25" customFormat="1" spans="1:16">
      <c r="A1285" s="29" t="s">
        <v>2351</v>
      </c>
      <c r="B1285" s="29" t="s">
        <v>2321</v>
      </c>
      <c r="C1285" s="29" t="s">
        <v>55</v>
      </c>
      <c r="D1285" s="29" t="s">
        <v>2184</v>
      </c>
      <c r="E1285" s="29" t="s">
        <v>47</v>
      </c>
      <c r="F1285" s="29" t="s">
        <v>35</v>
      </c>
      <c r="G1285" s="29" t="s">
        <v>2322</v>
      </c>
      <c r="H1285" s="29" t="s">
        <v>2323</v>
      </c>
      <c r="I1285" s="29" t="s">
        <v>2324</v>
      </c>
      <c r="J1285" s="29" t="s">
        <v>141</v>
      </c>
      <c r="K1285" s="29" t="s">
        <v>2354</v>
      </c>
      <c r="L1285" s="29" t="s">
        <v>2355</v>
      </c>
      <c r="M1285" s="29" t="s">
        <v>207</v>
      </c>
      <c r="N1285" s="29" t="s">
        <v>2331</v>
      </c>
      <c r="O1285" s="29" t="s">
        <v>137</v>
      </c>
      <c r="P1285" s="30" t="s">
        <v>2356</v>
      </c>
    </row>
    <row r="1286" s="25" customFormat="1" spans="1:16">
      <c r="A1286" s="29" t="s">
        <v>2354</v>
      </c>
      <c r="B1286" s="29" t="s">
        <v>2321</v>
      </c>
      <c r="C1286" s="29" t="s">
        <v>55</v>
      </c>
      <c r="D1286" s="29" t="s">
        <v>2184</v>
      </c>
      <c r="E1286" s="29" t="s">
        <v>47</v>
      </c>
      <c r="F1286" s="29" t="s">
        <v>35</v>
      </c>
      <c r="G1286" s="29" t="s">
        <v>2322</v>
      </c>
      <c r="H1286" s="29" t="s">
        <v>2323</v>
      </c>
      <c r="I1286" s="29" t="s">
        <v>2324</v>
      </c>
      <c r="J1286" s="29" t="s">
        <v>145</v>
      </c>
      <c r="K1286" s="29" t="s">
        <v>39</v>
      </c>
      <c r="L1286" s="29" t="s">
        <v>2357</v>
      </c>
      <c r="M1286" s="29" t="s">
        <v>207</v>
      </c>
      <c r="N1286" s="29" t="s">
        <v>2331</v>
      </c>
      <c r="O1286" s="29" t="s">
        <v>137</v>
      </c>
      <c r="P1286" s="30" t="s">
        <v>2358</v>
      </c>
    </row>
    <row r="1287" s="25" customFormat="1" spans="1:16">
      <c r="A1287" s="29" t="s">
        <v>2359</v>
      </c>
      <c r="B1287" s="29" t="s">
        <v>2359</v>
      </c>
      <c r="C1287" s="29" t="s">
        <v>55</v>
      </c>
      <c r="D1287" s="29" t="s">
        <v>2184</v>
      </c>
      <c r="E1287" s="29" t="s">
        <v>47</v>
      </c>
      <c r="F1287" s="29" t="s">
        <v>35</v>
      </c>
      <c r="G1287" s="29" t="s">
        <v>2360</v>
      </c>
      <c r="H1287" s="29" t="s">
        <v>2361</v>
      </c>
      <c r="I1287" s="29" t="s">
        <v>2324</v>
      </c>
      <c r="J1287" s="29" t="s">
        <v>39</v>
      </c>
      <c r="K1287" s="29" t="s">
        <v>2362</v>
      </c>
      <c r="L1287" s="29" t="s">
        <v>2326</v>
      </c>
      <c r="M1287" s="29" t="s">
        <v>244</v>
      </c>
      <c r="N1287" s="29" t="s">
        <v>2363</v>
      </c>
      <c r="O1287" s="29" t="s">
        <v>141</v>
      </c>
      <c r="P1287" s="30" t="s">
        <v>2364</v>
      </c>
    </row>
    <row r="1288" s="25" customFormat="1" spans="1:16">
      <c r="A1288" s="29" t="s">
        <v>2362</v>
      </c>
      <c r="B1288" s="29" t="s">
        <v>2359</v>
      </c>
      <c r="C1288" s="29" t="s">
        <v>55</v>
      </c>
      <c r="D1288" s="29" t="s">
        <v>2184</v>
      </c>
      <c r="E1288" s="29" t="s">
        <v>47</v>
      </c>
      <c r="F1288" s="29" t="s">
        <v>35</v>
      </c>
      <c r="G1288" s="29" t="s">
        <v>2360</v>
      </c>
      <c r="H1288" s="29" t="s">
        <v>2361</v>
      </c>
      <c r="I1288" s="29" t="s">
        <v>2324</v>
      </c>
      <c r="J1288" s="29" t="s">
        <v>35</v>
      </c>
      <c r="K1288" s="29" t="s">
        <v>2365</v>
      </c>
      <c r="L1288" s="29" t="s">
        <v>2330</v>
      </c>
      <c r="M1288" s="29" t="s">
        <v>244</v>
      </c>
      <c r="N1288" s="29" t="s">
        <v>2366</v>
      </c>
      <c r="O1288" s="29" t="s">
        <v>141</v>
      </c>
      <c r="P1288" s="30" t="s">
        <v>2367</v>
      </c>
    </row>
    <row r="1289" s="25" customFormat="1" spans="1:16">
      <c r="A1289" s="29" t="s">
        <v>2365</v>
      </c>
      <c r="B1289" s="29" t="s">
        <v>2359</v>
      </c>
      <c r="C1289" s="29" t="s">
        <v>55</v>
      </c>
      <c r="D1289" s="29" t="s">
        <v>2184</v>
      </c>
      <c r="E1289" s="29" t="s">
        <v>47</v>
      </c>
      <c r="F1289" s="29" t="s">
        <v>35</v>
      </c>
      <c r="G1289" s="29" t="s">
        <v>2360</v>
      </c>
      <c r="H1289" s="29" t="s">
        <v>2361</v>
      </c>
      <c r="I1289" s="29" t="s">
        <v>2324</v>
      </c>
      <c r="J1289" s="29" t="s">
        <v>47</v>
      </c>
      <c r="K1289" s="29" t="s">
        <v>2368</v>
      </c>
      <c r="L1289" s="29" t="s">
        <v>2334</v>
      </c>
      <c r="M1289" s="29" t="s">
        <v>244</v>
      </c>
      <c r="N1289" s="29" t="s">
        <v>2366</v>
      </c>
      <c r="O1289" s="29" t="s">
        <v>141</v>
      </c>
      <c r="P1289" s="30" t="s">
        <v>2369</v>
      </c>
    </row>
    <row r="1290" s="25" customFormat="1" spans="1:16">
      <c r="A1290" s="29" t="s">
        <v>2368</v>
      </c>
      <c r="B1290" s="29" t="s">
        <v>2359</v>
      </c>
      <c r="C1290" s="29" t="s">
        <v>55</v>
      </c>
      <c r="D1290" s="29" t="s">
        <v>2184</v>
      </c>
      <c r="E1290" s="29" t="s">
        <v>47</v>
      </c>
      <c r="F1290" s="29" t="s">
        <v>35</v>
      </c>
      <c r="G1290" s="29" t="s">
        <v>2360</v>
      </c>
      <c r="H1290" s="29" t="s">
        <v>2361</v>
      </c>
      <c r="I1290" s="29" t="s">
        <v>2324</v>
      </c>
      <c r="J1290" s="29" t="s">
        <v>51</v>
      </c>
      <c r="K1290" s="29" t="s">
        <v>2370</v>
      </c>
      <c r="L1290" s="29" t="s">
        <v>2337</v>
      </c>
      <c r="M1290" s="29" t="s">
        <v>244</v>
      </c>
      <c r="N1290" s="29" t="s">
        <v>2366</v>
      </c>
      <c r="O1290" s="29" t="s">
        <v>141</v>
      </c>
      <c r="P1290" s="30" t="s">
        <v>2371</v>
      </c>
    </row>
    <row r="1291" s="25" customFormat="1" spans="1:16">
      <c r="A1291" s="29" t="s">
        <v>2370</v>
      </c>
      <c r="B1291" s="29" t="s">
        <v>2359</v>
      </c>
      <c r="C1291" s="29" t="s">
        <v>55</v>
      </c>
      <c r="D1291" s="29" t="s">
        <v>2184</v>
      </c>
      <c r="E1291" s="29" t="s">
        <v>47</v>
      </c>
      <c r="F1291" s="29" t="s">
        <v>35</v>
      </c>
      <c r="G1291" s="29" t="s">
        <v>2360</v>
      </c>
      <c r="H1291" s="29" t="s">
        <v>2361</v>
      </c>
      <c r="I1291" s="29" t="s">
        <v>2324</v>
      </c>
      <c r="J1291" s="29" t="s">
        <v>55</v>
      </c>
      <c r="K1291" s="29" t="s">
        <v>2372</v>
      </c>
      <c r="L1291" s="29" t="s">
        <v>2340</v>
      </c>
      <c r="M1291" s="29" t="s">
        <v>244</v>
      </c>
      <c r="N1291" s="29" t="s">
        <v>2366</v>
      </c>
      <c r="O1291" s="29" t="s">
        <v>141</v>
      </c>
      <c r="P1291" s="30" t="s">
        <v>2373</v>
      </c>
    </row>
    <row r="1292" s="25" customFormat="1" spans="1:16">
      <c r="A1292" s="29" t="s">
        <v>2372</v>
      </c>
      <c r="B1292" s="29" t="s">
        <v>2359</v>
      </c>
      <c r="C1292" s="29" t="s">
        <v>55</v>
      </c>
      <c r="D1292" s="29" t="s">
        <v>2184</v>
      </c>
      <c r="E1292" s="29" t="s">
        <v>47</v>
      </c>
      <c r="F1292" s="29" t="s">
        <v>35</v>
      </c>
      <c r="G1292" s="29" t="s">
        <v>2360</v>
      </c>
      <c r="H1292" s="29" t="s">
        <v>2361</v>
      </c>
      <c r="I1292" s="29" t="s">
        <v>2324</v>
      </c>
      <c r="J1292" s="29" t="s">
        <v>59</v>
      </c>
      <c r="K1292" s="29" t="s">
        <v>2374</v>
      </c>
      <c r="L1292" s="29" t="s">
        <v>2343</v>
      </c>
      <c r="M1292" s="29" t="s">
        <v>244</v>
      </c>
      <c r="N1292" s="29" t="s">
        <v>2366</v>
      </c>
      <c r="O1292" s="29" t="s">
        <v>141</v>
      </c>
      <c r="P1292" s="30" t="s">
        <v>2375</v>
      </c>
    </row>
    <row r="1293" s="25" customFormat="1" spans="1:16">
      <c r="A1293" s="29" t="s">
        <v>2374</v>
      </c>
      <c r="B1293" s="29" t="s">
        <v>2359</v>
      </c>
      <c r="C1293" s="29" t="s">
        <v>55</v>
      </c>
      <c r="D1293" s="29" t="s">
        <v>2184</v>
      </c>
      <c r="E1293" s="29" t="s">
        <v>47</v>
      </c>
      <c r="F1293" s="29" t="s">
        <v>35</v>
      </c>
      <c r="G1293" s="29" t="s">
        <v>2360</v>
      </c>
      <c r="H1293" s="29" t="s">
        <v>2361</v>
      </c>
      <c r="I1293" s="29" t="s">
        <v>2324</v>
      </c>
      <c r="J1293" s="29" t="s">
        <v>129</v>
      </c>
      <c r="K1293" s="29" t="s">
        <v>2376</v>
      </c>
      <c r="L1293" s="29" t="s">
        <v>2346</v>
      </c>
      <c r="M1293" s="29" t="s">
        <v>244</v>
      </c>
      <c r="N1293" s="29" t="s">
        <v>2366</v>
      </c>
      <c r="O1293" s="29" t="s">
        <v>141</v>
      </c>
      <c r="P1293" s="30" t="s">
        <v>2377</v>
      </c>
    </row>
    <row r="1294" s="25" customFormat="1" spans="1:16">
      <c r="A1294" s="29" t="s">
        <v>2376</v>
      </c>
      <c r="B1294" s="29" t="s">
        <v>2359</v>
      </c>
      <c r="C1294" s="29" t="s">
        <v>55</v>
      </c>
      <c r="D1294" s="29" t="s">
        <v>2184</v>
      </c>
      <c r="E1294" s="29" t="s">
        <v>47</v>
      </c>
      <c r="F1294" s="29" t="s">
        <v>35</v>
      </c>
      <c r="G1294" s="29" t="s">
        <v>2360</v>
      </c>
      <c r="H1294" s="29" t="s">
        <v>2361</v>
      </c>
      <c r="I1294" s="29" t="s">
        <v>2324</v>
      </c>
      <c r="J1294" s="29" t="s">
        <v>133</v>
      </c>
      <c r="K1294" s="29" t="s">
        <v>2378</v>
      </c>
      <c r="L1294" s="29" t="s">
        <v>2349</v>
      </c>
      <c r="M1294" s="29" t="s">
        <v>244</v>
      </c>
      <c r="N1294" s="29" t="s">
        <v>2366</v>
      </c>
      <c r="O1294" s="29" t="s">
        <v>141</v>
      </c>
      <c r="P1294" s="30" t="s">
        <v>2379</v>
      </c>
    </row>
    <row r="1295" s="25" customFormat="1" spans="1:16">
      <c r="A1295" s="29" t="s">
        <v>2378</v>
      </c>
      <c r="B1295" s="29" t="s">
        <v>2359</v>
      </c>
      <c r="C1295" s="29" t="s">
        <v>55</v>
      </c>
      <c r="D1295" s="29" t="s">
        <v>2184</v>
      </c>
      <c r="E1295" s="29" t="s">
        <v>47</v>
      </c>
      <c r="F1295" s="29" t="s">
        <v>35</v>
      </c>
      <c r="G1295" s="29" t="s">
        <v>2360</v>
      </c>
      <c r="H1295" s="29" t="s">
        <v>2361</v>
      </c>
      <c r="I1295" s="29" t="s">
        <v>2324</v>
      </c>
      <c r="J1295" s="29" t="s">
        <v>137</v>
      </c>
      <c r="K1295" s="29" t="s">
        <v>2380</v>
      </c>
      <c r="L1295" s="29" t="s">
        <v>2352</v>
      </c>
      <c r="M1295" s="29" t="s">
        <v>244</v>
      </c>
      <c r="N1295" s="29" t="s">
        <v>2366</v>
      </c>
      <c r="O1295" s="29" t="s">
        <v>141</v>
      </c>
      <c r="P1295" s="30" t="s">
        <v>2381</v>
      </c>
    </row>
    <row r="1296" s="25" customFormat="1" spans="1:16">
      <c r="A1296" s="29" t="s">
        <v>2380</v>
      </c>
      <c r="B1296" s="29" t="s">
        <v>2359</v>
      </c>
      <c r="C1296" s="29" t="s">
        <v>55</v>
      </c>
      <c r="D1296" s="29" t="s">
        <v>2184</v>
      </c>
      <c r="E1296" s="29" t="s">
        <v>47</v>
      </c>
      <c r="F1296" s="29" t="s">
        <v>35</v>
      </c>
      <c r="G1296" s="29" t="s">
        <v>2360</v>
      </c>
      <c r="H1296" s="29" t="s">
        <v>2361</v>
      </c>
      <c r="I1296" s="29" t="s">
        <v>2324</v>
      </c>
      <c r="J1296" s="29" t="s">
        <v>141</v>
      </c>
      <c r="K1296" s="29" t="s">
        <v>2382</v>
      </c>
      <c r="L1296" s="29" t="s">
        <v>2355</v>
      </c>
      <c r="M1296" s="29" t="s">
        <v>244</v>
      </c>
      <c r="N1296" s="29" t="s">
        <v>2366</v>
      </c>
      <c r="O1296" s="29" t="s">
        <v>141</v>
      </c>
      <c r="P1296" s="30" t="s">
        <v>2383</v>
      </c>
    </row>
    <row r="1297" s="25" customFormat="1" spans="1:16">
      <c r="A1297" s="29" t="s">
        <v>2382</v>
      </c>
      <c r="B1297" s="29" t="s">
        <v>2359</v>
      </c>
      <c r="C1297" s="29" t="s">
        <v>55</v>
      </c>
      <c r="D1297" s="29" t="s">
        <v>2184</v>
      </c>
      <c r="E1297" s="29" t="s">
        <v>47</v>
      </c>
      <c r="F1297" s="29" t="s">
        <v>35</v>
      </c>
      <c r="G1297" s="29" t="s">
        <v>2360</v>
      </c>
      <c r="H1297" s="29" t="s">
        <v>2361</v>
      </c>
      <c r="I1297" s="29" t="s">
        <v>2324</v>
      </c>
      <c r="J1297" s="29" t="s">
        <v>145</v>
      </c>
      <c r="K1297" s="29" t="s">
        <v>39</v>
      </c>
      <c r="L1297" s="29" t="s">
        <v>2357</v>
      </c>
      <c r="M1297" s="29" t="s">
        <v>244</v>
      </c>
      <c r="N1297" s="29" t="s">
        <v>2366</v>
      </c>
      <c r="O1297" s="29" t="s">
        <v>141</v>
      </c>
      <c r="P1297" s="30" t="s">
        <v>2384</v>
      </c>
    </row>
    <row r="1298" s="25" customFormat="1" spans="1:16">
      <c r="A1298" s="29" t="s">
        <v>2385</v>
      </c>
      <c r="B1298" s="29" t="s">
        <v>2385</v>
      </c>
      <c r="C1298" s="29" t="s">
        <v>55</v>
      </c>
      <c r="D1298" s="29" t="s">
        <v>2184</v>
      </c>
      <c r="E1298" s="29" t="s">
        <v>47</v>
      </c>
      <c r="F1298" s="29" t="s">
        <v>35</v>
      </c>
      <c r="G1298" s="29" t="s">
        <v>2386</v>
      </c>
      <c r="H1298" s="29" t="s">
        <v>2387</v>
      </c>
      <c r="I1298" s="29" t="s">
        <v>2324</v>
      </c>
      <c r="J1298" s="29" t="s">
        <v>39</v>
      </c>
      <c r="K1298" s="29" t="s">
        <v>2388</v>
      </c>
      <c r="L1298" s="29" t="s">
        <v>2326</v>
      </c>
      <c r="M1298" s="29" t="s">
        <v>271</v>
      </c>
      <c r="N1298" s="29" t="s">
        <v>2389</v>
      </c>
      <c r="O1298" s="29" t="s">
        <v>145</v>
      </c>
      <c r="P1298" s="30" t="s">
        <v>2390</v>
      </c>
    </row>
    <row r="1299" s="25" customFormat="1" spans="1:16">
      <c r="A1299" s="29" t="s">
        <v>2388</v>
      </c>
      <c r="B1299" s="29" t="s">
        <v>2385</v>
      </c>
      <c r="C1299" s="29" t="s">
        <v>55</v>
      </c>
      <c r="D1299" s="29" t="s">
        <v>2184</v>
      </c>
      <c r="E1299" s="29" t="s">
        <v>47</v>
      </c>
      <c r="F1299" s="29" t="s">
        <v>35</v>
      </c>
      <c r="G1299" s="29" t="s">
        <v>2386</v>
      </c>
      <c r="H1299" s="29" t="s">
        <v>2387</v>
      </c>
      <c r="I1299" s="29" t="s">
        <v>2324</v>
      </c>
      <c r="J1299" s="29" t="s">
        <v>35</v>
      </c>
      <c r="K1299" s="29" t="s">
        <v>2391</v>
      </c>
      <c r="L1299" s="29" t="s">
        <v>2330</v>
      </c>
      <c r="M1299" s="29" t="s">
        <v>271</v>
      </c>
      <c r="N1299" s="29" t="s">
        <v>2392</v>
      </c>
      <c r="O1299" s="29" t="s">
        <v>145</v>
      </c>
      <c r="P1299" s="30" t="s">
        <v>2393</v>
      </c>
    </row>
    <row r="1300" s="25" customFormat="1" spans="1:16">
      <c r="A1300" s="29" t="s">
        <v>2391</v>
      </c>
      <c r="B1300" s="29" t="s">
        <v>2385</v>
      </c>
      <c r="C1300" s="29" t="s">
        <v>55</v>
      </c>
      <c r="D1300" s="29" t="s">
        <v>2184</v>
      </c>
      <c r="E1300" s="29" t="s">
        <v>47</v>
      </c>
      <c r="F1300" s="29" t="s">
        <v>35</v>
      </c>
      <c r="G1300" s="29" t="s">
        <v>2386</v>
      </c>
      <c r="H1300" s="29" t="s">
        <v>2387</v>
      </c>
      <c r="I1300" s="29" t="s">
        <v>2324</v>
      </c>
      <c r="J1300" s="29" t="s">
        <v>47</v>
      </c>
      <c r="K1300" s="29" t="s">
        <v>2394</v>
      </c>
      <c r="L1300" s="29" t="s">
        <v>2334</v>
      </c>
      <c r="M1300" s="29" t="s">
        <v>271</v>
      </c>
      <c r="N1300" s="29" t="s">
        <v>2392</v>
      </c>
      <c r="O1300" s="29" t="s">
        <v>145</v>
      </c>
      <c r="P1300" s="30" t="s">
        <v>2395</v>
      </c>
    </row>
    <row r="1301" s="25" customFormat="1" spans="1:16">
      <c r="A1301" s="29" t="s">
        <v>2394</v>
      </c>
      <c r="B1301" s="29" t="s">
        <v>2385</v>
      </c>
      <c r="C1301" s="29" t="s">
        <v>55</v>
      </c>
      <c r="D1301" s="29" t="s">
        <v>2184</v>
      </c>
      <c r="E1301" s="29" t="s">
        <v>47</v>
      </c>
      <c r="F1301" s="29" t="s">
        <v>35</v>
      </c>
      <c r="G1301" s="29" t="s">
        <v>2386</v>
      </c>
      <c r="H1301" s="29" t="s">
        <v>2387</v>
      </c>
      <c r="I1301" s="29" t="s">
        <v>2324</v>
      </c>
      <c r="J1301" s="29" t="s">
        <v>51</v>
      </c>
      <c r="K1301" s="29" t="s">
        <v>2396</v>
      </c>
      <c r="L1301" s="29" t="s">
        <v>2337</v>
      </c>
      <c r="M1301" s="29" t="s">
        <v>271</v>
      </c>
      <c r="N1301" s="29" t="s">
        <v>2392</v>
      </c>
      <c r="O1301" s="29" t="s">
        <v>145</v>
      </c>
      <c r="P1301" s="30" t="s">
        <v>2397</v>
      </c>
    </row>
    <row r="1302" s="25" customFormat="1" spans="1:16">
      <c r="A1302" s="29" t="s">
        <v>2396</v>
      </c>
      <c r="B1302" s="29" t="s">
        <v>2385</v>
      </c>
      <c r="C1302" s="29" t="s">
        <v>55</v>
      </c>
      <c r="D1302" s="29" t="s">
        <v>2184</v>
      </c>
      <c r="E1302" s="29" t="s">
        <v>47</v>
      </c>
      <c r="F1302" s="29" t="s">
        <v>35</v>
      </c>
      <c r="G1302" s="29" t="s">
        <v>2386</v>
      </c>
      <c r="H1302" s="29" t="s">
        <v>2387</v>
      </c>
      <c r="I1302" s="29" t="s">
        <v>2324</v>
      </c>
      <c r="J1302" s="29" t="s">
        <v>55</v>
      </c>
      <c r="K1302" s="29" t="s">
        <v>2398</v>
      </c>
      <c r="L1302" s="29" t="s">
        <v>2340</v>
      </c>
      <c r="M1302" s="29" t="s">
        <v>271</v>
      </c>
      <c r="N1302" s="29" t="s">
        <v>2392</v>
      </c>
      <c r="O1302" s="29" t="s">
        <v>145</v>
      </c>
      <c r="P1302" s="30" t="s">
        <v>2399</v>
      </c>
    </row>
    <row r="1303" s="25" customFormat="1" spans="1:16">
      <c r="A1303" s="29" t="s">
        <v>2398</v>
      </c>
      <c r="B1303" s="29" t="s">
        <v>2385</v>
      </c>
      <c r="C1303" s="29" t="s">
        <v>55</v>
      </c>
      <c r="D1303" s="29" t="s">
        <v>2184</v>
      </c>
      <c r="E1303" s="29" t="s">
        <v>47</v>
      </c>
      <c r="F1303" s="29" t="s">
        <v>35</v>
      </c>
      <c r="G1303" s="29" t="s">
        <v>2386</v>
      </c>
      <c r="H1303" s="29" t="s">
        <v>2387</v>
      </c>
      <c r="I1303" s="29" t="s">
        <v>2324</v>
      </c>
      <c r="J1303" s="29" t="s">
        <v>59</v>
      </c>
      <c r="K1303" s="29" t="s">
        <v>2400</v>
      </c>
      <c r="L1303" s="29" t="s">
        <v>2343</v>
      </c>
      <c r="M1303" s="29" t="s">
        <v>271</v>
      </c>
      <c r="N1303" s="29" t="s">
        <v>2392</v>
      </c>
      <c r="O1303" s="29" t="s">
        <v>145</v>
      </c>
      <c r="P1303" s="30" t="s">
        <v>2401</v>
      </c>
    </row>
    <row r="1304" s="25" customFormat="1" spans="1:16">
      <c r="A1304" s="29" t="s">
        <v>2400</v>
      </c>
      <c r="B1304" s="29" t="s">
        <v>2385</v>
      </c>
      <c r="C1304" s="29" t="s">
        <v>55</v>
      </c>
      <c r="D1304" s="29" t="s">
        <v>2184</v>
      </c>
      <c r="E1304" s="29" t="s">
        <v>47</v>
      </c>
      <c r="F1304" s="29" t="s">
        <v>35</v>
      </c>
      <c r="G1304" s="29" t="s">
        <v>2386</v>
      </c>
      <c r="H1304" s="29" t="s">
        <v>2387</v>
      </c>
      <c r="I1304" s="29" t="s">
        <v>2324</v>
      </c>
      <c r="J1304" s="29" t="s">
        <v>129</v>
      </c>
      <c r="K1304" s="29" t="s">
        <v>2402</v>
      </c>
      <c r="L1304" s="29" t="s">
        <v>2346</v>
      </c>
      <c r="M1304" s="29" t="s">
        <v>271</v>
      </c>
      <c r="N1304" s="29" t="s">
        <v>2392</v>
      </c>
      <c r="O1304" s="29" t="s">
        <v>145</v>
      </c>
      <c r="P1304" s="30" t="s">
        <v>2403</v>
      </c>
    </row>
    <row r="1305" s="25" customFormat="1" spans="1:16">
      <c r="A1305" s="29" t="s">
        <v>2402</v>
      </c>
      <c r="B1305" s="29" t="s">
        <v>2385</v>
      </c>
      <c r="C1305" s="29" t="s">
        <v>55</v>
      </c>
      <c r="D1305" s="29" t="s">
        <v>2184</v>
      </c>
      <c r="E1305" s="29" t="s">
        <v>47</v>
      </c>
      <c r="F1305" s="29" t="s">
        <v>35</v>
      </c>
      <c r="G1305" s="29" t="s">
        <v>2386</v>
      </c>
      <c r="H1305" s="29" t="s">
        <v>2387</v>
      </c>
      <c r="I1305" s="29" t="s">
        <v>2324</v>
      </c>
      <c r="J1305" s="29" t="s">
        <v>133</v>
      </c>
      <c r="K1305" s="29" t="s">
        <v>2404</v>
      </c>
      <c r="L1305" s="29" t="s">
        <v>2349</v>
      </c>
      <c r="M1305" s="29" t="s">
        <v>271</v>
      </c>
      <c r="N1305" s="29" t="s">
        <v>2392</v>
      </c>
      <c r="O1305" s="29" t="s">
        <v>145</v>
      </c>
      <c r="P1305" s="30" t="s">
        <v>2405</v>
      </c>
    </row>
    <row r="1306" s="25" customFormat="1" spans="1:16">
      <c r="A1306" s="29" t="s">
        <v>2404</v>
      </c>
      <c r="B1306" s="29" t="s">
        <v>2385</v>
      </c>
      <c r="C1306" s="29" t="s">
        <v>55</v>
      </c>
      <c r="D1306" s="29" t="s">
        <v>2184</v>
      </c>
      <c r="E1306" s="29" t="s">
        <v>47</v>
      </c>
      <c r="F1306" s="29" t="s">
        <v>35</v>
      </c>
      <c r="G1306" s="29" t="s">
        <v>2386</v>
      </c>
      <c r="H1306" s="29" t="s">
        <v>2387</v>
      </c>
      <c r="I1306" s="29" t="s">
        <v>2324</v>
      </c>
      <c r="J1306" s="29" t="s">
        <v>137</v>
      </c>
      <c r="K1306" s="29" t="s">
        <v>2406</v>
      </c>
      <c r="L1306" s="29" t="s">
        <v>2352</v>
      </c>
      <c r="M1306" s="29" t="s">
        <v>271</v>
      </c>
      <c r="N1306" s="29" t="s">
        <v>2392</v>
      </c>
      <c r="O1306" s="29" t="s">
        <v>145</v>
      </c>
      <c r="P1306" s="30" t="s">
        <v>2407</v>
      </c>
    </row>
    <row r="1307" s="25" customFormat="1" spans="1:16">
      <c r="A1307" s="29" t="s">
        <v>2406</v>
      </c>
      <c r="B1307" s="29" t="s">
        <v>2385</v>
      </c>
      <c r="C1307" s="29" t="s">
        <v>55</v>
      </c>
      <c r="D1307" s="29" t="s">
        <v>2184</v>
      </c>
      <c r="E1307" s="29" t="s">
        <v>47</v>
      </c>
      <c r="F1307" s="29" t="s">
        <v>35</v>
      </c>
      <c r="G1307" s="29" t="s">
        <v>2386</v>
      </c>
      <c r="H1307" s="29" t="s">
        <v>2387</v>
      </c>
      <c r="I1307" s="29" t="s">
        <v>2324</v>
      </c>
      <c r="J1307" s="29" t="s">
        <v>141</v>
      </c>
      <c r="K1307" s="29" t="s">
        <v>2408</v>
      </c>
      <c r="L1307" s="29" t="s">
        <v>2355</v>
      </c>
      <c r="M1307" s="29" t="s">
        <v>271</v>
      </c>
      <c r="N1307" s="29" t="s">
        <v>2392</v>
      </c>
      <c r="O1307" s="29" t="s">
        <v>145</v>
      </c>
      <c r="P1307" s="30" t="s">
        <v>2409</v>
      </c>
    </row>
    <row r="1308" s="25" customFormat="1" spans="1:16">
      <c r="A1308" s="29" t="s">
        <v>2408</v>
      </c>
      <c r="B1308" s="29" t="s">
        <v>2385</v>
      </c>
      <c r="C1308" s="29" t="s">
        <v>55</v>
      </c>
      <c r="D1308" s="29" t="s">
        <v>2184</v>
      </c>
      <c r="E1308" s="29" t="s">
        <v>47</v>
      </c>
      <c r="F1308" s="29" t="s">
        <v>35</v>
      </c>
      <c r="G1308" s="29" t="s">
        <v>2386</v>
      </c>
      <c r="H1308" s="29" t="s">
        <v>2387</v>
      </c>
      <c r="I1308" s="29" t="s">
        <v>2324</v>
      </c>
      <c r="J1308" s="29" t="s">
        <v>145</v>
      </c>
      <c r="K1308" s="29" t="s">
        <v>39</v>
      </c>
      <c r="L1308" s="29" t="s">
        <v>2357</v>
      </c>
      <c r="M1308" s="29" t="s">
        <v>271</v>
      </c>
      <c r="N1308" s="29" t="s">
        <v>2392</v>
      </c>
      <c r="O1308" s="29" t="s">
        <v>145</v>
      </c>
      <c r="P1308" s="30" t="s">
        <v>2410</v>
      </c>
    </row>
    <row r="1309" s="25" customFormat="1" spans="1:16">
      <c r="A1309" s="29" t="s">
        <v>2411</v>
      </c>
      <c r="B1309" s="29" t="s">
        <v>2411</v>
      </c>
      <c r="C1309" s="29" t="s">
        <v>55</v>
      </c>
      <c r="D1309" s="29" t="s">
        <v>2188</v>
      </c>
      <c r="E1309" s="29" t="s">
        <v>35</v>
      </c>
      <c r="F1309" s="29" t="s">
        <v>47</v>
      </c>
      <c r="G1309" s="29" t="s">
        <v>295</v>
      </c>
      <c r="H1309" s="29" t="s">
        <v>38</v>
      </c>
      <c r="I1309" s="29" t="s">
        <v>39</v>
      </c>
      <c r="J1309" s="29" t="s">
        <v>39</v>
      </c>
      <c r="K1309" s="29" t="s">
        <v>2412</v>
      </c>
      <c r="L1309" s="29" t="s">
        <v>2413</v>
      </c>
      <c r="M1309" s="29" t="s">
        <v>298</v>
      </c>
      <c r="N1309" s="29" t="s">
        <v>2186</v>
      </c>
      <c r="O1309" s="29" t="s">
        <v>35</v>
      </c>
      <c r="P1309" s="30" t="s">
        <v>2187</v>
      </c>
    </row>
    <row r="1310" s="25" customFormat="1" spans="1:16">
      <c r="A1310" s="29" t="s">
        <v>2412</v>
      </c>
      <c r="B1310" s="29" t="s">
        <v>2411</v>
      </c>
      <c r="C1310" s="29" t="s">
        <v>55</v>
      </c>
      <c r="D1310" s="29" t="s">
        <v>2188</v>
      </c>
      <c r="E1310" s="29" t="s">
        <v>35</v>
      </c>
      <c r="F1310" s="29" t="s">
        <v>47</v>
      </c>
      <c r="G1310" s="29" t="s">
        <v>295</v>
      </c>
      <c r="H1310" s="29" t="s">
        <v>38</v>
      </c>
      <c r="I1310" s="29" t="s">
        <v>39</v>
      </c>
      <c r="J1310" s="29" t="s">
        <v>35</v>
      </c>
      <c r="K1310" s="29" t="s">
        <v>2414</v>
      </c>
      <c r="L1310" s="29" t="s">
        <v>2415</v>
      </c>
      <c r="M1310" s="29" t="s">
        <v>298</v>
      </c>
      <c r="N1310" s="29" t="s">
        <v>2416</v>
      </c>
      <c r="O1310" s="29" t="s">
        <v>35</v>
      </c>
      <c r="P1310" s="30" t="s">
        <v>2417</v>
      </c>
    </row>
    <row r="1311" s="25" customFormat="1" spans="1:16">
      <c r="A1311" s="29" t="s">
        <v>2414</v>
      </c>
      <c r="B1311" s="29" t="s">
        <v>2411</v>
      </c>
      <c r="C1311" s="29" t="s">
        <v>55</v>
      </c>
      <c r="D1311" s="29" t="s">
        <v>2188</v>
      </c>
      <c r="E1311" s="29" t="s">
        <v>35</v>
      </c>
      <c r="F1311" s="29" t="s">
        <v>47</v>
      </c>
      <c r="G1311" s="29" t="s">
        <v>295</v>
      </c>
      <c r="H1311" s="29" t="s">
        <v>38</v>
      </c>
      <c r="I1311" s="29" t="s">
        <v>39</v>
      </c>
      <c r="J1311" s="29" t="s">
        <v>47</v>
      </c>
      <c r="K1311" s="29" t="s">
        <v>2418</v>
      </c>
      <c r="L1311" s="29" t="s">
        <v>2419</v>
      </c>
      <c r="M1311" s="29" t="s">
        <v>298</v>
      </c>
      <c r="N1311" s="29" t="s">
        <v>2416</v>
      </c>
      <c r="O1311" s="29" t="s">
        <v>35</v>
      </c>
      <c r="P1311" s="30" t="s">
        <v>2420</v>
      </c>
    </row>
    <row r="1312" s="25" customFormat="1" spans="1:16">
      <c r="A1312" s="29" t="s">
        <v>2418</v>
      </c>
      <c r="B1312" s="29" t="s">
        <v>2411</v>
      </c>
      <c r="C1312" s="29" t="s">
        <v>55</v>
      </c>
      <c r="D1312" s="29" t="s">
        <v>2188</v>
      </c>
      <c r="E1312" s="29" t="s">
        <v>35</v>
      </c>
      <c r="F1312" s="29" t="s">
        <v>47</v>
      </c>
      <c r="G1312" s="29" t="s">
        <v>295</v>
      </c>
      <c r="H1312" s="29" t="s">
        <v>38</v>
      </c>
      <c r="I1312" s="29" t="s">
        <v>39</v>
      </c>
      <c r="J1312" s="29" t="s">
        <v>51</v>
      </c>
      <c r="K1312" s="29" t="s">
        <v>2421</v>
      </c>
      <c r="L1312" s="29" t="s">
        <v>2422</v>
      </c>
      <c r="M1312" s="29" t="s">
        <v>298</v>
      </c>
      <c r="N1312" s="29" t="s">
        <v>2416</v>
      </c>
      <c r="O1312" s="29" t="s">
        <v>35</v>
      </c>
      <c r="P1312" s="30" t="s">
        <v>2194</v>
      </c>
    </row>
    <row r="1313" s="25" customFormat="1" spans="1:16">
      <c r="A1313" s="29" t="s">
        <v>2421</v>
      </c>
      <c r="B1313" s="29" t="s">
        <v>2411</v>
      </c>
      <c r="C1313" s="29" t="s">
        <v>55</v>
      </c>
      <c r="D1313" s="29" t="s">
        <v>2188</v>
      </c>
      <c r="E1313" s="29" t="s">
        <v>35</v>
      </c>
      <c r="F1313" s="29" t="s">
        <v>47</v>
      </c>
      <c r="G1313" s="29" t="s">
        <v>295</v>
      </c>
      <c r="H1313" s="29" t="s">
        <v>38</v>
      </c>
      <c r="I1313" s="29" t="s">
        <v>39</v>
      </c>
      <c r="J1313" s="29" t="s">
        <v>55</v>
      </c>
      <c r="K1313" s="29" t="s">
        <v>2423</v>
      </c>
      <c r="L1313" s="29" t="s">
        <v>2424</v>
      </c>
      <c r="M1313" s="29" t="s">
        <v>298</v>
      </c>
      <c r="N1313" s="29" t="s">
        <v>2416</v>
      </c>
      <c r="O1313" s="29" t="s">
        <v>35</v>
      </c>
      <c r="P1313" s="30" t="s">
        <v>2425</v>
      </c>
    </row>
    <row r="1314" s="25" customFormat="1" spans="1:16">
      <c r="A1314" s="29" t="s">
        <v>2423</v>
      </c>
      <c r="B1314" s="29" t="s">
        <v>2411</v>
      </c>
      <c r="C1314" s="29" t="s">
        <v>55</v>
      </c>
      <c r="D1314" s="29" t="s">
        <v>2188</v>
      </c>
      <c r="E1314" s="29" t="s">
        <v>35</v>
      </c>
      <c r="F1314" s="29" t="s">
        <v>47</v>
      </c>
      <c r="G1314" s="29" t="s">
        <v>295</v>
      </c>
      <c r="H1314" s="29" t="s">
        <v>38</v>
      </c>
      <c r="I1314" s="29" t="s">
        <v>39</v>
      </c>
      <c r="J1314" s="29" t="s">
        <v>59</v>
      </c>
      <c r="K1314" s="29" t="s">
        <v>2426</v>
      </c>
      <c r="L1314" s="29" t="s">
        <v>2427</v>
      </c>
      <c r="M1314" s="29" t="s">
        <v>298</v>
      </c>
      <c r="N1314" s="29" t="s">
        <v>2416</v>
      </c>
      <c r="O1314" s="29" t="s">
        <v>35</v>
      </c>
      <c r="P1314" s="30" t="s">
        <v>2428</v>
      </c>
    </row>
    <row r="1315" s="25" customFormat="1" spans="1:16">
      <c r="A1315" s="29" t="s">
        <v>2426</v>
      </c>
      <c r="B1315" s="29" t="s">
        <v>2411</v>
      </c>
      <c r="C1315" s="29" t="s">
        <v>55</v>
      </c>
      <c r="D1315" s="29" t="s">
        <v>2188</v>
      </c>
      <c r="E1315" s="29" t="s">
        <v>35</v>
      </c>
      <c r="F1315" s="29" t="s">
        <v>47</v>
      </c>
      <c r="G1315" s="29" t="s">
        <v>295</v>
      </c>
      <c r="H1315" s="29" t="s">
        <v>38</v>
      </c>
      <c r="I1315" s="29" t="s">
        <v>39</v>
      </c>
      <c r="J1315" s="29" t="s">
        <v>129</v>
      </c>
      <c r="K1315" s="29" t="s">
        <v>2429</v>
      </c>
      <c r="L1315" s="29" t="s">
        <v>2430</v>
      </c>
      <c r="M1315" s="29" t="s">
        <v>298</v>
      </c>
      <c r="N1315" s="29" t="s">
        <v>2416</v>
      </c>
      <c r="O1315" s="29" t="s">
        <v>35</v>
      </c>
      <c r="P1315" s="30" t="s">
        <v>2200</v>
      </c>
    </row>
    <row r="1316" s="25" customFormat="1" spans="1:16">
      <c r="A1316" s="29" t="s">
        <v>2429</v>
      </c>
      <c r="B1316" s="29" t="s">
        <v>2411</v>
      </c>
      <c r="C1316" s="29" t="s">
        <v>55</v>
      </c>
      <c r="D1316" s="29" t="s">
        <v>2188</v>
      </c>
      <c r="E1316" s="29" t="s">
        <v>35</v>
      </c>
      <c r="F1316" s="29" t="s">
        <v>47</v>
      </c>
      <c r="G1316" s="29" t="s">
        <v>295</v>
      </c>
      <c r="H1316" s="29" t="s">
        <v>38</v>
      </c>
      <c r="I1316" s="29" t="s">
        <v>39</v>
      </c>
      <c r="J1316" s="29" t="s">
        <v>133</v>
      </c>
      <c r="K1316" s="29" t="s">
        <v>2431</v>
      </c>
      <c r="L1316" s="29" t="s">
        <v>2432</v>
      </c>
      <c r="M1316" s="29" t="s">
        <v>298</v>
      </c>
      <c r="N1316" s="29" t="s">
        <v>2416</v>
      </c>
      <c r="O1316" s="29" t="s">
        <v>35</v>
      </c>
      <c r="P1316" s="30" t="s">
        <v>2433</v>
      </c>
    </row>
    <row r="1317" s="25" customFormat="1" spans="1:16">
      <c r="A1317" s="29" t="s">
        <v>2431</v>
      </c>
      <c r="B1317" s="29" t="s">
        <v>2411</v>
      </c>
      <c r="C1317" s="29" t="s">
        <v>55</v>
      </c>
      <c r="D1317" s="29" t="s">
        <v>2188</v>
      </c>
      <c r="E1317" s="29" t="s">
        <v>35</v>
      </c>
      <c r="F1317" s="29" t="s">
        <v>47</v>
      </c>
      <c r="G1317" s="29" t="s">
        <v>295</v>
      </c>
      <c r="H1317" s="29" t="s">
        <v>38</v>
      </c>
      <c r="I1317" s="29" t="s">
        <v>39</v>
      </c>
      <c r="J1317" s="29" t="s">
        <v>137</v>
      </c>
      <c r="K1317" s="29" t="s">
        <v>2434</v>
      </c>
      <c r="L1317" s="29" t="s">
        <v>2435</v>
      </c>
      <c r="M1317" s="29" t="s">
        <v>298</v>
      </c>
      <c r="N1317" s="29" t="s">
        <v>2416</v>
      </c>
      <c r="O1317" s="29" t="s">
        <v>35</v>
      </c>
      <c r="P1317" s="30" t="s">
        <v>2436</v>
      </c>
    </row>
    <row r="1318" s="25" customFormat="1" spans="1:16">
      <c r="A1318" s="29" t="s">
        <v>2434</v>
      </c>
      <c r="B1318" s="29" t="s">
        <v>2411</v>
      </c>
      <c r="C1318" s="29" t="s">
        <v>55</v>
      </c>
      <c r="D1318" s="29" t="s">
        <v>2188</v>
      </c>
      <c r="E1318" s="29" t="s">
        <v>35</v>
      </c>
      <c r="F1318" s="29" t="s">
        <v>47</v>
      </c>
      <c r="G1318" s="29" t="s">
        <v>295</v>
      </c>
      <c r="H1318" s="29" t="s">
        <v>38</v>
      </c>
      <c r="I1318" s="29" t="s">
        <v>39</v>
      </c>
      <c r="J1318" s="29" t="s">
        <v>141</v>
      </c>
      <c r="K1318" s="29" t="s">
        <v>2437</v>
      </c>
      <c r="L1318" s="29" t="s">
        <v>2438</v>
      </c>
      <c r="M1318" s="29" t="s">
        <v>298</v>
      </c>
      <c r="N1318" s="29" t="s">
        <v>2416</v>
      </c>
      <c r="O1318" s="29" t="s">
        <v>35</v>
      </c>
      <c r="P1318" s="30" t="s">
        <v>2439</v>
      </c>
    </row>
    <row r="1319" s="25" customFormat="1" spans="1:16">
      <c r="A1319" s="29" t="s">
        <v>2437</v>
      </c>
      <c r="B1319" s="29" t="s">
        <v>2411</v>
      </c>
      <c r="C1319" s="29" t="s">
        <v>55</v>
      </c>
      <c r="D1319" s="29" t="s">
        <v>2188</v>
      </c>
      <c r="E1319" s="29" t="s">
        <v>35</v>
      </c>
      <c r="F1319" s="29" t="s">
        <v>47</v>
      </c>
      <c r="G1319" s="29" t="s">
        <v>295</v>
      </c>
      <c r="H1319" s="29" t="s">
        <v>38</v>
      </c>
      <c r="I1319" s="29" t="s">
        <v>39</v>
      </c>
      <c r="J1319" s="29" t="s">
        <v>145</v>
      </c>
      <c r="K1319" s="29" t="s">
        <v>39</v>
      </c>
      <c r="L1319" s="29" t="s">
        <v>39</v>
      </c>
      <c r="M1319" s="29" t="s">
        <v>39</v>
      </c>
      <c r="N1319" s="29" t="s">
        <v>2416</v>
      </c>
      <c r="O1319" s="29" t="s">
        <v>35</v>
      </c>
      <c r="P1319" s="30" t="s">
        <v>2440</v>
      </c>
    </row>
    <row r="1320" s="25" customFormat="1" spans="1:16">
      <c r="A1320" s="29" t="s">
        <v>2441</v>
      </c>
      <c r="B1320" s="29" t="s">
        <v>2441</v>
      </c>
      <c r="C1320" s="29" t="s">
        <v>55</v>
      </c>
      <c r="D1320" s="29" t="s">
        <v>2188</v>
      </c>
      <c r="E1320" s="29" t="s">
        <v>35</v>
      </c>
      <c r="F1320" s="29" t="s">
        <v>47</v>
      </c>
      <c r="G1320" s="29" t="s">
        <v>327</v>
      </c>
      <c r="H1320" s="29" t="s">
        <v>63</v>
      </c>
      <c r="I1320" s="29" t="s">
        <v>39</v>
      </c>
      <c r="J1320" s="29" t="s">
        <v>39</v>
      </c>
      <c r="K1320" s="29" t="s">
        <v>2442</v>
      </c>
      <c r="L1320" s="29" t="s">
        <v>2413</v>
      </c>
      <c r="M1320" s="29" t="s">
        <v>329</v>
      </c>
      <c r="N1320" s="29" t="s">
        <v>2204</v>
      </c>
      <c r="O1320" s="29" t="s">
        <v>47</v>
      </c>
      <c r="P1320" s="30" t="s">
        <v>2205</v>
      </c>
    </row>
    <row r="1321" s="25" customFormat="1" spans="1:16">
      <c r="A1321" s="29" t="s">
        <v>2442</v>
      </c>
      <c r="B1321" s="29" t="s">
        <v>2441</v>
      </c>
      <c r="C1321" s="29" t="s">
        <v>55</v>
      </c>
      <c r="D1321" s="29" t="s">
        <v>2188</v>
      </c>
      <c r="E1321" s="29" t="s">
        <v>35</v>
      </c>
      <c r="F1321" s="29" t="s">
        <v>47</v>
      </c>
      <c r="G1321" s="29" t="s">
        <v>327</v>
      </c>
      <c r="H1321" s="29" t="s">
        <v>63</v>
      </c>
      <c r="I1321" s="29" t="s">
        <v>39</v>
      </c>
      <c r="J1321" s="29" t="s">
        <v>35</v>
      </c>
      <c r="K1321" s="29" t="s">
        <v>2443</v>
      </c>
      <c r="L1321" s="29" t="s">
        <v>2415</v>
      </c>
      <c r="M1321" s="29" t="s">
        <v>329</v>
      </c>
      <c r="N1321" s="29" t="s">
        <v>2444</v>
      </c>
      <c r="O1321" s="29" t="s">
        <v>47</v>
      </c>
      <c r="P1321" s="30" t="s">
        <v>2445</v>
      </c>
    </row>
    <row r="1322" s="25" customFormat="1" spans="1:16">
      <c r="A1322" s="29" t="s">
        <v>2443</v>
      </c>
      <c r="B1322" s="29" t="s">
        <v>2441</v>
      </c>
      <c r="C1322" s="29" t="s">
        <v>55</v>
      </c>
      <c r="D1322" s="29" t="s">
        <v>2188</v>
      </c>
      <c r="E1322" s="29" t="s">
        <v>35</v>
      </c>
      <c r="F1322" s="29" t="s">
        <v>47</v>
      </c>
      <c r="G1322" s="29" t="s">
        <v>327</v>
      </c>
      <c r="H1322" s="29" t="s">
        <v>63</v>
      </c>
      <c r="I1322" s="29" t="s">
        <v>39</v>
      </c>
      <c r="J1322" s="29" t="s">
        <v>47</v>
      </c>
      <c r="K1322" s="29" t="s">
        <v>2446</v>
      </c>
      <c r="L1322" s="29" t="s">
        <v>2419</v>
      </c>
      <c r="M1322" s="29" t="s">
        <v>329</v>
      </c>
      <c r="N1322" s="29" t="s">
        <v>2444</v>
      </c>
      <c r="O1322" s="29" t="s">
        <v>47</v>
      </c>
      <c r="P1322" s="30" t="s">
        <v>2447</v>
      </c>
    </row>
    <row r="1323" s="25" customFormat="1" spans="1:16">
      <c r="A1323" s="29" t="s">
        <v>2446</v>
      </c>
      <c r="B1323" s="29" t="s">
        <v>2441</v>
      </c>
      <c r="C1323" s="29" t="s">
        <v>55</v>
      </c>
      <c r="D1323" s="29" t="s">
        <v>2188</v>
      </c>
      <c r="E1323" s="29" t="s">
        <v>35</v>
      </c>
      <c r="F1323" s="29" t="s">
        <v>47</v>
      </c>
      <c r="G1323" s="29" t="s">
        <v>327</v>
      </c>
      <c r="H1323" s="29" t="s">
        <v>63</v>
      </c>
      <c r="I1323" s="29" t="s">
        <v>39</v>
      </c>
      <c r="J1323" s="29" t="s">
        <v>51</v>
      </c>
      <c r="K1323" s="29" t="s">
        <v>2448</v>
      </c>
      <c r="L1323" s="29" t="s">
        <v>2422</v>
      </c>
      <c r="M1323" s="29" t="s">
        <v>329</v>
      </c>
      <c r="N1323" s="29" t="s">
        <v>2444</v>
      </c>
      <c r="O1323" s="29" t="s">
        <v>47</v>
      </c>
      <c r="P1323" s="30" t="s">
        <v>2449</v>
      </c>
    </row>
    <row r="1324" s="25" customFormat="1" spans="1:16">
      <c r="A1324" s="29" t="s">
        <v>2448</v>
      </c>
      <c r="B1324" s="29" t="s">
        <v>2441</v>
      </c>
      <c r="C1324" s="29" t="s">
        <v>55</v>
      </c>
      <c r="D1324" s="29" t="s">
        <v>2188</v>
      </c>
      <c r="E1324" s="29" t="s">
        <v>35</v>
      </c>
      <c r="F1324" s="29" t="s">
        <v>47</v>
      </c>
      <c r="G1324" s="29" t="s">
        <v>327</v>
      </c>
      <c r="H1324" s="29" t="s">
        <v>63</v>
      </c>
      <c r="I1324" s="29" t="s">
        <v>39</v>
      </c>
      <c r="J1324" s="29" t="s">
        <v>55</v>
      </c>
      <c r="K1324" s="29" t="s">
        <v>2450</v>
      </c>
      <c r="L1324" s="29" t="s">
        <v>2424</v>
      </c>
      <c r="M1324" s="29" t="s">
        <v>329</v>
      </c>
      <c r="N1324" s="29" t="s">
        <v>2444</v>
      </c>
      <c r="O1324" s="29" t="s">
        <v>47</v>
      </c>
      <c r="P1324" s="30" t="s">
        <v>2451</v>
      </c>
    </row>
    <row r="1325" s="25" customFormat="1" spans="1:16">
      <c r="A1325" s="29" t="s">
        <v>2450</v>
      </c>
      <c r="B1325" s="29" t="s">
        <v>2441</v>
      </c>
      <c r="C1325" s="29" t="s">
        <v>55</v>
      </c>
      <c r="D1325" s="29" t="s">
        <v>2188</v>
      </c>
      <c r="E1325" s="29" t="s">
        <v>35</v>
      </c>
      <c r="F1325" s="29" t="s">
        <v>47</v>
      </c>
      <c r="G1325" s="29" t="s">
        <v>327</v>
      </c>
      <c r="H1325" s="29" t="s">
        <v>63</v>
      </c>
      <c r="I1325" s="29" t="s">
        <v>39</v>
      </c>
      <c r="J1325" s="29" t="s">
        <v>59</v>
      </c>
      <c r="K1325" s="29" t="s">
        <v>2452</v>
      </c>
      <c r="L1325" s="29" t="s">
        <v>2427</v>
      </c>
      <c r="M1325" s="29" t="s">
        <v>329</v>
      </c>
      <c r="N1325" s="29" t="s">
        <v>2444</v>
      </c>
      <c r="O1325" s="29" t="s">
        <v>47</v>
      </c>
      <c r="P1325" s="30" t="s">
        <v>2453</v>
      </c>
    </row>
    <row r="1326" s="25" customFormat="1" spans="1:16">
      <c r="A1326" s="29" t="s">
        <v>2452</v>
      </c>
      <c r="B1326" s="29" t="s">
        <v>2441</v>
      </c>
      <c r="C1326" s="29" t="s">
        <v>55</v>
      </c>
      <c r="D1326" s="29" t="s">
        <v>2188</v>
      </c>
      <c r="E1326" s="29" t="s">
        <v>35</v>
      </c>
      <c r="F1326" s="29" t="s">
        <v>47</v>
      </c>
      <c r="G1326" s="29" t="s">
        <v>327</v>
      </c>
      <c r="H1326" s="29" t="s">
        <v>63</v>
      </c>
      <c r="I1326" s="29" t="s">
        <v>39</v>
      </c>
      <c r="J1326" s="29" t="s">
        <v>129</v>
      </c>
      <c r="K1326" s="29" t="s">
        <v>2454</v>
      </c>
      <c r="L1326" s="29" t="s">
        <v>2430</v>
      </c>
      <c r="M1326" s="29" t="s">
        <v>329</v>
      </c>
      <c r="N1326" s="29" t="s">
        <v>2444</v>
      </c>
      <c r="O1326" s="29" t="s">
        <v>47</v>
      </c>
      <c r="P1326" s="30" t="s">
        <v>2215</v>
      </c>
    </row>
    <row r="1327" s="25" customFormat="1" spans="1:16">
      <c r="A1327" s="29" t="s">
        <v>2454</v>
      </c>
      <c r="B1327" s="29" t="s">
        <v>2441</v>
      </c>
      <c r="C1327" s="29" t="s">
        <v>55</v>
      </c>
      <c r="D1327" s="29" t="s">
        <v>2188</v>
      </c>
      <c r="E1327" s="29" t="s">
        <v>35</v>
      </c>
      <c r="F1327" s="29" t="s">
        <v>47</v>
      </c>
      <c r="G1327" s="29" t="s">
        <v>327</v>
      </c>
      <c r="H1327" s="29" t="s">
        <v>63</v>
      </c>
      <c r="I1327" s="29" t="s">
        <v>39</v>
      </c>
      <c r="J1327" s="29" t="s">
        <v>133</v>
      </c>
      <c r="K1327" s="29" t="s">
        <v>2455</v>
      </c>
      <c r="L1327" s="29" t="s">
        <v>2432</v>
      </c>
      <c r="M1327" s="29" t="s">
        <v>329</v>
      </c>
      <c r="N1327" s="29" t="s">
        <v>2444</v>
      </c>
      <c r="O1327" s="29" t="s">
        <v>47</v>
      </c>
      <c r="P1327" s="30" t="s">
        <v>2456</v>
      </c>
    </row>
    <row r="1328" s="25" customFormat="1" spans="1:16">
      <c r="A1328" s="29" t="s">
        <v>2455</v>
      </c>
      <c r="B1328" s="29" t="s">
        <v>2441</v>
      </c>
      <c r="C1328" s="29" t="s">
        <v>55</v>
      </c>
      <c r="D1328" s="29" t="s">
        <v>2188</v>
      </c>
      <c r="E1328" s="29" t="s">
        <v>35</v>
      </c>
      <c r="F1328" s="29" t="s">
        <v>47</v>
      </c>
      <c r="G1328" s="29" t="s">
        <v>327</v>
      </c>
      <c r="H1328" s="29" t="s">
        <v>63</v>
      </c>
      <c r="I1328" s="29" t="s">
        <v>39</v>
      </c>
      <c r="J1328" s="29" t="s">
        <v>137</v>
      </c>
      <c r="K1328" s="29" t="s">
        <v>2457</v>
      </c>
      <c r="L1328" s="29" t="s">
        <v>2435</v>
      </c>
      <c r="M1328" s="29" t="s">
        <v>329</v>
      </c>
      <c r="N1328" s="29" t="s">
        <v>2444</v>
      </c>
      <c r="O1328" s="29" t="s">
        <v>47</v>
      </c>
      <c r="P1328" s="30" t="s">
        <v>2458</v>
      </c>
    </row>
    <row r="1329" s="25" customFormat="1" spans="1:16">
      <c r="A1329" s="29" t="s">
        <v>2457</v>
      </c>
      <c r="B1329" s="29" t="s">
        <v>2441</v>
      </c>
      <c r="C1329" s="29" t="s">
        <v>55</v>
      </c>
      <c r="D1329" s="29" t="s">
        <v>2188</v>
      </c>
      <c r="E1329" s="29" t="s">
        <v>35</v>
      </c>
      <c r="F1329" s="29" t="s">
        <v>47</v>
      </c>
      <c r="G1329" s="29" t="s">
        <v>327</v>
      </c>
      <c r="H1329" s="29" t="s">
        <v>63</v>
      </c>
      <c r="I1329" s="29" t="s">
        <v>39</v>
      </c>
      <c r="J1329" s="29" t="s">
        <v>141</v>
      </c>
      <c r="K1329" s="29" t="s">
        <v>2459</v>
      </c>
      <c r="L1329" s="29" t="s">
        <v>2438</v>
      </c>
      <c r="M1329" s="29" t="s">
        <v>329</v>
      </c>
      <c r="N1329" s="29" t="s">
        <v>2444</v>
      </c>
      <c r="O1329" s="29" t="s">
        <v>47</v>
      </c>
      <c r="P1329" s="30" t="s">
        <v>2460</v>
      </c>
    </row>
    <row r="1330" s="25" customFormat="1" spans="1:16">
      <c r="A1330" s="29" t="s">
        <v>2459</v>
      </c>
      <c r="B1330" s="29" t="s">
        <v>2441</v>
      </c>
      <c r="C1330" s="29" t="s">
        <v>55</v>
      </c>
      <c r="D1330" s="29" t="s">
        <v>2188</v>
      </c>
      <c r="E1330" s="29" t="s">
        <v>35</v>
      </c>
      <c r="F1330" s="29" t="s">
        <v>47</v>
      </c>
      <c r="G1330" s="29" t="s">
        <v>327</v>
      </c>
      <c r="H1330" s="29" t="s">
        <v>63</v>
      </c>
      <c r="I1330" s="29" t="s">
        <v>39</v>
      </c>
      <c r="J1330" s="29" t="s">
        <v>145</v>
      </c>
      <c r="K1330" s="29" t="s">
        <v>39</v>
      </c>
      <c r="L1330" s="29" t="s">
        <v>39</v>
      </c>
      <c r="M1330" s="29" t="s">
        <v>39</v>
      </c>
      <c r="N1330" s="29" t="s">
        <v>2444</v>
      </c>
      <c r="O1330" s="29" t="s">
        <v>47</v>
      </c>
      <c r="P1330" s="30" t="s">
        <v>2461</v>
      </c>
    </row>
    <row r="1331" s="25" customFormat="1" spans="1:16">
      <c r="A1331" s="29" t="s">
        <v>2462</v>
      </c>
      <c r="B1331" s="29" t="s">
        <v>2462</v>
      </c>
      <c r="C1331" s="29" t="s">
        <v>55</v>
      </c>
      <c r="D1331" s="29" t="s">
        <v>2188</v>
      </c>
      <c r="E1331" s="29" t="s">
        <v>35</v>
      </c>
      <c r="F1331" s="29" t="s">
        <v>47</v>
      </c>
      <c r="G1331" s="29" t="s">
        <v>350</v>
      </c>
      <c r="H1331" s="29" t="s">
        <v>80</v>
      </c>
      <c r="I1331" s="29" t="s">
        <v>39</v>
      </c>
      <c r="J1331" s="29" t="s">
        <v>39</v>
      </c>
      <c r="K1331" s="29" t="s">
        <v>2463</v>
      </c>
      <c r="L1331" s="29" t="s">
        <v>2413</v>
      </c>
      <c r="M1331" s="29" t="s">
        <v>329</v>
      </c>
      <c r="N1331" s="29" t="s">
        <v>2218</v>
      </c>
      <c r="O1331" s="29" t="s">
        <v>51</v>
      </c>
      <c r="P1331" s="30" t="s">
        <v>2219</v>
      </c>
    </row>
    <row r="1332" s="25" customFormat="1" spans="1:16">
      <c r="A1332" s="29" t="s">
        <v>2463</v>
      </c>
      <c r="B1332" s="29" t="s">
        <v>2462</v>
      </c>
      <c r="C1332" s="29" t="s">
        <v>55</v>
      </c>
      <c r="D1332" s="29" t="s">
        <v>2188</v>
      </c>
      <c r="E1332" s="29" t="s">
        <v>35</v>
      </c>
      <c r="F1332" s="29" t="s">
        <v>47</v>
      </c>
      <c r="G1332" s="29" t="s">
        <v>350</v>
      </c>
      <c r="H1332" s="29" t="s">
        <v>80</v>
      </c>
      <c r="I1332" s="29" t="s">
        <v>39</v>
      </c>
      <c r="J1332" s="29" t="s">
        <v>35</v>
      </c>
      <c r="K1332" s="29" t="s">
        <v>2464</v>
      </c>
      <c r="L1332" s="29" t="s">
        <v>2415</v>
      </c>
      <c r="M1332" s="29" t="s">
        <v>329</v>
      </c>
      <c r="N1332" s="29" t="s">
        <v>2465</v>
      </c>
      <c r="O1332" s="29" t="s">
        <v>51</v>
      </c>
      <c r="P1332" s="30" t="s">
        <v>2466</v>
      </c>
    </row>
    <row r="1333" s="25" customFormat="1" spans="1:16">
      <c r="A1333" s="29" t="s">
        <v>2464</v>
      </c>
      <c r="B1333" s="29" t="s">
        <v>2462</v>
      </c>
      <c r="C1333" s="29" t="s">
        <v>55</v>
      </c>
      <c r="D1333" s="29" t="s">
        <v>2188</v>
      </c>
      <c r="E1333" s="29" t="s">
        <v>35</v>
      </c>
      <c r="F1333" s="29" t="s">
        <v>47</v>
      </c>
      <c r="G1333" s="29" t="s">
        <v>350</v>
      </c>
      <c r="H1333" s="29" t="s">
        <v>80</v>
      </c>
      <c r="I1333" s="29" t="s">
        <v>39</v>
      </c>
      <c r="J1333" s="29" t="s">
        <v>47</v>
      </c>
      <c r="K1333" s="29" t="s">
        <v>2467</v>
      </c>
      <c r="L1333" s="29" t="s">
        <v>2419</v>
      </c>
      <c r="M1333" s="29" t="s">
        <v>329</v>
      </c>
      <c r="N1333" s="29" t="s">
        <v>2465</v>
      </c>
      <c r="O1333" s="29" t="s">
        <v>51</v>
      </c>
      <c r="P1333" s="30" t="s">
        <v>2468</v>
      </c>
    </row>
    <row r="1334" s="25" customFormat="1" spans="1:16">
      <c r="A1334" s="29" t="s">
        <v>2467</v>
      </c>
      <c r="B1334" s="29" t="s">
        <v>2462</v>
      </c>
      <c r="C1334" s="29" t="s">
        <v>55</v>
      </c>
      <c r="D1334" s="29" t="s">
        <v>2188</v>
      </c>
      <c r="E1334" s="29" t="s">
        <v>35</v>
      </c>
      <c r="F1334" s="29" t="s">
        <v>47</v>
      </c>
      <c r="G1334" s="29" t="s">
        <v>350</v>
      </c>
      <c r="H1334" s="29" t="s">
        <v>80</v>
      </c>
      <c r="I1334" s="29" t="s">
        <v>39</v>
      </c>
      <c r="J1334" s="29" t="s">
        <v>51</v>
      </c>
      <c r="K1334" s="29" t="s">
        <v>2469</v>
      </c>
      <c r="L1334" s="29" t="s">
        <v>2422</v>
      </c>
      <c r="M1334" s="29" t="s">
        <v>329</v>
      </c>
      <c r="N1334" s="29" t="s">
        <v>2465</v>
      </c>
      <c r="O1334" s="29" t="s">
        <v>51</v>
      </c>
      <c r="P1334" s="30" t="s">
        <v>2470</v>
      </c>
    </row>
    <row r="1335" s="25" customFormat="1" spans="1:16">
      <c r="A1335" s="29" t="s">
        <v>2469</v>
      </c>
      <c r="B1335" s="29" t="s">
        <v>2462</v>
      </c>
      <c r="C1335" s="29" t="s">
        <v>55</v>
      </c>
      <c r="D1335" s="29" t="s">
        <v>2188</v>
      </c>
      <c r="E1335" s="29" t="s">
        <v>35</v>
      </c>
      <c r="F1335" s="29" t="s">
        <v>47</v>
      </c>
      <c r="G1335" s="29" t="s">
        <v>350</v>
      </c>
      <c r="H1335" s="29" t="s">
        <v>80</v>
      </c>
      <c r="I1335" s="29" t="s">
        <v>39</v>
      </c>
      <c r="J1335" s="29" t="s">
        <v>55</v>
      </c>
      <c r="K1335" s="29" t="s">
        <v>2471</v>
      </c>
      <c r="L1335" s="29" t="s">
        <v>2424</v>
      </c>
      <c r="M1335" s="29" t="s">
        <v>329</v>
      </c>
      <c r="N1335" s="29" t="s">
        <v>2465</v>
      </c>
      <c r="O1335" s="29" t="s">
        <v>51</v>
      </c>
      <c r="P1335" s="30" t="s">
        <v>2472</v>
      </c>
    </row>
    <row r="1336" s="25" customFormat="1" spans="1:16">
      <c r="A1336" s="29" t="s">
        <v>2471</v>
      </c>
      <c r="B1336" s="29" t="s">
        <v>2462</v>
      </c>
      <c r="C1336" s="29" t="s">
        <v>55</v>
      </c>
      <c r="D1336" s="29" t="s">
        <v>2188</v>
      </c>
      <c r="E1336" s="29" t="s">
        <v>35</v>
      </c>
      <c r="F1336" s="29" t="s">
        <v>47</v>
      </c>
      <c r="G1336" s="29" t="s">
        <v>350</v>
      </c>
      <c r="H1336" s="29" t="s">
        <v>80</v>
      </c>
      <c r="I1336" s="29" t="s">
        <v>39</v>
      </c>
      <c r="J1336" s="29" t="s">
        <v>59</v>
      </c>
      <c r="K1336" s="29" t="s">
        <v>2473</v>
      </c>
      <c r="L1336" s="29" t="s">
        <v>2427</v>
      </c>
      <c r="M1336" s="29" t="s">
        <v>329</v>
      </c>
      <c r="N1336" s="29" t="s">
        <v>2465</v>
      </c>
      <c r="O1336" s="29" t="s">
        <v>51</v>
      </c>
      <c r="P1336" s="30" t="s">
        <v>2228</v>
      </c>
    </row>
    <row r="1337" s="25" customFormat="1" spans="1:16">
      <c r="A1337" s="29" t="s">
        <v>2473</v>
      </c>
      <c r="B1337" s="29" t="s">
        <v>2462</v>
      </c>
      <c r="C1337" s="29" t="s">
        <v>55</v>
      </c>
      <c r="D1337" s="29" t="s">
        <v>2188</v>
      </c>
      <c r="E1337" s="29" t="s">
        <v>35</v>
      </c>
      <c r="F1337" s="29" t="s">
        <v>47</v>
      </c>
      <c r="G1337" s="29" t="s">
        <v>350</v>
      </c>
      <c r="H1337" s="29" t="s">
        <v>80</v>
      </c>
      <c r="I1337" s="29" t="s">
        <v>39</v>
      </c>
      <c r="J1337" s="29" t="s">
        <v>129</v>
      </c>
      <c r="K1337" s="29" t="s">
        <v>2474</v>
      </c>
      <c r="L1337" s="29" t="s">
        <v>2430</v>
      </c>
      <c r="M1337" s="29" t="s">
        <v>329</v>
      </c>
      <c r="N1337" s="29" t="s">
        <v>2465</v>
      </c>
      <c r="O1337" s="29" t="s">
        <v>51</v>
      </c>
      <c r="P1337" s="30" t="s">
        <v>2475</v>
      </c>
    </row>
    <row r="1338" s="25" customFormat="1" spans="1:16">
      <c r="A1338" s="29" t="s">
        <v>2474</v>
      </c>
      <c r="B1338" s="29" t="s">
        <v>2462</v>
      </c>
      <c r="C1338" s="29" t="s">
        <v>55</v>
      </c>
      <c r="D1338" s="29" t="s">
        <v>2188</v>
      </c>
      <c r="E1338" s="29" t="s">
        <v>35</v>
      </c>
      <c r="F1338" s="29" t="s">
        <v>47</v>
      </c>
      <c r="G1338" s="29" t="s">
        <v>350</v>
      </c>
      <c r="H1338" s="29" t="s">
        <v>80</v>
      </c>
      <c r="I1338" s="29" t="s">
        <v>39</v>
      </c>
      <c r="J1338" s="29" t="s">
        <v>133</v>
      </c>
      <c r="K1338" s="29" t="s">
        <v>2476</v>
      </c>
      <c r="L1338" s="29" t="s">
        <v>2432</v>
      </c>
      <c r="M1338" s="29" t="s">
        <v>329</v>
      </c>
      <c r="N1338" s="29" t="s">
        <v>2465</v>
      </c>
      <c r="O1338" s="29" t="s">
        <v>51</v>
      </c>
      <c r="P1338" s="30" t="s">
        <v>2477</v>
      </c>
    </row>
    <row r="1339" s="25" customFormat="1" spans="1:16">
      <c r="A1339" s="29" t="s">
        <v>2476</v>
      </c>
      <c r="B1339" s="29" t="s">
        <v>2462</v>
      </c>
      <c r="C1339" s="29" t="s">
        <v>55</v>
      </c>
      <c r="D1339" s="29" t="s">
        <v>2188</v>
      </c>
      <c r="E1339" s="29" t="s">
        <v>35</v>
      </c>
      <c r="F1339" s="29" t="s">
        <v>47</v>
      </c>
      <c r="G1339" s="29" t="s">
        <v>350</v>
      </c>
      <c r="H1339" s="29" t="s">
        <v>80</v>
      </c>
      <c r="I1339" s="29" t="s">
        <v>39</v>
      </c>
      <c r="J1339" s="29" t="s">
        <v>137</v>
      </c>
      <c r="K1339" s="29" t="s">
        <v>2478</v>
      </c>
      <c r="L1339" s="29" t="s">
        <v>2435</v>
      </c>
      <c r="M1339" s="29" t="s">
        <v>329</v>
      </c>
      <c r="N1339" s="29" t="s">
        <v>2465</v>
      </c>
      <c r="O1339" s="29" t="s">
        <v>51</v>
      </c>
      <c r="P1339" s="30" t="s">
        <v>2479</v>
      </c>
    </row>
    <row r="1340" s="25" customFormat="1" spans="1:16">
      <c r="A1340" s="29" t="s">
        <v>2478</v>
      </c>
      <c r="B1340" s="29" t="s">
        <v>2462</v>
      </c>
      <c r="C1340" s="29" t="s">
        <v>55</v>
      </c>
      <c r="D1340" s="29" t="s">
        <v>2188</v>
      </c>
      <c r="E1340" s="29" t="s">
        <v>35</v>
      </c>
      <c r="F1340" s="29" t="s">
        <v>47</v>
      </c>
      <c r="G1340" s="29" t="s">
        <v>350</v>
      </c>
      <c r="H1340" s="29" t="s">
        <v>80</v>
      </c>
      <c r="I1340" s="29" t="s">
        <v>39</v>
      </c>
      <c r="J1340" s="29" t="s">
        <v>141</v>
      </c>
      <c r="K1340" s="29" t="s">
        <v>2480</v>
      </c>
      <c r="L1340" s="29" t="s">
        <v>2438</v>
      </c>
      <c r="M1340" s="29" t="s">
        <v>329</v>
      </c>
      <c r="N1340" s="29" t="s">
        <v>2465</v>
      </c>
      <c r="O1340" s="29" t="s">
        <v>51</v>
      </c>
      <c r="P1340" s="30" t="s">
        <v>2481</v>
      </c>
    </row>
    <row r="1341" s="25" customFormat="1" spans="1:16">
      <c r="A1341" s="29" t="s">
        <v>2480</v>
      </c>
      <c r="B1341" s="29" t="s">
        <v>2462</v>
      </c>
      <c r="C1341" s="29" t="s">
        <v>55</v>
      </c>
      <c r="D1341" s="29" t="s">
        <v>2188</v>
      </c>
      <c r="E1341" s="29" t="s">
        <v>35</v>
      </c>
      <c r="F1341" s="29" t="s">
        <v>47</v>
      </c>
      <c r="G1341" s="29" t="s">
        <v>350</v>
      </c>
      <c r="H1341" s="29" t="s">
        <v>80</v>
      </c>
      <c r="I1341" s="29" t="s">
        <v>39</v>
      </c>
      <c r="J1341" s="29" t="s">
        <v>145</v>
      </c>
      <c r="K1341" s="29" t="s">
        <v>39</v>
      </c>
      <c r="L1341" s="29" t="s">
        <v>39</v>
      </c>
      <c r="M1341" s="29" t="s">
        <v>39</v>
      </c>
      <c r="N1341" s="29" t="s">
        <v>2465</v>
      </c>
      <c r="O1341" s="29" t="s">
        <v>51</v>
      </c>
      <c r="P1341" s="30" t="s">
        <v>2482</v>
      </c>
    </row>
    <row r="1342" s="25" customFormat="1" spans="1:16">
      <c r="A1342" s="29" t="s">
        <v>2483</v>
      </c>
      <c r="B1342" s="29" t="s">
        <v>2483</v>
      </c>
      <c r="C1342" s="29" t="s">
        <v>55</v>
      </c>
      <c r="D1342" s="29" t="s">
        <v>2188</v>
      </c>
      <c r="E1342" s="29" t="s">
        <v>35</v>
      </c>
      <c r="F1342" s="29" t="s">
        <v>47</v>
      </c>
      <c r="G1342" s="29" t="s">
        <v>372</v>
      </c>
      <c r="H1342" s="29" t="s">
        <v>96</v>
      </c>
      <c r="I1342" s="29" t="s">
        <v>39</v>
      </c>
      <c r="J1342" s="29" t="s">
        <v>39</v>
      </c>
      <c r="K1342" s="29" t="s">
        <v>2484</v>
      </c>
      <c r="L1342" s="29" t="s">
        <v>2413</v>
      </c>
      <c r="M1342" s="29" t="s">
        <v>329</v>
      </c>
      <c r="N1342" s="29" t="s">
        <v>2232</v>
      </c>
      <c r="O1342" s="29" t="s">
        <v>55</v>
      </c>
      <c r="P1342" s="30" t="s">
        <v>2233</v>
      </c>
    </row>
    <row r="1343" s="25" customFormat="1" spans="1:16">
      <c r="A1343" s="29" t="s">
        <v>2484</v>
      </c>
      <c r="B1343" s="29" t="s">
        <v>2483</v>
      </c>
      <c r="C1343" s="29" t="s">
        <v>55</v>
      </c>
      <c r="D1343" s="29" t="s">
        <v>2188</v>
      </c>
      <c r="E1343" s="29" t="s">
        <v>35</v>
      </c>
      <c r="F1343" s="29" t="s">
        <v>47</v>
      </c>
      <c r="G1343" s="29" t="s">
        <v>372</v>
      </c>
      <c r="H1343" s="29" t="s">
        <v>96</v>
      </c>
      <c r="I1343" s="29" t="s">
        <v>39</v>
      </c>
      <c r="J1343" s="29" t="s">
        <v>35</v>
      </c>
      <c r="K1343" s="29" t="s">
        <v>2485</v>
      </c>
      <c r="L1343" s="29" t="s">
        <v>2415</v>
      </c>
      <c r="M1343" s="29" t="s">
        <v>329</v>
      </c>
      <c r="N1343" s="29" t="s">
        <v>2486</v>
      </c>
      <c r="O1343" s="29" t="s">
        <v>55</v>
      </c>
      <c r="P1343" s="30" t="s">
        <v>2487</v>
      </c>
    </row>
    <row r="1344" s="25" customFormat="1" spans="1:16">
      <c r="A1344" s="29" t="s">
        <v>2485</v>
      </c>
      <c r="B1344" s="29" t="s">
        <v>2483</v>
      </c>
      <c r="C1344" s="29" t="s">
        <v>55</v>
      </c>
      <c r="D1344" s="29" t="s">
        <v>2188</v>
      </c>
      <c r="E1344" s="29" t="s">
        <v>35</v>
      </c>
      <c r="F1344" s="29" t="s">
        <v>47</v>
      </c>
      <c r="G1344" s="29" t="s">
        <v>372</v>
      </c>
      <c r="H1344" s="29" t="s">
        <v>96</v>
      </c>
      <c r="I1344" s="29" t="s">
        <v>39</v>
      </c>
      <c r="J1344" s="29" t="s">
        <v>47</v>
      </c>
      <c r="K1344" s="29" t="s">
        <v>2488</v>
      </c>
      <c r="L1344" s="29" t="s">
        <v>2419</v>
      </c>
      <c r="M1344" s="29" t="s">
        <v>329</v>
      </c>
      <c r="N1344" s="29" t="s">
        <v>2486</v>
      </c>
      <c r="O1344" s="29" t="s">
        <v>55</v>
      </c>
      <c r="P1344" s="30" t="s">
        <v>2489</v>
      </c>
    </row>
    <row r="1345" s="25" customFormat="1" spans="1:16">
      <c r="A1345" s="29" t="s">
        <v>2488</v>
      </c>
      <c r="B1345" s="29" t="s">
        <v>2483</v>
      </c>
      <c r="C1345" s="29" t="s">
        <v>55</v>
      </c>
      <c r="D1345" s="29" t="s">
        <v>2188</v>
      </c>
      <c r="E1345" s="29" t="s">
        <v>35</v>
      </c>
      <c r="F1345" s="29" t="s">
        <v>47</v>
      </c>
      <c r="G1345" s="29" t="s">
        <v>372</v>
      </c>
      <c r="H1345" s="29" t="s">
        <v>96</v>
      </c>
      <c r="I1345" s="29" t="s">
        <v>39</v>
      </c>
      <c r="J1345" s="29" t="s">
        <v>51</v>
      </c>
      <c r="K1345" s="29" t="s">
        <v>2490</v>
      </c>
      <c r="L1345" s="29" t="s">
        <v>2422</v>
      </c>
      <c r="M1345" s="29" t="s">
        <v>329</v>
      </c>
      <c r="N1345" s="29" t="s">
        <v>2486</v>
      </c>
      <c r="O1345" s="29" t="s">
        <v>55</v>
      </c>
      <c r="P1345" s="30" t="s">
        <v>2491</v>
      </c>
    </row>
    <row r="1346" s="25" customFormat="1" spans="1:16">
      <c r="A1346" s="29" t="s">
        <v>2490</v>
      </c>
      <c r="B1346" s="29" t="s">
        <v>2483</v>
      </c>
      <c r="C1346" s="29" t="s">
        <v>55</v>
      </c>
      <c r="D1346" s="29" t="s">
        <v>2188</v>
      </c>
      <c r="E1346" s="29" t="s">
        <v>35</v>
      </c>
      <c r="F1346" s="29" t="s">
        <v>47</v>
      </c>
      <c r="G1346" s="29" t="s">
        <v>372</v>
      </c>
      <c r="H1346" s="29" t="s">
        <v>96</v>
      </c>
      <c r="I1346" s="29" t="s">
        <v>39</v>
      </c>
      <c r="J1346" s="29" t="s">
        <v>55</v>
      </c>
      <c r="K1346" s="29" t="s">
        <v>2492</v>
      </c>
      <c r="L1346" s="29" t="s">
        <v>2424</v>
      </c>
      <c r="M1346" s="29" t="s">
        <v>329</v>
      </c>
      <c r="N1346" s="29" t="s">
        <v>2486</v>
      </c>
      <c r="O1346" s="29" t="s">
        <v>55</v>
      </c>
      <c r="P1346" s="30" t="s">
        <v>2493</v>
      </c>
    </row>
    <row r="1347" s="25" customFormat="1" spans="1:16">
      <c r="A1347" s="29" t="s">
        <v>2492</v>
      </c>
      <c r="B1347" s="29" t="s">
        <v>2483</v>
      </c>
      <c r="C1347" s="29" t="s">
        <v>55</v>
      </c>
      <c r="D1347" s="29" t="s">
        <v>2188</v>
      </c>
      <c r="E1347" s="29" t="s">
        <v>35</v>
      </c>
      <c r="F1347" s="29" t="s">
        <v>47</v>
      </c>
      <c r="G1347" s="29" t="s">
        <v>372</v>
      </c>
      <c r="H1347" s="29" t="s">
        <v>96</v>
      </c>
      <c r="I1347" s="29" t="s">
        <v>39</v>
      </c>
      <c r="J1347" s="29" t="s">
        <v>59</v>
      </c>
      <c r="K1347" s="29" t="s">
        <v>2494</v>
      </c>
      <c r="L1347" s="29" t="s">
        <v>2427</v>
      </c>
      <c r="M1347" s="29" t="s">
        <v>329</v>
      </c>
      <c r="N1347" s="29" t="s">
        <v>2486</v>
      </c>
      <c r="O1347" s="29" t="s">
        <v>55</v>
      </c>
      <c r="P1347" s="30" t="s">
        <v>2495</v>
      </c>
    </row>
    <row r="1348" s="25" customFormat="1" spans="1:16">
      <c r="A1348" s="29" t="s">
        <v>2494</v>
      </c>
      <c r="B1348" s="29" t="s">
        <v>2483</v>
      </c>
      <c r="C1348" s="29" t="s">
        <v>55</v>
      </c>
      <c r="D1348" s="29" t="s">
        <v>2188</v>
      </c>
      <c r="E1348" s="29" t="s">
        <v>35</v>
      </c>
      <c r="F1348" s="29" t="s">
        <v>47</v>
      </c>
      <c r="G1348" s="29" t="s">
        <v>372</v>
      </c>
      <c r="H1348" s="29" t="s">
        <v>96</v>
      </c>
      <c r="I1348" s="29" t="s">
        <v>39</v>
      </c>
      <c r="J1348" s="29" t="s">
        <v>129</v>
      </c>
      <c r="K1348" s="29" t="s">
        <v>2496</v>
      </c>
      <c r="L1348" s="29" t="s">
        <v>2430</v>
      </c>
      <c r="M1348" s="29" t="s">
        <v>329</v>
      </c>
      <c r="N1348" s="29" t="s">
        <v>2486</v>
      </c>
      <c r="O1348" s="29" t="s">
        <v>55</v>
      </c>
      <c r="P1348" s="30" t="s">
        <v>2243</v>
      </c>
    </row>
    <row r="1349" s="25" customFormat="1" spans="1:16">
      <c r="A1349" s="29" t="s">
        <v>2496</v>
      </c>
      <c r="B1349" s="29" t="s">
        <v>2483</v>
      </c>
      <c r="C1349" s="29" t="s">
        <v>55</v>
      </c>
      <c r="D1349" s="29" t="s">
        <v>2188</v>
      </c>
      <c r="E1349" s="29" t="s">
        <v>35</v>
      </c>
      <c r="F1349" s="29" t="s">
        <v>47</v>
      </c>
      <c r="G1349" s="29" t="s">
        <v>372</v>
      </c>
      <c r="H1349" s="29" t="s">
        <v>96</v>
      </c>
      <c r="I1349" s="29" t="s">
        <v>39</v>
      </c>
      <c r="J1349" s="29" t="s">
        <v>133</v>
      </c>
      <c r="K1349" s="29" t="s">
        <v>2497</v>
      </c>
      <c r="L1349" s="29" t="s">
        <v>2432</v>
      </c>
      <c r="M1349" s="29" t="s">
        <v>329</v>
      </c>
      <c r="N1349" s="29" t="s">
        <v>2486</v>
      </c>
      <c r="O1349" s="29" t="s">
        <v>55</v>
      </c>
      <c r="P1349" s="30" t="s">
        <v>2498</v>
      </c>
    </row>
    <row r="1350" s="25" customFormat="1" spans="1:16">
      <c r="A1350" s="29" t="s">
        <v>2497</v>
      </c>
      <c r="B1350" s="29" t="s">
        <v>2483</v>
      </c>
      <c r="C1350" s="29" t="s">
        <v>55</v>
      </c>
      <c r="D1350" s="29" t="s">
        <v>2188</v>
      </c>
      <c r="E1350" s="29" t="s">
        <v>35</v>
      </c>
      <c r="F1350" s="29" t="s">
        <v>47</v>
      </c>
      <c r="G1350" s="29" t="s">
        <v>372</v>
      </c>
      <c r="H1350" s="29" t="s">
        <v>96</v>
      </c>
      <c r="I1350" s="29" t="s">
        <v>39</v>
      </c>
      <c r="J1350" s="29" t="s">
        <v>137</v>
      </c>
      <c r="K1350" s="29" t="s">
        <v>2499</v>
      </c>
      <c r="L1350" s="29" t="s">
        <v>2435</v>
      </c>
      <c r="M1350" s="29" t="s">
        <v>329</v>
      </c>
      <c r="N1350" s="29" t="s">
        <v>2486</v>
      </c>
      <c r="O1350" s="29" t="s">
        <v>55</v>
      </c>
      <c r="P1350" s="30" t="s">
        <v>2500</v>
      </c>
    </row>
    <row r="1351" s="25" customFormat="1" spans="1:16">
      <c r="A1351" s="29" t="s">
        <v>2499</v>
      </c>
      <c r="B1351" s="29" t="s">
        <v>2483</v>
      </c>
      <c r="C1351" s="29" t="s">
        <v>55</v>
      </c>
      <c r="D1351" s="29" t="s">
        <v>2188</v>
      </c>
      <c r="E1351" s="29" t="s">
        <v>35</v>
      </c>
      <c r="F1351" s="29" t="s">
        <v>47</v>
      </c>
      <c r="G1351" s="29" t="s">
        <v>372</v>
      </c>
      <c r="H1351" s="29" t="s">
        <v>96</v>
      </c>
      <c r="I1351" s="29" t="s">
        <v>39</v>
      </c>
      <c r="J1351" s="29" t="s">
        <v>141</v>
      </c>
      <c r="K1351" s="29" t="s">
        <v>2501</v>
      </c>
      <c r="L1351" s="29" t="s">
        <v>2438</v>
      </c>
      <c r="M1351" s="29" t="s">
        <v>329</v>
      </c>
      <c r="N1351" s="29" t="s">
        <v>2486</v>
      </c>
      <c r="O1351" s="29" t="s">
        <v>55</v>
      </c>
      <c r="P1351" s="30" t="s">
        <v>2502</v>
      </c>
    </row>
    <row r="1352" s="25" customFormat="1" spans="1:16">
      <c r="A1352" s="29" t="s">
        <v>2501</v>
      </c>
      <c r="B1352" s="29" t="s">
        <v>2483</v>
      </c>
      <c r="C1352" s="29" t="s">
        <v>55</v>
      </c>
      <c r="D1352" s="29" t="s">
        <v>2188</v>
      </c>
      <c r="E1352" s="29" t="s">
        <v>35</v>
      </c>
      <c r="F1352" s="29" t="s">
        <v>47</v>
      </c>
      <c r="G1352" s="29" t="s">
        <v>372</v>
      </c>
      <c r="H1352" s="29" t="s">
        <v>96</v>
      </c>
      <c r="I1352" s="29" t="s">
        <v>39</v>
      </c>
      <c r="J1352" s="29" t="s">
        <v>145</v>
      </c>
      <c r="K1352" s="29" t="s">
        <v>39</v>
      </c>
      <c r="L1352" s="29" t="s">
        <v>39</v>
      </c>
      <c r="M1352" s="29" t="s">
        <v>39</v>
      </c>
      <c r="N1352" s="29" t="s">
        <v>2486</v>
      </c>
      <c r="O1352" s="29" t="s">
        <v>55</v>
      </c>
      <c r="P1352" s="30" t="s">
        <v>2503</v>
      </c>
    </row>
    <row r="1353" s="25" customFormat="1" spans="1:16">
      <c r="A1353" s="29" t="s">
        <v>2504</v>
      </c>
      <c r="B1353" s="29" t="s">
        <v>2504</v>
      </c>
      <c r="C1353" s="29" t="s">
        <v>55</v>
      </c>
      <c r="D1353" s="29" t="s">
        <v>2188</v>
      </c>
      <c r="E1353" s="29" t="s">
        <v>35</v>
      </c>
      <c r="F1353" s="29" t="s">
        <v>47</v>
      </c>
      <c r="G1353" s="29" t="s">
        <v>394</v>
      </c>
      <c r="H1353" s="29" t="s">
        <v>112</v>
      </c>
      <c r="I1353" s="29" t="s">
        <v>39</v>
      </c>
      <c r="J1353" s="29" t="s">
        <v>39</v>
      </c>
      <c r="K1353" s="29" t="s">
        <v>2505</v>
      </c>
      <c r="L1353" s="29" t="s">
        <v>2413</v>
      </c>
      <c r="M1353" s="29" t="s">
        <v>396</v>
      </c>
      <c r="N1353" s="29" t="s">
        <v>2506</v>
      </c>
      <c r="O1353" s="29" t="s">
        <v>59</v>
      </c>
      <c r="P1353" s="30" t="s">
        <v>2247</v>
      </c>
    </row>
    <row r="1354" s="25" customFormat="1" spans="1:16">
      <c r="A1354" s="29" t="s">
        <v>2505</v>
      </c>
      <c r="B1354" s="29" t="s">
        <v>2504</v>
      </c>
      <c r="C1354" s="29" t="s">
        <v>55</v>
      </c>
      <c r="D1354" s="29" t="s">
        <v>2188</v>
      </c>
      <c r="E1354" s="29" t="s">
        <v>35</v>
      </c>
      <c r="F1354" s="29" t="s">
        <v>47</v>
      </c>
      <c r="G1354" s="29" t="s">
        <v>394</v>
      </c>
      <c r="H1354" s="29" t="s">
        <v>112</v>
      </c>
      <c r="I1354" s="29" t="s">
        <v>39</v>
      </c>
      <c r="J1354" s="29" t="s">
        <v>35</v>
      </c>
      <c r="K1354" s="29" t="s">
        <v>2507</v>
      </c>
      <c r="L1354" s="29" t="s">
        <v>2415</v>
      </c>
      <c r="M1354" s="29" t="s">
        <v>396</v>
      </c>
      <c r="N1354" s="29" t="s">
        <v>2508</v>
      </c>
      <c r="O1354" s="29" t="s">
        <v>59</v>
      </c>
      <c r="P1354" s="30" t="s">
        <v>2250</v>
      </c>
    </row>
    <row r="1355" s="25" customFormat="1" spans="1:16">
      <c r="A1355" s="29" t="s">
        <v>2507</v>
      </c>
      <c r="B1355" s="29" t="s">
        <v>2504</v>
      </c>
      <c r="C1355" s="29" t="s">
        <v>55</v>
      </c>
      <c r="D1355" s="29" t="s">
        <v>2188</v>
      </c>
      <c r="E1355" s="29" t="s">
        <v>35</v>
      </c>
      <c r="F1355" s="29" t="s">
        <v>47</v>
      </c>
      <c r="G1355" s="29" t="s">
        <v>394</v>
      </c>
      <c r="H1355" s="29" t="s">
        <v>112</v>
      </c>
      <c r="I1355" s="29" t="s">
        <v>39</v>
      </c>
      <c r="J1355" s="29" t="s">
        <v>47</v>
      </c>
      <c r="K1355" s="29" t="s">
        <v>2509</v>
      </c>
      <c r="L1355" s="29" t="s">
        <v>2419</v>
      </c>
      <c r="M1355" s="29" t="s">
        <v>396</v>
      </c>
      <c r="N1355" s="29" t="s">
        <v>2508</v>
      </c>
      <c r="O1355" s="29" t="s">
        <v>59</v>
      </c>
      <c r="P1355" s="30" t="s">
        <v>2252</v>
      </c>
    </row>
    <row r="1356" s="25" customFormat="1" spans="1:16">
      <c r="A1356" s="29" t="s">
        <v>2509</v>
      </c>
      <c r="B1356" s="29" t="s">
        <v>2504</v>
      </c>
      <c r="C1356" s="29" t="s">
        <v>55</v>
      </c>
      <c r="D1356" s="29" t="s">
        <v>2188</v>
      </c>
      <c r="E1356" s="29" t="s">
        <v>35</v>
      </c>
      <c r="F1356" s="29" t="s">
        <v>47</v>
      </c>
      <c r="G1356" s="29" t="s">
        <v>394</v>
      </c>
      <c r="H1356" s="29" t="s">
        <v>112</v>
      </c>
      <c r="I1356" s="29" t="s">
        <v>39</v>
      </c>
      <c r="J1356" s="29" t="s">
        <v>51</v>
      </c>
      <c r="K1356" s="29" t="s">
        <v>2510</v>
      </c>
      <c r="L1356" s="29" t="s">
        <v>2422</v>
      </c>
      <c r="M1356" s="29" t="s">
        <v>396</v>
      </c>
      <c r="N1356" s="29" t="s">
        <v>2508</v>
      </c>
      <c r="O1356" s="29" t="s">
        <v>59</v>
      </c>
      <c r="P1356" s="30" t="s">
        <v>2254</v>
      </c>
    </row>
    <row r="1357" s="25" customFormat="1" spans="1:16">
      <c r="A1357" s="29" t="s">
        <v>2510</v>
      </c>
      <c r="B1357" s="29" t="s">
        <v>2504</v>
      </c>
      <c r="C1357" s="29" t="s">
        <v>55</v>
      </c>
      <c r="D1357" s="29" t="s">
        <v>2188</v>
      </c>
      <c r="E1357" s="29" t="s">
        <v>35</v>
      </c>
      <c r="F1357" s="29" t="s">
        <v>47</v>
      </c>
      <c r="G1357" s="29" t="s">
        <v>394</v>
      </c>
      <c r="H1357" s="29" t="s">
        <v>112</v>
      </c>
      <c r="I1357" s="29" t="s">
        <v>39</v>
      </c>
      <c r="J1357" s="29" t="s">
        <v>55</v>
      </c>
      <c r="K1357" s="29" t="s">
        <v>2511</v>
      </c>
      <c r="L1357" s="29" t="s">
        <v>2424</v>
      </c>
      <c r="M1357" s="29" t="s">
        <v>396</v>
      </c>
      <c r="N1357" s="29" t="s">
        <v>2508</v>
      </c>
      <c r="O1357" s="29" t="s">
        <v>59</v>
      </c>
      <c r="P1357" s="30" t="s">
        <v>2256</v>
      </c>
    </row>
    <row r="1358" s="25" customFormat="1" spans="1:16">
      <c r="A1358" s="29" t="s">
        <v>2511</v>
      </c>
      <c r="B1358" s="29" t="s">
        <v>2504</v>
      </c>
      <c r="C1358" s="29" t="s">
        <v>55</v>
      </c>
      <c r="D1358" s="29" t="s">
        <v>2188</v>
      </c>
      <c r="E1358" s="29" t="s">
        <v>35</v>
      </c>
      <c r="F1358" s="29" t="s">
        <v>47</v>
      </c>
      <c r="G1358" s="29" t="s">
        <v>394</v>
      </c>
      <c r="H1358" s="29" t="s">
        <v>112</v>
      </c>
      <c r="I1358" s="29" t="s">
        <v>39</v>
      </c>
      <c r="J1358" s="29" t="s">
        <v>59</v>
      </c>
      <c r="K1358" s="29" t="s">
        <v>2512</v>
      </c>
      <c r="L1358" s="29" t="s">
        <v>2427</v>
      </c>
      <c r="M1358" s="29" t="s">
        <v>396</v>
      </c>
      <c r="N1358" s="29" t="s">
        <v>2508</v>
      </c>
      <c r="O1358" s="29" t="s">
        <v>59</v>
      </c>
      <c r="P1358" s="30" t="s">
        <v>2259</v>
      </c>
    </row>
    <row r="1359" s="25" customFormat="1" spans="1:16">
      <c r="A1359" s="29" t="s">
        <v>2512</v>
      </c>
      <c r="B1359" s="29" t="s">
        <v>2504</v>
      </c>
      <c r="C1359" s="29" t="s">
        <v>55</v>
      </c>
      <c r="D1359" s="29" t="s">
        <v>2188</v>
      </c>
      <c r="E1359" s="29" t="s">
        <v>35</v>
      </c>
      <c r="F1359" s="29" t="s">
        <v>47</v>
      </c>
      <c r="G1359" s="29" t="s">
        <v>394</v>
      </c>
      <c r="H1359" s="29" t="s">
        <v>112</v>
      </c>
      <c r="I1359" s="29" t="s">
        <v>39</v>
      </c>
      <c r="J1359" s="29" t="s">
        <v>129</v>
      </c>
      <c r="K1359" s="29" t="s">
        <v>2513</v>
      </c>
      <c r="L1359" s="29" t="s">
        <v>2430</v>
      </c>
      <c r="M1359" s="29" t="s">
        <v>396</v>
      </c>
      <c r="N1359" s="29" t="s">
        <v>2508</v>
      </c>
      <c r="O1359" s="29" t="s">
        <v>59</v>
      </c>
      <c r="P1359" s="30" t="s">
        <v>2262</v>
      </c>
    </row>
    <row r="1360" s="25" customFormat="1" spans="1:16">
      <c r="A1360" s="29" t="s">
        <v>2513</v>
      </c>
      <c r="B1360" s="29" t="s">
        <v>2504</v>
      </c>
      <c r="C1360" s="29" t="s">
        <v>55</v>
      </c>
      <c r="D1360" s="29" t="s">
        <v>2188</v>
      </c>
      <c r="E1360" s="29" t="s">
        <v>35</v>
      </c>
      <c r="F1360" s="29" t="s">
        <v>47</v>
      </c>
      <c r="G1360" s="29" t="s">
        <v>394</v>
      </c>
      <c r="H1360" s="29" t="s">
        <v>112</v>
      </c>
      <c r="I1360" s="29" t="s">
        <v>39</v>
      </c>
      <c r="J1360" s="29" t="s">
        <v>133</v>
      </c>
      <c r="K1360" s="29" t="s">
        <v>2514</v>
      </c>
      <c r="L1360" s="29" t="s">
        <v>2432</v>
      </c>
      <c r="M1360" s="29" t="s">
        <v>396</v>
      </c>
      <c r="N1360" s="29" t="s">
        <v>2508</v>
      </c>
      <c r="O1360" s="29" t="s">
        <v>59</v>
      </c>
      <c r="P1360" s="30" t="s">
        <v>2265</v>
      </c>
    </row>
    <row r="1361" s="25" customFormat="1" spans="1:16">
      <c r="A1361" s="29" t="s">
        <v>2514</v>
      </c>
      <c r="B1361" s="29" t="s">
        <v>2504</v>
      </c>
      <c r="C1361" s="29" t="s">
        <v>55</v>
      </c>
      <c r="D1361" s="29" t="s">
        <v>2188</v>
      </c>
      <c r="E1361" s="29" t="s">
        <v>35</v>
      </c>
      <c r="F1361" s="29" t="s">
        <v>47</v>
      </c>
      <c r="G1361" s="29" t="s">
        <v>394</v>
      </c>
      <c r="H1361" s="29" t="s">
        <v>112</v>
      </c>
      <c r="I1361" s="29" t="s">
        <v>39</v>
      </c>
      <c r="J1361" s="29" t="s">
        <v>137</v>
      </c>
      <c r="K1361" s="29" t="s">
        <v>2515</v>
      </c>
      <c r="L1361" s="29" t="s">
        <v>2435</v>
      </c>
      <c r="M1361" s="29" t="s">
        <v>396</v>
      </c>
      <c r="N1361" s="29" t="s">
        <v>2508</v>
      </c>
      <c r="O1361" s="29" t="s">
        <v>59</v>
      </c>
      <c r="P1361" s="30" t="s">
        <v>2268</v>
      </c>
    </row>
    <row r="1362" s="25" customFormat="1" spans="1:16">
      <c r="A1362" s="29" t="s">
        <v>2515</v>
      </c>
      <c r="B1362" s="29" t="s">
        <v>2504</v>
      </c>
      <c r="C1362" s="29" t="s">
        <v>55</v>
      </c>
      <c r="D1362" s="29" t="s">
        <v>2188</v>
      </c>
      <c r="E1362" s="29" t="s">
        <v>35</v>
      </c>
      <c r="F1362" s="29" t="s">
        <v>47</v>
      </c>
      <c r="G1362" s="29" t="s">
        <v>394</v>
      </c>
      <c r="H1362" s="29" t="s">
        <v>112</v>
      </c>
      <c r="I1362" s="29" t="s">
        <v>39</v>
      </c>
      <c r="J1362" s="29" t="s">
        <v>141</v>
      </c>
      <c r="K1362" s="29" t="s">
        <v>2516</v>
      </c>
      <c r="L1362" s="29" t="s">
        <v>2438</v>
      </c>
      <c r="M1362" s="29" t="s">
        <v>396</v>
      </c>
      <c r="N1362" s="29" t="s">
        <v>2508</v>
      </c>
      <c r="O1362" s="29" t="s">
        <v>59</v>
      </c>
      <c r="P1362" s="30" t="s">
        <v>2271</v>
      </c>
    </row>
    <row r="1363" s="25" customFormat="1" spans="1:16">
      <c r="A1363" s="29" t="s">
        <v>2516</v>
      </c>
      <c r="B1363" s="29" t="s">
        <v>2504</v>
      </c>
      <c r="C1363" s="29" t="s">
        <v>55</v>
      </c>
      <c r="D1363" s="29" t="s">
        <v>2188</v>
      </c>
      <c r="E1363" s="29" t="s">
        <v>35</v>
      </c>
      <c r="F1363" s="29" t="s">
        <v>47</v>
      </c>
      <c r="G1363" s="29" t="s">
        <v>394</v>
      </c>
      <c r="H1363" s="29" t="s">
        <v>112</v>
      </c>
      <c r="I1363" s="29" t="s">
        <v>39</v>
      </c>
      <c r="J1363" s="29" t="s">
        <v>145</v>
      </c>
      <c r="K1363" s="29" t="s">
        <v>2517</v>
      </c>
      <c r="L1363" s="29" t="s">
        <v>2518</v>
      </c>
      <c r="M1363" s="29" t="s">
        <v>396</v>
      </c>
      <c r="N1363" s="29" t="s">
        <v>2508</v>
      </c>
      <c r="O1363" s="29" t="s">
        <v>59</v>
      </c>
      <c r="P1363" s="30" t="s">
        <v>2272</v>
      </c>
    </row>
    <row r="1364" s="25" customFormat="1" spans="1:16">
      <c r="A1364" s="29" t="s">
        <v>2517</v>
      </c>
      <c r="B1364" s="29" t="s">
        <v>2504</v>
      </c>
      <c r="C1364" s="29" t="s">
        <v>55</v>
      </c>
      <c r="D1364" s="29" t="s">
        <v>2188</v>
      </c>
      <c r="E1364" s="29" t="s">
        <v>35</v>
      </c>
      <c r="F1364" s="29" t="s">
        <v>47</v>
      </c>
      <c r="G1364" s="29" t="s">
        <v>394</v>
      </c>
      <c r="H1364" s="29" t="s">
        <v>112</v>
      </c>
      <c r="I1364" s="29" t="s">
        <v>39</v>
      </c>
      <c r="J1364" s="29" t="s">
        <v>408</v>
      </c>
      <c r="K1364" s="29" t="s">
        <v>2519</v>
      </c>
      <c r="L1364" s="29" t="s">
        <v>2520</v>
      </c>
      <c r="M1364" s="29" t="s">
        <v>396</v>
      </c>
      <c r="N1364" s="29" t="s">
        <v>2508</v>
      </c>
      <c r="O1364" s="29" t="s">
        <v>59</v>
      </c>
      <c r="P1364" s="30" t="s">
        <v>2521</v>
      </c>
    </row>
    <row r="1365" s="25" customFormat="1" spans="1:16">
      <c r="A1365" s="29" t="s">
        <v>2519</v>
      </c>
      <c r="B1365" s="29" t="s">
        <v>2504</v>
      </c>
      <c r="C1365" s="29" t="s">
        <v>55</v>
      </c>
      <c r="D1365" s="29" t="s">
        <v>2188</v>
      </c>
      <c r="E1365" s="29" t="s">
        <v>35</v>
      </c>
      <c r="F1365" s="29" t="s">
        <v>47</v>
      </c>
      <c r="G1365" s="29" t="s">
        <v>394</v>
      </c>
      <c r="H1365" s="29" t="s">
        <v>112</v>
      </c>
      <c r="I1365" s="29" t="s">
        <v>39</v>
      </c>
      <c r="J1365" s="29" t="s">
        <v>412</v>
      </c>
      <c r="K1365" s="29" t="s">
        <v>2522</v>
      </c>
      <c r="L1365" s="29" t="s">
        <v>2523</v>
      </c>
      <c r="M1365" s="29" t="s">
        <v>396</v>
      </c>
      <c r="N1365" s="29" t="s">
        <v>2508</v>
      </c>
      <c r="O1365" s="29" t="s">
        <v>59</v>
      </c>
      <c r="P1365" s="30" t="s">
        <v>2524</v>
      </c>
    </row>
    <row r="1366" s="25" customFormat="1" spans="1:16">
      <c r="A1366" s="29" t="s">
        <v>2522</v>
      </c>
      <c r="B1366" s="29" t="s">
        <v>2504</v>
      </c>
      <c r="C1366" s="29" t="s">
        <v>55</v>
      </c>
      <c r="D1366" s="29" t="s">
        <v>2188</v>
      </c>
      <c r="E1366" s="29" t="s">
        <v>35</v>
      </c>
      <c r="F1366" s="29" t="s">
        <v>47</v>
      </c>
      <c r="G1366" s="29" t="s">
        <v>394</v>
      </c>
      <c r="H1366" s="29" t="s">
        <v>112</v>
      </c>
      <c r="I1366" s="29" t="s">
        <v>39</v>
      </c>
      <c r="J1366" s="29" t="s">
        <v>416</v>
      </c>
      <c r="K1366" s="29" t="s">
        <v>2525</v>
      </c>
      <c r="L1366" s="29" t="s">
        <v>2526</v>
      </c>
      <c r="M1366" s="29" t="s">
        <v>396</v>
      </c>
      <c r="N1366" s="29" t="s">
        <v>2508</v>
      </c>
      <c r="O1366" s="29" t="s">
        <v>59</v>
      </c>
      <c r="P1366" s="30" t="s">
        <v>2527</v>
      </c>
    </row>
    <row r="1367" s="25" customFormat="1" spans="1:16">
      <c r="A1367" s="29" t="s">
        <v>2525</v>
      </c>
      <c r="B1367" s="29" t="s">
        <v>2504</v>
      </c>
      <c r="C1367" s="29" t="s">
        <v>55</v>
      </c>
      <c r="D1367" s="29" t="s">
        <v>2188</v>
      </c>
      <c r="E1367" s="29" t="s">
        <v>35</v>
      </c>
      <c r="F1367" s="29" t="s">
        <v>47</v>
      </c>
      <c r="G1367" s="29" t="s">
        <v>394</v>
      </c>
      <c r="H1367" s="29" t="s">
        <v>112</v>
      </c>
      <c r="I1367" s="29" t="s">
        <v>39</v>
      </c>
      <c r="J1367" s="29" t="s">
        <v>420</v>
      </c>
      <c r="K1367" s="29" t="s">
        <v>2528</v>
      </c>
      <c r="L1367" s="29" t="s">
        <v>2529</v>
      </c>
      <c r="M1367" s="29" t="s">
        <v>396</v>
      </c>
      <c r="N1367" s="29" t="s">
        <v>2508</v>
      </c>
      <c r="O1367" s="29" t="s">
        <v>59</v>
      </c>
      <c r="P1367" s="30" t="s">
        <v>2530</v>
      </c>
    </row>
    <row r="1368" s="25" customFormat="1" spans="1:16">
      <c r="A1368" s="29" t="s">
        <v>2528</v>
      </c>
      <c r="B1368" s="29" t="s">
        <v>2504</v>
      </c>
      <c r="C1368" s="29" t="s">
        <v>55</v>
      </c>
      <c r="D1368" s="29" t="s">
        <v>2188</v>
      </c>
      <c r="E1368" s="29" t="s">
        <v>35</v>
      </c>
      <c r="F1368" s="29" t="s">
        <v>47</v>
      </c>
      <c r="G1368" s="29" t="s">
        <v>394</v>
      </c>
      <c r="H1368" s="29" t="s">
        <v>112</v>
      </c>
      <c r="I1368" s="29" t="s">
        <v>39</v>
      </c>
      <c r="J1368" s="29" t="s">
        <v>424</v>
      </c>
      <c r="K1368" s="29" t="s">
        <v>39</v>
      </c>
      <c r="L1368" s="29" t="s">
        <v>39</v>
      </c>
      <c r="M1368" s="29" t="s">
        <v>39</v>
      </c>
      <c r="N1368" s="29" t="s">
        <v>2508</v>
      </c>
      <c r="O1368" s="29" t="s">
        <v>59</v>
      </c>
      <c r="P1368" s="30" t="s">
        <v>2531</v>
      </c>
    </row>
    <row r="1369" s="25" customFormat="1" spans="1:16">
      <c r="A1369" s="29" t="s">
        <v>2532</v>
      </c>
      <c r="B1369" s="29" t="s">
        <v>2532</v>
      </c>
      <c r="C1369" s="29" t="s">
        <v>55</v>
      </c>
      <c r="D1369" s="29" t="s">
        <v>2188</v>
      </c>
      <c r="E1369" s="29" t="s">
        <v>35</v>
      </c>
      <c r="F1369" s="29" t="s">
        <v>47</v>
      </c>
      <c r="G1369" s="29" t="s">
        <v>427</v>
      </c>
      <c r="H1369" s="29" t="s">
        <v>149</v>
      </c>
      <c r="I1369" s="29" t="s">
        <v>39</v>
      </c>
      <c r="J1369" s="29" t="s">
        <v>39</v>
      </c>
      <c r="K1369" s="29" t="s">
        <v>2533</v>
      </c>
      <c r="L1369" s="29" t="s">
        <v>2413</v>
      </c>
      <c r="M1369" s="29" t="s">
        <v>429</v>
      </c>
      <c r="N1369" s="29" t="s">
        <v>2275</v>
      </c>
      <c r="O1369" s="29" t="s">
        <v>129</v>
      </c>
      <c r="P1369" s="30" t="s">
        <v>2276</v>
      </c>
    </row>
    <row r="1370" s="25" customFormat="1" spans="1:16">
      <c r="A1370" s="29" t="s">
        <v>2533</v>
      </c>
      <c r="B1370" s="29" t="s">
        <v>2532</v>
      </c>
      <c r="C1370" s="29" t="s">
        <v>55</v>
      </c>
      <c r="D1370" s="29" t="s">
        <v>2188</v>
      </c>
      <c r="E1370" s="29" t="s">
        <v>35</v>
      </c>
      <c r="F1370" s="29" t="s">
        <v>47</v>
      </c>
      <c r="G1370" s="29" t="s">
        <v>427</v>
      </c>
      <c r="H1370" s="29" t="s">
        <v>149</v>
      </c>
      <c r="I1370" s="29" t="s">
        <v>39</v>
      </c>
      <c r="J1370" s="29" t="s">
        <v>35</v>
      </c>
      <c r="K1370" s="29" t="s">
        <v>2534</v>
      </c>
      <c r="L1370" s="29" t="s">
        <v>2415</v>
      </c>
      <c r="M1370" s="29" t="s">
        <v>429</v>
      </c>
      <c r="N1370" s="29" t="s">
        <v>2278</v>
      </c>
      <c r="O1370" s="29" t="s">
        <v>129</v>
      </c>
      <c r="P1370" s="30" t="s">
        <v>2279</v>
      </c>
    </row>
    <row r="1371" s="25" customFormat="1" spans="1:16">
      <c r="A1371" s="29" t="s">
        <v>2534</v>
      </c>
      <c r="B1371" s="29" t="s">
        <v>2532</v>
      </c>
      <c r="C1371" s="29" t="s">
        <v>55</v>
      </c>
      <c r="D1371" s="29" t="s">
        <v>2188</v>
      </c>
      <c r="E1371" s="29" t="s">
        <v>35</v>
      </c>
      <c r="F1371" s="29" t="s">
        <v>47</v>
      </c>
      <c r="G1371" s="29" t="s">
        <v>427</v>
      </c>
      <c r="H1371" s="29" t="s">
        <v>149</v>
      </c>
      <c r="I1371" s="29" t="s">
        <v>39</v>
      </c>
      <c r="J1371" s="29" t="s">
        <v>47</v>
      </c>
      <c r="K1371" s="29" t="s">
        <v>2535</v>
      </c>
      <c r="L1371" s="29" t="s">
        <v>2419</v>
      </c>
      <c r="M1371" s="29" t="s">
        <v>429</v>
      </c>
      <c r="N1371" s="29" t="s">
        <v>2278</v>
      </c>
      <c r="O1371" s="29" t="s">
        <v>129</v>
      </c>
      <c r="P1371" s="30" t="s">
        <v>2281</v>
      </c>
    </row>
    <row r="1372" s="25" customFormat="1" spans="1:16">
      <c r="A1372" s="29" t="s">
        <v>2535</v>
      </c>
      <c r="B1372" s="29" t="s">
        <v>2532</v>
      </c>
      <c r="C1372" s="29" t="s">
        <v>55</v>
      </c>
      <c r="D1372" s="29" t="s">
        <v>2188</v>
      </c>
      <c r="E1372" s="29" t="s">
        <v>35</v>
      </c>
      <c r="F1372" s="29" t="s">
        <v>47</v>
      </c>
      <c r="G1372" s="29" t="s">
        <v>427</v>
      </c>
      <c r="H1372" s="29" t="s">
        <v>149</v>
      </c>
      <c r="I1372" s="29" t="s">
        <v>39</v>
      </c>
      <c r="J1372" s="29" t="s">
        <v>51</v>
      </c>
      <c r="K1372" s="29" t="s">
        <v>2536</v>
      </c>
      <c r="L1372" s="29" t="s">
        <v>2422</v>
      </c>
      <c r="M1372" s="29" t="s">
        <v>429</v>
      </c>
      <c r="N1372" s="29" t="s">
        <v>2278</v>
      </c>
      <c r="O1372" s="29" t="s">
        <v>129</v>
      </c>
      <c r="P1372" s="30" t="s">
        <v>2283</v>
      </c>
    </row>
    <row r="1373" s="25" customFormat="1" spans="1:16">
      <c r="A1373" s="29" t="s">
        <v>2536</v>
      </c>
      <c r="B1373" s="29" t="s">
        <v>2532</v>
      </c>
      <c r="C1373" s="29" t="s">
        <v>55</v>
      </c>
      <c r="D1373" s="29" t="s">
        <v>2188</v>
      </c>
      <c r="E1373" s="29" t="s">
        <v>35</v>
      </c>
      <c r="F1373" s="29" t="s">
        <v>47</v>
      </c>
      <c r="G1373" s="29" t="s">
        <v>427</v>
      </c>
      <c r="H1373" s="29" t="s">
        <v>149</v>
      </c>
      <c r="I1373" s="29" t="s">
        <v>39</v>
      </c>
      <c r="J1373" s="29" t="s">
        <v>55</v>
      </c>
      <c r="K1373" s="29" t="s">
        <v>2537</v>
      </c>
      <c r="L1373" s="29" t="s">
        <v>2424</v>
      </c>
      <c r="M1373" s="29" t="s">
        <v>429</v>
      </c>
      <c r="N1373" s="29" t="s">
        <v>2278</v>
      </c>
      <c r="O1373" s="29" t="s">
        <v>129</v>
      </c>
      <c r="P1373" s="30" t="s">
        <v>2285</v>
      </c>
    </row>
    <row r="1374" s="25" customFormat="1" spans="1:16">
      <c r="A1374" s="29" t="s">
        <v>2537</v>
      </c>
      <c r="B1374" s="29" t="s">
        <v>2532</v>
      </c>
      <c r="C1374" s="29" t="s">
        <v>55</v>
      </c>
      <c r="D1374" s="29" t="s">
        <v>2188</v>
      </c>
      <c r="E1374" s="29" t="s">
        <v>35</v>
      </c>
      <c r="F1374" s="29" t="s">
        <v>47</v>
      </c>
      <c r="G1374" s="29" t="s">
        <v>427</v>
      </c>
      <c r="H1374" s="29" t="s">
        <v>149</v>
      </c>
      <c r="I1374" s="29" t="s">
        <v>39</v>
      </c>
      <c r="J1374" s="29" t="s">
        <v>59</v>
      </c>
      <c r="K1374" s="29" t="s">
        <v>2538</v>
      </c>
      <c r="L1374" s="29" t="s">
        <v>2427</v>
      </c>
      <c r="M1374" s="29" t="s">
        <v>429</v>
      </c>
      <c r="N1374" s="29" t="s">
        <v>2278</v>
      </c>
      <c r="O1374" s="29" t="s">
        <v>129</v>
      </c>
      <c r="P1374" s="30" t="s">
        <v>2287</v>
      </c>
    </row>
    <row r="1375" s="25" customFormat="1" spans="1:16">
      <c r="A1375" s="29" t="s">
        <v>2538</v>
      </c>
      <c r="B1375" s="29" t="s">
        <v>2532</v>
      </c>
      <c r="C1375" s="29" t="s">
        <v>55</v>
      </c>
      <c r="D1375" s="29" t="s">
        <v>2188</v>
      </c>
      <c r="E1375" s="29" t="s">
        <v>35</v>
      </c>
      <c r="F1375" s="29" t="s">
        <v>47</v>
      </c>
      <c r="G1375" s="29" t="s">
        <v>427</v>
      </c>
      <c r="H1375" s="29" t="s">
        <v>149</v>
      </c>
      <c r="I1375" s="29" t="s">
        <v>39</v>
      </c>
      <c r="J1375" s="29" t="s">
        <v>129</v>
      </c>
      <c r="K1375" s="29" t="s">
        <v>2539</v>
      </c>
      <c r="L1375" s="29" t="s">
        <v>2430</v>
      </c>
      <c r="M1375" s="29" t="s">
        <v>429</v>
      </c>
      <c r="N1375" s="29" t="s">
        <v>2278</v>
      </c>
      <c r="O1375" s="29" t="s">
        <v>129</v>
      </c>
      <c r="P1375" s="30" t="s">
        <v>2289</v>
      </c>
    </row>
    <row r="1376" s="25" customFormat="1" spans="1:16">
      <c r="A1376" s="29" t="s">
        <v>2539</v>
      </c>
      <c r="B1376" s="29" t="s">
        <v>2532</v>
      </c>
      <c r="C1376" s="29" t="s">
        <v>55</v>
      </c>
      <c r="D1376" s="29" t="s">
        <v>2188</v>
      </c>
      <c r="E1376" s="29" t="s">
        <v>35</v>
      </c>
      <c r="F1376" s="29" t="s">
        <v>47</v>
      </c>
      <c r="G1376" s="29" t="s">
        <v>427</v>
      </c>
      <c r="H1376" s="29" t="s">
        <v>149</v>
      </c>
      <c r="I1376" s="29" t="s">
        <v>39</v>
      </c>
      <c r="J1376" s="29" t="s">
        <v>133</v>
      </c>
      <c r="K1376" s="29" t="s">
        <v>2540</v>
      </c>
      <c r="L1376" s="29" t="s">
        <v>2432</v>
      </c>
      <c r="M1376" s="29" t="s">
        <v>429</v>
      </c>
      <c r="N1376" s="29" t="s">
        <v>2278</v>
      </c>
      <c r="O1376" s="29" t="s">
        <v>129</v>
      </c>
      <c r="P1376" s="30" t="s">
        <v>2291</v>
      </c>
    </row>
    <row r="1377" s="25" customFormat="1" spans="1:16">
      <c r="A1377" s="29" t="s">
        <v>2540</v>
      </c>
      <c r="B1377" s="29" t="s">
        <v>2532</v>
      </c>
      <c r="C1377" s="29" t="s">
        <v>55</v>
      </c>
      <c r="D1377" s="29" t="s">
        <v>2188</v>
      </c>
      <c r="E1377" s="29" t="s">
        <v>35</v>
      </c>
      <c r="F1377" s="29" t="s">
        <v>47</v>
      </c>
      <c r="G1377" s="29" t="s">
        <v>427</v>
      </c>
      <c r="H1377" s="29" t="s">
        <v>149</v>
      </c>
      <c r="I1377" s="29" t="s">
        <v>39</v>
      </c>
      <c r="J1377" s="29" t="s">
        <v>137</v>
      </c>
      <c r="K1377" s="29" t="s">
        <v>2541</v>
      </c>
      <c r="L1377" s="29" t="s">
        <v>2435</v>
      </c>
      <c r="M1377" s="29" t="s">
        <v>429</v>
      </c>
      <c r="N1377" s="29" t="s">
        <v>2278</v>
      </c>
      <c r="O1377" s="29" t="s">
        <v>129</v>
      </c>
      <c r="P1377" s="30" t="s">
        <v>2293</v>
      </c>
    </row>
    <row r="1378" s="25" customFormat="1" spans="1:16">
      <c r="A1378" s="29" t="s">
        <v>2541</v>
      </c>
      <c r="B1378" s="29" t="s">
        <v>2532</v>
      </c>
      <c r="C1378" s="29" t="s">
        <v>55</v>
      </c>
      <c r="D1378" s="29" t="s">
        <v>2188</v>
      </c>
      <c r="E1378" s="29" t="s">
        <v>35</v>
      </c>
      <c r="F1378" s="29" t="s">
        <v>47</v>
      </c>
      <c r="G1378" s="29" t="s">
        <v>427</v>
      </c>
      <c r="H1378" s="29" t="s">
        <v>149</v>
      </c>
      <c r="I1378" s="29" t="s">
        <v>39</v>
      </c>
      <c r="J1378" s="29" t="s">
        <v>141</v>
      </c>
      <c r="K1378" s="29" t="s">
        <v>2542</v>
      </c>
      <c r="L1378" s="29" t="s">
        <v>2438</v>
      </c>
      <c r="M1378" s="29" t="s">
        <v>429</v>
      </c>
      <c r="N1378" s="29" t="s">
        <v>2278</v>
      </c>
      <c r="O1378" s="29" t="s">
        <v>129</v>
      </c>
      <c r="P1378" s="30" t="s">
        <v>2295</v>
      </c>
    </row>
    <row r="1379" s="25" customFormat="1" spans="1:16">
      <c r="A1379" s="29" t="s">
        <v>2542</v>
      </c>
      <c r="B1379" s="29" t="s">
        <v>2532</v>
      </c>
      <c r="C1379" s="29" t="s">
        <v>55</v>
      </c>
      <c r="D1379" s="29" t="s">
        <v>2188</v>
      </c>
      <c r="E1379" s="29" t="s">
        <v>35</v>
      </c>
      <c r="F1379" s="29" t="s">
        <v>47</v>
      </c>
      <c r="G1379" s="29" t="s">
        <v>427</v>
      </c>
      <c r="H1379" s="29" t="s">
        <v>149</v>
      </c>
      <c r="I1379" s="29" t="s">
        <v>39</v>
      </c>
      <c r="J1379" s="29" t="s">
        <v>145</v>
      </c>
      <c r="K1379" s="29" t="s">
        <v>2543</v>
      </c>
      <c r="L1379" s="29" t="s">
        <v>2518</v>
      </c>
      <c r="M1379" s="29" t="s">
        <v>429</v>
      </c>
      <c r="N1379" s="29" t="s">
        <v>2278</v>
      </c>
      <c r="O1379" s="29" t="s">
        <v>129</v>
      </c>
      <c r="P1379" s="30" t="s">
        <v>2296</v>
      </c>
    </row>
    <row r="1380" s="25" customFormat="1" spans="1:16">
      <c r="A1380" s="29" t="s">
        <v>2543</v>
      </c>
      <c r="B1380" s="29" t="s">
        <v>2532</v>
      </c>
      <c r="C1380" s="29" t="s">
        <v>55</v>
      </c>
      <c r="D1380" s="29" t="s">
        <v>2188</v>
      </c>
      <c r="E1380" s="29" t="s">
        <v>35</v>
      </c>
      <c r="F1380" s="29" t="s">
        <v>47</v>
      </c>
      <c r="G1380" s="29" t="s">
        <v>427</v>
      </c>
      <c r="H1380" s="29" t="s">
        <v>149</v>
      </c>
      <c r="I1380" s="29" t="s">
        <v>39</v>
      </c>
      <c r="J1380" s="29" t="s">
        <v>408</v>
      </c>
      <c r="K1380" s="29" t="s">
        <v>2544</v>
      </c>
      <c r="L1380" s="29" t="s">
        <v>2520</v>
      </c>
      <c r="M1380" s="29" t="s">
        <v>429</v>
      </c>
      <c r="N1380" s="29" t="s">
        <v>2278</v>
      </c>
      <c r="O1380" s="29" t="s">
        <v>129</v>
      </c>
      <c r="P1380" s="30" t="s">
        <v>2545</v>
      </c>
    </row>
    <row r="1381" s="25" customFormat="1" spans="1:16">
      <c r="A1381" s="29" t="s">
        <v>2544</v>
      </c>
      <c r="B1381" s="29" t="s">
        <v>2532</v>
      </c>
      <c r="C1381" s="29" t="s">
        <v>55</v>
      </c>
      <c r="D1381" s="29" t="s">
        <v>2188</v>
      </c>
      <c r="E1381" s="29" t="s">
        <v>35</v>
      </c>
      <c r="F1381" s="29" t="s">
        <v>47</v>
      </c>
      <c r="G1381" s="29" t="s">
        <v>427</v>
      </c>
      <c r="H1381" s="29" t="s">
        <v>149</v>
      </c>
      <c r="I1381" s="29" t="s">
        <v>39</v>
      </c>
      <c r="J1381" s="29" t="s">
        <v>412</v>
      </c>
      <c r="K1381" s="29" t="s">
        <v>2546</v>
      </c>
      <c r="L1381" s="29" t="s">
        <v>2523</v>
      </c>
      <c r="M1381" s="29" t="s">
        <v>429</v>
      </c>
      <c r="N1381" s="29" t="s">
        <v>2278</v>
      </c>
      <c r="O1381" s="29" t="s">
        <v>129</v>
      </c>
      <c r="P1381" s="30" t="s">
        <v>2547</v>
      </c>
    </row>
    <row r="1382" s="25" customFormat="1" spans="1:16">
      <c r="A1382" s="29" t="s">
        <v>2546</v>
      </c>
      <c r="B1382" s="29" t="s">
        <v>2532</v>
      </c>
      <c r="C1382" s="29" t="s">
        <v>55</v>
      </c>
      <c r="D1382" s="29" t="s">
        <v>2188</v>
      </c>
      <c r="E1382" s="29" t="s">
        <v>35</v>
      </c>
      <c r="F1382" s="29" t="s">
        <v>47</v>
      </c>
      <c r="G1382" s="29" t="s">
        <v>427</v>
      </c>
      <c r="H1382" s="29" t="s">
        <v>149</v>
      </c>
      <c r="I1382" s="29" t="s">
        <v>39</v>
      </c>
      <c r="J1382" s="29" t="s">
        <v>416</v>
      </c>
      <c r="K1382" s="29" t="s">
        <v>2548</v>
      </c>
      <c r="L1382" s="29" t="s">
        <v>2526</v>
      </c>
      <c r="M1382" s="29" t="s">
        <v>429</v>
      </c>
      <c r="N1382" s="29" t="s">
        <v>2278</v>
      </c>
      <c r="O1382" s="29" t="s">
        <v>129</v>
      </c>
      <c r="P1382" s="30" t="s">
        <v>2549</v>
      </c>
    </row>
    <row r="1383" s="25" customFormat="1" spans="1:16">
      <c r="A1383" s="29" t="s">
        <v>2548</v>
      </c>
      <c r="B1383" s="29" t="s">
        <v>2532</v>
      </c>
      <c r="C1383" s="29" t="s">
        <v>55</v>
      </c>
      <c r="D1383" s="29" t="s">
        <v>2188</v>
      </c>
      <c r="E1383" s="29" t="s">
        <v>35</v>
      </c>
      <c r="F1383" s="29" t="s">
        <v>47</v>
      </c>
      <c r="G1383" s="29" t="s">
        <v>427</v>
      </c>
      <c r="H1383" s="29" t="s">
        <v>149</v>
      </c>
      <c r="I1383" s="29" t="s">
        <v>39</v>
      </c>
      <c r="J1383" s="29" t="s">
        <v>420</v>
      </c>
      <c r="K1383" s="29" t="s">
        <v>2550</v>
      </c>
      <c r="L1383" s="29" t="s">
        <v>2529</v>
      </c>
      <c r="M1383" s="29" t="s">
        <v>429</v>
      </c>
      <c r="N1383" s="29" t="s">
        <v>2278</v>
      </c>
      <c r="O1383" s="29" t="s">
        <v>129</v>
      </c>
      <c r="P1383" s="30" t="s">
        <v>2551</v>
      </c>
    </row>
    <row r="1384" s="25" customFormat="1" spans="1:16">
      <c r="A1384" s="29" t="s">
        <v>2550</v>
      </c>
      <c r="B1384" s="29" t="s">
        <v>2532</v>
      </c>
      <c r="C1384" s="29" t="s">
        <v>55</v>
      </c>
      <c r="D1384" s="29" t="s">
        <v>2188</v>
      </c>
      <c r="E1384" s="29" t="s">
        <v>35</v>
      </c>
      <c r="F1384" s="29" t="s">
        <v>47</v>
      </c>
      <c r="G1384" s="29" t="s">
        <v>427</v>
      </c>
      <c r="H1384" s="29" t="s">
        <v>149</v>
      </c>
      <c r="I1384" s="29" t="s">
        <v>39</v>
      </c>
      <c r="J1384" s="29" t="s">
        <v>424</v>
      </c>
      <c r="K1384" s="29" t="s">
        <v>39</v>
      </c>
      <c r="L1384" s="29" t="s">
        <v>39</v>
      </c>
      <c r="M1384" s="29" t="s">
        <v>39</v>
      </c>
      <c r="N1384" s="29" t="s">
        <v>2278</v>
      </c>
      <c r="O1384" s="29" t="s">
        <v>129</v>
      </c>
      <c r="P1384" s="30" t="s">
        <v>2552</v>
      </c>
    </row>
    <row r="1385" s="25" customFormat="1" spans="1:16">
      <c r="A1385" s="29" t="s">
        <v>2553</v>
      </c>
      <c r="B1385" s="29" t="s">
        <v>2553</v>
      </c>
      <c r="C1385" s="29" t="s">
        <v>55</v>
      </c>
      <c r="D1385" s="29" t="s">
        <v>2188</v>
      </c>
      <c r="E1385" s="29" t="s">
        <v>35</v>
      </c>
      <c r="F1385" s="29" t="s">
        <v>47</v>
      </c>
      <c r="G1385" s="29" t="s">
        <v>450</v>
      </c>
      <c r="H1385" s="29" t="s">
        <v>176</v>
      </c>
      <c r="I1385" s="29" t="s">
        <v>39</v>
      </c>
      <c r="J1385" s="29" t="s">
        <v>39</v>
      </c>
      <c r="K1385" s="29" t="s">
        <v>2554</v>
      </c>
      <c r="L1385" s="29" t="s">
        <v>2413</v>
      </c>
      <c r="M1385" s="29" t="s">
        <v>452</v>
      </c>
      <c r="N1385" s="29" t="s">
        <v>2299</v>
      </c>
      <c r="O1385" s="29" t="s">
        <v>133</v>
      </c>
      <c r="P1385" s="30" t="s">
        <v>2300</v>
      </c>
    </row>
    <row r="1386" s="25" customFormat="1" spans="1:16">
      <c r="A1386" s="29" t="s">
        <v>2554</v>
      </c>
      <c r="B1386" s="29" t="s">
        <v>2553</v>
      </c>
      <c r="C1386" s="29" t="s">
        <v>55</v>
      </c>
      <c r="D1386" s="29" t="s">
        <v>2188</v>
      </c>
      <c r="E1386" s="29" t="s">
        <v>35</v>
      </c>
      <c r="F1386" s="29" t="s">
        <v>47</v>
      </c>
      <c r="G1386" s="29" t="s">
        <v>450</v>
      </c>
      <c r="H1386" s="29" t="s">
        <v>176</v>
      </c>
      <c r="I1386" s="29" t="s">
        <v>39</v>
      </c>
      <c r="J1386" s="29" t="s">
        <v>35</v>
      </c>
      <c r="K1386" s="29" t="s">
        <v>2555</v>
      </c>
      <c r="L1386" s="29" t="s">
        <v>2415</v>
      </c>
      <c r="M1386" s="29" t="s">
        <v>452</v>
      </c>
      <c r="N1386" s="29" t="s">
        <v>2302</v>
      </c>
      <c r="O1386" s="29" t="s">
        <v>133</v>
      </c>
      <c r="P1386" s="30" t="s">
        <v>2303</v>
      </c>
    </row>
    <row r="1387" s="25" customFormat="1" spans="1:16">
      <c r="A1387" s="29" t="s">
        <v>2555</v>
      </c>
      <c r="B1387" s="29" t="s">
        <v>2553</v>
      </c>
      <c r="C1387" s="29" t="s">
        <v>55</v>
      </c>
      <c r="D1387" s="29" t="s">
        <v>2188</v>
      </c>
      <c r="E1387" s="29" t="s">
        <v>35</v>
      </c>
      <c r="F1387" s="29" t="s">
        <v>47</v>
      </c>
      <c r="G1387" s="29" t="s">
        <v>450</v>
      </c>
      <c r="H1387" s="29" t="s">
        <v>176</v>
      </c>
      <c r="I1387" s="29" t="s">
        <v>39</v>
      </c>
      <c r="J1387" s="29" t="s">
        <v>47</v>
      </c>
      <c r="K1387" s="29" t="s">
        <v>2556</v>
      </c>
      <c r="L1387" s="29" t="s">
        <v>2419</v>
      </c>
      <c r="M1387" s="29" t="s">
        <v>452</v>
      </c>
      <c r="N1387" s="29" t="s">
        <v>2302</v>
      </c>
      <c r="O1387" s="29" t="s">
        <v>133</v>
      </c>
      <c r="P1387" s="30" t="s">
        <v>2305</v>
      </c>
    </row>
    <row r="1388" s="25" customFormat="1" spans="1:16">
      <c r="A1388" s="29" t="s">
        <v>2556</v>
      </c>
      <c r="B1388" s="29" t="s">
        <v>2553</v>
      </c>
      <c r="C1388" s="29" t="s">
        <v>55</v>
      </c>
      <c r="D1388" s="29" t="s">
        <v>2188</v>
      </c>
      <c r="E1388" s="29" t="s">
        <v>35</v>
      </c>
      <c r="F1388" s="29" t="s">
        <v>47</v>
      </c>
      <c r="G1388" s="29" t="s">
        <v>450</v>
      </c>
      <c r="H1388" s="29" t="s">
        <v>176</v>
      </c>
      <c r="I1388" s="29" t="s">
        <v>39</v>
      </c>
      <c r="J1388" s="29" t="s">
        <v>51</v>
      </c>
      <c r="K1388" s="29" t="s">
        <v>2557</v>
      </c>
      <c r="L1388" s="29" t="s">
        <v>2422</v>
      </c>
      <c r="M1388" s="29" t="s">
        <v>452</v>
      </c>
      <c r="N1388" s="29" t="s">
        <v>2302</v>
      </c>
      <c r="O1388" s="29" t="s">
        <v>133</v>
      </c>
      <c r="P1388" s="30" t="s">
        <v>2307</v>
      </c>
    </row>
    <row r="1389" s="25" customFormat="1" spans="1:16">
      <c r="A1389" s="29" t="s">
        <v>2557</v>
      </c>
      <c r="B1389" s="29" t="s">
        <v>2553</v>
      </c>
      <c r="C1389" s="29" t="s">
        <v>55</v>
      </c>
      <c r="D1389" s="29" t="s">
        <v>2188</v>
      </c>
      <c r="E1389" s="29" t="s">
        <v>35</v>
      </c>
      <c r="F1389" s="29" t="s">
        <v>47</v>
      </c>
      <c r="G1389" s="29" t="s">
        <v>450</v>
      </c>
      <c r="H1389" s="29" t="s">
        <v>176</v>
      </c>
      <c r="I1389" s="29" t="s">
        <v>39</v>
      </c>
      <c r="J1389" s="29" t="s">
        <v>55</v>
      </c>
      <c r="K1389" s="29" t="s">
        <v>2558</v>
      </c>
      <c r="L1389" s="29" t="s">
        <v>2424</v>
      </c>
      <c r="M1389" s="29" t="s">
        <v>452</v>
      </c>
      <c r="N1389" s="29" t="s">
        <v>2302</v>
      </c>
      <c r="O1389" s="29" t="s">
        <v>133</v>
      </c>
      <c r="P1389" s="30" t="s">
        <v>2309</v>
      </c>
    </row>
    <row r="1390" s="25" customFormat="1" spans="1:16">
      <c r="A1390" s="29" t="s">
        <v>2558</v>
      </c>
      <c r="B1390" s="29" t="s">
        <v>2553</v>
      </c>
      <c r="C1390" s="29" t="s">
        <v>55</v>
      </c>
      <c r="D1390" s="29" t="s">
        <v>2188</v>
      </c>
      <c r="E1390" s="29" t="s">
        <v>35</v>
      </c>
      <c r="F1390" s="29" t="s">
        <v>47</v>
      </c>
      <c r="G1390" s="29" t="s">
        <v>450</v>
      </c>
      <c r="H1390" s="29" t="s">
        <v>176</v>
      </c>
      <c r="I1390" s="29" t="s">
        <v>39</v>
      </c>
      <c r="J1390" s="29" t="s">
        <v>59</v>
      </c>
      <c r="K1390" s="29" t="s">
        <v>2559</v>
      </c>
      <c r="L1390" s="29" t="s">
        <v>2427</v>
      </c>
      <c r="M1390" s="29" t="s">
        <v>452</v>
      </c>
      <c r="N1390" s="29" t="s">
        <v>2302</v>
      </c>
      <c r="O1390" s="29" t="s">
        <v>133</v>
      </c>
      <c r="P1390" s="30" t="s">
        <v>2311</v>
      </c>
    </row>
    <row r="1391" s="25" customFormat="1" spans="1:16">
      <c r="A1391" s="29" t="s">
        <v>2559</v>
      </c>
      <c r="B1391" s="29" t="s">
        <v>2553</v>
      </c>
      <c r="C1391" s="29" t="s">
        <v>55</v>
      </c>
      <c r="D1391" s="29" t="s">
        <v>2188</v>
      </c>
      <c r="E1391" s="29" t="s">
        <v>35</v>
      </c>
      <c r="F1391" s="29" t="s">
        <v>47</v>
      </c>
      <c r="G1391" s="29" t="s">
        <v>450</v>
      </c>
      <c r="H1391" s="29" t="s">
        <v>176</v>
      </c>
      <c r="I1391" s="29" t="s">
        <v>39</v>
      </c>
      <c r="J1391" s="29" t="s">
        <v>129</v>
      </c>
      <c r="K1391" s="29" t="s">
        <v>2560</v>
      </c>
      <c r="L1391" s="29" t="s">
        <v>2430</v>
      </c>
      <c r="M1391" s="29" t="s">
        <v>452</v>
      </c>
      <c r="N1391" s="29" t="s">
        <v>2302</v>
      </c>
      <c r="O1391" s="29" t="s">
        <v>133</v>
      </c>
      <c r="P1391" s="30" t="s">
        <v>2313</v>
      </c>
    </row>
    <row r="1392" s="25" customFormat="1" spans="1:16">
      <c r="A1392" s="29" t="s">
        <v>2560</v>
      </c>
      <c r="B1392" s="29" t="s">
        <v>2553</v>
      </c>
      <c r="C1392" s="29" t="s">
        <v>55</v>
      </c>
      <c r="D1392" s="29" t="s">
        <v>2188</v>
      </c>
      <c r="E1392" s="29" t="s">
        <v>35</v>
      </c>
      <c r="F1392" s="29" t="s">
        <v>47</v>
      </c>
      <c r="G1392" s="29" t="s">
        <v>450</v>
      </c>
      <c r="H1392" s="29" t="s">
        <v>176</v>
      </c>
      <c r="I1392" s="29" t="s">
        <v>39</v>
      </c>
      <c r="J1392" s="29" t="s">
        <v>133</v>
      </c>
      <c r="K1392" s="29" t="s">
        <v>2561</v>
      </c>
      <c r="L1392" s="29" t="s">
        <v>2432</v>
      </c>
      <c r="M1392" s="29" t="s">
        <v>452</v>
      </c>
      <c r="N1392" s="29" t="s">
        <v>2302</v>
      </c>
      <c r="O1392" s="29" t="s">
        <v>133</v>
      </c>
      <c r="P1392" s="30" t="s">
        <v>2315</v>
      </c>
    </row>
    <row r="1393" s="25" customFormat="1" spans="1:16">
      <c r="A1393" s="29" t="s">
        <v>2561</v>
      </c>
      <c r="B1393" s="29" t="s">
        <v>2553</v>
      </c>
      <c r="C1393" s="29" t="s">
        <v>55</v>
      </c>
      <c r="D1393" s="29" t="s">
        <v>2188</v>
      </c>
      <c r="E1393" s="29" t="s">
        <v>35</v>
      </c>
      <c r="F1393" s="29" t="s">
        <v>47</v>
      </c>
      <c r="G1393" s="29" t="s">
        <v>450</v>
      </c>
      <c r="H1393" s="29" t="s">
        <v>176</v>
      </c>
      <c r="I1393" s="29" t="s">
        <v>39</v>
      </c>
      <c r="J1393" s="29" t="s">
        <v>137</v>
      </c>
      <c r="K1393" s="29" t="s">
        <v>2562</v>
      </c>
      <c r="L1393" s="29" t="s">
        <v>2435</v>
      </c>
      <c r="M1393" s="29" t="s">
        <v>452</v>
      </c>
      <c r="N1393" s="29" t="s">
        <v>2302</v>
      </c>
      <c r="O1393" s="29" t="s">
        <v>133</v>
      </c>
      <c r="P1393" s="30" t="s">
        <v>2317</v>
      </c>
    </row>
    <row r="1394" s="25" customFormat="1" spans="1:16">
      <c r="A1394" s="29" t="s">
        <v>2562</v>
      </c>
      <c r="B1394" s="29" t="s">
        <v>2553</v>
      </c>
      <c r="C1394" s="29" t="s">
        <v>55</v>
      </c>
      <c r="D1394" s="29" t="s">
        <v>2188</v>
      </c>
      <c r="E1394" s="29" t="s">
        <v>35</v>
      </c>
      <c r="F1394" s="29" t="s">
        <v>47</v>
      </c>
      <c r="G1394" s="29" t="s">
        <v>450</v>
      </c>
      <c r="H1394" s="29" t="s">
        <v>176</v>
      </c>
      <c r="I1394" s="29" t="s">
        <v>39</v>
      </c>
      <c r="J1394" s="29" t="s">
        <v>141</v>
      </c>
      <c r="K1394" s="29" t="s">
        <v>2563</v>
      </c>
      <c r="L1394" s="29" t="s">
        <v>2438</v>
      </c>
      <c r="M1394" s="29" t="s">
        <v>452</v>
      </c>
      <c r="N1394" s="29" t="s">
        <v>2302</v>
      </c>
      <c r="O1394" s="29" t="s">
        <v>133</v>
      </c>
      <c r="P1394" s="30" t="s">
        <v>2319</v>
      </c>
    </row>
    <row r="1395" s="25" customFormat="1" spans="1:16">
      <c r="A1395" s="29" t="s">
        <v>2563</v>
      </c>
      <c r="B1395" s="29" t="s">
        <v>2553</v>
      </c>
      <c r="C1395" s="29" t="s">
        <v>55</v>
      </c>
      <c r="D1395" s="29" t="s">
        <v>2188</v>
      </c>
      <c r="E1395" s="29" t="s">
        <v>35</v>
      </c>
      <c r="F1395" s="29" t="s">
        <v>47</v>
      </c>
      <c r="G1395" s="29" t="s">
        <v>450</v>
      </c>
      <c r="H1395" s="29" t="s">
        <v>176</v>
      </c>
      <c r="I1395" s="29" t="s">
        <v>39</v>
      </c>
      <c r="J1395" s="29" t="s">
        <v>145</v>
      </c>
      <c r="K1395" s="29" t="s">
        <v>2564</v>
      </c>
      <c r="L1395" s="29" t="s">
        <v>2518</v>
      </c>
      <c r="M1395" s="29" t="s">
        <v>452</v>
      </c>
      <c r="N1395" s="29" t="s">
        <v>2302</v>
      </c>
      <c r="O1395" s="29" t="s">
        <v>133</v>
      </c>
      <c r="P1395" s="30" t="s">
        <v>2320</v>
      </c>
    </row>
    <row r="1396" s="25" customFormat="1" spans="1:16">
      <c r="A1396" s="29" t="s">
        <v>2564</v>
      </c>
      <c r="B1396" s="29" t="s">
        <v>2553</v>
      </c>
      <c r="C1396" s="29" t="s">
        <v>55</v>
      </c>
      <c r="D1396" s="29" t="s">
        <v>2188</v>
      </c>
      <c r="E1396" s="29" t="s">
        <v>35</v>
      </c>
      <c r="F1396" s="29" t="s">
        <v>47</v>
      </c>
      <c r="G1396" s="29" t="s">
        <v>450</v>
      </c>
      <c r="H1396" s="29" t="s">
        <v>176</v>
      </c>
      <c r="I1396" s="29" t="s">
        <v>39</v>
      </c>
      <c r="J1396" s="29" t="s">
        <v>408</v>
      </c>
      <c r="K1396" s="29" t="s">
        <v>2565</v>
      </c>
      <c r="L1396" s="29" t="s">
        <v>2520</v>
      </c>
      <c r="M1396" s="29" t="s">
        <v>452</v>
      </c>
      <c r="N1396" s="29" t="s">
        <v>2302</v>
      </c>
      <c r="O1396" s="29" t="s">
        <v>133</v>
      </c>
      <c r="P1396" s="30" t="s">
        <v>2566</v>
      </c>
    </row>
    <row r="1397" s="25" customFormat="1" spans="1:16">
      <c r="A1397" s="29" t="s">
        <v>2565</v>
      </c>
      <c r="B1397" s="29" t="s">
        <v>2553</v>
      </c>
      <c r="C1397" s="29" t="s">
        <v>55</v>
      </c>
      <c r="D1397" s="29" t="s">
        <v>2188</v>
      </c>
      <c r="E1397" s="29" t="s">
        <v>35</v>
      </c>
      <c r="F1397" s="29" t="s">
        <v>47</v>
      </c>
      <c r="G1397" s="29" t="s">
        <v>450</v>
      </c>
      <c r="H1397" s="29" t="s">
        <v>176</v>
      </c>
      <c r="I1397" s="29" t="s">
        <v>39</v>
      </c>
      <c r="J1397" s="29" t="s">
        <v>412</v>
      </c>
      <c r="K1397" s="29" t="s">
        <v>2567</v>
      </c>
      <c r="L1397" s="29" t="s">
        <v>2523</v>
      </c>
      <c r="M1397" s="29" t="s">
        <v>452</v>
      </c>
      <c r="N1397" s="29" t="s">
        <v>2302</v>
      </c>
      <c r="O1397" s="29" t="s">
        <v>133</v>
      </c>
      <c r="P1397" s="30" t="s">
        <v>2568</v>
      </c>
    </row>
    <row r="1398" s="25" customFormat="1" spans="1:16">
      <c r="A1398" s="29" t="s">
        <v>2567</v>
      </c>
      <c r="B1398" s="29" t="s">
        <v>2553</v>
      </c>
      <c r="C1398" s="29" t="s">
        <v>55</v>
      </c>
      <c r="D1398" s="29" t="s">
        <v>2188</v>
      </c>
      <c r="E1398" s="29" t="s">
        <v>35</v>
      </c>
      <c r="F1398" s="29" t="s">
        <v>47</v>
      </c>
      <c r="G1398" s="29" t="s">
        <v>450</v>
      </c>
      <c r="H1398" s="29" t="s">
        <v>176</v>
      </c>
      <c r="I1398" s="29" t="s">
        <v>39</v>
      </c>
      <c r="J1398" s="29" t="s">
        <v>416</v>
      </c>
      <c r="K1398" s="29" t="s">
        <v>2569</v>
      </c>
      <c r="L1398" s="29" t="s">
        <v>2526</v>
      </c>
      <c r="M1398" s="29" t="s">
        <v>452</v>
      </c>
      <c r="N1398" s="29" t="s">
        <v>2302</v>
      </c>
      <c r="O1398" s="29" t="s">
        <v>133</v>
      </c>
      <c r="P1398" s="30" t="s">
        <v>2570</v>
      </c>
    </row>
    <row r="1399" s="25" customFormat="1" spans="1:16">
      <c r="A1399" s="29" t="s">
        <v>2569</v>
      </c>
      <c r="B1399" s="29" t="s">
        <v>2553</v>
      </c>
      <c r="C1399" s="29" t="s">
        <v>55</v>
      </c>
      <c r="D1399" s="29" t="s">
        <v>2188</v>
      </c>
      <c r="E1399" s="29" t="s">
        <v>35</v>
      </c>
      <c r="F1399" s="29" t="s">
        <v>47</v>
      </c>
      <c r="G1399" s="29" t="s">
        <v>450</v>
      </c>
      <c r="H1399" s="29" t="s">
        <v>176</v>
      </c>
      <c r="I1399" s="29" t="s">
        <v>39</v>
      </c>
      <c r="J1399" s="29" t="s">
        <v>420</v>
      </c>
      <c r="K1399" s="29" t="s">
        <v>2571</v>
      </c>
      <c r="L1399" s="29" t="s">
        <v>2529</v>
      </c>
      <c r="M1399" s="29" t="s">
        <v>452</v>
      </c>
      <c r="N1399" s="29" t="s">
        <v>2302</v>
      </c>
      <c r="O1399" s="29" t="s">
        <v>133</v>
      </c>
      <c r="P1399" s="30" t="s">
        <v>2572</v>
      </c>
    </row>
    <row r="1400" s="25" customFormat="1" spans="1:16">
      <c r="A1400" s="29" t="s">
        <v>2571</v>
      </c>
      <c r="B1400" s="29" t="s">
        <v>2553</v>
      </c>
      <c r="C1400" s="29" t="s">
        <v>55</v>
      </c>
      <c r="D1400" s="29" t="s">
        <v>2188</v>
      </c>
      <c r="E1400" s="29" t="s">
        <v>35</v>
      </c>
      <c r="F1400" s="29" t="s">
        <v>47</v>
      </c>
      <c r="G1400" s="29" t="s">
        <v>450</v>
      </c>
      <c r="H1400" s="29" t="s">
        <v>176</v>
      </c>
      <c r="I1400" s="29" t="s">
        <v>39</v>
      </c>
      <c r="J1400" s="29" t="s">
        <v>424</v>
      </c>
      <c r="K1400" s="29" t="s">
        <v>39</v>
      </c>
      <c r="L1400" s="29" t="s">
        <v>39</v>
      </c>
      <c r="M1400" s="29" t="s">
        <v>39</v>
      </c>
      <c r="N1400" s="29" t="s">
        <v>2302</v>
      </c>
      <c r="O1400" s="29" t="s">
        <v>133</v>
      </c>
      <c r="P1400" s="30" t="s">
        <v>2573</v>
      </c>
    </row>
    <row r="1401" s="25" customFormat="1" spans="1:16">
      <c r="A1401" s="29" t="s">
        <v>2574</v>
      </c>
      <c r="B1401" s="29" t="s">
        <v>2574</v>
      </c>
      <c r="C1401" s="29" t="s">
        <v>55</v>
      </c>
      <c r="D1401" s="29" t="s">
        <v>2188</v>
      </c>
      <c r="E1401" s="29" t="s">
        <v>35</v>
      </c>
      <c r="F1401" s="29" t="s">
        <v>47</v>
      </c>
      <c r="G1401" s="29" t="s">
        <v>2322</v>
      </c>
      <c r="H1401" s="29" t="s">
        <v>2323</v>
      </c>
      <c r="I1401" s="29" t="s">
        <v>2324</v>
      </c>
      <c r="J1401" s="29" t="s">
        <v>39</v>
      </c>
      <c r="K1401" s="29" t="s">
        <v>2575</v>
      </c>
      <c r="L1401" s="29" t="s">
        <v>2326</v>
      </c>
      <c r="M1401" s="29" t="s">
        <v>474</v>
      </c>
      <c r="N1401" s="29" t="s">
        <v>2327</v>
      </c>
      <c r="O1401" s="29" t="s">
        <v>137</v>
      </c>
      <c r="P1401" s="30" t="s">
        <v>2328</v>
      </c>
    </row>
    <row r="1402" s="25" customFormat="1" spans="1:16">
      <c r="A1402" s="29" t="s">
        <v>2575</v>
      </c>
      <c r="B1402" s="29" t="s">
        <v>2574</v>
      </c>
      <c r="C1402" s="29" t="s">
        <v>55</v>
      </c>
      <c r="D1402" s="29" t="s">
        <v>2188</v>
      </c>
      <c r="E1402" s="29" t="s">
        <v>35</v>
      </c>
      <c r="F1402" s="29" t="s">
        <v>47</v>
      </c>
      <c r="G1402" s="29" t="s">
        <v>2322</v>
      </c>
      <c r="H1402" s="29" t="s">
        <v>2323</v>
      </c>
      <c r="I1402" s="29" t="s">
        <v>2324</v>
      </c>
      <c r="J1402" s="29" t="s">
        <v>35</v>
      </c>
      <c r="K1402" s="29" t="s">
        <v>2576</v>
      </c>
      <c r="L1402" s="29" t="s">
        <v>2330</v>
      </c>
      <c r="M1402" s="29" t="s">
        <v>474</v>
      </c>
      <c r="N1402" s="29" t="s">
        <v>2331</v>
      </c>
      <c r="O1402" s="29" t="s">
        <v>137</v>
      </c>
      <c r="P1402" s="30" t="s">
        <v>2332</v>
      </c>
    </row>
    <row r="1403" s="25" customFormat="1" spans="1:16">
      <c r="A1403" s="29" t="s">
        <v>2576</v>
      </c>
      <c r="B1403" s="29" t="s">
        <v>2574</v>
      </c>
      <c r="C1403" s="29" t="s">
        <v>55</v>
      </c>
      <c r="D1403" s="29" t="s">
        <v>2188</v>
      </c>
      <c r="E1403" s="29" t="s">
        <v>35</v>
      </c>
      <c r="F1403" s="29" t="s">
        <v>47</v>
      </c>
      <c r="G1403" s="29" t="s">
        <v>2322</v>
      </c>
      <c r="H1403" s="29" t="s">
        <v>2323</v>
      </c>
      <c r="I1403" s="29" t="s">
        <v>2324</v>
      </c>
      <c r="J1403" s="29" t="s">
        <v>47</v>
      </c>
      <c r="K1403" s="29" t="s">
        <v>2577</v>
      </c>
      <c r="L1403" s="29" t="s">
        <v>2334</v>
      </c>
      <c r="M1403" s="29" t="s">
        <v>474</v>
      </c>
      <c r="N1403" s="29" t="s">
        <v>2331</v>
      </c>
      <c r="O1403" s="29" t="s">
        <v>137</v>
      </c>
      <c r="P1403" s="30" t="s">
        <v>2335</v>
      </c>
    </row>
    <row r="1404" s="25" customFormat="1" spans="1:16">
      <c r="A1404" s="29" t="s">
        <v>2577</v>
      </c>
      <c r="B1404" s="29" t="s">
        <v>2574</v>
      </c>
      <c r="C1404" s="29" t="s">
        <v>55</v>
      </c>
      <c r="D1404" s="29" t="s">
        <v>2188</v>
      </c>
      <c r="E1404" s="29" t="s">
        <v>35</v>
      </c>
      <c r="F1404" s="29" t="s">
        <v>47</v>
      </c>
      <c r="G1404" s="29" t="s">
        <v>2322</v>
      </c>
      <c r="H1404" s="29" t="s">
        <v>2323</v>
      </c>
      <c r="I1404" s="29" t="s">
        <v>2324</v>
      </c>
      <c r="J1404" s="29" t="s">
        <v>51</v>
      </c>
      <c r="K1404" s="29" t="s">
        <v>2578</v>
      </c>
      <c r="L1404" s="29" t="s">
        <v>2337</v>
      </c>
      <c r="M1404" s="29" t="s">
        <v>474</v>
      </c>
      <c r="N1404" s="29" t="s">
        <v>2331</v>
      </c>
      <c r="O1404" s="29" t="s">
        <v>137</v>
      </c>
      <c r="P1404" s="30" t="s">
        <v>2338</v>
      </c>
    </row>
    <row r="1405" s="25" customFormat="1" spans="1:16">
      <c r="A1405" s="29" t="s">
        <v>2578</v>
      </c>
      <c r="B1405" s="29" t="s">
        <v>2574</v>
      </c>
      <c r="C1405" s="29" t="s">
        <v>55</v>
      </c>
      <c r="D1405" s="29" t="s">
        <v>2188</v>
      </c>
      <c r="E1405" s="29" t="s">
        <v>35</v>
      </c>
      <c r="F1405" s="29" t="s">
        <v>47</v>
      </c>
      <c r="G1405" s="29" t="s">
        <v>2322</v>
      </c>
      <c r="H1405" s="29" t="s">
        <v>2323</v>
      </c>
      <c r="I1405" s="29" t="s">
        <v>2324</v>
      </c>
      <c r="J1405" s="29" t="s">
        <v>55</v>
      </c>
      <c r="K1405" s="29" t="s">
        <v>2579</v>
      </c>
      <c r="L1405" s="29" t="s">
        <v>2340</v>
      </c>
      <c r="M1405" s="29" t="s">
        <v>474</v>
      </c>
      <c r="N1405" s="29" t="s">
        <v>2331</v>
      </c>
      <c r="O1405" s="29" t="s">
        <v>137</v>
      </c>
      <c r="P1405" s="30" t="s">
        <v>2341</v>
      </c>
    </row>
    <row r="1406" s="25" customFormat="1" spans="1:16">
      <c r="A1406" s="29" t="s">
        <v>2579</v>
      </c>
      <c r="B1406" s="29" t="s">
        <v>2574</v>
      </c>
      <c r="C1406" s="29" t="s">
        <v>55</v>
      </c>
      <c r="D1406" s="29" t="s">
        <v>2188</v>
      </c>
      <c r="E1406" s="29" t="s">
        <v>35</v>
      </c>
      <c r="F1406" s="29" t="s">
        <v>47</v>
      </c>
      <c r="G1406" s="29" t="s">
        <v>2322</v>
      </c>
      <c r="H1406" s="29" t="s">
        <v>2323</v>
      </c>
      <c r="I1406" s="29" t="s">
        <v>2324</v>
      </c>
      <c r="J1406" s="29" t="s">
        <v>59</v>
      </c>
      <c r="K1406" s="29" t="s">
        <v>2580</v>
      </c>
      <c r="L1406" s="29" t="s">
        <v>2343</v>
      </c>
      <c r="M1406" s="29" t="s">
        <v>474</v>
      </c>
      <c r="N1406" s="29" t="s">
        <v>2331</v>
      </c>
      <c r="O1406" s="29" t="s">
        <v>137</v>
      </c>
      <c r="P1406" s="30" t="s">
        <v>2344</v>
      </c>
    </row>
    <row r="1407" s="25" customFormat="1" spans="1:16">
      <c r="A1407" s="29" t="s">
        <v>2580</v>
      </c>
      <c r="B1407" s="29" t="s">
        <v>2574</v>
      </c>
      <c r="C1407" s="29" t="s">
        <v>55</v>
      </c>
      <c r="D1407" s="29" t="s">
        <v>2188</v>
      </c>
      <c r="E1407" s="29" t="s">
        <v>35</v>
      </c>
      <c r="F1407" s="29" t="s">
        <v>47</v>
      </c>
      <c r="G1407" s="29" t="s">
        <v>2322</v>
      </c>
      <c r="H1407" s="29" t="s">
        <v>2323</v>
      </c>
      <c r="I1407" s="29" t="s">
        <v>2324</v>
      </c>
      <c r="J1407" s="29" t="s">
        <v>129</v>
      </c>
      <c r="K1407" s="29" t="s">
        <v>2581</v>
      </c>
      <c r="L1407" s="29" t="s">
        <v>2346</v>
      </c>
      <c r="M1407" s="29" t="s">
        <v>474</v>
      </c>
      <c r="N1407" s="29" t="s">
        <v>2331</v>
      </c>
      <c r="O1407" s="29" t="s">
        <v>137</v>
      </c>
      <c r="P1407" s="30" t="s">
        <v>2347</v>
      </c>
    </row>
    <row r="1408" s="25" customFormat="1" spans="1:16">
      <c r="A1408" s="29" t="s">
        <v>2581</v>
      </c>
      <c r="B1408" s="29" t="s">
        <v>2574</v>
      </c>
      <c r="C1408" s="29" t="s">
        <v>55</v>
      </c>
      <c r="D1408" s="29" t="s">
        <v>2188</v>
      </c>
      <c r="E1408" s="29" t="s">
        <v>35</v>
      </c>
      <c r="F1408" s="29" t="s">
        <v>47</v>
      </c>
      <c r="G1408" s="29" t="s">
        <v>2322</v>
      </c>
      <c r="H1408" s="29" t="s">
        <v>2323</v>
      </c>
      <c r="I1408" s="29" t="s">
        <v>2324</v>
      </c>
      <c r="J1408" s="29" t="s">
        <v>133</v>
      </c>
      <c r="K1408" s="29" t="s">
        <v>2582</v>
      </c>
      <c r="L1408" s="29" t="s">
        <v>2349</v>
      </c>
      <c r="M1408" s="29" t="s">
        <v>474</v>
      </c>
      <c r="N1408" s="29" t="s">
        <v>2331</v>
      </c>
      <c r="O1408" s="29" t="s">
        <v>137</v>
      </c>
      <c r="P1408" s="30" t="s">
        <v>2350</v>
      </c>
    </row>
    <row r="1409" s="25" customFormat="1" spans="1:16">
      <c r="A1409" s="29" t="s">
        <v>2582</v>
      </c>
      <c r="B1409" s="29" t="s">
        <v>2574</v>
      </c>
      <c r="C1409" s="29" t="s">
        <v>55</v>
      </c>
      <c r="D1409" s="29" t="s">
        <v>2188</v>
      </c>
      <c r="E1409" s="29" t="s">
        <v>35</v>
      </c>
      <c r="F1409" s="29" t="s">
        <v>47</v>
      </c>
      <c r="G1409" s="29" t="s">
        <v>2322</v>
      </c>
      <c r="H1409" s="29" t="s">
        <v>2323</v>
      </c>
      <c r="I1409" s="29" t="s">
        <v>2324</v>
      </c>
      <c r="J1409" s="29" t="s">
        <v>137</v>
      </c>
      <c r="K1409" s="29" t="s">
        <v>2583</v>
      </c>
      <c r="L1409" s="29" t="s">
        <v>2352</v>
      </c>
      <c r="M1409" s="29" t="s">
        <v>474</v>
      </c>
      <c r="N1409" s="29" t="s">
        <v>2331</v>
      </c>
      <c r="O1409" s="29" t="s">
        <v>137</v>
      </c>
      <c r="P1409" s="30" t="s">
        <v>2353</v>
      </c>
    </row>
    <row r="1410" s="25" customFormat="1" spans="1:16">
      <c r="A1410" s="29" t="s">
        <v>2583</v>
      </c>
      <c r="B1410" s="29" t="s">
        <v>2574</v>
      </c>
      <c r="C1410" s="29" t="s">
        <v>55</v>
      </c>
      <c r="D1410" s="29" t="s">
        <v>2188</v>
      </c>
      <c r="E1410" s="29" t="s">
        <v>35</v>
      </c>
      <c r="F1410" s="29" t="s">
        <v>47</v>
      </c>
      <c r="G1410" s="29" t="s">
        <v>2322</v>
      </c>
      <c r="H1410" s="29" t="s">
        <v>2323</v>
      </c>
      <c r="I1410" s="29" t="s">
        <v>2324</v>
      </c>
      <c r="J1410" s="29" t="s">
        <v>141</v>
      </c>
      <c r="K1410" s="29" t="s">
        <v>2584</v>
      </c>
      <c r="L1410" s="29" t="s">
        <v>2355</v>
      </c>
      <c r="M1410" s="29" t="s">
        <v>474</v>
      </c>
      <c r="N1410" s="29" t="s">
        <v>2331</v>
      </c>
      <c r="O1410" s="29" t="s">
        <v>137</v>
      </c>
      <c r="P1410" s="30" t="s">
        <v>2356</v>
      </c>
    </row>
    <row r="1411" s="25" customFormat="1" spans="1:16">
      <c r="A1411" s="29" t="s">
        <v>2584</v>
      </c>
      <c r="B1411" s="29" t="s">
        <v>2574</v>
      </c>
      <c r="C1411" s="29" t="s">
        <v>55</v>
      </c>
      <c r="D1411" s="29" t="s">
        <v>2188</v>
      </c>
      <c r="E1411" s="29" t="s">
        <v>35</v>
      </c>
      <c r="F1411" s="29" t="s">
        <v>47</v>
      </c>
      <c r="G1411" s="29" t="s">
        <v>2322</v>
      </c>
      <c r="H1411" s="29" t="s">
        <v>2323</v>
      </c>
      <c r="I1411" s="29" t="s">
        <v>2324</v>
      </c>
      <c r="J1411" s="29" t="s">
        <v>145</v>
      </c>
      <c r="K1411" s="29" t="s">
        <v>39</v>
      </c>
      <c r="L1411" s="29" t="s">
        <v>2357</v>
      </c>
      <c r="M1411" s="29" t="s">
        <v>474</v>
      </c>
      <c r="N1411" s="29" t="s">
        <v>2331</v>
      </c>
      <c r="O1411" s="29" t="s">
        <v>137</v>
      </c>
      <c r="P1411" s="30" t="s">
        <v>2358</v>
      </c>
    </row>
    <row r="1412" s="25" customFormat="1" spans="1:16">
      <c r="A1412" s="29" t="s">
        <v>2585</v>
      </c>
      <c r="B1412" s="29" t="s">
        <v>2585</v>
      </c>
      <c r="C1412" s="29" t="s">
        <v>55</v>
      </c>
      <c r="D1412" s="29" t="s">
        <v>2188</v>
      </c>
      <c r="E1412" s="29" t="s">
        <v>35</v>
      </c>
      <c r="F1412" s="29" t="s">
        <v>47</v>
      </c>
      <c r="G1412" s="29" t="s">
        <v>2360</v>
      </c>
      <c r="H1412" s="29" t="s">
        <v>2361</v>
      </c>
      <c r="I1412" s="29" t="s">
        <v>2324</v>
      </c>
      <c r="J1412" s="29" t="s">
        <v>39</v>
      </c>
      <c r="K1412" s="29" t="s">
        <v>2586</v>
      </c>
      <c r="L1412" s="29" t="s">
        <v>2326</v>
      </c>
      <c r="M1412" s="29" t="s">
        <v>488</v>
      </c>
      <c r="N1412" s="29" t="s">
        <v>2363</v>
      </c>
      <c r="O1412" s="29" t="s">
        <v>141</v>
      </c>
      <c r="P1412" s="30" t="s">
        <v>2364</v>
      </c>
    </row>
    <row r="1413" s="25" customFormat="1" spans="1:16">
      <c r="A1413" s="29" t="s">
        <v>2586</v>
      </c>
      <c r="B1413" s="29" t="s">
        <v>2585</v>
      </c>
      <c r="C1413" s="29" t="s">
        <v>55</v>
      </c>
      <c r="D1413" s="29" t="s">
        <v>2188</v>
      </c>
      <c r="E1413" s="29" t="s">
        <v>35</v>
      </c>
      <c r="F1413" s="29" t="s">
        <v>47</v>
      </c>
      <c r="G1413" s="29" t="s">
        <v>2360</v>
      </c>
      <c r="H1413" s="29" t="s">
        <v>2361</v>
      </c>
      <c r="I1413" s="29" t="s">
        <v>2324</v>
      </c>
      <c r="J1413" s="29" t="s">
        <v>35</v>
      </c>
      <c r="K1413" s="29" t="s">
        <v>2587</v>
      </c>
      <c r="L1413" s="29" t="s">
        <v>2330</v>
      </c>
      <c r="M1413" s="29" t="s">
        <v>488</v>
      </c>
      <c r="N1413" s="29" t="s">
        <v>2366</v>
      </c>
      <c r="O1413" s="29" t="s">
        <v>141</v>
      </c>
      <c r="P1413" s="30" t="s">
        <v>2367</v>
      </c>
    </row>
    <row r="1414" s="25" customFormat="1" spans="1:16">
      <c r="A1414" s="29" t="s">
        <v>2587</v>
      </c>
      <c r="B1414" s="29" t="s">
        <v>2585</v>
      </c>
      <c r="C1414" s="29" t="s">
        <v>55</v>
      </c>
      <c r="D1414" s="29" t="s">
        <v>2188</v>
      </c>
      <c r="E1414" s="29" t="s">
        <v>35</v>
      </c>
      <c r="F1414" s="29" t="s">
        <v>47</v>
      </c>
      <c r="G1414" s="29" t="s">
        <v>2360</v>
      </c>
      <c r="H1414" s="29" t="s">
        <v>2361</v>
      </c>
      <c r="I1414" s="29" t="s">
        <v>2324</v>
      </c>
      <c r="J1414" s="29" t="s">
        <v>47</v>
      </c>
      <c r="K1414" s="29" t="s">
        <v>2588</v>
      </c>
      <c r="L1414" s="29" t="s">
        <v>2334</v>
      </c>
      <c r="M1414" s="29" t="s">
        <v>488</v>
      </c>
      <c r="N1414" s="29" t="s">
        <v>2366</v>
      </c>
      <c r="O1414" s="29" t="s">
        <v>141</v>
      </c>
      <c r="P1414" s="30" t="s">
        <v>2369</v>
      </c>
    </row>
    <row r="1415" s="25" customFormat="1" spans="1:16">
      <c r="A1415" s="29" t="s">
        <v>2588</v>
      </c>
      <c r="B1415" s="29" t="s">
        <v>2585</v>
      </c>
      <c r="C1415" s="29" t="s">
        <v>55</v>
      </c>
      <c r="D1415" s="29" t="s">
        <v>2188</v>
      </c>
      <c r="E1415" s="29" t="s">
        <v>35</v>
      </c>
      <c r="F1415" s="29" t="s">
        <v>47</v>
      </c>
      <c r="G1415" s="29" t="s">
        <v>2360</v>
      </c>
      <c r="H1415" s="29" t="s">
        <v>2361</v>
      </c>
      <c r="I1415" s="29" t="s">
        <v>2324</v>
      </c>
      <c r="J1415" s="29" t="s">
        <v>51</v>
      </c>
      <c r="K1415" s="29" t="s">
        <v>2589</v>
      </c>
      <c r="L1415" s="29" t="s">
        <v>2337</v>
      </c>
      <c r="M1415" s="29" t="s">
        <v>488</v>
      </c>
      <c r="N1415" s="29" t="s">
        <v>2366</v>
      </c>
      <c r="O1415" s="29" t="s">
        <v>141</v>
      </c>
      <c r="P1415" s="30" t="s">
        <v>2371</v>
      </c>
    </row>
    <row r="1416" s="25" customFormat="1" spans="1:16">
      <c r="A1416" s="29" t="s">
        <v>2589</v>
      </c>
      <c r="B1416" s="29" t="s">
        <v>2585</v>
      </c>
      <c r="C1416" s="29" t="s">
        <v>55</v>
      </c>
      <c r="D1416" s="29" t="s">
        <v>2188</v>
      </c>
      <c r="E1416" s="29" t="s">
        <v>35</v>
      </c>
      <c r="F1416" s="29" t="s">
        <v>47</v>
      </c>
      <c r="G1416" s="29" t="s">
        <v>2360</v>
      </c>
      <c r="H1416" s="29" t="s">
        <v>2361</v>
      </c>
      <c r="I1416" s="29" t="s">
        <v>2324</v>
      </c>
      <c r="J1416" s="29" t="s">
        <v>55</v>
      </c>
      <c r="K1416" s="29" t="s">
        <v>2590</v>
      </c>
      <c r="L1416" s="29" t="s">
        <v>2340</v>
      </c>
      <c r="M1416" s="29" t="s">
        <v>488</v>
      </c>
      <c r="N1416" s="29" t="s">
        <v>2366</v>
      </c>
      <c r="O1416" s="29" t="s">
        <v>141</v>
      </c>
      <c r="P1416" s="30" t="s">
        <v>2373</v>
      </c>
    </row>
    <row r="1417" s="26" customFormat="1" spans="1:18">
      <c r="A1417" s="29" t="s">
        <v>2590</v>
      </c>
      <c r="B1417" s="29" t="s">
        <v>2585</v>
      </c>
      <c r="C1417" s="29" t="s">
        <v>55</v>
      </c>
      <c r="D1417" s="29" t="s">
        <v>2188</v>
      </c>
      <c r="E1417" s="29" t="s">
        <v>35</v>
      </c>
      <c r="F1417" s="29" t="s">
        <v>47</v>
      </c>
      <c r="G1417" s="29" t="s">
        <v>2360</v>
      </c>
      <c r="H1417" s="29" t="s">
        <v>2361</v>
      </c>
      <c r="I1417" s="29" t="s">
        <v>2324</v>
      </c>
      <c r="J1417" s="29" t="s">
        <v>59</v>
      </c>
      <c r="K1417" s="29" t="s">
        <v>2591</v>
      </c>
      <c r="L1417" s="29" t="s">
        <v>2343</v>
      </c>
      <c r="M1417" s="29" t="s">
        <v>488</v>
      </c>
      <c r="N1417" s="29" t="s">
        <v>2366</v>
      </c>
      <c r="O1417" s="29" t="s">
        <v>141</v>
      </c>
      <c r="P1417" s="30" t="s">
        <v>2375</v>
      </c>
      <c r="Q1417" s="25"/>
      <c r="R1417" s="25"/>
    </row>
    <row r="1418" s="25" customFormat="1" spans="1:16">
      <c r="A1418" s="29" t="s">
        <v>2591</v>
      </c>
      <c r="B1418" s="29" t="s">
        <v>2585</v>
      </c>
      <c r="C1418" s="29" t="s">
        <v>55</v>
      </c>
      <c r="D1418" s="29" t="s">
        <v>2188</v>
      </c>
      <c r="E1418" s="29" t="s">
        <v>35</v>
      </c>
      <c r="F1418" s="29" t="s">
        <v>47</v>
      </c>
      <c r="G1418" s="29" t="s">
        <v>2360</v>
      </c>
      <c r="H1418" s="29" t="s">
        <v>2361</v>
      </c>
      <c r="I1418" s="29" t="s">
        <v>2324</v>
      </c>
      <c r="J1418" s="29" t="s">
        <v>129</v>
      </c>
      <c r="K1418" s="29" t="s">
        <v>2592</v>
      </c>
      <c r="L1418" s="29" t="s">
        <v>2346</v>
      </c>
      <c r="M1418" s="29" t="s">
        <v>488</v>
      </c>
      <c r="N1418" s="29" t="s">
        <v>2366</v>
      </c>
      <c r="O1418" s="29" t="s">
        <v>141</v>
      </c>
      <c r="P1418" s="30" t="s">
        <v>2377</v>
      </c>
    </row>
    <row r="1419" s="25" customFormat="1" spans="1:16">
      <c r="A1419" s="29" t="s">
        <v>2592</v>
      </c>
      <c r="B1419" s="29" t="s">
        <v>2585</v>
      </c>
      <c r="C1419" s="29" t="s">
        <v>55</v>
      </c>
      <c r="D1419" s="29" t="s">
        <v>2188</v>
      </c>
      <c r="E1419" s="29" t="s">
        <v>35</v>
      </c>
      <c r="F1419" s="29" t="s">
        <v>47</v>
      </c>
      <c r="G1419" s="29" t="s">
        <v>2360</v>
      </c>
      <c r="H1419" s="29" t="s">
        <v>2361</v>
      </c>
      <c r="I1419" s="29" t="s">
        <v>2324</v>
      </c>
      <c r="J1419" s="29" t="s">
        <v>133</v>
      </c>
      <c r="K1419" s="29" t="s">
        <v>2593</v>
      </c>
      <c r="L1419" s="29" t="s">
        <v>2349</v>
      </c>
      <c r="M1419" s="29" t="s">
        <v>488</v>
      </c>
      <c r="N1419" s="29" t="s">
        <v>2366</v>
      </c>
      <c r="O1419" s="29" t="s">
        <v>141</v>
      </c>
      <c r="P1419" s="30" t="s">
        <v>2379</v>
      </c>
    </row>
    <row r="1420" s="25" customFormat="1" spans="1:16">
      <c r="A1420" s="29" t="s">
        <v>2593</v>
      </c>
      <c r="B1420" s="29" t="s">
        <v>2585</v>
      </c>
      <c r="C1420" s="29" t="s">
        <v>55</v>
      </c>
      <c r="D1420" s="29" t="s">
        <v>2188</v>
      </c>
      <c r="E1420" s="29" t="s">
        <v>35</v>
      </c>
      <c r="F1420" s="29" t="s">
        <v>47</v>
      </c>
      <c r="G1420" s="29" t="s">
        <v>2360</v>
      </c>
      <c r="H1420" s="29" t="s">
        <v>2361</v>
      </c>
      <c r="I1420" s="29" t="s">
        <v>2324</v>
      </c>
      <c r="J1420" s="29" t="s">
        <v>137</v>
      </c>
      <c r="K1420" s="29" t="s">
        <v>2594</v>
      </c>
      <c r="L1420" s="29" t="s">
        <v>2352</v>
      </c>
      <c r="M1420" s="29" t="s">
        <v>488</v>
      </c>
      <c r="N1420" s="29" t="s">
        <v>2366</v>
      </c>
      <c r="O1420" s="29" t="s">
        <v>141</v>
      </c>
      <c r="P1420" s="30" t="s">
        <v>2381</v>
      </c>
    </row>
    <row r="1421" s="25" customFormat="1" spans="1:16">
      <c r="A1421" s="29" t="s">
        <v>2594</v>
      </c>
      <c r="B1421" s="29" t="s">
        <v>2585</v>
      </c>
      <c r="C1421" s="29" t="s">
        <v>55</v>
      </c>
      <c r="D1421" s="29" t="s">
        <v>2188</v>
      </c>
      <c r="E1421" s="29" t="s">
        <v>35</v>
      </c>
      <c r="F1421" s="29" t="s">
        <v>47</v>
      </c>
      <c r="G1421" s="29" t="s">
        <v>2360</v>
      </c>
      <c r="H1421" s="29" t="s">
        <v>2361</v>
      </c>
      <c r="I1421" s="29" t="s">
        <v>2324</v>
      </c>
      <c r="J1421" s="29" t="s">
        <v>141</v>
      </c>
      <c r="K1421" s="29" t="s">
        <v>2595</v>
      </c>
      <c r="L1421" s="29" t="s">
        <v>2355</v>
      </c>
      <c r="M1421" s="29" t="s">
        <v>488</v>
      </c>
      <c r="N1421" s="29" t="s">
        <v>2366</v>
      </c>
      <c r="O1421" s="29" t="s">
        <v>141</v>
      </c>
      <c r="P1421" s="30" t="s">
        <v>2383</v>
      </c>
    </row>
    <row r="1422" s="25" customFormat="1" spans="1:16">
      <c r="A1422" s="29" t="s">
        <v>2595</v>
      </c>
      <c r="B1422" s="29" t="s">
        <v>2585</v>
      </c>
      <c r="C1422" s="29" t="s">
        <v>55</v>
      </c>
      <c r="D1422" s="29" t="s">
        <v>2188</v>
      </c>
      <c r="E1422" s="29" t="s">
        <v>35</v>
      </c>
      <c r="F1422" s="29" t="s">
        <v>47</v>
      </c>
      <c r="G1422" s="29" t="s">
        <v>2360</v>
      </c>
      <c r="H1422" s="29" t="s">
        <v>2361</v>
      </c>
      <c r="I1422" s="29" t="s">
        <v>2324</v>
      </c>
      <c r="J1422" s="29" t="s">
        <v>145</v>
      </c>
      <c r="K1422" s="29" t="s">
        <v>39</v>
      </c>
      <c r="L1422" s="29" t="s">
        <v>2357</v>
      </c>
      <c r="M1422" s="29" t="s">
        <v>488</v>
      </c>
      <c r="N1422" s="29" t="s">
        <v>2366</v>
      </c>
      <c r="O1422" s="29" t="s">
        <v>141</v>
      </c>
      <c r="P1422" s="30" t="s">
        <v>2384</v>
      </c>
    </row>
    <row r="1423" s="25" customFormat="1" spans="1:16">
      <c r="A1423" s="29" t="s">
        <v>2596</v>
      </c>
      <c r="B1423" s="29" t="s">
        <v>2596</v>
      </c>
      <c r="C1423" s="29" t="s">
        <v>55</v>
      </c>
      <c r="D1423" s="29" t="s">
        <v>2188</v>
      </c>
      <c r="E1423" s="29" t="s">
        <v>35</v>
      </c>
      <c r="F1423" s="29" t="s">
        <v>47</v>
      </c>
      <c r="G1423" s="29" t="s">
        <v>2386</v>
      </c>
      <c r="H1423" s="29" t="s">
        <v>2387</v>
      </c>
      <c r="I1423" s="29" t="s">
        <v>2324</v>
      </c>
      <c r="J1423" s="29" t="s">
        <v>39</v>
      </c>
      <c r="K1423" s="29" t="s">
        <v>2597</v>
      </c>
      <c r="L1423" s="29" t="s">
        <v>2326</v>
      </c>
      <c r="M1423" s="29" t="s">
        <v>502</v>
      </c>
      <c r="N1423" s="29" t="s">
        <v>2389</v>
      </c>
      <c r="O1423" s="29" t="s">
        <v>145</v>
      </c>
      <c r="P1423" s="30" t="s">
        <v>2390</v>
      </c>
    </row>
    <row r="1424" s="25" customFormat="1" spans="1:16">
      <c r="A1424" s="29" t="s">
        <v>2597</v>
      </c>
      <c r="B1424" s="29" t="s">
        <v>2596</v>
      </c>
      <c r="C1424" s="29" t="s">
        <v>55</v>
      </c>
      <c r="D1424" s="29" t="s">
        <v>2188</v>
      </c>
      <c r="E1424" s="29" t="s">
        <v>35</v>
      </c>
      <c r="F1424" s="29" t="s">
        <v>47</v>
      </c>
      <c r="G1424" s="29" t="s">
        <v>2386</v>
      </c>
      <c r="H1424" s="29" t="s">
        <v>2387</v>
      </c>
      <c r="I1424" s="29" t="s">
        <v>2324</v>
      </c>
      <c r="J1424" s="29" t="s">
        <v>35</v>
      </c>
      <c r="K1424" s="29" t="s">
        <v>2598</v>
      </c>
      <c r="L1424" s="29" t="s">
        <v>2330</v>
      </c>
      <c r="M1424" s="29" t="s">
        <v>502</v>
      </c>
      <c r="N1424" s="29" t="s">
        <v>2392</v>
      </c>
      <c r="O1424" s="29" t="s">
        <v>145</v>
      </c>
      <c r="P1424" s="30" t="s">
        <v>2393</v>
      </c>
    </row>
    <row r="1425" s="25" customFormat="1" spans="1:16">
      <c r="A1425" s="29" t="s">
        <v>2598</v>
      </c>
      <c r="B1425" s="29" t="s">
        <v>2596</v>
      </c>
      <c r="C1425" s="29" t="s">
        <v>55</v>
      </c>
      <c r="D1425" s="29" t="s">
        <v>2188</v>
      </c>
      <c r="E1425" s="29" t="s">
        <v>35</v>
      </c>
      <c r="F1425" s="29" t="s">
        <v>47</v>
      </c>
      <c r="G1425" s="29" t="s">
        <v>2386</v>
      </c>
      <c r="H1425" s="29" t="s">
        <v>2387</v>
      </c>
      <c r="I1425" s="29" t="s">
        <v>2324</v>
      </c>
      <c r="J1425" s="29" t="s">
        <v>47</v>
      </c>
      <c r="K1425" s="29" t="s">
        <v>2599</v>
      </c>
      <c r="L1425" s="29" t="s">
        <v>2334</v>
      </c>
      <c r="M1425" s="29" t="s">
        <v>502</v>
      </c>
      <c r="N1425" s="29" t="s">
        <v>2392</v>
      </c>
      <c r="O1425" s="29" t="s">
        <v>145</v>
      </c>
      <c r="P1425" s="30" t="s">
        <v>2395</v>
      </c>
    </row>
    <row r="1426" s="25" customFormat="1" spans="1:16">
      <c r="A1426" s="29" t="s">
        <v>2599</v>
      </c>
      <c r="B1426" s="29" t="s">
        <v>2596</v>
      </c>
      <c r="C1426" s="29" t="s">
        <v>55</v>
      </c>
      <c r="D1426" s="29" t="s">
        <v>2188</v>
      </c>
      <c r="E1426" s="29" t="s">
        <v>35</v>
      </c>
      <c r="F1426" s="29" t="s">
        <v>47</v>
      </c>
      <c r="G1426" s="29" t="s">
        <v>2386</v>
      </c>
      <c r="H1426" s="29" t="s">
        <v>2387</v>
      </c>
      <c r="I1426" s="29" t="s">
        <v>2324</v>
      </c>
      <c r="J1426" s="29" t="s">
        <v>51</v>
      </c>
      <c r="K1426" s="29" t="s">
        <v>2600</v>
      </c>
      <c r="L1426" s="29" t="s">
        <v>2337</v>
      </c>
      <c r="M1426" s="29" t="s">
        <v>502</v>
      </c>
      <c r="N1426" s="29" t="s">
        <v>2392</v>
      </c>
      <c r="O1426" s="29" t="s">
        <v>145</v>
      </c>
      <c r="P1426" s="30" t="s">
        <v>2397</v>
      </c>
    </row>
    <row r="1427" s="25" customFormat="1" spans="1:16">
      <c r="A1427" s="29" t="s">
        <v>2600</v>
      </c>
      <c r="B1427" s="29" t="s">
        <v>2596</v>
      </c>
      <c r="C1427" s="29" t="s">
        <v>55</v>
      </c>
      <c r="D1427" s="29" t="s">
        <v>2188</v>
      </c>
      <c r="E1427" s="29" t="s">
        <v>35</v>
      </c>
      <c r="F1427" s="29" t="s">
        <v>47</v>
      </c>
      <c r="G1427" s="29" t="s">
        <v>2386</v>
      </c>
      <c r="H1427" s="29" t="s">
        <v>2387</v>
      </c>
      <c r="I1427" s="29" t="s">
        <v>2324</v>
      </c>
      <c r="J1427" s="29" t="s">
        <v>55</v>
      </c>
      <c r="K1427" s="29" t="s">
        <v>2601</v>
      </c>
      <c r="L1427" s="29" t="s">
        <v>2340</v>
      </c>
      <c r="M1427" s="29" t="s">
        <v>502</v>
      </c>
      <c r="N1427" s="29" t="s">
        <v>2392</v>
      </c>
      <c r="O1427" s="29" t="s">
        <v>145</v>
      </c>
      <c r="P1427" s="30" t="s">
        <v>2399</v>
      </c>
    </row>
    <row r="1428" s="25" customFormat="1" spans="1:16">
      <c r="A1428" s="29" t="s">
        <v>2601</v>
      </c>
      <c r="B1428" s="29" t="s">
        <v>2596</v>
      </c>
      <c r="C1428" s="29" t="s">
        <v>55</v>
      </c>
      <c r="D1428" s="29" t="s">
        <v>2188</v>
      </c>
      <c r="E1428" s="29" t="s">
        <v>35</v>
      </c>
      <c r="F1428" s="29" t="s">
        <v>47</v>
      </c>
      <c r="G1428" s="29" t="s">
        <v>2386</v>
      </c>
      <c r="H1428" s="29" t="s">
        <v>2387</v>
      </c>
      <c r="I1428" s="29" t="s">
        <v>2324</v>
      </c>
      <c r="J1428" s="29" t="s">
        <v>59</v>
      </c>
      <c r="K1428" s="29" t="s">
        <v>2602</v>
      </c>
      <c r="L1428" s="29" t="s">
        <v>2343</v>
      </c>
      <c r="M1428" s="29" t="s">
        <v>502</v>
      </c>
      <c r="N1428" s="29" t="s">
        <v>2392</v>
      </c>
      <c r="O1428" s="29" t="s">
        <v>145</v>
      </c>
      <c r="P1428" s="30" t="s">
        <v>2401</v>
      </c>
    </row>
    <row r="1429" s="26" customFormat="1" spans="1:18">
      <c r="A1429" s="29" t="s">
        <v>2602</v>
      </c>
      <c r="B1429" s="29" t="s">
        <v>2596</v>
      </c>
      <c r="C1429" s="29" t="s">
        <v>55</v>
      </c>
      <c r="D1429" s="29" t="s">
        <v>2188</v>
      </c>
      <c r="E1429" s="29" t="s">
        <v>35</v>
      </c>
      <c r="F1429" s="29" t="s">
        <v>47</v>
      </c>
      <c r="G1429" s="29" t="s">
        <v>2386</v>
      </c>
      <c r="H1429" s="29" t="s">
        <v>2387</v>
      </c>
      <c r="I1429" s="29" t="s">
        <v>2324</v>
      </c>
      <c r="J1429" s="29" t="s">
        <v>129</v>
      </c>
      <c r="K1429" s="29" t="s">
        <v>2603</v>
      </c>
      <c r="L1429" s="29" t="s">
        <v>2346</v>
      </c>
      <c r="M1429" s="29" t="s">
        <v>502</v>
      </c>
      <c r="N1429" s="29" t="s">
        <v>2392</v>
      </c>
      <c r="O1429" s="29" t="s">
        <v>145</v>
      </c>
      <c r="P1429" s="30" t="s">
        <v>2403</v>
      </c>
      <c r="Q1429" s="25"/>
      <c r="R1429" s="25"/>
    </row>
    <row r="1430" s="25" customFormat="1" spans="1:16">
      <c r="A1430" s="29" t="s">
        <v>2603</v>
      </c>
      <c r="B1430" s="29" t="s">
        <v>2596</v>
      </c>
      <c r="C1430" s="29" t="s">
        <v>55</v>
      </c>
      <c r="D1430" s="29" t="s">
        <v>2188</v>
      </c>
      <c r="E1430" s="29" t="s">
        <v>35</v>
      </c>
      <c r="F1430" s="29" t="s">
        <v>47</v>
      </c>
      <c r="G1430" s="29" t="s">
        <v>2386</v>
      </c>
      <c r="H1430" s="29" t="s">
        <v>2387</v>
      </c>
      <c r="I1430" s="29" t="s">
        <v>2324</v>
      </c>
      <c r="J1430" s="29" t="s">
        <v>133</v>
      </c>
      <c r="K1430" s="29" t="s">
        <v>2604</v>
      </c>
      <c r="L1430" s="29" t="s">
        <v>2349</v>
      </c>
      <c r="M1430" s="29" t="s">
        <v>502</v>
      </c>
      <c r="N1430" s="29" t="s">
        <v>2392</v>
      </c>
      <c r="O1430" s="29" t="s">
        <v>145</v>
      </c>
      <c r="P1430" s="30" t="s">
        <v>2405</v>
      </c>
    </row>
    <row r="1431" s="25" customFormat="1" spans="1:16">
      <c r="A1431" s="29" t="s">
        <v>2604</v>
      </c>
      <c r="B1431" s="29" t="s">
        <v>2596</v>
      </c>
      <c r="C1431" s="29" t="s">
        <v>55</v>
      </c>
      <c r="D1431" s="29" t="s">
        <v>2188</v>
      </c>
      <c r="E1431" s="29" t="s">
        <v>35</v>
      </c>
      <c r="F1431" s="29" t="s">
        <v>47</v>
      </c>
      <c r="G1431" s="29" t="s">
        <v>2386</v>
      </c>
      <c r="H1431" s="29" t="s">
        <v>2387</v>
      </c>
      <c r="I1431" s="29" t="s">
        <v>2324</v>
      </c>
      <c r="J1431" s="29" t="s">
        <v>137</v>
      </c>
      <c r="K1431" s="29" t="s">
        <v>2605</v>
      </c>
      <c r="L1431" s="29" t="s">
        <v>2352</v>
      </c>
      <c r="M1431" s="29" t="s">
        <v>502</v>
      </c>
      <c r="N1431" s="29" t="s">
        <v>2392</v>
      </c>
      <c r="O1431" s="29" t="s">
        <v>145</v>
      </c>
      <c r="P1431" s="30" t="s">
        <v>2407</v>
      </c>
    </row>
    <row r="1432" s="25" customFormat="1" spans="1:16">
      <c r="A1432" s="29" t="s">
        <v>2605</v>
      </c>
      <c r="B1432" s="29" t="s">
        <v>2596</v>
      </c>
      <c r="C1432" s="29" t="s">
        <v>55</v>
      </c>
      <c r="D1432" s="29" t="s">
        <v>2188</v>
      </c>
      <c r="E1432" s="29" t="s">
        <v>35</v>
      </c>
      <c r="F1432" s="29" t="s">
        <v>47</v>
      </c>
      <c r="G1432" s="29" t="s">
        <v>2386</v>
      </c>
      <c r="H1432" s="29" t="s">
        <v>2387</v>
      </c>
      <c r="I1432" s="29" t="s">
        <v>2324</v>
      </c>
      <c r="J1432" s="29" t="s">
        <v>141</v>
      </c>
      <c r="K1432" s="29" t="s">
        <v>2606</v>
      </c>
      <c r="L1432" s="29" t="s">
        <v>2355</v>
      </c>
      <c r="M1432" s="29" t="s">
        <v>502</v>
      </c>
      <c r="N1432" s="29" t="s">
        <v>2392</v>
      </c>
      <c r="O1432" s="29" t="s">
        <v>145</v>
      </c>
      <c r="P1432" s="30" t="s">
        <v>2409</v>
      </c>
    </row>
    <row r="1433" s="25" customFormat="1" spans="1:16">
      <c r="A1433" s="29" t="s">
        <v>2606</v>
      </c>
      <c r="B1433" s="29" t="s">
        <v>2596</v>
      </c>
      <c r="C1433" s="29" t="s">
        <v>55</v>
      </c>
      <c r="D1433" s="29" t="s">
        <v>2188</v>
      </c>
      <c r="E1433" s="29" t="s">
        <v>35</v>
      </c>
      <c r="F1433" s="29" t="s">
        <v>47</v>
      </c>
      <c r="G1433" s="29" t="s">
        <v>2386</v>
      </c>
      <c r="H1433" s="29" t="s">
        <v>2387</v>
      </c>
      <c r="I1433" s="29" t="s">
        <v>2324</v>
      </c>
      <c r="J1433" s="29" t="s">
        <v>145</v>
      </c>
      <c r="K1433" s="29" t="s">
        <v>39</v>
      </c>
      <c r="L1433" s="29" t="s">
        <v>2357</v>
      </c>
      <c r="M1433" s="29" t="s">
        <v>502</v>
      </c>
      <c r="N1433" s="29" t="s">
        <v>2392</v>
      </c>
      <c r="O1433" s="29" t="s">
        <v>145</v>
      </c>
      <c r="P1433" s="30" t="s">
        <v>2410</v>
      </c>
    </row>
    <row r="1434" s="25" customFormat="1" spans="1:16">
      <c r="A1434" s="29" t="s">
        <v>2607</v>
      </c>
      <c r="B1434" s="29" t="s">
        <v>2607</v>
      </c>
      <c r="C1434" s="29" t="s">
        <v>55</v>
      </c>
      <c r="D1434" s="29" t="s">
        <v>2192</v>
      </c>
      <c r="E1434" s="29" t="s">
        <v>35</v>
      </c>
      <c r="F1434" s="29" t="s">
        <v>51</v>
      </c>
      <c r="G1434" s="29" t="s">
        <v>515</v>
      </c>
      <c r="H1434" s="29" t="s">
        <v>38</v>
      </c>
      <c r="I1434" s="29" t="s">
        <v>39</v>
      </c>
      <c r="J1434" s="29" t="s">
        <v>39</v>
      </c>
      <c r="K1434" s="29" t="s">
        <v>2608</v>
      </c>
      <c r="L1434" s="29" t="s">
        <v>2326</v>
      </c>
      <c r="M1434" s="29" t="s">
        <v>517</v>
      </c>
      <c r="N1434" s="29" t="s">
        <v>2186</v>
      </c>
      <c r="O1434" s="29" t="s">
        <v>35</v>
      </c>
      <c r="P1434" s="30" t="s">
        <v>2187</v>
      </c>
    </row>
    <row r="1435" s="25" customFormat="1" spans="1:16">
      <c r="A1435" s="29" t="s">
        <v>2608</v>
      </c>
      <c r="B1435" s="29" t="s">
        <v>2607</v>
      </c>
      <c r="C1435" s="29" t="s">
        <v>55</v>
      </c>
      <c r="D1435" s="29" t="s">
        <v>2192</v>
      </c>
      <c r="E1435" s="29" t="s">
        <v>35</v>
      </c>
      <c r="F1435" s="29" t="s">
        <v>51</v>
      </c>
      <c r="G1435" s="29" t="s">
        <v>515</v>
      </c>
      <c r="H1435" s="29" t="s">
        <v>38</v>
      </c>
      <c r="I1435" s="29" t="s">
        <v>39</v>
      </c>
      <c r="J1435" s="29" t="s">
        <v>35</v>
      </c>
      <c r="K1435" s="29" t="s">
        <v>2609</v>
      </c>
      <c r="L1435" s="29" t="s">
        <v>2330</v>
      </c>
      <c r="M1435" s="29" t="s">
        <v>517</v>
      </c>
      <c r="N1435" s="29" t="s">
        <v>2416</v>
      </c>
      <c r="O1435" s="29" t="s">
        <v>35</v>
      </c>
      <c r="P1435" s="30" t="s">
        <v>2417</v>
      </c>
    </row>
    <row r="1436" s="25" customFormat="1" spans="1:16">
      <c r="A1436" s="29" t="s">
        <v>2609</v>
      </c>
      <c r="B1436" s="29" t="s">
        <v>2607</v>
      </c>
      <c r="C1436" s="29" t="s">
        <v>55</v>
      </c>
      <c r="D1436" s="29" t="s">
        <v>2192</v>
      </c>
      <c r="E1436" s="29" t="s">
        <v>35</v>
      </c>
      <c r="F1436" s="29" t="s">
        <v>51</v>
      </c>
      <c r="G1436" s="29" t="s">
        <v>515</v>
      </c>
      <c r="H1436" s="29" t="s">
        <v>38</v>
      </c>
      <c r="I1436" s="29" t="s">
        <v>39</v>
      </c>
      <c r="J1436" s="29" t="s">
        <v>47</v>
      </c>
      <c r="K1436" s="29" t="s">
        <v>2610</v>
      </c>
      <c r="L1436" s="29" t="s">
        <v>2334</v>
      </c>
      <c r="M1436" s="29" t="s">
        <v>517</v>
      </c>
      <c r="N1436" s="29" t="s">
        <v>2416</v>
      </c>
      <c r="O1436" s="29" t="s">
        <v>35</v>
      </c>
      <c r="P1436" s="30" t="s">
        <v>2420</v>
      </c>
    </row>
    <row r="1437" s="25" customFormat="1" spans="1:16">
      <c r="A1437" s="29" t="s">
        <v>2610</v>
      </c>
      <c r="B1437" s="29" t="s">
        <v>2607</v>
      </c>
      <c r="C1437" s="29" t="s">
        <v>55</v>
      </c>
      <c r="D1437" s="29" t="s">
        <v>2192</v>
      </c>
      <c r="E1437" s="29" t="s">
        <v>35</v>
      </c>
      <c r="F1437" s="29" t="s">
        <v>51</v>
      </c>
      <c r="G1437" s="29" t="s">
        <v>515</v>
      </c>
      <c r="H1437" s="29" t="s">
        <v>38</v>
      </c>
      <c r="I1437" s="29" t="s">
        <v>39</v>
      </c>
      <c r="J1437" s="29" t="s">
        <v>51</v>
      </c>
      <c r="K1437" s="29" t="s">
        <v>2611</v>
      </c>
      <c r="L1437" s="29" t="s">
        <v>2337</v>
      </c>
      <c r="M1437" s="29" t="s">
        <v>517</v>
      </c>
      <c r="N1437" s="29" t="s">
        <v>2416</v>
      </c>
      <c r="O1437" s="29" t="s">
        <v>35</v>
      </c>
      <c r="P1437" s="30" t="s">
        <v>2194</v>
      </c>
    </row>
    <row r="1438" s="25" customFormat="1" spans="1:16">
      <c r="A1438" s="29" t="s">
        <v>2611</v>
      </c>
      <c r="B1438" s="29" t="s">
        <v>2607</v>
      </c>
      <c r="C1438" s="29" t="s">
        <v>55</v>
      </c>
      <c r="D1438" s="29" t="s">
        <v>2192</v>
      </c>
      <c r="E1438" s="29" t="s">
        <v>35</v>
      </c>
      <c r="F1438" s="29" t="s">
        <v>51</v>
      </c>
      <c r="G1438" s="29" t="s">
        <v>515</v>
      </c>
      <c r="H1438" s="29" t="s">
        <v>38</v>
      </c>
      <c r="I1438" s="29" t="s">
        <v>39</v>
      </c>
      <c r="J1438" s="29" t="s">
        <v>55</v>
      </c>
      <c r="K1438" s="29" t="s">
        <v>2612</v>
      </c>
      <c r="L1438" s="29" t="s">
        <v>2340</v>
      </c>
      <c r="M1438" s="29" t="s">
        <v>517</v>
      </c>
      <c r="N1438" s="29" t="s">
        <v>2416</v>
      </c>
      <c r="O1438" s="29" t="s">
        <v>35</v>
      </c>
      <c r="P1438" s="30" t="s">
        <v>2425</v>
      </c>
    </row>
    <row r="1439" s="25" customFormat="1" spans="1:16">
      <c r="A1439" s="29" t="s">
        <v>2612</v>
      </c>
      <c r="B1439" s="29" t="s">
        <v>2607</v>
      </c>
      <c r="C1439" s="29" t="s">
        <v>55</v>
      </c>
      <c r="D1439" s="29" t="s">
        <v>2192</v>
      </c>
      <c r="E1439" s="29" t="s">
        <v>35</v>
      </c>
      <c r="F1439" s="29" t="s">
        <v>51</v>
      </c>
      <c r="G1439" s="29" t="s">
        <v>515</v>
      </c>
      <c r="H1439" s="29" t="s">
        <v>38</v>
      </c>
      <c r="I1439" s="29" t="s">
        <v>39</v>
      </c>
      <c r="J1439" s="29" t="s">
        <v>59</v>
      </c>
      <c r="K1439" s="29" t="s">
        <v>2613</v>
      </c>
      <c r="L1439" s="29" t="s">
        <v>2343</v>
      </c>
      <c r="M1439" s="29" t="s">
        <v>517</v>
      </c>
      <c r="N1439" s="29" t="s">
        <v>2416</v>
      </c>
      <c r="O1439" s="29" t="s">
        <v>35</v>
      </c>
      <c r="P1439" s="30" t="s">
        <v>2428</v>
      </c>
    </row>
    <row r="1440" s="25" customFormat="1" spans="1:16">
      <c r="A1440" s="29" t="s">
        <v>2613</v>
      </c>
      <c r="B1440" s="29" t="s">
        <v>2607</v>
      </c>
      <c r="C1440" s="29" t="s">
        <v>55</v>
      </c>
      <c r="D1440" s="29" t="s">
        <v>2192</v>
      </c>
      <c r="E1440" s="29" t="s">
        <v>35</v>
      </c>
      <c r="F1440" s="29" t="s">
        <v>51</v>
      </c>
      <c r="G1440" s="29" t="s">
        <v>515</v>
      </c>
      <c r="H1440" s="29" t="s">
        <v>38</v>
      </c>
      <c r="I1440" s="29" t="s">
        <v>39</v>
      </c>
      <c r="J1440" s="29" t="s">
        <v>129</v>
      </c>
      <c r="K1440" s="29" t="s">
        <v>2614</v>
      </c>
      <c r="L1440" s="29" t="s">
        <v>2346</v>
      </c>
      <c r="M1440" s="29" t="s">
        <v>517</v>
      </c>
      <c r="N1440" s="29" t="s">
        <v>2416</v>
      </c>
      <c r="O1440" s="29" t="s">
        <v>35</v>
      </c>
      <c r="P1440" s="30" t="s">
        <v>2200</v>
      </c>
    </row>
    <row r="1441" s="26" customFormat="1" spans="1:18">
      <c r="A1441" s="29" t="s">
        <v>2614</v>
      </c>
      <c r="B1441" s="29" t="s">
        <v>2607</v>
      </c>
      <c r="C1441" s="29" t="s">
        <v>55</v>
      </c>
      <c r="D1441" s="29" t="s">
        <v>2192</v>
      </c>
      <c r="E1441" s="29" t="s">
        <v>35</v>
      </c>
      <c r="F1441" s="29" t="s">
        <v>51</v>
      </c>
      <c r="G1441" s="29" t="s">
        <v>515</v>
      </c>
      <c r="H1441" s="29" t="s">
        <v>38</v>
      </c>
      <c r="I1441" s="29" t="s">
        <v>39</v>
      </c>
      <c r="J1441" s="29" t="s">
        <v>133</v>
      </c>
      <c r="K1441" s="29" t="s">
        <v>2615</v>
      </c>
      <c r="L1441" s="29" t="s">
        <v>2349</v>
      </c>
      <c r="M1441" s="29" t="s">
        <v>517</v>
      </c>
      <c r="N1441" s="29" t="s">
        <v>2416</v>
      </c>
      <c r="O1441" s="29" t="s">
        <v>35</v>
      </c>
      <c r="P1441" s="30" t="s">
        <v>2433</v>
      </c>
      <c r="Q1441" s="25"/>
      <c r="R1441" s="25"/>
    </row>
    <row r="1442" s="25" customFormat="1" spans="1:16">
      <c r="A1442" s="29" t="s">
        <v>2615</v>
      </c>
      <c r="B1442" s="29" t="s">
        <v>2607</v>
      </c>
      <c r="C1442" s="29" t="s">
        <v>55</v>
      </c>
      <c r="D1442" s="29" t="s">
        <v>2192</v>
      </c>
      <c r="E1442" s="29" t="s">
        <v>35</v>
      </c>
      <c r="F1442" s="29" t="s">
        <v>51</v>
      </c>
      <c r="G1442" s="29" t="s">
        <v>515</v>
      </c>
      <c r="H1442" s="29" t="s">
        <v>38</v>
      </c>
      <c r="I1442" s="29" t="s">
        <v>39</v>
      </c>
      <c r="J1442" s="29" t="s">
        <v>137</v>
      </c>
      <c r="K1442" s="29" t="s">
        <v>2616</v>
      </c>
      <c r="L1442" s="29" t="s">
        <v>2352</v>
      </c>
      <c r="M1442" s="29" t="s">
        <v>517</v>
      </c>
      <c r="N1442" s="29" t="s">
        <v>2416</v>
      </c>
      <c r="O1442" s="29" t="s">
        <v>35</v>
      </c>
      <c r="P1442" s="30" t="s">
        <v>2436</v>
      </c>
    </row>
    <row r="1443" s="25" customFormat="1" spans="1:16">
      <c r="A1443" s="29" t="s">
        <v>2616</v>
      </c>
      <c r="B1443" s="29" t="s">
        <v>2607</v>
      </c>
      <c r="C1443" s="29" t="s">
        <v>55</v>
      </c>
      <c r="D1443" s="29" t="s">
        <v>2192</v>
      </c>
      <c r="E1443" s="29" t="s">
        <v>35</v>
      </c>
      <c r="F1443" s="29" t="s">
        <v>51</v>
      </c>
      <c r="G1443" s="29" t="s">
        <v>515</v>
      </c>
      <c r="H1443" s="29" t="s">
        <v>38</v>
      </c>
      <c r="I1443" s="29" t="s">
        <v>39</v>
      </c>
      <c r="J1443" s="29" t="s">
        <v>141</v>
      </c>
      <c r="K1443" s="29" t="s">
        <v>2617</v>
      </c>
      <c r="L1443" s="29" t="s">
        <v>2355</v>
      </c>
      <c r="M1443" s="29" t="s">
        <v>517</v>
      </c>
      <c r="N1443" s="29" t="s">
        <v>2416</v>
      </c>
      <c r="O1443" s="29" t="s">
        <v>35</v>
      </c>
      <c r="P1443" s="30" t="s">
        <v>2439</v>
      </c>
    </row>
    <row r="1444" s="25" customFormat="1" spans="1:16">
      <c r="A1444" s="29" t="s">
        <v>2617</v>
      </c>
      <c r="B1444" s="29" t="s">
        <v>2607</v>
      </c>
      <c r="C1444" s="29" t="s">
        <v>55</v>
      </c>
      <c r="D1444" s="29" t="s">
        <v>2192</v>
      </c>
      <c r="E1444" s="29" t="s">
        <v>35</v>
      </c>
      <c r="F1444" s="29" t="s">
        <v>51</v>
      </c>
      <c r="G1444" s="29" t="s">
        <v>515</v>
      </c>
      <c r="H1444" s="29" t="s">
        <v>38</v>
      </c>
      <c r="I1444" s="29" t="s">
        <v>39</v>
      </c>
      <c r="J1444" s="29" t="s">
        <v>145</v>
      </c>
      <c r="K1444" s="29" t="s">
        <v>2618</v>
      </c>
      <c r="L1444" s="29" t="s">
        <v>2357</v>
      </c>
      <c r="M1444" s="29" t="s">
        <v>517</v>
      </c>
      <c r="N1444" s="29" t="s">
        <v>2416</v>
      </c>
      <c r="O1444" s="29" t="s">
        <v>35</v>
      </c>
      <c r="P1444" s="30" t="s">
        <v>2440</v>
      </c>
    </row>
    <row r="1445" s="25" customFormat="1" spans="1:16">
      <c r="A1445" s="29" t="s">
        <v>2618</v>
      </c>
      <c r="B1445" s="29" t="s">
        <v>2607</v>
      </c>
      <c r="C1445" s="29" t="s">
        <v>55</v>
      </c>
      <c r="D1445" s="29" t="s">
        <v>2192</v>
      </c>
      <c r="E1445" s="29" t="s">
        <v>35</v>
      </c>
      <c r="F1445" s="29" t="s">
        <v>51</v>
      </c>
      <c r="G1445" s="29" t="s">
        <v>515</v>
      </c>
      <c r="H1445" s="29" t="s">
        <v>38</v>
      </c>
      <c r="I1445" s="29" t="s">
        <v>39</v>
      </c>
      <c r="J1445" s="29" t="s">
        <v>408</v>
      </c>
      <c r="K1445" s="29" t="s">
        <v>2619</v>
      </c>
      <c r="L1445" s="29" t="s">
        <v>2620</v>
      </c>
      <c r="M1445" s="29" t="s">
        <v>517</v>
      </c>
      <c r="N1445" s="29" t="s">
        <v>2416</v>
      </c>
      <c r="O1445" s="29" t="s">
        <v>35</v>
      </c>
      <c r="P1445" s="30" t="s">
        <v>2621</v>
      </c>
    </row>
    <row r="1446" s="25" customFormat="1" spans="1:16">
      <c r="A1446" s="29" t="s">
        <v>2619</v>
      </c>
      <c r="B1446" s="29" t="s">
        <v>2607</v>
      </c>
      <c r="C1446" s="29" t="s">
        <v>55</v>
      </c>
      <c r="D1446" s="29" t="s">
        <v>2192</v>
      </c>
      <c r="E1446" s="29" t="s">
        <v>35</v>
      </c>
      <c r="F1446" s="29" t="s">
        <v>51</v>
      </c>
      <c r="G1446" s="29" t="s">
        <v>515</v>
      </c>
      <c r="H1446" s="29" t="s">
        <v>38</v>
      </c>
      <c r="I1446" s="29" t="s">
        <v>39</v>
      </c>
      <c r="J1446" s="29" t="s">
        <v>412</v>
      </c>
      <c r="K1446" s="29" t="s">
        <v>2622</v>
      </c>
      <c r="L1446" s="29" t="s">
        <v>2623</v>
      </c>
      <c r="M1446" s="29" t="s">
        <v>517</v>
      </c>
      <c r="N1446" s="29" t="s">
        <v>2416</v>
      </c>
      <c r="O1446" s="29" t="s">
        <v>35</v>
      </c>
      <c r="P1446" s="30" t="s">
        <v>2624</v>
      </c>
    </row>
    <row r="1447" s="25" customFormat="1" spans="1:16">
      <c r="A1447" s="29" t="s">
        <v>2622</v>
      </c>
      <c r="B1447" s="29" t="s">
        <v>2607</v>
      </c>
      <c r="C1447" s="29" t="s">
        <v>55</v>
      </c>
      <c r="D1447" s="29" t="s">
        <v>2192</v>
      </c>
      <c r="E1447" s="29" t="s">
        <v>35</v>
      </c>
      <c r="F1447" s="29" t="s">
        <v>51</v>
      </c>
      <c r="G1447" s="29" t="s">
        <v>515</v>
      </c>
      <c r="H1447" s="29" t="s">
        <v>38</v>
      </c>
      <c r="I1447" s="29" t="s">
        <v>39</v>
      </c>
      <c r="J1447" s="29" t="s">
        <v>416</v>
      </c>
      <c r="K1447" s="29" t="s">
        <v>2625</v>
      </c>
      <c r="L1447" s="29" t="s">
        <v>2626</v>
      </c>
      <c r="M1447" s="29" t="s">
        <v>517</v>
      </c>
      <c r="N1447" s="29" t="s">
        <v>2416</v>
      </c>
      <c r="O1447" s="29" t="s">
        <v>35</v>
      </c>
      <c r="P1447" s="30" t="s">
        <v>2627</v>
      </c>
    </row>
    <row r="1448" s="25" customFormat="1" spans="1:16">
      <c r="A1448" s="29" t="s">
        <v>2625</v>
      </c>
      <c r="B1448" s="29" t="s">
        <v>2607</v>
      </c>
      <c r="C1448" s="29" t="s">
        <v>55</v>
      </c>
      <c r="D1448" s="29" t="s">
        <v>2192</v>
      </c>
      <c r="E1448" s="29" t="s">
        <v>35</v>
      </c>
      <c r="F1448" s="29" t="s">
        <v>51</v>
      </c>
      <c r="G1448" s="29" t="s">
        <v>515</v>
      </c>
      <c r="H1448" s="29" t="s">
        <v>38</v>
      </c>
      <c r="I1448" s="29" t="s">
        <v>39</v>
      </c>
      <c r="J1448" s="29" t="s">
        <v>420</v>
      </c>
      <c r="K1448" s="29" t="s">
        <v>2628</v>
      </c>
      <c r="L1448" s="29" t="s">
        <v>2629</v>
      </c>
      <c r="M1448" s="29" t="s">
        <v>517</v>
      </c>
      <c r="N1448" s="29" t="s">
        <v>2416</v>
      </c>
      <c r="O1448" s="29" t="s">
        <v>35</v>
      </c>
      <c r="P1448" s="30" t="s">
        <v>2630</v>
      </c>
    </row>
    <row r="1449" s="25" customFormat="1" spans="1:16">
      <c r="A1449" s="29" t="s">
        <v>2628</v>
      </c>
      <c r="B1449" s="29" t="s">
        <v>2607</v>
      </c>
      <c r="C1449" s="29" t="s">
        <v>55</v>
      </c>
      <c r="D1449" s="29" t="s">
        <v>2192</v>
      </c>
      <c r="E1449" s="29" t="s">
        <v>35</v>
      </c>
      <c r="F1449" s="29" t="s">
        <v>51</v>
      </c>
      <c r="G1449" s="29" t="s">
        <v>515</v>
      </c>
      <c r="H1449" s="29" t="s">
        <v>38</v>
      </c>
      <c r="I1449" s="29" t="s">
        <v>39</v>
      </c>
      <c r="J1449" s="29" t="s">
        <v>424</v>
      </c>
      <c r="K1449" s="29" t="s">
        <v>39</v>
      </c>
      <c r="L1449" s="29" t="s">
        <v>2631</v>
      </c>
      <c r="M1449" s="29" t="s">
        <v>517</v>
      </c>
      <c r="N1449" s="29" t="s">
        <v>2416</v>
      </c>
      <c r="O1449" s="29" t="s">
        <v>35</v>
      </c>
      <c r="P1449" s="30" t="s">
        <v>2632</v>
      </c>
    </row>
    <row r="1450" s="25" customFormat="1" spans="1:16">
      <c r="A1450" s="29" t="s">
        <v>2633</v>
      </c>
      <c r="B1450" s="29" t="s">
        <v>2633</v>
      </c>
      <c r="C1450" s="29" t="s">
        <v>55</v>
      </c>
      <c r="D1450" s="29" t="s">
        <v>2192</v>
      </c>
      <c r="E1450" s="29" t="s">
        <v>35</v>
      </c>
      <c r="F1450" s="29" t="s">
        <v>51</v>
      </c>
      <c r="G1450" s="29" t="s">
        <v>543</v>
      </c>
      <c r="H1450" s="29" t="s">
        <v>63</v>
      </c>
      <c r="I1450" s="29" t="s">
        <v>39</v>
      </c>
      <c r="J1450" s="29" t="s">
        <v>39</v>
      </c>
      <c r="K1450" s="29" t="s">
        <v>2634</v>
      </c>
      <c r="L1450" s="29" t="s">
        <v>2326</v>
      </c>
      <c r="M1450" s="29" t="s">
        <v>545</v>
      </c>
      <c r="N1450" s="29" t="s">
        <v>2204</v>
      </c>
      <c r="O1450" s="29" t="s">
        <v>47</v>
      </c>
      <c r="P1450" s="30" t="s">
        <v>2205</v>
      </c>
    </row>
    <row r="1451" s="25" customFormat="1" spans="1:16">
      <c r="A1451" s="29" t="s">
        <v>2634</v>
      </c>
      <c r="B1451" s="29" t="s">
        <v>2633</v>
      </c>
      <c r="C1451" s="29" t="s">
        <v>55</v>
      </c>
      <c r="D1451" s="29" t="s">
        <v>2192</v>
      </c>
      <c r="E1451" s="29" t="s">
        <v>35</v>
      </c>
      <c r="F1451" s="29" t="s">
        <v>51</v>
      </c>
      <c r="G1451" s="29" t="s">
        <v>543</v>
      </c>
      <c r="H1451" s="29" t="s">
        <v>63</v>
      </c>
      <c r="I1451" s="29" t="s">
        <v>39</v>
      </c>
      <c r="J1451" s="29" t="s">
        <v>35</v>
      </c>
      <c r="K1451" s="29" t="s">
        <v>2635</v>
      </c>
      <c r="L1451" s="29" t="s">
        <v>2330</v>
      </c>
      <c r="M1451" s="29" t="s">
        <v>545</v>
      </c>
      <c r="N1451" s="29" t="s">
        <v>2444</v>
      </c>
      <c r="O1451" s="29" t="s">
        <v>47</v>
      </c>
      <c r="P1451" s="30" t="s">
        <v>2445</v>
      </c>
    </row>
    <row r="1452" s="26" customFormat="1" spans="1:18">
      <c r="A1452" s="29" t="s">
        <v>2635</v>
      </c>
      <c r="B1452" s="29" t="s">
        <v>2633</v>
      </c>
      <c r="C1452" s="29" t="s">
        <v>55</v>
      </c>
      <c r="D1452" s="29" t="s">
        <v>2192</v>
      </c>
      <c r="E1452" s="29" t="s">
        <v>35</v>
      </c>
      <c r="F1452" s="29" t="s">
        <v>51</v>
      </c>
      <c r="G1452" s="29" t="s">
        <v>543</v>
      </c>
      <c r="H1452" s="29" t="s">
        <v>63</v>
      </c>
      <c r="I1452" s="29" t="s">
        <v>39</v>
      </c>
      <c r="J1452" s="29" t="s">
        <v>47</v>
      </c>
      <c r="K1452" s="29" t="s">
        <v>2636</v>
      </c>
      <c r="L1452" s="29" t="s">
        <v>2334</v>
      </c>
      <c r="M1452" s="29" t="s">
        <v>545</v>
      </c>
      <c r="N1452" s="29" t="s">
        <v>2444</v>
      </c>
      <c r="O1452" s="29" t="s">
        <v>47</v>
      </c>
      <c r="P1452" s="30" t="s">
        <v>2447</v>
      </c>
      <c r="Q1452" s="25"/>
      <c r="R1452" s="25"/>
    </row>
    <row r="1453" s="25" customFormat="1" spans="1:16">
      <c r="A1453" s="29" t="s">
        <v>2636</v>
      </c>
      <c r="B1453" s="29" t="s">
        <v>2633</v>
      </c>
      <c r="C1453" s="29" t="s">
        <v>55</v>
      </c>
      <c r="D1453" s="29" t="s">
        <v>2192</v>
      </c>
      <c r="E1453" s="29" t="s">
        <v>35</v>
      </c>
      <c r="F1453" s="29" t="s">
        <v>51</v>
      </c>
      <c r="G1453" s="29" t="s">
        <v>543</v>
      </c>
      <c r="H1453" s="29" t="s">
        <v>63</v>
      </c>
      <c r="I1453" s="29" t="s">
        <v>39</v>
      </c>
      <c r="J1453" s="29" t="s">
        <v>51</v>
      </c>
      <c r="K1453" s="29" t="s">
        <v>2637</v>
      </c>
      <c r="L1453" s="29" t="s">
        <v>2337</v>
      </c>
      <c r="M1453" s="29" t="s">
        <v>545</v>
      </c>
      <c r="N1453" s="29" t="s">
        <v>2444</v>
      </c>
      <c r="O1453" s="29" t="s">
        <v>47</v>
      </c>
      <c r="P1453" s="30" t="s">
        <v>2449</v>
      </c>
    </row>
    <row r="1454" s="25" customFormat="1" spans="1:16">
      <c r="A1454" s="29" t="s">
        <v>2637</v>
      </c>
      <c r="B1454" s="29" t="s">
        <v>2633</v>
      </c>
      <c r="C1454" s="29" t="s">
        <v>55</v>
      </c>
      <c r="D1454" s="29" t="s">
        <v>2192</v>
      </c>
      <c r="E1454" s="29" t="s">
        <v>35</v>
      </c>
      <c r="F1454" s="29" t="s">
        <v>51</v>
      </c>
      <c r="G1454" s="29" t="s">
        <v>543</v>
      </c>
      <c r="H1454" s="29" t="s">
        <v>63</v>
      </c>
      <c r="I1454" s="29" t="s">
        <v>39</v>
      </c>
      <c r="J1454" s="29" t="s">
        <v>55</v>
      </c>
      <c r="K1454" s="29" t="s">
        <v>2638</v>
      </c>
      <c r="L1454" s="29" t="s">
        <v>2340</v>
      </c>
      <c r="M1454" s="29" t="s">
        <v>545</v>
      </c>
      <c r="N1454" s="29" t="s">
        <v>2444</v>
      </c>
      <c r="O1454" s="29" t="s">
        <v>47</v>
      </c>
      <c r="P1454" s="30" t="s">
        <v>2451</v>
      </c>
    </row>
    <row r="1455" s="25" customFormat="1" spans="1:16">
      <c r="A1455" s="29" t="s">
        <v>2638</v>
      </c>
      <c r="B1455" s="29" t="s">
        <v>2633</v>
      </c>
      <c r="C1455" s="29" t="s">
        <v>55</v>
      </c>
      <c r="D1455" s="29" t="s">
        <v>2192</v>
      </c>
      <c r="E1455" s="29" t="s">
        <v>35</v>
      </c>
      <c r="F1455" s="29" t="s">
        <v>51</v>
      </c>
      <c r="G1455" s="29" t="s">
        <v>543</v>
      </c>
      <c r="H1455" s="29" t="s">
        <v>63</v>
      </c>
      <c r="I1455" s="29" t="s">
        <v>39</v>
      </c>
      <c r="J1455" s="29" t="s">
        <v>59</v>
      </c>
      <c r="K1455" s="29" t="s">
        <v>2639</v>
      </c>
      <c r="L1455" s="29" t="s">
        <v>2343</v>
      </c>
      <c r="M1455" s="29" t="s">
        <v>545</v>
      </c>
      <c r="N1455" s="29" t="s">
        <v>2444</v>
      </c>
      <c r="O1455" s="29" t="s">
        <v>47</v>
      </c>
      <c r="P1455" s="30" t="s">
        <v>2453</v>
      </c>
    </row>
    <row r="1456" s="25" customFormat="1" spans="1:16">
      <c r="A1456" s="29" t="s">
        <v>2639</v>
      </c>
      <c r="B1456" s="29" t="s">
        <v>2633</v>
      </c>
      <c r="C1456" s="29" t="s">
        <v>55</v>
      </c>
      <c r="D1456" s="29" t="s">
        <v>2192</v>
      </c>
      <c r="E1456" s="29" t="s">
        <v>35</v>
      </c>
      <c r="F1456" s="29" t="s">
        <v>51</v>
      </c>
      <c r="G1456" s="29" t="s">
        <v>543</v>
      </c>
      <c r="H1456" s="29" t="s">
        <v>63</v>
      </c>
      <c r="I1456" s="29" t="s">
        <v>39</v>
      </c>
      <c r="J1456" s="29" t="s">
        <v>129</v>
      </c>
      <c r="K1456" s="29" t="s">
        <v>2640</v>
      </c>
      <c r="L1456" s="29" t="s">
        <v>2346</v>
      </c>
      <c r="M1456" s="29" t="s">
        <v>545</v>
      </c>
      <c r="N1456" s="29" t="s">
        <v>2444</v>
      </c>
      <c r="O1456" s="29" t="s">
        <v>47</v>
      </c>
      <c r="P1456" s="30" t="s">
        <v>2215</v>
      </c>
    </row>
    <row r="1457" s="25" customFormat="1" spans="1:16">
      <c r="A1457" s="29" t="s">
        <v>2640</v>
      </c>
      <c r="B1457" s="29" t="s">
        <v>2633</v>
      </c>
      <c r="C1457" s="29" t="s">
        <v>55</v>
      </c>
      <c r="D1457" s="29" t="s">
        <v>2192</v>
      </c>
      <c r="E1457" s="29" t="s">
        <v>35</v>
      </c>
      <c r="F1457" s="29" t="s">
        <v>51</v>
      </c>
      <c r="G1457" s="29" t="s">
        <v>543</v>
      </c>
      <c r="H1457" s="29" t="s">
        <v>63</v>
      </c>
      <c r="I1457" s="29" t="s">
        <v>39</v>
      </c>
      <c r="J1457" s="29" t="s">
        <v>133</v>
      </c>
      <c r="K1457" s="29" t="s">
        <v>2641</v>
      </c>
      <c r="L1457" s="29" t="s">
        <v>2349</v>
      </c>
      <c r="M1457" s="29" t="s">
        <v>545</v>
      </c>
      <c r="N1457" s="29" t="s">
        <v>2444</v>
      </c>
      <c r="O1457" s="29" t="s">
        <v>47</v>
      </c>
      <c r="P1457" s="30" t="s">
        <v>2456</v>
      </c>
    </row>
    <row r="1458" s="25" customFormat="1" spans="1:16">
      <c r="A1458" s="29" t="s">
        <v>2641</v>
      </c>
      <c r="B1458" s="29" t="s">
        <v>2633</v>
      </c>
      <c r="C1458" s="29" t="s">
        <v>55</v>
      </c>
      <c r="D1458" s="29" t="s">
        <v>2192</v>
      </c>
      <c r="E1458" s="29" t="s">
        <v>35</v>
      </c>
      <c r="F1458" s="29" t="s">
        <v>51</v>
      </c>
      <c r="G1458" s="29" t="s">
        <v>543</v>
      </c>
      <c r="H1458" s="29" t="s">
        <v>63</v>
      </c>
      <c r="I1458" s="29" t="s">
        <v>39</v>
      </c>
      <c r="J1458" s="29" t="s">
        <v>137</v>
      </c>
      <c r="K1458" s="29" t="s">
        <v>2642</v>
      </c>
      <c r="L1458" s="29" t="s">
        <v>2352</v>
      </c>
      <c r="M1458" s="29" t="s">
        <v>545</v>
      </c>
      <c r="N1458" s="29" t="s">
        <v>2444</v>
      </c>
      <c r="O1458" s="29" t="s">
        <v>47</v>
      </c>
      <c r="P1458" s="30" t="s">
        <v>2458</v>
      </c>
    </row>
    <row r="1459" s="25" customFormat="1" spans="1:16">
      <c r="A1459" s="29" t="s">
        <v>2642</v>
      </c>
      <c r="B1459" s="29" t="s">
        <v>2633</v>
      </c>
      <c r="C1459" s="29" t="s">
        <v>55</v>
      </c>
      <c r="D1459" s="29" t="s">
        <v>2192</v>
      </c>
      <c r="E1459" s="29" t="s">
        <v>35</v>
      </c>
      <c r="F1459" s="29" t="s">
        <v>51</v>
      </c>
      <c r="G1459" s="29" t="s">
        <v>543</v>
      </c>
      <c r="H1459" s="29" t="s">
        <v>63</v>
      </c>
      <c r="I1459" s="29" t="s">
        <v>39</v>
      </c>
      <c r="J1459" s="29" t="s">
        <v>141</v>
      </c>
      <c r="K1459" s="29" t="s">
        <v>2643</v>
      </c>
      <c r="L1459" s="29" t="s">
        <v>2355</v>
      </c>
      <c r="M1459" s="29" t="s">
        <v>545</v>
      </c>
      <c r="N1459" s="29" t="s">
        <v>2444</v>
      </c>
      <c r="O1459" s="29" t="s">
        <v>47</v>
      </c>
      <c r="P1459" s="30" t="s">
        <v>2460</v>
      </c>
    </row>
    <row r="1460" s="25" customFormat="1" spans="1:16">
      <c r="A1460" s="29" t="s">
        <v>2643</v>
      </c>
      <c r="B1460" s="29" t="s">
        <v>2633</v>
      </c>
      <c r="C1460" s="29" t="s">
        <v>55</v>
      </c>
      <c r="D1460" s="29" t="s">
        <v>2192</v>
      </c>
      <c r="E1460" s="29" t="s">
        <v>35</v>
      </c>
      <c r="F1460" s="29" t="s">
        <v>51</v>
      </c>
      <c r="G1460" s="29" t="s">
        <v>543</v>
      </c>
      <c r="H1460" s="29" t="s">
        <v>63</v>
      </c>
      <c r="I1460" s="29" t="s">
        <v>39</v>
      </c>
      <c r="J1460" s="29" t="s">
        <v>145</v>
      </c>
      <c r="K1460" s="29" t="s">
        <v>2644</v>
      </c>
      <c r="L1460" s="29" t="s">
        <v>2357</v>
      </c>
      <c r="M1460" s="29" t="s">
        <v>545</v>
      </c>
      <c r="N1460" s="29" t="s">
        <v>2444</v>
      </c>
      <c r="O1460" s="29" t="s">
        <v>47</v>
      </c>
      <c r="P1460" s="30" t="s">
        <v>2461</v>
      </c>
    </row>
    <row r="1461" s="25" customFormat="1" spans="1:16">
      <c r="A1461" s="29" t="s">
        <v>2644</v>
      </c>
      <c r="B1461" s="29" t="s">
        <v>2633</v>
      </c>
      <c r="C1461" s="29" t="s">
        <v>55</v>
      </c>
      <c r="D1461" s="29" t="s">
        <v>2192</v>
      </c>
      <c r="E1461" s="29" t="s">
        <v>35</v>
      </c>
      <c r="F1461" s="29" t="s">
        <v>51</v>
      </c>
      <c r="G1461" s="29" t="s">
        <v>543</v>
      </c>
      <c r="H1461" s="29" t="s">
        <v>63</v>
      </c>
      <c r="I1461" s="29" t="s">
        <v>39</v>
      </c>
      <c r="J1461" s="29" t="s">
        <v>408</v>
      </c>
      <c r="K1461" s="29" t="s">
        <v>2645</v>
      </c>
      <c r="L1461" s="29" t="s">
        <v>2620</v>
      </c>
      <c r="M1461" s="29" t="s">
        <v>545</v>
      </c>
      <c r="N1461" s="29" t="s">
        <v>2444</v>
      </c>
      <c r="O1461" s="29" t="s">
        <v>47</v>
      </c>
      <c r="P1461" s="30" t="s">
        <v>2646</v>
      </c>
    </row>
    <row r="1462" s="25" customFormat="1" spans="1:16">
      <c r="A1462" s="29" t="s">
        <v>2645</v>
      </c>
      <c r="B1462" s="29" t="s">
        <v>2633</v>
      </c>
      <c r="C1462" s="29" t="s">
        <v>55</v>
      </c>
      <c r="D1462" s="29" t="s">
        <v>2192</v>
      </c>
      <c r="E1462" s="29" t="s">
        <v>35</v>
      </c>
      <c r="F1462" s="29" t="s">
        <v>51</v>
      </c>
      <c r="G1462" s="29" t="s">
        <v>543</v>
      </c>
      <c r="H1462" s="29" t="s">
        <v>63</v>
      </c>
      <c r="I1462" s="29" t="s">
        <v>39</v>
      </c>
      <c r="J1462" s="29" t="s">
        <v>412</v>
      </c>
      <c r="K1462" s="29" t="s">
        <v>2647</v>
      </c>
      <c r="L1462" s="29" t="s">
        <v>2623</v>
      </c>
      <c r="M1462" s="29" t="s">
        <v>545</v>
      </c>
      <c r="N1462" s="29" t="s">
        <v>2444</v>
      </c>
      <c r="O1462" s="29" t="s">
        <v>47</v>
      </c>
      <c r="P1462" s="30" t="s">
        <v>2648</v>
      </c>
    </row>
    <row r="1463" s="26" customFormat="1" spans="1:18">
      <c r="A1463" s="29" t="s">
        <v>2647</v>
      </c>
      <c r="B1463" s="29" t="s">
        <v>2633</v>
      </c>
      <c r="C1463" s="29" t="s">
        <v>55</v>
      </c>
      <c r="D1463" s="29" t="s">
        <v>2192</v>
      </c>
      <c r="E1463" s="29" t="s">
        <v>35</v>
      </c>
      <c r="F1463" s="29" t="s">
        <v>51</v>
      </c>
      <c r="G1463" s="29" t="s">
        <v>543</v>
      </c>
      <c r="H1463" s="29" t="s">
        <v>63</v>
      </c>
      <c r="I1463" s="29" t="s">
        <v>39</v>
      </c>
      <c r="J1463" s="29" t="s">
        <v>416</v>
      </c>
      <c r="K1463" s="29" t="s">
        <v>2649</v>
      </c>
      <c r="L1463" s="29" t="s">
        <v>2650</v>
      </c>
      <c r="M1463" s="29" t="s">
        <v>545</v>
      </c>
      <c r="N1463" s="29" t="s">
        <v>2444</v>
      </c>
      <c r="O1463" s="29" t="s">
        <v>47</v>
      </c>
      <c r="P1463" s="30" t="s">
        <v>2651</v>
      </c>
      <c r="Q1463" s="25"/>
      <c r="R1463" s="25"/>
    </row>
    <row r="1464" s="25" customFormat="1" spans="1:16">
      <c r="A1464" s="29" t="s">
        <v>2649</v>
      </c>
      <c r="B1464" s="29" t="s">
        <v>2633</v>
      </c>
      <c r="C1464" s="29" t="s">
        <v>55</v>
      </c>
      <c r="D1464" s="29" t="s">
        <v>2192</v>
      </c>
      <c r="E1464" s="29" t="s">
        <v>35</v>
      </c>
      <c r="F1464" s="29" t="s">
        <v>51</v>
      </c>
      <c r="G1464" s="29" t="s">
        <v>543</v>
      </c>
      <c r="H1464" s="29" t="s">
        <v>63</v>
      </c>
      <c r="I1464" s="29" t="s">
        <v>39</v>
      </c>
      <c r="J1464" s="29" t="s">
        <v>420</v>
      </c>
      <c r="K1464" s="29" t="s">
        <v>2652</v>
      </c>
      <c r="L1464" s="29" t="s">
        <v>2653</v>
      </c>
      <c r="M1464" s="29" t="s">
        <v>545</v>
      </c>
      <c r="N1464" s="29" t="s">
        <v>2444</v>
      </c>
      <c r="O1464" s="29" t="s">
        <v>47</v>
      </c>
      <c r="P1464" s="30" t="s">
        <v>2654</v>
      </c>
    </row>
    <row r="1465" s="25" customFormat="1" spans="1:16">
      <c r="A1465" s="29" t="s">
        <v>2652</v>
      </c>
      <c r="B1465" s="29" t="s">
        <v>2633</v>
      </c>
      <c r="C1465" s="29" t="s">
        <v>55</v>
      </c>
      <c r="D1465" s="29" t="s">
        <v>2192</v>
      </c>
      <c r="E1465" s="29" t="s">
        <v>35</v>
      </c>
      <c r="F1465" s="29" t="s">
        <v>51</v>
      </c>
      <c r="G1465" s="29" t="s">
        <v>543</v>
      </c>
      <c r="H1465" s="29" t="s">
        <v>63</v>
      </c>
      <c r="I1465" s="29" t="s">
        <v>39</v>
      </c>
      <c r="J1465" s="29" t="s">
        <v>424</v>
      </c>
      <c r="K1465" s="29" t="s">
        <v>39</v>
      </c>
      <c r="L1465" s="29" t="s">
        <v>39</v>
      </c>
      <c r="M1465" s="29" t="s">
        <v>39</v>
      </c>
      <c r="N1465" s="29" t="s">
        <v>2444</v>
      </c>
      <c r="O1465" s="29" t="s">
        <v>47</v>
      </c>
      <c r="P1465" s="30" t="s">
        <v>2655</v>
      </c>
    </row>
    <row r="1466" s="25" customFormat="1" spans="1:16">
      <c r="A1466" s="29" t="s">
        <v>2656</v>
      </c>
      <c r="B1466" s="29" t="s">
        <v>2656</v>
      </c>
      <c r="C1466" s="29" t="s">
        <v>55</v>
      </c>
      <c r="D1466" s="29" t="s">
        <v>2192</v>
      </c>
      <c r="E1466" s="29" t="s">
        <v>35</v>
      </c>
      <c r="F1466" s="29" t="s">
        <v>51</v>
      </c>
      <c r="G1466" s="29" t="s">
        <v>568</v>
      </c>
      <c r="H1466" s="29" t="s">
        <v>80</v>
      </c>
      <c r="I1466" s="29" t="s">
        <v>39</v>
      </c>
      <c r="J1466" s="29" t="s">
        <v>39</v>
      </c>
      <c r="K1466" s="29" t="s">
        <v>2657</v>
      </c>
      <c r="L1466" s="29" t="s">
        <v>2326</v>
      </c>
      <c r="M1466" s="29" t="s">
        <v>545</v>
      </c>
      <c r="N1466" s="29" t="s">
        <v>2218</v>
      </c>
      <c r="O1466" s="29" t="s">
        <v>51</v>
      </c>
      <c r="P1466" s="30" t="s">
        <v>2219</v>
      </c>
    </row>
    <row r="1467" s="25" customFormat="1" spans="1:16">
      <c r="A1467" s="29" t="s">
        <v>2657</v>
      </c>
      <c r="B1467" s="29" t="s">
        <v>2656</v>
      </c>
      <c r="C1467" s="29" t="s">
        <v>55</v>
      </c>
      <c r="D1467" s="29" t="s">
        <v>2192</v>
      </c>
      <c r="E1467" s="29" t="s">
        <v>35</v>
      </c>
      <c r="F1467" s="29" t="s">
        <v>51</v>
      </c>
      <c r="G1467" s="29" t="s">
        <v>568</v>
      </c>
      <c r="H1467" s="29" t="s">
        <v>80</v>
      </c>
      <c r="I1467" s="29" t="s">
        <v>39</v>
      </c>
      <c r="J1467" s="29" t="s">
        <v>35</v>
      </c>
      <c r="K1467" s="29" t="s">
        <v>2658</v>
      </c>
      <c r="L1467" s="29" t="s">
        <v>2330</v>
      </c>
      <c r="M1467" s="29" t="s">
        <v>545</v>
      </c>
      <c r="N1467" s="29" t="s">
        <v>2465</v>
      </c>
      <c r="O1467" s="29" t="s">
        <v>51</v>
      </c>
      <c r="P1467" s="30" t="s">
        <v>2466</v>
      </c>
    </row>
    <row r="1468" s="25" customFormat="1" spans="1:16">
      <c r="A1468" s="29" t="s">
        <v>2658</v>
      </c>
      <c r="B1468" s="29" t="s">
        <v>2656</v>
      </c>
      <c r="C1468" s="29" t="s">
        <v>55</v>
      </c>
      <c r="D1468" s="29" t="s">
        <v>2192</v>
      </c>
      <c r="E1468" s="29" t="s">
        <v>35</v>
      </c>
      <c r="F1468" s="29" t="s">
        <v>51</v>
      </c>
      <c r="G1468" s="29" t="s">
        <v>568</v>
      </c>
      <c r="H1468" s="29" t="s">
        <v>80</v>
      </c>
      <c r="I1468" s="29" t="s">
        <v>39</v>
      </c>
      <c r="J1468" s="29" t="s">
        <v>47</v>
      </c>
      <c r="K1468" s="29" t="s">
        <v>2659</v>
      </c>
      <c r="L1468" s="29" t="s">
        <v>2334</v>
      </c>
      <c r="M1468" s="29" t="s">
        <v>545</v>
      </c>
      <c r="N1468" s="29" t="s">
        <v>2465</v>
      </c>
      <c r="O1468" s="29" t="s">
        <v>51</v>
      </c>
      <c r="P1468" s="30" t="s">
        <v>2468</v>
      </c>
    </row>
    <row r="1469" s="25" customFormat="1" spans="1:16">
      <c r="A1469" s="29" t="s">
        <v>2659</v>
      </c>
      <c r="B1469" s="29" t="s">
        <v>2656</v>
      </c>
      <c r="C1469" s="29" t="s">
        <v>55</v>
      </c>
      <c r="D1469" s="29" t="s">
        <v>2192</v>
      </c>
      <c r="E1469" s="29" t="s">
        <v>35</v>
      </c>
      <c r="F1469" s="29" t="s">
        <v>51</v>
      </c>
      <c r="G1469" s="29" t="s">
        <v>568</v>
      </c>
      <c r="H1469" s="29" t="s">
        <v>80</v>
      </c>
      <c r="I1469" s="29" t="s">
        <v>39</v>
      </c>
      <c r="J1469" s="29" t="s">
        <v>51</v>
      </c>
      <c r="K1469" s="29" t="s">
        <v>2660</v>
      </c>
      <c r="L1469" s="29" t="s">
        <v>2337</v>
      </c>
      <c r="M1469" s="29" t="s">
        <v>545</v>
      </c>
      <c r="N1469" s="29" t="s">
        <v>2465</v>
      </c>
      <c r="O1469" s="29" t="s">
        <v>51</v>
      </c>
      <c r="P1469" s="30" t="s">
        <v>2470</v>
      </c>
    </row>
    <row r="1470" s="25" customFormat="1" spans="1:16">
      <c r="A1470" s="29" t="s">
        <v>2660</v>
      </c>
      <c r="B1470" s="29" t="s">
        <v>2656</v>
      </c>
      <c r="C1470" s="29" t="s">
        <v>55</v>
      </c>
      <c r="D1470" s="29" t="s">
        <v>2192</v>
      </c>
      <c r="E1470" s="29" t="s">
        <v>35</v>
      </c>
      <c r="F1470" s="29" t="s">
        <v>51</v>
      </c>
      <c r="G1470" s="29" t="s">
        <v>568</v>
      </c>
      <c r="H1470" s="29" t="s">
        <v>80</v>
      </c>
      <c r="I1470" s="29" t="s">
        <v>39</v>
      </c>
      <c r="J1470" s="29" t="s">
        <v>55</v>
      </c>
      <c r="K1470" s="29" t="s">
        <v>2661</v>
      </c>
      <c r="L1470" s="29" t="s">
        <v>2340</v>
      </c>
      <c r="M1470" s="29" t="s">
        <v>545</v>
      </c>
      <c r="N1470" s="29" t="s">
        <v>2465</v>
      </c>
      <c r="O1470" s="29" t="s">
        <v>51</v>
      </c>
      <c r="P1470" s="30" t="s">
        <v>2472</v>
      </c>
    </row>
    <row r="1471" s="25" customFormat="1" spans="1:16">
      <c r="A1471" s="29" t="s">
        <v>2661</v>
      </c>
      <c r="B1471" s="29" t="s">
        <v>2656</v>
      </c>
      <c r="C1471" s="29" t="s">
        <v>55</v>
      </c>
      <c r="D1471" s="29" t="s">
        <v>2192</v>
      </c>
      <c r="E1471" s="29" t="s">
        <v>35</v>
      </c>
      <c r="F1471" s="29" t="s">
        <v>51</v>
      </c>
      <c r="G1471" s="29" t="s">
        <v>568</v>
      </c>
      <c r="H1471" s="29" t="s">
        <v>80</v>
      </c>
      <c r="I1471" s="29" t="s">
        <v>39</v>
      </c>
      <c r="J1471" s="29" t="s">
        <v>59</v>
      </c>
      <c r="K1471" s="29" t="s">
        <v>2662</v>
      </c>
      <c r="L1471" s="29" t="s">
        <v>2343</v>
      </c>
      <c r="M1471" s="29" t="s">
        <v>545</v>
      </c>
      <c r="N1471" s="29" t="s">
        <v>2465</v>
      </c>
      <c r="O1471" s="29" t="s">
        <v>51</v>
      </c>
      <c r="P1471" s="30" t="s">
        <v>2228</v>
      </c>
    </row>
    <row r="1472" s="25" customFormat="1" spans="1:16">
      <c r="A1472" s="29" t="s">
        <v>2662</v>
      </c>
      <c r="B1472" s="29" t="s">
        <v>2656</v>
      </c>
      <c r="C1472" s="29" t="s">
        <v>55</v>
      </c>
      <c r="D1472" s="29" t="s">
        <v>2192</v>
      </c>
      <c r="E1472" s="29" t="s">
        <v>35</v>
      </c>
      <c r="F1472" s="29" t="s">
        <v>51</v>
      </c>
      <c r="G1472" s="29" t="s">
        <v>568</v>
      </c>
      <c r="H1472" s="29" t="s">
        <v>80</v>
      </c>
      <c r="I1472" s="29" t="s">
        <v>39</v>
      </c>
      <c r="J1472" s="29" t="s">
        <v>129</v>
      </c>
      <c r="K1472" s="29" t="s">
        <v>2663</v>
      </c>
      <c r="L1472" s="29" t="s">
        <v>2346</v>
      </c>
      <c r="M1472" s="29" t="s">
        <v>545</v>
      </c>
      <c r="N1472" s="29" t="s">
        <v>2465</v>
      </c>
      <c r="O1472" s="29" t="s">
        <v>51</v>
      </c>
      <c r="P1472" s="30" t="s">
        <v>2475</v>
      </c>
    </row>
    <row r="1473" s="25" customFormat="1" spans="1:16">
      <c r="A1473" s="29" t="s">
        <v>2663</v>
      </c>
      <c r="B1473" s="29" t="s">
        <v>2656</v>
      </c>
      <c r="C1473" s="29" t="s">
        <v>55</v>
      </c>
      <c r="D1473" s="29" t="s">
        <v>2192</v>
      </c>
      <c r="E1473" s="29" t="s">
        <v>35</v>
      </c>
      <c r="F1473" s="29" t="s">
        <v>51</v>
      </c>
      <c r="G1473" s="29" t="s">
        <v>568</v>
      </c>
      <c r="H1473" s="29" t="s">
        <v>80</v>
      </c>
      <c r="I1473" s="29" t="s">
        <v>39</v>
      </c>
      <c r="J1473" s="29" t="s">
        <v>133</v>
      </c>
      <c r="K1473" s="29" t="s">
        <v>2664</v>
      </c>
      <c r="L1473" s="29" t="s">
        <v>2349</v>
      </c>
      <c r="M1473" s="29" t="s">
        <v>545</v>
      </c>
      <c r="N1473" s="29" t="s">
        <v>2465</v>
      </c>
      <c r="O1473" s="29" t="s">
        <v>51</v>
      </c>
      <c r="P1473" s="30" t="s">
        <v>2477</v>
      </c>
    </row>
    <row r="1474" s="26" customFormat="1" spans="1:18">
      <c r="A1474" s="29" t="s">
        <v>2664</v>
      </c>
      <c r="B1474" s="29" t="s">
        <v>2656</v>
      </c>
      <c r="C1474" s="29" t="s">
        <v>55</v>
      </c>
      <c r="D1474" s="29" t="s">
        <v>2192</v>
      </c>
      <c r="E1474" s="29" t="s">
        <v>35</v>
      </c>
      <c r="F1474" s="29" t="s">
        <v>51</v>
      </c>
      <c r="G1474" s="29" t="s">
        <v>568</v>
      </c>
      <c r="H1474" s="29" t="s">
        <v>80</v>
      </c>
      <c r="I1474" s="29" t="s">
        <v>39</v>
      </c>
      <c r="J1474" s="29" t="s">
        <v>137</v>
      </c>
      <c r="K1474" s="29" t="s">
        <v>2665</v>
      </c>
      <c r="L1474" s="29" t="s">
        <v>2352</v>
      </c>
      <c r="M1474" s="29" t="s">
        <v>545</v>
      </c>
      <c r="N1474" s="29" t="s">
        <v>2465</v>
      </c>
      <c r="O1474" s="29" t="s">
        <v>51</v>
      </c>
      <c r="P1474" s="30" t="s">
        <v>2479</v>
      </c>
      <c r="Q1474" s="25"/>
      <c r="R1474" s="25"/>
    </row>
    <row r="1475" s="25" customFormat="1" spans="1:16">
      <c r="A1475" s="29" t="s">
        <v>2665</v>
      </c>
      <c r="B1475" s="29" t="s">
        <v>2656</v>
      </c>
      <c r="C1475" s="29" t="s">
        <v>55</v>
      </c>
      <c r="D1475" s="29" t="s">
        <v>2192</v>
      </c>
      <c r="E1475" s="29" t="s">
        <v>35</v>
      </c>
      <c r="F1475" s="29" t="s">
        <v>51</v>
      </c>
      <c r="G1475" s="29" t="s">
        <v>568</v>
      </c>
      <c r="H1475" s="29" t="s">
        <v>80</v>
      </c>
      <c r="I1475" s="29" t="s">
        <v>39</v>
      </c>
      <c r="J1475" s="29" t="s">
        <v>141</v>
      </c>
      <c r="K1475" s="29" t="s">
        <v>2666</v>
      </c>
      <c r="L1475" s="29" t="s">
        <v>2355</v>
      </c>
      <c r="M1475" s="29" t="s">
        <v>545</v>
      </c>
      <c r="N1475" s="29" t="s">
        <v>2465</v>
      </c>
      <c r="O1475" s="29" t="s">
        <v>51</v>
      </c>
      <c r="P1475" s="30" t="s">
        <v>2481</v>
      </c>
    </row>
    <row r="1476" s="25" customFormat="1" spans="1:16">
      <c r="A1476" s="29" t="s">
        <v>2666</v>
      </c>
      <c r="B1476" s="29" t="s">
        <v>2656</v>
      </c>
      <c r="C1476" s="29" t="s">
        <v>55</v>
      </c>
      <c r="D1476" s="29" t="s">
        <v>2192</v>
      </c>
      <c r="E1476" s="29" t="s">
        <v>35</v>
      </c>
      <c r="F1476" s="29" t="s">
        <v>51</v>
      </c>
      <c r="G1476" s="29" t="s">
        <v>568</v>
      </c>
      <c r="H1476" s="29" t="s">
        <v>80</v>
      </c>
      <c r="I1476" s="29" t="s">
        <v>39</v>
      </c>
      <c r="J1476" s="29" t="s">
        <v>145</v>
      </c>
      <c r="K1476" s="29" t="s">
        <v>2667</v>
      </c>
      <c r="L1476" s="29" t="s">
        <v>2357</v>
      </c>
      <c r="M1476" s="29" t="s">
        <v>545</v>
      </c>
      <c r="N1476" s="29" t="s">
        <v>2465</v>
      </c>
      <c r="O1476" s="29" t="s">
        <v>51</v>
      </c>
      <c r="P1476" s="30" t="s">
        <v>2482</v>
      </c>
    </row>
    <row r="1477" s="25" customFormat="1" spans="1:16">
      <c r="A1477" s="29" t="s">
        <v>2667</v>
      </c>
      <c r="B1477" s="29" t="s">
        <v>2656</v>
      </c>
      <c r="C1477" s="29" t="s">
        <v>55</v>
      </c>
      <c r="D1477" s="29" t="s">
        <v>2192</v>
      </c>
      <c r="E1477" s="29" t="s">
        <v>35</v>
      </c>
      <c r="F1477" s="29" t="s">
        <v>51</v>
      </c>
      <c r="G1477" s="29" t="s">
        <v>568</v>
      </c>
      <c r="H1477" s="29" t="s">
        <v>80</v>
      </c>
      <c r="I1477" s="29" t="s">
        <v>39</v>
      </c>
      <c r="J1477" s="29" t="s">
        <v>408</v>
      </c>
      <c r="K1477" s="29" t="s">
        <v>2668</v>
      </c>
      <c r="L1477" s="29" t="s">
        <v>2620</v>
      </c>
      <c r="M1477" s="29" t="s">
        <v>545</v>
      </c>
      <c r="N1477" s="29" t="s">
        <v>2465</v>
      </c>
      <c r="O1477" s="29" t="s">
        <v>51</v>
      </c>
      <c r="P1477" s="30" t="s">
        <v>2669</v>
      </c>
    </row>
    <row r="1478" s="25" customFormat="1" spans="1:16">
      <c r="A1478" s="29" t="s">
        <v>2668</v>
      </c>
      <c r="B1478" s="29" t="s">
        <v>2656</v>
      </c>
      <c r="C1478" s="29" t="s">
        <v>55</v>
      </c>
      <c r="D1478" s="29" t="s">
        <v>2192</v>
      </c>
      <c r="E1478" s="29" t="s">
        <v>35</v>
      </c>
      <c r="F1478" s="29" t="s">
        <v>51</v>
      </c>
      <c r="G1478" s="29" t="s">
        <v>568</v>
      </c>
      <c r="H1478" s="29" t="s">
        <v>80</v>
      </c>
      <c r="I1478" s="29" t="s">
        <v>39</v>
      </c>
      <c r="J1478" s="29" t="s">
        <v>412</v>
      </c>
      <c r="K1478" s="29" t="s">
        <v>2670</v>
      </c>
      <c r="L1478" s="29" t="s">
        <v>2623</v>
      </c>
      <c r="M1478" s="29" t="s">
        <v>545</v>
      </c>
      <c r="N1478" s="29" t="s">
        <v>2465</v>
      </c>
      <c r="O1478" s="29" t="s">
        <v>51</v>
      </c>
      <c r="P1478" s="30" t="s">
        <v>2671</v>
      </c>
    </row>
    <row r="1479" s="25" customFormat="1" spans="1:16">
      <c r="A1479" s="29" t="s">
        <v>2670</v>
      </c>
      <c r="B1479" s="29" t="s">
        <v>2656</v>
      </c>
      <c r="C1479" s="29" t="s">
        <v>55</v>
      </c>
      <c r="D1479" s="29" t="s">
        <v>2192</v>
      </c>
      <c r="E1479" s="29" t="s">
        <v>35</v>
      </c>
      <c r="F1479" s="29" t="s">
        <v>51</v>
      </c>
      <c r="G1479" s="29" t="s">
        <v>568</v>
      </c>
      <c r="H1479" s="29" t="s">
        <v>80</v>
      </c>
      <c r="I1479" s="29" t="s">
        <v>39</v>
      </c>
      <c r="J1479" s="29" t="s">
        <v>416</v>
      </c>
      <c r="K1479" s="29" t="s">
        <v>2672</v>
      </c>
      <c r="L1479" s="29" t="s">
        <v>2650</v>
      </c>
      <c r="M1479" s="29" t="s">
        <v>545</v>
      </c>
      <c r="N1479" s="29" t="s">
        <v>2465</v>
      </c>
      <c r="O1479" s="29" t="s">
        <v>51</v>
      </c>
      <c r="P1479" s="30" t="s">
        <v>2673</v>
      </c>
    </row>
    <row r="1480" s="25" customFormat="1" spans="1:16">
      <c r="A1480" s="29" t="s">
        <v>2672</v>
      </c>
      <c r="B1480" s="29" t="s">
        <v>2656</v>
      </c>
      <c r="C1480" s="29" t="s">
        <v>55</v>
      </c>
      <c r="D1480" s="29" t="s">
        <v>2192</v>
      </c>
      <c r="E1480" s="29" t="s">
        <v>35</v>
      </c>
      <c r="F1480" s="29" t="s">
        <v>51</v>
      </c>
      <c r="G1480" s="29" t="s">
        <v>568</v>
      </c>
      <c r="H1480" s="29" t="s">
        <v>80</v>
      </c>
      <c r="I1480" s="29" t="s">
        <v>39</v>
      </c>
      <c r="J1480" s="29" t="s">
        <v>420</v>
      </c>
      <c r="K1480" s="29" t="s">
        <v>2674</v>
      </c>
      <c r="L1480" s="29" t="s">
        <v>2653</v>
      </c>
      <c r="M1480" s="29" t="s">
        <v>545</v>
      </c>
      <c r="N1480" s="29" t="s">
        <v>2465</v>
      </c>
      <c r="O1480" s="29" t="s">
        <v>51</v>
      </c>
      <c r="P1480" s="30" t="s">
        <v>2675</v>
      </c>
    </row>
    <row r="1481" s="25" customFormat="1" spans="1:16">
      <c r="A1481" s="29" t="s">
        <v>2674</v>
      </c>
      <c r="B1481" s="29" t="s">
        <v>2656</v>
      </c>
      <c r="C1481" s="29" t="s">
        <v>55</v>
      </c>
      <c r="D1481" s="29" t="s">
        <v>2192</v>
      </c>
      <c r="E1481" s="29" t="s">
        <v>35</v>
      </c>
      <c r="F1481" s="29" t="s">
        <v>51</v>
      </c>
      <c r="G1481" s="29" t="s">
        <v>568</v>
      </c>
      <c r="H1481" s="29" t="s">
        <v>80</v>
      </c>
      <c r="I1481" s="29" t="s">
        <v>39</v>
      </c>
      <c r="J1481" s="29" t="s">
        <v>424</v>
      </c>
      <c r="K1481" s="29" t="s">
        <v>39</v>
      </c>
      <c r="L1481" s="29" t="s">
        <v>39</v>
      </c>
      <c r="M1481" s="29" t="s">
        <v>39</v>
      </c>
      <c r="N1481" s="29" t="s">
        <v>2465</v>
      </c>
      <c r="O1481" s="29" t="s">
        <v>51</v>
      </c>
      <c r="P1481" s="30" t="s">
        <v>2676</v>
      </c>
    </row>
    <row r="1482" s="25" customFormat="1" spans="1:16">
      <c r="A1482" s="29" t="s">
        <v>2677</v>
      </c>
      <c r="B1482" s="29" t="s">
        <v>2677</v>
      </c>
      <c r="C1482" s="29" t="s">
        <v>55</v>
      </c>
      <c r="D1482" s="29" t="s">
        <v>2192</v>
      </c>
      <c r="E1482" s="29" t="s">
        <v>35</v>
      </c>
      <c r="F1482" s="29" t="s">
        <v>51</v>
      </c>
      <c r="G1482" s="29" t="s">
        <v>590</v>
      </c>
      <c r="H1482" s="29" t="s">
        <v>96</v>
      </c>
      <c r="I1482" s="29" t="s">
        <v>39</v>
      </c>
      <c r="J1482" s="29" t="s">
        <v>39</v>
      </c>
      <c r="K1482" s="29" t="s">
        <v>2678</v>
      </c>
      <c r="L1482" s="29" t="s">
        <v>2326</v>
      </c>
      <c r="M1482" s="29" t="s">
        <v>545</v>
      </c>
      <c r="N1482" s="29" t="s">
        <v>2232</v>
      </c>
      <c r="O1482" s="29" t="s">
        <v>55</v>
      </c>
      <c r="P1482" s="30" t="s">
        <v>2233</v>
      </c>
    </row>
    <row r="1483" s="25" customFormat="1" spans="1:16">
      <c r="A1483" s="29" t="s">
        <v>2678</v>
      </c>
      <c r="B1483" s="29" t="s">
        <v>2677</v>
      </c>
      <c r="C1483" s="29" t="s">
        <v>55</v>
      </c>
      <c r="D1483" s="29" t="s">
        <v>2192</v>
      </c>
      <c r="E1483" s="29" t="s">
        <v>35</v>
      </c>
      <c r="F1483" s="29" t="s">
        <v>51</v>
      </c>
      <c r="G1483" s="29" t="s">
        <v>590</v>
      </c>
      <c r="H1483" s="29" t="s">
        <v>96</v>
      </c>
      <c r="I1483" s="29" t="s">
        <v>39</v>
      </c>
      <c r="J1483" s="29" t="s">
        <v>35</v>
      </c>
      <c r="K1483" s="29" t="s">
        <v>2679</v>
      </c>
      <c r="L1483" s="29" t="s">
        <v>2330</v>
      </c>
      <c r="M1483" s="29" t="s">
        <v>545</v>
      </c>
      <c r="N1483" s="29" t="s">
        <v>2486</v>
      </c>
      <c r="O1483" s="29" t="s">
        <v>55</v>
      </c>
      <c r="P1483" s="30" t="s">
        <v>2487</v>
      </c>
    </row>
    <row r="1484" s="25" customFormat="1" spans="1:16">
      <c r="A1484" s="29" t="s">
        <v>2679</v>
      </c>
      <c r="B1484" s="29" t="s">
        <v>2677</v>
      </c>
      <c r="C1484" s="29" t="s">
        <v>55</v>
      </c>
      <c r="D1484" s="29" t="s">
        <v>2192</v>
      </c>
      <c r="E1484" s="29" t="s">
        <v>35</v>
      </c>
      <c r="F1484" s="29" t="s">
        <v>51</v>
      </c>
      <c r="G1484" s="29" t="s">
        <v>590</v>
      </c>
      <c r="H1484" s="29" t="s">
        <v>96</v>
      </c>
      <c r="I1484" s="29" t="s">
        <v>39</v>
      </c>
      <c r="J1484" s="29" t="s">
        <v>47</v>
      </c>
      <c r="K1484" s="29" t="s">
        <v>2680</v>
      </c>
      <c r="L1484" s="29" t="s">
        <v>2334</v>
      </c>
      <c r="M1484" s="29" t="s">
        <v>545</v>
      </c>
      <c r="N1484" s="29" t="s">
        <v>2486</v>
      </c>
      <c r="O1484" s="29" t="s">
        <v>55</v>
      </c>
      <c r="P1484" s="30" t="s">
        <v>2489</v>
      </c>
    </row>
    <row r="1485" s="26" customFormat="1" spans="1:18">
      <c r="A1485" s="29" t="s">
        <v>2680</v>
      </c>
      <c r="B1485" s="29" t="s">
        <v>2677</v>
      </c>
      <c r="C1485" s="29" t="s">
        <v>55</v>
      </c>
      <c r="D1485" s="29" t="s">
        <v>2192</v>
      </c>
      <c r="E1485" s="29" t="s">
        <v>35</v>
      </c>
      <c r="F1485" s="29" t="s">
        <v>51</v>
      </c>
      <c r="G1485" s="29" t="s">
        <v>590</v>
      </c>
      <c r="H1485" s="29" t="s">
        <v>96</v>
      </c>
      <c r="I1485" s="29" t="s">
        <v>39</v>
      </c>
      <c r="J1485" s="29" t="s">
        <v>51</v>
      </c>
      <c r="K1485" s="29" t="s">
        <v>2681</v>
      </c>
      <c r="L1485" s="29" t="s">
        <v>2337</v>
      </c>
      <c r="M1485" s="29" t="s">
        <v>545</v>
      </c>
      <c r="N1485" s="29" t="s">
        <v>2486</v>
      </c>
      <c r="O1485" s="29" t="s">
        <v>55</v>
      </c>
      <c r="P1485" s="30" t="s">
        <v>2491</v>
      </c>
      <c r="Q1485" s="25"/>
      <c r="R1485" s="25"/>
    </row>
    <row r="1486" s="25" customFormat="1" spans="1:16">
      <c r="A1486" s="29" t="s">
        <v>2681</v>
      </c>
      <c r="B1486" s="29" t="s">
        <v>2677</v>
      </c>
      <c r="C1486" s="29" t="s">
        <v>55</v>
      </c>
      <c r="D1486" s="29" t="s">
        <v>2192</v>
      </c>
      <c r="E1486" s="29" t="s">
        <v>35</v>
      </c>
      <c r="F1486" s="29" t="s">
        <v>51</v>
      </c>
      <c r="G1486" s="29" t="s">
        <v>590</v>
      </c>
      <c r="H1486" s="29" t="s">
        <v>96</v>
      </c>
      <c r="I1486" s="29" t="s">
        <v>39</v>
      </c>
      <c r="J1486" s="29" t="s">
        <v>55</v>
      </c>
      <c r="K1486" s="29" t="s">
        <v>2682</v>
      </c>
      <c r="L1486" s="29" t="s">
        <v>2340</v>
      </c>
      <c r="M1486" s="29" t="s">
        <v>545</v>
      </c>
      <c r="N1486" s="29" t="s">
        <v>2486</v>
      </c>
      <c r="O1486" s="29" t="s">
        <v>55</v>
      </c>
      <c r="P1486" s="30" t="s">
        <v>2493</v>
      </c>
    </row>
    <row r="1487" s="25" customFormat="1" spans="1:16">
      <c r="A1487" s="29" t="s">
        <v>2682</v>
      </c>
      <c r="B1487" s="29" t="s">
        <v>2677</v>
      </c>
      <c r="C1487" s="29" t="s">
        <v>55</v>
      </c>
      <c r="D1487" s="29" t="s">
        <v>2192</v>
      </c>
      <c r="E1487" s="29" t="s">
        <v>35</v>
      </c>
      <c r="F1487" s="29" t="s">
        <v>51</v>
      </c>
      <c r="G1487" s="29" t="s">
        <v>590</v>
      </c>
      <c r="H1487" s="29" t="s">
        <v>96</v>
      </c>
      <c r="I1487" s="29" t="s">
        <v>39</v>
      </c>
      <c r="J1487" s="29" t="s">
        <v>59</v>
      </c>
      <c r="K1487" s="29" t="s">
        <v>2683</v>
      </c>
      <c r="L1487" s="29" t="s">
        <v>2343</v>
      </c>
      <c r="M1487" s="29" t="s">
        <v>545</v>
      </c>
      <c r="N1487" s="29" t="s">
        <v>2486</v>
      </c>
      <c r="O1487" s="29" t="s">
        <v>55</v>
      </c>
      <c r="P1487" s="30" t="s">
        <v>2495</v>
      </c>
    </row>
    <row r="1488" s="25" customFormat="1" spans="1:16">
      <c r="A1488" s="29" t="s">
        <v>2683</v>
      </c>
      <c r="B1488" s="29" t="s">
        <v>2677</v>
      </c>
      <c r="C1488" s="29" t="s">
        <v>55</v>
      </c>
      <c r="D1488" s="29" t="s">
        <v>2192</v>
      </c>
      <c r="E1488" s="29" t="s">
        <v>35</v>
      </c>
      <c r="F1488" s="29" t="s">
        <v>51</v>
      </c>
      <c r="G1488" s="29" t="s">
        <v>590</v>
      </c>
      <c r="H1488" s="29" t="s">
        <v>96</v>
      </c>
      <c r="I1488" s="29" t="s">
        <v>39</v>
      </c>
      <c r="J1488" s="29" t="s">
        <v>129</v>
      </c>
      <c r="K1488" s="29" t="s">
        <v>2684</v>
      </c>
      <c r="L1488" s="29" t="s">
        <v>2346</v>
      </c>
      <c r="M1488" s="29" t="s">
        <v>545</v>
      </c>
      <c r="N1488" s="29" t="s">
        <v>2486</v>
      </c>
      <c r="O1488" s="29" t="s">
        <v>55</v>
      </c>
      <c r="P1488" s="30" t="s">
        <v>2243</v>
      </c>
    </row>
    <row r="1489" s="25" customFormat="1" spans="1:16">
      <c r="A1489" s="29" t="s">
        <v>2684</v>
      </c>
      <c r="B1489" s="29" t="s">
        <v>2677</v>
      </c>
      <c r="C1489" s="29" t="s">
        <v>55</v>
      </c>
      <c r="D1489" s="29" t="s">
        <v>2192</v>
      </c>
      <c r="E1489" s="29" t="s">
        <v>35</v>
      </c>
      <c r="F1489" s="29" t="s">
        <v>51</v>
      </c>
      <c r="G1489" s="29" t="s">
        <v>590</v>
      </c>
      <c r="H1489" s="29" t="s">
        <v>96</v>
      </c>
      <c r="I1489" s="29" t="s">
        <v>39</v>
      </c>
      <c r="J1489" s="29" t="s">
        <v>133</v>
      </c>
      <c r="K1489" s="29" t="s">
        <v>2685</v>
      </c>
      <c r="L1489" s="29" t="s">
        <v>2349</v>
      </c>
      <c r="M1489" s="29" t="s">
        <v>545</v>
      </c>
      <c r="N1489" s="29" t="s">
        <v>2486</v>
      </c>
      <c r="O1489" s="29" t="s">
        <v>55</v>
      </c>
      <c r="P1489" s="30" t="s">
        <v>2498</v>
      </c>
    </row>
    <row r="1490" s="25" customFormat="1" spans="1:16">
      <c r="A1490" s="29" t="s">
        <v>2685</v>
      </c>
      <c r="B1490" s="29" t="s">
        <v>2677</v>
      </c>
      <c r="C1490" s="29" t="s">
        <v>55</v>
      </c>
      <c r="D1490" s="29" t="s">
        <v>2192</v>
      </c>
      <c r="E1490" s="29" t="s">
        <v>35</v>
      </c>
      <c r="F1490" s="29" t="s">
        <v>51</v>
      </c>
      <c r="G1490" s="29" t="s">
        <v>590</v>
      </c>
      <c r="H1490" s="29" t="s">
        <v>96</v>
      </c>
      <c r="I1490" s="29" t="s">
        <v>39</v>
      </c>
      <c r="J1490" s="29" t="s">
        <v>137</v>
      </c>
      <c r="K1490" s="29" t="s">
        <v>2686</v>
      </c>
      <c r="L1490" s="29" t="s">
        <v>2352</v>
      </c>
      <c r="M1490" s="29" t="s">
        <v>545</v>
      </c>
      <c r="N1490" s="29" t="s">
        <v>2486</v>
      </c>
      <c r="O1490" s="29" t="s">
        <v>55</v>
      </c>
      <c r="P1490" s="30" t="s">
        <v>2500</v>
      </c>
    </row>
    <row r="1491" s="25" customFormat="1" spans="1:16">
      <c r="A1491" s="29" t="s">
        <v>2686</v>
      </c>
      <c r="B1491" s="29" t="s">
        <v>2677</v>
      </c>
      <c r="C1491" s="29" t="s">
        <v>55</v>
      </c>
      <c r="D1491" s="29" t="s">
        <v>2192</v>
      </c>
      <c r="E1491" s="29" t="s">
        <v>35</v>
      </c>
      <c r="F1491" s="29" t="s">
        <v>51</v>
      </c>
      <c r="G1491" s="29" t="s">
        <v>590</v>
      </c>
      <c r="H1491" s="29" t="s">
        <v>96</v>
      </c>
      <c r="I1491" s="29" t="s">
        <v>39</v>
      </c>
      <c r="J1491" s="29" t="s">
        <v>141</v>
      </c>
      <c r="K1491" s="29" t="s">
        <v>2687</v>
      </c>
      <c r="L1491" s="29" t="s">
        <v>2355</v>
      </c>
      <c r="M1491" s="29" t="s">
        <v>545</v>
      </c>
      <c r="N1491" s="29" t="s">
        <v>2486</v>
      </c>
      <c r="O1491" s="29" t="s">
        <v>55</v>
      </c>
      <c r="P1491" s="30" t="s">
        <v>2502</v>
      </c>
    </row>
    <row r="1492" s="25" customFormat="1" spans="1:16">
      <c r="A1492" s="29" t="s">
        <v>2687</v>
      </c>
      <c r="B1492" s="29" t="s">
        <v>2677</v>
      </c>
      <c r="C1492" s="29" t="s">
        <v>55</v>
      </c>
      <c r="D1492" s="29" t="s">
        <v>2192</v>
      </c>
      <c r="E1492" s="29" t="s">
        <v>35</v>
      </c>
      <c r="F1492" s="29" t="s">
        <v>51</v>
      </c>
      <c r="G1492" s="29" t="s">
        <v>590</v>
      </c>
      <c r="H1492" s="29" t="s">
        <v>96</v>
      </c>
      <c r="I1492" s="29" t="s">
        <v>39</v>
      </c>
      <c r="J1492" s="29" t="s">
        <v>145</v>
      </c>
      <c r="K1492" s="29" t="s">
        <v>2688</v>
      </c>
      <c r="L1492" s="29" t="s">
        <v>2357</v>
      </c>
      <c r="M1492" s="29" t="s">
        <v>545</v>
      </c>
      <c r="N1492" s="29" t="s">
        <v>2486</v>
      </c>
      <c r="O1492" s="29" t="s">
        <v>55</v>
      </c>
      <c r="P1492" s="30" t="s">
        <v>2503</v>
      </c>
    </row>
    <row r="1493" s="25" customFormat="1" spans="1:16">
      <c r="A1493" s="29" t="s">
        <v>2688</v>
      </c>
      <c r="B1493" s="29" t="s">
        <v>2677</v>
      </c>
      <c r="C1493" s="29" t="s">
        <v>55</v>
      </c>
      <c r="D1493" s="29" t="s">
        <v>2192</v>
      </c>
      <c r="E1493" s="29" t="s">
        <v>35</v>
      </c>
      <c r="F1493" s="29" t="s">
        <v>51</v>
      </c>
      <c r="G1493" s="29" t="s">
        <v>590</v>
      </c>
      <c r="H1493" s="29" t="s">
        <v>96</v>
      </c>
      <c r="I1493" s="29" t="s">
        <v>39</v>
      </c>
      <c r="J1493" s="29" t="s">
        <v>408</v>
      </c>
      <c r="K1493" s="29" t="s">
        <v>2689</v>
      </c>
      <c r="L1493" s="29" t="s">
        <v>2620</v>
      </c>
      <c r="M1493" s="29" t="s">
        <v>545</v>
      </c>
      <c r="N1493" s="29" t="s">
        <v>2486</v>
      </c>
      <c r="O1493" s="29" t="s">
        <v>55</v>
      </c>
      <c r="P1493" s="30" t="s">
        <v>2690</v>
      </c>
    </row>
    <row r="1494" s="25" customFormat="1" spans="1:16">
      <c r="A1494" s="29" t="s">
        <v>2689</v>
      </c>
      <c r="B1494" s="29" t="s">
        <v>2677</v>
      </c>
      <c r="C1494" s="29" t="s">
        <v>55</v>
      </c>
      <c r="D1494" s="29" t="s">
        <v>2192</v>
      </c>
      <c r="E1494" s="29" t="s">
        <v>35</v>
      </c>
      <c r="F1494" s="29" t="s">
        <v>51</v>
      </c>
      <c r="G1494" s="29" t="s">
        <v>590</v>
      </c>
      <c r="H1494" s="29" t="s">
        <v>96</v>
      </c>
      <c r="I1494" s="29" t="s">
        <v>39</v>
      </c>
      <c r="J1494" s="29" t="s">
        <v>412</v>
      </c>
      <c r="K1494" s="29" t="s">
        <v>2691</v>
      </c>
      <c r="L1494" s="29" t="s">
        <v>2623</v>
      </c>
      <c r="M1494" s="29" t="s">
        <v>545</v>
      </c>
      <c r="N1494" s="29" t="s">
        <v>2486</v>
      </c>
      <c r="O1494" s="29" t="s">
        <v>55</v>
      </c>
      <c r="P1494" s="30" t="s">
        <v>2692</v>
      </c>
    </row>
    <row r="1495" s="25" customFormat="1" spans="1:16">
      <c r="A1495" s="29" t="s">
        <v>2691</v>
      </c>
      <c r="B1495" s="29" t="s">
        <v>2677</v>
      </c>
      <c r="C1495" s="29" t="s">
        <v>55</v>
      </c>
      <c r="D1495" s="29" t="s">
        <v>2192</v>
      </c>
      <c r="E1495" s="29" t="s">
        <v>35</v>
      </c>
      <c r="F1495" s="29" t="s">
        <v>51</v>
      </c>
      <c r="G1495" s="29" t="s">
        <v>590</v>
      </c>
      <c r="H1495" s="29" t="s">
        <v>96</v>
      </c>
      <c r="I1495" s="29" t="s">
        <v>39</v>
      </c>
      <c r="J1495" s="29" t="s">
        <v>416</v>
      </c>
      <c r="K1495" s="29" t="s">
        <v>2693</v>
      </c>
      <c r="L1495" s="29" t="s">
        <v>2650</v>
      </c>
      <c r="M1495" s="29" t="s">
        <v>545</v>
      </c>
      <c r="N1495" s="29" t="s">
        <v>2486</v>
      </c>
      <c r="O1495" s="29" t="s">
        <v>55</v>
      </c>
      <c r="P1495" s="30" t="s">
        <v>2694</v>
      </c>
    </row>
    <row r="1496" s="26" customFormat="1" spans="1:18">
      <c r="A1496" s="29" t="s">
        <v>2693</v>
      </c>
      <c r="B1496" s="29" t="s">
        <v>2677</v>
      </c>
      <c r="C1496" s="29" t="s">
        <v>55</v>
      </c>
      <c r="D1496" s="29" t="s">
        <v>2192</v>
      </c>
      <c r="E1496" s="29" t="s">
        <v>35</v>
      </c>
      <c r="F1496" s="29" t="s">
        <v>51</v>
      </c>
      <c r="G1496" s="29" t="s">
        <v>590</v>
      </c>
      <c r="H1496" s="29" t="s">
        <v>96</v>
      </c>
      <c r="I1496" s="29" t="s">
        <v>39</v>
      </c>
      <c r="J1496" s="29" t="s">
        <v>420</v>
      </c>
      <c r="K1496" s="29" t="s">
        <v>2695</v>
      </c>
      <c r="L1496" s="29" t="s">
        <v>2653</v>
      </c>
      <c r="M1496" s="29" t="s">
        <v>545</v>
      </c>
      <c r="N1496" s="29" t="s">
        <v>2486</v>
      </c>
      <c r="O1496" s="29" t="s">
        <v>55</v>
      </c>
      <c r="P1496" s="30" t="s">
        <v>2696</v>
      </c>
      <c r="Q1496" s="25"/>
      <c r="R1496" s="25"/>
    </row>
    <row r="1497" s="25" customFormat="1" spans="1:16">
      <c r="A1497" s="29" t="s">
        <v>2695</v>
      </c>
      <c r="B1497" s="29" t="s">
        <v>2677</v>
      </c>
      <c r="C1497" s="29" t="s">
        <v>55</v>
      </c>
      <c r="D1497" s="29" t="s">
        <v>2192</v>
      </c>
      <c r="E1497" s="29" t="s">
        <v>35</v>
      </c>
      <c r="F1497" s="29" t="s">
        <v>51</v>
      </c>
      <c r="G1497" s="29" t="s">
        <v>590</v>
      </c>
      <c r="H1497" s="29" t="s">
        <v>96</v>
      </c>
      <c r="I1497" s="29" t="s">
        <v>39</v>
      </c>
      <c r="J1497" s="29" t="s">
        <v>424</v>
      </c>
      <c r="K1497" s="29" t="s">
        <v>39</v>
      </c>
      <c r="L1497" s="29" t="s">
        <v>39</v>
      </c>
      <c r="M1497" s="29" t="s">
        <v>39</v>
      </c>
      <c r="N1497" s="29" t="s">
        <v>2486</v>
      </c>
      <c r="O1497" s="29" t="s">
        <v>55</v>
      </c>
      <c r="P1497" s="30" t="s">
        <v>2697</v>
      </c>
    </row>
    <row r="1498" s="25" customFormat="1" spans="1:16">
      <c r="A1498" s="29" t="s">
        <v>2698</v>
      </c>
      <c r="B1498" s="29" t="s">
        <v>2698</v>
      </c>
      <c r="C1498" s="29" t="s">
        <v>55</v>
      </c>
      <c r="D1498" s="29" t="s">
        <v>2192</v>
      </c>
      <c r="E1498" s="29" t="s">
        <v>35</v>
      </c>
      <c r="F1498" s="29" t="s">
        <v>51</v>
      </c>
      <c r="G1498" s="29" t="s">
        <v>612</v>
      </c>
      <c r="H1498" s="29" t="s">
        <v>112</v>
      </c>
      <c r="I1498" s="29" t="s">
        <v>39</v>
      </c>
      <c r="J1498" s="29" t="s">
        <v>39</v>
      </c>
      <c r="K1498" s="29" t="s">
        <v>2699</v>
      </c>
      <c r="L1498" s="29" t="s">
        <v>2326</v>
      </c>
      <c r="M1498" s="29" t="s">
        <v>614</v>
      </c>
      <c r="N1498" s="29" t="s">
        <v>2246</v>
      </c>
      <c r="O1498" s="29" t="s">
        <v>59</v>
      </c>
      <c r="P1498" s="30" t="s">
        <v>2247</v>
      </c>
    </row>
    <row r="1499" s="25" customFormat="1" spans="1:16">
      <c r="A1499" s="29" t="s">
        <v>2699</v>
      </c>
      <c r="B1499" s="29" t="s">
        <v>2698</v>
      </c>
      <c r="C1499" s="29" t="s">
        <v>55</v>
      </c>
      <c r="D1499" s="29" t="s">
        <v>2192</v>
      </c>
      <c r="E1499" s="29" t="s">
        <v>35</v>
      </c>
      <c r="F1499" s="29" t="s">
        <v>51</v>
      </c>
      <c r="G1499" s="29" t="s">
        <v>612</v>
      </c>
      <c r="H1499" s="29" t="s">
        <v>112</v>
      </c>
      <c r="I1499" s="29" t="s">
        <v>39</v>
      </c>
      <c r="J1499" s="29" t="s">
        <v>35</v>
      </c>
      <c r="K1499" s="29" t="s">
        <v>2700</v>
      </c>
      <c r="L1499" s="29" t="s">
        <v>2330</v>
      </c>
      <c r="M1499" s="29" t="s">
        <v>614</v>
      </c>
      <c r="N1499" s="29" t="s">
        <v>2249</v>
      </c>
      <c r="O1499" s="29" t="s">
        <v>59</v>
      </c>
      <c r="P1499" s="30" t="s">
        <v>2250</v>
      </c>
    </row>
    <row r="1500" s="25" customFormat="1" spans="1:16">
      <c r="A1500" s="29" t="s">
        <v>2700</v>
      </c>
      <c r="B1500" s="29" t="s">
        <v>2698</v>
      </c>
      <c r="C1500" s="29" t="s">
        <v>55</v>
      </c>
      <c r="D1500" s="29" t="s">
        <v>2192</v>
      </c>
      <c r="E1500" s="29" t="s">
        <v>35</v>
      </c>
      <c r="F1500" s="29" t="s">
        <v>51</v>
      </c>
      <c r="G1500" s="29" t="s">
        <v>612</v>
      </c>
      <c r="H1500" s="29" t="s">
        <v>112</v>
      </c>
      <c r="I1500" s="29" t="s">
        <v>39</v>
      </c>
      <c r="J1500" s="29" t="s">
        <v>47</v>
      </c>
      <c r="K1500" s="29" t="s">
        <v>2701</v>
      </c>
      <c r="L1500" s="29" t="s">
        <v>2334</v>
      </c>
      <c r="M1500" s="29" t="s">
        <v>614</v>
      </c>
      <c r="N1500" s="29" t="s">
        <v>2249</v>
      </c>
      <c r="O1500" s="29" t="s">
        <v>59</v>
      </c>
      <c r="P1500" s="30" t="s">
        <v>2252</v>
      </c>
    </row>
    <row r="1501" s="25" customFormat="1" spans="1:16">
      <c r="A1501" s="29" t="s">
        <v>2701</v>
      </c>
      <c r="B1501" s="29" t="s">
        <v>2698</v>
      </c>
      <c r="C1501" s="29" t="s">
        <v>55</v>
      </c>
      <c r="D1501" s="29" t="s">
        <v>2192</v>
      </c>
      <c r="E1501" s="29" t="s">
        <v>35</v>
      </c>
      <c r="F1501" s="29" t="s">
        <v>51</v>
      </c>
      <c r="G1501" s="29" t="s">
        <v>612</v>
      </c>
      <c r="H1501" s="29" t="s">
        <v>112</v>
      </c>
      <c r="I1501" s="29" t="s">
        <v>39</v>
      </c>
      <c r="J1501" s="29" t="s">
        <v>51</v>
      </c>
      <c r="K1501" s="29" t="s">
        <v>2702</v>
      </c>
      <c r="L1501" s="29" t="s">
        <v>2337</v>
      </c>
      <c r="M1501" s="29" t="s">
        <v>614</v>
      </c>
      <c r="N1501" s="29" t="s">
        <v>2249</v>
      </c>
      <c r="O1501" s="29" t="s">
        <v>59</v>
      </c>
      <c r="P1501" s="30" t="s">
        <v>2254</v>
      </c>
    </row>
    <row r="1502" s="25" customFormat="1" spans="1:16">
      <c r="A1502" s="29" t="s">
        <v>2702</v>
      </c>
      <c r="B1502" s="29" t="s">
        <v>2698</v>
      </c>
      <c r="C1502" s="29" t="s">
        <v>55</v>
      </c>
      <c r="D1502" s="29" t="s">
        <v>2192</v>
      </c>
      <c r="E1502" s="29" t="s">
        <v>35</v>
      </c>
      <c r="F1502" s="29" t="s">
        <v>51</v>
      </c>
      <c r="G1502" s="29" t="s">
        <v>612</v>
      </c>
      <c r="H1502" s="29" t="s">
        <v>112</v>
      </c>
      <c r="I1502" s="29" t="s">
        <v>39</v>
      </c>
      <c r="J1502" s="29" t="s">
        <v>55</v>
      </c>
      <c r="K1502" s="29" t="s">
        <v>2703</v>
      </c>
      <c r="L1502" s="29" t="s">
        <v>2340</v>
      </c>
      <c r="M1502" s="29" t="s">
        <v>614</v>
      </c>
      <c r="N1502" s="29" t="s">
        <v>2249</v>
      </c>
      <c r="O1502" s="29" t="s">
        <v>59</v>
      </c>
      <c r="P1502" s="30" t="s">
        <v>2256</v>
      </c>
    </row>
    <row r="1503" s="25" customFormat="1" spans="1:16">
      <c r="A1503" s="29" t="s">
        <v>2703</v>
      </c>
      <c r="B1503" s="29" t="s">
        <v>2698</v>
      </c>
      <c r="C1503" s="29" t="s">
        <v>55</v>
      </c>
      <c r="D1503" s="29" t="s">
        <v>2192</v>
      </c>
      <c r="E1503" s="29" t="s">
        <v>35</v>
      </c>
      <c r="F1503" s="29" t="s">
        <v>51</v>
      </c>
      <c r="G1503" s="29" t="s">
        <v>612</v>
      </c>
      <c r="H1503" s="29" t="s">
        <v>112</v>
      </c>
      <c r="I1503" s="29" t="s">
        <v>39</v>
      </c>
      <c r="J1503" s="29" t="s">
        <v>59</v>
      </c>
      <c r="K1503" s="29" t="s">
        <v>2704</v>
      </c>
      <c r="L1503" s="29" t="s">
        <v>2343</v>
      </c>
      <c r="M1503" s="29" t="s">
        <v>614</v>
      </c>
      <c r="N1503" s="29" t="s">
        <v>2249</v>
      </c>
      <c r="O1503" s="29" t="s">
        <v>59</v>
      </c>
      <c r="P1503" s="30" t="s">
        <v>2259</v>
      </c>
    </row>
    <row r="1504" s="25" customFormat="1" spans="1:16">
      <c r="A1504" s="29" t="s">
        <v>2704</v>
      </c>
      <c r="B1504" s="29" t="s">
        <v>2698</v>
      </c>
      <c r="C1504" s="29" t="s">
        <v>55</v>
      </c>
      <c r="D1504" s="29" t="s">
        <v>2192</v>
      </c>
      <c r="E1504" s="29" t="s">
        <v>35</v>
      </c>
      <c r="F1504" s="29" t="s">
        <v>51</v>
      </c>
      <c r="G1504" s="29" t="s">
        <v>612</v>
      </c>
      <c r="H1504" s="29" t="s">
        <v>112</v>
      </c>
      <c r="I1504" s="29" t="s">
        <v>39</v>
      </c>
      <c r="J1504" s="29" t="s">
        <v>129</v>
      </c>
      <c r="K1504" s="29" t="s">
        <v>2705</v>
      </c>
      <c r="L1504" s="29" t="s">
        <v>2346</v>
      </c>
      <c r="M1504" s="29" t="s">
        <v>614</v>
      </c>
      <c r="N1504" s="29" t="s">
        <v>2249</v>
      </c>
      <c r="O1504" s="29" t="s">
        <v>59</v>
      </c>
      <c r="P1504" s="30" t="s">
        <v>2262</v>
      </c>
    </row>
    <row r="1505" s="25" customFormat="1" spans="1:16">
      <c r="A1505" s="29" t="s">
        <v>2705</v>
      </c>
      <c r="B1505" s="29" t="s">
        <v>2698</v>
      </c>
      <c r="C1505" s="29" t="s">
        <v>55</v>
      </c>
      <c r="D1505" s="29" t="s">
        <v>2192</v>
      </c>
      <c r="E1505" s="29" t="s">
        <v>35</v>
      </c>
      <c r="F1505" s="29" t="s">
        <v>51</v>
      </c>
      <c r="G1505" s="29" t="s">
        <v>612</v>
      </c>
      <c r="H1505" s="29" t="s">
        <v>112</v>
      </c>
      <c r="I1505" s="29" t="s">
        <v>39</v>
      </c>
      <c r="J1505" s="29" t="s">
        <v>133</v>
      </c>
      <c r="K1505" s="29" t="s">
        <v>2706</v>
      </c>
      <c r="L1505" s="29" t="s">
        <v>2349</v>
      </c>
      <c r="M1505" s="29" t="s">
        <v>614</v>
      </c>
      <c r="N1505" s="29" t="s">
        <v>2249</v>
      </c>
      <c r="O1505" s="29" t="s">
        <v>59</v>
      </c>
      <c r="P1505" s="30" t="s">
        <v>2265</v>
      </c>
    </row>
    <row r="1506" s="25" customFormat="1" spans="1:16">
      <c r="A1506" s="29" t="s">
        <v>2706</v>
      </c>
      <c r="B1506" s="29" t="s">
        <v>2698</v>
      </c>
      <c r="C1506" s="29" t="s">
        <v>55</v>
      </c>
      <c r="D1506" s="29" t="s">
        <v>2192</v>
      </c>
      <c r="E1506" s="29" t="s">
        <v>35</v>
      </c>
      <c r="F1506" s="29" t="s">
        <v>51</v>
      </c>
      <c r="G1506" s="29" t="s">
        <v>612</v>
      </c>
      <c r="H1506" s="29" t="s">
        <v>112</v>
      </c>
      <c r="I1506" s="29" t="s">
        <v>39</v>
      </c>
      <c r="J1506" s="29" t="s">
        <v>137</v>
      </c>
      <c r="K1506" s="29" t="s">
        <v>2707</v>
      </c>
      <c r="L1506" s="29" t="s">
        <v>2352</v>
      </c>
      <c r="M1506" s="29" t="s">
        <v>614</v>
      </c>
      <c r="N1506" s="29" t="s">
        <v>2249</v>
      </c>
      <c r="O1506" s="29" t="s">
        <v>59</v>
      </c>
      <c r="P1506" s="30" t="s">
        <v>2268</v>
      </c>
    </row>
    <row r="1507" s="25" customFormat="1" spans="1:16">
      <c r="A1507" s="29" t="s">
        <v>2707</v>
      </c>
      <c r="B1507" s="29" t="s">
        <v>2698</v>
      </c>
      <c r="C1507" s="29" t="s">
        <v>55</v>
      </c>
      <c r="D1507" s="29" t="s">
        <v>2192</v>
      </c>
      <c r="E1507" s="29" t="s">
        <v>35</v>
      </c>
      <c r="F1507" s="29" t="s">
        <v>51</v>
      </c>
      <c r="G1507" s="29" t="s">
        <v>612</v>
      </c>
      <c r="H1507" s="29" t="s">
        <v>112</v>
      </c>
      <c r="I1507" s="29" t="s">
        <v>39</v>
      </c>
      <c r="J1507" s="29" t="s">
        <v>141</v>
      </c>
      <c r="K1507" s="29" t="s">
        <v>2708</v>
      </c>
      <c r="L1507" s="29" t="s">
        <v>2355</v>
      </c>
      <c r="M1507" s="29" t="s">
        <v>614</v>
      </c>
      <c r="N1507" s="29" t="s">
        <v>2249</v>
      </c>
      <c r="O1507" s="29" t="s">
        <v>59</v>
      </c>
      <c r="P1507" s="30" t="s">
        <v>2271</v>
      </c>
    </row>
    <row r="1508" s="25" customFormat="1" spans="1:16">
      <c r="A1508" s="29" t="s">
        <v>2708</v>
      </c>
      <c r="B1508" s="29" t="s">
        <v>2698</v>
      </c>
      <c r="C1508" s="29" t="s">
        <v>55</v>
      </c>
      <c r="D1508" s="29" t="s">
        <v>2192</v>
      </c>
      <c r="E1508" s="29" t="s">
        <v>35</v>
      </c>
      <c r="F1508" s="29" t="s">
        <v>51</v>
      </c>
      <c r="G1508" s="29" t="s">
        <v>612</v>
      </c>
      <c r="H1508" s="29" t="s">
        <v>112</v>
      </c>
      <c r="I1508" s="29" t="s">
        <v>39</v>
      </c>
      <c r="J1508" s="29" t="s">
        <v>145</v>
      </c>
      <c r="K1508" s="29" t="s">
        <v>2709</v>
      </c>
      <c r="L1508" s="29" t="s">
        <v>2357</v>
      </c>
      <c r="M1508" s="29" t="s">
        <v>614</v>
      </c>
      <c r="N1508" s="29" t="s">
        <v>2249</v>
      </c>
      <c r="O1508" s="29" t="s">
        <v>59</v>
      </c>
      <c r="P1508" s="30" t="s">
        <v>2272</v>
      </c>
    </row>
    <row r="1509" s="25" customFormat="1" spans="1:16">
      <c r="A1509" s="29" t="s">
        <v>2709</v>
      </c>
      <c r="B1509" s="29" t="s">
        <v>2698</v>
      </c>
      <c r="C1509" s="29" t="s">
        <v>55</v>
      </c>
      <c r="D1509" s="29" t="s">
        <v>2192</v>
      </c>
      <c r="E1509" s="29" t="s">
        <v>35</v>
      </c>
      <c r="F1509" s="29" t="s">
        <v>51</v>
      </c>
      <c r="G1509" s="29" t="s">
        <v>612</v>
      </c>
      <c r="H1509" s="29" t="s">
        <v>112</v>
      </c>
      <c r="I1509" s="29" t="s">
        <v>39</v>
      </c>
      <c r="J1509" s="29" t="s">
        <v>408</v>
      </c>
      <c r="K1509" s="29" t="s">
        <v>2710</v>
      </c>
      <c r="L1509" s="29" t="s">
        <v>2620</v>
      </c>
      <c r="M1509" s="29" t="s">
        <v>614</v>
      </c>
      <c r="N1509" s="29" t="s">
        <v>2249</v>
      </c>
      <c r="O1509" s="29" t="s">
        <v>59</v>
      </c>
      <c r="P1509" s="30" t="s">
        <v>2521</v>
      </c>
    </row>
    <row r="1510" s="25" customFormat="1" spans="1:16">
      <c r="A1510" s="29" t="s">
        <v>2710</v>
      </c>
      <c r="B1510" s="29" t="s">
        <v>2698</v>
      </c>
      <c r="C1510" s="29" t="s">
        <v>55</v>
      </c>
      <c r="D1510" s="29" t="s">
        <v>2192</v>
      </c>
      <c r="E1510" s="29" t="s">
        <v>35</v>
      </c>
      <c r="F1510" s="29" t="s">
        <v>51</v>
      </c>
      <c r="G1510" s="29" t="s">
        <v>612</v>
      </c>
      <c r="H1510" s="29" t="s">
        <v>112</v>
      </c>
      <c r="I1510" s="29" t="s">
        <v>39</v>
      </c>
      <c r="J1510" s="29" t="s">
        <v>412</v>
      </c>
      <c r="K1510" s="29" t="s">
        <v>2711</v>
      </c>
      <c r="L1510" s="29" t="s">
        <v>2623</v>
      </c>
      <c r="M1510" s="29" t="s">
        <v>614</v>
      </c>
      <c r="N1510" s="29" t="s">
        <v>2249</v>
      </c>
      <c r="O1510" s="29" t="s">
        <v>59</v>
      </c>
      <c r="P1510" s="30" t="s">
        <v>2524</v>
      </c>
    </row>
    <row r="1511" s="25" customFormat="1" spans="1:16">
      <c r="A1511" s="29" t="s">
        <v>2711</v>
      </c>
      <c r="B1511" s="29" t="s">
        <v>2698</v>
      </c>
      <c r="C1511" s="29" t="s">
        <v>55</v>
      </c>
      <c r="D1511" s="29" t="s">
        <v>2192</v>
      </c>
      <c r="E1511" s="29" t="s">
        <v>35</v>
      </c>
      <c r="F1511" s="29" t="s">
        <v>51</v>
      </c>
      <c r="G1511" s="29" t="s">
        <v>612</v>
      </c>
      <c r="H1511" s="29" t="s">
        <v>112</v>
      </c>
      <c r="I1511" s="29" t="s">
        <v>39</v>
      </c>
      <c r="J1511" s="29" t="s">
        <v>416</v>
      </c>
      <c r="K1511" s="29" t="s">
        <v>2712</v>
      </c>
      <c r="L1511" s="29" t="s">
        <v>2650</v>
      </c>
      <c r="M1511" s="29" t="s">
        <v>614</v>
      </c>
      <c r="N1511" s="29" t="s">
        <v>2249</v>
      </c>
      <c r="O1511" s="29" t="s">
        <v>59</v>
      </c>
      <c r="P1511" s="30" t="s">
        <v>2527</v>
      </c>
    </row>
    <row r="1512" s="25" customFormat="1" spans="1:16">
      <c r="A1512" s="29" t="s">
        <v>2712</v>
      </c>
      <c r="B1512" s="29" t="s">
        <v>2698</v>
      </c>
      <c r="C1512" s="29" t="s">
        <v>55</v>
      </c>
      <c r="D1512" s="29" t="s">
        <v>2192</v>
      </c>
      <c r="E1512" s="29" t="s">
        <v>35</v>
      </c>
      <c r="F1512" s="29" t="s">
        <v>51</v>
      </c>
      <c r="G1512" s="29" t="s">
        <v>612</v>
      </c>
      <c r="H1512" s="29" t="s">
        <v>112</v>
      </c>
      <c r="I1512" s="29" t="s">
        <v>39</v>
      </c>
      <c r="J1512" s="29" t="s">
        <v>420</v>
      </c>
      <c r="K1512" s="29" t="s">
        <v>2713</v>
      </c>
      <c r="L1512" s="29" t="s">
        <v>2653</v>
      </c>
      <c r="M1512" s="29" t="s">
        <v>614</v>
      </c>
      <c r="N1512" s="29" t="s">
        <v>2249</v>
      </c>
      <c r="O1512" s="29" t="s">
        <v>59</v>
      </c>
      <c r="P1512" s="30" t="s">
        <v>2530</v>
      </c>
    </row>
    <row r="1513" s="25" customFormat="1" spans="1:16">
      <c r="A1513" s="29" t="s">
        <v>2713</v>
      </c>
      <c r="B1513" s="29" t="s">
        <v>2698</v>
      </c>
      <c r="C1513" s="29" t="s">
        <v>55</v>
      </c>
      <c r="D1513" s="29" t="s">
        <v>2192</v>
      </c>
      <c r="E1513" s="29" t="s">
        <v>35</v>
      </c>
      <c r="F1513" s="29" t="s">
        <v>51</v>
      </c>
      <c r="G1513" s="29" t="s">
        <v>612</v>
      </c>
      <c r="H1513" s="29" t="s">
        <v>112</v>
      </c>
      <c r="I1513" s="29" t="s">
        <v>39</v>
      </c>
      <c r="J1513" s="29" t="s">
        <v>424</v>
      </c>
      <c r="K1513" s="29" t="s">
        <v>2714</v>
      </c>
      <c r="L1513" s="29" t="s">
        <v>2715</v>
      </c>
      <c r="M1513" s="29" t="s">
        <v>614</v>
      </c>
      <c r="N1513" s="29" t="s">
        <v>2249</v>
      </c>
      <c r="O1513" s="29" t="s">
        <v>59</v>
      </c>
      <c r="P1513" s="30" t="s">
        <v>2531</v>
      </c>
    </row>
    <row r="1514" s="25" customFormat="1" spans="1:16">
      <c r="A1514" s="29" t="s">
        <v>2714</v>
      </c>
      <c r="B1514" s="29" t="s">
        <v>2698</v>
      </c>
      <c r="C1514" s="29" t="s">
        <v>55</v>
      </c>
      <c r="D1514" s="29" t="s">
        <v>2192</v>
      </c>
      <c r="E1514" s="29" t="s">
        <v>35</v>
      </c>
      <c r="F1514" s="29" t="s">
        <v>51</v>
      </c>
      <c r="G1514" s="29" t="s">
        <v>612</v>
      </c>
      <c r="H1514" s="29" t="s">
        <v>112</v>
      </c>
      <c r="I1514" s="29" t="s">
        <v>39</v>
      </c>
      <c r="J1514" s="29" t="s">
        <v>631</v>
      </c>
      <c r="K1514" s="29" t="s">
        <v>2716</v>
      </c>
      <c r="L1514" s="29" t="s">
        <v>2717</v>
      </c>
      <c r="M1514" s="29" t="s">
        <v>614</v>
      </c>
      <c r="N1514" s="29" t="s">
        <v>2249</v>
      </c>
      <c r="O1514" s="29" t="s">
        <v>59</v>
      </c>
      <c r="P1514" s="30" t="s">
        <v>2718</v>
      </c>
    </row>
    <row r="1515" s="25" customFormat="1" spans="1:16">
      <c r="A1515" s="29" t="s">
        <v>2716</v>
      </c>
      <c r="B1515" s="29" t="s">
        <v>2698</v>
      </c>
      <c r="C1515" s="29" t="s">
        <v>55</v>
      </c>
      <c r="D1515" s="29" t="s">
        <v>2192</v>
      </c>
      <c r="E1515" s="29" t="s">
        <v>35</v>
      </c>
      <c r="F1515" s="29" t="s">
        <v>51</v>
      </c>
      <c r="G1515" s="29" t="s">
        <v>612</v>
      </c>
      <c r="H1515" s="29" t="s">
        <v>112</v>
      </c>
      <c r="I1515" s="29" t="s">
        <v>39</v>
      </c>
      <c r="J1515" s="29" t="s">
        <v>635</v>
      </c>
      <c r="K1515" s="29" t="s">
        <v>2719</v>
      </c>
      <c r="L1515" s="29" t="s">
        <v>2720</v>
      </c>
      <c r="M1515" s="29" t="s">
        <v>614</v>
      </c>
      <c r="N1515" s="29" t="s">
        <v>2249</v>
      </c>
      <c r="O1515" s="29" t="s">
        <v>59</v>
      </c>
      <c r="P1515" s="30" t="s">
        <v>2721</v>
      </c>
    </row>
    <row r="1516" s="25" customFormat="1" spans="1:16">
      <c r="A1516" s="29" t="s">
        <v>2719</v>
      </c>
      <c r="B1516" s="29" t="s">
        <v>2698</v>
      </c>
      <c r="C1516" s="29" t="s">
        <v>55</v>
      </c>
      <c r="D1516" s="29" t="s">
        <v>2192</v>
      </c>
      <c r="E1516" s="29" t="s">
        <v>35</v>
      </c>
      <c r="F1516" s="29" t="s">
        <v>51</v>
      </c>
      <c r="G1516" s="29" t="s">
        <v>612</v>
      </c>
      <c r="H1516" s="29" t="s">
        <v>112</v>
      </c>
      <c r="I1516" s="29" t="s">
        <v>39</v>
      </c>
      <c r="J1516" s="29" t="s">
        <v>639</v>
      </c>
      <c r="K1516" s="29" t="s">
        <v>2722</v>
      </c>
      <c r="L1516" s="29" t="s">
        <v>2723</v>
      </c>
      <c r="M1516" s="29" t="s">
        <v>614</v>
      </c>
      <c r="N1516" s="29" t="s">
        <v>2249</v>
      </c>
      <c r="O1516" s="29" t="s">
        <v>59</v>
      </c>
      <c r="P1516" s="30" t="s">
        <v>2724</v>
      </c>
    </row>
    <row r="1517" s="25" customFormat="1" spans="1:16">
      <c r="A1517" s="29" t="s">
        <v>2722</v>
      </c>
      <c r="B1517" s="29" t="s">
        <v>2698</v>
      </c>
      <c r="C1517" s="29" t="s">
        <v>55</v>
      </c>
      <c r="D1517" s="29" t="s">
        <v>2192</v>
      </c>
      <c r="E1517" s="29" t="s">
        <v>35</v>
      </c>
      <c r="F1517" s="29" t="s">
        <v>51</v>
      </c>
      <c r="G1517" s="29" t="s">
        <v>612</v>
      </c>
      <c r="H1517" s="29" t="s">
        <v>112</v>
      </c>
      <c r="I1517" s="29" t="s">
        <v>39</v>
      </c>
      <c r="J1517" s="29" t="s">
        <v>643</v>
      </c>
      <c r="K1517" s="29" t="s">
        <v>2725</v>
      </c>
      <c r="L1517" s="29" t="s">
        <v>2726</v>
      </c>
      <c r="M1517" s="29" t="s">
        <v>614</v>
      </c>
      <c r="N1517" s="29" t="s">
        <v>2249</v>
      </c>
      <c r="O1517" s="29" t="s">
        <v>59</v>
      </c>
      <c r="P1517" s="30" t="s">
        <v>2727</v>
      </c>
    </row>
    <row r="1518" s="25" customFormat="1" spans="1:16">
      <c r="A1518" s="29" t="s">
        <v>2725</v>
      </c>
      <c r="B1518" s="29" t="s">
        <v>2698</v>
      </c>
      <c r="C1518" s="29" t="s">
        <v>55</v>
      </c>
      <c r="D1518" s="29" t="s">
        <v>2192</v>
      </c>
      <c r="E1518" s="29" t="s">
        <v>35</v>
      </c>
      <c r="F1518" s="29" t="s">
        <v>51</v>
      </c>
      <c r="G1518" s="29" t="s">
        <v>612</v>
      </c>
      <c r="H1518" s="29" t="s">
        <v>112</v>
      </c>
      <c r="I1518" s="29" t="s">
        <v>39</v>
      </c>
      <c r="J1518" s="29" t="s">
        <v>647</v>
      </c>
      <c r="K1518" s="29" t="s">
        <v>39</v>
      </c>
      <c r="L1518" s="29" t="s">
        <v>39</v>
      </c>
      <c r="M1518" s="29" t="s">
        <v>39</v>
      </c>
      <c r="N1518" s="29" t="s">
        <v>2249</v>
      </c>
      <c r="O1518" s="29" t="s">
        <v>59</v>
      </c>
      <c r="P1518" s="30" t="s">
        <v>2728</v>
      </c>
    </row>
    <row r="1519" s="25" customFormat="1" spans="1:16">
      <c r="A1519" s="29" t="s">
        <v>2729</v>
      </c>
      <c r="B1519" s="29" t="s">
        <v>2729</v>
      </c>
      <c r="C1519" s="29" t="s">
        <v>55</v>
      </c>
      <c r="D1519" s="29" t="s">
        <v>2192</v>
      </c>
      <c r="E1519" s="29" t="s">
        <v>35</v>
      </c>
      <c r="F1519" s="29" t="s">
        <v>51</v>
      </c>
      <c r="G1519" s="29" t="s">
        <v>650</v>
      </c>
      <c r="H1519" s="29" t="s">
        <v>149</v>
      </c>
      <c r="I1519" s="29" t="s">
        <v>39</v>
      </c>
      <c r="J1519" s="29" t="s">
        <v>39</v>
      </c>
      <c r="K1519" s="29" t="s">
        <v>2730</v>
      </c>
      <c r="L1519" s="29" t="s">
        <v>2326</v>
      </c>
      <c r="M1519" s="29" t="s">
        <v>652</v>
      </c>
      <c r="N1519" s="29" t="s">
        <v>2275</v>
      </c>
      <c r="O1519" s="29" t="s">
        <v>129</v>
      </c>
      <c r="P1519" s="30" t="s">
        <v>2276</v>
      </c>
    </row>
    <row r="1520" s="25" customFormat="1" spans="1:16">
      <c r="A1520" s="29" t="s">
        <v>2730</v>
      </c>
      <c r="B1520" s="29" t="s">
        <v>2729</v>
      </c>
      <c r="C1520" s="29" t="s">
        <v>55</v>
      </c>
      <c r="D1520" s="29" t="s">
        <v>2192</v>
      </c>
      <c r="E1520" s="29" t="s">
        <v>35</v>
      </c>
      <c r="F1520" s="29" t="s">
        <v>51</v>
      </c>
      <c r="G1520" s="29" t="s">
        <v>650</v>
      </c>
      <c r="H1520" s="29" t="s">
        <v>149</v>
      </c>
      <c r="I1520" s="29" t="s">
        <v>39</v>
      </c>
      <c r="J1520" s="29" t="s">
        <v>35</v>
      </c>
      <c r="K1520" s="29" t="s">
        <v>2731</v>
      </c>
      <c r="L1520" s="29" t="s">
        <v>2330</v>
      </c>
      <c r="M1520" s="29" t="s">
        <v>652</v>
      </c>
      <c r="N1520" s="29" t="s">
        <v>2278</v>
      </c>
      <c r="O1520" s="29" t="s">
        <v>129</v>
      </c>
      <c r="P1520" s="30" t="s">
        <v>2279</v>
      </c>
    </row>
    <row r="1521" s="25" customFormat="1" spans="1:16">
      <c r="A1521" s="29" t="s">
        <v>2731</v>
      </c>
      <c r="B1521" s="29" t="s">
        <v>2729</v>
      </c>
      <c r="C1521" s="29" t="s">
        <v>55</v>
      </c>
      <c r="D1521" s="29" t="s">
        <v>2192</v>
      </c>
      <c r="E1521" s="29" t="s">
        <v>35</v>
      </c>
      <c r="F1521" s="29" t="s">
        <v>51</v>
      </c>
      <c r="G1521" s="29" t="s">
        <v>650</v>
      </c>
      <c r="H1521" s="29" t="s">
        <v>149</v>
      </c>
      <c r="I1521" s="29" t="s">
        <v>39</v>
      </c>
      <c r="J1521" s="29" t="s">
        <v>47</v>
      </c>
      <c r="K1521" s="29" t="s">
        <v>2732</v>
      </c>
      <c r="L1521" s="29" t="s">
        <v>2334</v>
      </c>
      <c r="M1521" s="29" t="s">
        <v>652</v>
      </c>
      <c r="N1521" s="29" t="s">
        <v>2278</v>
      </c>
      <c r="O1521" s="29" t="s">
        <v>129</v>
      </c>
      <c r="P1521" s="30" t="s">
        <v>2281</v>
      </c>
    </row>
    <row r="1522" s="25" customFormat="1" spans="1:16">
      <c r="A1522" s="29" t="s">
        <v>2732</v>
      </c>
      <c r="B1522" s="29" t="s">
        <v>2729</v>
      </c>
      <c r="C1522" s="29" t="s">
        <v>55</v>
      </c>
      <c r="D1522" s="29" t="s">
        <v>2192</v>
      </c>
      <c r="E1522" s="29" t="s">
        <v>35</v>
      </c>
      <c r="F1522" s="29" t="s">
        <v>51</v>
      </c>
      <c r="G1522" s="29" t="s">
        <v>650</v>
      </c>
      <c r="H1522" s="29" t="s">
        <v>149</v>
      </c>
      <c r="I1522" s="29" t="s">
        <v>39</v>
      </c>
      <c r="J1522" s="29" t="s">
        <v>51</v>
      </c>
      <c r="K1522" s="29" t="s">
        <v>2733</v>
      </c>
      <c r="L1522" s="29" t="s">
        <v>2337</v>
      </c>
      <c r="M1522" s="29" t="s">
        <v>652</v>
      </c>
      <c r="N1522" s="29" t="s">
        <v>2278</v>
      </c>
      <c r="O1522" s="29" t="s">
        <v>129</v>
      </c>
      <c r="P1522" s="30" t="s">
        <v>2283</v>
      </c>
    </row>
    <row r="1523" s="25" customFormat="1" spans="1:16">
      <c r="A1523" s="29" t="s">
        <v>2733</v>
      </c>
      <c r="B1523" s="29" t="s">
        <v>2729</v>
      </c>
      <c r="C1523" s="29" t="s">
        <v>55</v>
      </c>
      <c r="D1523" s="29" t="s">
        <v>2192</v>
      </c>
      <c r="E1523" s="29" t="s">
        <v>35</v>
      </c>
      <c r="F1523" s="29" t="s">
        <v>51</v>
      </c>
      <c r="G1523" s="29" t="s">
        <v>650</v>
      </c>
      <c r="H1523" s="29" t="s">
        <v>149</v>
      </c>
      <c r="I1523" s="29" t="s">
        <v>39</v>
      </c>
      <c r="J1523" s="29" t="s">
        <v>55</v>
      </c>
      <c r="K1523" s="29" t="s">
        <v>2734</v>
      </c>
      <c r="L1523" s="29" t="s">
        <v>2340</v>
      </c>
      <c r="M1523" s="29" t="s">
        <v>652</v>
      </c>
      <c r="N1523" s="29" t="s">
        <v>2278</v>
      </c>
      <c r="O1523" s="29" t="s">
        <v>129</v>
      </c>
      <c r="P1523" s="30" t="s">
        <v>2285</v>
      </c>
    </row>
    <row r="1524" s="25" customFormat="1" spans="1:16">
      <c r="A1524" s="29" t="s">
        <v>2734</v>
      </c>
      <c r="B1524" s="29" t="s">
        <v>2729</v>
      </c>
      <c r="C1524" s="29" t="s">
        <v>55</v>
      </c>
      <c r="D1524" s="29" t="s">
        <v>2192</v>
      </c>
      <c r="E1524" s="29" t="s">
        <v>35</v>
      </c>
      <c r="F1524" s="29" t="s">
        <v>51</v>
      </c>
      <c r="G1524" s="29" t="s">
        <v>650</v>
      </c>
      <c r="H1524" s="29" t="s">
        <v>149</v>
      </c>
      <c r="I1524" s="29" t="s">
        <v>39</v>
      </c>
      <c r="J1524" s="29" t="s">
        <v>59</v>
      </c>
      <c r="K1524" s="29" t="s">
        <v>2735</v>
      </c>
      <c r="L1524" s="29" t="s">
        <v>2343</v>
      </c>
      <c r="M1524" s="29" t="s">
        <v>652</v>
      </c>
      <c r="N1524" s="29" t="s">
        <v>2278</v>
      </c>
      <c r="O1524" s="29" t="s">
        <v>129</v>
      </c>
      <c r="P1524" s="30" t="s">
        <v>2287</v>
      </c>
    </row>
    <row r="1525" s="25" customFormat="1" spans="1:16">
      <c r="A1525" s="29" t="s">
        <v>2735</v>
      </c>
      <c r="B1525" s="29" t="s">
        <v>2729</v>
      </c>
      <c r="C1525" s="29" t="s">
        <v>55</v>
      </c>
      <c r="D1525" s="29" t="s">
        <v>2192</v>
      </c>
      <c r="E1525" s="29" t="s">
        <v>35</v>
      </c>
      <c r="F1525" s="29" t="s">
        <v>51</v>
      </c>
      <c r="G1525" s="29" t="s">
        <v>650</v>
      </c>
      <c r="H1525" s="29" t="s">
        <v>149</v>
      </c>
      <c r="I1525" s="29" t="s">
        <v>39</v>
      </c>
      <c r="J1525" s="29" t="s">
        <v>129</v>
      </c>
      <c r="K1525" s="29" t="s">
        <v>2736</v>
      </c>
      <c r="L1525" s="29" t="s">
        <v>2346</v>
      </c>
      <c r="M1525" s="29" t="s">
        <v>652</v>
      </c>
      <c r="N1525" s="29" t="s">
        <v>2278</v>
      </c>
      <c r="O1525" s="29" t="s">
        <v>129</v>
      </c>
      <c r="P1525" s="30" t="s">
        <v>2289</v>
      </c>
    </row>
    <row r="1526" s="25" customFormat="1" spans="1:16">
      <c r="A1526" s="29" t="s">
        <v>2736</v>
      </c>
      <c r="B1526" s="29" t="s">
        <v>2729</v>
      </c>
      <c r="C1526" s="29" t="s">
        <v>55</v>
      </c>
      <c r="D1526" s="29" t="s">
        <v>2192</v>
      </c>
      <c r="E1526" s="29" t="s">
        <v>35</v>
      </c>
      <c r="F1526" s="29" t="s">
        <v>51</v>
      </c>
      <c r="G1526" s="29" t="s">
        <v>650</v>
      </c>
      <c r="H1526" s="29" t="s">
        <v>149</v>
      </c>
      <c r="I1526" s="29" t="s">
        <v>39</v>
      </c>
      <c r="J1526" s="29" t="s">
        <v>133</v>
      </c>
      <c r="K1526" s="29" t="s">
        <v>2737</v>
      </c>
      <c r="L1526" s="29" t="s">
        <v>2349</v>
      </c>
      <c r="M1526" s="29" t="s">
        <v>652</v>
      </c>
      <c r="N1526" s="29" t="s">
        <v>2278</v>
      </c>
      <c r="O1526" s="29" t="s">
        <v>129</v>
      </c>
      <c r="P1526" s="30" t="s">
        <v>2291</v>
      </c>
    </row>
    <row r="1527" s="25" customFormat="1" spans="1:16">
      <c r="A1527" s="29" t="s">
        <v>2737</v>
      </c>
      <c r="B1527" s="29" t="s">
        <v>2729</v>
      </c>
      <c r="C1527" s="29" t="s">
        <v>55</v>
      </c>
      <c r="D1527" s="29" t="s">
        <v>2192</v>
      </c>
      <c r="E1527" s="29" t="s">
        <v>35</v>
      </c>
      <c r="F1527" s="29" t="s">
        <v>51</v>
      </c>
      <c r="G1527" s="29" t="s">
        <v>650</v>
      </c>
      <c r="H1527" s="29" t="s">
        <v>149</v>
      </c>
      <c r="I1527" s="29" t="s">
        <v>39</v>
      </c>
      <c r="J1527" s="29" t="s">
        <v>137</v>
      </c>
      <c r="K1527" s="29" t="s">
        <v>2738</v>
      </c>
      <c r="L1527" s="29" t="s">
        <v>2352</v>
      </c>
      <c r="M1527" s="29" t="s">
        <v>652</v>
      </c>
      <c r="N1527" s="29" t="s">
        <v>2278</v>
      </c>
      <c r="O1527" s="29" t="s">
        <v>129</v>
      </c>
      <c r="P1527" s="30" t="s">
        <v>2293</v>
      </c>
    </row>
    <row r="1528" s="25" customFormat="1" spans="1:16">
      <c r="A1528" s="29" t="s">
        <v>2738</v>
      </c>
      <c r="B1528" s="29" t="s">
        <v>2729</v>
      </c>
      <c r="C1528" s="29" t="s">
        <v>55</v>
      </c>
      <c r="D1528" s="29" t="s">
        <v>2192</v>
      </c>
      <c r="E1528" s="29" t="s">
        <v>35</v>
      </c>
      <c r="F1528" s="29" t="s">
        <v>51</v>
      </c>
      <c r="G1528" s="29" t="s">
        <v>650</v>
      </c>
      <c r="H1528" s="29" t="s">
        <v>149</v>
      </c>
      <c r="I1528" s="29" t="s">
        <v>39</v>
      </c>
      <c r="J1528" s="29" t="s">
        <v>141</v>
      </c>
      <c r="K1528" s="29" t="s">
        <v>2739</v>
      </c>
      <c r="L1528" s="29" t="s">
        <v>2355</v>
      </c>
      <c r="M1528" s="29" t="s">
        <v>652</v>
      </c>
      <c r="N1528" s="29" t="s">
        <v>2278</v>
      </c>
      <c r="O1528" s="29" t="s">
        <v>129</v>
      </c>
      <c r="P1528" s="30" t="s">
        <v>2295</v>
      </c>
    </row>
    <row r="1529" s="25" customFormat="1" spans="1:16">
      <c r="A1529" s="29" t="s">
        <v>2739</v>
      </c>
      <c r="B1529" s="29" t="s">
        <v>2729</v>
      </c>
      <c r="C1529" s="29" t="s">
        <v>55</v>
      </c>
      <c r="D1529" s="29" t="s">
        <v>2192</v>
      </c>
      <c r="E1529" s="29" t="s">
        <v>35</v>
      </c>
      <c r="F1529" s="29" t="s">
        <v>51</v>
      </c>
      <c r="G1529" s="29" t="s">
        <v>650</v>
      </c>
      <c r="H1529" s="29" t="s">
        <v>149</v>
      </c>
      <c r="I1529" s="29" t="s">
        <v>39</v>
      </c>
      <c r="J1529" s="29" t="s">
        <v>145</v>
      </c>
      <c r="K1529" s="29" t="s">
        <v>2740</v>
      </c>
      <c r="L1529" s="29" t="s">
        <v>2357</v>
      </c>
      <c r="M1529" s="29" t="s">
        <v>652</v>
      </c>
      <c r="N1529" s="29" t="s">
        <v>2278</v>
      </c>
      <c r="O1529" s="29" t="s">
        <v>129</v>
      </c>
      <c r="P1529" s="30" t="s">
        <v>2296</v>
      </c>
    </row>
    <row r="1530" s="25" customFormat="1" spans="1:16">
      <c r="A1530" s="29" t="s">
        <v>2740</v>
      </c>
      <c r="B1530" s="29" t="s">
        <v>2729</v>
      </c>
      <c r="C1530" s="29" t="s">
        <v>55</v>
      </c>
      <c r="D1530" s="29" t="s">
        <v>2192</v>
      </c>
      <c r="E1530" s="29" t="s">
        <v>35</v>
      </c>
      <c r="F1530" s="29" t="s">
        <v>51</v>
      </c>
      <c r="G1530" s="29" t="s">
        <v>650</v>
      </c>
      <c r="H1530" s="29" t="s">
        <v>149</v>
      </c>
      <c r="I1530" s="29" t="s">
        <v>39</v>
      </c>
      <c r="J1530" s="29" t="s">
        <v>408</v>
      </c>
      <c r="K1530" s="29" t="s">
        <v>2741</v>
      </c>
      <c r="L1530" s="29" t="s">
        <v>2620</v>
      </c>
      <c r="M1530" s="29" t="s">
        <v>652</v>
      </c>
      <c r="N1530" s="29" t="s">
        <v>2278</v>
      </c>
      <c r="O1530" s="29" t="s">
        <v>129</v>
      </c>
      <c r="P1530" s="30" t="s">
        <v>2545</v>
      </c>
    </row>
    <row r="1531" s="25" customFormat="1" spans="1:16">
      <c r="A1531" s="29" t="s">
        <v>2741</v>
      </c>
      <c r="B1531" s="29" t="s">
        <v>2729</v>
      </c>
      <c r="C1531" s="29" t="s">
        <v>55</v>
      </c>
      <c r="D1531" s="29" t="s">
        <v>2192</v>
      </c>
      <c r="E1531" s="29" t="s">
        <v>35</v>
      </c>
      <c r="F1531" s="29" t="s">
        <v>51</v>
      </c>
      <c r="G1531" s="29" t="s">
        <v>650</v>
      </c>
      <c r="H1531" s="29" t="s">
        <v>149</v>
      </c>
      <c r="I1531" s="29" t="s">
        <v>39</v>
      </c>
      <c r="J1531" s="29" t="s">
        <v>412</v>
      </c>
      <c r="K1531" s="29" t="s">
        <v>2742</v>
      </c>
      <c r="L1531" s="29" t="s">
        <v>2623</v>
      </c>
      <c r="M1531" s="29" t="s">
        <v>652</v>
      </c>
      <c r="N1531" s="29" t="s">
        <v>2278</v>
      </c>
      <c r="O1531" s="29" t="s">
        <v>129</v>
      </c>
      <c r="P1531" s="30" t="s">
        <v>2547</v>
      </c>
    </row>
    <row r="1532" s="25" customFormat="1" spans="1:16">
      <c r="A1532" s="29" t="s">
        <v>2742</v>
      </c>
      <c r="B1532" s="29" t="s">
        <v>2729</v>
      </c>
      <c r="C1532" s="29" t="s">
        <v>55</v>
      </c>
      <c r="D1532" s="29" t="s">
        <v>2192</v>
      </c>
      <c r="E1532" s="29" t="s">
        <v>35</v>
      </c>
      <c r="F1532" s="29" t="s">
        <v>51</v>
      </c>
      <c r="G1532" s="29" t="s">
        <v>650</v>
      </c>
      <c r="H1532" s="29" t="s">
        <v>149</v>
      </c>
      <c r="I1532" s="29" t="s">
        <v>39</v>
      </c>
      <c r="J1532" s="29" t="s">
        <v>416</v>
      </c>
      <c r="K1532" s="29" t="s">
        <v>2743</v>
      </c>
      <c r="L1532" s="29" t="s">
        <v>2650</v>
      </c>
      <c r="M1532" s="29" t="s">
        <v>652</v>
      </c>
      <c r="N1532" s="29" t="s">
        <v>2278</v>
      </c>
      <c r="O1532" s="29" t="s">
        <v>129</v>
      </c>
      <c r="P1532" s="30" t="s">
        <v>2549</v>
      </c>
    </row>
    <row r="1533" s="25" customFormat="1" spans="1:16">
      <c r="A1533" s="29" t="s">
        <v>2743</v>
      </c>
      <c r="B1533" s="29" t="s">
        <v>2729</v>
      </c>
      <c r="C1533" s="29" t="s">
        <v>55</v>
      </c>
      <c r="D1533" s="29" t="s">
        <v>2192</v>
      </c>
      <c r="E1533" s="29" t="s">
        <v>35</v>
      </c>
      <c r="F1533" s="29" t="s">
        <v>51</v>
      </c>
      <c r="G1533" s="29" t="s">
        <v>650</v>
      </c>
      <c r="H1533" s="29" t="s">
        <v>149</v>
      </c>
      <c r="I1533" s="29" t="s">
        <v>39</v>
      </c>
      <c r="J1533" s="29" t="s">
        <v>420</v>
      </c>
      <c r="K1533" s="29" t="s">
        <v>2744</v>
      </c>
      <c r="L1533" s="29" t="s">
        <v>2653</v>
      </c>
      <c r="M1533" s="29" t="s">
        <v>652</v>
      </c>
      <c r="N1533" s="29" t="s">
        <v>2278</v>
      </c>
      <c r="O1533" s="29" t="s">
        <v>129</v>
      </c>
      <c r="P1533" s="30" t="s">
        <v>2551</v>
      </c>
    </row>
    <row r="1534" s="25" customFormat="1" spans="1:16">
      <c r="A1534" s="29" t="s">
        <v>2744</v>
      </c>
      <c r="B1534" s="29" t="s">
        <v>2729</v>
      </c>
      <c r="C1534" s="29" t="s">
        <v>55</v>
      </c>
      <c r="D1534" s="29" t="s">
        <v>2192</v>
      </c>
      <c r="E1534" s="29" t="s">
        <v>35</v>
      </c>
      <c r="F1534" s="29" t="s">
        <v>51</v>
      </c>
      <c r="G1534" s="29" t="s">
        <v>650</v>
      </c>
      <c r="H1534" s="29" t="s">
        <v>149</v>
      </c>
      <c r="I1534" s="29" t="s">
        <v>39</v>
      </c>
      <c r="J1534" s="29" t="s">
        <v>424</v>
      </c>
      <c r="K1534" s="29" t="s">
        <v>2745</v>
      </c>
      <c r="L1534" s="29" t="s">
        <v>2715</v>
      </c>
      <c r="M1534" s="29" t="s">
        <v>652</v>
      </c>
      <c r="N1534" s="29" t="s">
        <v>2278</v>
      </c>
      <c r="O1534" s="29" t="s">
        <v>129</v>
      </c>
      <c r="P1534" s="30" t="s">
        <v>2552</v>
      </c>
    </row>
    <row r="1535" s="25" customFormat="1" spans="1:16">
      <c r="A1535" s="29" t="s">
        <v>2745</v>
      </c>
      <c r="B1535" s="29" t="s">
        <v>2729</v>
      </c>
      <c r="C1535" s="29" t="s">
        <v>55</v>
      </c>
      <c r="D1535" s="29" t="s">
        <v>2192</v>
      </c>
      <c r="E1535" s="29" t="s">
        <v>35</v>
      </c>
      <c r="F1535" s="29" t="s">
        <v>51</v>
      </c>
      <c r="G1535" s="29" t="s">
        <v>650</v>
      </c>
      <c r="H1535" s="29" t="s">
        <v>149</v>
      </c>
      <c r="I1535" s="29" t="s">
        <v>39</v>
      </c>
      <c r="J1535" s="29" t="s">
        <v>631</v>
      </c>
      <c r="K1535" s="29" t="s">
        <v>2746</v>
      </c>
      <c r="L1535" s="29" t="s">
        <v>2717</v>
      </c>
      <c r="M1535" s="29" t="s">
        <v>652</v>
      </c>
      <c r="N1535" s="29" t="s">
        <v>2278</v>
      </c>
      <c r="O1535" s="29" t="s">
        <v>129</v>
      </c>
      <c r="P1535" s="30" t="s">
        <v>2747</v>
      </c>
    </row>
    <row r="1536" s="25" customFormat="1" spans="1:16">
      <c r="A1536" s="29" t="s">
        <v>2746</v>
      </c>
      <c r="B1536" s="29" t="s">
        <v>2729</v>
      </c>
      <c r="C1536" s="29" t="s">
        <v>55</v>
      </c>
      <c r="D1536" s="29" t="s">
        <v>2192</v>
      </c>
      <c r="E1536" s="29" t="s">
        <v>35</v>
      </c>
      <c r="F1536" s="29" t="s">
        <v>51</v>
      </c>
      <c r="G1536" s="29" t="s">
        <v>650</v>
      </c>
      <c r="H1536" s="29" t="s">
        <v>149</v>
      </c>
      <c r="I1536" s="29" t="s">
        <v>39</v>
      </c>
      <c r="J1536" s="29" t="s">
        <v>635</v>
      </c>
      <c r="K1536" s="29" t="s">
        <v>2748</v>
      </c>
      <c r="L1536" s="29" t="s">
        <v>2720</v>
      </c>
      <c r="M1536" s="29" t="s">
        <v>652</v>
      </c>
      <c r="N1536" s="29" t="s">
        <v>2278</v>
      </c>
      <c r="O1536" s="29" t="s">
        <v>129</v>
      </c>
      <c r="P1536" s="30" t="s">
        <v>2749</v>
      </c>
    </row>
    <row r="1537" s="25" customFormat="1" spans="1:16">
      <c r="A1537" s="29" t="s">
        <v>2748</v>
      </c>
      <c r="B1537" s="29" t="s">
        <v>2729</v>
      </c>
      <c r="C1537" s="29" t="s">
        <v>55</v>
      </c>
      <c r="D1537" s="29" t="s">
        <v>2192</v>
      </c>
      <c r="E1537" s="29" t="s">
        <v>35</v>
      </c>
      <c r="F1537" s="29" t="s">
        <v>51</v>
      </c>
      <c r="G1537" s="29" t="s">
        <v>650</v>
      </c>
      <c r="H1537" s="29" t="s">
        <v>149</v>
      </c>
      <c r="I1537" s="29" t="s">
        <v>39</v>
      </c>
      <c r="J1537" s="29" t="s">
        <v>639</v>
      </c>
      <c r="K1537" s="29" t="s">
        <v>2750</v>
      </c>
      <c r="L1537" s="29" t="s">
        <v>2723</v>
      </c>
      <c r="M1537" s="29" t="s">
        <v>652</v>
      </c>
      <c r="N1537" s="29" t="s">
        <v>2278</v>
      </c>
      <c r="O1537" s="29" t="s">
        <v>129</v>
      </c>
      <c r="P1537" s="30" t="s">
        <v>2751</v>
      </c>
    </row>
    <row r="1538" s="25" customFormat="1" spans="1:16">
      <c r="A1538" s="29" t="s">
        <v>2750</v>
      </c>
      <c r="B1538" s="29" t="s">
        <v>2729</v>
      </c>
      <c r="C1538" s="29" t="s">
        <v>55</v>
      </c>
      <c r="D1538" s="29" t="s">
        <v>2192</v>
      </c>
      <c r="E1538" s="29" t="s">
        <v>35</v>
      </c>
      <c r="F1538" s="29" t="s">
        <v>51</v>
      </c>
      <c r="G1538" s="29" t="s">
        <v>650</v>
      </c>
      <c r="H1538" s="29" t="s">
        <v>149</v>
      </c>
      <c r="I1538" s="29" t="s">
        <v>39</v>
      </c>
      <c r="J1538" s="29" t="s">
        <v>643</v>
      </c>
      <c r="K1538" s="29" t="s">
        <v>2752</v>
      </c>
      <c r="L1538" s="29" t="s">
        <v>2726</v>
      </c>
      <c r="M1538" s="29" t="s">
        <v>652</v>
      </c>
      <c r="N1538" s="29" t="s">
        <v>2278</v>
      </c>
      <c r="O1538" s="29" t="s">
        <v>129</v>
      </c>
      <c r="P1538" s="30" t="s">
        <v>2753</v>
      </c>
    </row>
    <row r="1539" s="25" customFormat="1" spans="1:16">
      <c r="A1539" s="29" t="s">
        <v>2752</v>
      </c>
      <c r="B1539" s="29" t="s">
        <v>2729</v>
      </c>
      <c r="C1539" s="29" t="s">
        <v>55</v>
      </c>
      <c r="D1539" s="29" t="s">
        <v>2192</v>
      </c>
      <c r="E1539" s="29" t="s">
        <v>35</v>
      </c>
      <c r="F1539" s="29" t="s">
        <v>51</v>
      </c>
      <c r="G1539" s="29" t="s">
        <v>650</v>
      </c>
      <c r="H1539" s="29" t="s">
        <v>149</v>
      </c>
      <c r="I1539" s="29" t="s">
        <v>39</v>
      </c>
      <c r="J1539" s="29" t="s">
        <v>647</v>
      </c>
      <c r="K1539" s="29" t="s">
        <v>39</v>
      </c>
      <c r="L1539" s="29" t="s">
        <v>39</v>
      </c>
      <c r="M1539" s="29" t="s">
        <v>39</v>
      </c>
      <c r="N1539" s="29" t="s">
        <v>2278</v>
      </c>
      <c r="O1539" s="29" t="s">
        <v>129</v>
      </c>
      <c r="P1539" s="30" t="s">
        <v>2754</v>
      </c>
    </row>
    <row r="1540" s="25" customFormat="1" spans="1:16">
      <c r="A1540" s="29" t="s">
        <v>2755</v>
      </c>
      <c r="B1540" s="29" t="s">
        <v>2755</v>
      </c>
      <c r="C1540" s="29" t="s">
        <v>55</v>
      </c>
      <c r="D1540" s="29" t="s">
        <v>2192</v>
      </c>
      <c r="E1540" s="29" t="s">
        <v>35</v>
      </c>
      <c r="F1540" s="29" t="s">
        <v>51</v>
      </c>
      <c r="G1540" s="29" t="s">
        <v>678</v>
      </c>
      <c r="H1540" s="29" t="s">
        <v>176</v>
      </c>
      <c r="I1540" s="29" t="s">
        <v>39</v>
      </c>
      <c r="J1540" s="29" t="s">
        <v>39</v>
      </c>
      <c r="K1540" s="29" t="s">
        <v>2756</v>
      </c>
      <c r="L1540" s="29" t="s">
        <v>2326</v>
      </c>
      <c r="M1540" s="29" t="s">
        <v>680</v>
      </c>
      <c r="N1540" s="29" t="s">
        <v>2506</v>
      </c>
      <c r="O1540" s="29" t="s">
        <v>133</v>
      </c>
      <c r="P1540" s="30" t="s">
        <v>2300</v>
      </c>
    </row>
    <row r="1541" s="25" customFormat="1" spans="1:16">
      <c r="A1541" s="29" t="s">
        <v>2756</v>
      </c>
      <c r="B1541" s="29" t="s">
        <v>2755</v>
      </c>
      <c r="C1541" s="29" t="s">
        <v>55</v>
      </c>
      <c r="D1541" s="29" t="s">
        <v>2192</v>
      </c>
      <c r="E1541" s="29" t="s">
        <v>35</v>
      </c>
      <c r="F1541" s="29" t="s">
        <v>51</v>
      </c>
      <c r="G1541" s="29" t="s">
        <v>678</v>
      </c>
      <c r="H1541" s="29" t="s">
        <v>176</v>
      </c>
      <c r="I1541" s="29" t="s">
        <v>39</v>
      </c>
      <c r="J1541" s="29" t="s">
        <v>35</v>
      </c>
      <c r="K1541" s="29" t="s">
        <v>2757</v>
      </c>
      <c r="L1541" s="29" t="s">
        <v>2330</v>
      </c>
      <c r="M1541" s="29" t="s">
        <v>680</v>
      </c>
      <c r="N1541" s="29" t="s">
        <v>2508</v>
      </c>
      <c r="O1541" s="29" t="s">
        <v>133</v>
      </c>
      <c r="P1541" s="30" t="s">
        <v>2303</v>
      </c>
    </row>
    <row r="1542" s="25" customFormat="1" spans="1:16">
      <c r="A1542" s="29" t="s">
        <v>2757</v>
      </c>
      <c r="B1542" s="29" t="s">
        <v>2755</v>
      </c>
      <c r="C1542" s="29" t="s">
        <v>55</v>
      </c>
      <c r="D1542" s="29" t="s">
        <v>2192</v>
      </c>
      <c r="E1542" s="29" t="s">
        <v>35</v>
      </c>
      <c r="F1542" s="29" t="s">
        <v>51</v>
      </c>
      <c r="G1542" s="29" t="s">
        <v>678</v>
      </c>
      <c r="H1542" s="29" t="s">
        <v>176</v>
      </c>
      <c r="I1542" s="29" t="s">
        <v>39</v>
      </c>
      <c r="J1542" s="29" t="s">
        <v>47</v>
      </c>
      <c r="K1542" s="29" t="s">
        <v>2758</v>
      </c>
      <c r="L1542" s="29" t="s">
        <v>2334</v>
      </c>
      <c r="M1542" s="29" t="s">
        <v>680</v>
      </c>
      <c r="N1542" s="29" t="s">
        <v>2508</v>
      </c>
      <c r="O1542" s="29" t="s">
        <v>133</v>
      </c>
      <c r="P1542" s="30" t="s">
        <v>2305</v>
      </c>
    </row>
    <row r="1543" s="25" customFormat="1" spans="1:16">
      <c r="A1543" s="29" t="s">
        <v>2758</v>
      </c>
      <c r="B1543" s="29" t="s">
        <v>2755</v>
      </c>
      <c r="C1543" s="29" t="s">
        <v>55</v>
      </c>
      <c r="D1543" s="29" t="s">
        <v>2192</v>
      </c>
      <c r="E1543" s="29" t="s">
        <v>35</v>
      </c>
      <c r="F1543" s="29" t="s">
        <v>51</v>
      </c>
      <c r="G1543" s="29" t="s">
        <v>678</v>
      </c>
      <c r="H1543" s="29" t="s">
        <v>176</v>
      </c>
      <c r="I1543" s="29" t="s">
        <v>39</v>
      </c>
      <c r="J1543" s="29" t="s">
        <v>51</v>
      </c>
      <c r="K1543" s="29" t="s">
        <v>2759</v>
      </c>
      <c r="L1543" s="29" t="s">
        <v>2337</v>
      </c>
      <c r="M1543" s="29" t="s">
        <v>680</v>
      </c>
      <c r="N1543" s="29" t="s">
        <v>2508</v>
      </c>
      <c r="O1543" s="29" t="s">
        <v>133</v>
      </c>
      <c r="P1543" s="30" t="s">
        <v>2307</v>
      </c>
    </row>
    <row r="1544" s="25" customFormat="1" spans="1:16">
      <c r="A1544" s="29" t="s">
        <v>2759</v>
      </c>
      <c r="B1544" s="29" t="s">
        <v>2755</v>
      </c>
      <c r="C1544" s="29" t="s">
        <v>55</v>
      </c>
      <c r="D1544" s="29" t="s">
        <v>2192</v>
      </c>
      <c r="E1544" s="29" t="s">
        <v>35</v>
      </c>
      <c r="F1544" s="29" t="s">
        <v>51</v>
      </c>
      <c r="G1544" s="29" t="s">
        <v>678</v>
      </c>
      <c r="H1544" s="29" t="s">
        <v>176</v>
      </c>
      <c r="I1544" s="29" t="s">
        <v>39</v>
      </c>
      <c r="J1544" s="29" t="s">
        <v>55</v>
      </c>
      <c r="K1544" s="29" t="s">
        <v>2760</v>
      </c>
      <c r="L1544" s="29" t="s">
        <v>2340</v>
      </c>
      <c r="M1544" s="29" t="s">
        <v>680</v>
      </c>
      <c r="N1544" s="29" t="s">
        <v>2508</v>
      </c>
      <c r="O1544" s="29" t="s">
        <v>133</v>
      </c>
      <c r="P1544" s="30" t="s">
        <v>2309</v>
      </c>
    </row>
    <row r="1545" s="25" customFormat="1" spans="1:16">
      <c r="A1545" s="29" t="s">
        <v>2760</v>
      </c>
      <c r="B1545" s="29" t="s">
        <v>2755</v>
      </c>
      <c r="C1545" s="29" t="s">
        <v>55</v>
      </c>
      <c r="D1545" s="29" t="s">
        <v>2192</v>
      </c>
      <c r="E1545" s="29" t="s">
        <v>35</v>
      </c>
      <c r="F1545" s="29" t="s">
        <v>51</v>
      </c>
      <c r="G1545" s="29" t="s">
        <v>678</v>
      </c>
      <c r="H1545" s="29" t="s">
        <v>176</v>
      </c>
      <c r="I1545" s="29" t="s">
        <v>39</v>
      </c>
      <c r="J1545" s="29" t="s">
        <v>59</v>
      </c>
      <c r="K1545" s="29" t="s">
        <v>2761</v>
      </c>
      <c r="L1545" s="29" t="s">
        <v>2343</v>
      </c>
      <c r="M1545" s="29" t="s">
        <v>680</v>
      </c>
      <c r="N1545" s="29" t="s">
        <v>2508</v>
      </c>
      <c r="O1545" s="29" t="s">
        <v>133</v>
      </c>
      <c r="P1545" s="30" t="s">
        <v>2311</v>
      </c>
    </row>
    <row r="1546" s="25" customFormat="1" spans="1:16">
      <c r="A1546" s="29" t="s">
        <v>2761</v>
      </c>
      <c r="B1546" s="29" t="s">
        <v>2755</v>
      </c>
      <c r="C1546" s="29" t="s">
        <v>55</v>
      </c>
      <c r="D1546" s="29" t="s">
        <v>2192</v>
      </c>
      <c r="E1546" s="29" t="s">
        <v>35</v>
      </c>
      <c r="F1546" s="29" t="s">
        <v>51</v>
      </c>
      <c r="G1546" s="29" t="s">
        <v>678</v>
      </c>
      <c r="H1546" s="29" t="s">
        <v>176</v>
      </c>
      <c r="I1546" s="29" t="s">
        <v>39</v>
      </c>
      <c r="J1546" s="29" t="s">
        <v>129</v>
      </c>
      <c r="K1546" s="29" t="s">
        <v>2762</v>
      </c>
      <c r="L1546" s="29" t="s">
        <v>2346</v>
      </c>
      <c r="M1546" s="29" t="s">
        <v>680</v>
      </c>
      <c r="N1546" s="29" t="s">
        <v>2508</v>
      </c>
      <c r="O1546" s="29" t="s">
        <v>133</v>
      </c>
      <c r="P1546" s="30" t="s">
        <v>2313</v>
      </c>
    </row>
    <row r="1547" s="25" customFormat="1" spans="1:16">
      <c r="A1547" s="29" t="s">
        <v>2762</v>
      </c>
      <c r="B1547" s="29" t="s">
        <v>2755</v>
      </c>
      <c r="C1547" s="29" t="s">
        <v>55</v>
      </c>
      <c r="D1547" s="29" t="s">
        <v>2192</v>
      </c>
      <c r="E1547" s="29" t="s">
        <v>35</v>
      </c>
      <c r="F1547" s="29" t="s">
        <v>51</v>
      </c>
      <c r="G1547" s="29" t="s">
        <v>678</v>
      </c>
      <c r="H1547" s="29" t="s">
        <v>176</v>
      </c>
      <c r="I1547" s="29" t="s">
        <v>39</v>
      </c>
      <c r="J1547" s="29" t="s">
        <v>133</v>
      </c>
      <c r="K1547" s="29" t="s">
        <v>2763</v>
      </c>
      <c r="L1547" s="29" t="s">
        <v>2349</v>
      </c>
      <c r="M1547" s="29" t="s">
        <v>680</v>
      </c>
      <c r="N1547" s="29" t="s">
        <v>2508</v>
      </c>
      <c r="O1547" s="29" t="s">
        <v>133</v>
      </c>
      <c r="P1547" s="30" t="s">
        <v>2315</v>
      </c>
    </row>
    <row r="1548" s="25" customFormat="1" spans="1:16">
      <c r="A1548" s="29" t="s">
        <v>2763</v>
      </c>
      <c r="B1548" s="29" t="s">
        <v>2755</v>
      </c>
      <c r="C1548" s="29" t="s">
        <v>55</v>
      </c>
      <c r="D1548" s="29" t="s">
        <v>2192</v>
      </c>
      <c r="E1548" s="29" t="s">
        <v>35</v>
      </c>
      <c r="F1548" s="29" t="s">
        <v>51</v>
      </c>
      <c r="G1548" s="29" t="s">
        <v>678</v>
      </c>
      <c r="H1548" s="29" t="s">
        <v>176</v>
      </c>
      <c r="I1548" s="29" t="s">
        <v>39</v>
      </c>
      <c r="J1548" s="29" t="s">
        <v>137</v>
      </c>
      <c r="K1548" s="29" t="s">
        <v>2764</v>
      </c>
      <c r="L1548" s="29" t="s">
        <v>2352</v>
      </c>
      <c r="M1548" s="29" t="s">
        <v>680</v>
      </c>
      <c r="N1548" s="29" t="s">
        <v>2508</v>
      </c>
      <c r="O1548" s="29" t="s">
        <v>133</v>
      </c>
      <c r="P1548" s="30" t="s">
        <v>2317</v>
      </c>
    </row>
    <row r="1549" s="25" customFormat="1" spans="1:16">
      <c r="A1549" s="29" t="s">
        <v>2764</v>
      </c>
      <c r="B1549" s="29" t="s">
        <v>2755</v>
      </c>
      <c r="C1549" s="29" t="s">
        <v>55</v>
      </c>
      <c r="D1549" s="29" t="s">
        <v>2192</v>
      </c>
      <c r="E1549" s="29" t="s">
        <v>35</v>
      </c>
      <c r="F1549" s="29" t="s">
        <v>51</v>
      </c>
      <c r="G1549" s="29" t="s">
        <v>678</v>
      </c>
      <c r="H1549" s="29" t="s">
        <v>176</v>
      </c>
      <c r="I1549" s="29" t="s">
        <v>39</v>
      </c>
      <c r="J1549" s="29" t="s">
        <v>141</v>
      </c>
      <c r="K1549" s="29" t="s">
        <v>2765</v>
      </c>
      <c r="L1549" s="29" t="s">
        <v>2355</v>
      </c>
      <c r="M1549" s="29" t="s">
        <v>680</v>
      </c>
      <c r="N1549" s="29" t="s">
        <v>2508</v>
      </c>
      <c r="O1549" s="29" t="s">
        <v>133</v>
      </c>
      <c r="P1549" s="30" t="s">
        <v>2319</v>
      </c>
    </row>
    <row r="1550" s="25" customFormat="1" spans="1:16">
      <c r="A1550" s="29" t="s">
        <v>2765</v>
      </c>
      <c r="B1550" s="29" t="s">
        <v>2755</v>
      </c>
      <c r="C1550" s="29" t="s">
        <v>55</v>
      </c>
      <c r="D1550" s="29" t="s">
        <v>2192</v>
      </c>
      <c r="E1550" s="29" t="s">
        <v>35</v>
      </c>
      <c r="F1550" s="29" t="s">
        <v>51</v>
      </c>
      <c r="G1550" s="29" t="s">
        <v>678</v>
      </c>
      <c r="H1550" s="29" t="s">
        <v>176</v>
      </c>
      <c r="I1550" s="29" t="s">
        <v>39</v>
      </c>
      <c r="J1550" s="29" t="s">
        <v>145</v>
      </c>
      <c r="K1550" s="29" t="s">
        <v>2766</v>
      </c>
      <c r="L1550" s="29" t="s">
        <v>2357</v>
      </c>
      <c r="M1550" s="29" t="s">
        <v>680</v>
      </c>
      <c r="N1550" s="29" t="s">
        <v>2508</v>
      </c>
      <c r="O1550" s="29" t="s">
        <v>133</v>
      </c>
      <c r="P1550" s="30" t="s">
        <v>2320</v>
      </c>
    </row>
    <row r="1551" s="25" customFormat="1" spans="1:16">
      <c r="A1551" s="29" t="s">
        <v>2766</v>
      </c>
      <c r="B1551" s="29" t="s">
        <v>2755</v>
      </c>
      <c r="C1551" s="29" t="s">
        <v>55</v>
      </c>
      <c r="D1551" s="29" t="s">
        <v>2192</v>
      </c>
      <c r="E1551" s="29" t="s">
        <v>35</v>
      </c>
      <c r="F1551" s="29" t="s">
        <v>51</v>
      </c>
      <c r="G1551" s="29" t="s">
        <v>678</v>
      </c>
      <c r="H1551" s="29" t="s">
        <v>176</v>
      </c>
      <c r="I1551" s="29" t="s">
        <v>39</v>
      </c>
      <c r="J1551" s="29" t="s">
        <v>408</v>
      </c>
      <c r="K1551" s="29" t="s">
        <v>2767</v>
      </c>
      <c r="L1551" s="29" t="s">
        <v>2620</v>
      </c>
      <c r="M1551" s="29" t="s">
        <v>680</v>
      </c>
      <c r="N1551" s="29" t="s">
        <v>2508</v>
      </c>
      <c r="O1551" s="29" t="s">
        <v>133</v>
      </c>
      <c r="P1551" s="30" t="s">
        <v>2566</v>
      </c>
    </row>
    <row r="1552" s="25" customFormat="1" spans="1:16">
      <c r="A1552" s="29" t="s">
        <v>2767</v>
      </c>
      <c r="B1552" s="29" t="s">
        <v>2755</v>
      </c>
      <c r="C1552" s="29" t="s">
        <v>55</v>
      </c>
      <c r="D1552" s="29" t="s">
        <v>2192</v>
      </c>
      <c r="E1552" s="29" t="s">
        <v>35</v>
      </c>
      <c r="F1552" s="29" t="s">
        <v>51</v>
      </c>
      <c r="G1552" s="29" t="s">
        <v>678</v>
      </c>
      <c r="H1552" s="29" t="s">
        <v>176</v>
      </c>
      <c r="I1552" s="29" t="s">
        <v>39</v>
      </c>
      <c r="J1552" s="29" t="s">
        <v>412</v>
      </c>
      <c r="K1552" s="29" t="s">
        <v>2768</v>
      </c>
      <c r="L1552" s="29" t="s">
        <v>2623</v>
      </c>
      <c r="M1552" s="29" t="s">
        <v>680</v>
      </c>
      <c r="N1552" s="29" t="s">
        <v>2508</v>
      </c>
      <c r="O1552" s="29" t="s">
        <v>133</v>
      </c>
      <c r="P1552" s="30" t="s">
        <v>2568</v>
      </c>
    </row>
    <row r="1553" s="25" customFormat="1" spans="1:16">
      <c r="A1553" s="29" t="s">
        <v>2768</v>
      </c>
      <c r="B1553" s="29" t="s">
        <v>2755</v>
      </c>
      <c r="C1553" s="29" t="s">
        <v>55</v>
      </c>
      <c r="D1553" s="29" t="s">
        <v>2192</v>
      </c>
      <c r="E1553" s="29" t="s">
        <v>35</v>
      </c>
      <c r="F1553" s="29" t="s">
        <v>51</v>
      </c>
      <c r="G1553" s="29" t="s">
        <v>678</v>
      </c>
      <c r="H1553" s="29" t="s">
        <v>176</v>
      </c>
      <c r="I1553" s="29" t="s">
        <v>39</v>
      </c>
      <c r="J1553" s="29" t="s">
        <v>416</v>
      </c>
      <c r="K1553" s="29" t="s">
        <v>2769</v>
      </c>
      <c r="L1553" s="29" t="s">
        <v>2650</v>
      </c>
      <c r="M1553" s="29" t="s">
        <v>680</v>
      </c>
      <c r="N1553" s="29" t="s">
        <v>2508</v>
      </c>
      <c r="O1553" s="29" t="s">
        <v>133</v>
      </c>
      <c r="P1553" s="30" t="s">
        <v>2570</v>
      </c>
    </row>
    <row r="1554" s="25" customFormat="1" spans="1:16">
      <c r="A1554" s="29" t="s">
        <v>2769</v>
      </c>
      <c r="B1554" s="29" t="s">
        <v>2755</v>
      </c>
      <c r="C1554" s="29" t="s">
        <v>55</v>
      </c>
      <c r="D1554" s="29" t="s">
        <v>2192</v>
      </c>
      <c r="E1554" s="29" t="s">
        <v>35</v>
      </c>
      <c r="F1554" s="29" t="s">
        <v>51</v>
      </c>
      <c r="G1554" s="29" t="s">
        <v>678</v>
      </c>
      <c r="H1554" s="29" t="s">
        <v>176</v>
      </c>
      <c r="I1554" s="29" t="s">
        <v>39</v>
      </c>
      <c r="J1554" s="29" t="s">
        <v>420</v>
      </c>
      <c r="K1554" s="29" t="s">
        <v>2770</v>
      </c>
      <c r="L1554" s="29" t="s">
        <v>2653</v>
      </c>
      <c r="M1554" s="29" t="s">
        <v>680</v>
      </c>
      <c r="N1554" s="29" t="s">
        <v>2508</v>
      </c>
      <c r="O1554" s="29" t="s">
        <v>133</v>
      </c>
      <c r="P1554" s="30" t="s">
        <v>2572</v>
      </c>
    </row>
    <row r="1555" s="25" customFormat="1" spans="1:16">
      <c r="A1555" s="29" t="s">
        <v>2770</v>
      </c>
      <c r="B1555" s="29" t="s">
        <v>2755</v>
      </c>
      <c r="C1555" s="29" t="s">
        <v>55</v>
      </c>
      <c r="D1555" s="29" t="s">
        <v>2192</v>
      </c>
      <c r="E1555" s="29" t="s">
        <v>35</v>
      </c>
      <c r="F1555" s="29" t="s">
        <v>51</v>
      </c>
      <c r="G1555" s="29" t="s">
        <v>678</v>
      </c>
      <c r="H1555" s="29" t="s">
        <v>176</v>
      </c>
      <c r="I1555" s="29" t="s">
        <v>39</v>
      </c>
      <c r="J1555" s="29" t="s">
        <v>424</v>
      </c>
      <c r="K1555" s="29" t="s">
        <v>2771</v>
      </c>
      <c r="L1555" s="29" t="s">
        <v>2715</v>
      </c>
      <c r="M1555" s="29" t="s">
        <v>680</v>
      </c>
      <c r="N1555" s="29" t="s">
        <v>2508</v>
      </c>
      <c r="O1555" s="29" t="s">
        <v>133</v>
      </c>
      <c r="P1555" s="30" t="s">
        <v>2573</v>
      </c>
    </row>
    <row r="1556" s="25" customFormat="1" spans="1:16">
      <c r="A1556" s="29" t="s">
        <v>2771</v>
      </c>
      <c r="B1556" s="29" t="s">
        <v>2755</v>
      </c>
      <c r="C1556" s="29" t="s">
        <v>55</v>
      </c>
      <c r="D1556" s="29" t="s">
        <v>2192</v>
      </c>
      <c r="E1556" s="29" t="s">
        <v>35</v>
      </c>
      <c r="F1556" s="29" t="s">
        <v>51</v>
      </c>
      <c r="G1556" s="29" t="s">
        <v>678</v>
      </c>
      <c r="H1556" s="29" t="s">
        <v>176</v>
      </c>
      <c r="I1556" s="29" t="s">
        <v>39</v>
      </c>
      <c r="J1556" s="29" t="s">
        <v>631</v>
      </c>
      <c r="K1556" s="29" t="s">
        <v>2772</v>
      </c>
      <c r="L1556" s="29" t="s">
        <v>2717</v>
      </c>
      <c r="M1556" s="29" t="s">
        <v>680</v>
      </c>
      <c r="N1556" s="29" t="s">
        <v>2508</v>
      </c>
      <c r="O1556" s="29" t="s">
        <v>133</v>
      </c>
      <c r="P1556" s="30" t="s">
        <v>2773</v>
      </c>
    </row>
    <row r="1557" s="25" customFormat="1" spans="1:16">
      <c r="A1557" s="29" t="s">
        <v>2772</v>
      </c>
      <c r="B1557" s="29" t="s">
        <v>2755</v>
      </c>
      <c r="C1557" s="29" t="s">
        <v>55</v>
      </c>
      <c r="D1557" s="29" t="s">
        <v>2192</v>
      </c>
      <c r="E1557" s="29" t="s">
        <v>35</v>
      </c>
      <c r="F1557" s="29" t="s">
        <v>51</v>
      </c>
      <c r="G1557" s="29" t="s">
        <v>678</v>
      </c>
      <c r="H1557" s="29" t="s">
        <v>176</v>
      </c>
      <c r="I1557" s="29" t="s">
        <v>39</v>
      </c>
      <c r="J1557" s="29" t="s">
        <v>635</v>
      </c>
      <c r="K1557" s="29" t="s">
        <v>2774</v>
      </c>
      <c r="L1557" s="29" t="s">
        <v>2720</v>
      </c>
      <c r="M1557" s="29" t="s">
        <v>680</v>
      </c>
      <c r="N1557" s="29" t="s">
        <v>2508</v>
      </c>
      <c r="O1557" s="29" t="s">
        <v>133</v>
      </c>
      <c r="P1557" s="30" t="s">
        <v>2775</v>
      </c>
    </row>
    <row r="1558" s="25" customFormat="1" spans="1:16">
      <c r="A1558" s="29" t="s">
        <v>2774</v>
      </c>
      <c r="B1558" s="29" t="s">
        <v>2755</v>
      </c>
      <c r="C1558" s="29" t="s">
        <v>55</v>
      </c>
      <c r="D1558" s="29" t="s">
        <v>2192</v>
      </c>
      <c r="E1558" s="29" t="s">
        <v>35</v>
      </c>
      <c r="F1558" s="29" t="s">
        <v>51</v>
      </c>
      <c r="G1558" s="29" t="s">
        <v>678</v>
      </c>
      <c r="H1558" s="29" t="s">
        <v>176</v>
      </c>
      <c r="I1558" s="29" t="s">
        <v>39</v>
      </c>
      <c r="J1558" s="29" t="s">
        <v>639</v>
      </c>
      <c r="K1558" s="29" t="s">
        <v>2776</v>
      </c>
      <c r="L1558" s="29" t="s">
        <v>2723</v>
      </c>
      <c r="M1558" s="29" t="s">
        <v>680</v>
      </c>
      <c r="N1558" s="29" t="s">
        <v>2508</v>
      </c>
      <c r="O1558" s="29" t="s">
        <v>133</v>
      </c>
      <c r="P1558" s="30" t="s">
        <v>2777</v>
      </c>
    </row>
    <row r="1559" s="25" customFormat="1" spans="1:16">
      <c r="A1559" s="29" t="s">
        <v>2776</v>
      </c>
      <c r="B1559" s="29" t="s">
        <v>2755</v>
      </c>
      <c r="C1559" s="29" t="s">
        <v>55</v>
      </c>
      <c r="D1559" s="29" t="s">
        <v>2192</v>
      </c>
      <c r="E1559" s="29" t="s">
        <v>35</v>
      </c>
      <c r="F1559" s="29" t="s">
        <v>51</v>
      </c>
      <c r="G1559" s="29" t="s">
        <v>678</v>
      </c>
      <c r="H1559" s="29" t="s">
        <v>176</v>
      </c>
      <c r="I1559" s="29" t="s">
        <v>39</v>
      </c>
      <c r="J1559" s="29" t="s">
        <v>643</v>
      </c>
      <c r="K1559" s="29" t="s">
        <v>2778</v>
      </c>
      <c r="L1559" s="29" t="s">
        <v>2726</v>
      </c>
      <c r="M1559" s="29" t="s">
        <v>680</v>
      </c>
      <c r="N1559" s="29" t="s">
        <v>2508</v>
      </c>
      <c r="O1559" s="29" t="s">
        <v>133</v>
      </c>
      <c r="P1559" s="30" t="s">
        <v>2779</v>
      </c>
    </row>
    <row r="1560" s="25" customFormat="1" spans="1:16">
      <c r="A1560" s="29" t="s">
        <v>2778</v>
      </c>
      <c r="B1560" s="29" t="s">
        <v>2755</v>
      </c>
      <c r="C1560" s="29" t="s">
        <v>55</v>
      </c>
      <c r="D1560" s="29" t="s">
        <v>2192</v>
      </c>
      <c r="E1560" s="29" t="s">
        <v>35</v>
      </c>
      <c r="F1560" s="29" t="s">
        <v>51</v>
      </c>
      <c r="G1560" s="29" t="s">
        <v>678</v>
      </c>
      <c r="H1560" s="29" t="s">
        <v>176</v>
      </c>
      <c r="I1560" s="29" t="s">
        <v>39</v>
      </c>
      <c r="J1560" s="29" t="s">
        <v>647</v>
      </c>
      <c r="K1560" s="29" t="s">
        <v>39</v>
      </c>
      <c r="L1560" s="29" t="s">
        <v>39</v>
      </c>
      <c r="M1560" s="29" t="s">
        <v>39</v>
      </c>
      <c r="N1560" s="29" t="s">
        <v>2508</v>
      </c>
      <c r="O1560" s="29" t="s">
        <v>133</v>
      </c>
      <c r="P1560" s="30" t="s">
        <v>2780</v>
      </c>
    </row>
    <row r="1561" s="25" customFormat="1" spans="1:16">
      <c r="A1561" s="29" t="s">
        <v>2781</v>
      </c>
      <c r="B1561" s="29" t="s">
        <v>2781</v>
      </c>
      <c r="C1561" s="29" t="s">
        <v>55</v>
      </c>
      <c r="D1561" s="29" t="s">
        <v>2192</v>
      </c>
      <c r="E1561" s="29" t="s">
        <v>47</v>
      </c>
      <c r="F1561" s="29" t="s">
        <v>51</v>
      </c>
      <c r="G1561" s="29" t="s">
        <v>2322</v>
      </c>
      <c r="H1561" s="29" t="s">
        <v>2323</v>
      </c>
      <c r="I1561" s="29" t="s">
        <v>2324</v>
      </c>
      <c r="J1561" s="29" t="s">
        <v>39</v>
      </c>
      <c r="K1561" s="29" t="s">
        <v>2782</v>
      </c>
      <c r="L1561" s="29" t="s">
        <v>2326</v>
      </c>
      <c r="M1561" s="29" t="s">
        <v>709</v>
      </c>
      <c r="N1561" s="29" t="s">
        <v>2327</v>
      </c>
      <c r="O1561" s="29" t="s">
        <v>137</v>
      </c>
      <c r="P1561" s="30" t="s">
        <v>2328</v>
      </c>
    </row>
    <row r="1562" s="25" customFormat="1" spans="1:16">
      <c r="A1562" s="29" t="s">
        <v>2782</v>
      </c>
      <c r="B1562" s="29" t="s">
        <v>2781</v>
      </c>
      <c r="C1562" s="29" t="s">
        <v>55</v>
      </c>
      <c r="D1562" s="29" t="s">
        <v>2192</v>
      </c>
      <c r="E1562" s="29" t="s">
        <v>47</v>
      </c>
      <c r="F1562" s="29" t="s">
        <v>51</v>
      </c>
      <c r="G1562" s="29" t="s">
        <v>2322</v>
      </c>
      <c r="H1562" s="29" t="s">
        <v>2323</v>
      </c>
      <c r="I1562" s="29" t="s">
        <v>2324</v>
      </c>
      <c r="J1562" s="29" t="s">
        <v>35</v>
      </c>
      <c r="K1562" s="29" t="s">
        <v>2783</v>
      </c>
      <c r="L1562" s="29" t="s">
        <v>2330</v>
      </c>
      <c r="M1562" s="29" t="s">
        <v>709</v>
      </c>
      <c r="N1562" s="29" t="s">
        <v>2331</v>
      </c>
      <c r="O1562" s="29" t="s">
        <v>137</v>
      </c>
      <c r="P1562" s="30" t="s">
        <v>2332</v>
      </c>
    </row>
    <row r="1563" s="25" customFormat="1" spans="1:16">
      <c r="A1563" s="29" t="s">
        <v>2783</v>
      </c>
      <c r="B1563" s="29" t="s">
        <v>2781</v>
      </c>
      <c r="C1563" s="29" t="s">
        <v>55</v>
      </c>
      <c r="D1563" s="29" t="s">
        <v>2192</v>
      </c>
      <c r="E1563" s="29" t="s">
        <v>47</v>
      </c>
      <c r="F1563" s="29" t="s">
        <v>51</v>
      </c>
      <c r="G1563" s="29" t="s">
        <v>2322</v>
      </c>
      <c r="H1563" s="29" t="s">
        <v>2323</v>
      </c>
      <c r="I1563" s="29" t="s">
        <v>2324</v>
      </c>
      <c r="J1563" s="29" t="s">
        <v>47</v>
      </c>
      <c r="K1563" s="29" t="s">
        <v>2784</v>
      </c>
      <c r="L1563" s="29" t="s">
        <v>2334</v>
      </c>
      <c r="M1563" s="29" t="s">
        <v>709</v>
      </c>
      <c r="N1563" s="29" t="s">
        <v>2331</v>
      </c>
      <c r="O1563" s="29" t="s">
        <v>137</v>
      </c>
      <c r="P1563" s="30" t="s">
        <v>2335</v>
      </c>
    </row>
    <row r="1564" s="25" customFormat="1" spans="1:16">
      <c r="A1564" s="29" t="s">
        <v>2784</v>
      </c>
      <c r="B1564" s="29" t="s">
        <v>2781</v>
      </c>
      <c r="C1564" s="29" t="s">
        <v>55</v>
      </c>
      <c r="D1564" s="29" t="s">
        <v>2192</v>
      </c>
      <c r="E1564" s="29" t="s">
        <v>47</v>
      </c>
      <c r="F1564" s="29" t="s">
        <v>51</v>
      </c>
      <c r="G1564" s="29" t="s">
        <v>2322</v>
      </c>
      <c r="H1564" s="29" t="s">
        <v>2323</v>
      </c>
      <c r="I1564" s="29" t="s">
        <v>2324</v>
      </c>
      <c r="J1564" s="29" t="s">
        <v>51</v>
      </c>
      <c r="K1564" s="29" t="s">
        <v>2785</v>
      </c>
      <c r="L1564" s="29" t="s">
        <v>2337</v>
      </c>
      <c r="M1564" s="29" t="s">
        <v>709</v>
      </c>
      <c r="N1564" s="29" t="s">
        <v>2331</v>
      </c>
      <c r="O1564" s="29" t="s">
        <v>137</v>
      </c>
      <c r="P1564" s="30" t="s">
        <v>2338</v>
      </c>
    </row>
    <row r="1565" s="25" customFormat="1" spans="1:16">
      <c r="A1565" s="29" t="s">
        <v>2785</v>
      </c>
      <c r="B1565" s="29" t="s">
        <v>2781</v>
      </c>
      <c r="C1565" s="29" t="s">
        <v>55</v>
      </c>
      <c r="D1565" s="29" t="s">
        <v>2192</v>
      </c>
      <c r="E1565" s="29" t="s">
        <v>47</v>
      </c>
      <c r="F1565" s="29" t="s">
        <v>51</v>
      </c>
      <c r="G1565" s="29" t="s">
        <v>2322</v>
      </c>
      <c r="H1565" s="29" t="s">
        <v>2323</v>
      </c>
      <c r="I1565" s="29" t="s">
        <v>2324</v>
      </c>
      <c r="J1565" s="29" t="s">
        <v>55</v>
      </c>
      <c r="K1565" s="29" t="s">
        <v>2786</v>
      </c>
      <c r="L1565" s="29" t="s">
        <v>2340</v>
      </c>
      <c r="M1565" s="29" t="s">
        <v>709</v>
      </c>
      <c r="N1565" s="29" t="s">
        <v>2331</v>
      </c>
      <c r="O1565" s="29" t="s">
        <v>137</v>
      </c>
      <c r="P1565" s="30" t="s">
        <v>2341</v>
      </c>
    </row>
    <row r="1566" s="25" customFormat="1" spans="1:16">
      <c r="A1566" s="29" t="s">
        <v>2786</v>
      </c>
      <c r="B1566" s="29" t="s">
        <v>2781</v>
      </c>
      <c r="C1566" s="29" t="s">
        <v>55</v>
      </c>
      <c r="D1566" s="29" t="s">
        <v>2192</v>
      </c>
      <c r="E1566" s="29" t="s">
        <v>47</v>
      </c>
      <c r="F1566" s="29" t="s">
        <v>51</v>
      </c>
      <c r="G1566" s="29" t="s">
        <v>2322</v>
      </c>
      <c r="H1566" s="29" t="s">
        <v>2323</v>
      </c>
      <c r="I1566" s="29" t="s">
        <v>2324</v>
      </c>
      <c r="J1566" s="29" t="s">
        <v>59</v>
      </c>
      <c r="K1566" s="29" t="s">
        <v>2787</v>
      </c>
      <c r="L1566" s="29" t="s">
        <v>2343</v>
      </c>
      <c r="M1566" s="29" t="s">
        <v>709</v>
      </c>
      <c r="N1566" s="29" t="s">
        <v>2331</v>
      </c>
      <c r="O1566" s="29" t="s">
        <v>137</v>
      </c>
      <c r="P1566" s="30" t="s">
        <v>2344</v>
      </c>
    </row>
    <row r="1567" s="25" customFormat="1" spans="1:16">
      <c r="A1567" s="29" t="s">
        <v>2787</v>
      </c>
      <c r="B1567" s="29" t="s">
        <v>2781</v>
      </c>
      <c r="C1567" s="29" t="s">
        <v>55</v>
      </c>
      <c r="D1567" s="29" t="s">
        <v>2192</v>
      </c>
      <c r="E1567" s="29" t="s">
        <v>47</v>
      </c>
      <c r="F1567" s="29" t="s">
        <v>51</v>
      </c>
      <c r="G1567" s="29" t="s">
        <v>2322</v>
      </c>
      <c r="H1567" s="29" t="s">
        <v>2323</v>
      </c>
      <c r="I1567" s="29" t="s">
        <v>2324</v>
      </c>
      <c r="J1567" s="29" t="s">
        <v>129</v>
      </c>
      <c r="K1567" s="29" t="s">
        <v>2788</v>
      </c>
      <c r="L1567" s="29" t="s">
        <v>2346</v>
      </c>
      <c r="M1567" s="29" t="s">
        <v>709</v>
      </c>
      <c r="N1567" s="29" t="s">
        <v>2331</v>
      </c>
      <c r="O1567" s="29" t="s">
        <v>137</v>
      </c>
      <c r="P1567" s="30" t="s">
        <v>2347</v>
      </c>
    </row>
    <row r="1568" s="25" customFormat="1" spans="1:16">
      <c r="A1568" s="29" t="s">
        <v>2788</v>
      </c>
      <c r="B1568" s="29" t="s">
        <v>2781</v>
      </c>
      <c r="C1568" s="29" t="s">
        <v>55</v>
      </c>
      <c r="D1568" s="29" t="s">
        <v>2192</v>
      </c>
      <c r="E1568" s="29" t="s">
        <v>47</v>
      </c>
      <c r="F1568" s="29" t="s">
        <v>51</v>
      </c>
      <c r="G1568" s="29" t="s">
        <v>2322</v>
      </c>
      <c r="H1568" s="29" t="s">
        <v>2323</v>
      </c>
      <c r="I1568" s="29" t="s">
        <v>2324</v>
      </c>
      <c r="J1568" s="29" t="s">
        <v>133</v>
      </c>
      <c r="K1568" s="29" t="s">
        <v>2789</v>
      </c>
      <c r="L1568" s="29" t="s">
        <v>2349</v>
      </c>
      <c r="M1568" s="29" t="s">
        <v>709</v>
      </c>
      <c r="N1568" s="29" t="s">
        <v>2331</v>
      </c>
      <c r="O1568" s="29" t="s">
        <v>137</v>
      </c>
      <c r="P1568" s="30" t="s">
        <v>2350</v>
      </c>
    </row>
    <row r="1569" s="25" customFormat="1" spans="1:16">
      <c r="A1569" s="29" t="s">
        <v>2789</v>
      </c>
      <c r="B1569" s="29" t="s">
        <v>2781</v>
      </c>
      <c r="C1569" s="29" t="s">
        <v>55</v>
      </c>
      <c r="D1569" s="29" t="s">
        <v>2192</v>
      </c>
      <c r="E1569" s="29" t="s">
        <v>47</v>
      </c>
      <c r="F1569" s="29" t="s">
        <v>51</v>
      </c>
      <c r="G1569" s="29" t="s">
        <v>2322</v>
      </c>
      <c r="H1569" s="29" t="s">
        <v>2323</v>
      </c>
      <c r="I1569" s="29" t="s">
        <v>2324</v>
      </c>
      <c r="J1569" s="29" t="s">
        <v>137</v>
      </c>
      <c r="K1569" s="29" t="s">
        <v>2790</v>
      </c>
      <c r="L1569" s="29" t="s">
        <v>2352</v>
      </c>
      <c r="M1569" s="29" t="s">
        <v>709</v>
      </c>
      <c r="N1569" s="29" t="s">
        <v>2331</v>
      </c>
      <c r="O1569" s="29" t="s">
        <v>137</v>
      </c>
      <c r="P1569" s="30" t="s">
        <v>2353</v>
      </c>
    </row>
    <row r="1570" s="25" customFormat="1" spans="1:16">
      <c r="A1570" s="29" t="s">
        <v>2790</v>
      </c>
      <c r="B1570" s="29" t="s">
        <v>2781</v>
      </c>
      <c r="C1570" s="29" t="s">
        <v>55</v>
      </c>
      <c r="D1570" s="29" t="s">
        <v>2192</v>
      </c>
      <c r="E1570" s="29" t="s">
        <v>47</v>
      </c>
      <c r="F1570" s="29" t="s">
        <v>51</v>
      </c>
      <c r="G1570" s="29" t="s">
        <v>2322</v>
      </c>
      <c r="H1570" s="29" t="s">
        <v>2323</v>
      </c>
      <c r="I1570" s="29" t="s">
        <v>2324</v>
      </c>
      <c r="J1570" s="29" t="s">
        <v>141</v>
      </c>
      <c r="K1570" s="29" t="s">
        <v>2791</v>
      </c>
      <c r="L1570" s="29" t="s">
        <v>2355</v>
      </c>
      <c r="M1570" s="29" t="s">
        <v>709</v>
      </c>
      <c r="N1570" s="29" t="s">
        <v>2331</v>
      </c>
      <c r="O1570" s="29" t="s">
        <v>137</v>
      </c>
      <c r="P1570" s="30" t="s">
        <v>2356</v>
      </c>
    </row>
    <row r="1571" s="25" customFormat="1" spans="1:16">
      <c r="A1571" s="29" t="s">
        <v>2791</v>
      </c>
      <c r="B1571" s="29" t="s">
        <v>2781</v>
      </c>
      <c r="C1571" s="29" t="s">
        <v>55</v>
      </c>
      <c r="D1571" s="29" t="s">
        <v>2192</v>
      </c>
      <c r="E1571" s="29" t="s">
        <v>47</v>
      </c>
      <c r="F1571" s="29" t="s">
        <v>51</v>
      </c>
      <c r="G1571" s="29" t="s">
        <v>2322</v>
      </c>
      <c r="H1571" s="29" t="s">
        <v>2323</v>
      </c>
      <c r="I1571" s="29" t="s">
        <v>2324</v>
      </c>
      <c r="J1571" s="29" t="s">
        <v>145</v>
      </c>
      <c r="K1571" s="29" t="s">
        <v>2792</v>
      </c>
      <c r="L1571" s="29" t="s">
        <v>2357</v>
      </c>
      <c r="M1571" s="29" t="s">
        <v>709</v>
      </c>
      <c r="N1571" s="29" t="s">
        <v>2331</v>
      </c>
      <c r="O1571" s="29" t="s">
        <v>137</v>
      </c>
      <c r="P1571" s="30" t="s">
        <v>2358</v>
      </c>
    </row>
    <row r="1572" s="25" customFormat="1" spans="1:16">
      <c r="A1572" s="29" t="s">
        <v>2792</v>
      </c>
      <c r="B1572" s="29" t="s">
        <v>2781</v>
      </c>
      <c r="C1572" s="29" t="s">
        <v>55</v>
      </c>
      <c r="D1572" s="29" t="s">
        <v>2192</v>
      </c>
      <c r="E1572" s="29" t="s">
        <v>47</v>
      </c>
      <c r="F1572" s="29" t="s">
        <v>51</v>
      </c>
      <c r="G1572" s="29" t="s">
        <v>2322</v>
      </c>
      <c r="H1572" s="29" t="s">
        <v>2323</v>
      </c>
      <c r="I1572" s="29" t="s">
        <v>2324</v>
      </c>
      <c r="J1572" s="29" t="s">
        <v>408</v>
      </c>
      <c r="K1572" s="29" t="s">
        <v>2793</v>
      </c>
      <c r="L1572" s="29" t="s">
        <v>2620</v>
      </c>
      <c r="M1572" s="29" t="s">
        <v>709</v>
      </c>
      <c r="N1572" s="29" t="s">
        <v>2331</v>
      </c>
      <c r="O1572" s="29" t="s">
        <v>137</v>
      </c>
      <c r="P1572" s="30" t="s">
        <v>2794</v>
      </c>
    </row>
    <row r="1573" s="25" customFormat="1" spans="1:16">
      <c r="A1573" s="29" t="s">
        <v>2793</v>
      </c>
      <c r="B1573" s="29" t="s">
        <v>2781</v>
      </c>
      <c r="C1573" s="29" t="s">
        <v>55</v>
      </c>
      <c r="D1573" s="29" t="s">
        <v>2192</v>
      </c>
      <c r="E1573" s="29" t="s">
        <v>47</v>
      </c>
      <c r="F1573" s="29" t="s">
        <v>51</v>
      </c>
      <c r="G1573" s="29" t="s">
        <v>2322</v>
      </c>
      <c r="H1573" s="29" t="s">
        <v>2323</v>
      </c>
      <c r="I1573" s="29" t="s">
        <v>2324</v>
      </c>
      <c r="J1573" s="29" t="s">
        <v>412</v>
      </c>
      <c r="K1573" s="29" t="s">
        <v>2795</v>
      </c>
      <c r="L1573" s="29" t="s">
        <v>2623</v>
      </c>
      <c r="M1573" s="29" t="s">
        <v>709</v>
      </c>
      <c r="N1573" s="29" t="s">
        <v>2331</v>
      </c>
      <c r="O1573" s="29" t="s">
        <v>137</v>
      </c>
      <c r="P1573" s="30" t="s">
        <v>2796</v>
      </c>
    </row>
    <row r="1574" s="25" customFormat="1" spans="1:16">
      <c r="A1574" s="29" t="s">
        <v>2795</v>
      </c>
      <c r="B1574" s="29" t="s">
        <v>2781</v>
      </c>
      <c r="C1574" s="29" t="s">
        <v>55</v>
      </c>
      <c r="D1574" s="29" t="s">
        <v>2192</v>
      </c>
      <c r="E1574" s="29" t="s">
        <v>47</v>
      </c>
      <c r="F1574" s="29" t="s">
        <v>51</v>
      </c>
      <c r="G1574" s="29" t="s">
        <v>2322</v>
      </c>
      <c r="H1574" s="29" t="s">
        <v>2323</v>
      </c>
      <c r="I1574" s="29" t="s">
        <v>2324</v>
      </c>
      <c r="J1574" s="29" t="s">
        <v>416</v>
      </c>
      <c r="K1574" s="29" t="s">
        <v>2797</v>
      </c>
      <c r="L1574" s="29" t="s">
        <v>2650</v>
      </c>
      <c r="M1574" s="29" t="s">
        <v>709</v>
      </c>
      <c r="N1574" s="29" t="s">
        <v>2331</v>
      </c>
      <c r="O1574" s="29" t="s">
        <v>137</v>
      </c>
      <c r="P1574" s="30" t="s">
        <v>2798</v>
      </c>
    </row>
    <row r="1575" s="25" customFormat="1" spans="1:16">
      <c r="A1575" s="29" t="s">
        <v>2797</v>
      </c>
      <c r="B1575" s="29" t="s">
        <v>2781</v>
      </c>
      <c r="C1575" s="29" t="s">
        <v>55</v>
      </c>
      <c r="D1575" s="29" t="s">
        <v>2192</v>
      </c>
      <c r="E1575" s="29" t="s">
        <v>47</v>
      </c>
      <c r="F1575" s="29" t="s">
        <v>51</v>
      </c>
      <c r="G1575" s="29" t="s">
        <v>2322</v>
      </c>
      <c r="H1575" s="29" t="s">
        <v>2323</v>
      </c>
      <c r="I1575" s="29" t="s">
        <v>2324</v>
      </c>
      <c r="J1575" s="29" t="s">
        <v>420</v>
      </c>
      <c r="K1575" s="29" t="s">
        <v>2799</v>
      </c>
      <c r="L1575" s="29" t="s">
        <v>2653</v>
      </c>
      <c r="M1575" s="29" t="s">
        <v>709</v>
      </c>
      <c r="N1575" s="29" t="s">
        <v>2331</v>
      </c>
      <c r="O1575" s="29" t="s">
        <v>137</v>
      </c>
      <c r="P1575" s="30" t="s">
        <v>2800</v>
      </c>
    </row>
    <row r="1576" s="25" customFormat="1" spans="1:16">
      <c r="A1576" s="29" t="s">
        <v>2799</v>
      </c>
      <c r="B1576" s="29" t="s">
        <v>2781</v>
      </c>
      <c r="C1576" s="29" t="s">
        <v>55</v>
      </c>
      <c r="D1576" s="29" t="s">
        <v>2192</v>
      </c>
      <c r="E1576" s="29" t="s">
        <v>47</v>
      </c>
      <c r="F1576" s="29" t="s">
        <v>51</v>
      </c>
      <c r="G1576" s="29" t="s">
        <v>2322</v>
      </c>
      <c r="H1576" s="29" t="s">
        <v>2323</v>
      </c>
      <c r="I1576" s="29" t="s">
        <v>2324</v>
      </c>
      <c r="J1576" s="29" t="s">
        <v>424</v>
      </c>
      <c r="K1576" s="29" t="s">
        <v>2801</v>
      </c>
      <c r="L1576" s="29" t="s">
        <v>2715</v>
      </c>
      <c r="M1576" s="29" t="s">
        <v>709</v>
      </c>
      <c r="N1576" s="29" t="s">
        <v>2331</v>
      </c>
      <c r="O1576" s="29" t="s">
        <v>137</v>
      </c>
      <c r="P1576" s="30" t="s">
        <v>2802</v>
      </c>
    </row>
    <row r="1577" s="25" customFormat="1" spans="1:16">
      <c r="A1577" s="29" t="s">
        <v>2801</v>
      </c>
      <c r="B1577" s="29" t="s">
        <v>2781</v>
      </c>
      <c r="C1577" s="29" t="s">
        <v>55</v>
      </c>
      <c r="D1577" s="29" t="s">
        <v>2192</v>
      </c>
      <c r="E1577" s="29" t="s">
        <v>47</v>
      </c>
      <c r="F1577" s="29" t="s">
        <v>51</v>
      </c>
      <c r="G1577" s="29" t="s">
        <v>2322</v>
      </c>
      <c r="H1577" s="29" t="s">
        <v>2323</v>
      </c>
      <c r="I1577" s="29" t="s">
        <v>2324</v>
      </c>
      <c r="J1577" s="29" t="s">
        <v>631</v>
      </c>
      <c r="K1577" s="29" t="s">
        <v>2803</v>
      </c>
      <c r="L1577" s="29" t="s">
        <v>2717</v>
      </c>
      <c r="M1577" s="29" t="s">
        <v>709</v>
      </c>
      <c r="N1577" s="29" t="s">
        <v>2331</v>
      </c>
      <c r="O1577" s="29" t="s">
        <v>137</v>
      </c>
      <c r="P1577" s="30" t="s">
        <v>2804</v>
      </c>
    </row>
    <row r="1578" s="25" customFormat="1" spans="1:16">
      <c r="A1578" s="29" t="s">
        <v>2803</v>
      </c>
      <c r="B1578" s="29" t="s">
        <v>2781</v>
      </c>
      <c r="C1578" s="29" t="s">
        <v>55</v>
      </c>
      <c r="D1578" s="29" t="s">
        <v>2192</v>
      </c>
      <c r="E1578" s="29" t="s">
        <v>47</v>
      </c>
      <c r="F1578" s="29" t="s">
        <v>51</v>
      </c>
      <c r="G1578" s="29" t="s">
        <v>2322</v>
      </c>
      <c r="H1578" s="29" t="s">
        <v>2323</v>
      </c>
      <c r="I1578" s="29" t="s">
        <v>2324</v>
      </c>
      <c r="J1578" s="29" t="s">
        <v>635</v>
      </c>
      <c r="K1578" s="29" t="s">
        <v>2805</v>
      </c>
      <c r="L1578" s="29" t="s">
        <v>2720</v>
      </c>
      <c r="M1578" s="29" t="s">
        <v>709</v>
      </c>
      <c r="N1578" s="29" t="s">
        <v>2331</v>
      </c>
      <c r="O1578" s="29" t="s">
        <v>137</v>
      </c>
      <c r="P1578" s="30" t="s">
        <v>2806</v>
      </c>
    </row>
    <row r="1579" s="25" customFormat="1" spans="1:16">
      <c r="A1579" s="29" t="s">
        <v>2805</v>
      </c>
      <c r="B1579" s="29" t="s">
        <v>2781</v>
      </c>
      <c r="C1579" s="29" t="s">
        <v>55</v>
      </c>
      <c r="D1579" s="29" t="s">
        <v>2192</v>
      </c>
      <c r="E1579" s="29" t="s">
        <v>47</v>
      </c>
      <c r="F1579" s="29" t="s">
        <v>51</v>
      </c>
      <c r="G1579" s="29" t="s">
        <v>2322</v>
      </c>
      <c r="H1579" s="29" t="s">
        <v>2323</v>
      </c>
      <c r="I1579" s="29" t="s">
        <v>2324</v>
      </c>
      <c r="J1579" s="29" t="s">
        <v>639</v>
      </c>
      <c r="K1579" s="29" t="s">
        <v>2807</v>
      </c>
      <c r="L1579" s="29" t="s">
        <v>2723</v>
      </c>
      <c r="M1579" s="29" t="s">
        <v>709</v>
      </c>
      <c r="N1579" s="29" t="s">
        <v>2331</v>
      </c>
      <c r="O1579" s="29" t="s">
        <v>137</v>
      </c>
      <c r="P1579" s="30" t="s">
        <v>2808</v>
      </c>
    </row>
    <row r="1580" s="25" customFormat="1" spans="1:16">
      <c r="A1580" s="29" t="s">
        <v>2807</v>
      </c>
      <c r="B1580" s="29" t="s">
        <v>2781</v>
      </c>
      <c r="C1580" s="29" t="s">
        <v>55</v>
      </c>
      <c r="D1580" s="29" t="s">
        <v>2192</v>
      </c>
      <c r="E1580" s="29" t="s">
        <v>47</v>
      </c>
      <c r="F1580" s="29" t="s">
        <v>51</v>
      </c>
      <c r="G1580" s="29" t="s">
        <v>2322</v>
      </c>
      <c r="H1580" s="29" t="s">
        <v>2323</v>
      </c>
      <c r="I1580" s="29" t="s">
        <v>2324</v>
      </c>
      <c r="J1580" s="29" t="s">
        <v>643</v>
      </c>
      <c r="K1580" s="29" t="s">
        <v>2809</v>
      </c>
      <c r="L1580" s="29" t="s">
        <v>2726</v>
      </c>
      <c r="M1580" s="29" t="s">
        <v>709</v>
      </c>
      <c r="N1580" s="29" t="s">
        <v>2331</v>
      </c>
      <c r="O1580" s="29" t="s">
        <v>137</v>
      </c>
      <c r="P1580" s="30" t="s">
        <v>2810</v>
      </c>
    </row>
    <row r="1581" s="25" customFormat="1" spans="1:16">
      <c r="A1581" s="29" t="s">
        <v>2809</v>
      </c>
      <c r="B1581" s="29" t="s">
        <v>2781</v>
      </c>
      <c r="C1581" s="29" t="s">
        <v>55</v>
      </c>
      <c r="D1581" s="29" t="s">
        <v>2192</v>
      </c>
      <c r="E1581" s="29" t="s">
        <v>47</v>
      </c>
      <c r="F1581" s="29" t="s">
        <v>51</v>
      </c>
      <c r="G1581" s="29" t="s">
        <v>2322</v>
      </c>
      <c r="H1581" s="29" t="s">
        <v>2323</v>
      </c>
      <c r="I1581" s="29" t="s">
        <v>2324</v>
      </c>
      <c r="J1581" s="29" t="s">
        <v>647</v>
      </c>
      <c r="K1581" s="29" t="s">
        <v>39</v>
      </c>
      <c r="L1581" s="29" t="s">
        <v>39</v>
      </c>
      <c r="M1581" s="29" t="s">
        <v>39</v>
      </c>
      <c r="N1581" s="29" t="s">
        <v>2331</v>
      </c>
      <c r="O1581" s="29" t="s">
        <v>137</v>
      </c>
      <c r="P1581" s="30" t="s">
        <v>2811</v>
      </c>
    </row>
    <row r="1582" s="25" customFormat="1" spans="1:16">
      <c r="A1582" s="29" t="s">
        <v>2812</v>
      </c>
      <c r="B1582" s="29" t="s">
        <v>2812</v>
      </c>
      <c r="C1582" s="29" t="s">
        <v>55</v>
      </c>
      <c r="D1582" s="29" t="s">
        <v>2192</v>
      </c>
      <c r="E1582" s="29" t="s">
        <v>47</v>
      </c>
      <c r="F1582" s="29" t="s">
        <v>51</v>
      </c>
      <c r="G1582" s="29" t="s">
        <v>2360</v>
      </c>
      <c r="H1582" s="29" t="s">
        <v>2361</v>
      </c>
      <c r="I1582" s="29" t="s">
        <v>2324</v>
      </c>
      <c r="J1582" s="29" t="s">
        <v>39</v>
      </c>
      <c r="K1582" s="29" t="s">
        <v>2813</v>
      </c>
      <c r="L1582" s="29" t="s">
        <v>2326</v>
      </c>
      <c r="M1582" s="29" t="s">
        <v>741</v>
      </c>
      <c r="N1582" s="29" t="s">
        <v>2363</v>
      </c>
      <c r="O1582" s="29" t="s">
        <v>141</v>
      </c>
      <c r="P1582" s="30" t="s">
        <v>2364</v>
      </c>
    </row>
    <row r="1583" s="25" customFormat="1" spans="1:16">
      <c r="A1583" s="29" t="s">
        <v>2813</v>
      </c>
      <c r="B1583" s="29" t="s">
        <v>2812</v>
      </c>
      <c r="C1583" s="29" t="s">
        <v>55</v>
      </c>
      <c r="D1583" s="29" t="s">
        <v>2192</v>
      </c>
      <c r="E1583" s="29" t="s">
        <v>47</v>
      </c>
      <c r="F1583" s="29" t="s">
        <v>51</v>
      </c>
      <c r="G1583" s="29" t="s">
        <v>2360</v>
      </c>
      <c r="H1583" s="29" t="s">
        <v>2361</v>
      </c>
      <c r="I1583" s="29" t="s">
        <v>2324</v>
      </c>
      <c r="J1583" s="29" t="s">
        <v>35</v>
      </c>
      <c r="K1583" s="29" t="s">
        <v>2814</v>
      </c>
      <c r="L1583" s="29" t="s">
        <v>2330</v>
      </c>
      <c r="M1583" s="29" t="s">
        <v>741</v>
      </c>
      <c r="N1583" s="29" t="s">
        <v>2366</v>
      </c>
      <c r="O1583" s="29" t="s">
        <v>141</v>
      </c>
      <c r="P1583" s="30" t="s">
        <v>2367</v>
      </c>
    </row>
    <row r="1584" s="25" customFormat="1" spans="1:16">
      <c r="A1584" s="29" t="s">
        <v>2814</v>
      </c>
      <c r="B1584" s="29" t="s">
        <v>2812</v>
      </c>
      <c r="C1584" s="29" t="s">
        <v>55</v>
      </c>
      <c r="D1584" s="29" t="s">
        <v>2192</v>
      </c>
      <c r="E1584" s="29" t="s">
        <v>47</v>
      </c>
      <c r="F1584" s="29" t="s">
        <v>51</v>
      </c>
      <c r="G1584" s="29" t="s">
        <v>2360</v>
      </c>
      <c r="H1584" s="29" t="s">
        <v>2361</v>
      </c>
      <c r="I1584" s="29" t="s">
        <v>2324</v>
      </c>
      <c r="J1584" s="29" t="s">
        <v>47</v>
      </c>
      <c r="K1584" s="29" t="s">
        <v>2815</v>
      </c>
      <c r="L1584" s="29" t="s">
        <v>2334</v>
      </c>
      <c r="M1584" s="29" t="s">
        <v>741</v>
      </c>
      <c r="N1584" s="29" t="s">
        <v>2366</v>
      </c>
      <c r="O1584" s="29" t="s">
        <v>141</v>
      </c>
      <c r="P1584" s="30" t="s">
        <v>2369</v>
      </c>
    </row>
    <row r="1585" s="25" customFormat="1" spans="1:16">
      <c r="A1585" s="29" t="s">
        <v>2815</v>
      </c>
      <c r="B1585" s="29" t="s">
        <v>2812</v>
      </c>
      <c r="C1585" s="29" t="s">
        <v>55</v>
      </c>
      <c r="D1585" s="29" t="s">
        <v>2192</v>
      </c>
      <c r="E1585" s="29" t="s">
        <v>47</v>
      </c>
      <c r="F1585" s="29" t="s">
        <v>51</v>
      </c>
      <c r="G1585" s="29" t="s">
        <v>2360</v>
      </c>
      <c r="H1585" s="29" t="s">
        <v>2361</v>
      </c>
      <c r="I1585" s="29" t="s">
        <v>2324</v>
      </c>
      <c r="J1585" s="29" t="s">
        <v>51</v>
      </c>
      <c r="K1585" s="29" t="s">
        <v>2816</v>
      </c>
      <c r="L1585" s="29" t="s">
        <v>2337</v>
      </c>
      <c r="M1585" s="29" t="s">
        <v>741</v>
      </c>
      <c r="N1585" s="29" t="s">
        <v>2366</v>
      </c>
      <c r="O1585" s="29" t="s">
        <v>141</v>
      </c>
      <c r="P1585" s="30" t="s">
        <v>2371</v>
      </c>
    </row>
    <row r="1586" s="25" customFormat="1" spans="1:16">
      <c r="A1586" s="29" t="s">
        <v>2816</v>
      </c>
      <c r="B1586" s="29" t="s">
        <v>2812</v>
      </c>
      <c r="C1586" s="29" t="s">
        <v>55</v>
      </c>
      <c r="D1586" s="29" t="s">
        <v>2192</v>
      </c>
      <c r="E1586" s="29" t="s">
        <v>47</v>
      </c>
      <c r="F1586" s="29" t="s">
        <v>51</v>
      </c>
      <c r="G1586" s="29" t="s">
        <v>2360</v>
      </c>
      <c r="H1586" s="29" t="s">
        <v>2361</v>
      </c>
      <c r="I1586" s="29" t="s">
        <v>2324</v>
      </c>
      <c r="J1586" s="29" t="s">
        <v>55</v>
      </c>
      <c r="K1586" s="29" t="s">
        <v>2817</v>
      </c>
      <c r="L1586" s="29" t="s">
        <v>2340</v>
      </c>
      <c r="M1586" s="29" t="s">
        <v>741</v>
      </c>
      <c r="N1586" s="29" t="s">
        <v>2366</v>
      </c>
      <c r="O1586" s="29" t="s">
        <v>141</v>
      </c>
      <c r="P1586" s="30" t="s">
        <v>2373</v>
      </c>
    </row>
    <row r="1587" s="25" customFormat="1" spans="1:16">
      <c r="A1587" s="29" t="s">
        <v>2817</v>
      </c>
      <c r="B1587" s="29" t="s">
        <v>2812</v>
      </c>
      <c r="C1587" s="29" t="s">
        <v>55</v>
      </c>
      <c r="D1587" s="29" t="s">
        <v>2192</v>
      </c>
      <c r="E1587" s="29" t="s">
        <v>47</v>
      </c>
      <c r="F1587" s="29" t="s">
        <v>51</v>
      </c>
      <c r="G1587" s="29" t="s">
        <v>2360</v>
      </c>
      <c r="H1587" s="29" t="s">
        <v>2361</v>
      </c>
      <c r="I1587" s="29" t="s">
        <v>2324</v>
      </c>
      <c r="J1587" s="29" t="s">
        <v>59</v>
      </c>
      <c r="K1587" s="29" t="s">
        <v>2818</v>
      </c>
      <c r="L1587" s="29" t="s">
        <v>2343</v>
      </c>
      <c r="M1587" s="29" t="s">
        <v>741</v>
      </c>
      <c r="N1587" s="29" t="s">
        <v>2366</v>
      </c>
      <c r="O1587" s="29" t="s">
        <v>141</v>
      </c>
      <c r="P1587" s="30" t="s">
        <v>2375</v>
      </c>
    </row>
    <row r="1588" s="25" customFormat="1" spans="1:16">
      <c r="A1588" s="29" t="s">
        <v>2818</v>
      </c>
      <c r="B1588" s="29" t="s">
        <v>2812</v>
      </c>
      <c r="C1588" s="29" t="s">
        <v>55</v>
      </c>
      <c r="D1588" s="29" t="s">
        <v>2192</v>
      </c>
      <c r="E1588" s="29" t="s">
        <v>47</v>
      </c>
      <c r="F1588" s="29" t="s">
        <v>51</v>
      </c>
      <c r="G1588" s="29" t="s">
        <v>2360</v>
      </c>
      <c r="H1588" s="29" t="s">
        <v>2361</v>
      </c>
      <c r="I1588" s="29" t="s">
        <v>2324</v>
      </c>
      <c r="J1588" s="29" t="s">
        <v>129</v>
      </c>
      <c r="K1588" s="29" t="s">
        <v>2819</v>
      </c>
      <c r="L1588" s="29" t="s">
        <v>2346</v>
      </c>
      <c r="M1588" s="29" t="s">
        <v>741</v>
      </c>
      <c r="N1588" s="29" t="s">
        <v>2366</v>
      </c>
      <c r="O1588" s="29" t="s">
        <v>141</v>
      </c>
      <c r="P1588" s="30" t="s">
        <v>2377</v>
      </c>
    </row>
    <row r="1589" s="25" customFormat="1" spans="1:16">
      <c r="A1589" s="29" t="s">
        <v>2819</v>
      </c>
      <c r="B1589" s="29" t="s">
        <v>2812</v>
      </c>
      <c r="C1589" s="29" t="s">
        <v>55</v>
      </c>
      <c r="D1589" s="29" t="s">
        <v>2192</v>
      </c>
      <c r="E1589" s="29" t="s">
        <v>47</v>
      </c>
      <c r="F1589" s="29" t="s">
        <v>51</v>
      </c>
      <c r="G1589" s="29" t="s">
        <v>2360</v>
      </c>
      <c r="H1589" s="29" t="s">
        <v>2361</v>
      </c>
      <c r="I1589" s="29" t="s">
        <v>2324</v>
      </c>
      <c r="J1589" s="29" t="s">
        <v>133</v>
      </c>
      <c r="K1589" s="29" t="s">
        <v>2820</v>
      </c>
      <c r="L1589" s="29" t="s">
        <v>2349</v>
      </c>
      <c r="M1589" s="29" t="s">
        <v>741</v>
      </c>
      <c r="N1589" s="29" t="s">
        <v>2366</v>
      </c>
      <c r="O1589" s="29" t="s">
        <v>141</v>
      </c>
      <c r="P1589" s="30" t="s">
        <v>2379</v>
      </c>
    </row>
    <row r="1590" s="25" customFormat="1" spans="1:16">
      <c r="A1590" s="29" t="s">
        <v>2820</v>
      </c>
      <c r="B1590" s="29" t="s">
        <v>2812</v>
      </c>
      <c r="C1590" s="29" t="s">
        <v>55</v>
      </c>
      <c r="D1590" s="29" t="s">
        <v>2192</v>
      </c>
      <c r="E1590" s="29" t="s">
        <v>47</v>
      </c>
      <c r="F1590" s="29" t="s">
        <v>51</v>
      </c>
      <c r="G1590" s="29" t="s">
        <v>2360</v>
      </c>
      <c r="H1590" s="29" t="s">
        <v>2361</v>
      </c>
      <c r="I1590" s="29" t="s">
        <v>2324</v>
      </c>
      <c r="J1590" s="29" t="s">
        <v>137</v>
      </c>
      <c r="K1590" s="29" t="s">
        <v>2821</v>
      </c>
      <c r="L1590" s="29" t="s">
        <v>2352</v>
      </c>
      <c r="M1590" s="29" t="s">
        <v>741</v>
      </c>
      <c r="N1590" s="29" t="s">
        <v>2366</v>
      </c>
      <c r="O1590" s="29" t="s">
        <v>141</v>
      </c>
      <c r="P1590" s="30" t="s">
        <v>2381</v>
      </c>
    </row>
    <row r="1591" s="25" customFormat="1" spans="1:16">
      <c r="A1591" s="29" t="s">
        <v>2821</v>
      </c>
      <c r="B1591" s="29" t="s">
        <v>2812</v>
      </c>
      <c r="C1591" s="29" t="s">
        <v>55</v>
      </c>
      <c r="D1591" s="29" t="s">
        <v>2192</v>
      </c>
      <c r="E1591" s="29" t="s">
        <v>47</v>
      </c>
      <c r="F1591" s="29" t="s">
        <v>51</v>
      </c>
      <c r="G1591" s="29" t="s">
        <v>2360</v>
      </c>
      <c r="H1591" s="29" t="s">
        <v>2361</v>
      </c>
      <c r="I1591" s="29" t="s">
        <v>2324</v>
      </c>
      <c r="J1591" s="29" t="s">
        <v>141</v>
      </c>
      <c r="K1591" s="29" t="s">
        <v>2822</v>
      </c>
      <c r="L1591" s="29" t="s">
        <v>2355</v>
      </c>
      <c r="M1591" s="29" t="s">
        <v>741</v>
      </c>
      <c r="N1591" s="29" t="s">
        <v>2366</v>
      </c>
      <c r="O1591" s="29" t="s">
        <v>141</v>
      </c>
      <c r="P1591" s="30" t="s">
        <v>2383</v>
      </c>
    </row>
    <row r="1592" s="25" customFormat="1" spans="1:16">
      <c r="A1592" s="29" t="s">
        <v>2822</v>
      </c>
      <c r="B1592" s="29" t="s">
        <v>2812</v>
      </c>
      <c r="C1592" s="29" t="s">
        <v>55</v>
      </c>
      <c r="D1592" s="29" t="s">
        <v>2192</v>
      </c>
      <c r="E1592" s="29" t="s">
        <v>47</v>
      </c>
      <c r="F1592" s="29" t="s">
        <v>51</v>
      </c>
      <c r="G1592" s="29" t="s">
        <v>2360</v>
      </c>
      <c r="H1592" s="29" t="s">
        <v>2361</v>
      </c>
      <c r="I1592" s="29" t="s">
        <v>2324</v>
      </c>
      <c r="J1592" s="29" t="s">
        <v>145</v>
      </c>
      <c r="K1592" s="29" t="s">
        <v>2823</v>
      </c>
      <c r="L1592" s="29" t="s">
        <v>2357</v>
      </c>
      <c r="M1592" s="29" t="s">
        <v>741</v>
      </c>
      <c r="N1592" s="29" t="s">
        <v>2366</v>
      </c>
      <c r="O1592" s="29" t="s">
        <v>141</v>
      </c>
      <c r="P1592" s="30" t="s">
        <v>2384</v>
      </c>
    </row>
    <row r="1593" s="25" customFormat="1" spans="1:16">
      <c r="A1593" s="29" t="s">
        <v>2823</v>
      </c>
      <c r="B1593" s="29" t="s">
        <v>2812</v>
      </c>
      <c r="C1593" s="29" t="s">
        <v>55</v>
      </c>
      <c r="D1593" s="29" t="s">
        <v>2192</v>
      </c>
      <c r="E1593" s="29" t="s">
        <v>47</v>
      </c>
      <c r="F1593" s="29" t="s">
        <v>51</v>
      </c>
      <c r="G1593" s="29" t="s">
        <v>2360</v>
      </c>
      <c r="H1593" s="29" t="s">
        <v>2361</v>
      </c>
      <c r="I1593" s="29" t="s">
        <v>2324</v>
      </c>
      <c r="J1593" s="29" t="s">
        <v>408</v>
      </c>
      <c r="K1593" s="29" t="s">
        <v>2824</v>
      </c>
      <c r="L1593" s="29" t="s">
        <v>2620</v>
      </c>
      <c r="M1593" s="29" t="s">
        <v>741</v>
      </c>
      <c r="N1593" s="29" t="s">
        <v>2366</v>
      </c>
      <c r="O1593" s="29" t="s">
        <v>141</v>
      </c>
      <c r="P1593" s="30" t="s">
        <v>2825</v>
      </c>
    </row>
    <row r="1594" s="25" customFormat="1" spans="1:16">
      <c r="A1594" s="29" t="s">
        <v>2824</v>
      </c>
      <c r="B1594" s="29" t="s">
        <v>2812</v>
      </c>
      <c r="C1594" s="29" t="s">
        <v>55</v>
      </c>
      <c r="D1594" s="29" t="s">
        <v>2192</v>
      </c>
      <c r="E1594" s="29" t="s">
        <v>47</v>
      </c>
      <c r="F1594" s="29" t="s">
        <v>51</v>
      </c>
      <c r="G1594" s="29" t="s">
        <v>2360</v>
      </c>
      <c r="H1594" s="29" t="s">
        <v>2361</v>
      </c>
      <c r="I1594" s="29" t="s">
        <v>2324</v>
      </c>
      <c r="J1594" s="29" t="s">
        <v>412</v>
      </c>
      <c r="K1594" s="29" t="s">
        <v>2826</v>
      </c>
      <c r="L1594" s="29" t="s">
        <v>2623</v>
      </c>
      <c r="M1594" s="29" t="s">
        <v>741</v>
      </c>
      <c r="N1594" s="29" t="s">
        <v>2366</v>
      </c>
      <c r="O1594" s="29" t="s">
        <v>141</v>
      </c>
      <c r="P1594" s="30" t="s">
        <v>2827</v>
      </c>
    </row>
    <row r="1595" s="25" customFormat="1" spans="1:16">
      <c r="A1595" s="29" t="s">
        <v>2826</v>
      </c>
      <c r="B1595" s="29" t="s">
        <v>2812</v>
      </c>
      <c r="C1595" s="29" t="s">
        <v>55</v>
      </c>
      <c r="D1595" s="29" t="s">
        <v>2192</v>
      </c>
      <c r="E1595" s="29" t="s">
        <v>47</v>
      </c>
      <c r="F1595" s="29" t="s">
        <v>51</v>
      </c>
      <c r="G1595" s="29" t="s">
        <v>2360</v>
      </c>
      <c r="H1595" s="29" t="s">
        <v>2361</v>
      </c>
      <c r="I1595" s="29" t="s">
        <v>2324</v>
      </c>
      <c r="J1595" s="29" t="s">
        <v>416</v>
      </c>
      <c r="K1595" s="29" t="s">
        <v>2828</v>
      </c>
      <c r="L1595" s="29" t="s">
        <v>2650</v>
      </c>
      <c r="M1595" s="29" t="s">
        <v>741</v>
      </c>
      <c r="N1595" s="29" t="s">
        <v>2366</v>
      </c>
      <c r="O1595" s="29" t="s">
        <v>141</v>
      </c>
      <c r="P1595" s="30" t="s">
        <v>2829</v>
      </c>
    </row>
    <row r="1596" s="25" customFormat="1" spans="1:16">
      <c r="A1596" s="29" t="s">
        <v>2828</v>
      </c>
      <c r="B1596" s="29" t="s">
        <v>2812</v>
      </c>
      <c r="C1596" s="29" t="s">
        <v>55</v>
      </c>
      <c r="D1596" s="29" t="s">
        <v>2192</v>
      </c>
      <c r="E1596" s="29" t="s">
        <v>47</v>
      </c>
      <c r="F1596" s="29" t="s">
        <v>51</v>
      </c>
      <c r="G1596" s="29" t="s">
        <v>2360</v>
      </c>
      <c r="H1596" s="29" t="s">
        <v>2361</v>
      </c>
      <c r="I1596" s="29" t="s">
        <v>2324</v>
      </c>
      <c r="J1596" s="29" t="s">
        <v>420</v>
      </c>
      <c r="K1596" s="29" t="s">
        <v>2830</v>
      </c>
      <c r="L1596" s="29" t="s">
        <v>2653</v>
      </c>
      <c r="M1596" s="29" t="s">
        <v>741</v>
      </c>
      <c r="N1596" s="29" t="s">
        <v>2366</v>
      </c>
      <c r="O1596" s="29" t="s">
        <v>141</v>
      </c>
      <c r="P1596" s="30" t="s">
        <v>2831</v>
      </c>
    </row>
    <row r="1597" s="25" customFormat="1" spans="1:16">
      <c r="A1597" s="29" t="s">
        <v>2830</v>
      </c>
      <c r="B1597" s="29" t="s">
        <v>2812</v>
      </c>
      <c r="C1597" s="29" t="s">
        <v>55</v>
      </c>
      <c r="D1597" s="29" t="s">
        <v>2192</v>
      </c>
      <c r="E1597" s="29" t="s">
        <v>47</v>
      </c>
      <c r="F1597" s="29" t="s">
        <v>51</v>
      </c>
      <c r="G1597" s="29" t="s">
        <v>2360</v>
      </c>
      <c r="H1597" s="29" t="s">
        <v>2361</v>
      </c>
      <c r="I1597" s="29" t="s">
        <v>2324</v>
      </c>
      <c r="J1597" s="29" t="s">
        <v>424</v>
      </c>
      <c r="K1597" s="29" t="s">
        <v>2832</v>
      </c>
      <c r="L1597" s="29" t="s">
        <v>2715</v>
      </c>
      <c r="M1597" s="29" t="s">
        <v>741</v>
      </c>
      <c r="N1597" s="29" t="s">
        <v>2366</v>
      </c>
      <c r="O1597" s="29" t="s">
        <v>141</v>
      </c>
      <c r="P1597" s="30" t="s">
        <v>2833</v>
      </c>
    </row>
    <row r="1598" s="25" customFormat="1" spans="1:16">
      <c r="A1598" s="29" t="s">
        <v>2832</v>
      </c>
      <c r="B1598" s="29" t="s">
        <v>2812</v>
      </c>
      <c r="C1598" s="29" t="s">
        <v>55</v>
      </c>
      <c r="D1598" s="29" t="s">
        <v>2192</v>
      </c>
      <c r="E1598" s="29" t="s">
        <v>47</v>
      </c>
      <c r="F1598" s="29" t="s">
        <v>51</v>
      </c>
      <c r="G1598" s="29" t="s">
        <v>2360</v>
      </c>
      <c r="H1598" s="29" t="s">
        <v>2361</v>
      </c>
      <c r="I1598" s="29" t="s">
        <v>2324</v>
      </c>
      <c r="J1598" s="29" t="s">
        <v>631</v>
      </c>
      <c r="K1598" s="29" t="s">
        <v>2834</v>
      </c>
      <c r="L1598" s="29" t="s">
        <v>2717</v>
      </c>
      <c r="M1598" s="29" t="s">
        <v>741</v>
      </c>
      <c r="N1598" s="29" t="s">
        <v>2366</v>
      </c>
      <c r="O1598" s="29" t="s">
        <v>141</v>
      </c>
      <c r="P1598" s="30" t="s">
        <v>2835</v>
      </c>
    </row>
    <row r="1599" s="25" customFormat="1" spans="1:16">
      <c r="A1599" s="29" t="s">
        <v>2834</v>
      </c>
      <c r="B1599" s="29" t="s">
        <v>2812</v>
      </c>
      <c r="C1599" s="29" t="s">
        <v>55</v>
      </c>
      <c r="D1599" s="29" t="s">
        <v>2192</v>
      </c>
      <c r="E1599" s="29" t="s">
        <v>47</v>
      </c>
      <c r="F1599" s="29" t="s">
        <v>51</v>
      </c>
      <c r="G1599" s="29" t="s">
        <v>2360</v>
      </c>
      <c r="H1599" s="29" t="s">
        <v>2361</v>
      </c>
      <c r="I1599" s="29" t="s">
        <v>2324</v>
      </c>
      <c r="J1599" s="29" t="s">
        <v>635</v>
      </c>
      <c r="K1599" s="29" t="s">
        <v>2836</v>
      </c>
      <c r="L1599" s="29" t="s">
        <v>2720</v>
      </c>
      <c r="M1599" s="29" t="s">
        <v>741</v>
      </c>
      <c r="N1599" s="29" t="s">
        <v>2366</v>
      </c>
      <c r="O1599" s="29" t="s">
        <v>141</v>
      </c>
      <c r="P1599" s="30" t="s">
        <v>2837</v>
      </c>
    </row>
    <row r="1600" s="25" customFormat="1" spans="1:16">
      <c r="A1600" s="29" t="s">
        <v>2836</v>
      </c>
      <c r="B1600" s="29" t="s">
        <v>2812</v>
      </c>
      <c r="C1600" s="29" t="s">
        <v>55</v>
      </c>
      <c r="D1600" s="29" t="s">
        <v>2192</v>
      </c>
      <c r="E1600" s="29" t="s">
        <v>47</v>
      </c>
      <c r="F1600" s="29" t="s">
        <v>51</v>
      </c>
      <c r="G1600" s="29" t="s">
        <v>2360</v>
      </c>
      <c r="H1600" s="29" t="s">
        <v>2361</v>
      </c>
      <c r="I1600" s="29" t="s">
        <v>2324</v>
      </c>
      <c r="J1600" s="29" t="s">
        <v>639</v>
      </c>
      <c r="K1600" s="29" t="s">
        <v>2838</v>
      </c>
      <c r="L1600" s="29" t="s">
        <v>2723</v>
      </c>
      <c r="M1600" s="29" t="s">
        <v>741</v>
      </c>
      <c r="N1600" s="29" t="s">
        <v>2366</v>
      </c>
      <c r="O1600" s="29" t="s">
        <v>141</v>
      </c>
      <c r="P1600" s="30" t="s">
        <v>2839</v>
      </c>
    </row>
    <row r="1601" s="25" customFormat="1" spans="1:16">
      <c r="A1601" s="29" t="s">
        <v>2838</v>
      </c>
      <c r="B1601" s="29" t="s">
        <v>2812</v>
      </c>
      <c r="C1601" s="29" t="s">
        <v>55</v>
      </c>
      <c r="D1601" s="29" t="s">
        <v>2192</v>
      </c>
      <c r="E1601" s="29" t="s">
        <v>47</v>
      </c>
      <c r="F1601" s="29" t="s">
        <v>51</v>
      </c>
      <c r="G1601" s="29" t="s">
        <v>2360</v>
      </c>
      <c r="H1601" s="29" t="s">
        <v>2361</v>
      </c>
      <c r="I1601" s="29" t="s">
        <v>2324</v>
      </c>
      <c r="J1601" s="29" t="s">
        <v>643</v>
      </c>
      <c r="K1601" s="29" t="s">
        <v>2840</v>
      </c>
      <c r="L1601" s="29" t="s">
        <v>2726</v>
      </c>
      <c r="M1601" s="29" t="s">
        <v>741</v>
      </c>
      <c r="N1601" s="29" t="s">
        <v>2366</v>
      </c>
      <c r="O1601" s="29" t="s">
        <v>141</v>
      </c>
      <c r="P1601" s="30" t="s">
        <v>2841</v>
      </c>
    </row>
    <row r="1602" s="25" customFormat="1" spans="1:16">
      <c r="A1602" s="29" t="s">
        <v>2840</v>
      </c>
      <c r="B1602" s="29" t="s">
        <v>2812</v>
      </c>
      <c r="C1602" s="29" t="s">
        <v>55</v>
      </c>
      <c r="D1602" s="29" t="s">
        <v>2192</v>
      </c>
      <c r="E1602" s="29" t="s">
        <v>47</v>
      </c>
      <c r="F1602" s="29" t="s">
        <v>51</v>
      </c>
      <c r="G1602" s="29" t="s">
        <v>2360</v>
      </c>
      <c r="H1602" s="29" t="s">
        <v>2361</v>
      </c>
      <c r="I1602" s="29" t="s">
        <v>2324</v>
      </c>
      <c r="J1602" s="29" t="s">
        <v>647</v>
      </c>
      <c r="K1602" s="29" t="s">
        <v>39</v>
      </c>
      <c r="L1602" s="29" t="s">
        <v>39</v>
      </c>
      <c r="M1602" s="29" t="s">
        <v>39</v>
      </c>
      <c r="N1602" s="29" t="s">
        <v>2366</v>
      </c>
      <c r="O1602" s="29" t="s">
        <v>141</v>
      </c>
      <c r="P1602" s="30" t="s">
        <v>2842</v>
      </c>
    </row>
    <row r="1603" s="25" customFormat="1" spans="1:16">
      <c r="A1603" s="29" t="s">
        <v>2843</v>
      </c>
      <c r="B1603" s="29" t="s">
        <v>2843</v>
      </c>
      <c r="C1603" s="29" t="s">
        <v>55</v>
      </c>
      <c r="D1603" s="29" t="s">
        <v>2192</v>
      </c>
      <c r="E1603" s="29" t="s">
        <v>47</v>
      </c>
      <c r="F1603" s="29" t="s">
        <v>51</v>
      </c>
      <c r="G1603" s="29" t="s">
        <v>2386</v>
      </c>
      <c r="H1603" s="29" t="s">
        <v>2387</v>
      </c>
      <c r="I1603" s="29" t="s">
        <v>2324</v>
      </c>
      <c r="J1603" s="29" t="s">
        <v>39</v>
      </c>
      <c r="K1603" s="29" t="s">
        <v>2844</v>
      </c>
      <c r="L1603" s="29" t="s">
        <v>2326</v>
      </c>
      <c r="M1603" s="29" t="s">
        <v>773</v>
      </c>
      <c r="N1603" s="29" t="s">
        <v>2389</v>
      </c>
      <c r="O1603" s="29" t="s">
        <v>145</v>
      </c>
      <c r="P1603" s="30" t="s">
        <v>2390</v>
      </c>
    </row>
    <row r="1604" s="25" customFormat="1" spans="1:16">
      <c r="A1604" s="29" t="s">
        <v>2844</v>
      </c>
      <c r="B1604" s="29" t="s">
        <v>2843</v>
      </c>
      <c r="C1604" s="29" t="s">
        <v>55</v>
      </c>
      <c r="D1604" s="29" t="s">
        <v>2192</v>
      </c>
      <c r="E1604" s="29" t="s">
        <v>47</v>
      </c>
      <c r="F1604" s="29" t="s">
        <v>51</v>
      </c>
      <c r="G1604" s="29" t="s">
        <v>2386</v>
      </c>
      <c r="H1604" s="29" t="s">
        <v>2387</v>
      </c>
      <c r="I1604" s="29" t="s">
        <v>2324</v>
      </c>
      <c r="J1604" s="29" t="s">
        <v>35</v>
      </c>
      <c r="K1604" s="29" t="s">
        <v>2845</v>
      </c>
      <c r="L1604" s="29" t="s">
        <v>2330</v>
      </c>
      <c r="M1604" s="29" t="s">
        <v>773</v>
      </c>
      <c r="N1604" s="29" t="s">
        <v>2392</v>
      </c>
      <c r="O1604" s="29" t="s">
        <v>145</v>
      </c>
      <c r="P1604" s="30" t="s">
        <v>2393</v>
      </c>
    </row>
    <row r="1605" s="25" customFormat="1" spans="1:16">
      <c r="A1605" s="29" t="s">
        <v>2845</v>
      </c>
      <c r="B1605" s="29" t="s">
        <v>2843</v>
      </c>
      <c r="C1605" s="29" t="s">
        <v>55</v>
      </c>
      <c r="D1605" s="29" t="s">
        <v>2192</v>
      </c>
      <c r="E1605" s="29" t="s">
        <v>47</v>
      </c>
      <c r="F1605" s="29" t="s">
        <v>51</v>
      </c>
      <c r="G1605" s="29" t="s">
        <v>2386</v>
      </c>
      <c r="H1605" s="29" t="s">
        <v>2387</v>
      </c>
      <c r="I1605" s="29" t="s">
        <v>2324</v>
      </c>
      <c r="J1605" s="29" t="s">
        <v>47</v>
      </c>
      <c r="K1605" s="29" t="s">
        <v>2846</v>
      </c>
      <c r="L1605" s="29" t="s">
        <v>2334</v>
      </c>
      <c r="M1605" s="29" t="s">
        <v>773</v>
      </c>
      <c r="N1605" s="29" t="s">
        <v>2392</v>
      </c>
      <c r="O1605" s="29" t="s">
        <v>145</v>
      </c>
      <c r="P1605" s="30" t="s">
        <v>2395</v>
      </c>
    </row>
    <row r="1606" s="25" customFormat="1" spans="1:16">
      <c r="A1606" s="29" t="s">
        <v>2846</v>
      </c>
      <c r="B1606" s="29" t="s">
        <v>2843</v>
      </c>
      <c r="C1606" s="29" t="s">
        <v>55</v>
      </c>
      <c r="D1606" s="29" t="s">
        <v>2192</v>
      </c>
      <c r="E1606" s="29" t="s">
        <v>47</v>
      </c>
      <c r="F1606" s="29" t="s">
        <v>51</v>
      </c>
      <c r="G1606" s="29" t="s">
        <v>2386</v>
      </c>
      <c r="H1606" s="29" t="s">
        <v>2387</v>
      </c>
      <c r="I1606" s="29" t="s">
        <v>2324</v>
      </c>
      <c r="J1606" s="29" t="s">
        <v>51</v>
      </c>
      <c r="K1606" s="29" t="s">
        <v>2847</v>
      </c>
      <c r="L1606" s="29" t="s">
        <v>2337</v>
      </c>
      <c r="M1606" s="29" t="s">
        <v>773</v>
      </c>
      <c r="N1606" s="29" t="s">
        <v>2392</v>
      </c>
      <c r="O1606" s="29" t="s">
        <v>145</v>
      </c>
      <c r="P1606" s="30" t="s">
        <v>2397</v>
      </c>
    </row>
    <row r="1607" s="25" customFormat="1" spans="1:16">
      <c r="A1607" s="29" t="s">
        <v>2847</v>
      </c>
      <c r="B1607" s="29" t="s">
        <v>2843</v>
      </c>
      <c r="C1607" s="29" t="s">
        <v>55</v>
      </c>
      <c r="D1607" s="29" t="s">
        <v>2192</v>
      </c>
      <c r="E1607" s="29" t="s">
        <v>47</v>
      </c>
      <c r="F1607" s="29" t="s">
        <v>51</v>
      </c>
      <c r="G1607" s="29" t="s">
        <v>2386</v>
      </c>
      <c r="H1607" s="29" t="s">
        <v>2387</v>
      </c>
      <c r="I1607" s="29" t="s">
        <v>2324</v>
      </c>
      <c r="J1607" s="29" t="s">
        <v>55</v>
      </c>
      <c r="K1607" s="29" t="s">
        <v>2848</v>
      </c>
      <c r="L1607" s="29" t="s">
        <v>2340</v>
      </c>
      <c r="M1607" s="29" t="s">
        <v>773</v>
      </c>
      <c r="N1607" s="29" t="s">
        <v>2392</v>
      </c>
      <c r="O1607" s="29" t="s">
        <v>145</v>
      </c>
      <c r="P1607" s="30" t="s">
        <v>2399</v>
      </c>
    </row>
    <row r="1608" s="25" customFormat="1" spans="1:16">
      <c r="A1608" s="29" t="s">
        <v>2848</v>
      </c>
      <c r="B1608" s="29" t="s">
        <v>2843</v>
      </c>
      <c r="C1608" s="29" t="s">
        <v>55</v>
      </c>
      <c r="D1608" s="29" t="s">
        <v>2192</v>
      </c>
      <c r="E1608" s="29" t="s">
        <v>47</v>
      </c>
      <c r="F1608" s="29" t="s">
        <v>51</v>
      </c>
      <c r="G1608" s="29" t="s">
        <v>2386</v>
      </c>
      <c r="H1608" s="29" t="s">
        <v>2387</v>
      </c>
      <c r="I1608" s="29" t="s">
        <v>2324</v>
      </c>
      <c r="J1608" s="29" t="s">
        <v>59</v>
      </c>
      <c r="K1608" s="29" t="s">
        <v>2849</v>
      </c>
      <c r="L1608" s="29" t="s">
        <v>2343</v>
      </c>
      <c r="M1608" s="29" t="s">
        <v>773</v>
      </c>
      <c r="N1608" s="29" t="s">
        <v>2392</v>
      </c>
      <c r="O1608" s="29" t="s">
        <v>145</v>
      </c>
      <c r="P1608" s="30" t="s">
        <v>2401</v>
      </c>
    </row>
    <row r="1609" s="25" customFormat="1" spans="1:16">
      <c r="A1609" s="29" t="s">
        <v>2849</v>
      </c>
      <c r="B1609" s="29" t="s">
        <v>2843</v>
      </c>
      <c r="C1609" s="29" t="s">
        <v>55</v>
      </c>
      <c r="D1609" s="29" t="s">
        <v>2192</v>
      </c>
      <c r="E1609" s="29" t="s">
        <v>47</v>
      </c>
      <c r="F1609" s="29" t="s">
        <v>51</v>
      </c>
      <c r="G1609" s="29" t="s">
        <v>2386</v>
      </c>
      <c r="H1609" s="29" t="s">
        <v>2387</v>
      </c>
      <c r="I1609" s="29" t="s">
        <v>2324</v>
      </c>
      <c r="J1609" s="29" t="s">
        <v>129</v>
      </c>
      <c r="K1609" s="29" t="s">
        <v>2850</v>
      </c>
      <c r="L1609" s="29" t="s">
        <v>2346</v>
      </c>
      <c r="M1609" s="29" t="s">
        <v>773</v>
      </c>
      <c r="N1609" s="29" t="s">
        <v>2392</v>
      </c>
      <c r="O1609" s="29" t="s">
        <v>145</v>
      </c>
      <c r="P1609" s="30" t="s">
        <v>2403</v>
      </c>
    </row>
    <row r="1610" s="25" customFormat="1" spans="1:16">
      <c r="A1610" s="29" t="s">
        <v>2850</v>
      </c>
      <c r="B1610" s="29" t="s">
        <v>2843</v>
      </c>
      <c r="C1610" s="29" t="s">
        <v>55</v>
      </c>
      <c r="D1610" s="29" t="s">
        <v>2192</v>
      </c>
      <c r="E1610" s="29" t="s">
        <v>47</v>
      </c>
      <c r="F1610" s="29" t="s">
        <v>51</v>
      </c>
      <c r="G1610" s="29" t="s">
        <v>2386</v>
      </c>
      <c r="H1610" s="29" t="s">
        <v>2387</v>
      </c>
      <c r="I1610" s="29" t="s">
        <v>2324</v>
      </c>
      <c r="J1610" s="29" t="s">
        <v>133</v>
      </c>
      <c r="K1610" s="29" t="s">
        <v>2851</v>
      </c>
      <c r="L1610" s="29" t="s">
        <v>2349</v>
      </c>
      <c r="M1610" s="29" t="s">
        <v>773</v>
      </c>
      <c r="N1610" s="29" t="s">
        <v>2392</v>
      </c>
      <c r="O1610" s="29" t="s">
        <v>145</v>
      </c>
      <c r="P1610" s="30" t="s">
        <v>2405</v>
      </c>
    </row>
    <row r="1611" s="25" customFormat="1" spans="1:16">
      <c r="A1611" s="29" t="s">
        <v>2851</v>
      </c>
      <c r="B1611" s="29" t="s">
        <v>2843</v>
      </c>
      <c r="C1611" s="29" t="s">
        <v>55</v>
      </c>
      <c r="D1611" s="29" t="s">
        <v>2192</v>
      </c>
      <c r="E1611" s="29" t="s">
        <v>47</v>
      </c>
      <c r="F1611" s="29" t="s">
        <v>51</v>
      </c>
      <c r="G1611" s="29" t="s">
        <v>2386</v>
      </c>
      <c r="H1611" s="29" t="s">
        <v>2387</v>
      </c>
      <c r="I1611" s="29" t="s">
        <v>2324</v>
      </c>
      <c r="J1611" s="29" t="s">
        <v>137</v>
      </c>
      <c r="K1611" s="29" t="s">
        <v>2852</v>
      </c>
      <c r="L1611" s="29" t="s">
        <v>2352</v>
      </c>
      <c r="M1611" s="29" t="s">
        <v>773</v>
      </c>
      <c r="N1611" s="29" t="s">
        <v>2392</v>
      </c>
      <c r="O1611" s="29" t="s">
        <v>145</v>
      </c>
      <c r="P1611" s="30" t="s">
        <v>2407</v>
      </c>
    </row>
    <row r="1612" s="25" customFormat="1" spans="1:16">
      <c r="A1612" s="29" t="s">
        <v>2852</v>
      </c>
      <c r="B1612" s="29" t="s">
        <v>2843</v>
      </c>
      <c r="C1612" s="29" t="s">
        <v>55</v>
      </c>
      <c r="D1612" s="29" t="s">
        <v>2192</v>
      </c>
      <c r="E1612" s="29" t="s">
        <v>47</v>
      </c>
      <c r="F1612" s="29" t="s">
        <v>51</v>
      </c>
      <c r="G1612" s="29" t="s">
        <v>2386</v>
      </c>
      <c r="H1612" s="29" t="s">
        <v>2387</v>
      </c>
      <c r="I1612" s="29" t="s">
        <v>2324</v>
      </c>
      <c r="J1612" s="29" t="s">
        <v>141</v>
      </c>
      <c r="K1612" s="29" t="s">
        <v>2853</v>
      </c>
      <c r="L1612" s="29" t="s">
        <v>2355</v>
      </c>
      <c r="M1612" s="29" t="s">
        <v>773</v>
      </c>
      <c r="N1612" s="29" t="s">
        <v>2392</v>
      </c>
      <c r="O1612" s="29" t="s">
        <v>145</v>
      </c>
      <c r="P1612" s="30" t="s">
        <v>2409</v>
      </c>
    </row>
    <row r="1613" s="25" customFormat="1" spans="1:16">
      <c r="A1613" s="29" t="s">
        <v>2853</v>
      </c>
      <c r="B1613" s="29" t="s">
        <v>2843</v>
      </c>
      <c r="C1613" s="29" t="s">
        <v>55</v>
      </c>
      <c r="D1613" s="29" t="s">
        <v>2192</v>
      </c>
      <c r="E1613" s="29" t="s">
        <v>47</v>
      </c>
      <c r="F1613" s="29" t="s">
        <v>51</v>
      </c>
      <c r="G1613" s="29" t="s">
        <v>2386</v>
      </c>
      <c r="H1613" s="29" t="s">
        <v>2387</v>
      </c>
      <c r="I1613" s="29" t="s">
        <v>2324</v>
      </c>
      <c r="J1613" s="29" t="s">
        <v>145</v>
      </c>
      <c r="K1613" s="29" t="s">
        <v>2854</v>
      </c>
      <c r="L1613" s="29" t="s">
        <v>2357</v>
      </c>
      <c r="M1613" s="29" t="s">
        <v>773</v>
      </c>
      <c r="N1613" s="29" t="s">
        <v>2392</v>
      </c>
      <c r="O1613" s="29" t="s">
        <v>145</v>
      </c>
      <c r="P1613" s="30" t="s">
        <v>2410</v>
      </c>
    </row>
    <row r="1614" s="25" customFormat="1" spans="1:16">
      <c r="A1614" s="29" t="s">
        <v>2854</v>
      </c>
      <c r="B1614" s="29" t="s">
        <v>2843</v>
      </c>
      <c r="C1614" s="29" t="s">
        <v>55</v>
      </c>
      <c r="D1614" s="29" t="s">
        <v>2192</v>
      </c>
      <c r="E1614" s="29" t="s">
        <v>47</v>
      </c>
      <c r="F1614" s="29" t="s">
        <v>51</v>
      </c>
      <c r="G1614" s="29" t="s">
        <v>2386</v>
      </c>
      <c r="H1614" s="29" t="s">
        <v>2387</v>
      </c>
      <c r="I1614" s="29" t="s">
        <v>2324</v>
      </c>
      <c r="J1614" s="29" t="s">
        <v>408</v>
      </c>
      <c r="K1614" s="29" t="s">
        <v>2855</v>
      </c>
      <c r="L1614" s="29" t="s">
        <v>2620</v>
      </c>
      <c r="M1614" s="29" t="s">
        <v>773</v>
      </c>
      <c r="N1614" s="29" t="s">
        <v>2392</v>
      </c>
      <c r="O1614" s="29" t="s">
        <v>145</v>
      </c>
      <c r="P1614" s="30" t="s">
        <v>2856</v>
      </c>
    </row>
    <row r="1615" s="25" customFormat="1" spans="1:16">
      <c r="A1615" s="29" t="s">
        <v>2855</v>
      </c>
      <c r="B1615" s="29" t="s">
        <v>2843</v>
      </c>
      <c r="C1615" s="29" t="s">
        <v>55</v>
      </c>
      <c r="D1615" s="29" t="s">
        <v>2192</v>
      </c>
      <c r="E1615" s="29" t="s">
        <v>47</v>
      </c>
      <c r="F1615" s="29" t="s">
        <v>51</v>
      </c>
      <c r="G1615" s="29" t="s">
        <v>2386</v>
      </c>
      <c r="H1615" s="29" t="s">
        <v>2387</v>
      </c>
      <c r="I1615" s="29" t="s">
        <v>2324</v>
      </c>
      <c r="J1615" s="29" t="s">
        <v>412</v>
      </c>
      <c r="K1615" s="29" t="s">
        <v>2857</v>
      </c>
      <c r="L1615" s="29" t="s">
        <v>2623</v>
      </c>
      <c r="M1615" s="29" t="s">
        <v>773</v>
      </c>
      <c r="N1615" s="29" t="s">
        <v>2392</v>
      </c>
      <c r="O1615" s="29" t="s">
        <v>145</v>
      </c>
      <c r="P1615" s="30" t="s">
        <v>2858</v>
      </c>
    </row>
    <row r="1616" s="25" customFormat="1" spans="1:16">
      <c r="A1616" s="29" t="s">
        <v>2857</v>
      </c>
      <c r="B1616" s="29" t="s">
        <v>2843</v>
      </c>
      <c r="C1616" s="29" t="s">
        <v>55</v>
      </c>
      <c r="D1616" s="29" t="s">
        <v>2192</v>
      </c>
      <c r="E1616" s="29" t="s">
        <v>47</v>
      </c>
      <c r="F1616" s="29" t="s">
        <v>51</v>
      </c>
      <c r="G1616" s="29" t="s">
        <v>2386</v>
      </c>
      <c r="H1616" s="29" t="s">
        <v>2387</v>
      </c>
      <c r="I1616" s="29" t="s">
        <v>2324</v>
      </c>
      <c r="J1616" s="29" t="s">
        <v>416</v>
      </c>
      <c r="K1616" s="29" t="s">
        <v>2859</v>
      </c>
      <c r="L1616" s="29" t="s">
        <v>2650</v>
      </c>
      <c r="M1616" s="29" t="s">
        <v>773</v>
      </c>
      <c r="N1616" s="29" t="s">
        <v>2392</v>
      </c>
      <c r="O1616" s="29" t="s">
        <v>145</v>
      </c>
      <c r="P1616" s="30" t="s">
        <v>2860</v>
      </c>
    </row>
    <row r="1617" s="25" customFormat="1" spans="1:16">
      <c r="A1617" s="29" t="s">
        <v>2859</v>
      </c>
      <c r="B1617" s="29" t="s">
        <v>2843</v>
      </c>
      <c r="C1617" s="29" t="s">
        <v>55</v>
      </c>
      <c r="D1617" s="29" t="s">
        <v>2192</v>
      </c>
      <c r="E1617" s="29" t="s">
        <v>47</v>
      </c>
      <c r="F1617" s="29" t="s">
        <v>51</v>
      </c>
      <c r="G1617" s="29" t="s">
        <v>2386</v>
      </c>
      <c r="H1617" s="29" t="s">
        <v>2387</v>
      </c>
      <c r="I1617" s="29" t="s">
        <v>2324</v>
      </c>
      <c r="J1617" s="29" t="s">
        <v>420</v>
      </c>
      <c r="K1617" s="29" t="s">
        <v>2861</v>
      </c>
      <c r="L1617" s="29" t="s">
        <v>2653</v>
      </c>
      <c r="M1617" s="29" t="s">
        <v>773</v>
      </c>
      <c r="N1617" s="29" t="s">
        <v>2392</v>
      </c>
      <c r="O1617" s="29" t="s">
        <v>145</v>
      </c>
      <c r="P1617" s="30" t="s">
        <v>2862</v>
      </c>
    </row>
    <row r="1618" s="25" customFormat="1" spans="1:16">
      <c r="A1618" s="29" t="s">
        <v>2861</v>
      </c>
      <c r="B1618" s="29" t="s">
        <v>2843</v>
      </c>
      <c r="C1618" s="29" t="s">
        <v>55</v>
      </c>
      <c r="D1618" s="29" t="s">
        <v>2192</v>
      </c>
      <c r="E1618" s="29" t="s">
        <v>47</v>
      </c>
      <c r="F1618" s="29" t="s">
        <v>51</v>
      </c>
      <c r="G1618" s="29" t="s">
        <v>2386</v>
      </c>
      <c r="H1618" s="29" t="s">
        <v>2387</v>
      </c>
      <c r="I1618" s="29" t="s">
        <v>2324</v>
      </c>
      <c r="J1618" s="29" t="s">
        <v>424</v>
      </c>
      <c r="K1618" s="29" t="s">
        <v>2863</v>
      </c>
      <c r="L1618" s="29" t="s">
        <v>2715</v>
      </c>
      <c r="M1618" s="29" t="s">
        <v>773</v>
      </c>
      <c r="N1618" s="29" t="s">
        <v>2392</v>
      </c>
      <c r="O1618" s="29" t="s">
        <v>145</v>
      </c>
      <c r="P1618" s="30" t="s">
        <v>2864</v>
      </c>
    </row>
    <row r="1619" s="25" customFormat="1" spans="1:16">
      <c r="A1619" s="29" t="s">
        <v>2863</v>
      </c>
      <c r="B1619" s="29" t="s">
        <v>2843</v>
      </c>
      <c r="C1619" s="29" t="s">
        <v>55</v>
      </c>
      <c r="D1619" s="29" t="s">
        <v>2192</v>
      </c>
      <c r="E1619" s="29" t="s">
        <v>47</v>
      </c>
      <c r="F1619" s="29" t="s">
        <v>51</v>
      </c>
      <c r="G1619" s="29" t="s">
        <v>2386</v>
      </c>
      <c r="H1619" s="29" t="s">
        <v>2387</v>
      </c>
      <c r="I1619" s="29" t="s">
        <v>2324</v>
      </c>
      <c r="J1619" s="29" t="s">
        <v>631</v>
      </c>
      <c r="K1619" s="29" t="s">
        <v>2865</v>
      </c>
      <c r="L1619" s="29" t="s">
        <v>2717</v>
      </c>
      <c r="M1619" s="29" t="s">
        <v>773</v>
      </c>
      <c r="N1619" s="29" t="s">
        <v>2392</v>
      </c>
      <c r="O1619" s="29" t="s">
        <v>145</v>
      </c>
      <c r="P1619" s="30" t="s">
        <v>2866</v>
      </c>
    </row>
    <row r="1620" s="25" customFormat="1" spans="1:16">
      <c r="A1620" s="29" t="s">
        <v>2865</v>
      </c>
      <c r="B1620" s="29" t="s">
        <v>2843</v>
      </c>
      <c r="C1620" s="29" t="s">
        <v>55</v>
      </c>
      <c r="D1620" s="29" t="s">
        <v>2192</v>
      </c>
      <c r="E1620" s="29" t="s">
        <v>47</v>
      </c>
      <c r="F1620" s="29" t="s">
        <v>51</v>
      </c>
      <c r="G1620" s="29" t="s">
        <v>2386</v>
      </c>
      <c r="H1620" s="29" t="s">
        <v>2387</v>
      </c>
      <c r="I1620" s="29" t="s">
        <v>2324</v>
      </c>
      <c r="J1620" s="29" t="s">
        <v>635</v>
      </c>
      <c r="K1620" s="29" t="s">
        <v>2867</v>
      </c>
      <c r="L1620" s="29" t="s">
        <v>2720</v>
      </c>
      <c r="M1620" s="29" t="s">
        <v>773</v>
      </c>
      <c r="N1620" s="29" t="s">
        <v>2392</v>
      </c>
      <c r="O1620" s="29" t="s">
        <v>145</v>
      </c>
      <c r="P1620" s="30" t="s">
        <v>2868</v>
      </c>
    </row>
    <row r="1621" s="25" customFormat="1" spans="1:16">
      <c r="A1621" s="29" t="s">
        <v>2867</v>
      </c>
      <c r="B1621" s="29" t="s">
        <v>2843</v>
      </c>
      <c r="C1621" s="29" t="s">
        <v>55</v>
      </c>
      <c r="D1621" s="29" t="s">
        <v>2192</v>
      </c>
      <c r="E1621" s="29" t="s">
        <v>47</v>
      </c>
      <c r="F1621" s="29" t="s">
        <v>51</v>
      </c>
      <c r="G1621" s="29" t="s">
        <v>2386</v>
      </c>
      <c r="H1621" s="29" t="s">
        <v>2387</v>
      </c>
      <c r="I1621" s="29" t="s">
        <v>2324</v>
      </c>
      <c r="J1621" s="29" t="s">
        <v>639</v>
      </c>
      <c r="K1621" s="29" t="s">
        <v>2869</v>
      </c>
      <c r="L1621" s="29" t="s">
        <v>2723</v>
      </c>
      <c r="M1621" s="29" t="s">
        <v>773</v>
      </c>
      <c r="N1621" s="29" t="s">
        <v>2392</v>
      </c>
      <c r="O1621" s="29" t="s">
        <v>145</v>
      </c>
      <c r="P1621" s="30" t="s">
        <v>2870</v>
      </c>
    </row>
    <row r="1622" s="25" customFormat="1" spans="1:16">
      <c r="A1622" s="29" t="s">
        <v>2869</v>
      </c>
      <c r="B1622" s="29" t="s">
        <v>2843</v>
      </c>
      <c r="C1622" s="29" t="s">
        <v>55</v>
      </c>
      <c r="D1622" s="29" t="s">
        <v>2192</v>
      </c>
      <c r="E1622" s="29" t="s">
        <v>47</v>
      </c>
      <c r="F1622" s="29" t="s">
        <v>51</v>
      </c>
      <c r="G1622" s="29" t="s">
        <v>2386</v>
      </c>
      <c r="H1622" s="29" t="s">
        <v>2387</v>
      </c>
      <c r="I1622" s="29" t="s">
        <v>2324</v>
      </c>
      <c r="J1622" s="29" t="s">
        <v>643</v>
      </c>
      <c r="K1622" s="29" t="s">
        <v>2871</v>
      </c>
      <c r="L1622" s="29" t="s">
        <v>2726</v>
      </c>
      <c r="M1622" s="29" t="s">
        <v>773</v>
      </c>
      <c r="N1622" s="29" t="s">
        <v>2392</v>
      </c>
      <c r="O1622" s="29" t="s">
        <v>145</v>
      </c>
      <c r="P1622" s="30" t="s">
        <v>2872</v>
      </c>
    </row>
    <row r="1623" s="25" customFormat="1" spans="1:16">
      <c r="A1623" s="29" t="s">
        <v>2871</v>
      </c>
      <c r="B1623" s="29" t="s">
        <v>2843</v>
      </c>
      <c r="C1623" s="29" t="s">
        <v>55</v>
      </c>
      <c r="D1623" s="29" t="s">
        <v>2192</v>
      </c>
      <c r="E1623" s="29" t="s">
        <v>47</v>
      </c>
      <c r="F1623" s="29" t="s">
        <v>51</v>
      </c>
      <c r="G1623" s="29" t="s">
        <v>2386</v>
      </c>
      <c r="H1623" s="29" t="s">
        <v>2387</v>
      </c>
      <c r="I1623" s="29" t="s">
        <v>2324</v>
      </c>
      <c r="J1623" s="29" t="s">
        <v>647</v>
      </c>
      <c r="K1623" s="29" t="s">
        <v>39</v>
      </c>
      <c r="L1623" s="29" t="s">
        <v>39</v>
      </c>
      <c r="M1623" s="29" t="s">
        <v>39</v>
      </c>
      <c r="N1623" s="29" t="s">
        <v>2392</v>
      </c>
      <c r="O1623" s="29" t="s">
        <v>145</v>
      </c>
      <c r="P1623" s="30" t="s">
        <v>2873</v>
      </c>
    </row>
    <row r="1624" s="25" customFormat="1" spans="1:16">
      <c r="A1624" s="29" t="s">
        <v>2874</v>
      </c>
      <c r="B1624" s="29" t="s">
        <v>2874</v>
      </c>
      <c r="C1624" s="29" t="s">
        <v>59</v>
      </c>
      <c r="D1624" s="29" t="s">
        <v>2875</v>
      </c>
      <c r="E1624" s="29" t="s">
        <v>35</v>
      </c>
      <c r="F1624" s="29" t="s">
        <v>35</v>
      </c>
      <c r="G1624" s="29" t="s">
        <v>37</v>
      </c>
      <c r="H1624" s="29" t="s">
        <v>38</v>
      </c>
      <c r="I1624" s="29" t="s">
        <v>39</v>
      </c>
      <c r="J1624" s="29" t="s">
        <v>39</v>
      </c>
      <c r="K1624" s="29" t="s">
        <v>2875</v>
      </c>
      <c r="L1624" s="29" t="s">
        <v>2876</v>
      </c>
      <c r="M1624" s="29" t="s">
        <v>39</v>
      </c>
      <c r="N1624" s="29" t="s">
        <v>2877</v>
      </c>
      <c r="O1624" s="29" t="s">
        <v>35</v>
      </c>
      <c r="P1624" s="30" t="s">
        <v>2878</v>
      </c>
    </row>
    <row r="1625" s="25" customFormat="1" spans="1:16">
      <c r="A1625" s="29" t="s">
        <v>2875</v>
      </c>
      <c r="B1625" s="29" t="s">
        <v>2874</v>
      </c>
      <c r="C1625" s="29" t="s">
        <v>59</v>
      </c>
      <c r="D1625" s="29" t="s">
        <v>2875</v>
      </c>
      <c r="E1625" s="29" t="s">
        <v>35</v>
      </c>
      <c r="F1625" s="29" t="s">
        <v>35</v>
      </c>
      <c r="G1625" s="29" t="s">
        <v>37</v>
      </c>
      <c r="H1625" s="29" t="s">
        <v>38</v>
      </c>
      <c r="I1625" s="29" t="s">
        <v>39</v>
      </c>
      <c r="J1625" s="29" t="s">
        <v>35</v>
      </c>
      <c r="K1625" s="29" t="s">
        <v>2879</v>
      </c>
      <c r="L1625" s="29" t="s">
        <v>2880</v>
      </c>
      <c r="M1625" s="29" t="s">
        <v>39</v>
      </c>
      <c r="N1625" s="29" t="s">
        <v>2881</v>
      </c>
      <c r="O1625" s="29" t="s">
        <v>35</v>
      </c>
      <c r="P1625" s="30" t="s">
        <v>2882</v>
      </c>
    </row>
    <row r="1626" s="25" customFormat="1" spans="1:16">
      <c r="A1626" s="29" t="s">
        <v>2879</v>
      </c>
      <c r="B1626" s="29" t="s">
        <v>2874</v>
      </c>
      <c r="C1626" s="29" t="s">
        <v>59</v>
      </c>
      <c r="D1626" s="29" t="s">
        <v>2875</v>
      </c>
      <c r="E1626" s="29" t="s">
        <v>35</v>
      </c>
      <c r="F1626" s="29" t="s">
        <v>35</v>
      </c>
      <c r="G1626" s="29" t="s">
        <v>37</v>
      </c>
      <c r="H1626" s="29" t="s">
        <v>38</v>
      </c>
      <c r="I1626" s="29" t="s">
        <v>39</v>
      </c>
      <c r="J1626" s="29" t="s">
        <v>47</v>
      </c>
      <c r="K1626" s="29" t="s">
        <v>2883</v>
      </c>
      <c r="L1626" s="29" t="s">
        <v>2884</v>
      </c>
      <c r="M1626" s="29" t="s">
        <v>39</v>
      </c>
      <c r="N1626" s="29" t="s">
        <v>2881</v>
      </c>
      <c r="O1626" s="29" t="s">
        <v>35</v>
      </c>
      <c r="P1626" s="30" t="s">
        <v>2885</v>
      </c>
    </row>
    <row r="1627" s="25" customFormat="1" spans="1:16">
      <c r="A1627" s="29" t="s">
        <v>2883</v>
      </c>
      <c r="B1627" s="29" t="s">
        <v>2874</v>
      </c>
      <c r="C1627" s="29" t="s">
        <v>59</v>
      </c>
      <c r="D1627" s="29" t="s">
        <v>2875</v>
      </c>
      <c r="E1627" s="29" t="s">
        <v>35</v>
      </c>
      <c r="F1627" s="29" t="s">
        <v>35</v>
      </c>
      <c r="G1627" s="29" t="s">
        <v>37</v>
      </c>
      <c r="H1627" s="29" t="s">
        <v>38</v>
      </c>
      <c r="I1627" s="29" t="s">
        <v>39</v>
      </c>
      <c r="J1627" s="29" t="s">
        <v>51</v>
      </c>
      <c r="K1627" s="29" t="s">
        <v>2886</v>
      </c>
      <c r="L1627" s="29" t="s">
        <v>2887</v>
      </c>
      <c r="M1627" s="29" t="s">
        <v>39</v>
      </c>
      <c r="N1627" s="29" t="s">
        <v>2881</v>
      </c>
      <c r="O1627" s="29" t="s">
        <v>35</v>
      </c>
      <c r="P1627" s="30" t="s">
        <v>2888</v>
      </c>
    </row>
    <row r="1628" s="25" customFormat="1" spans="1:16">
      <c r="A1628" s="29" t="s">
        <v>2886</v>
      </c>
      <c r="B1628" s="29" t="s">
        <v>2874</v>
      </c>
      <c r="C1628" s="29" t="s">
        <v>59</v>
      </c>
      <c r="D1628" s="29" t="s">
        <v>2875</v>
      </c>
      <c r="E1628" s="29" t="s">
        <v>35</v>
      </c>
      <c r="F1628" s="29" t="s">
        <v>35</v>
      </c>
      <c r="G1628" s="29" t="s">
        <v>37</v>
      </c>
      <c r="H1628" s="29" t="s">
        <v>38</v>
      </c>
      <c r="I1628" s="29" t="s">
        <v>39</v>
      </c>
      <c r="J1628" s="29" t="s">
        <v>55</v>
      </c>
      <c r="K1628" s="29" t="s">
        <v>2889</v>
      </c>
      <c r="L1628" s="29" t="s">
        <v>2890</v>
      </c>
      <c r="M1628" s="29" t="s">
        <v>39</v>
      </c>
      <c r="N1628" s="29" t="s">
        <v>2881</v>
      </c>
      <c r="O1628" s="29" t="s">
        <v>35</v>
      </c>
      <c r="P1628" s="30" t="s">
        <v>2891</v>
      </c>
    </row>
    <row r="1629" s="25" customFormat="1" spans="1:16">
      <c r="A1629" s="29" t="s">
        <v>2889</v>
      </c>
      <c r="B1629" s="29" t="s">
        <v>2874</v>
      </c>
      <c r="C1629" s="29" t="s">
        <v>59</v>
      </c>
      <c r="D1629" s="29" t="s">
        <v>2875</v>
      </c>
      <c r="E1629" s="29" t="s">
        <v>35</v>
      </c>
      <c r="F1629" s="29" t="s">
        <v>35</v>
      </c>
      <c r="G1629" s="29" t="s">
        <v>37</v>
      </c>
      <c r="H1629" s="29" t="s">
        <v>38</v>
      </c>
      <c r="I1629" s="29" t="s">
        <v>39</v>
      </c>
      <c r="J1629" s="29" t="s">
        <v>59</v>
      </c>
      <c r="K1629" s="29" t="s">
        <v>39</v>
      </c>
      <c r="L1629" s="29" t="s">
        <v>39</v>
      </c>
      <c r="M1629" s="29" t="s">
        <v>39</v>
      </c>
      <c r="N1629" s="29" t="s">
        <v>2881</v>
      </c>
      <c r="O1629" s="29" t="s">
        <v>35</v>
      </c>
      <c r="P1629" s="30" t="s">
        <v>2892</v>
      </c>
    </row>
    <row r="1630" s="25" customFormat="1" spans="1:16">
      <c r="A1630" s="29" t="s">
        <v>2893</v>
      </c>
      <c r="B1630" s="29" t="s">
        <v>2893</v>
      </c>
      <c r="C1630" s="29" t="s">
        <v>59</v>
      </c>
      <c r="D1630" s="29" t="s">
        <v>2875</v>
      </c>
      <c r="E1630" s="29" t="s">
        <v>35</v>
      </c>
      <c r="F1630" s="29" t="s">
        <v>35</v>
      </c>
      <c r="G1630" s="29" t="s">
        <v>62</v>
      </c>
      <c r="H1630" s="29" t="s">
        <v>63</v>
      </c>
      <c r="I1630" s="29" t="s">
        <v>39</v>
      </c>
      <c r="J1630" s="29" t="s">
        <v>39</v>
      </c>
      <c r="K1630" s="29" t="s">
        <v>2894</v>
      </c>
      <c r="L1630" s="29" t="s">
        <v>2876</v>
      </c>
      <c r="M1630" s="29" t="s">
        <v>65</v>
      </c>
      <c r="N1630" s="29" t="s">
        <v>2895</v>
      </c>
      <c r="O1630" s="29" t="s">
        <v>47</v>
      </c>
      <c r="P1630" s="30" t="s">
        <v>2896</v>
      </c>
    </row>
    <row r="1631" s="25" customFormat="1" spans="1:16">
      <c r="A1631" s="29" t="s">
        <v>2894</v>
      </c>
      <c r="B1631" s="29" t="s">
        <v>2893</v>
      </c>
      <c r="C1631" s="29" t="s">
        <v>59</v>
      </c>
      <c r="D1631" s="29" t="s">
        <v>2875</v>
      </c>
      <c r="E1631" s="29" t="s">
        <v>35</v>
      </c>
      <c r="F1631" s="29" t="s">
        <v>35</v>
      </c>
      <c r="G1631" s="29" t="s">
        <v>62</v>
      </c>
      <c r="H1631" s="29" t="s">
        <v>63</v>
      </c>
      <c r="I1631" s="29" t="s">
        <v>39</v>
      </c>
      <c r="J1631" s="29" t="s">
        <v>35</v>
      </c>
      <c r="K1631" s="29" t="s">
        <v>2897</v>
      </c>
      <c r="L1631" s="29" t="s">
        <v>2880</v>
      </c>
      <c r="M1631" s="29" t="s">
        <v>65</v>
      </c>
      <c r="N1631" s="29" t="s">
        <v>2898</v>
      </c>
      <c r="O1631" s="29" t="s">
        <v>47</v>
      </c>
      <c r="P1631" s="30" t="s">
        <v>2899</v>
      </c>
    </row>
    <row r="1632" s="25" customFormat="1" spans="1:16">
      <c r="A1632" s="29" t="s">
        <v>2897</v>
      </c>
      <c r="B1632" s="29" t="s">
        <v>2893</v>
      </c>
      <c r="C1632" s="29" t="s">
        <v>59</v>
      </c>
      <c r="D1632" s="29" t="s">
        <v>2875</v>
      </c>
      <c r="E1632" s="29" t="s">
        <v>35</v>
      </c>
      <c r="F1632" s="29" t="s">
        <v>35</v>
      </c>
      <c r="G1632" s="29" t="s">
        <v>62</v>
      </c>
      <c r="H1632" s="29" t="s">
        <v>63</v>
      </c>
      <c r="I1632" s="29" t="s">
        <v>39</v>
      </c>
      <c r="J1632" s="29" t="s">
        <v>47</v>
      </c>
      <c r="K1632" s="29" t="s">
        <v>2900</v>
      </c>
      <c r="L1632" s="29" t="s">
        <v>2884</v>
      </c>
      <c r="M1632" s="29" t="s">
        <v>65</v>
      </c>
      <c r="N1632" s="29" t="s">
        <v>2898</v>
      </c>
      <c r="O1632" s="29" t="s">
        <v>47</v>
      </c>
      <c r="P1632" s="30" t="s">
        <v>2901</v>
      </c>
    </row>
    <row r="1633" s="25" customFormat="1" spans="1:16">
      <c r="A1633" s="29" t="s">
        <v>2900</v>
      </c>
      <c r="B1633" s="29" t="s">
        <v>2893</v>
      </c>
      <c r="C1633" s="29" t="s">
        <v>59</v>
      </c>
      <c r="D1633" s="29" t="s">
        <v>2875</v>
      </c>
      <c r="E1633" s="29" t="s">
        <v>35</v>
      </c>
      <c r="F1633" s="29" t="s">
        <v>35</v>
      </c>
      <c r="G1633" s="29" t="s">
        <v>62</v>
      </c>
      <c r="H1633" s="29" t="s">
        <v>63</v>
      </c>
      <c r="I1633" s="29" t="s">
        <v>39</v>
      </c>
      <c r="J1633" s="29" t="s">
        <v>51</v>
      </c>
      <c r="K1633" s="29" t="s">
        <v>2902</v>
      </c>
      <c r="L1633" s="29" t="s">
        <v>2887</v>
      </c>
      <c r="M1633" s="29" t="s">
        <v>65</v>
      </c>
      <c r="N1633" s="29" t="s">
        <v>2898</v>
      </c>
      <c r="O1633" s="29" t="s">
        <v>47</v>
      </c>
      <c r="P1633" s="30" t="s">
        <v>2903</v>
      </c>
    </row>
    <row r="1634" s="25" customFormat="1" spans="1:16">
      <c r="A1634" s="29" t="s">
        <v>2902</v>
      </c>
      <c r="B1634" s="29" t="s">
        <v>2893</v>
      </c>
      <c r="C1634" s="29" t="s">
        <v>59</v>
      </c>
      <c r="D1634" s="29" t="s">
        <v>2875</v>
      </c>
      <c r="E1634" s="29" t="s">
        <v>35</v>
      </c>
      <c r="F1634" s="29" t="s">
        <v>35</v>
      </c>
      <c r="G1634" s="29" t="s">
        <v>62</v>
      </c>
      <c r="H1634" s="29" t="s">
        <v>63</v>
      </c>
      <c r="I1634" s="29" t="s">
        <v>39</v>
      </c>
      <c r="J1634" s="29" t="s">
        <v>55</v>
      </c>
      <c r="K1634" s="29" t="s">
        <v>2904</v>
      </c>
      <c r="L1634" s="29" t="s">
        <v>2890</v>
      </c>
      <c r="M1634" s="29" t="s">
        <v>65</v>
      </c>
      <c r="N1634" s="29" t="s">
        <v>2898</v>
      </c>
      <c r="O1634" s="29" t="s">
        <v>47</v>
      </c>
      <c r="P1634" s="30" t="s">
        <v>2905</v>
      </c>
    </row>
    <row r="1635" s="25" customFormat="1" spans="1:16">
      <c r="A1635" s="29" t="s">
        <v>2904</v>
      </c>
      <c r="B1635" s="29" t="s">
        <v>2893</v>
      </c>
      <c r="C1635" s="29" t="s">
        <v>59</v>
      </c>
      <c r="D1635" s="29" t="s">
        <v>2875</v>
      </c>
      <c r="E1635" s="29" t="s">
        <v>35</v>
      </c>
      <c r="F1635" s="29" t="s">
        <v>35</v>
      </c>
      <c r="G1635" s="29" t="s">
        <v>62</v>
      </c>
      <c r="H1635" s="29" t="s">
        <v>63</v>
      </c>
      <c r="I1635" s="29" t="s">
        <v>39</v>
      </c>
      <c r="J1635" s="29" t="s">
        <v>59</v>
      </c>
      <c r="K1635" s="29" t="s">
        <v>39</v>
      </c>
      <c r="L1635" s="29" t="s">
        <v>39</v>
      </c>
      <c r="M1635" s="29" t="s">
        <v>39</v>
      </c>
      <c r="N1635" s="29" t="s">
        <v>2898</v>
      </c>
      <c r="O1635" s="29" t="s">
        <v>47</v>
      </c>
      <c r="P1635" s="30" t="s">
        <v>2906</v>
      </c>
    </row>
    <row r="1636" s="25" customFormat="1" spans="1:16">
      <c r="A1636" s="29" t="s">
        <v>2907</v>
      </c>
      <c r="B1636" s="29" t="s">
        <v>2907</v>
      </c>
      <c r="C1636" s="29" t="s">
        <v>59</v>
      </c>
      <c r="D1636" s="29" t="s">
        <v>2875</v>
      </c>
      <c r="E1636" s="29" t="s">
        <v>35</v>
      </c>
      <c r="F1636" s="29" t="s">
        <v>35</v>
      </c>
      <c r="G1636" s="29" t="s">
        <v>79</v>
      </c>
      <c r="H1636" s="29" t="s">
        <v>80</v>
      </c>
      <c r="I1636" s="29" t="s">
        <v>39</v>
      </c>
      <c r="J1636" s="29" t="s">
        <v>39</v>
      </c>
      <c r="K1636" s="29" t="s">
        <v>2908</v>
      </c>
      <c r="L1636" s="29" t="s">
        <v>2876</v>
      </c>
      <c r="M1636" s="29" t="s">
        <v>65</v>
      </c>
      <c r="N1636" s="29" t="s">
        <v>2909</v>
      </c>
      <c r="O1636" s="29" t="s">
        <v>51</v>
      </c>
      <c r="P1636" s="30" t="s">
        <v>2910</v>
      </c>
    </row>
    <row r="1637" s="25" customFormat="1" spans="1:16">
      <c r="A1637" s="29" t="s">
        <v>2908</v>
      </c>
      <c r="B1637" s="29" t="s">
        <v>2907</v>
      </c>
      <c r="C1637" s="29" t="s">
        <v>59</v>
      </c>
      <c r="D1637" s="29" t="s">
        <v>2875</v>
      </c>
      <c r="E1637" s="29" t="s">
        <v>35</v>
      </c>
      <c r="F1637" s="29" t="s">
        <v>35</v>
      </c>
      <c r="G1637" s="29" t="s">
        <v>79</v>
      </c>
      <c r="H1637" s="29" t="s">
        <v>80</v>
      </c>
      <c r="I1637" s="29" t="s">
        <v>39</v>
      </c>
      <c r="J1637" s="29" t="s">
        <v>35</v>
      </c>
      <c r="K1637" s="29" t="s">
        <v>2911</v>
      </c>
      <c r="L1637" s="29" t="s">
        <v>2880</v>
      </c>
      <c r="M1637" s="29" t="s">
        <v>65</v>
      </c>
      <c r="N1637" s="29" t="s">
        <v>2912</v>
      </c>
      <c r="O1637" s="29" t="s">
        <v>51</v>
      </c>
      <c r="P1637" s="30" t="s">
        <v>2913</v>
      </c>
    </row>
    <row r="1638" s="25" customFormat="1" spans="1:16">
      <c r="A1638" s="29" t="s">
        <v>2911</v>
      </c>
      <c r="B1638" s="29" t="s">
        <v>2907</v>
      </c>
      <c r="C1638" s="29" t="s">
        <v>59</v>
      </c>
      <c r="D1638" s="29" t="s">
        <v>2875</v>
      </c>
      <c r="E1638" s="29" t="s">
        <v>35</v>
      </c>
      <c r="F1638" s="29" t="s">
        <v>35</v>
      </c>
      <c r="G1638" s="29" t="s">
        <v>79</v>
      </c>
      <c r="H1638" s="29" t="s">
        <v>80</v>
      </c>
      <c r="I1638" s="29" t="s">
        <v>39</v>
      </c>
      <c r="J1638" s="29" t="s">
        <v>47</v>
      </c>
      <c r="K1638" s="29" t="s">
        <v>2914</v>
      </c>
      <c r="L1638" s="29" t="s">
        <v>2884</v>
      </c>
      <c r="M1638" s="29" t="s">
        <v>65</v>
      </c>
      <c r="N1638" s="29" t="s">
        <v>2912</v>
      </c>
      <c r="O1638" s="29" t="s">
        <v>51</v>
      </c>
      <c r="P1638" s="30" t="s">
        <v>2915</v>
      </c>
    </row>
    <row r="1639" s="25" customFormat="1" spans="1:16">
      <c r="A1639" s="29" t="s">
        <v>2914</v>
      </c>
      <c r="B1639" s="29" t="s">
        <v>2907</v>
      </c>
      <c r="C1639" s="29" t="s">
        <v>59</v>
      </c>
      <c r="D1639" s="29" t="s">
        <v>2875</v>
      </c>
      <c r="E1639" s="29" t="s">
        <v>35</v>
      </c>
      <c r="F1639" s="29" t="s">
        <v>35</v>
      </c>
      <c r="G1639" s="29" t="s">
        <v>79</v>
      </c>
      <c r="H1639" s="29" t="s">
        <v>80</v>
      </c>
      <c r="I1639" s="29" t="s">
        <v>39</v>
      </c>
      <c r="J1639" s="29" t="s">
        <v>51</v>
      </c>
      <c r="K1639" s="29" t="s">
        <v>2916</v>
      </c>
      <c r="L1639" s="29" t="s">
        <v>2887</v>
      </c>
      <c r="M1639" s="29" t="s">
        <v>65</v>
      </c>
      <c r="N1639" s="29" t="s">
        <v>2912</v>
      </c>
      <c r="O1639" s="29" t="s">
        <v>51</v>
      </c>
      <c r="P1639" s="30" t="s">
        <v>2917</v>
      </c>
    </row>
    <row r="1640" s="25" customFormat="1" spans="1:16">
      <c r="A1640" s="29" t="s">
        <v>2916</v>
      </c>
      <c r="B1640" s="29" t="s">
        <v>2907</v>
      </c>
      <c r="C1640" s="29" t="s">
        <v>59</v>
      </c>
      <c r="D1640" s="29" t="s">
        <v>2875</v>
      </c>
      <c r="E1640" s="29" t="s">
        <v>35</v>
      </c>
      <c r="F1640" s="29" t="s">
        <v>35</v>
      </c>
      <c r="G1640" s="29" t="s">
        <v>79</v>
      </c>
      <c r="H1640" s="29" t="s">
        <v>80</v>
      </c>
      <c r="I1640" s="29" t="s">
        <v>39</v>
      </c>
      <c r="J1640" s="29" t="s">
        <v>55</v>
      </c>
      <c r="K1640" s="29" t="s">
        <v>2918</v>
      </c>
      <c r="L1640" s="29" t="s">
        <v>2890</v>
      </c>
      <c r="M1640" s="29" t="s">
        <v>65</v>
      </c>
      <c r="N1640" s="29" t="s">
        <v>2912</v>
      </c>
      <c r="O1640" s="29" t="s">
        <v>51</v>
      </c>
      <c r="P1640" s="30" t="s">
        <v>2919</v>
      </c>
    </row>
    <row r="1641" s="25" customFormat="1" spans="1:16">
      <c r="A1641" s="29" t="s">
        <v>2918</v>
      </c>
      <c r="B1641" s="29" t="s">
        <v>2907</v>
      </c>
      <c r="C1641" s="29" t="s">
        <v>59</v>
      </c>
      <c r="D1641" s="29" t="s">
        <v>2875</v>
      </c>
      <c r="E1641" s="29" t="s">
        <v>35</v>
      </c>
      <c r="F1641" s="29" t="s">
        <v>35</v>
      </c>
      <c r="G1641" s="29" t="s">
        <v>79</v>
      </c>
      <c r="H1641" s="29" t="s">
        <v>80</v>
      </c>
      <c r="I1641" s="29" t="s">
        <v>39</v>
      </c>
      <c r="J1641" s="29" t="s">
        <v>59</v>
      </c>
      <c r="K1641" s="29" t="s">
        <v>39</v>
      </c>
      <c r="L1641" s="29" t="s">
        <v>39</v>
      </c>
      <c r="M1641" s="29" t="s">
        <v>39</v>
      </c>
      <c r="N1641" s="29" t="s">
        <v>2912</v>
      </c>
      <c r="O1641" s="29" t="s">
        <v>51</v>
      </c>
      <c r="P1641" s="30" t="s">
        <v>2920</v>
      </c>
    </row>
    <row r="1642" s="25" customFormat="1" spans="1:16">
      <c r="A1642" s="29" t="s">
        <v>2921</v>
      </c>
      <c r="B1642" s="29" t="s">
        <v>2921</v>
      </c>
      <c r="C1642" s="29" t="s">
        <v>59</v>
      </c>
      <c r="D1642" s="29" t="s">
        <v>2875</v>
      </c>
      <c r="E1642" s="29" t="s">
        <v>35</v>
      </c>
      <c r="F1642" s="29" t="s">
        <v>35</v>
      </c>
      <c r="G1642" s="29" t="s">
        <v>95</v>
      </c>
      <c r="H1642" s="29" t="s">
        <v>96</v>
      </c>
      <c r="I1642" s="29" t="s">
        <v>39</v>
      </c>
      <c r="J1642" s="29" t="s">
        <v>39</v>
      </c>
      <c r="K1642" s="29" t="s">
        <v>2922</v>
      </c>
      <c r="L1642" s="29" t="s">
        <v>2876</v>
      </c>
      <c r="M1642" s="29" t="s">
        <v>65</v>
      </c>
      <c r="N1642" s="29" t="s">
        <v>2923</v>
      </c>
      <c r="O1642" s="29" t="s">
        <v>55</v>
      </c>
      <c r="P1642" s="30" t="s">
        <v>2924</v>
      </c>
    </row>
    <row r="1643" s="25" customFormat="1" spans="1:16">
      <c r="A1643" s="29" t="s">
        <v>2922</v>
      </c>
      <c r="B1643" s="29" t="s">
        <v>2921</v>
      </c>
      <c r="C1643" s="29" t="s">
        <v>59</v>
      </c>
      <c r="D1643" s="29" t="s">
        <v>2875</v>
      </c>
      <c r="E1643" s="29" t="s">
        <v>35</v>
      </c>
      <c r="F1643" s="29" t="s">
        <v>35</v>
      </c>
      <c r="G1643" s="29" t="s">
        <v>95</v>
      </c>
      <c r="H1643" s="29" t="s">
        <v>96</v>
      </c>
      <c r="I1643" s="29" t="s">
        <v>39</v>
      </c>
      <c r="J1643" s="29" t="s">
        <v>35</v>
      </c>
      <c r="K1643" s="29" t="s">
        <v>2925</v>
      </c>
      <c r="L1643" s="29" t="s">
        <v>2880</v>
      </c>
      <c r="M1643" s="29" t="s">
        <v>65</v>
      </c>
      <c r="N1643" s="29" t="s">
        <v>2926</v>
      </c>
      <c r="O1643" s="29" t="s">
        <v>55</v>
      </c>
      <c r="P1643" s="30" t="s">
        <v>2927</v>
      </c>
    </row>
    <row r="1644" s="25" customFormat="1" spans="1:16">
      <c r="A1644" s="29" t="s">
        <v>2925</v>
      </c>
      <c r="B1644" s="29" t="s">
        <v>2921</v>
      </c>
      <c r="C1644" s="29" t="s">
        <v>59</v>
      </c>
      <c r="D1644" s="29" t="s">
        <v>2875</v>
      </c>
      <c r="E1644" s="29" t="s">
        <v>35</v>
      </c>
      <c r="F1644" s="29" t="s">
        <v>35</v>
      </c>
      <c r="G1644" s="29" t="s">
        <v>95</v>
      </c>
      <c r="H1644" s="29" t="s">
        <v>96</v>
      </c>
      <c r="I1644" s="29" t="s">
        <v>39</v>
      </c>
      <c r="J1644" s="29" t="s">
        <v>47</v>
      </c>
      <c r="K1644" s="29" t="s">
        <v>2928</v>
      </c>
      <c r="L1644" s="29" t="s">
        <v>2884</v>
      </c>
      <c r="M1644" s="29" t="s">
        <v>65</v>
      </c>
      <c r="N1644" s="29" t="s">
        <v>2926</v>
      </c>
      <c r="O1644" s="29" t="s">
        <v>55</v>
      </c>
      <c r="P1644" s="30" t="s">
        <v>2929</v>
      </c>
    </row>
    <row r="1645" s="25" customFormat="1" spans="1:16">
      <c r="A1645" s="29" t="s">
        <v>2928</v>
      </c>
      <c r="B1645" s="29" t="s">
        <v>2921</v>
      </c>
      <c r="C1645" s="29" t="s">
        <v>59</v>
      </c>
      <c r="D1645" s="29" t="s">
        <v>2875</v>
      </c>
      <c r="E1645" s="29" t="s">
        <v>35</v>
      </c>
      <c r="F1645" s="29" t="s">
        <v>35</v>
      </c>
      <c r="G1645" s="29" t="s">
        <v>95</v>
      </c>
      <c r="H1645" s="29" t="s">
        <v>96</v>
      </c>
      <c r="I1645" s="29" t="s">
        <v>39</v>
      </c>
      <c r="J1645" s="29" t="s">
        <v>51</v>
      </c>
      <c r="K1645" s="29" t="s">
        <v>2930</v>
      </c>
      <c r="L1645" s="29" t="s">
        <v>2887</v>
      </c>
      <c r="M1645" s="29" t="s">
        <v>65</v>
      </c>
      <c r="N1645" s="29" t="s">
        <v>2926</v>
      </c>
      <c r="O1645" s="29" t="s">
        <v>55</v>
      </c>
      <c r="P1645" s="30" t="s">
        <v>2931</v>
      </c>
    </row>
    <row r="1646" s="25" customFormat="1" spans="1:16">
      <c r="A1646" s="29" t="s">
        <v>2930</v>
      </c>
      <c r="B1646" s="29" t="s">
        <v>2921</v>
      </c>
      <c r="C1646" s="29" t="s">
        <v>59</v>
      </c>
      <c r="D1646" s="29" t="s">
        <v>2875</v>
      </c>
      <c r="E1646" s="29" t="s">
        <v>35</v>
      </c>
      <c r="F1646" s="29" t="s">
        <v>35</v>
      </c>
      <c r="G1646" s="29" t="s">
        <v>95</v>
      </c>
      <c r="H1646" s="29" t="s">
        <v>96</v>
      </c>
      <c r="I1646" s="29" t="s">
        <v>39</v>
      </c>
      <c r="J1646" s="29" t="s">
        <v>55</v>
      </c>
      <c r="K1646" s="29" t="s">
        <v>2932</v>
      </c>
      <c r="L1646" s="29" t="s">
        <v>2890</v>
      </c>
      <c r="M1646" s="29" t="s">
        <v>65</v>
      </c>
      <c r="N1646" s="29" t="s">
        <v>2926</v>
      </c>
      <c r="O1646" s="29" t="s">
        <v>55</v>
      </c>
      <c r="P1646" s="30" t="s">
        <v>2933</v>
      </c>
    </row>
    <row r="1647" s="25" customFormat="1" spans="1:16">
      <c r="A1647" s="29" t="s">
        <v>2932</v>
      </c>
      <c r="B1647" s="29" t="s">
        <v>2921</v>
      </c>
      <c r="C1647" s="29" t="s">
        <v>59</v>
      </c>
      <c r="D1647" s="29" t="s">
        <v>2875</v>
      </c>
      <c r="E1647" s="29" t="s">
        <v>35</v>
      </c>
      <c r="F1647" s="29" t="s">
        <v>35</v>
      </c>
      <c r="G1647" s="29" t="s">
        <v>95</v>
      </c>
      <c r="H1647" s="29" t="s">
        <v>96</v>
      </c>
      <c r="I1647" s="29" t="s">
        <v>39</v>
      </c>
      <c r="J1647" s="29" t="s">
        <v>59</v>
      </c>
      <c r="K1647" s="29" t="s">
        <v>39</v>
      </c>
      <c r="L1647" s="29" t="s">
        <v>39</v>
      </c>
      <c r="M1647" s="29" t="s">
        <v>39</v>
      </c>
      <c r="N1647" s="29" t="s">
        <v>2926</v>
      </c>
      <c r="O1647" s="29" t="s">
        <v>55</v>
      </c>
      <c r="P1647" s="30" t="s">
        <v>2934</v>
      </c>
    </row>
    <row r="1648" s="25" customFormat="1" spans="1:16">
      <c r="A1648" s="29" t="s">
        <v>2935</v>
      </c>
      <c r="B1648" s="29" t="s">
        <v>2935</v>
      </c>
      <c r="C1648" s="29" t="s">
        <v>59</v>
      </c>
      <c r="D1648" s="29" t="s">
        <v>2875</v>
      </c>
      <c r="E1648" s="29" t="s">
        <v>35</v>
      </c>
      <c r="F1648" s="29" t="s">
        <v>35</v>
      </c>
      <c r="G1648" s="29" t="s">
        <v>111</v>
      </c>
      <c r="H1648" s="29" t="s">
        <v>112</v>
      </c>
      <c r="I1648" s="29" t="s">
        <v>39</v>
      </c>
      <c r="J1648" s="29" t="s">
        <v>39</v>
      </c>
      <c r="K1648" s="29" t="s">
        <v>2936</v>
      </c>
      <c r="L1648" s="29" t="s">
        <v>2876</v>
      </c>
      <c r="M1648" s="29" t="s">
        <v>114</v>
      </c>
      <c r="N1648" s="29" t="s">
        <v>2937</v>
      </c>
      <c r="O1648" s="29" t="s">
        <v>59</v>
      </c>
      <c r="P1648" s="30" t="s">
        <v>2938</v>
      </c>
    </row>
    <row r="1649" s="25" customFormat="1" spans="1:16">
      <c r="A1649" s="29" t="s">
        <v>2936</v>
      </c>
      <c r="B1649" s="29" t="s">
        <v>2935</v>
      </c>
      <c r="C1649" s="29" t="s">
        <v>59</v>
      </c>
      <c r="D1649" s="29" t="s">
        <v>2875</v>
      </c>
      <c r="E1649" s="29" t="s">
        <v>35</v>
      </c>
      <c r="F1649" s="29" t="s">
        <v>35</v>
      </c>
      <c r="G1649" s="29" t="s">
        <v>111</v>
      </c>
      <c r="H1649" s="29" t="s">
        <v>112</v>
      </c>
      <c r="I1649" s="29" t="s">
        <v>39</v>
      </c>
      <c r="J1649" s="29" t="s">
        <v>35</v>
      </c>
      <c r="K1649" s="29" t="s">
        <v>2939</v>
      </c>
      <c r="L1649" s="29" t="s">
        <v>2880</v>
      </c>
      <c r="M1649" s="29" t="s">
        <v>114</v>
      </c>
      <c r="N1649" s="29" t="s">
        <v>2940</v>
      </c>
      <c r="O1649" s="29" t="s">
        <v>59</v>
      </c>
      <c r="P1649" s="30" t="s">
        <v>2941</v>
      </c>
    </row>
    <row r="1650" s="25" customFormat="1" spans="1:16">
      <c r="A1650" s="29" t="s">
        <v>2939</v>
      </c>
      <c r="B1650" s="29" t="s">
        <v>2935</v>
      </c>
      <c r="C1650" s="29" t="s">
        <v>59</v>
      </c>
      <c r="D1650" s="29" t="s">
        <v>2875</v>
      </c>
      <c r="E1650" s="29" t="s">
        <v>35</v>
      </c>
      <c r="F1650" s="29" t="s">
        <v>35</v>
      </c>
      <c r="G1650" s="29" t="s">
        <v>111</v>
      </c>
      <c r="H1650" s="29" t="s">
        <v>112</v>
      </c>
      <c r="I1650" s="29" t="s">
        <v>39</v>
      </c>
      <c r="J1650" s="29" t="s">
        <v>47</v>
      </c>
      <c r="K1650" s="29" t="s">
        <v>2942</v>
      </c>
      <c r="L1650" s="29" t="s">
        <v>2884</v>
      </c>
      <c r="M1650" s="29" t="s">
        <v>114</v>
      </c>
      <c r="N1650" s="29" t="s">
        <v>2940</v>
      </c>
      <c r="O1650" s="29" t="s">
        <v>59</v>
      </c>
      <c r="P1650" s="30" t="s">
        <v>2943</v>
      </c>
    </row>
    <row r="1651" s="25" customFormat="1" spans="1:16">
      <c r="A1651" s="29" t="s">
        <v>2942</v>
      </c>
      <c r="B1651" s="29" t="s">
        <v>2935</v>
      </c>
      <c r="C1651" s="29" t="s">
        <v>59</v>
      </c>
      <c r="D1651" s="29" t="s">
        <v>2875</v>
      </c>
      <c r="E1651" s="29" t="s">
        <v>35</v>
      </c>
      <c r="F1651" s="29" t="s">
        <v>35</v>
      </c>
      <c r="G1651" s="29" t="s">
        <v>111</v>
      </c>
      <c r="H1651" s="29" t="s">
        <v>112</v>
      </c>
      <c r="I1651" s="29" t="s">
        <v>39</v>
      </c>
      <c r="J1651" s="29" t="s">
        <v>51</v>
      </c>
      <c r="K1651" s="29" t="s">
        <v>2944</v>
      </c>
      <c r="L1651" s="29" t="s">
        <v>2887</v>
      </c>
      <c r="M1651" s="29" t="s">
        <v>114</v>
      </c>
      <c r="N1651" s="29" t="s">
        <v>2940</v>
      </c>
      <c r="O1651" s="29" t="s">
        <v>59</v>
      </c>
      <c r="P1651" s="30" t="s">
        <v>2945</v>
      </c>
    </row>
    <row r="1652" s="25" customFormat="1" spans="1:16">
      <c r="A1652" s="29" t="s">
        <v>2944</v>
      </c>
      <c r="B1652" s="29" t="s">
        <v>2935</v>
      </c>
      <c r="C1652" s="29" t="s">
        <v>59</v>
      </c>
      <c r="D1652" s="29" t="s">
        <v>2875</v>
      </c>
      <c r="E1652" s="29" t="s">
        <v>35</v>
      </c>
      <c r="F1652" s="29" t="s">
        <v>35</v>
      </c>
      <c r="G1652" s="29" t="s">
        <v>111</v>
      </c>
      <c r="H1652" s="29" t="s">
        <v>112</v>
      </c>
      <c r="I1652" s="29" t="s">
        <v>39</v>
      </c>
      <c r="J1652" s="29" t="s">
        <v>55</v>
      </c>
      <c r="K1652" s="29" t="s">
        <v>2946</v>
      </c>
      <c r="L1652" s="29" t="s">
        <v>2890</v>
      </c>
      <c r="M1652" s="29" t="s">
        <v>114</v>
      </c>
      <c r="N1652" s="29" t="s">
        <v>2940</v>
      </c>
      <c r="O1652" s="29" t="s">
        <v>59</v>
      </c>
      <c r="P1652" s="30" t="s">
        <v>2947</v>
      </c>
    </row>
    <row r="1653" s="25" customFormat="1" spans="1:16">
      <c r="A1653" s="29" t="s">
        <v>2946</v>
      </c>
      <c r="B1653" s="29" t="s">
        <v>2935</v>
      </c>
      <c r="C1653" s="29" t="s">
        <v>59</v>
      </c>
      <c r="D1653" s="29" t="s">
        <v>2875</v>
      </c>
      <c r="E1653" s="29" t="s">
        <v>35</v>
      </c>
      <c r="F1653" s="29" t="s">
        <v>35</v>
      </c>
      <c r="G1653" s="29" t="s">
        <v>111</v>
      </c>
      <c r="H1653" s="29" t="s">
        <v>112</v>
      </c>
      <c r="I1653" s="29" t="s">
        <v>39</v>
      </c>
      <c r="J1653" s="29" t="s">
        <v>59</v>
      </c>
      <c r="K1653" s="29" t="s">
        <v>2948</v>
      </c>
      <c r="L1653" s="29" t="s">
        <v>2949</v>
      </c>
      <c r="M1653" s="29" t="s">
        <v>114</v>
      </c>
      <c r="N1653" s="29" t="s">
        <v>2940</v>
      </c>
      <c r="O1653" s="29" t="s">
        <v>59</v>
      </c>
      <c r="P1653" s="30" t="s">
        <v>2950</v>
      </c>
    </row>
    <row r="1654" s="25" customFormat="1" spans="1:16">
      <c r="A1654" s="29" t="s">
        <v>2948</v>
      </c>
      <c r="B1654" s="29" t="s">
        <v>2935</v>
      </c>
      <c r="C1654" s="29" t="s">
        <v>59</v>
      </c>
      <c r="D1654" s="29" t="s">
        <v>2875</v>
      </c>
      <c r="E1654" s="29" t="s">
        <v>35</v>
      </c>
      <c r="F1654" s="29" t="s">
        <v>35</v>
      </c>
      <c r="G1654" s="29" t="s">
        <v>111</v>
      </c>
      <c r="H1654" s="29" t="s">
        <v>112</v>
      </c>
      <c r="I1654" s="29" t="s">
        <v>39</v>
      </c>
      <c r="J1654" s="29" t="s">
        <v>129</v>
      </c>
      <c r="K1654" s="29" t="s">
        <v>2951</v>
      </c>
      <c r="L1654" s="29" t="s">
        <v>2952</v>
      </c>
      <c r="M1654" s="29" t="s">
        <v>114</v>
      </c>
      <c r="N1654" s="29" t="s">
        <v>2940</v>
      </c>
      <c r="O1654" s="29" t="s">
        <v>59</v>
      </c>
      <c r="P1654" s="30" t="s">
        <v>2953</v>
      </c>
    </row>
    <row r="1655" s="25" customFormat="1" spans="1:16">
      <c r="A1655" s="29" t="s">
        <v>2951</v>
      </c>
      <c r="B1655" s="29" t="s">
        <v>2935</v>
      </c>
      <c r="C1655" s="29" t="s">
        <v>59</v>
      </c>
      <c r="D1655" s="29" t="s">
        <v>2875</v>
      </c>
      <c r="E1655" s="29" t="s">
        <v>35</v>
      </c>
      <c r="F1655" s="29" t="s">
        <v>35</v>
      </c>
      <c r="G1655" s="29" t="s">
        <v>111</v>
      </c>
      <c r="H1655" s="29" t="s">
        <v>112</v>
      </c>
      <c r="I1655" s="29" t="s">
        <v>39</v>
      </c>
      <c r="J1655" s="29" t="s">
        <v>133</v>
      </c>
      <c r="K1655" s="29" t="s">
        <v>2954</v>
      </c>
      <c r="L1655" s="29" t="s">
        <v>2955</v>
      </c>
      <c r="M1655" s="29" t="s">
        <v>114</v>
      </c>
      <c r="N1655" s="29" t="s">
        <v>2940</v>
      </c>
      <c r="O1655" s="29" t="s">
        <v>59</v>
      </c>
      <c r="P1655" s="30" t="s">
        <v>2956</v>
      </c>
    </row>
    <row r="1656" s="25" customFormat="1" spans="1:16">
      <c r="A1656" s="29" t="s">
        <v>2954</v>
      </c>
      <c r="B1656" s="29" t="s">
        <v>2935</v>
      </c>
      <c r="C1656" s="29" t="s">
        <v>59</v>
      </c>
      <c r="D1656" s="29" t="s">
        <v>2875</v>
      </c>
      <c r="E1656" s="29" t="s">
        <v>35</v>
      </c>
      <c r="F1656" s="29" t="s">
        <v>35</v>
      </c>
      <c r="G1656" s="29" t="s">
        <v>111</v>
      </c>
      <c r="H1656" s="29" t="s">
        <v>112</v>
      </c>
      <c r="I1656" s="29" t="s">
        <v>39</v>
      </c>
      <c r="J1656" s="29" t="s">
        <v>137</v>
      </c>
      <c r="K1656" s="29" t="s">
        <v>2957</v>
      </c>
      <c r="L1656" s="29" t="s">
        <v>2958</v>
      </c>
      <c r="M1656" s="29" t="s">
        <v>114</v>
      </c>
      <c r="N1656" s="29" t="s">
        <v>2940</v>
      </c>
      <c r="O1656" s="29" t="s">
        <v>59</v>
      </c>
      <c r="P1656" s="30" t="s">
        <v>2959</v>
      </c>
    </row>
    <row r="1657" s="25" customFormat="1" spans="1:16">
      <c r="A1657" s="29" t="s">
        <v>2957</v>
      </c>
      <c r="B1657" s="29" t="s">
        <v>2935</v>
      </c>
      <c r="C1657" s="29" t="s">
        <v>59</v>
      </c>
      <c r="D1657" s="29" t="s">
        <v>2875</v>
      </c>
      <c r="E1657" s="29" t="s">
        <v>35</v>
      </c>
      <c r="F1657" s="29" t="s">
        <v>35</v>
      </c>
      <c r="G1657" s="29" t="s">
        <v>111</v>
      </c>
      <c r="H1657" s="29" t="s">
        <v>112</v>
      </c>
      <c r="I1657" s="29" t="s">
        <v>39</v>
      </c>
      <c r="J1657" s="29" t="s">
        <v>141</v>
      </c>
      <c r="K1657" s="29" t="s">
        <v>2960</v>
      </c>
      <c r="L1657" s="29" t="s">
        <v>2961</v>
      </c>
      <c r="M1657" s="29" t="s">
        <v>114</v>
      </c>
      <c r="N1657" s="29" t="s">
        <v>2940</v>
      </c>
      <c r="O1657" s="29" t="s">
        <v>59</v>
      </c>
      <c r="P1657" s="30" t="s">
        <v>2962</v>
      </c>
    </row>
    <row r="1658" s="25" customFormat="1" spans="1:16">
      <c r="A1658" s="29" t="s">
        <v>2960</v>
      </c>
      <c r="B1658" s="29" t="s">
        <v>2935</v>
      </c>
      <c r="C1658" s="29" t="s">
        <v>59</v>
      </c>
      <c r="D1658" s="29" t="s">
        <v>2875</v>
      </c>
      <c r="E1658" s="29" t="s">
        <v>35</v>
      </c>
      <c r="F1658" s="29" t="s">
        <v>35</v>
      </c>
      <c r="G1658" s="29" t="s">
        <v>111</v>
      </c>
      <c r="H1658" s="29" t="s">
        <v>112</v>
      </c>
      <c r="I1658" s="29" t="s">
        <v>39</v>
      </c>
      <c r="J1658" s="29" t="s">
        <v>145</v>
      </c>
      <c r="K1658" s="29" t="s">
        <v>39</v>
      </c>
      <c r="L1658" s="29" t="s">
        <v>39</v>
      </c>
      <c r="M1658" s="29" t="s">
        <v>39</v>
      </c>
      <c r="N1658" s="29" t="s">
        <v>2940</v>
      </c>
      <c r="O1658" s="29" t="s">
        <v>59</v>
      </c>
      <c r="P1658" s="30" t="s">
        <v>2963</v>
      </c>
    </row>
    <row r="1659" s="25" customFormat="1" spans="1:16">
      <c r="A1659" s="29" t="s">
        <v>2964</v>
      </c>
      <c r="B1659" s="29" t="s">
        <v>2964</v>
      </c>
      <c r="C1659" s="29" t="s">
        <v>59</v>
      </c>
      <c r="D1659" s="29" t="s">
        <v>2875</v>
      </c>
      <c r="E1659" s="29" t="s">
        <v>35</v>
      </c>
      <c r="F1659" s="29" t="s">
        <v>35</v>
      </c>
      <c r="G1659" s="29" t="s">
        <v>148</v>
      </c>
      <c r="H1659" s="29" t="s">
        <v>149</v>
      </c>
      <c r="I1659" s="29" t="s">
        <v>39</v>
      </c>
      <c r="J1659" s="29" t="s">
        <v>39</v>
      </c>
      <c r="K1659" s="29" t="s">
        <v>2965</v>
      </c>
      <c r="L1659" s="29" t="s">
        <v>2876</v>
      </c>
      <c r="M1659" s="29" t="s">
        <v>151</v>
      </c>
      <c r="N1659" s="29" t="s">
        <v>2966</v>
      </c>
      <c r="O1659" s="29" t="s">
        <v>129</v>
      </c>
      <c r="P1659" s="30" t="s">
        <v>2967</v>
      </c>
    </row>
    <row r="1660" s="25" customFormat="1" spans="1:16">
      <c r="A1660" s="29" t="s">
        <v>2965</v>
      </c>
      <c r="B1660" s="29" t="s">
        <v>2964</v>
      </c>
      <c r="C1660" s="29" t="s">
        <v>59</v>
      </c>
      <c r="D1660" s="29" t="s">
        <v>2875</v>
      </c>
      <c r="E1660" s="29" t="s">
        <v>35</v>
      </c>
      <c r="F1660" s="29" t="s">
        <v>35</v>
      </c>
      <c r="G1660" s="29" t="s">
        <v>148</v>
      </c>
      <c r="H1660" s="29" t="s">
        <v>149</v>
      </c>
      <c r="I1660" s="29" t="s">
        <v>39</v>
      </c>
      <c r="J1660" s="29" t="s">
        <v>35</v>
      </c>
      <c r="K1660" s="29" t="s">
        <v>2968</v>
      </c>
      <c r="L1660" s="29" t="s">
        <v>2880</v>
      </c>
      <c r="M1660" s="29" t="s">
        <v>151</v>
      </c>
      <c r="N1660" s="29" t="s">
        <v>2969</v>
      </c>
      <c r="O1660" s="29" t="s">
        <v>129</v>
      </c>
      <c r="P1660" s="30" t="s">
        <v>2970</v>
      </c>
    </row>
    <row r="1661" s="25" customFormat="1" spans="1:16">
      <c r="A1661" s="29" t="s">
        <v>2968</v>
      </c>
      <c r="B1661" s="29" t="s">
        <v>2964</v>
      </c>
      <c r="C1661" s="29" t="s">
        <v>59</v>
      </c>
      <c r="D1661" s="29" t="s">
        <v>2875</v>
      </c>
      <c r="E1661" s="29" t="s">
        <v>35</v>
      </c>
      <c r="F1661" s="29" t="s">
        <v>35</v>
      </c>
      <c r="G1661" s="29" t="s">
        <v>148</v>
      </c>
      <c r="H1661" s="29" t="s">
        <v>149</v>
      </c>
      <c r="I1661" s="29" t="s">
        <v>39</v>
      </c>
      <c r="J1661" s="29" t="s">
        <v>47</v>
      </c>
      <c r="K1661" s="29" t="s">
        <v>2971</v>
      </c>
      <c r="L1661" s="29" t="s">
        <v>2884</v>
      </c>
      <c r="M1661" s="29" t="s">
        <v>151</v>
      </c>
      <c r="N1661" s="29" t="s">
        <v>2969</v>
      </c>
      <c r="O1661" s="29" t="s">
        <v>129</v>
      </c>
      <c r="P1661" s="30" t="s">
        <v>2972</v>
      </c>
    </row>
    <row r="1662" s="25" customFormat="1" spans="1:16">
      <c r="A1662" s="29" t="s">
        <v>2971</v>
      </c>
      <c r="B1662" s="29" t="s">
        <v>2964</v>
      </c>
      <c r="C1662" s="29" t="s">
        <v>59</v>
      </c>
      <c r="D1662" s="29" t="s">
        <v>2875</v>
      </c>
      <c r="E1662" s="29" t="s">
        <v>35</v>
      </c>
      <c r="F1662" s="29" t="s">
        <v>35</v>
      </c>
      <c r="G1662" s="29" t="s">
        <v>148</v>
      </c>
      <c r="H1662" s="29" t="s">
        <v>149</v>
      </c>
      <c r="I1662" s="29" t="s">
        <v>39</v>
      </c>
      <c r="J1662" s="29" t="s">
        <v>51</v>
      </c>
      <c r="K1662" s="29" t="s">
        <v>2973</v>
      </c>
      <c r="L1662" s="29" t="s">
        <v>2887</v>
      </c>
      <c r="M1662" s="29" t="s">
        <v>151</v>
      </c>
      <c r="N1662" s="29" t="s">
        <v>2969</v>
      </c>
      <c r="O1662" s="29" t="s">
        <v>129</v>
      </c>
      <c r="P1662" s="30" t="s">
        <v>2974</v>
      </c>
    </row>
    <row r="1663" s="25" customFormat="1" spans="1:16">
      <c r="A1663" s="29" t="s">
        <v>2973</v>
      </c>
      <c r="B1663" s="29" t="s">
        <v>2964</v>
      </c>
      <c r="C1663" s="29" t="s">
        <v>59</v>
      </c>
      <c r="D1663" s="29" t="s">
        <v>2875</v>
      </c>
      <c r="E1663" s="29" t="s">
        <v>35</v>
      </c>
      <c r="F1663" s="29" t="s">
        <v>35</v>
      </c>
      <c r="G1663" s="29" t="s">
        <v>148</v>
      </c>
      <c r="H1663" s="29" t="s">
        <v>149</v>
      </c>
      <c r="I1663" s="29" t="s">
        <v>39</v>
      </c>
      <c r="J1663" s="29" t="s">
        <v>55</v>
      </c>
      <c r="K1663" s="29" t="s">
        <v>2975</v>
      </c>
      <c r="L1663" s="29" t="s">
        <v>2890</v>
      </c>
      <c r="M1663" s="29" t="s">
        <v>151</v>
      </c>
      <c r="N1663" s="29" t="s">
        <v>2969</v>
      </c>
      <c r="O1663" s="29" t="s">
        <v>129</v>
      </c>
      <c r="P1663" s="30" t="s">
        <v>2976</v>
      </c>
    </row>
    <row r="1664" s="25" customFormat="1" spans="1:16">
      <c r="A1664" s="29" t="s">
        <v>2975</v>
      </c>
      <c r="B1664" s="29" t="s">
        <v>2964</v>
      </c>
      <c r="C1664" s="29" t="s">
        <v>59</v>
      </c>
      <c r="D1664" s="29" t="s">
        <v>2875</v>
      </c>
      <c r="E1664" s="29" t="s">
        <v>35</v>
      </c>
      <c r="F1664" s="29" t="s">
        <v>35</v>
      </c>
      <c r="G1664" s="29" t="s">
        <v>148</v>
      </c>
      <c r="H1664" s="29" t="s">
        <v>149</v>
      </c>
      <c r="I1664" s="29" t="s">
        <v>39</v>
      </c>
      <c r="J1664" s="29" t="s">
        <v>59</v>
      </c>
      <c r="K1664" s="29" t="s">
        <v>2977</v>
      </c>
      <c r="L1664" s="29" t="s">
        <v>2949</v>
      </c>
      <c r="M1664" s="29" t="s">
        <v>151</v>
      </c>
      <c r="N1664" s="29" t="s">
        <v>2969</v>
      </c>
      <c r="O1664" s="29" t="s">
        <v>129</v>
      </c>
      <c r="P1664" s="30" t="s">
        <v>2978</v>
      </c>
    </row>
    <row r="1665" s="25" customFormat="1" spans="1:16">
      <c r="A1665" s="29" t="s">
        <v>2977</v>
      </c>
      <c r="B1665" s="29" t="s">
        <v>2964</v>
      </c>
      <c r="C1665" s="29" t="s">
        <v>59</v>
      </c>
      <c r="D1665" s="29" t="s">
        <v>2875</v>
      </c>
      <c r="E1665" s="29" t="s">
        <v>35</v>
      </c>
      <c r="F1665" s="29" t="s">
        <v>35</v>
      </c>
      <c r="G1665" s="29" t="s">
        <v>148</v>
      </c>
      <c r="H1665" s="29" t="s">
        <v>149</v>
      </c>
      <c r="I1665" s="29" t="s">
        <v>39</v>
      </c>
      <c r="J1665" s="29" t="s">
        <v>129</v>
      </c>
      <c r="K1665" s="29" t="s">
        <v>2979</v>
      </c>
      <c r="L1665" s="29" t="s">
        <v>2952</v>
      </c>
      <c r="M1665" s="29" t="s">
        <v>151</v>
      </c>
      <c r="N1665" s="29" t="s">
        <v>2969</v>
      </c>
      <c r="O1665" s="29" t="s">
        <v>129</v>
      </c>
      <c r="P1665" s="30" t="s">
        <v>2980</v>
      </c>
    </row>
    <row r="1666" s="25" customFormat="1" spans="1:16">
      <c r="A1666" s="29" t="s">
        <v>2979</v>
      </c>
      <c r="B1666" s="29" t="s">
        <v>2964</v>
      </c>
      <c r="C1666" s="29" t="s">
        <v>59</v>
      </c>
      <c r="D1666" s="29" t="s">
        <v>2875</v>
      </c>
      <c r="E1666" s="29" t="s">
        <v>35</v>
      </c>
      <c r="F1666" s="29" t="s">
        <v>35</v>
      </c>
      <c r="G1666" s="29" t="s">
        <v>148</v>
      </c>
      <c r="H1666" s="29" t="s">
        <v>149</v>
      </c>
      <c r="I1666" s="29" t="s">
        <v>39</v>
      </c>
      <c r="J1666" s="29" t="s">
        <v>133</v>
      </c>
      <c r="K1666" s="29" t="s">
        <v>2981</v>
      </c>
      <c r="L1666" s="29" t="s">
        <v>2955</v>
      </c>
      <c r="M1666" s="29" t="s">
        <v>151</v>
      </c>
      <c r="N1666" s="29" t="s">
        <v>2969</v>
      </c>
      <c r="O1666" s="29" t="s">
        <v>129</v>
      </c>
      <c r="P1666" s="30" t="s">
        <v>2982</v>
      </c>
    </row>
    <row r="1667" s="25" customFormat="1" spans="1:16">
      <c r="A1667" s="29" t="s">
        <v>2981</v>
      </c>
      <c r="B1667" s="29" t="s">
        <v>2964</v>
      </c>
      <c r="C1667" s="29" t="s">
        <v>59</v>
      </c>
      <c r="D1667" s="29" t="s">
        <v>2875</v>
      </c>
      <c r="E1667" s="29" t="s">
        <v>35</v>
      </c>
      <c r="F1667" s="29" t="s">
        <v>35</v>
      </c>
      <c r="G1667" s="29" t="s">
        <v>148</v>
      </c>
      <c r="H1667" s="29" t="s">
        <v>149</v>
      </c>
      <c r="I1667" s="29" t="s">
        <v>39</v>
      </c>
      <c r="J1667" s="29" t="s">
        <v>137</v>
      </c>
      <c r="K1667" s="29" t="s">
        <v>2983</v>
      </c>
      <c r="L1667" s="29" t="s">
        <v>2958</v>
      </c>
      <c r="M1667" s="29" t="s">
        <v>151</v>
      </c>
      <c r="N1667" s="29" t="s">
        <v>2969</v>
      </c>
      <c r="O1667" s="29" t="s">
        <v>129</v>
      </c>
      <c r="P1667" s="30" t="s">
        <v>2984</v>
      </c>
    </row>
    <row r="1668" s="25" customFormat="1" spans="1:16">
      <c r="A1668" s="29" t="s">
        <v>2983</v>
      </c>
      <c r="B1668" s="29" t="s">
        <v>2964</v>
      </c>
      <c r="C1668" s="29" t="s">
        <v>59</v>
      </c>
      <c r="D1668" s="29" t="s">
        <v>2875</v>
      </c>
      <c r="E1668" s="29" t="s">
        <v>35</v>
      </c>
      <c r="F1668" s="29" t="s">
        <v>35</v>
      </c>
      <c r="G1668" s="29" t="s">
        <v>148</v>
      </c>
      <c r="H1668" s="29" t="s">
        <v>149</v>
      </c>
      <c r="I1668" s="29" t="s">
        <v>39</v>
      </c>
      <c r="J1668" s="29" t="s">
        <v>141</v>
      </c>
      <c r="K1668" s="29" t="s">
        <v>2985</v>
      </c>
      <c r="L1668" s="29" t="s">
        <v>2961</v>
      </c>
      <c r="M1668" s="29" t="s">
        <v>151</v>
      </c>
      <c r="N1668" s="29" t="s">
        <v>2969</v>
      </c>
      <c r="O1668" s="29" t="s">
        <v>129</v>
      </c>
      <c r="P1668" s="30" t="s">
        <v>2986</v>
      </c>
    </row>
    <row r="1669" s="25" customFormat="1" spans="1:16">
      <c r="A1669" s="29" t="s">
        <v>2985</v>
      </c>
      <c r="B1669" s="29" t="s">
        <v>2964</v>
      </c>
      <c r="C1669" s="29" t="s">
        <v>59</v>
      </c>
      <c r="D1669" s="29" t="s">
        <v>2875</v>
      </c>
      <c r="E1669" s="29" t="s">
        <v>35</v>
      </c>
      <c r="F1669" s="29" t="s">
        <v>35</v>
      </c>
      <c r="G1669" s="29" t="s">
        <v>148</v>
      </c>
      <c r="H1669" s="29" t="s">
        <v>149</v>
      </c>
      <c r="I1669" s="29" t="s">
        <v>39</v>
      </c>
      <c r="J1669" s="29" t="s">
        <v>145</v>
      </c>
      <c r="K1669" s="29" t="s">
        <v>39</v>
      </c>
      <c r="L1669" s="29" t="s">
        <v>39</v>
      </c>
      <c r="M1669" s="29" t="s">
        <v>39</v>
      </c>
      <c r="N1669" s="29" t="s">
        <v>2969</v>
      </c>
      <c r="O1669" s="29" t="s">
        <v>129</v>
      </c>
      <c r="P1669" s="30" t="s">
        <v>2987</v>
      </c>
    </row>
    <row r="1670" s="25" customFormat="1" spans="1:16">
      <c r="A1670" s="29" t="s">
        <v>2988</v>
      </c>
      <c r="B1670" s="29" t="s">
        <v>2988</v>
      </c>
      <c r="C1670" s="29" t="s">
        <v>59</v>
      </c>
      <c r="D1670" s="29" t="s">
        <v>2875</v>
      </c>
      <c r="E1670" s="29" t="s">
        <v>35</v>
      </c>
      <c r="F1670" s="29" t="s">
        <v>35</v>
      </c>
      <c r="G1670" s="29" t="s">
        <v>175</v>
      </c>
      <c r="H1670" s="29" t="s">
        <v>176</v>
      </c>
      <c r="I1670" s="29" t="s">
        <v>39</v>
      </c>
      <c r="J1670" s="29" t="s">
        <v>39</v>
      </c>
      <c r="K1670" s="29" t="s">
        <v>2989</v>
      </c>
      <c r="L1670" s="29" t="s">
        <v>2876</v>
      </c>
      <c r="M1670" s="29" t="s">
        <v>178</v>
      </c>
      <c r="N1670" s="29" t="s">
        <v>2990</v>
      </c>
      <c r="O1670" s="29" t="s">
        <v>133</v>
      </c>
      <c r="P1670" s="30" t="s">
        <v>2991</v>
      </c>
    </row>
    <row r="1671" s="25" customFormat="1" spans="1:16">
      <c r="A1671" s="29" t="s">
        <v>2989</v>
      </c>
      <c r="B1671" s="29" t="s">
        <v>2988</v>
      </c>
      <c r="C1671" s="29" t="s">
        <v>59</v>
      </c>
      <c r="D1671" s="29" t="s">
        <v>2875</v>
      </c>
      <c r="E1671" s="29" t="s">
        <v>35</v>
      </c>
      <c r="F1671" s="29" t="s">
        <v>35</v>
      </c>
      <c r="G1671" s="29" t="s">
        <v>175</v>
      </c>
      <c r="H1671" s="29" t="s">
        <v>176</v>
      </c>
      <c r="I1671" s="29" t="s">
        <v>39</v>
      </c>
      <c r="J1671" s="29" t="s">
        <v>35</v>
      </c>
      <c r="K1671" s="29" t="s">
        <v>2992</v>
      </c>
      <c r="L1671" s="29" t="s">
        <v>2880</v>
      </c>
      <c r="M1671" s="29" t="s">
        <v>178</v>
      </c>
      <c r="N1671" s="29" t="s">
        <v>2993</v>
      </c>
      <c r="O1671" s="29" t="s">
        <v>133</v>
      </c>
      <c r="P1671" s="30" t="s">
        <v>2994</v>
      </c>
    </row>
    <row r="1672" s="25" customFormat="1" spans="1:16">
      <c r="A1672" s="29" t="s">
        <v>2992</v>
      </c>
      <c r="B1672" s="29" t="s">
        <v>2988</v>
      </c>
      <c r="C1672" s="29" t="s">
        <v>59</v>
      </c>
      <c r="D1672" s="29" t="s">
        <v>2875</v>
      </c>
      <c r="E1672" s="29" t="s">
        <v>35</v>
      </c>
      <c r="F1672" s="29" t="s">
        <v>35</v>
      </c>
      <c r="G1672" s="29" t="s">
        <v>175</v>
      </c>
      <c r="H1672" s="29" t="s">
        <v>176</v>
      </c>
      <c r="I1672" s="29" t="s">
        <v>39</v>
      </c>
      <c r="J1672" s="29" t="s">
        <v>47</v>
      </c>
      <c r="K1672" s="29" t="s">
        <v>2995</v>
      </c>
      <c r="L1672" s="29" t="s">
        <v>2884</v>
      </c>
      <c r="M1672" s="29" t="s">
        <v>178</v>
      </c>
      <c r="N1672" s="29" t="s">
        <v>2993</v>
      </c>
      <c r="O1672" s="29" t="s">
        <v>133</v>
      </c>
      <c r="P1672" s="30" t="s">
        <v>2996</v>
      </c>
    </row>
    <row r="1673" s="25" customFormat="1" spans="1:16">
      <c r="A1673" s="29" t="s">
        <v>2995</v>
      </c>
      <c r="B1673" s="29" t="s">
        <v>2988</v>
      </c>
      <c r="C1673" s="29" t="s">
        <v>59</v>
      </c>
      <c r="D1673" s="29" t="s">
        <v>2875</v>
      </c>
      <c r="E1673" s="29" t="s">
        <v>35</v>
      </c>
      <c r="F1673" s="29" t="s">
        <v>35</v>
      </c>
      <c r="G1673" s="29" t="s">
        <v>175</v>
      </c>
      <c r="H1673" s="29" t="s">
        <v>176</v>
      </c>
      <c r="I1673" s="29" t="s">
        <v>39</v>
      </c>
      <c r="J1673" s="29" t="s">
        <v>51</v>
      </c>
      <c r="K1673" s="29" t="s">
        <v>2997</v>
      </c>
      <c r="L1673" s="29" t="s">
        <v>2887</v>
      </c>
      <c r="M1673" s="29" t="s">
        <v>178</v>
      </c>
      <c r="N1673" s="29" t="s">
        <v>2993</v>
      </c>
      <c r="O1673" s="29" t="s">
        <v>133</v>
      </c>
      <c r="P1673" s="30" t="s">
        <v>2998</v>
      </c>
    </row>
    <row r="1674" s="25" customFormat="1" spans="1:16">
      <c r="A1674" s="29" t="s">
        <v>2997</v>
      </c>
      <c r="B1674" s="29" t="s">
        <v>2988</v>
      </c>
      <c r="C1674" s="29" t="s">
        <v>59</v>
      </c>
      <c r="D1674" s="29" t="s">
        <v>2875</v>
      </c>
      <c r="E1674" s="29" t="s">
        <v>35</v>
      </c>
      <c r="F1674" s="29" t="s">
        <v>35</v>
      </c>
      <c r="G1674" s="29" t="s">
        <v>175</v>
      </c>
      <c r="H1674" s="29" t="s">
        <v>176</v>
      </c>
      <c r="I1674" s="29" t="s">
        <v>39</v>
      </c>
      <c r="J1674" s="29" t="s">
        <v>55</v>
      </c>
      <c r="K1674" s="29" t="s">
        <v>2999</v>
      </c>
      <c r="L1674" s="29" t="s">
        <v>2890</v>
      </c>
      <c r="M1674" s="29" t="s">
        <v>178</v>
      </c>
      <c r="N1674" s="29" t="s">
        <v>2993</v>
      </c>
      <c r="O1674" s="29" t="s">
        <v>133</v>
      </c>
      <c r="P1674" s="30" t="s">
        <v>3000</v>
      </c>
    </row>
    <row r="1675" s="25" customFormat="1" spans="1:16">
      <c r="A1675" s="29" t="s">
        <v>2999</v>
      </c>
      <c r="B1675" s="29" t="s">
        <v>2988</v>
      </c>
      <c r="C1675" s="29" t="s">
        <v>59</v>
      </c>
      <c r="D1675" s="29" t="s">
        <v>2875</v>
      </c>
      <c r="E1675" s="29" t="s">
        <v>35</v>
      </c>
      <c r="F1675" s="29" t="s">
        <v>35</v>
      </c>
      <c r="G1675" s="29" t="s">
        <v>175</v>
      </c>
      <c r="H1675" s="29" t="s">
        <v>176</v>
      </c>
      <c r="I1675" s="29" t="s">
        <v>39</v>
      </c>
      <c r="J1675" s="29" t="s">
        <v>59</v>
      </c>
      <c r="K1675" s="29" t="s">
        <v>3001</v>
      </c>
      <c r="L1675" s="29" t="s">
        <v>2949</v>
      </c>
      <c r="M1675" s="29" t="s">
        <v>178</v>
      </c>
      <c r="N1675" s="29" t="s">
        <v>2993</v>
      </c>
      <c r="O1675" s="29" t="s">
        <v>133</v>
      </c>
      <c r="P1675" s="30" t="s">
        <v>3002</v>
      </c>
    </row>
    <row r="1676" s="25" customFormat="1" spans="1:16">
      <c r="A1676" s="29" t="s">
        <v>3001</v>
      </c>
      <c r="B1676" s="29" t="s">
        <v>2988</v>
      </c>
      <c r="C1676" s="29" t="s">
        <v>59</v>
      </c>
      <c r="D1676" s="29" t="s">
        <v>2875</v>
      </c>
      <c r="E1676" s="29" t="s">
        <v>35</v>
      </c>
      <c r="F1676" s="29" t="s">
        <v>35</v>
      </c>
      <c r="G1676" s="29" t="s">
        <v>175</v>
      </c>
      <c r="H1676" s="29" t="s">
        <v>176</v>
      </c>
      <c r="I1676" s="29" t="s">
        <v>39</v>
      </c>
      <c r="J1676" s="29" t="s">
        <v>129</v>
      </c>
      <c r="K1676" s="29" t="s">
        <v>3003</v>
      </c>
      <c r="L1676" s="29" t="s">
        <v>2952</v>
      </c>
      <c r="M1676" s="29" t="s">
        <v>178</v>
      </c>
      <c r="N1676" s="29" t="s">
        <v>2993</v>
      </c>
      <c r="O1676" s="29" t="s">
        <v>133</v>
      </c>
      <c r="P1676" s="30" t="s">
        <v>3004</v>
      </c>
    </row>
    <row r="1677" s="25" customFormat="1" spans="1:16">
      <c r="A1677" s="29" t="s">
        <v>3003</v>
      </c>
      <c r="B1677" s="29" t="s">
        <v>2988</v>
      </c>
      <c r="C1677" s="29" t="s">
        <v>59</v>
      </c>
      <c r="D1677" s="29" t="s">
        <v>2875</v>
      </c>
      <c r="E1677" s="29" t="s">
        <v>35</v>
      </c>
      <c r="F1677" s="29" t="s">
        <v>35</v>
      </c>
      <c r="G1677" s="29" t="s">
        <v>175</v>
      </c>
      <c r="H1677" s="29" t="s">
        <v>176</v>
      </c>
      <c r="I1677" s="29" t="s">
        <v>39</v>
      </c>
      <c r="J1677" s="29" t="s">
        <v>133</v>
      </c>
      <c r="K1677" s="29" t="s">
        <v>3005</v>
      </c>
      <c r="L1677" s="29" t="s">
        <v>2955</v>
      </c>
      <c r="M1677" s="29" t="s">
        <v>178</v>
      </c>
      <c r="N1677" s="29" t="s">
        <v>2993</v>
      </c>
      <c r="O1677" s="29" t="s">
        <v>133</v>
      </c>
      <c r="P1677" s="30" t="s">
        <v>3006</v>
      </c>
    </row>
    <row r="1678" s="25" customFormat="1" spans="1:16">
      <c r="A1678" s="29" t="s">
        <v>3005</v>
      </c>
      <c r="B1678" s="29" t="s">
        <v>2988</v>
      </c>
      <c r="C1678" s="29" t="s">
        <v>59</v>
      </c>
      <c r="D1678" s="29" t="s">
        <v>2875</v>
      </c>
      <c r="E1678" s="29" t="s">
        <v>35</v>
      </c>
      <c r="F1678" s="29" t="s">
        <v>35</v>
      </c>
      <c r="G1678" s="29" t="s">
        <v>175</v>
      </c>
      <c r="H1678" s="29" t="s">
        <v>176</v>
      </c>
      <c r="I1678" s="29" t="s">
        <v>39</v>
      </c>
      <c r="J1678" s="29" t="s">
        <v>137</v>
      </c>
      <c r="K1678" s="29" t="s">
        <v>3007</v>
      </c>
      <c r="L1678" s="29" t="s">
        <v>2958</v>
      </c>
      <c r="M1678" s="29" t="s">
        <v>178</v>
      </c>
      <c r="N1678" s="29" t="s">
        <v>2993</v>
      </c>
      <c r="O1678" s="29" t="s">
        <v>133</v>
      </c>
      <c r="P1678" s="30" t="s">
        <v>3008</v>
      </c>
    </row>
    <row r="1679" s="25" customFormat="1" spans="1:16">
      <c r="A1679" s="29" t="s">
        <v>3007</v>
      </c>
      <c r="B1679" s="29" t="s">
        <v>2988</v>
      </c>
      <c r="C1679" s="29" t="s">
        <v>59</v>
      </c>
      <c r="D1679" s="29" t="s">
        <v>2875</v>
      </c>
      <c r="E1679" s="29" t="s">
        <v>35</v>
      </c>
      <c r="F1679" s="29" t="s">
        <v>35</v>
      </c>
      <c r="G1679" s="29" t="s">
        <v>175</v>
      </c>
      <c r="H1679" s="29" t="s">
        <v>176</v>
      </c>
      <c r="I1679" s="29" t="s">
        <v>39</v>
      </c>
      <c r="J1679" s="29" t="s">
        <v>141</v>
      </c>
      <c r="K1679" s="29" t="s">
        <v>3009</v>
      </c>
      <c r="L1679" s="29" t="s">
        <v>2961</v>
      </c>
      <c r="M1679" s="29" t="s">
        <v>178</v>
      </c>
      <c r="N1679" s="29" t="s">
        <v>2993</v>
      </c>
      <c r="O1679" s="29" t="s">
        <v>133</v>
      </c>
      <c r="P1679" s="30" t="s">
        <v>3010</v>
      </c>
    </row>
    <row r="1680" s="25" customFormat="1" spans="1:16">
      <c r="A1680" s="29" t="s">
        <v>3009</v>
      </c>
      <c r="B1680" s="29" t="s">
        <v>2988</v>
      </c>
      <c r="C1680" s="29" t="s">
        <v>59</v>
      </c>
      <c r="D1680" s="29" t="s">
        <v>2875</v>
      </c>
      <c r="E1680" s="29" t="s">
        <v>35</v>
      </c>
      <c r="F1680" s="29" t="s">
        <v>35</v>
      </c>
      <c r="G1680" s="29" t="s">
        <v>175</v>
      </c>
      <c r="H1680" s="29" t="s">
        <v>176</v>
      </c>
      <c r="I1680" s="29" t="s">
        <v>39</v>
      </c>
      <c r="J1680" s="29" t="s">
        <v>145</v>
      </c>
      <c r="K1680" s="29" t="s">
        <v>39</v>
      </c>
      <c r="L1680" s="29" t="s">
        <v>39</v>
      </c>
      <c r="M1680" s="29" t="s">
        <v>39</v>
      </c>
      <c r="N1680" s="29" t="s">
        <v>2993</v>
      </c>
      <c r="O1680" s="29" t="s">
        <v>133</v>
      </c>
      <c r="P1680" s="30" t="s">
        <v>3011</v>
      </c>
    </row>
    <row r="1681" s="25" customFormat="1" spans="1:16">
      <c r="A1681" s="29" t="s">
        <v>3012</v>
      </c>
      <c r="B1681" s="29" t="s">
        <v>3012</v>
      </c>
      <c r="C1681" s="29" t="s">
        <v>59</v>
      </c>
      <c r="D1681" s="29" t="s">
        <v>2875</v>
      </c>
      <c r="E1681" s="29" t="s">
        <v>47</v>
      </c>
      <c r="F1681" s="29" t="s">
        <v>35</v>
      </c>
      <c r="G1681" s="29" t="s">
        <v>3013</v>
      </c>
      <c r="H1681" s="29" t="s">
        <v>3014</v>
      </c>
      <c r="I1681" s="29" t="s">
        <v>204</v>
      </c>
      <c r="J1681" s="29" t="s">
        <v>39</v>
      </c>
      <c r="K1681" s="29" t="s">
        <v>3015</v>
      </c>
      <c r="L1681" s="29" t="s">
        <v>3016</v>
      </c>
      <c r="M1681" s="29" t="s">
        <v>207</v>
      </c>
      <c r="N1681" s="29" t="s">
        <v>3017</v>
      </c>
      <c r="O1681" s="29" t="s">
        <v>137</v>
      </c>
      <c r="P1681" s="30" t="s">
        <v>3018</v>
      </c>
    </row>
    <row r="1682" s="25" customFormat="1" spans="1:16">
      <c r="A1682" s="29" t="s">
        <v>3015</v>
      </c>
      <c r="B1682" s="29" t="s">
        <v>3012</v>
      </c>
      <c r="C1682" s="29" t="s">
        <v>59</v>
      </c>
      <c r="D1682" s="29" t="s">
        <v>2875</v>
      </c>
      <c r="E1682" s="29" t="s">
        <v>47</v>
      </c>
      <c r="F1682" s="29" t="s">
        <v>35</v>
      </c>
      <c r="G1682" s="29" t="s">
        <v>3013</v>
      </c>
      <c r="H1682" s="29" t="s">
        <v>3014</v>
      </c>
      <c r="I1682" s="29" t="s">
        <v>204</v>
      </c>
      <c r="J1682" s="29" t="s">
        <v>35</v>
      </c>
      <c r="K1682" s="29" t="s">
        <v>3019</v>
      </c>
      <c r="L1682" s="29" t="s">
        <v>3020</v>
      </c>
      <c r="M1682" s="29" t="s">
        <v>207</v>
      </c>
      <c r="N1682" s="29" t="s">
        <v>3021</v>
      </c>
      <c r="O1682" s="29" t="s">
        <v>137</v>
      </c>
      <c r="P1682" s="30" t="s">
        <v>3022</v>
      </c>
    </row>
    <row r="1683" s="25" customFormat="1" spans="1:16">
      <c r="A1683" s="29" t="s">
        <v>3019</v>
      </c>
      <c r="B1683" s="29" t="s">
        <v>3012</v>
      </c>
      <c r="C1683" s="29" t="s">
        <v>59</v>
      </c>
      <c r="D1683" s="29" t="s">
        <v>2875</v>
      </c>
      <c r="E1683" s="29" t="s">
        <v>47</v>
      </c>
      <c r="F1683" s="29" t="s">
        <v>35</v>
      </c>
      <c r="G1683" s="29" t="s">
        <v>3013</v>
      </c>
      <c r="H1683" s="29" t="s">
        <v>3014</v>
      </c>
      <c r="I1683" s="29" t="s">
        <v>204</v>
      </c>
      <c r="J1683" s="29" t="s">
        <v>47</v>
      </c>
      <c r="K1683" s="29" t="s">
        <v>3023</v>
      </c>
      <c r="L1683" s="29" t="s">
        <v>3024</v>
      </c>
      <c r="M1683" s="29" t="s">
        <v>207</v>
      </c>
      <c r="N1683" s="29" t="s">
        <v>3021</v>
      </c>
      <c r="O1683" s="29" t="s">
        <v>137</v>
      </c>
      <c r="P1683" s="30" t="s">
        <v>3025</v>
      </c>
    </row>
    <row r="1684" s="25" customFormat="1" spans="1:16">
      <c r="A1684" s="29" t="s">
        <v>3023</v>
      </c>
      <c r="B1684" s="29" t="s">
        <v>3012</v>
      </c>
      <c r="C1684" s="29" t="s">
        <v>59</v>
      </c>
      <c r="D1684" s="29" t="s">
        <v>2875</v>
      </c>
      <c r="E1684" s="29" t="s">
        <v>47</v>
      </c>
      <c r="F1684" s="29" t="s">
        <v>35</v>
      </c>
      <c r="G1684" s="29" t="s">
        <v>3013</v>
      </c>
      <c r="H1684" s="29" t="s">
        <v>3014</v>
      </c>
      <c r="I1684" s="29" t="s">
        <v>204</v>
      </c>
      <c r="J1684" s="29" t="s">
        <v>51</v>
      </c>
      <c r="K1684" s="29" t="s">
        <v>3026</v>
      </c>
      <c r="L1684" s="29" t="s">
        <v>3027</v>
      </c>
      <c r="M1684" s="29" t="s">
        <v>207</v>
      </c>
      <c r="N1684" s="29" t="s">
        <v>3021</v>
      </c>
      <c r="O1684" s="29" t="s">
        <v>137</v>
      </c>
      <c r="P1684" s="30" t="s">
        <v>3028</v>
      </c>
    </row>
    <row r="1685" s="25" customFormat="1" spans="1:16">
      <c r="A1685" s="29" t="s">
        <v>3026</v>
      </c>
      <c r="B1685" s="29" t="s">
        <v>3012</v>
      </c>
      <c r="C1685" s="29" t="s">
        <v>59</v>
      </c>
      <c r="D1685" s="29" t="s">
        <v>2875</v>
      </c>
      <c r="E1685" s="29" t="s">
        <v>47</v>
      </c>
      <c r="F1685" s="29" t="s">
        <v>35</v>
      </c>
      <c r="G1685" s="29" t="s">
        <v>3013</v>
      </c>
      <c r="H1685" s="29" t="s">
        <v>3014</v>
      </c>
      <c r="I1685" s="29" t="s">
        <v>204</v>
      </c>
      <c r="J1685" s="29" t="s">
        <v>55</v>
      </c>
      <c r="K1685" s="29" t="s">
        <v>3029</v>
      </c>
      <c r="L1685" s="29" t="s">
        <v>3030</v>
      </c>
      <c r="M1685" s="29" t="s">
        <v>207</v>
      </c>
      <c r="N1685" s="29" t="s">
        <v>3021</v>
      </c>
      <c r="O1685" s="29" t="s">
        <v>137</v>
      </c>
      <c r="P1685" s="30" t="s">
        <v>3031</v>
      </c>
    </row>
    <row r="1686" s="25" customFormat="1" spans="1:16">
      <c r="A1686" s="29" t="s">
        <v>3029</v>
      </c>
      <c r="B1686" s="29" t="s">
        <v>3012</v>
      </c>
      <c r="C1686" s="29" t="s">
        <v>59</v>
      </c>
      <c r="D1686" s="29" t="s">
        <v>2875</v>
      </c>
      <c r="E1686" s="29" t="s">
        <v>47</v>
      </c>
      <c r="F1686" s="29" t="s">
        <v>35</v>
      </c>
      <c r="G1686" s="29" t="s">
        <v>3013</v>
      </c>
      <c r="H1686" s="29" t="s">
        <v>3014</v>
      </c>
      <c r="I1686" s="29" t="s">
        <v>204</v>
      </c>
      <c r="J1686" s="29" t="s">
        <v>59</v>
      </c>
      <c r="K1686" s="29" t="s">
        <v>3032</v>
      </c>
      <c r="L1686" s="29" t="s">
        <v>3033</v>
      </c>
      <c r="M1686" s="29" t="s">
        <v>207</v>
      </c>
      <c r="N1686" s="29" t="s">
        <v>3021</v>
      </c>
      <c r="O1686" s="29" t="s">
        <v>137</v>
      </c>
      <c r="P1686" s="30" t="s">
        <v>3034</v>
      </c>
    </row>
    <row r="1687" s="25" customFormat="1" spans="1:16">
      <c r="A1687" s="29" t="s">
        <v>3032</v>
      </c>
      <c r="B1687" s="29" t="s">
        <v>3012</v>
      </c>
      <c r="C1687" s="29" t="s">
        <v>59</v>
      </c>
      <c r="D1687" s="29" t="s">
        <v>2875</v>
      </c>
      <c r="E1687" s="29" t="s">
        <v>47</v>
      </c>
      <c r="F1687" s="29" t="s">
        <v>35</v>
      </c>
      <c r="G1687" s="29" t="s">
        <v>3013</v>
      </c>
      <c r="H1687" s="29" t="s">
        <v>3014</v>
      </c>
      <c r="I1687" s="29" t="s">
        <v>204</v>
      </c>
      <c r="J1687" s="29" t="s">
        <v>129</v>
      </c>
      <c r="K1687" s="29" t="s">
        <v>3035</v>
      </c>
      <c r="L1687" s="29" t="s">
        <v>3036</v>
      </c>
      <c r="M1687" s="29" t="s">
        <v>207</v>
      </c>
      <c r="N1687" s="29" t="s">
        <v>3021</v>
      </c>
      <c r="O1687" s="29" t="s">
        <v>137</v>
      </c>
      <c r="P1687" s="30" t="s">
        <v>3037</v>
      </c>
    </row>
    <row r="1688" s="25" customFormat="1" spans="1:16">
      <c r="A1688" s="29" t="s">
        <v>3035</v>
      </c>
      <c r="B1688" s="29" t="s">
        <v>3012</v>
      </c>
      <c r="C1688" s="29" t="s">
        <v>59</v>
      </c>
      <c r="D1688" s="29" t="s">
        <v>2875</v>
      </c>
      <c r="E1688" s="29" t="s">
        <v>47</v>
      </c>
      <c r="F1688" s="29" t="s">
        <v>35</v>
      </c>
      <c r="G1688" s="29" t="s">
        <v>3013</v>
      </c>
      <c r="H1688" s="29" t="s">
        <v>3014</v>
      </c>
      <c r="I1688" s="29" t="s">
        <v>204</v>
      </c>
      <c r="J1688" s="29" t="s">
        <v>133</v>
      </c>
      <c r="K1688" s="29" t="s">
        <v>3038</v>
      </c>
      <c r="L1688" s="29" t="s">
        <v>3039</v>
      </c>
      <c r="M1688" s="29" t="s">
        <v>207</v>
      </c>
      <c r="N1688" s="29" t="s">
        <v>3021</v>
      </c>
      <c r="O1688" s="29" t="s">
        <v>137</v>
      </c>
      <c r="P1688" s="30" t="s">
        <v>3040</v>
      </c>
    </row>
    <row r="1689" s="25" customFormat="1" spans="1:16">
      <c r="A1689" s="29" t="s">
        <v>3038</v>
      </c>
      <c r="B1689" s="29" t="s">
        <v>3012</v>
      </c>
      <c r="C1689" s="29" t="s">
        <v>59</v>
      </c>
      <c r="D1689" s="29" t="s">
        <v>2875</v>
      </c>
      <c r="E1689" s="29" t="s">
        <v>47</v>
      </c>
      <c r="F1689" s="29" t="s">
        <v>35</v>
      </c>
      <c r="G1689" s="29" t="s">
        <v>3013</v>
      </c>
      <c r="H1689" s="29" t="s">
        <v>3014</v>
      </c>
      <c r="I1689" s="29" t="s">
        <v>204</v>
      </c>
      <c r="J1689" s="29" t="s">
        <v>137</v>
      </c>
      <c r="K1689" s="29" t="s">
        <v>3041</v>
      </c>
      <c r="L1689" s="29" t="s">
        <v>3042</v>
      </c>
      <c r="M1689" s="29" t="s">
        <v>207</v>
      </c>
      <c r="N1689" s="29" t="s">
        <v>3021</v>
      </c>
      <c r="O1689" s="29" t="s">
        <v>137</v>
      </c>
      <c r="P1689" s="30" t="s">
        <v>3043</v>
      </c>
    </row>
    <row r="1690" s="25" customFormat="1" spans="1:16">
      <c r="A1690" s="29" t="s">
        <v>3041</v>
      </c>
      <c r="B1690" s="29" t="s">
        <v>3012</v>
      </c>
      <c r="C1690" s="29" t="s">
        <v>59</v>
      </c>
      <c r="D1690" s="29" t="s">
        <v>2875</v>
      </c>
      <c r="E1690" s="29" t="s">
        <v>47</v>
      </c>
      <c r="F1690" s="29" t="s">
        <v>35</v>
      </c>
      <c r="G1690" s="29" t="s">
        <v>3013</v>
      </c>
      <c r="H1690" s="29" t="s">
        <v>3014</v>
      </c>
      <c r="I1690" s="29" t="s">
        <v>204</v>
      </c>
      <c r="J1690" s="29" t="s">
        <v>141</v>
      </c>
      <c r="K1690" s="29" t="s">
        <v>3044</v>
      </c>
      <c r="L1690" s="29" t="s">
        <v>3045</v>
      </c>
      <c r="M1690" s="29" t="s">
        <v>207</v>
      </c>
      <c r="N1690" s="29" t="s">
        <v>3021</v>
      </c>
      <c r="O1690" s="29" t="s">
        <v>137</v>
      </c>
      <c r="P1690" s="30" t="s">
        <v>3046</v>
      </c>
    </row>
    <row r="1691" s="25" customFormat="1" spans="1:16">
      <c r="A1691" s="29" t="s">
        <v>3044</v>
      </c>
      <c r="B1691" s="29" t="s">
        <v>3012</v>
      </c>
      <c r="C1691" s="29" t="s">
        <v>59</v>
      </c>
      <c r="D1691" s="29" t="s">
        <v>2875</v>
      </c>
      <c r="E1691" s="29" t="s">
        <v>47</v>
      </c>
      <c r="F1691" s="29" t="s">
        <v>35</v>
      </c>
      <c r="G1691" s="29" t="s">
        <v>3013</v>
      </c>
      <c r="H1691" s="29" t="s">
        <v>3014</v>
      </c>
      <c r="I1691" s="29" t="s">
        <v>204</v>
      </c>
      <c r="J1691" s="29" t="s">
        <v>145</v>
      </c>
      <c r="K1691" s="29" t="s">
        <v>39</v>
      </c>
      <c r="L1691" s="29" t="s">
        <v>3047</v>
      </c>
      <c r="M1691" s="29" t="s">
        <v>207</v>
      </c>
      <c r="N1691" s="29" t="s">
        <v>3021</v>
      </c>
      <c r="O1691" s="29" t="s">
        <v>137</v>
      </c>
      <c r="P1691" s="30" t="s">
        <v>3048</v>
      </c>
    </row>
    <row r="1692" s="25" customFormat="1" spans="1:16">
      <c r="A1692" s="29" t="s">
        <v>3049</v>
      </c>
      <c r="B1692" s="29" t="s">
        <v>3049</v>
      </c>
      <c r="C1692" s="29" t="s">
        <v>59</v>
      </c>
      <c r="D1692" s="29" t="s">
        <v>2875</v>
      </c>
      <c r="E1692" s="29" t="s">
        <v>47</v>
      </c>
      <c r="F1692" s="29" t="s">
        <v>35</v>
      </c>
      <c r="G1692" s="29" t="s">
        <v>3050</v>
      </c>
      <c r="H1692" s="29" t="s">
        <v>3051</v>
      </c>
      <c r="I1692" s="29" t="s">
        <v>204</v>
      </c>
      <c r="J1692" s="29" t="s">
        <v>39</v>
      </c>
      <c r="K1692" s="29" t="s">
        <v>3052</v>
      </c>
      <c r="L1692" s="29" t="s">
        <v>3016</v>
      </c>
      <c r="M1692" s="29" t="s">
        <v>244</v>
      </c>
      <c r="N1692" s="29" t="s">
        <v>3053</v>
      </c>
      <c r="O1692" s="29" t="s">
        <v>141</v>
      </c>
      <c r="P1692" s="30" t="s">
        <v>3054</v>
      </c>
    </row>
    <row r="1693" s="25" customFormat="1" spans="1:16">
      <c r="A1693" s="29" t="s">
        <v>3052</v>
      </c>
      <c r="B1693" s="29" t="s">
        <v>3049</v>
      </c>
      <c r="C1693" s="29" t="s">
        <v>59</v>
      </c>
      <c r="D1693" s="29" t="s">
        <v>2875</v>
      </c>
      <c r="E1693" s="29" t="s">
        <v>47</v>
      </c>
      <c r="F1693" s="29" t="s">
        <v>35</v>
      </c>
      <c r="G1693" s="29" t="s">
        <v>3050</v>
      </c>
      <c r="H1693" s="29" t="s">
        <v>3051</v>
      </c>
      <c r="I1693" s="29" t="s">
        <v>204</v>
      </c>
      <c r="J1693" s="29" t="s">
        <v>35</v>
      </c>
      <c r="K1693" s="29" t="s">
        <v>3055</v>
      </c>
      <c r="L1693" s="29" t="s">
        <v>3020</v>
      </c>
      <c r="M1693" s="29" t="s">
        <v>244</v>
      </c>
      <c r="N1693" s="29" t="s">
        <v>3056</v>
      </c>
      <c r="O1693" s="29" t="s">
        <v>141</v>
      </c>
      <c r="P1693" s="30" t="s">
        <v>3057</v>
      </c>
    </row>
    <row r="1694" s="25" customFormat="1" spans="1:16">
      <c r="A1694" s="29" t="s">
        <v>3055</v>
      </c>
      <c r="B1694" s="29" t="s">
        <v>3049</v>
      </c>
      <c r="C1694" s="29" t="s">
        <v>59</v>
      </c>
      <c r="D1694" s="29" t="s">
        <v>2875</v>
      </c>
      <c r="E1694" s="29" t="s">
        <v>47</v>
      </c>
      <c r="F1694" s="29" t="s">
        <v>35</v>
      </c>
      <c r="G1694" s="29" t="s">
        <v>3050</v>
      </c>
      <c r="H1694" s="29" t="s">
        <v>3051</v>
      </c>
      <c r="I1694" s="29" t="s">
        <v>204</v>
      </c>
      <c r="J1694" s="29" t="s">
        <v>47</v>
      </c>
      <c r="K1694" s="29" t="s">
        <v>3058</v>
      </c>
      <c r="L1694" s="29" t="s">
        <v>3024</v>
      </c>
      <c r="M1694" s="29" t="s">
        <v>244</v>
      </c>
      <c r="N1694" s="29" t="s">
        <v>3056</v>
      </c>
      <c r="O1694" s="29" t="s">
        <v>141</v>
      </c>
      <c r="P1694" s="30" t="s">
        <v>3059</v>
      </c>
    </row>
    <row r="1695" s="25" customFormat="1" spans="1:16">
      <c r="A1695" s="29" t="s">
        <v>3058</v>
      </c>
      <c r="B1695" s="29" t="s">
        <v>3049</v>
      </c>
      <c r="C1695" s="29" t="s">
        <v>59</v>
      </c>
      <c r="D1695" s="29" t="s">
        <v>2875</v>
      </c>
      <c r="E1695" s="29" t="s">
        <v>47</v>
      </c>
      <c r="F1695" s="29" t="s">
        <v>35</v>
      </c>
      <c r="G1695" s="29" t="s">
        <v>3050</v>
      </c>
      <c r="H1695" s="29" t="s">
        <v>3051</v>
      </c>
      <c r="I1695" s="29" t="s">
        <v>204</v>
      </c>
      <c r="J1695" s="29" t="s">
        <v>51</v>
      </c>
      <c r="K1695" s="29" t="s">
        <v>3060</v>
      </c>
      <c r="L1695" s="29" t="s">
        <v>3027</v>
      </c>
      <c r="M1695" s="29" t="s">
        <v>244</v>
      </c>
      <c r="N1695" s="29" t="s">
        <v>3056</v>
      </c>
      <c r="O1695" s="29" t="s">
        <v>141</v>
      </c>
      <c r="P1695" s="30" t="s">
        <v>3061</v>
      </c>
    </row>
    <row r="1696" s="25" customFormat="1" spans="1:16">
      <c r="A1696" s="29" t="s">
        <v>3060</v>
      </c>
      <c r="B1696" s="29" t="s">
        <v>3049</v>
      </c>
      <c r="C1696" s="29" t="s">
        <v>59</v>
      </c>
      <c r="D1696" s="29" t="s">
        <v>2875</v>
      </c>
      <c r="E1696" s="29" t="s">
        <v>47</v>
      </c>
      <c r="F1696" s="29" t="s">
        <v>35</v>
      </c>
      <c r="G1696" s="29" t="s">
        <v>3050</v>
      </c>
      <c r="H1696" s="29" t="s">
        <v>3051</v>
      </c>
      <c r="I1696" s="29" t="s">
        <v>204</v>
      </c>
      <c r="J1696" s="29" t="s">
        <v>55</v>
      </c>
      <c r="K1696" s="29" t="s">
        <v>3062</v>
      </c>
      <c r="L1696" s="29" t="s">
        <v>3030</v>
      </c>
      <c r="M1696" s="29" t="s">
        <v>244</v>
      </c>
      <c r="N1696" s="29" t="s">
        <v>3056</v>
      </c>
      <c r="O1696" s="29" t="s">
        <v>141</v>
      </c>
      <c r="P1696" s="30" t="s">
        <v>3063</v>
      </c>
    </row>
    <row r="1697" s="25" customFormat="1" spans="1:16">
      <c r="A1697" s="29" t="s">
        <v>3062</v>
      </c>
      <c r="B1697" s="29" t="s">
        <v>3049</v>
      </c>
      <c r="C1697" s="29" t="s">
        <v>59</v>
      </c>
      <c r="D1697" s="29" t="s">
        <v>2875</v>
      </c>
      <c r="E1697" s="29" t="s">
        <v>47</v>
      </c>
      <c r="F1697" s="29" t="s">
        <v>35</v>
      </c>
      <c r="G1697" s="29" t="s">
        <v>3050</v>
      </c>
      <c r="H1697" s="29" t="s">
        <v>3051</v>
      </c>
      <c r="I1697" s="29" t="s">
        <v>204</v>
      </c>
      <c r="J1697" s="29" t="s">
        <v>59</v>
      </c>
      <c r="K1697" s="29" t="s">
        <v>3064</v>
      </c>
      <c r="L1697" s="29" t="s">
        <v>3033</v>
      </c>
      <c r="M1697" s="29" t="s">
        <v>244</v>
      </c>
      <c r="N1697" s="29" t="s">
        <v>3056</v>
      </c>
      <c r="O1697" s="29" t="s">
        <v>141</v>
      </c>
      <c r="P1697" s="30" t="s">
        <v>3065</v>
      </c>
    </row>
    <row r="1698" s="25" customFormat="1" spans="1:16">
      <c r="A1698" s="29" t="s">
        <v>3064</v>
      </c>
      <c r="B1698" s="29" t="s">
        <v>3049</v>
      </c>
      <c r="C1698" s="29" t="s">
        <v>59</v>
      </c>
      <c r="D1698" s="29" t="s">
        <v>2875</v>
      </c>
      <c r="E1698" s="29" t="s">
        <v>47</v>
      </c>
      <c r="F1698" s="29" t="s">
        <v>35</v>
      </c>
      <c r="G1698" s="29" t="s">
        <v>3050</v>
      </c>
      <c r="H1698" s="29" t="s">
        <v>3051</v>
      </c>
      <c r="I1698" s="29" t="s">
        <v>204</v>
      </c>
      <c r="J1698" s="29" t="s">
        <v>129</v>
      </c>
      <c r="K1698" s="29" t="s">
        <v>3066</v>
      </c>
      <c r="L1698" s="29" t="s">
        <v>3036</v>
      </c>
      <c r="M1698" s="29" t="s">
        <v>244</v>
      </c>
      <c r="N1698" s="29" t="s">
        <v>3056</v>
      </c>
      <c r="O1698" s="29" t="s">
        <v>141</v>
      </c>
      <c r="P1698" s="30" t="s">
        <v>3067</v>
      </c>
    </row>
    <row r="1699" s="25" customFormat="1" spans="1:16">
      <c r="A1699" s="29" t="s">
        <v>3066</v>
      </c>
      <c r="B1699" s="29" t="s">
        <v>3049</v>
      </c>
      <c r="C1699" s="29" t="s">
        <v>59</v>
      </c>
      <c r="D1699" s="29" t="s">
        <v>2875</v>
      </c>
      <c r="E1699" s="29" t="s">
        <v>47</v>
      </c>
      <c r="F1699" s="29" t="s">
        <v>35</v>
      </c>
      <c r="G1699" s="29" t="s">
        <v>3050</v>
      </c>
      <c r="H1699" s="29" t="s">
        <v>3051</v>
      </c>
      <c r="I1699" s="29" t="s">
        <v>204</v>
      </c>
      <c r="J1699" s="29" t="s">
        <v>133</v>
      </c>
      <c r="K1699" s="29" t="s">
        <v>3068</v>
      </c>
      <c r="L1699" s="29" t="s">
        <v>3039</v>
      </c>
      <c r="M1699" s="29" t="s">
        <v>244</v>
      </c>
      <c r="N1699" s="29" t="s">
        <v>3056</v>
      </c>
      <c r="O1699" s="29" t="s">
        <v>141</v>
      </c>
      <c r="P1699" s="30" t="s">
        <v>3069</v>
      </c>
    </row>
    <row r="1700" s="25" customFormat="1" spans="1:16">
      <c r="A1700" s="29" t="s">
        <v>3068</v>
      </c>
      <c r="B1700" s="29" t="s">
        <v>3049</v>
      </c>
      <c r="C1700" s="29" t="s">
        <v>59</v>
      </c>
      <c r="D1700" s="29" t="s">
        <v>2875</v>
      </c>
      <c r="E1700" s="29" t="s">
        <v>47</v>
      </c>
      <c r="F1700" s="29" t="s">
        <v>35</v>
      </c>
      <c r="G1700" s="29" t="s">
        <v>3050</v>
      </c>
      <c r="H1700" s="29" t="s">
        <v>3051</v>
      </c>
      <c r="I1700" s="29" t="s">
        <v>204</v>
      </c>
      <c r="J1700" s="29" t="s">
        <v>137</v>
      </c>
      <c r="K1700" s="29" t="s">
        <v>3070</v>
      </c>
      <c r="L1700" s="29" t="s">
        <v>3042</v>
      </c>
      <c r="M1700" s="29" t="s">
        <v>244</v>
      </c>
      <c r="N1700" s="29" t="s">
        <v>3056</v>
      </c>
      <c r="O1700" s="29" t="s">
        <v>141</v>
      </c>
      <c r="P1700" s="30" t="s">
        <v>3071</v>
      </c>
    </row>
    <row r="1701" s="25" customFormat="1" spans="1:16">
      <c r="A1701" s="29" t="s">
        <v>3070</v>
      </c>
      <c r="B1701" s="29" t="s">
        <v>3049</v>
      </c>
      <c r="C1701" s="29" t="s">
        <v>59</v>
      </c>
      <c r="D1701" s="29" t="s">
        <v>2875</v>
      </c>
      <c r="E1701" s="29" t="s">
        <v>47</v>
      </c>
      <c r="F1701" s="29" t="s">
        <v>35</v>
      </c>
      <c r="G1701" s="29" t="s">
        <v>3050</v>
      </c>
      <c r="H1701" s="29" t="s">
        <v>3051</v>
      </c>
      <c r="I1701" s="29" t="s">
        <v>204</v>
      </c>
      <c r="J1701" s="29" t="s">
        <v>141</v>
      </c>
      <c r="K1701" s="29" t="s">
        <v>3072</v>
      </c>
      <c r="L1701" s="29" t="s">
        <v>3045</v>
      </c>
      <c r="M1701" s="29" t="s">
        <v>244</v>
      </c>
      <c r="N1701" s="29" t="s">
        <v>3056</v>
      </c>
      <c r="O1701" s="29" t="s">
        <v>141</v>
      </c>
      <c r="P1701" s="30" t="s">
        <v>3073</v>
      </c>
    </row>
    <row r="1702" s="25" customFormat="1" spans="1:16">
      <c r="A1702" s="29" t="s">
        <v>3072</v>
      </c>
      <c r="B1702" s="29" t="s">
        <v>3049</v>
      </c>
      <c r="C1702" s="29" t="s">
        <v>59</v>
      </c>
      <c r="D1702" s="29" t="s">
        <v>2875</v>
      </c>
      <c r="E1702" s="29" t="s">
        <v>47</v>
      </c>
      <c r="F1702" s="29" t="s">
        <v>35</v>
      </c>
      <c r="G1702" s="29" t="s">
        <v>3050</v>
      </c>
      <c r="H1702" s="29" t="s">
        <v>3051</v>
      </c>
      <c r="I1702" s="29" t="s">
        <v>204</v>
      </c>
      <c r="J1702" s="29" t="s">
        <v>145</v>
      </c>
      <c r="K1702" s="29" t="s">
        <v>39</v>
      </c>
      <c r="L1702" s="29" t="s">
        <v>3047</v>
      </c>
      <c r="M1702" s="29" t="s">
        <v>244</v>
      </c>
      <c r="N1702" s="29" t="s">
        <v>3056</v>
      </c>
      <c r="O1702" s="29" t="s">
        <v>141</v>
      </c>
      <c r="P1702" s="30" t="s">
        <v>3074</v>
      </c>
    </row>
    <row r="1703" s="25" customFormat="1" spans="1:16">
      <c r="A1703" s="29" t="s">
        <v>3075</v>
      </c>
      <c r="B1703" s="29" t="s">
        <v>3075</v>
      </c>
      <c r="C1703" s="29" t="s">
        <v>59</v>
      </c>
      <c r="D1703" s="29" t="s">
        <v>2875</v>
      </c>
      <c r="E1703" s="29" t="s">
        <v>47</v>
      </c>
      <c r="F1703" s="29" t="s">
        <v>35</v>
      </c>
      <c r="G1703" s="29" t="s">
        <v>3076</v>
      </c>
      <c r="H1703" s="29" t="s">
        <v>3077</v>
      </c>
      <c r="I1703" s="29" t="s">
        <v>204</v>
      </c>
      <c r="J1703" s="29" t="s">
        <v>39</v>
      </c>
      <c r="K1703" s="29" t="s">
        <v>3078</v>
      </c>
      <c r="L1703" s="29" t="s">
        <v>3016</v>
      </c>
      <c r="M1703" s="29" t="s">
        <v>271</v>
      </c>
      <c r="N1703" s="29" t="s">
        <v>3079</v>
      </c>
      <c r="O1703" s="29" t="s">
        <v>145</v>
      </c>
      <c r="P1703" s="30" t="s">
        <v>3080</v>
      </c>
    </row>
    <row r="1704" s="25" customFormat="1" spans="1:16">
      <c r="A1704" s="29" t="s">
        <v>3078</v>
      </c>
      <c r="B1704" s="29" t="s">
        <v>3075</v>
      </c>
      <c r="C1704" s="29" t="s">
        <v>59</v>
      </c>
      <c r="D1704" s="29" t="s">
        <v>2875</v>
      </c>
      <c r="E1704" s="29" t="s">
        <v>47</v>
      </c>
      <c r="F1704" s="29" t="s">
        <v>35</v>
      </c>
      <c r="G1704" s="29" t="s">
        <v>3076</v>
      </c>
      <c r="H1704" s="29" t="s">
        <v>3077</v>
      </c>
      <c r="I1704" s="29" t="s">
        <v>204</v>
      </c>
      <c r="J1704" s="29" t="s">
        <v>35</v>
      </c>
      <c r="K1704" s="29" t="s">
        <v>3081</v>
      </c>
      <c r="L1704" s="29" t="s">
        <v>3020</v>
      </c>
      <c r="M1704" s="29" t="s">
        <v>271</v>
      </c>
      <c r="N1704" s="29" t="s">
        <v>3082</v>
      </c>
      <c r="O1704" s="29" t="s">
        <v>145</v>
      </c>
      <c r="P1704" s="30" t="s">
        <v>3083</v>
      </c>
    </row>
    <row r="1705" s="25" customFormat="1" spans="1:16">
      <c r="A1705" s="29" t="s">
        <v>3081</v>
      </c>
      <c r="B1705" s="29" t="s">
        <v>3075</v>
      </c>
      <c r="C1705" s="29" t="s">
        <v>59</v>
      </c>
      <c r="D1705" s="29" t="s">
        <v>2875</v>
      </c>
      <c r="E1705" s="29" t="s">
        <v>47</v>
      </c>
      <c r="F1705" s="29" t="s">
        <v>35</v>
      </c>
      <c r="G1705" s="29" t="s">
        <v>3076</v>
      </c>
      <c r="H1705" s="29" t="s">
        <v>3077</v>
      </c>
      <c r="I1705" s="29" t="s">
        <v>204</v>
      </c>
      <c r="J1705" s="29" t="s">
        <v>47</v>
      </c>
      <c r="K1705" s="29" t="s">
        <v>3084</v>
      </c>
      <c r="L1705" s="29" t="s">
        <v>3024</v>
      </c>
      <c r="M1705" s="29" t="s">
        <v>271</v>
      </c>
      <c r="N1705" s="29" t="s">
        <v>3082</v>
      </c>
      <c r="O1705" s="29" t="s">
        <v>145</v>
      </c>
      <c r="P1705" s="30" t="s">
        <v>3085</v>
      </c>
    </row>
    <row r="1706" s="25" customFormat="1" spans="1:16">
      <c r="A1706" s="29" t="s">
        <v>3084</v>
      </c>
      <c r="B1706" s="29" t="s">
        <v>3075</v>
      </c>
      <c r="C1706" s="29" t="s">
        <v>59</v>
      </c>
      <c r="D1706" s="29" t="s">
        <v>2875</v>
      </c>
      <c r="E1706" s="29" t="s">
        <v>47</v>
      </c>
      <c r="F1706" s="29" t="s">
        <v>35</v>
      </c>
      <c r="G1706" s="29" t="s">
        <v>3076</v>
      </c>
      <c r="H1706" s="29" t="s">
        <v>3077</v>
      </c>
      <c r="I1706" s="29" t="s">
        <v>204</v>
      </c>
      <c r="J1706" s="29" t="s">
        <v>51</v>
      </c>
      <c r="K1706" s="29" t="s">
        <v>3086</v>
      </c>
      <c r="L1706" s="29" t="s">
        <v>3027</v>
      </c>
      <c r="M1706" s="29" t="s">
        <v>271</v>
      </c>
      <c r="N1706" s="29" t="s">
        <v>3082</v>
      </c>
      <c r="O1706" s="29" t="s">
        <v>145</v>
      </c>
      <c r="P1706" s="30" t="s">
        <v>3087</v>
      </c>
    </row>
    <row r="1707" s="25" customFormat="1" spans="1:16">
      <c r="A1707" s="29" t="s">
        <v>3086</v>
      </c>
      <c r="B1707" s="29" t="s">
        <v>3075</v>
      </c>
      <c r="C1707" s="29" t="s">
        <v>59</v>
      </c>
      <c r="D1707" s="29" t="s">
        <v>2875</v>
      </c>
      <c r="E1707" s="29" t="s">
        <v>47</v>
      </c>
      <c r="F1707" s="29" t="s">
        <v>35</v>
      </c>
      <c r="G1707" s="29" t="s">
        <v>3076</v>
      </c>
      <c r="H1707" s="29" t="s">
        <v>3077</v>
      </c>
      <c r="I1707" s="29" t="s">
        <v>204</v>
      </c>
      <c r="J1707" s="29" t="s">
        <v>55</v>
      </c>
      <c r="K1707" s="29" t="s">
        <v>3088</v>
      </c>
      <c r="L1707" s="29" t="s">
        <v>3030</v>
      </c>
      <c r="M1707" s="29" t="s">
        <v>271</v>
      </c>
      <c r="N1707" s="29" t="s">
        <v>3082</v>
      </c>
      <c r="O1707" s="29" t="s">
        <v>145</v>
      </c>
      <c r="P1707" s="30" t="s">
        <v>3089</v>
      </c>
    </row>
    <row r="1708" s="25" customFormat="1" spans="1:16">
      <c r="A1708" s="29" t="s">
        <v>3088</v>
      </c>
      <c r="B1708" s="29" t="s">
        <v>3075</v>
      </c>
      <c r="C1708" s="29" t="s">
        <v>59</v>
      </c>
      <c r="D1708" s="29" t="s">
        <v>2875</v>
      </c>
      <c r="E1708" s="29" t="s">
        <v>47</v>
      </c>
      <c r="F1708" s="29" t="s">
        <v>35</v>
      </c>
      <c r="G1708" s="29" t="s">
        <v>3076</v>
      </c>
      <c r="H1708" s="29" t="s">
        <v>3077</v>
      </c>
      <c r="I1708" s="29" t="s">
        <v>204</v>
      </c>
      <c r="J1708" s="29" t="s">
        <v>59</v>
      </c>
      <c r="K1708" s="29" t="s">
        <v>3090</v>
      </c>
      <c r="L1708" s="29" t="s">
        <v>3033</v>
      </c>
      <c r="M1708" s="29" t="s">
        <v>271</v>
      </c>
      <c r="N1708" s="29" t="s">
        <v>3082</v>
      </c>
      <c r="O1708" s="29" t="s">
        <v>145</v>
      </c>
      <c r="P1708" s="30" t="s">
        <v>3091</v>
      </c>
    </row>
    <row r="1709" s="25" customFormat="1" spans="1:16">
      <c r="A1709" s="29" t="s">
        <v>3090</v>
      </c>
      <c r="B1709" s="29" t="s">
        <v>3075</v>
      </c>
      <c r="C1709" s="29" t="s">
        <v>59</v>
      </c>
      <c r="D1709" s="29" t="s">
        <v>2875</v>
      </c>
      <c r="E1709" s="29" t="s">
        <v>47</v>
      </c>
      <c r="F1709" s="29" t="s">
        <v>35</v>
      </c>
      <c r="G1709" s="29" t="s">
        <v>3076</v>
      </c>
      <c r="H1709" s="29" t="s">
        <v>3077</v>
      </c>
      <c r="I1709" s="29" t="s">
        <v>204</v>
      </c>
      <c r="J1709" s="29" t="s">
        <v>129</v>
      </c>
      <c r="K1709" s="29" t="s">
        <v>3092</v>
      </c>
      <c r="L1709" s="29" t="s">
        <v>3036</v>
      </c>
      <c r="M1709" s="29" t="s">
        <v>271</v>
      </c>
      <c r="N1709" s="29" t="s">
        <v>3082</v>
      </c>
      <c r="O1709" s="29" t="s">
        <v>145</v>
      </c>
      <c r="P1709" s="30" t="s">
        <v>3093</v>
      </c>
    </row>
    <row r="1710" s="25" customFormat="1" spans="1:16">
      <c r="A1710" s="29" t="s">
        <v>3092</v>
      </c>
      <c r="B1710" s="29" t="s">
        <v>3075</v>
      </c>
      <c r="C1710" s="29" t="s">
        <v>59</v>
      </c>
      <c r="D1710" s="29" t="s">
        <v>2875</v>
      </c>
      <c r="E1710" s="29" t="s">
        <v>47</v>
      </c>
      <c r="F1710" s="29" t="s">
        <v>35</v>
      </c>
      <c r="G1710" s="29" t="s">
        <v>3076</v>
      </c>
      <c r="H1710" s="29" t="s">
        <v>3077</v>
      </c>
      <c r="I1710" s="29" t="s">
        <v>204</v>
      </c>
      <c r="J1710" s="29" t="s">
        <v>133</v>
      </c>
      <c r="K1710" s="29" t="s">
        <v>3094</v>
      </c>
      <c r="L1710" s="29" t="s">
        <v>3039</v>
      </c>
      <c r="M1710" s="29" t="s">
        <v>271</v>
      </c>
      <c r="N1710" s="29" t="s">
        <v>3082</v>
      </c>
      <c r="O1710" s="29" t="s">
        <v>145</v>
      </c>
      <c r="P1710" s="30" t="s">
        <v>3095</v>
      </c>
    </row>
    <row r="1711" s="25" customFormat="1" spans="1:16">
      <c r="A1711" s="29" t="s">
        <v>3094</v>
      </c>
      <c r="B1711" s="29" t="s">
        <v>3075</v>
      </c>
      <c r="C1711" s="29" t="s">
        <v>59</v>
      </c>
      <c r="D1711" s="29" t="s">
        <v>2875</v>
      </c>
      <c r="E1711" s="29" t="s">
        <v>47</v>
      </c>
      <c r="F1711" s="29" t="s">
        <v>35</v>
      </c>
      <c r="G1711" s="29" t="s">
        <v>3076</v>
      </c>
      <c r="H1711" s="29" t="s">
        <v>3077</v>
      </c>
      <c r="I1711" s="29" t="s">
        <v>204</v>
      </c>
      <c r="J1711" s="29" t="s">
        <v>137</v>
      </c>
      <c r="K1711" s="29" t="s">
        <v>3096</v>
      </c>
      <c r="L1711" s="29" t="s">
        <v>3042</v>
      </c>
      <c r="M1711" s="29" t="s">
        <v>271</v>
      </c>
      <c r="N1711" s="29" t="s">
        <v>3082</v>
      </c>
      <c r="O1711" s="29" t="s">
        <v>145</v>
      </c>
      <c r="P1711" s="30" t="s">
        <v>3097</v>
      </c>
    </row>
    <row r="1712" s="25" customFormat="1" spans="1:16">
      <c r="A1712" s="29" t="s">
        <v>3096</v>
      </c>
      <c r="B1712" s="29" t="s">
        <v>3075</v>
      </c>
      <c r="C1712" s="29" t="s">
        <v>59</v>
      </c>
      <c r="D1712" s="29" t="s">
        <v>2875</v>
      </c>
      <c r="E1712" s="29" t="s">
        <v>47</v>
      </c>
      <c r="F1712" s="29" t="s">
        <v>35</v>
      </c>
      <c r="G1712" s="29" t="s">
        <v>3076</v>
      </c>
      <c r="H1712" s="29" t="s">
        <v>3077</v>
      </c>
      <c r="I1712" s="29" t="s">
        <v>204</v>
      </c>
      <c r="J1712" s="29" t="s">
        <v>141</v>
      </c>
      <c r="K1712" s="29" t="s">
        <v>3098</v>
      </c>
      <c r="L1712" s="29" t="s">
        <v>3045</v>
      </c>
      <c r="M1712" s="29" t="s">
        <v>271</v>
      </c>
      <c r="N1712" s="29" t="s">
        <v>3082</v>
      </c>
      <c r="O1712" s="29" t="s">
        <v>145</v>
      </c>
      <c r="P1712" s="30" t="s">
        <v>3099</v>
      </c>
    </row>
    <row r="1713" s="25" customFormat="1" spans="1:16">
      <c r="A1713" s="29" t="s">
        <v>3098</v>
      </c>
      <c r="B1713" s="29" t="s">
        <v>3075</v>
      </c>
      <c r="C1713" s="29" t="s">
        <v>59</v>
      </c>
      <c r="D1713" s="29" t="s">
        <v>2875</v>
      </c>
      <c r="E1713" s="29" t="s">
        <v>47</v>
      </c>
      <c r="F1713" s="29" t="s">
        <v>35</v>
      </c>
      <c r="G1713" s="29" t="s">
        <v>3076</v>
      </c>
      <c r="H1713" s="29" t="s">
        <v>3077</v>
      </c>
      <c r="I1713" s="29" t="s">
        <v>204</v>
      </c>
      <c r="J1713" s="29" t="s">
        <v>145</v>
      </c>
      <c r="K1713" s="29" t="s">
        <v>39</v>
      </c>
      <c r="L1713" s="29" t="s">
        <v>3047</v>
      </c>
      <c r="M1713" s="29" t="s">
        <v>271</v>
      </c>
      <c r="N1713" s="29" t="s">
        <v>3082</v>
      </c>
      <c r="O1713" s="29" t="s">
        <v>145</v>
      </c>
      <c r="P1713" s="30" t="s">
        <v>3100</v>
      </c>
    </row>
    <row r="1714" s="25" customFormat="1" spans="1:16">
      <c r="A1714" s="29" t="s">
        <v>3101</v>
      </c>
      <c r="B1714" s="29" t="s">
        <v>3101</v>
      </c>
      <c r="C1714" s="29" t="s">
        <v>59</v>
      </c>
      <c r="D1714" s="29" t="s">
        <v>2879</v>
      </c>
      <c r="E1714" s="29" t="s">
        <v>35</v>
      </c>
      <c r="F1714" s="29" t="s">
        <v>47</v>
      </c>
      <c r="G1714" s="29" t="s">
        <v>295</v>
      </c>
      <c r="H1714" s="29" t="s">
        <v>38</v>
      </c>
      <c r="I1714" s="29" t="s">
        <v>39</v>
      </c>
      <c r="J1714" s="29" t="s">
        <v>39</v>
      </c>
      <c r="K1714" s="29" t="s">
        <v>3102</v>
      </c>
      <c r="L1714" s="29" t="s">
        <v>3103</v>
      </c>
      <c r="M1714" s="29" t="s">
        <v>298</v>
      </c>
      <c r="N1714" s="29" t="s">
        <v>2877</v>
      </c>
      <c r="O1714" s="29" t="s">
        <v>35</v>
      </c>
      <c r="P1714" s="30" t="s">
        <v>2878</v>
      </c>
    </row>
    <row r="1715" s="25" customFormat="1" spans="1:16">
      <c r="A1715" s="29" t="s">
        <v>3102</v>
      </c>
      <c r="B1715" s="29" t="s">
        <v>3101</v>
      </c>
      <c r="C1715" s="29" t="s">
        <v>59</v>
      </c>
      <c r="D1715" s="29" t="s">
        <v>2879</v>
      </c>
      <c r="E1715" s="29" t="s">
        <v>35</v>
      </c>
      <c r="F1715" s="29" t="s">
        <v>47</v>
      </c>
      <c r="G1715" s="29" t="s">
        <v>295</v>
      </c>
      <c r="H1715" s="29" t="s">
        <v>38</v>
      </c>
      <c r="I1715" s="29" t="s">
        <v>39</v>
      </c>
      <c r="J1715" s="29" t="s">
        <v>35</v>
      </c>
      <c r="K1715" s="29" t="s">
        <v>3104</v>
      </c>
      <c r="L1715" s="29" t="s">
        <v>3105</v>
      </c>
      <c r="M1715" s="29" t="s">
        <v>298</v>
      </c>
      <c r="N1715" s="29" t="s">
        <v>3106</v>
      </c>
      <c r="O1715" s="29" t="s">
        <v>35</v>
      </c>
      <c r="P1715" s="30" t="s">
        <v>3107</v>
      </c>
    </row>
    <row r="1716" s="25" customFormat="1" spans="1:16">
      <c r="A1716" s="29" t="s">
        <v>3104</v>
      </c>
      <c r="B1716" s="29" t="s">
        <v>3101</v>
      </c>
      <c r="C1716" s="29" t="s">
        <v>59</v>
      </c>
      <c r="D1716" s="29" t="s">
        <v>2879</v>
      </c>
      <c r="E1716" s="29" t="s">
        <v>35</v>
      </c>
      <c r="F1716" s="29" t="s">
        <v>47</v>
      </c>
      <c r="G1716" s="29" t="s">
        <v>295</v>
      </c>
      <c r="H1716" s="29" t="s">
        <v>38</v>
      </c>
      <c r="I1716" s="29" t="s">
        <v>39</v>
      </c>
      <c r="J1716" s="29" t="s">
        <v>47</v>
      </c>
      <c r="K1716" s="29" t="s">
        <v>3108</v>
      </c>
      <c r="L1716" s="29" t="s">
        <v>3109</v>
      </c>
      <c r="M1716" s="29" t="s">
        <v>298</v>
      </c>
      <c r="N1716" s="29" t="s">
        <v>3106</v>
      </c>
      <c r="O1716" s="29" t="s">
        <v>35</v>
      </c>
      <c r="P1716" s="30" t="s">
        <v>3110</v>
      </c>
    </row>
    <row r="1717" s="25" customFormat="1" spans="1:16">
      <c r="A1717" s="29" t="s">
        <v>3108</v>
      </c>
      <c r="B1717" s="29" t="s">
        <v>3101</v>
      </c>
      <c r="C1717" s="29" t="s">
        <v>59</v>
      </c>
      <c r="D1717" s="29" t="s">
        <v>2879</v>
      </c>
      <c r="E1717" s="29" t="s">
        <v>35</v>
      </c>
      <c r="F1717" s="29" t="s">
        <v>47</v>
      </c>
      <c r="G1717" s="29" t="s">
        <v>295</v>
      </c>
      <c r="H1717" s="29" t="s">
        <v>38</v>
      </c>
      <c r="I1717" s="29" t="s">
        <v>39</v>
      </c>
      <c r="J1717" s="29" t="s">
        <v>51</v>
      </c>
      <c r="K1717" s="29" t="s">
        <v>3111</v>
      </c>
      <c r="L1717" s="29" t="s">
        <v>3112</v>
      </c>
      <c r="M1717" s="29" t="s">
        <v>298</v>
      </c>
      <c r="N1717" s="29" t="s">
        <v>3106</v>
      </c>
      <c r="O1717" s="29" t="s">
        <v>35</v>
      </c>
      <c r="P1717" s="30" t="s">
        <v>2885</v>
      </c>
    </row>
    <row r="1718" s="25" customFormat="1" spans="1:16">
      <c r="A1718" s="29" t="s">
        <v>3111</v>
      </c>
      <c r="B1718" s="29" t="s">
        <v>3101</v>
      </c>
      <c r="C1718" s="29" t="s">
        <v>59</v>
      </c>
      <c r="D1718" s="29" t="s">
        <v>2879</v>
      </c>
      <c r="E1718" s="29" t="s">
        <v>35</v>
      </c>
      <c r="F1718" s="29" t="s">
        <v>47</v>
      </c>
      <c r="G1718" s="29" t="s">
        <v>295</v>
      </c>
      <c r="H1718" s="29" t="s">
        <v>38</v>
      </c>
      <c r="I1718" s="29" t="s">
        <v>39</v>
      </c>
      <c r="J1718" s="29" t="s">
        <v>55</v>
      </c>
      <c r="K1718" s="29" t="s">
        <v>3113</v>
      </c>
      <c r="L1718" s="29" t="s">
        <v>3114</v>
      </c>
      <c r="M1718" s="29" t="s">
        <v>298</v>
      </c>
      <c r="N1718" s="29" t="s">
        <v>3106</v>
      </c>
      <c r="O1718" s="29" t="s">
        <v>35</v>
      </c>
      <c r="P1718" s="30" t="s">
        <v>3115</v>
      </c>
    </row>
    <row r="1719" s="25" customFormat="1" spans="1:16">
      <c r="A1719" s="29" t="s">
        <v>3113</v>
      </c>
      <c r="B1719" s="29" t="s">
        <v>3101</v>
      </c>
      <c r="C1719" s="29" t="s">
        <v>59</v>
      </c>
      <c r="D1719" s="29" t="s">
        <v>2879</v>
      </c>
      <c r="E1719" s="29" t="s">
        <v>35</v>
      </c>
      <c r="F1719" s="29" t="s">
        <v>47</v>
      </c>
      <c r="G1719" s="29" t="s">
        <v>295</v>
      </c>
      <c r="H1719" s="29" t="s">
        <v>38</v>
      </c>
      <c r="I1719" s="29" t="s">
        <v>39</v>
      </c>
      <c r="J1719" s="29" t="s">
        <v>59</v>
      </c>
      <c r="K1719" s="29" t="s">
        <v>3116</v>
      </c>
      <c r="L1719" s="29" t="s">
        <v>3117</v>
      </c>
      <c r="M1719" s="29" t="s">
        <v>298</v>
      </c>
      <c r="N1719" s="29" t="s">
        <v>3106</v>
      </c>
      <c r="O1719" s="29" t="s">
        <v>35</v>
      </c>
      <c r="P1719" s="30" t="s">
        <v>3118</v>
      </c>
    </row>
    <row r="1720" s="25" customFormat="1" spans="1:16">
      <c r="A1720" s="29" t="s">
        <v>3116</v>
      </c>
      <c r="B1720" s="29" t="s">
        <v>3101</v>
      </c>
      <c r="C1720" s="29" t="s">
        <v>59</v>
      </c>
      <c r="D1720" s="29" t="s">
        <v>2879</v>
      </c>
      <c r="E1720" s="29" t="s">
        <v>35</v>
      </c>
      <c r="F1720" s="29" t="s">
        <v>47</v>
      </c>
      <c r="G1720" s="29" t="s">
        <v>295</v>
      </c>
      <c r="H1720" s="29" t="s">
        <v>38</v>
      </c>
      <c r="I1720" s="29" t="s">
        <v>39</v>
      </c>
      <c r="J1720" s="29" t="s">
        <v>129</v>
      </c>
      <c r="K1720" s="29" t="s">
        <v>3119</v>
      </c>
      <c r="L1720" s="29" t="s">
        <v>3120</v>
      </c>
      <c r="M1720" s="29" t="s">
        <v>298</v>
      </c>
      <c r="N1720" s="29" t="s">
        <v>3106</v>
      </c>
      <c r="O1720" s="29" t="s">
        <v>35</v>
      </c>
      <c r="P1720" s="30" t="s">
        <v>2891</v>
      </c>
    </row>
    <row r="1721" s="25" customFormat="1" spans="1:16">
      <c r="A1721" s="29" t="s">
        <v>3119</v>
      </c>
      <c r="B1721" s="29" t="s">
        <v>3101</v>
      </c>
      <c r="C1721" s="29" t="s">
        <v>59</v>
      </c>
      <c r="D1721" s="29" t="s">
        <v>2879</v>
      </c>
      <c r="E1721" s="29" t="s">
        <v>35</v>
      </c>
      <c r="F1721" s="29" t="s">
        <v>47</v>
      </c>
      <c r="G1721" s="29" t="s">
        <v>295</v>
      </c>
      <c r="H1721" s="29" t="s">
        <v>38</v>
      </c>
      <c r="I1721" s="29" t="s">
        <v>39</v>
      </c>
      <c r="J1721" s="29" t="s">
        <v>133</v>
      </c>
      <c r="K1721" s="29" t="s">
        <v>3121</v>
      </c>
      <c r="L1721" s="29" t="s">
        <v>3122</v>
      </c>
      <c r="M1721" s="29" t="s">
        <v>298</v>
      </c>
      <c r="N1721" s="29" t="s">
        <v>3106</v>
      </c>
      <c r="O1721" s="29" t="s">
        <v>35</v>
      </c>
      <c r="P1721" s="30" t="s">
        <v>3123</v>
      </c>
    </row>
    <row r="1722" s="25" customFormat="1" spans="1:16">
      <c r="A1722" s="29" t="s">
        <v>3121</v>
      </c>
      <c r="B1722" s="29" t="s">
        <v>3101</v>
      </c>
      <c r="C1722" s="29" t="s">
        <v>59</v>
      </c>
      <c r="D1722" s="29" t="s">
        <v>2879</v>
      </c>
      <c r="E1722" s="29" t="s">
        <v>35</v>
      </c>
      <c r="F1722" s="29" t="s">
        <v>47</v>
      </c>
      <c r="G1722" s="29" t="s">
        <v>295</v>
      </c>
      <c r="H1722" s="29" t="s">
        <v>38</v>
      </c>
      <c r="I1722" s="29" t="s">
        <v>39</v>
      </c>
      <c r="J1722" s="29" t="s">
        <v>137</v>
      </c>
      <c r="K1722" s="29" t="s">
        <v>3124</v>
      </c>
      <c r="L1722" s="29" t="s">
        <v>3125</v>
      </c>
      <c r="M1722" s="29" t="s">
        <v>298</v>
      </c>
      <c r="N1722" s="29" t="s">
        <v>3106</v>
      </c>
      <c r="O1722" s="29" t="s">
        <v>35</v>
      </c>
      <c r="P1722" s="30" t="s">
        <v>3126</v>
      </c>
    </row>
    <row r="1723" s="25" customFormat="1" spans="1:16">
      <c r="A1723" s="29" t="s">
        <v>3124</v>
      </c>
      <c r="B1723" s="29" t="s">
        <v>3101</v>
      </c>
      <c r="C1723" s="29" t="s">
        <v>59</v>
      </c>
      <c r="D1723" s="29" t="s">
        <v>2879</v>
      </c>
      <c r="E1723" s="29" t="s">
        <v>35</v>
      </c>
      <c r="F1723" s="29" t="s">
        <v>47</v>
      </c>
      <c r="G1723" s="29" t="s">
        <v>295</v>
      </c>
      <c r="H1723" s="29" t="s">
        <v>38</v>
      </c>
      <c r="I1723" s="29" t="s">
        <v>39</v>
      </c>
      <c r="J1723" s="29" t="s">
        <v>141</v>
      </c>
      <c r="K1723" s="29" t="s">
        <v>3127</v>
      </c>
      <c r="L1723" s="29" t="s">
        <v>3128</v>
      </c>
      <c r="M1723" s="29" t="s">
        <v>298</v>
      </c>
      <c r="N1723" s="29" t="s">
        <v>3106</v>
      </c>
      <c r="O1723" s="29" t="s">
        <v>35</v>
      </c>
      <c r="P1723" s="30" t="s">
        <v>3129</v>
      </c>
    </row>
    <row r="1724" s="25" customFormat="1" spans="1:16">
      <c r="A1724" s="29" t="s">
        <v>3127</v>
      </c>
      <c r="B1724" s="29" t="s">
        <v>3101</v>
      </c>
      <c r="C1724" s="29" t="s">
        <v>59</v>
      </c>
      <c r="D1724" s="29" t="s">
        <v>2879</v>
      </c>
      <c r="E1724" s="29" t="s">
        <v>35</v>
      </c>
      <c r="F1724" s="29" t="s">
        <v>47</v>
      </c>
      <c r="G1724" s="29" t="s">
        <v>295</v>
      </c>
      <c r="H1724" s="29" t="s">
        <v>38</v>
      </c>
      <c r="I1724" s="29" t="s">
        <v>39</v>
      </c>
      <c r="J1724" s="29" t="s">
        <v>145</v>
      </c>
      <c r="K1724" s="29" t="s">
        <v>39</v>
      </c>
      <c r="L1724" s="29" t="s">
        <v>39</v>
      </c>
      <c r="M1724" s="29" t="s">
        <v>39</v>
      </c>
      <c r="N1724" s="29" t="s">
        <v>3106</v>
      </c>
      <c r="O1724" s="29" t="s">
        <v>35</v>
      </c>
      <c r="P1724" s="30" t="s">
        <v>3130</v>
      </c>
    </row>
    <row r="1725" s="25" customFormat="1" spans="1:16">
      <c r="A1725" s="29" t="s">
        <v>3131</v>
      </c>
      <c r="B1725" s="29" t="s">
        <v>3131</v>
      </c>
      <c r="C1725" s="29" t="s">
        <v>59</v>
      </c>
      <c r="D1725" s="29" t="s">
        <v>2879</v>
      </c>
      <c r="E1725" s="29" t="s">
        <v>35</v>
      </c>
      <c r="F1725" s="29" t="s">
        <v>47</v>
      </c>
      <c r="G1725" s="29" t="s">
        <v>327</v>
      </c>
      <c r="H1725" s="29" t="s">
        <v>63</v>
      </c>
      <c r="I1725" s="29" t="s">
        <v>39</v>
      </c>
      <c r="J1725" s="29" t="s">
        <v>39</v>
      </c>
      <c r="K1725" s="29" t="s">
        <v>3132</v>
      </c>
      <c r="L1725" s="29" t="s">
        <v>3103</v>
      </c>
      <c r="M1725" s="29" t="s">
        <v>329</v>
      </c>
      <c r="N1725" s="29" t="s">
        <v>2895</v>
      </c>
      <c r="O1725" s="29" t="s">
        <v>47</v>
      </c>
      <c r="P1725" s="30" t="s">
        <v>2896</v>
      </c>
    </row>
    <row r="1726" s="25" customFormat="1" spans="1:16">
      <c r="A1726" s="29" t="s">
        <v>3132</v>
      </c>
      <c r="B1726" s="29" t="s">
        <v>3131</v>
      </c>
      <c r="C1726" s="29" t="s">
        <v>59</v>
      </c>
      <c r="D1726" s="29" t="s">
        <v>2879</v>
      </c>
      <c r="E1726" s="29" t="s">
        <v>35</v>
      </c>
      <c r="F1726" s="29" t="s">
        <v>47</v>
      </c>
      <c r="G1726" s="29" t="s">
        <v>327</v>
      </c>
      <c r="H1726" s="29" t="s">
        <v>63</v>
      </c>
      <c r="I1726" s="29" t="s">
        <v>39</v>
      </c>
      <c r="J1726" s="29" t="s">
        <v>35</v>
      </c>
      <c r="K1726" s="29" t="s">
        <v>3133</v>
      </c>
      <c r="L1726" s="29" t="s">
        <v>3105</v>
      </c>
      <c r="M1726" s="29" t="s">
        <v>329</v>
      </c>
      <c r="N1726" s="29" t="s">
        <v>3134</v>
      </c>
      <c r="O1726" s="29" t="s">
        <v>47</v>
      </c>
      <c r="P1726" s="30" t="s">
        <v>3135</v>
      </c>
    </row>
    <row r="1727" s="25" customFormat="1" spans="1:16">
      <c r="A1727" s="29" t="s">
        <v>3133</v>
      </c>
      <c r="B1727" s="29" t="s">
        <v>3131</v>
      </c>
      <c r="C1727" s="29" t="s">
        <v>59</v>
      </c>
      <c r="D1727" s="29" t="s">
        <v>2879</v>
      </c>
      <c r="E1727" s="29" t="s">
        <v>35</v>
      </c>
      <c r="F1727" s="29" t="s">
        <v>47</v>
      </c>
      <c r="G1727" s="29" t="s">
        <v>327</v>
      </c>
      <c r="H1727" s="29" t="s">
        <v>63</v>
      </c>
      <c r="I1727" s="29" t="s">
        <v>39</v>
      </c>
      <c r="J1727" s="29" t="s">
        <v>47</v>
      </c>
      <c r="K1727" s="29" t="s">
        <v>3136</v>
      </c>
      <c r="L1727" s="29" t="s">
        <v>3109</v>
      </c>
      <c r="M1727" s="29" t="s">
        <v>329</v>
      </c>
      <c r="N1727" s="29" t="s">
        <v>3134</v>
      </c>
      <c r="O1727" s="29" t="s">
        <v>47</v>
      </c>
      <c r="P1727" s="30" t="s">
        <v>3137</v>
      </c>
    </row>
    <row r="1728" s="25" customFormat="1" spans="1:16">
      <c r="A1728" s="29" t="s">
        <v>3136</v>
      </c>
      <c r="B1728" s="29" t="s">
        <v>3131</v>
      </c>
      <c r="C1728" s="29" t="s">
        <v>59</v>
      </c>
      <c r="D1728" s="29" t="s">
        <v>2879</v>
      </c>
      <c r="E1728" s="29" t="s">
        <v>35</v>
      </c>
      <c r="F1728" s="29" t="s">
        <v>47</v>
      </c>
      <c r="G1728" s="29" t="s">
        <v>327</v>
      </c>
      <c r="H1728" s="29" t="s">
        <v>63</v>
      </c>
      <c r="I1728" s="29" t="s">
        <v>39</v>
      </c>
      <c r="J1728" s="29" t="s">
        <v>51</v>
      </c>
      <c r="K1728" s="29" t="s">
        <v>3138</v>
      </c>
      <c r="L1728" s="29" t="s">
        <v>3112</v>
      </c>
      <c r="M1728" s="29" t="s">
        <v>329</v>
      </c>
      <c r="N1728" s="29" t="s">
        <v>3134</v>
      </c>
      <c r="O1728" s="29" t="s">
        <v>47</v>
      </c>
      <c r="P1728" s="30" t="s">
        <v>3139</v>
      </c>
    </row>
    <row r="1729" s="25" customFormat="1" spans="1:16">
      <c r="A1729" s="29" t="s">
        <v>3138</v>
      </c>
      <c r="B1729" s="29" t="s">
        <v>3131</v>
      </c>
      <c r="C1729" s="29" t="s">
        <v>59</v>
      </c>
      <c r="D1729" s="29" t="s">
        <v>2879</v>
      </c>
      <c r="E1729" s="29" t="s">
        <v>35</v>
      </c>
      <c r="F1729" s="29" t="s">
        <v>47</v>
      </c>
      <c r="G1729" s="29" t="s">
        <v>327</v>
      </c>
      <c r="H1729" s="29" t="s">
        <v>63</v>
      </c>
      <c r="I1729" s="29" t="s">
        <v>39</v>
      </c>
      <c r="J1729" s="29" t="s">
        <v>55</v>
      </c>
      <c r="K1729" s="29" t="s">
        <v>3140</v>
      </c>
      <c r="L1729" s="29" t="s">
        <v>3114</v>
      </c>
      <c r="M1729" s="29" t="s">
        <v>329</v>
      </c>
      <c r="N1729" s="29" t="s">
        <v>3134</v>
      </c>
      <c r="O1729" s="29" t="s">
        <v>47</v>
      </c>
      <c r="P1729" s="30" t="s">
        <v>3141</v>
      </c>
    </row>
    <row r="1730" s="25" customFormat="1" spans="1:16">
      <c r="A1730" s="29" t="s">
        <v>3140</v>
      </c>
      <c r="B1730" s="29" t="s">
        <v>3131</v>
      </c>
      <c r="C1730" s="29" t="s">
        <v>59</v>
      </c>
      <c r="D1730" s="29" t="s">
        <v>2879</v>
      </c>
      <c r="E1730" s="29" t="s">
        <v>35</v>
      </c>
      <c r="F1730" s="29" t="s">
        <v>47</v>
      </c>
      <c r="G1730" s="29" t="s">
        <v>327</v>
      </c>
      <c r="H1730" s="29" t="s">
        <v>63</v>
      </c>
      <c r="I1730" s="29" t="s">
        <v>39</v>
      </c>
      <c r="J1730" s="29" t="s">
        <v>59</v>
      </c>
      <c r="K1730" s="29" t="s">
        <v>3142</v>
      </c>
      <c r="L1730" s="29" t="s">
        <v>3117</v>
      </c>
      <c r="M1730" s="29" t="s">
        <v>329</v>
      </c>
      <c r="N1730" s="29" t="s">
        <v>3134</v>
      </c>
      <c r="O1730" s="29" t="s">
        <v>47</v>
      </c>
      <c r="P1730" s="30" t="s">
        <v>3143</v>
      </c>
    </row>
    <row r="1731" s="25" customFormat="1" spans="1:16">
      <c r="A1731" s="29" t="s">
        <v>3142</v>
      </c>
      <c r="B1731" s="29" t="s">
        <v>3131</v>
      </c>
      <c r="C1731" s="29" t="s">
        <v>59</v>
      </c>
      <c r="D1731" s="29" t="s">
        <v>2879</v>
      </c>
      <c r="E1731" s="29" t="s">
        <v>35</v>
      </c>
      <c r="F1731" s="29" t="s">
        <v>47</v>
      </c>
      <c r="G1731" s="29" t="s">
        <v>327</v>
      </c>
      <c r="H1731" s="29" t="s">
        <v>63</v>
      </c>
      <c r="I1731" s="29" t="s">
        <v>39</v>
      </c>
      <c r="J1731" s="29" t="s">
        <v>129</v>
      </c>
      <c r="K1731" s="29" t="s">
        <v>3144</v>
      </c>
      <c r="L1731" s="29" t="s">
        <v>3120</v>
      </c>
      <c r="M1731" s="29" t="s">
        <v>329</v>
      </c>
      <c r="N1731" s="29" t="s">
        <v>3134</v>
      </c>
      <c r="O1731" s="29" t="s">
        <v>47</v>
      </c>
      <c r="P1731" s="30" t="s">
        <v>2906</v>
      </c>
    </row>
    <row r="1732" s="25" customFormat="1" spans="1:16">
      <c r="A1732" s="29" t="s">
        <v>3144</v>
      </c>
      <c r="B1732" s="29" t="s">
        <v>3131</v>
      </c>
      <c r="C1732" s="29" t="s">
        <v>59</v>
      </c>
      <c r="D1732" s="29" t="s">
        <v>2879</v>
      </c>
      <c r="E1732" s="29" t="s">
        <v>35</v>
      </c>
      <c r="F1732" s="29" t="s">
        <v>47</v>
      </c>
      <c r="G1732" s="29" t="s">
        <v>327</v>
      </c>
      <c r="H1732" s="29" t="s">
        <v>63</v>
      </c>
      <c r="I1732" s="29" t="s">
        <v>39</v>
      </c>
      <c r="J1732" s="29" t="s">
        <v>133</v>
      </c>
      <c r="K1732" s="29" t="s">
        <v>3145</v>
      </c>
      <c r="L1732" s="29" t="s">
        <v>3122</v>
      </c>
      <c r="M1732" s="29" t="s">
        <v>329</v>
      </c>
      <c r="N1732" s="29" t="s">
        <v>3134</v>
      </c>
      <c r="O1732" s="29" t="s">
        <v>47</v>
      </c>
      <c r="P1732" s="30" t="s">
        <v>3146</v>
      </c>
    </row>
    <row r="1733" s="25" customFormat="1" spans="1:16">
      <c r="A1733" s="29" t="s">
        <v>3145</v>
      </c>
      <c r="B1733" s="29" t="s">
        <v>3131</v>
      </c>
      <c r="C1733" s="29" t="s">
        <v>59</v>
      </c>
      <c r="D1733" s="29" t="s">
        <v>2879</v>
      </c>
      <c r="E1733" s="29" t="s">
        <v>35</v>
      </c>
      <c r="F1733" s="29" t="s">
        <v>47</v>
      </c>
      <c r="G1733" s="29" t="s">
        <v>327</v>
      </c>
      <c r="H1733" s="29" t="s">
        <v>63</v>
      </c>
      <c r="I1733" s="29" t="s">
        <v>39</v>
      </c>
      <c r="J1733" s="29" t="s">
        <v>137</v>
      </c>
      <c r="K1733" s="29" t="s">
        <v>3147</v>
      </c>
      <c r="L1733" s="29" t="s">
        <v>3125</v>
      </c>
      <c r="M1733" s="29" t="s">
        <v>329</v>
      </c>
      <c r="N1733" s="29" t="s">
        <v>3134</v>
      </c>
      <c r="O1733" s="29" t="s">
        <v>47</v>
      </c>
      <c r="P1733" s="30" t="s">
        <v>3148</v>
      </c>
    </row>
    <row r="1734" s="25" customFormat="1" spans="1:16">
      <c r="A1734" s="29" t="s">
        <v>3147</v>
      </c>
      <c r="B1734" s="29" t="s">
        <v>3131</v>
      </c>
      <c r="C1734" s="29" t="s">
        <v>59</v>
      </c>
      <c r="D1734" s="29" t="s">
        <v>2879</v>
      </c>
      <c r="E1734" s="29" t="s">
        <v>35</v>
      </c>
      <c r="F1734" s="29" t="s">
        <v>47</v>
      </c>
      <c r="G1734" s="29" t="s">
        <v>327</v>
      </c>
      <c r="H1734" s="29" t="s">
        <v>63</v>
      </c>
      <c r="I1734" s="29" t="s">
        <v>39</v>
      </c>
      <c r="J1734" s="29" t="s">
        <v>141</v>
      </c>
      <c r="K1734" s="29" t="s">
        <v>3149</v>
      </c>
      <c r="L1734" s="29" t="s">
        <v>3128</v>
      </c>
      <c r="M1734" s="29" t="s">
        <v>329</v>
      </c>
      <c r="N1734" s="29" t="s">
        <v>3134</v>
      </c>
      <c r="O1734" s="29" t="s">
        <v>47</v>
      </c>
      <c r="P1734" s="30" t="s">
        <v>3150</v>
      </c>
    </row>
    <row r="1735" s="25" customFormat="1" spans="1:16">
      <c r="A1735" s="29" t="s">
        <v>3149</v>
      </c>
      <c r="B1735" s="29" t="s">
        <v>3131</v>
      </c>
      <c r="C1735" s="29" t="s">
        <v>59</v>
      </c>
      <c r="D1735" s="29" t="s">
        <v>2879</v>
      </c>
      <c r="E1735" s="29" t="s">
        <v>35</v>
      </c>
      <c r="F1735" s="29" t="s">
        <v>47</v>
      </c>
      <c r="G1735" s="29" t="s">
        <v>327</v>
      </c>
      <c r="H1735" s="29" t="s">
        <v>63</v>
      </c>
      <c r="I1735" s="29" t="s">
        <v>39</v>
      </c>
      <c r="J1735" s="29" t="s">
        <v>145</v>
      </c>
      <c r="K1735" s="29" t="s">
        <v>39</v>
      </c>
      <c r="L1735" s="29" t="s">
        <v>39</v>
      </c>
      <c r="M1735" s="29" t="s">
        <v>39</v>
      </c>
      <c r="N1735" s="29" t="s">
        <v>3134</v>
      </c>
      <c r="O1735" s="29" t="s">
        <v>47</v>
      </c>
      <c r="P1735" s="30" t="s">
        <v>3151</v>
      </c>
    </row>
    <row r="1736" s="25" customFormat="1" spans="1:16">
      <c r="A1736" s="29" t="s">
        <v>3152</v>
      </c>
      <c r="B1736" s="29" t="s">
        <v>3152</v>
      </c>
      <c r="C1736" s="29" t="s">
        <v>59</v>
      </c>
      <c r="D1736" s="29" t="s">
        <v>2879</v>
      </c>
      <c r="E1736" s="29" t="s">
        <v>35</v>
      </c>
      <c r="F1736" s="29" t="s">
        <v>47</v>
      </c>
      <c r="G1736" s="29" t="s">
        <v>350</v>
      </c>
      <c r="H1736" s="29" t="s">
        <v>80</v>
      </c>
      <c r="I1736" s="29" t="s">
        <v>39</v>
      </c>
      <c r="J1736" s="29" t="s">
        <v>39</v>
      </c>
      <c r="K1736" s="29" t="s">
        <v>3153</v>
      </c>
      <c r="L1736" s="29" t="s">
        <v>3103</v>
      </c>
      <c r="M1736" s="29" t="s">
        <v>329</v>
      </c>
      <c r="N1736" s="29" t="s">
        <v>2909</v>
      </c>
      <c r="O1736" s="29" t="s">
        <v>51</v>
      </c>
      <c r="P1736" s="30" t="s">
        <v>2910</v>
      </c>
    </row>
    <row r="1737" s="25" customFormat="1" spans="1:16">
      <c r="A1737" s="29" t="s">
        <v>3153</v>
      </c>
      <c r="B1737" s="29" t="s">
        <v>3152</v>
      </c>
      <c r="C1737" s="29" t="s">
        <v>59</v>
      </c>
      <c r="D1737" s="29" t="s">
        <v>2879</v>
      </c>
      <c r="E1737" s="29" t="s">
        <v>35</v>
      </c>
      <c r="F1737" s="29" t="s">
        <v>47</v>
      </c>
      <c r="G1737" s="29" t="s">
        <v>350</v>
      </c>
      <c r="H1737" s="29" t="s">
        <v>80</v>
      </c>
      <c r="I1737" s="29" t="s">
        <v>39</v>
      </c>
      <c r="J1737" s="29" t="s">
        <v>35</v>
      </c>
      <c r="K1737" s="29" t="s">
        <v>3154</v>
      </c>
      <c r="L1737" s="29" t="s">
        <v>3105</v>
      </c>
      <c r="M1737" s="29" t="s">
        <v>329</v>
      </c>
      <c r="N1737" s="29" t="s">
        <v>3155</v>
      </c>
      <c r="O1737" s="29" t="s">
        <v>51</v>
      </c>
      <c r="P1737" s="30" t="s">
        <v>3156</v>
      </c>
    </row>
    <row r="1738" s="25" customFormat="1" spans="1:16">
      <c r="A1738" s="29" t="s">
        <v>3154</v>
      </c>
      <c r="B1738" s="29" t="s">
        <v>3152</v>
      </c>
      <c r="C1738" s="29" t="s">
        <v>59</v>
      </c>
      <c r="D1738" s="29" t="s">
        <v>2879</v>
      </c>
      <c r="E1738" s="29" t="s">
        <v>35</v>
      </c>
      <c r="F1738" s="29" t="s">
        <v>47</v>
      </c>
      <c r="G1738" s="29" t="s">
        <v>350</v>
      </c>
      <c r="H1738" s="29" t="s">
        <v>80</v>
      </c>
      <c r="I1738" s="29" t="s">
        <v>39</v>
      </c>
      <c r="J1738" s="29" t="s">
        <v>47</v>
      </c>
      <c r="K1738" s="29" t="s">
        <v>3157</v>
      </c>
      <c r="L1738" s="29" t="s">
        <v>3109</v>
      </c>
      <c r="M1738" s="29" t="s">
        <v>329</v>
      </c>
      <c r="N1738" s="29" t="s">
        <v>3155</v>
      </c>
      <c r="O1738" s="29" t="s">
        <v>51</v>
      </c>
      <c r="P1738" s="30" t="s">
        <v>3158</v>
      </c>
    </row>
    <row r="1739" s="25" customFormat="1" spans="1:16">
      <c r="A1739" s="29" t="s">
        <v>3157</v>
      </c>
      <c r="B1739" s="29" t="s">
        <v>3152</v>
      </c>
      <c r="C1739" s="29" t="s">
        <v>59</v>
      </c>
      <c r="D1739" s="29" t="s">
        <v>2879</v>
      </c>
      <c r="E1739" s="29" t="s">
        <v>35</v>
      </c>
      <c r="F1739" s="29" t="s">
        <v>47</v>
      </c>
      <c r="G1739" s="29" t="s">
        <v>350</v>
      </c>
      <c r="H1739" s="29" t="s">
        <v>80</v>
      </c>
      <c r="I1739" s="29" t="s">
        <v>39</v>
      </c>
      <c r="J1739" s="29" t="s">
        <v>51</v>
      </c>
      <c r="K1739" s="29" t="s">
        <v>3159</v>
      </c>
      <c r="L1739" s="29" t="s">
        <v>3112</v>
      </c>
      <c r="M1739" s="29" t="s">
        <v>329</v>
      </c>
      <c r="N1739" s="29" t="s">
        <v>3155</v>
      </c>
      <c r="O1739" s="29" t="s">
        <v>51</v>
      </c>
      <c r="P1739" s="30" t="s">
        <v>3160</v>
      </c>
    </row>
    <row r="1740" s="25" customFormat="1" spans="1:16">
      <c r="A1740" s="29" t="s">
        <v>3159</v>
      </c>
      <c r="B1740" s="29" t="s">
        <v>3152</v>
      </c>
      <c r="C1740" s="29" t="s">
        <v>59</v>
      </c>
      <c r="D1740" s="29" t="s">
        <v>2879</v>
      </c>
      <c r="E1740" s="29" t="s">
        <v>35</v>
      </c>
      <c r="F1740" s="29" t="s">
        <v>47</v>
      </c>
      <c r="G1740" s="29" t="s">
        <v>350</v>
      </c>
      <c r="H1740" s="29" t="s">
        <v>80</v>
      </c>
      <c r="I1740" s="29" t="s">
        <v>39</v>
      </c>
      <c r="J1740" s="29" t="s">
        <v>55</v>
      </c>
      <c r="K1740" s="29" t="s">
        <v>3161</v>
      </c>
      <c r="L1740" s="29" t="s">
        <v>3114</v>
      </c>
      <c r="M1740" s="29" t="s">
        <v>329</v>
      </c>
      <c r="N1740" s="29" t="s">
        <v>3155</v>
      </c>
      <c r="O1740" s="29" t="s">
        <v>51</v>
      </c>
      <c r="P1740" s="30" t="s">
        <v>3162</v>
      </c>
    </row>
    <row r="1741" s="25" customFormat="1" spans="1:16">
      <c r="A1741" s="29" t="s">
        <v>3161</v>
      </c>
      <c r="B1741" s="29" t="s">
        <v>3152</v>
      </c>
      <c r="C1741" s="29" t="s">
        <v>59</v>
      </c>
      <c r="D1741" s="29" t="s">
        <v>2879</v>
      </c>
      <c r="E1741" s="29" t="s">
        <v>35</v>
      </c>
      <c r="F1741" s="29" t="s">
        <v>47</v>
      </c>
      <c r="G1741" s="29" t="s">
        <v>350</v>
      </c>
      <c r="H1741" s="29" t="s">
        <v>80</v>
      </c>
      <c r="I1741" s="29" t="s">
        <v>39</v>
      </c>
      <c r="J1741" s="29" t="s">
        <v>59</v>
      </c>
      <c r="K1741" s="29" t="s">
        <v>3163</v>
      </c>
      <c r="L1741" s="29" t="s">
        <v>3117</v>
      </c>
      <c r="M1741" s="29" t="s">
        <v>329</v>
      </c>
      <c r="N1741" s="29" t="s">
        <v>3155</v>
      </c>
      <c r="O1741" s="29" t="s">
        <v>51</v>
      </c>
      <c r="P1741" s="30" t="s">
        <v>2919</v>
      </c>
    </row>
    <row r="1742" s="25" customFormat="1" spans="1:16">
      <c r="A1742" s="29" t="s">
        <v>3163</v>
      </c>
      <c r="B1742" s="29" t="s">
        <v>3152</v>
      </c>
      <c r="C1742" s="29" t="s">
        <v>59</v>
      </c>
      <c r="D1742" s="29" t="s">
        <v>2879</v>
      </c>
      <c r="E1742" s="29" t="s">
        <v>35</v>
      </c>
      <c r="F1742" s="29" t="s">
        <v>47</v>
      </c>
      <c r="G1742" s="29" t="s">
        <v>350</v>
      </c>
      <c r="H1742" s="29" t="s">
        <v>80</v>
      </c>
      <c r="I1742" s="29" t="s">
        <v>39</v>
      </c>
      <c r="J1742" s="29" t="s">
        <v>129</v>
      </c>
      <c r="K1742" s="29" t="s">
        <v>3164</v>
      </c>
      <c r="L1742" s="29" t="s">
        <v>3120</v>
      </c>
      <c r="M1742" s="29" t="s">
        <v>329</v>
      </c>
      <c r="N1742" s="29" t="s">
        <v>3155</v>
      </c>
      <c r="O1742" s="29" t="s">
        <v>51</v>
      </c>
      <c r="P1742" s="30" t="s">
        <v>3165</v>
      </c>
    </row>
    <row r="1743" s="25" customFormat="1" spans="1:16">
      <c r="A1743" s="29" t="s">
        <v>3164</v>
      </c>
      <c r="B1743" s="29" t="s">
        <v>3152</v>
      </c>
      <c r="C1743" s="29" t="s">
        <v>59</v>
      </c>
      <c r="D1743" s="29" t="s">
        <v>2879</v>
      </c>
      <c r="E1743" s="29" t="s">
        <v>35</v>
      </c>
      <c r="F1743" s="29" t="s">
        <v>47</v>
      </c>
      <c r="G1743" s="29" t="s">
        <v>350</v>
      </c>
      <c r="H1743" s="29" t="s">
        <v>80</v>
      </c>
      <c r="I1743" s="29" t="s">
        <v>39</v>
      </c>
      <c r="J1743" s="29" t="s">
        <v>133</v>
      </c>
      <c r="K1743" s="29" t="s">
        <v>3166</v>
      </c>
      <c r="L1743" s="29" t="s">
        <v>3122</v>
      </c>
      <c r="M1743" s="29" t="s">
        <v>329</v>
      </c>
      <c r="N1743" s="29" t="s">
        <v>3155</v>
      </c>
      <c r="O1743" s="29" t="s">
        <v>51</v>
      </c>
      <c r="P1743" s="30" t="s">
        <v>3167</v>
      </c>
    </row>
    <row r="1744" s="25" customFormat="1" spans="1:16">
      <c r="A1744" s="29" t="s">
        <v>3166</v>
      </c>
      <c r="B1744" s="29" t="s">
        <v>3152</v>
      </c>
      <c r="C1744" s="29" t="s">
        <v>59</v>
      </c>
      <c r="D1744" s="29" t="s">
        <v>2879</v>
      </c>
      <c r="E1744" s="29" t="s">
        <v>35</v>
      </c>
      <c r="F1744" s="29" t="s">
        <v>47</v>
      </c>
      <c r="G1744" s="29" t="s">
        <v>350</v>
      </c>
      <c r="H1744" s="29" t="s">
        <v>80</v>
      </c>
      <c r="I1744" s="29" t="s">
        <v>39</v>
      </c>
      <c r="J1744" s="29" t="s">
        <v>137</v>
      </c>
      <c r="K1744" s="29" t="s">
        <v>3168</v>
      </c>
      <c r="L1744" s="29" t="s">
        <v>3125</v>
      </c>
      <c r="M1744" s="29" t="s">
        <v>329</v>
      </c>
      <c r="N1744" s="29" t="s">
        <v>3155</v>
      </c>
      <c r="O1744" s="29" t="s">
        <v>51</v>
      </c>
      <c r="P1744" s="30" t="s">
        <v>3169</v>
      </c>
    </row>
    <row r="1745" s="25" customFormat="1" spans="1:16">
      <c r="A1745" s="29" t="s">
        <v>3168</v>
      </c>
      <c r="B1745" s="29" t="s">
        <v>3152</v>
      </c>
      <c r="C1745" s="29" t="s">
        <v>59</v>
      </c>
      <c r="D1745" s="29" t="s">
        <v>2879</v>
      </c>
      <c r="E1745" s="29" t="s">
        <v>35</v>
      </c>
      <c r="F1745" s="29" t="s">
        <v>47</v>
      </c>
      <c r="G1745" s="29" t="s">
        <v>350</v>
      </c>
      <c r="H1745" s="29" t="s">
        <v>80</v>
      </c>
      <c r="I1745" s="29" t="s">
        <v>39</v>
      </c>
      <c r="J1745" s="29" t="s">
        <v>141</v>
      </c>
      <c r="K1745" s="29" t="s">
        <v>3170</v>
      </c>
      <c r="L1745" s="29" t="s">
        <v>3128</v>
      </c>
      <c r="M1745" s="29" t="s">
        <v>329</v>
      </c>
      <c r="N1745" s="29" t="s">
        <v>3155</v>
      </c>
      <c r="O1745" s="29" t="s">
        <v>51</v>
      </c>
      <c r="P1745" s="30" t="s">
        <v>3171</v>
      </c>
    </row>
    <row r="1746" s="25" customFormat="1" spans="1:16">
      <c r="A1746" s="29" t="s">
        <v>3170</v>
      </c>
      <c r="B1746" s="29" t="s">
        <v>3152</v>
      </c>
      <c r="C1746" s="29" t="s">
        <v>59</v>
      </c>
      <c r="D1746" s="29" t="s">
        <v>2879</v>
      </c>
      <c r="E1746" s="29" t="s">
        <v>35</v>
      </c>
      <c r="F1746" s="29" t="s">
        <v>47</v>
      </c>
      <c r="G1746" s="29" t="s">
        <v>350</v>
      </c>
      <c r="H1746" s="29" t="s">
        <v>80</v>
      </c>
      <c r="I1746" s="29" t="s">
        <v>39</v>
      </c>
      <c r="J1746" s="29" t="s">
        <v>145</v>
      </c>
      <c r="K1746" s="29" t="s">
        <v>39</v>
      </c>
      <c r="L1746" s="29" t="s">
        <v>39</v>
      </c>
      <c r="M1746" s="29" t="s">
        <v>39</v>
      </c>
      <c r="N1746" s="29" t="s">
        <v>3155</v>
      </c>
      <c r="O1746" s="29" t="s">
        <v>51</v>
      </c>
      <c r="P1746" s="30" t="s">
        <v>3172</v>
      </c>
    </row>
    <row r="1747" s="25" customFormat="1" spans="1:16">
      <c r="A1747" s="29" t="s">
        <v>3173</v>
      </c>
      <c r="B1747" s="29" t="s">
        <v>3173</v>
      </c>
      <c r="C1747" s="29" t="s">
        <v>59</v>
      </c>
      <c r="D1747" s="29" t="s">
        <v>2879</v>
      </c>
      <c r="E1747" s="29" t="s">
        <v>35</v>
      </c>
      <c r="F1747" s="29" t="s">
        <v>47</v>
      </c>
      <c r="G1747" s="29" t="s">
        <v>372</v>
      </c>
      <c r="H1747" s="29" t="s">
        <v>96</v>
      </c>
      <c r="I1747" s="29" t="s">
        <v>39</v>
      </c>
      <c r="J1747" s="29" t="s">
        <v>39</v>
      </c>
      <c r="K1747" s="29" t="s">
        <v>3174</v>
      </c>
      <c r="L1747" s="29" t="s">
        <v>3103</v>
      </c>
      <c r="M1747" s="29" t="s">
        <v>329</v>
      </c>
      <c r="N1747" s="29" t="s">
        <v>2923</v>
      </c>
      <c r="O1747" s="29" t="s">
        <v>55</v>
      </c>
      <c r="P1747" s="30" t="s">
        <v>2924</v>
      </c>
    </row>
    <row r="1748" s="25" customFormat="1" spans="1:16">
      <c r="A1748" s="29" t="s">
        <v>3174</v>
      </c>
      <c r="B1748" s="29" t="s">
        <v>3173</v>
      </c>
      <c r="C1748" s="29" t="s">
        <v>59</v>
      </c>
      <c r="D1748" s="29" t="s">
        <v>2879</v>
      </c>
      <c r="E1748" s="29" t="s">
        <v>35</v>
      </c>
      <c r="F1748" s="29" t="s">
        <v>47</v>
      </c>
      <c r="G1748" s="29" t="s">
        <v>372</v>
      </c>
      <c r="H1748" s="29" t="s">
        <v>96</v>
      </c>
      <c r="I1748" s="29" t="s">
        <v>39</v>
      </c>
      <c r="J1748" s="29" t="s">
        <v>35</v>
      </c>
      <c r="K1748" s="29" t="s">
        <v>3175</v>
      </c>
      <c r="L1748" s="29" t="s">
        <v>3105</v>
      </c>
      <c r="M1748" s="29" t="s">
        <v>329</v>
      </c>
      <c r="N1748" s="29" t="s">
        <v>3176</v>
      </c>
      <c r="O1748" s="29" t="s">
        <v>55</v>
      </c>
      <c r="P1748" s="30" t="s">
        <v>3177</v>
      </c>
    </row>
    <row r="1749" s="25" customFormat="1" spans="1:16">
      <c r="A1749" s="29" t="s">
        <v>3175</v>
      </c>
      <c r="B1749" s="29" t="s">
        <v>3173</v>
      </c>
      <c r="C1749" s="29" t="s">
        <v>59</v>
      </c>
      <c r="D1749" s="29" t="s">
        <v>2879</v>
      </c>
      <c r="E1749" s="29" t="s">
        <v>35</v>
      </c>
      <c r="F1749" s="29" t="s">
        <v>47</v>
      </c>
      <c r="G1749" s="29" t="s">
        <v>372</v>
      </c>
      <c r="H1749" s="29" t="s">
        <v>96</v>
      </c>
      <c r="I1749" s="29" t="s">
        <v>39</v>
      </c>
      <c r="J1749" s="29" t="s">
        <v>47</v>
      </c>
      <c r="K1749" s="29" t="s">
        <v>3178</v>
      </c>
      <c r="L1749" s="29" t="s">
        <v>3109</v>
      </c>
      <c r="M1749" s="29" t="s">
        <v>329</v>
      </c>
      <c r="N1749" s="29" t="s">
        <v>3176</v>
      </c>
      <c r="O1749" s="29" t="s">
        <v>55</v>
      </c>
      <c r="P1749" s="30" t="s">
        <v>3179</v>
      </c>
    </row>
    <row r="1750" s="25" customFormat="1" spans="1:16">
      <c r="A1750" s="29" t="s">
        <v>3178</v>
      </c>
      <c r="B1750" s="29" t="s">
        <v>3173</v>
      </c>
      <c r="C1750" s="29" t="s">
        <v>59</v>
      </c>
      <c r="D1750" s="29" t="s">
        <v>2879</v>
      </c>
      <c r="E1750" s="29" t="s">
        <v>35</v>
      </c>
      <c r="F1750" s="29" t="s">
        <v>47</v>
      </c>
      <c r="G1750" s="29" t="s">
        <v>372</v>
      </c>
      <c r="H1750" s="29" t="s">
        <v>96</v>
      </c>
      <c r="I1750" s="29" t="s">
        <v>39</v>
      </c>
      <c r="J1750" s="29" t="s">
        <v>51</v>
      </c>
      <c r="K1750" s="29" t="s">
        <v>3180</v>
      </c>
      <c r="L1750" s="29" t="s">
        <v>3112</v>
      </c>
      <c r="M1750" s="29" t="s">
        <v>329</v>
      </c>
      <c r="N1750" s="29" t="s">
        <v>3176</v>
      </c>
      <c r="O1750" s="29" t="s">
        <v>55</v>
      </c>
      <c r="P1750" s="30" t="s">
        <v>3181</v>
      </c>
    </row>
    <row r="1751" s="25" customFormat="1" spans="1:16">
      <c r="A1751" s="29" t="s">
        <v>3180</v>
      </c>
      <c r="B1751" s="29" t="s">
        <v>3173</v>
      </c>
      <c r="C1751" s="29" t="s">
        <v>59</v>
      </c>
      <c r="D1751" s="29" t="s">
        <v>2879</v>
      </c>
      <c r="E1751" s="29" t="s">
        <v>35</v>
      </c>
      <c r="F1751" s="29" t="s">
        <v>47</v>
      </c>
      <c r="G1751" s="29" t="s">
        <v>372</v>
      </c>
      <c r="H1751" s="29" t="s">
        <v>96</v>
      </c>
      <c r="I1751" s="29" t="s">
        <v>39</v>
      </c>
      <c r="J1751" s="29" t="s">
        <v>55</v>
      </c>
      <c r="K1751" s="29" t="s">
        <v>3182</v>
      </c>
      <c r="L1751" s="29" t="s">
        <v>3114</v>
      </c>
      <c r="M1751" s="29" t="s">
        <v>329</v>
      </c>
      <c r="N1751" s="29" t="s">
        <v>3176</v>
      </c>
      <c r="O1751" s="29" t="s">
        <v>55</v>
      </c>
      <c r="P1751" s="30" t="s">
        <v>3183</v>
      </c>
    </row>
    <row r="1752" s="25" customFormat="1" spans="1:16">
      <c r="A1752" s="29" t="s">
        <v>3182</v>
      </c>
      <c r="B1752" s="29" t="s">
        <v>3173</v>
      </c>
      <c r="C1752" s="29" t="s">
        <v>59</v>
      </c>
      <c r="D1752" s="29" t="s">
        <v>2879</v>
      </c>
      <c r="E1752" s="29" t="s">
        <v>35</v>
      </c>
      <c r="F1752" s="29" t="s">
        <v>47</v>
      </c>
      <c r="G1752" s="29" t="s">
        <v>372</v>
      </c>
      <c r="H1752" s="29" t="s">
        <v>96</v>
      </c>
      <c r="I1752" s="29" t="s">
        <v>39</v>
      </c>
      <c r="J1752" s="29" t="s">
        <v>59</v>
      </c>
      <c r="K1752" s="29" t="s">
        <v>3184</v>
      </c>
      <c r="L1752" s="29" t="s">
        <v>3117</v>
      </c>
      <c r="M1752" s="29" t="s">
        <v>329</v>
      </c>
      <c r="N1752" s="29" t="s">
        <v>3176</v>
      </c>
      <c r="O1752" s="29" t="s">
        <v>55</v>
      </c>
      <c r="P1752" s="30" t="s">
        <v>3185</v>
      </c>
    </row>
    <row r="1753" s="25" customFormat="1" spans="1:16">
      <c r="A1753" s="29" t="s">
        <v>3184</v>
      </c>
      <c r="B1753" s="29" t="s">
        <v>3173</v>
      </c>
      <c r="C1753" s="29" t="s">
        <v>59</v>
      </c>
      <c r="D1753" s="29" t="s">
        <v>2879</v>
      </c>
      <c r="E1753" s="29" t="s">
        <v>35</v>
      </c>
      <c r="F1753" s="29" t="s">
        <v>47</v>
      </c>
      <c r="G1753" s="29" t="s">
        <v>372</v>
      </c>
      <c r="H1753" s="29" t="s">
        <v>96</v>
      </c>
      <c r="I1753" s="29" t="s">
        <v>39</v>
      </c>
      <c r="J1753" s="29" t="s">
        <v>129</v>
      </c>
      <c r="K1753" s="29" t="s">
        <v>3186</v>
      </c>
      <c r="L1753" s="29" t="s">
        <v>3120</v>
      </c>
      <c r="M1753" s="29" t="s">
        <v>329</v>
      </c>
      <c r="N1753" s="29" t="s">
        <v>3176</v>
      </c>
      <c r="O1753" s="29" t="s">
        <v>55</v>
      </c>
      <c r="P1753" s="30" t="s">
        <v>2934</v>
      </c>
    </row>
    <row r="1754" s="25" customFormat="1" spans="1:16">
      <c r="A1754" s="29" t="s">
        <v>3186</v>
      </c>
      <c r="B1754" s="29" t="s">
        <v>3173</v>
      </c>
      <c r="C1754" s="29" t="s">
        <v>59</v>
      </c>
      <c r="D1754" s="29" t="s">
        <v>2879</v>
      </c>
      <c r="E1754" s="29" t="s">
        <v>35</v>
      </c>
      <c r="F1754" s="29" t="s">
        <v>47</v>
      </c>
      <c r="G1754" s="29" t="s">
        <v>372</v>
      </c>
      <c r="H1754" s="29" t="s">
        <v>96</v>
      </c>
      <c r="I1754" s="29" t="s">
        <v>39</v>
      </c>
      <c r="J1754" s="29" t="s">
        <v>133</v>
      </c>
      <c r="K1754" s="29" t="s">
        <v>3187</v>
      </c>
      <c r="L1754" s="29" t="s">
        <v>3122</v>
      </c>
      <c r="M1754" s="29" t="s">
        <v>329</v>
      </c>
      <c r="N1754" s="29" t="s">
        <v>3176</v>
      </c>
      <c r="O1754" s="29" t="s">
        <v>55</v>
      </c>
      <c r="P1754" s="30" t="s">
        <v>3188</v>
      </c>
    </row>
    <row r="1755" s="25" customFormat="1" spans="1:16">
      <c r="A1755" s="29" t="s">
        <v>3187</v>
      </c>
      <c r="B1755" s="29" t="s">
        <v>3173</v>
      </c>
      <c r="C1755" s="29" t="s">
        <v>59</v>
      </c>
      <c r="D1755" s="29" t="s">
        <v>2879</v>
      </c>
      <c r="E1755" s="29" t="s">
        <v>35</v>
      </c>
      <c r="F1755" s="29" t="s">
        <v>47</v>
      </c>
      <c r="G1755" s="29" t="s">
        <v>372</v>
      </c>
      <c r="H1755" s="29" t="s">
        <v>96</v>
      </c>
      <c r="I1755" s="29" t="s">
        <v>39</v>
      </c>
      <c r="J1755" s="29" t="s">
        <v>137</v>
      </c>
      <c r="K1755" s="29" t="s">
        <v>3189</v>
      </c>
      <c r="L1755" s="29" t="s">
        <v>3125</v>
      </c>
      <c r="M1755" s="29" t="s">
        <v>329</v>
      </c>
      <c r="N1755" s="29" t="s">
        <v>3176</v>
      </c>
      <c r="O1755" s="29" t="s">
        <v>55</v>
      </c>
      <c r="P1755" s="30" t="s">
        <v>3190</v>
      </c>
    </row>
    <row r="1756" s="25" customFormat="1" spans="1:16">
      <c r="A1756" s="29" t="s">
        <v>3189</v>
      </c>
      <c r="B1756" s="29" t="s">
        <v>3173</v>
      </c>
      <c r="C1756" s="29" t="s">
        <v>59</v>
      </c>
      <c r="D1756" s="29" t="s">
        <v>2879</v>
      </c>
      <c r="E1756" s="29" t="s">
        <v>35</v>
      </c>
      <c r="F1756" s="29" t="s">
        <v>47</v>
      </c>
      <c r="G1756" s="29" t="s">
        <v>372</v>
      </c>
      <c r="H1756" s="29" t="s">
        <v>96</v>
      </c>
      <c r="I1756" s="29" t="s">
        <v>39</v>
      </c>
      <c r="J1756" s="29" t="s">
        <v>141</v>
      </c>
      <c r="K1756" s="29" t="s">
        <v>3191</v>
      </c>
      <c r="L1756" s="29" t="s">
        <v>3128</v>
      </c>
      <c r="M1756" s="29" t="s">
        <v>329</v>
      </c>
      <c r="N1756" s="29" t="s">
        <v>3176</v>
      </c>
      <c r="O1756" s="29" t="s">
        <v>55</v>
      </c>
      <c r="P1756" s="30" t="s">
        <v>3192</v>
      </c>
    </row>
    <row r="1757" s="25" customFormat="1" spans="1:16">
      <c r="A1757" s="29" t="s">
        <v>3191</v>
      </c>
      <c r="B1757" s="29" t="s">
        <v>3173</v>
      </c>
      <c r="C1757" s="29" t="s">
        <v>59</v>
      </c>
      <c r="D1757" s="29" t="s">
        <v>2879</v>
      </c>
      <c r="E1757" s="29" t="s">
        <v>35</v>
      </c>
      <c r="F1757" s="29" t="s">
        <v>47</v>
      </c>
      <c r="G1757" s="29" t="s">
        <v>372</v>
      </c>
      <c r="H1757" s="29" t="s">
        <v>96</v>
      </c>
      <c r="I1757" s="29" t="s">
        <v>39</v>
      </c>
      <c r="J1757" s="29" t="s">
        <v>145</v>
      </c>
      <c r="K1757" s="29" t="s">
        <v>39</v>
      </c>
      <c r="L1757" s="29" t="s">
        <v>39</v>
      </c>
      <c r="M1757" s="29" t="s">
        <v>39</v>
      </c>
      <c r="N1757" s="29" t="s">
        <v>3176</v>
      </c>
      <c r="O1757" s="29" t="s">
        <v>55</v>
      </c>
      <c r="P1757" s="30" t="s">
        <v>3193</v>
      </c>
    </row>
    <row r="1758" s="25" customFormat="1" spans="1:16">
      <c r="A1758" s="29" t="s">
        <v>3194</v>
      </c>
      <c r="B1758" s="29" t="s">
        <v>3194</v>
      </c>
      <c r="C1758" s="29" t="s">
        <v>59</v>
      </c>
      <c r="D1758" s="29" t="s">
        <v>2879</v>
      </c>
      <c r="E1758" s="29" t="s">
        <v>35</v>
      </c>
      <c r="F1758" s="29" t="s">
        <v>47</v>
      </c>
      <c r="G1758" s="29" t="s">
        <v>394</v>
      </c>
      <c r="H1758" s="29" t="s">
        <v>112</v>
      </c>
      <c r="I1758" s="29" t="s">
        <v>39</v>
      </c>
      <c r="J1758" s="29" t="s">
        <v>39</v>
      </c>
      <c r="K1758" s="29" t="s">
        <v>3195</v>
      </c>
      <c r="L1758" s="29" t="s">
        <v>3103</v>
      </c>
      <c r="M1758" s="29" t="s">
        <v>396</v>
      </c>
      <c r="N1758" s="29" t="s">
        <v>3196</v>
      </c>
      <c r="O1758" s="29" t="s">
        <v>59</v>
      </c>
      <c r="P1758" s="30" t="s">
        <v>2938</v>
      </c>
    </row>
    <row r="1759" s="25" customFormat="1" spans="1:16">
      <c r="A1759" s="29" t="s">
        <v>3195</v>
      </c>
      <c r="B1759" s="29" t="s">
        <v>3194</v>
      </c>
      <c r="C1759" s="29" t="s">
        <v>59</v>
      </c>
      <c r="D1759" s="29" t="s">
        <v>2879</v>
      </c>
      <c r="E1759" s="29" t="s">
        <v>35</v>
      </c>
      <c r="F1759" s="29" t="s">
        <v>47</v>
      </c>
      <c r="G1759" s="29" t="s">
        <v>394</v>
      </c>
      <c r="H1759" s="29" t="s">
        <v>112</v>
      </c>
      <c r="I1759" s="29" t="s">
        <v>39</v>
      </c>
      <c r="J1759" s="29" t="s">
        <v>35</v>
      </c>
      <c r="K1759" s="29" t="s">
        <v>3197</v>
      </c>
      <c r="L1759" s="29" t="s">
        <v>3105</v>
      </c>
      <c r="M1759" s="29" t="s">
        <v>396</v>
      </c>
      <c r="N1759" s="29" t="s">
        <v>3198</v>
      </c>
      <c r="O1759" s="29" t="s">
        <v>59</v>
      </c>
      <c r="P1759" s="30" t="s">
        <v>2941</v>
      </c>
    </row>
    <row r="1760" s="25" customFormat="1" spans="1:16">
      <c r="A1760" s="29" t="s">
        <v>3197</v>
      </c>
      <c r="B1760" s="29" t="s">
        <v>3194</v>
      </c>
      <c r="C1760" s="29" t="s">
        <v>59</v>
      </c>
      <c r="D1760" s="29" t="s">
        <v>2879</v>
      </c>
      <c r="E1760" s="29" t="s">
        <v>35</v>
      </c>
      <c r="F1760" s="29" t="s">
        <v>47</v>
      </c>
      <c r="G1760" s="29" t="s">
        <v>394</v>
      </c>
      <c r="H1760" s="29" t="s">
        <v>112</v>
      </c>
      <c r="I1760" s="29" t="s">
        <v>39</v>
      </c>
      <c r="J1760" s="29" t="s">
        <v>47</v>
      </c>
      <c r="K1760" s="29" t="s">
        <v>3199</v>
      </c>
      <c r="L1760" s="29" t="s">
        <v>3109</v>
      </c>
      <c r="M1760" s="29" t="s">
        <v>396</v>
      </c>
      <c r="N1760" s="29" t="s">
        <v>3198</v>
      </c>
      <c r="O1760" s="29" t="s">
        <v>59</v>
      </c>
      <c r="P1760" s="30" t="s">
        <v>2943</v>
      </c>
    </row>
    <row r="1761" s="25" customFormat="1" spans="1:16">
      <c r="A1761" s="29" t="s">
        <v>3199</v>
      </c>
      <c r="B1761" s="29" t="s">
        <v>3194</v>
      </c>
      <c r="C1761" s="29" t="s">
        <v>59</v>
      </c>
      <c r="D1761" s="29" t="s">
        <v>2879</v>
      </c>
      <c r="E1761" s="29" t="s">
        <v>35</v>
      </c>
      <c r="F1761" s="29" t="s">
        <v>47</v>
      </c>
      <c r="G1761" s="29" t="s">
        <v>394</v>
      </c>
      <c r="H1761" s="29" t="s">
        <v>112</v>
      </c>
      <c r="I1761" s="29" t="s">
        <v>39</v>
      </c>
      <c r="J1761" s="29" t="s">
        <v>51</v>
      </c>
      <c r="K1761" s="29" t="s">
        <v>3200</v>
      </c>
      <c r="L1761" s="29" t="s">
        <v>3112</v>
      </c>
      <c r="M1761" s="29" t="s">
        <v>396</v>
      </c>
      <c r="N1761" s="29" t="s">
        <v>3198</v>
      </c>
      <c r="O1761" s="29" t="s">
        <v>59</v>
      </c>
      <c r="P1761" s="30" t="s">
        <v>2945</v>
      </c>
    </row>
    <row r="1762" s="25" customFormat="1" spans="1:16">
      <c r="A1762" s="29" t="s">
        <v>3200</v>
      </c>
      <c r="B1762" s="29" t="s">
        <v>3194</v>
      </c>
      <c r="C1762" s="29" t="s">
        <v>59</v>
      </c>
      <c r="D1762" s="29" t="s">
        <v>2879</v>
      </c>
      <c r="E1762" s="29" t="s">
        <v>35</v>
      </c>
      <c r="F1762" s="29" t="s">
        <v>47</v>
      </c>
      <c r="G1762" s="29" t="s">
        <v>394</v>
      </c>
      <c r="H1762" s="29" t="s">
        <v>112</v>
      </c>
      <c r="I1762" s="29" t="s">
        <v>39</v>
      </c>
      <c r="J1762" s="29" t="s">
        <v>55</v>
      </c>
      <c r="K1762" s="29" t="s">
        <v>3201</v>
      </c>
      <c r="L1762" s="29" t="s">
        <v>3114</v>
      </c>
      <c r="M1762" s="29" t="s">
        <v>396</v>
      </c>
      <c r="N1762" s="29" t="s">
        <v>3198</v>
      </c>
      <c r="O1762" s="29" t="s">
        <v>59</v>
      </c>
      <c r="P1762" s="30" t="s">
        <v>2947</v>
      </c>
    </row>
    <row r="1763" s="25" customFormat="1" spans="1:16">
      <c r="A1763" s="29" t="s">
        <v>3201</v>
      </c>
      <c r="B1763" s="29" t="s">
        <v>3194</v>
      </c>
      <c r="C1763" s="29" t="s">
        <v>59</v>
      </c>
      <c r="D1763" s="29" t="s">
        <v>2879</v>
      </c>
      <c r="E1763" s="29" t="s">
        <v>35</v>
      </c>
      <c r="F1763" s="29" t="s">
        <v>47</v>
      </c>
      <c r="G1763" s="29" t="s">
        <v>394</v>
      </c>
      <c r="H1763" s="29" t="s">
        <v>112</v>
      </c>
      <c r="I1763" s="29" t="s">
        <v>39</v>
      </c>
      <c r="J1763" s="29" t="s">
        <v>59</v>
      </c>
      <c r="K1763" s="29" t="s">
        <v>3202</v>
      </c>
      <c r="L1763" s="29" t="s">
        <v>3117</v>
      </c>
      <c r="M1763" s="29" t="s">
        <v>396</v>
      </c>
      <c r="N1763" s="29" t="s">
        <v>3198</v>
      </c>
      <c r="O1763" s="29" t="s">
        <v>59</v>
      </c>
      <c r="P1763" s="30" t="s">
        <v>2950</v>
      </c>
    </row>
    <row r="1764" s="25" customFormat="1" spans="1:16">
      <c r="A1764" s="29" t="s">
        <v>3202</v>
      </c>
      <c r="B1764" s="29" t="s">
        <v>3194</v>
      </c>
      <c r="C1764" s="29" t="s">
        <v>59</v>
      </c>
      <c r="D1764" s="29" t="s">
        <v>2879</v>
      </c>
      <c r="E1764" s="29" t="s">
        <v>35</v>
      </c>
      <c r="F1764" s="29" t="s">
        <v>47</v>
      </c>
      <c r="G1764" s="29" t="s">
        <v>394</v>
      </c>
      <c r="H1764" s="29" t="s">
        <v>112</v>
      </c>
      <c r="I1764" s="29" t="s">
        <v>39</v>
      </c>
      <c r="J1764" s="29" t="s">
        <v>129</v>
      </c>
      <c r="K1764" s="29" t="s">
        <v>3203</v>
      </c>
      <c r="L1764" s="29" t="s">
        <v>3120</v>
      </c>
      <c r="M1764" s="29" t="s">
        <v>396</v>
      </c>
      <c r="N1764" s="29" t="s">
        <v>3198</v>
      </c>
      <c r="O1764" s="29" t="s">
        <v>59</v>
      </c>
      <c r="P1764" s="30" t="s">
        <v>2953</v>
      </c>
    </row>
    <row r="1765" s="25" customFormat="1" spans="1:16">
      <c r="A1765" s="29" t="s">
        <v>3203</v>
      </c>
      <c r="B1765" s="29" t="s">
        <v>3194</v>
      </c>
      <c r="C1765" s="29" t="s">
        <v>59</v>
      </c>
      <c r="D1765" s="29" t="s">
        <v>2879</v>
      </c>
      <c r="E1765" s="29" t="s">
        <v>35</v>
      </c>
      <c r="F1765" s="29" t="s">
        <v>47</v>
      </c>
      <c r="G1765" s="29" t="s">
        <v>394</v>
      </c>
      <c r="H1765" s="29" t="s">
        <v>112</v>
      </c>
      <c r="I1765" s="29" t="s">
        <v>39</v>
      </c>
      <c r="J1765" s="29" t="s">
        <v>133</v>
      </c>
      <c r="K1765" s="29" t="s">
        <v>3204</v>
      </c>
      <c r="L1765" s="29" t="s">
        <v>3122</v>
      </c>
      <c r="M1765" s="29" t="s">
        <v>396</v>
      </c>
      <c r="N1765" s="29" t="s">
        <v>3198</v>
      </c>
      <c r="O1765" s="29" t="s">
        <v>59</v>
      </c>
      <c r="P1765" s="30" t="s">
        <v>2956</v>
      </c>
    </row>
    <row r="1766" s="25" customFormat="1" spans="1:16">
      <c r="A1766" s="29" t="s">
        <v>3204</v>
      </c>
      <c r="B1766" s="29" t="s">
        <v>3194</v>
      </c>
      <c r="C1766" s="29" t="s">
        <v>59</v>
      </c>
      <c r="D1766" s="29" t="s">
        <v>2879</v>
      </c>
      <c r="E1766" s="29" t="s">
        <v>35</v>
      </c>
      <c r="F1766" s="29" t="s">
        <v>47</v>
      </c>
      <c r="G1766" s="29" t="s">
        <v>394</v>
      </c>
      <c r="H1766" s="29" t="s">
        <v>112</v>
      </c>
      <c r="I1766" s="29" t="s">
        <v>39</v>
      </c>
      <c r="J1766" s="29" t="s">
        <v>137</v>
      </c>
      <c r="K1766" s="29" t="s">
        <v>3205</v>
      </c>
      <c r="L1766" s="29" t="s">
        <v>3125</v>
      </c>
      <c r="M1766" s="29" t="s">
        <v>396</v>
      </c>
      <c r="N1766" s="29" t="s">
        <v>3198</v>
      </c>
      <c r="O1766" s="29" t="s">
        <v>59</v>
      </c>
      <c r="P1766" s="30" t="s">
        <v>2959</v>
      </c>
    </row>
    <row r="1767" s="25" customFormat="1" spans="1:16">
      <c r="A1767" s="29" t="s">
        <v>3205</v>
      </c>
      <c r="B1767" s="29" t="s">
        <v>3194</v>
      </c>
      <c r="C1767" s="29" t="s">
        <v>59</v>
      </c>
      <c r="D1767" s="29" t="s">
        <v>2879</v>
      </c>
      <c r="E1767" s="29" t="s">
        <v>35</v>
      </c>
      <c r="F1767" s="29" t="s">
        <v>47</v>
      </c>
      <c r="G1767" s="29" t="s">
        <v>394</v>
      </c>
      <c r="H1767" s="29" t="s">
        <v>112</v>
      </c>
      <c r="I1767" s="29" t="s">
        <v>39</v>
      </c>
      <c r="J1767" s="29" t="s">
        <v>141</v>
      </c>
      <c r="K1767" s="29" t="s">
        <v>3206</v>
      </c>
      <c r="L1767" s="29" t="s">
        <v>3128</v>
      </c>
      <c r="M1767" s="29" t="s">
        <v>396</v>
      </c>
      <c r="N1767" s="29" t="s">
        <v>3198</v>
      </c>
      <c r="O1767" s="29" t="s">
        <v>59</v>
      </c>
      <c r="P1767" s="30" t="s">
        <v>2962</v>
      </c>
    </row>
    <row r="1768" s="25" customFormat="1" spans="1:16">
      <c r="A1768" s="29" t="s">
        <v>3206</v>
      </c>
      <c r="B1768" s="29" t="s">
        <v>3194</v>
      </c>
      <c r="C1768" s="29" t="s">
        <v>59</v>
      </c>
      <c r="D1768" s="29" t="s">
        <v>2879</v>
      </c>
      <c r="E1768" s="29" t="s">
        <v>35</v>
      </c>
      <c r="F1768" s="29" t="s">
        <v>47</v>
      </c>
      <c r="G1768" s="29" t="s">
        <v>394</v>
      </c>
      <c r="H1768" s="29" t="s">
        <v>112</v>
      </c>
      <c r="I1768" s="29" t="s">
        <v>39</v>
      </c>
      <c r="J1768" s="29" t="s">
        <v>145</v>
      </c>
      <c r="K1768" s="29" t="s">
        <v>3207</v>
      </c>
      <c r="L1768" s="29" t="s">
        <v>3208</v>
      </c>
      <c r="M1768" s="29" t="s">
        <v>396</v>
      </c>
      <c r="N1768" s="29" t="s">
        <v>3198</v>
      </c>
      <c r="O1768" s="29" t="s">
        <v>59</v>
      </c>
      <c r="P1768" s="30" t="s">
        <v>2963</v>
      </c>
    </row>
    <row r="1769" s="25" customFormat="1" spans="1:16">
      <c r="A1769" s="29" t="s">
        <v>3207</v>
      </c>
      <c r="B1769" s="29" t="s">
        <v>3194</v>
      </c>
      <c r="C1769" s="29" t="s">
        <v>59</v>
      </c>
      <c r="D1769" s="29" t="s">
        <v>2879</v>
      </c>
      <c r="E1769" s="29" t="s">
        <v>35</v>
      </c>
      <c r="F1769" s="29" t="s">
        <v>47</v>
      </c>
      <c r="G1769" s="29" t="s">
        <v>394</v>
      </c>
      <c r="H1769" s="29" t="s">
        <v>112</v>
      </c>
      <c r="I1769" s="29" t="s">
        <v>39</v>
      </c>
      <c r="J1769" s="29" t="s">
        <v>408</v>
      </c>
      <c r="K1769" s="29" t="s">
        <v>3209</v>
      </c>
      <c r="L1769" s="29" t="s">
        <v>3210</v>
      </c>
      <c r="M1769" s="29" t="s">
        <v>396</v>
      </c>
      <c r="N1769" s="29" t="s">
        <v>3198</v>
      </c>
      <c r="O1769" s="29" t="s">
        <v>59</v>
      </c>
      <c r="P1769" s="30" t="s">
        <v>3211</v>
      </c>
    </row>
    <row r="1770" s="25" customFormat="1" spans="1:16">
      <c r="A1770" s="29" t="s">
        <v>3209</v>
      </c>
      <c r="B1770" s="29" t="s">
        <v>3194</v>
      </c>
      <c r="C1770" s="29" t="s">
        <v>59</v>
      </c>
      <c r="D1770" s="29" t="s">
        <v>2879</v>
      </c>
      <c r="E1770" s="29" t="s">
        <v>35</v>
      </c>
      <c r="F1770" s="29" t="s">
        <v>47</v>
      </c>
      <c r="G1770" s="29" t="s">
        <v>394</v>
      </c>
      <c r="H1770" s="29" t="s">
        <v>112</v>
      </c>
      <c r="I1770" s="29" t="s">
        <v>39</v>
      </c>
      <c r="J1770" s="29" t="s">
        <v>412</v>
      </c>
      <c r="K1770" s="29" t="s">
        <v>3212</v>
      </c>
      <c r="L1770" s="29" t="s">
        <v>3213</v>
      </c>
      <c r="M1770" s="29" t="s">
        <v>396</v>
      </c>
      <c r="N1770" s="29" t="s">
        <v>3198</v>
      </c>
      <c r="O1770" s="29" t="s">
        <v>59</v>
      </c>
      <c r="P1770" s="30" t="s">
        <v>3214</v>
      </c>
    </row>
    <row r="1771" s="25" customFormat="1" spans="1:16">
      <c r="A1771" s="29" t="s">
        <v>3212</v>
      </c>
      <c r="B1771" s="29" t="s">
        <v>3194</v>
      </c>
      <c r="C1771" s="29" t="s">
        <v>59</v>
      </c>
      <c r="D1771" s="29" t="s">
        <v>2879</v>
      </c>
      <c r="E1771" s="29" t="s">
        <v>35</v>
      </c>
      <c r="F1771" s="29" t="s">
        <v>47</v>
      </c>
      <c r="G1771" s="29" t="s">
        <v>394</v>
      </c>
      <c r="H1771" s="29" t="s">
        <v>112</v>
      </c>
      <c r="I1771" s="29" t="s">
        <v>39</v>
      </c>
      <c r="J1771" s="29" t="s">
        <v>416</v>
      </c>
      <c r="K1771" s="29" t="s">
        <v>3215</v>
      </c>
      <c r="L1771" s="29" t="s">
        <v>3216</v>
      </c>
      <c r="M1771" s="29" t="s">
        <v>396</v>
      </c>
      <c r="N1771" s="29" t="s">
        <v>3198</v>
      </c>
      <c r="O1771" s="29" t="s">
        <v>59</v>
      </c>
      <c r="P1771" s="30" t="s">
        <v>3217</v>
      </c>
    </row>
    <row r="1772" s="25" customFormat="1" spans="1:16">
      <c r="A1772" s="29" t="s">
        <v>3215</v>
      </c>
      <c r="B1772" s="29" t="s">
        <v>3194</v>
      </c>
      <c r="C1772" s="29" t="s">
        <v>59</v>
      </c>
      <c r="D1772" s="29" t="s">
        <v>2879</v>
      </c>
      <c r="E1772" s="29" t="s">
        <v>35</v>
      </c>
      <c r="F1772" s="29" t="s">
        <v>47</v>
      </c>
      <c r="G1772" s="29" t="s">
        <v>394</v>
      </c>
      <c r="H1772" s="29" t="s">
        <v>112</v>
      </c>
      <c r="I1772" s="29" t="s">
        <v>39</v>
      </c>
      <c r="J1772" s="29" t="s">
        <v>420</v>
      </c>
      <c r="K1772" s="29" t="s">
        <v>3218</v>
      </c>
      <c r="L1772" s="29" t="s">
        <v>3219</v>
      </c>
      <c r="M1772" s="29" t="s">
        <v>396</v>
      </c>
      <c r="N1772" s="29" t="s">
        <v>3198</v>
      </c>
      <c r="O1772" s="29" t="s">
        <v>59</v>
      </c>
      <c r="P1772" s="30" t="s">
        <v>3220</v>
      </c>
    </row>
    <row r="1773" s="25" customFormat="1" spans="1:16">
      <c r="A1773" s="29" t="s">
        <v>3218</v>
      </c>
      <c r="B1773" s="29" t="s">
        <v>3194</v>
      </c>
      <c r="C1773" s="29" t="s">
        <v>59</v>
      </c>
      <c r="D1773" s="29" t="s">
        <v>2879</v>
      </c>
      <c r="E1773" s="29" t="s">
        <v>35</v>
      </c>
      <c r="F1773" s="29" t="s">
        <v>47</v>
      </c>
      <c r="G1773" s="29" t="s">
        <v>394</v>
      </c>
      <c r="H1773" s="29" t="s">
        <v>112</v>
      </c>
      <c r="I1773" s="29" t="s">
        <v>39</v>
      </c>
      <c r="J1773" s="29" t="s">
        <v>424</v>
      </c>
      <c r="K1773" s="29" t="s">
        <v>39</v>
      </c>
      <c r="L1773" s="29" t="s">
        <v>39</v>
      </c>
      <c r="M1773" s="29" t="s">
        <v>39</v>
      </c>
      <c r="N1773" s="29" t="s">
        <v>3198</v>
      </c>
      <c r="O1773" s="29" t="s">
        <v>59</v>
      </c>
      <c r="P1773" s="30" t="s">
        <v>3221</v>
      </c>
    </row>
    <row r="1774" s="25" customFormat="1" spans="1:16">
      <c r="A1774" s="29" t="s">
        <v>3222</v>
      </c>
      <c r="B1774" s="29" t="s">
        <v>3222</v>
      </c>
      <c r="C1774" s="29" t="s">
        <v>59</v>
      </c>
      <c r="D1774" s="29" t="s">
        <v>2879</v>
      </c>
      <c r="E1774" s="29" t="s">
        <v>35</v>
      </c>
      <c r="F1774" s="29" t="s">
        <v>47</v>
      </c>
      <c r="G1774" s="29" t="s">
        <v>427</v>
      </c>
      <c r="H1774" s="29" t="s">
        <v>149</v>
      </c>
      <c r="I1774" s="29" t="s">
        <v>39</v>
      </c>
      <c r="J1774" s="29" t="s">
        <v>39</v>
      </c>
      <c r="K1774" s="29" t="s">
        <v>3223</v>
      </c>
      <c r="L1774" s="29" t="s">
        <v>3103</v>
      </c>
      <c r="M1774" s="29" t="s">
        <v>429</v>
      </c>
      <c r="N1774" s="29" t="s">
        <v>2966</v>
      </c>
      <c r="O1774" s="29" t="s">
        <v>129</v>
      </c>
      <c r="P1774" s="30" t="s">
        <v>2967</v>
      </c>
    </row>
    <row r="1775" s="25" customFormat="1" spans="1:16">
      <c r="A1775" s="29" t="s">
        <v>3223</v>
      </c>
      <c r="B1775" s="29" t="s">
        <v>3222</v>
      </c>
      <c r="C1775" s="29" t="s">
        <v>59</v>
      </c>
      <c r="D1775" s="29" t="s">
        <v>2879</v>
      </c>
      <c r="E1775" s="29" t="s">
        <v>35</v>
      </c>
      <c r="F1775" s="29" t="s">
        <v>47</v>
      </c>
      <c r="G1775" s="29" t="s">
        <v>427</v>
      </c>
      <c r="H1775" s="29" t="s">
        <v>149</v>
      </c>
      <c r="I1775" s="29" t="s">
        <v>39</v>
      </c>
      <c r="J1775" s="29" t="s">
        <v>35</v>
      </c>
      <c r="K1775" s="29" t="s">
        <v>3224</v>
      </c>
      <c r="L1775" s="29" t="s">
        <v>3105</v>
      </c>
      <c r="M1775" s="29" t="s">
        <v>429</v>
      </c>
      <c r="N1775" s="29" t="s">
        <v>2969</v>
      </c>
      <c r="O1775" s="29" t="s">
        <v>129</v>
      </c>
      <c r="P1775" s="30" t="s">
        <v>2970</v>
      </c>
    </row>
    <row r="1776" s="25" customFormat="1" spans="1:16">
      <c r="A1776" s="29" t="s">
        <v>3224</v>
      </c>
      <c r="B1776" s="29" t="s">
        <v>3222</v>
      </c>
      <c r="C1776" s="29" t="s">
        <v>59</v>
      </c>
      <c r="D1776" s="29" t="s">
        <v>2879</v>
      </c>
      <c r="E1776" s="29" t="s">
        <v>35</v>
      </c>
      <c r="F1776" s="29" t="s">
        <v>47</v>
      </c>
      <c r="G1776" s="29" t="s">
        <v>427</v>
      </c>
      <c r="H1776" s="29" t="s">
        <v>149</v>
      </c>
      <c r="I1776" s="29" t="s">
        <v>39</v>
      </c>
      <c r="J1776" s="29" t="s">
        <v>47</v>
      </c>
      <c r="K1776" s="29" t="s">
        <v>3225</v>
      </c>
      <c r="L1776" s="29" t="s">
        <v>3109</v>
      </c>
      <c r="M1776" s="29" t="s">
        <v>429</v>
      </c>
      <c r="N1776" s="29" t="s">
        <v>2969</v>
      </c>
      <c r="O1776" s="29" t="s">
        <v>129</v>
      </c>
      <c r="P1776" s="30" t="s">
        <v>2972</v>
      </c>
    </row>
    <row r="1777" s="25" customFormat="1" spans="1:16">
      <c r="A1777" s="29" t="s">
        <v>3225</v>
      </c>
      <c r="B1777" s="29" t="s">
        <v>3222</v>
      </c>
      <c r="C1777" s="29" t="s">
        <v>59</v>
      </c>
      <c r="D1777" s="29" t="s">
        <v>2879</v>
      </c>
      <c r="E1777" s="29" t="s">
        <v>35</v>
      </c>
      <c r="F1777" s="29" t="s">
        <v>47</v>
      </c>
      <c r="G1777" s="29" t="s">
        <v>427</v>
      </c>
      <c r="H1777" s="29" t="s">
        <v>149</v>
      </c>
      <c r="I1777" s="29" t="s">
        <v>39</v>
      </c>
      <c r="J1777" s="29" t="s">
        <v>51</v>
      </c>
      <c r="K1777" s="29" t="s">
        <v>3226</v>
      </c>
      <c r="L1777" s="29" t="s">
        <v>3112</v>
      </c>
      <c r="M1777" s="29" t="s">
        <v>429</v>
      </c>
      <c r="N1777" s="29" t="s">
        <v>2969</v>
      </c>
      <c r="O1777" s="29" t="s">
        <v>129</v>
      </c>
      <c r="P1777" s="30" t="s">
        <v>2974</v>
      </c>
    </row>
    <row r="1778" s="25" customFormat="1" spans="1:16">
      <c r="A1778" s="29" t="s">
        <v>3226</v>
      </c>
      <c r="B1778" s="29" t="s">
        <v>3222</v>
      </c>
      <c r="C1778" s="29" t="s">
        <v>59</v>
      </c>
      <c r="D1778" s="29" t="s">
        <v>2879</v>
      </c>
      <c r="E1778" s="29" t="s">
        <v>35</v>
      </c>
      <c r="F1778" s="29" t="s">
        <v>47</v>
      </c>
      <c r="G1778" s="29" t="s">
        <v>427</v>
      </c>
      <c r="H1778" s="29" t="s">
        <v>149</v>
      </c>
      <c r="I1778" s="29" t="s">
        <v>39</v>
      </c>
      <c r="J1778" s="29" t="s">
        <v>55</v>
      </c>
      <c r="K1778" s="29" t="s">
        <v>3227</v>
      </c>
      <c r="L1778" s="29" t="s">
        <v>3114</v>
      </c>
      <c r="M1778" s="29" t="s">
        <v>429</v>
      </c>
      <c r="N1778" s="29" t="s">
        <v>2969</v>
      </c>
      <c r="O1778" s="29" t="s">
        <v>129</v>
      </c>
      <c r="P1778" s="30" t="s">
        <v>2976</v>
      </c>
    </row>
    <row r="1779" s="25" customFormat="1" spans="1:16">
      <c r="A1779" s="29" t="s">
        <v>3227</v>
      </c>
      <c r="B1779" s="29" t="s">
        <v>3222</v>
      </c>
      <c r="C1779" s="29" t="s">
        <v>59</v>
      </c>
      <c r="D1779" s="29" t="s">
        <v>2879</v>
      </c>
      <c r="E1779" s="29" t="s">
        <v>35</v>
      </c>
      <c r="F1779" s="29" t="s">
        <v>47</v>
      </c>
      <c r="G1779" s="29" t="s">
        <v>427</v>
      </c>
      <c r="H1779" s="29" t="s">
        <v>149</v>
      </c>
      <c r="I1779" s="29" t="s">
        <v>39</v>
      </c>
      <c r="J1779" s="29" t="s">
        <v>59</v>
      </c>
      <c r="K1779" s="29" t="s">
        <v>3228</v>
      </c>
      <c r="L1779" s="29" t="s">
        <v>3117</v>
      </c>
      <c r="M1779" s="29" t="s">
        <v>429</v>
      </c>
      <c r="N1779" s="29" t="s">
        <v>2969</v>
      </c>
      <c r="O1779" s="29" t="s">
        <v>129</v>
      </c>
      <c r="P1779" s="30" t="s">
        <v>2978</v>
      </c>
    </row>
    <row r="1780" s="25" customFormat="1" spans="1:16">
      <c r="A1780" s="29" t="s">
        <v>3228</v>
      </c>
      <c r="B1780" s="29" t="s">
        <v>3222</v>
      </c>
      <c r="C1780" s="29" t="s">
        <v>59</v>
      </c>
      <c r="D1780" s="29" t="s">
        <v>2879</v>
      </c>
      <c r="E1780" s="29" t="s">
        <v>35</v>
      </c>
      <c r="F1780" s="29" t="s">
        <v>47</v>
      </c>
      <c r="G1780" s="29" t="s">
        <v>427</v>
      </c>
      <c r="H1780" s="29" t="s">
        <v>149</v>
      </c>
      <c r="I1780" s="29" t="s">
        <v>39</v>
      </c>
      <c r="J1780" s="29" t="s">
        <v>129</v>
      </c>
      <c r="K1780" s="29" t="s">
        <v>3229</v>
      </c>
      <c r="L1780" s="29" t="s">
        <v>3120</v>
      </c>
      <c r="M1780" s="29" t="s">
        <v>429</v>
      </c>
      <c r="N1780" s="29" t="s">
        <v>2969</v>
      </c>
      <c r="O1780" s="29" t="s">
        <v>129</v>
      </c>
      <c r="P1780" s="30" t="s">
        <v>2980</v>
      </c>
    </row>
    <row r="1781" s="25" customFormat="1" spans="1:16">
      <c r="A1781" s="29" t="s">
        <v>3229</v>
      </c>
      <c r="B1781" s="29" t="s">
        <v>3222</v>
      </c>
      <c r="C1781" s="29" t="s">
        <v>59</v>
      </c>
      <c r="D1781" s="29" t="s">
        <v>2879</v>
      </c>
      <c r="E1781" s="29" t="s">
        <v>35</v>
      </c>
      <c r="F1781" s="29" t="s">
        <v>47</v>
      </c>
      <c r="G1781" s="29" t="s">
        <v>427</v>
      </c>
      <c r="H1781" s="29" t="s">
        <v>149</v>
      </c>
      <c r="I1781" s="29" t="s">
        <v>39</v>
      </c>
      <c r="J1781" s="29" t="s">
        <v>133</v>
      </c>
      <c r="K1781" s="29" t="s">
        <v>3230</v>
      </c>
      <c r="L1781" s="29" t="s">
        <v>3122</v>
      </c>
      <c r="M1781" s="29" t="s">
        <v>429</v>
      </c>
      <c r="N1781" s="29" t="s">
        <v>2969</v>
      </c>
      <c r="O1781" s="29" t="s">
        <v>129</v>
      </c>
      <c r="P1781" s="30" t="s">
        <v>2982</v>
      </c>
    </row>
    <row r="1782" s="25" customFormat="1" spans="1:16">
      <c r="A1782" s="29" t="s">
        <v>3230</v>
      </c>
      <c r="B1782" s="29" t="s">
        <v>3222</v>
      </c>
      <c r="C1782" s="29" t="s">
        <v>59</v>
      </c>
      <c r="D1782" s="29" t="s">
        <v>2879</v>
      </c>
      <c r="E1782" s="29" t="s">
        <v>35</v>
      </c>
      <c r="F1782" s="29" t="s">
        <v>47</v>
      </c>
      <c r="G1782" s="29" t="s">
        <v>427</v>
      </c>
      <c r="H1782" s="29" t="s">
        <v>149</v>
      </c>
      <c r="I1782" s="29" t="s">
        <v>39</v>
      </c>
      <c r="J1782" s="29" t="s">
        <v>137</v>
      </c>
      <c r="K1782" s="29" t="s">
        <v>3231</v>
      </c>
      <c r="L1782" s="29" t="s">
        <v>3125</v>
      </c>
      <c r="M1782" s="29" t="s">
        <v>429</v>
      </c>
      <c r="N1782" s="29" t="s">
        <v>2969</v>
      </c>
      <c r="O1782" s="29" t="s">
        <v>129</v>
      </c>
      <c r="P1782" s="30" t="s">
        <v>2984</v>
      </c>
    </row>
    <row r="1783" s="25" customFormat="1" spans="1:16">
      <c r="A1783" s="29" t="s">
        <v>3231</v>
      </c>
      <c r="B1783" s="29" t="s">
        <v>3222</v>
      </c>
      <c r="C1783" s="29" t="s">
        <v>59</v>
      </c>
      <c r="D1783" s="29" t="s">
        <v>2879</v>
      </c>
      <c r="E1783" s="29" t="s">
        <v>35</v>
      </c>
      <c r="F1783" s="29" t="s">
        <v>47</v>
      </c>
      <c r="G1783" s="29" t="s">
        <v>427</v>
      </c>
      <c r="H1783" s="29" t="s">
        <v>149</v>
      </c>
      <c r="I1783" s="29" t="s">
        <v>39</v>
      </c>
      <c r="J1783" s="29" t="s">
        <v>141</v>
      </c>
      <c r="K1783" s="29" t="s">
        <v>3232</v>
      </c>
      <c r="L1783" s="29" t="s">
        <v>3128</v>
      </c>
      <c r="M1783" s="29" t="s">
        <v>429</v>
      </c>
      <c r="N1783" s="29" t="s">
        <v>2969</v>
      </c>
      <c r="O1783" s="29" t="s">
        <v>129</v>
      </c>
      <c r="P1783" s="30" t="s">
        <v>2986</v>
      </c>
    </row>
    <row r="1784" s="25" customFormat="1" spans="1:16">
      <c r="A1784" s="29" t="s">
        <v>3232</v>
      </c>
      <c r="B1784" s="29" t="s">
        <v>3222</v>
      </c>
      <c r="C1784" s="29" t="s">
        <v>59</v>
      </c>
      <c r="D1784" s="29" t="s">
        <v>2879</v>
      </c>
      <c r="E1784" s="29" t="s">
        <v>35</v>
      </c>
      <c r="F1784" s="29" t="s">
        <v>47</v>
      </c>
      <c r="G1784" s="29" t="s">
        <v>427</v>
      </c>
      <c r="H1784" s="29" t="s">
        <v>149</v>
      </c>
      <c r="I1784" s="29" t="s">
        <v>39</v>
      </c>
      <c r="J1784" s="29" t="s">
        <v>145</v>
      </c>
      <c r="K1784" s="29" t="s">
        <v>3233</v>
      </c>
      <c r="L1784" s="29" t="s">
        <v>3208</v>
      </c>
      <c r="M1784" s="29" t="s">
        <v>429</v>
      </c>
      <c r="N1784" s="29" t="s">
        <v>2969</v>
      </c>
      <c r="O1784" s="29" t="s">
        <v>129</v>
      </c>
      <c r="P1784" s="30" t="s">
        <v>2987</v>
      </c>
    </row>
    <row r="1785" s="25" customFormat="1" spans="1:16">
      <c r="A1785" s="29" t="s">
        <v>3233</v>
      </c>
      <c r="B1785" s="29" t="s">
        <v>3222</v>
      </c>
      <c r="C1785" s="29" t="s">
        <v>59</v>
      </c>
      <c r="D1785" s="29" t="s">
        <v>2879</v>
      </c>
      <c r="E1785" s="29" t="s">
        <v>35</v>
      </c>
      <c r="F1785" s="29" t="s">
        <v>47</v>
      </c>
      <c r="G1785" s="29" t="s">
        <v>427</v>
      </c>
      <c r="H1785" s="29" t="s">
        <v>149</v>
      </c>
      <c r="I1785" s="29" t="s">
        <v>39</v>
      </c>
      <c r="J1785" s="29" t="s">
        <v>408</v>
      </c>
      <c r="K1785" s="29" t="s">
        <v>3234</v>
      </c>
      <c r="L1785" s="29" t="s">
        <v>3210</v>
      </c>
      <c r="M1785" s="29" t="s">
        <v>429</v>
      </c>
      <c r="N1785" s="29" t="s">
        <v>2969</v>
      </c>
      <c r="O1785" s="29" t="s">
        <v>129</v>
      </c>
      <c r="P1785" s="30" t="s">
        <v>3235</v>
      </c>
    </row>
    <row r="1786" s="25" customFormat="1" spans="1:16">
      <c r="A1786" s="29" t="s">
        <v>3234</v>
      </c>
      <c r="B1786" s="29" t="s">
        <v>3222</v>
      </c>
      <c r="C1786" s="29" t="s">
        <v>59</v>
      </c>
      <c r="D1786" s="29" t="s">
        <v>2879</v>
      </c>
      <c r="E1786" s="29" t="s">
        <v>35</v>
      </c>
      <c r="F1786" s="29" t="s">
        <v>47</v>
      </c>
      <c r="G1786" s="29" t="s">
        <v>427</v>
      </c>
      <c r="H1786" s="29" t="s">
        <v>149</v>
      </c>
      <c r="I1786" s="29" t="s">
        <v>39</v>
      </c>
      <c r="J1786" s="29" t="s">
        <v>412</v>
      </c>
      <c r="K1786" s="29" t="s">
        <v>3236</v>
      </c>
      <c r="L1786" s="29" t="s">
        <v>3213</v>
      </c>
      <c r="M1786" s="29" t="s">
        <v>429</v>
      </c>
      <c r="N1786" s="29" t="s">
        <v>2969</v>
      </c>
      <c r="O1786" s="29" t="s">
        <v>129</v>
      </c>
      <c r="P1786" s="30" t="s">
        <v>3237</v>
      </c>
    </row>
    <row r="1787" s="25" customFormat="1" spans="1:16">
      <c r="A1787" s="29" t="s">
        <v>3236</v>
      </c>
      <c r="B1787" s="29" t="s">
        <v>3222</v>
      </c>
      <c r="C1787" s="29" t="s">
        <v>59</v>
      </c>
      <c r="D1787" s="29" t="s">
        <v>2879</v>
      </c>
      <c r="E1787" s="29" t="s">
        <v>35</v>
      </c>
      <c r="F1787" s="29" t="s">
        <v>47</v>
      </c>
      <c r="G1787" s="29" t="s">
        <v>427</v>
      </c>
      <c r="H1787" s="29" t="s">
        <v>149</v>
      </c>
      <c r="I1787" s="29" t="s">
        <v>39</v>
      </c>
      <c r="J1787" s="29" t="s">
        <v>416</v>
      </c>
      <c r="K1787" s="29" t="s">
        <v>3238</v>
      </c>
      <c r="L1787" s="29" t="s">
        <v>3216</v>
      </c>
      <c r="M1787" s="29" t="s">
        <v>429</v>
      </c>
      <c r="N1787" s="29" t="s">
        <v>2969</v>
      </c>
      <c r="O1787" s="29" t="s">
        <v>129</v>
      </c>
      <c r="P1787" s="30" t="s">
        <v>3239</v>
      </c>
    </row>
    <row r="1788" s="25" customFormat="1" spans="1:16">
      <c r="A1788" s="29" t="s">
        <v>3238</v>
      </c>
      <c r="B1788" s="29" t="s">
        <v>3222</v>
      </c>
      <c r="C1788" s="29" t="s">
        <v>59</v>
      </c>
      <c r="D1788" s="29" t="s">
        <v>2879</v>
      </c>
      <c r="E1788" s="29" t="s">
        <v>35</v>
      </c>
      <c r="F1788" s="29" t="s">
        <v>47</v>
      </c>
      <c r="G1788" s="29" t="s">
        <v>427</v>
      </c>
      <c r="H1788" s="29" t="s">
        <v>149</v>
      </c>
      <c r="I1788" s="29" t="s">
        <v>39</v>
      </c>
      <c r="J1788" s="29" t="s">
        <v>420</v>
      </c>
      <c r="K1788" s="29" t="s">
        <v>3240</v>
      </c>
      <c r="L1788" s="29" t="s">
        <v>3219</v>
      </c>
      <c r="M1788" s="29" t="s">
        <v>429</v>
      </c>
      <c r="N1788" s="29" t="s">
        <v>2969</v>
      </c>
      <c r="O1788" s="29" t="s">
        <v>129</v>
      </c>
      <c r="P1788" s="30" t="s">
        <v>3241</v>
      </c>
    </row>
    <row r="1789" s="25" customFormat="1" spans="1:16">
      <c r="A1789" s="29" t="s">
        <v>3240</v>
      </c>
      <c r="B1789" s="29" t="s">
        <v>3222</v>
      </c>
      <c r="C1789" s="29" t="s">
        <v>59</v>
      </c>
      <c r="D1789" s="29" t="s">
        <v>2879</v>
      </c>
      <c r="E1789" s="29" t="s">
        <v>35</v>
      </c>
      <c r="F1789" s="29" t="s">
        <v>47</v>
      </c>
      <c r="G1789" s="29" t="s">
        <v>427</v>
      </c>
      <c r="H1789" s="29" t="s">
        <v>149</v>
      </c>
      <c r="I1789" s="29" t="s">
        <v>39</v>
      </c>
      <c r="J1789" s="29" t="s">
        <v>424</v>
      </c>
      <c r="K1789" s="29" t="s">
        <v>39</v>
      </c>
      <c r="L1789" s="29" t="s">
        <v>39</v>
      </c>
      <c r="M1789" s="29" t="s">
        <v>39</v>
      </c>
      <c r="N1789" s="29" t="s">
        <v>2969</v>
      </c>
      <c r="O1789" s="29" t="s">
        <v>129</v>
      </c>
      <c r="P1789" s="30" t="s">
        <v>3242</v>
      </c>
    </row>
    <row r="1790" s="25" customFormat="1" spans="1:16">
      <c r="A1790" s="29" t="s">
        <v>3243</v>
      </c>
      <c r="B1790" s="29" t="s">
        <v>3243</v>
      </c>
      <c r="C1790" s="29" t="s">
        <v>59</v>
      </c>
      <c r="D1790" s="29" t="s">
        <v>2879</v>
      </c>
      <c r="E1790" s="29" t="s">
        <v>35</v>
      </c>
      <c r="F1790" s="29" t="s">
        <v>47</v>
      </c>
      <c r="G1790" s="29" t="s">
        <v>450</v>
      </c>
      <c r="H1790" s="29" t="s">
        <v>176</v>
      </c>
      <c r="I1790" s="29" t="s">
        <v>39</v>
      </c>
      <c r="J1790" s="29" t="s">
        <v>39</v>
      </c>
      <c r="K1790" s="29" t="s">
        <v>3244</v>
      </c>
      <c r="L1790" s="29" t="s">
        <v>3103</v>
      </c>
      <c r="M1790" s="29" t="s">
        <v>452</v>
      </c>
      <c r="N1790" s="29" t="s">
        <v>2990</v>
      </c>
      <c r="O1790" s="29" t="s">
        <v>133</v>
      </c>
      <c r="P1790" s="30" t="s">
        <v>2991</v>
      </c>
    </row>
    <row r="1791" s="25" customFormat="1" spans="1:16">
      <c r="A1791" s="29" t="s">
        <v>3244</v>
      </c>
      <c r="B1791" s="29" t="s">
        <v>3243</v>
      </c>
      <c r="C1791" s="29" t="s">
        <v>59</v>
      </c>
      <c r="D1791" s="29" t="s">
        <v>2879</v>
      </c>
      <c r="E1791" s="29" t="s">
        <v>35</v>
      </c>
      <c r="F1791" s="29" t="s">
        <v>47</v>
      </c>
      <c r="G1791" s="29" t="s">
        <v>450</v>
      </c>
      <c r="H1791" s="29" t="s">
        <v>176</v>
      </c>
      <c r="I1791" s="29" t="s">
        <v>39</v>
      </c>
      <c r="J1791" s="29" t="s">
        <v>35</v>
      </c>
      <c r="K1791" s="29" t="s">
        <v>3245</v>
      </c>
      <c r="L1791" s="29" t="s">
        <v>3105</v>
      </c>
      <c r="M1791" s="29" t="s">
        <v>452</v>
      </c>
      <c r="N1791" s="29" t="s">
        <v>2993</v>
      </c>
      <c r="O1791" s="29" t="s">
        <v>133</v>
      </c>
      <c r="P1791" s="30" t="s">
        <v>2994</v>
      </c>
    </row>
    <row r="1792" s="25" customFormat="1" spans="1:16">
      <c r="A1792" s="29" t="s">
        <v>3245</v>
      </c>
      <c r="B1792" s="29" t="s">
        <v>3243</v>
      </c>
      <c r="C1792" s="29" t="s">
        <v>59</v>
      </c>
      <c r="D1792" s="29" t="s">
        <v>2879</v>
      </c>
      <c r="E1792" s="29" t="s">
        <v>35</v>
      </c>
      <c r="F1792" s="29" t="s">
        <v>47</v>
      </c>
      <c r="G1792" s="29" t="s">
        <v>450</v>
      </c>
      <c r="H1792" s="29" t="s">
        <v>176</v>
      </c>
      <c r="I1792" s="29" t="s">
        <v>39</v>
      </c>
      <c r="J1792" s="29" t="s">
        <v>47</v>
      </c>
      <c r="K1792" s="29" t="s">
        <v>3246</v>
      </c>
      <c r="L1792" s="29" t="s">
        <v>3109</v>
      </c>
      <c r="M1792" s="29" t="s">
        <v>452</v>
      </c>
      <c r="N1792" s="29" t="s">
        <v>2993</v>
      </c>
      <c r="O1792" s="29" t="s">
        <v>133</v>
      </c>
      <c r="P1792" s="30" t="s">
        <v>2996</v>
      </c>
    </row>
    <row r="1793" s="25" customFormat="1" spans="1:16">
      <c r="A1793" s="29" t="s">
        <v>3246</v>
      </c>
      <c r="B1793" s="29" t="s">
        <v>3243</v>
      </c>
      <c r="C1793" s="29" t="s">
        <v>59</v>
      </c>
      <c r="D1793" s="29" t="s">
        <v>2879</v>
      </c>
      <c r="E1793" s="29" t="s">
        <v>35</v>
      </c>
      <c r="F1793" s="29" t="s">
        <v>47</v>
      </c>
      <c r="G1793" s="29" t="s">
        <v>450</v>
      </c>
      <c r="H1793" s="29" t="s">
        <v>176</v>
      </c>
      <c r="I1793" s="29" t="s">
        <v>39</v>
      </c>
      <c r="J1793" s="29" t="s">
        <v>51</v>
      </c>
      <c r="K1793" s="29" t="s">
        <v>3247</v>
      </c>
      <c r="L1793" s="29" t="s">
        <v>3112</v>
      </c>
      <c r="M1793" s="29" t="s">
        <v>452</v>
      </c>
      <c r="N1793" s="29" t="s">
        <v>2993</v>
      </c>
      <c r="O1793" s="29" t="s">
        <v>133</v>
      </c>
      <c r="P1793" s="30" t="s">
        <v>2998</v>
      </c>
    </row>
    <row r="1794" s="25" customFormat="1" spans="1:16">
      <c r="A1794" s="29" t="s">
        <v>3247</v>
      </c>
      <c r="B1794" s="29" t="s">
        <v>3243</v>
      </c>
      <c r="C1794" s="29" t="s">
        <v>59</v>
      </c>
      <c r="D1794" s="29" t="s">
        <v>2879</v>
      </c>
      <c r="E1794" s="29" t="s">
        <v>35</v>
      </c>
      <c r="F1794" s="29" t="s">
        <v>47</v>
      </c>
      <c r="G1794" s="29" t="s">
        <v>450</v>
      </c>
      <c r="H1794" s="29" t="s">
        <v>176</v>
      </c>
      <c r="I1794" s="29" t="s">
        <v>39</v>
      </c>
      <c r="J1794" s="29" t="s">
        <v>55</v>
      </c>
      <c r="K1794" s="29" t="s">
        <v>3248</v>
      </c>
      <c r="L1794" s="29" t="s">
        <v>3114</v>
      </c>
      <c r="M1794" s="29" t="s">
        <v>452</v>
      </c>
      <c r="N1794" s="29" t="s">
        <v>2993</v>
      </c>
      <c r="O1794" s="29" t="s">
        <v>133</v>
      </c>
      <c r="P1794" s="30" t="s">
        <v>3000</v>
      </c>
    </row>
    <row r="1795" s="25" customFormat="1" spans="1:16">
      <c r="A1795" s="29" t="s">
        <v>3248</v>
      </c>
      <c r="B1795" s="29" t="s">
        <v>3243</v>
      </c>
      <c r="C1795" s="29" t="s">
        <v>59</v>
      </c>
      <c r="D1795" s="29" t="s">
        <v>2879</v>
      </c>
      <c r="E1795" s="29" t="s">
        <v>35</v>
      </c>
      <c r="F1795" s="29" t="s">
        <v>47</v>
      </c>
      <c r="G1795" s="29" t="s">
        <v>450</v>
      </c>
      <c r="H1795" s="29" t="s">
        <v>176</v>
      </c>
      <c r="I1795" s="29" t="s">
        <v>39</v>
      </c>
      <c r="J1795" s="29" t="s">
        <v>59</v>
      </c>
      <c r="K1795" s="29" t="s">
        <v>3249</v>
      </c>
      <c r="L1795" s="29" t="s">
        <v>3117</v>
      </c>
      <c r="M1795" s="29" t="s">
        <v>452</v>
      </c>
      <c r="N1795" s="29" t="s">
        <v>2993</v>
      </c>
      <c r="O1795" s="29" t="s">
        <v>133</v>
      </c>
      <c r="P1795" s="30" t="s">
        <v>3002</v>
      </c>
    </row>
    <row r="1796" s="25" customFormat="1" spans="1:16">
      <c r="A1796" s="29" t="s">
        <v>3249</v>
      </c>
      <c r="B1796" s="29" t="s">
        <v>3243</v>
      </c>
      <c r="C1796" s="29" t="s">
        <v>59</v>
      </c>
      <c r="D1796" s="29" t="s">
        <v>2879</v>
      </c>
      <c r="E1796" s="29" t="s">
        <v>35</v>
      </c>
      <c r="F1796" s="29" t="s">
        <v>47</v>
      </c>
      <c r="G1796" s="29" t="s">
        <v>450</v>
      </c>
      <c r="H1796" s="29" t="s">
        <v>176</v>
      </c>
      <c r="I1796" s="29" t="s">
        <v>39</v>
      </c>
      <c r="J1796" s="29" t="s">
        <v>129</v>
      </c>
      <c r="K1796" s="29" t="s">
        <v>3250</v>
      </c>
      <c r="L1796" s="29" t="s">
        <v>3120</v>
      </c>
      <c r="M1796" s="29" t="s">
        <v>452</v>
      </c>
      <c r="N1796" s="29" t="s">
        <v>2993</v>
      </c>
      <c r="O1796" s="29" t="s">
        <v>133</v>
      </c>
      <c r="P1796" s="30" t="s">
        <v>3004</v>
      </c>
    </row>
    <row r="1797" s="25" customFormat="1" spans="1:16">
      <c r="A1797" s="29" t="s">
        <v>3250</v>
      </c>
      <c r="B1797" s="29" t="s">
        <v>3243</v>
      </c>
      <c r="C1797" s="29" t="s">
        <v>59</v>
      </c>
      <c r="D1797" s="29" t="s">
        <v>2879</v>
      </c>
      <c r="E1797" s="29" t="s">
        <v>35</v>
      </c>
      <c r="F1797" s="29" t="s">
        <v>47</v>
      </c>
      <c r="G1797" s="29" t="s">
        <v>450</v>
      </c>
      <c r="H1797" s="29" t="s">
        <v>176</v>
      </c>
      <c r="I1797" s="29" t="s">
        <v>39</v>
      </c>
      <c r="J1797" s="29" t="s">
        <v>133</v>
      </c>
      <c r="K1797" s="29" t="s">
        <v>3251</v>
      </c>
      <c r="L1797" s="29" t="s">
        <v>3122</v>
      </c>
      <c r="M1797" s="29" t="s">
        <v>452</v>
      </c>
      <c r="N1797" s="29" t="s">
        <v>2993</v>
      </c>
      <c r="O1797" s="29" t="s">
        <v>133</v>
      </c>
      <c r="P1797" s="30" t="s">
        <v>3006</v>
      </c>
    </row>
    <row r="1798" s="25" customFormat="1" spans="1:16">
      <c r="A1798" s="29" t="s">
        <v>3251</v>
      </c>
      <c r="B1798" s="29" t="s">
        <v>3243</v>
      </c>
      <c r="C1798" s="29" t="s">
        <v>59</v>
      </c>
      <c r="D1798" s="29" t="s">
        <v>2879</v>
      </c>
      <c r="E1798" s="29" t="s">
        <v>35</v>
      </c>
      <c r="F1798" s="29" t="s">
        <v>47</v>
      </c>
      <c r="G1798" s="29" t="s">
        <v>450</v>
      </c>
      <c r="H1798" s="29" t="s">
        <v>176</v>
      </c>
      <c r="I1798" s="29" t="s">
        <v>39</v>
      </c>
      <c r="J1798" s="29" t="s">
        <v>137</v>
      </c>
      <c r="K1798" s="29" t="s">
        <v>3252</v>
      </c>
      <c r="L1798" s="29" t="s">
        <v>3125</v>
      </c>
      <c r="M1798" s="29" t="s">
        <v>452</v>
      </c>
      <c r="N1798" s="29" t="s">
        <v>2993</v>
      </c>
      <c r="O1798" s="29" t="s">
        <v>133</v>
      </c>
      <c r="P1798" s="30" t="s">
        <v>3008</v>
      </c>
    </row>
    <row r="1799" s="25" customFormat="1" spans="1:16">
      <c r="A1799" s="29" t="s">
        <v>3252</v>
      </c>
      <c r="B1799" s="29" t="s">
        <v>3243</v>
      </c>
      <c r="C1799" s="29" t="s">
        <v>59</v>
      </c>
      <c r="D1799" s="29" t="s">
        <v>2879</v>
      </c>
      <c r="E1799" s="29" t="s">
        <v>35</v>
      </c>
      <c r="F1799" s="29" t="s">
        <v>47</v>
      </c>
      <c r="G1799" s="29" t="s">
        <v>450</v>
      </c>
      <c r="H1799" s="29" t="s">
        <v>176</v>
      </c>
      <c r="I1799" s="29" t="s">
        <v>39</v>
      </c>
      <c r="J1799" s="29" t="s">
        <v>141</v>
      </c>
      <c r="K1799" s="29" t="s">
        <v>3253</v>
      </c>
      <c r="L1799" s="29" t="s">
        <v>3128</v>
      </c>
      <c r="M1799" s="29" t="s">
        <v>452</v>
      </c>
      <c r="N1799" s="29" t="s">
        <v>2993</v>
      </c>
      <c r="O1799" s="29" t="s">
        <v>133</v>
      </c>
      <c r="P1799" s="30" t="s">
        <v>3010</v>
      </c>
    </row>
    <row r="1800" s="25" customFormat="1" spans="1:16">
      <c r="A1800" s="29" t="s">
        <v>3253</v>
      </c>
      <c r="B1800" s="29" t="s">
        <v>3243</v>
      </c>
      <c r="C1800" s="29" t="s">
        <v>59</v>
      </c>
      <c r="D1800" s="29" t="s">
        <v>2879</v>
      </c>
      <c r="E1800" s="29" t="s">
        <v>35</v>
      </c>
      <c r="F1800" s="29" t="s">
        <v>47</v>
      </c>
      <c r="G1800" s="29" t="s">
        <v>450</v>
      </c>
      <c r="H1800" s="29" t="s">
        <v>176</v>
      </c>
      <c r="I1800" s="29" t="s">
        <v>39</v>
      </c>
      <c r="J1800" s="29" t="s">
        <v>145</v>
      </c>
      <c r="K1800" s="29" t="s">
        <v>3254</v>
      </c>
      <c r="L1800" s="29" t="s">
        <v>3208</v>
      </c>
      <c r="M1800" s="29" t="s">
        <v>452</v>
      </c>
      <c r="N1800" s="29" t="s">
        <v>2993</v>
      </c>
      <c r="O1800" s="29" t="s">
        <v>133</v>
      </c>
      <c r="P1800" s="30" t="s">
        <v>3011</v>
      </c>
    </row>
    <row r="1801" s="25" customFormat="1" spans="1:16">
      <c r="A1801" s="29" t="s">
        <v>3254</v>
      </c>
      <c r="B1801" s="29" t="s">
        <v>3243</v>
      </c>
      <c r="C1801" s="29" t="s">
        <v>59</v>
      </c>
      <c r="D1801" s="29" t="s">
        <v>2879</v>
      </c>
      <c r="E1801" s="29" t="s">
        <v>35</v>
      </c>
      <c r="F1801" s="29" t="s">
        <v>47</v>
      </c>
      <c r="G1801" s="29" t="s">
        <v>450</v>
      </c>
      <c r="H1801" s="29" t="s">
        <v>176</v>
      </c>
      <c r="I1801" s="29" t="s">
        <v>39</v>
      </c>
      <c r="J1801" s="29" t="s">
        <v>408</v>
      </c>
      <c r="K1801" s="29" t="s">
        <v>3255</v>
      </c>
      <c r="L1801" s="29" t="s">
        <v>3210</v>
      </c>
      <c r="M1801" s="29" t="s">
        <v>452</v>
      </c>
      <c r="N1801" s="29" t="s">
        <v>2993</v>
      </c>
      <c r="O1801" s="29" t="s">
        <v>133</v>
      </c>
      <c r="P1801" s="30" t="s">
        <v>3256</v>
      </c>
    </row>
    <row r="1802" s="25" customFormat="1" spans="1:16">
      <c r="A1802" s="29" t="s">
        <v>3255</v>
      </c>
      <c r="B1802" s="29" t="s">
        <v>3243</v>
      </c>
      <c r="C1802" s="29" t="s">
        <v>59</v>
      </c>
      <c r="D1802" s="29" t="s">
        <v>2879</v>
      </c>
      <c r="E1802" s="29" t="s">
        <v>35</v>
      </c>
      <c r="F1802" s="29" t="s">
        <v>47</v>
      </c>
      <c r="G1802" s="29" t="s">
        <v>450</v>
      </c>
      <c r="H1802" s="29" t="s">
        <v>176</v>
      </c>
      <c r="I1802" s="29" t="s">
        <v>39</v>
      </c>
      <c r="J1802" s="29" t="s">
        <v>412</v>
      </c>
      <c r="K1802" s="29" t="s">
        <v>3257</v>
      </c>
      <c r="L1802" s="29" t="s">
        <v>3213</v>
      </c>
      <c r="M1802" s="29" t="s">
        <v>452</v>
      </c>
      <c r="N1802" s="29" t="s">
        <v>2993</v>
      </c>
      <c r="O1802" s="29" t="s">
        <v>133</v>
      </c>
      <c r="P1802" s="30" t="s">
        <v>3258</v>
      </c>
    </row>
    <row r="1803" s="25" customFormat="1" spans="1:16">
      <c r="A1803" s="29" t="s">
        <v>3257</v>
      </c>
      <c r="B1803" s="29" t="s">
        <v>3243</v>
      </c>
      <c r="C1803" s="29" t="s">
        <v>59</v>
      </c>
      <c r="D1803" s="29" t="s">
        <v>2879</v>
      </c>
      <c r="E1803" s="29" t="s">
        <v>35</v>
      </c>
      <c r="F1803" s="29" t="s">
        <v>47</v>
      </c>
      <c r="G1803" s="29" t="s">
        <v>450</v>
      </c>
      <c r="H1803" s="29" t="s">
        <v>176</v>
      </c>
      <c r="I1803" s="29" t="s">
        <v>39</v>
      </c>
      <c r="J1803" s="29" t="s">
        <v>416</v>
      </c>
      <c r="K1803" s="29" t="s">
        <v>3259</v>
      </c>
      <c r="L1803" s="29" t="s">
        <v>3216</v>
      </c>
      <c r="M1803" s="29" t="s">
        <v>452</v>
      </c>
      <c r="N1803" s="29" t="s">
        <v>2993</v>
      </c>
      <c r="O1803" s="29" t="s">
        <v>133</v>
      </c>
      <c r="P1803" s="30" t="s">
        <v>3260</v>
      </c>
    </row>
    <row r="1804" s="25" customFormat="1" spans="1:16">
      <c r="A1804" s="29" t="s">
        <v>3259</v>
      </c>
      <c r="B1804" s="29" t="s">
        <v>3243</v>
      </c>
      <c r="C1804" s="29" t="s">
        <v>59</v>
      </c>
      <c r="D1804" s="29" t="s">
        <v>2879</v>
      </c>
      <c r="E1804" s="29" t="s">
        <v>35</v>
      </c>
      <c r="F1804" s="29" t="s">
        <v>47</v>
      </c>
      <c r="G1804" s="29" t="s">
        <v>450</v>
      </c>
      <c r="H1804" s="29" t="s">
        <v>176</v>
      </c>
      <c r="I1804" s="29" t="s">
        <v>39</v>
      </c>
      <c r="J1804" s="29" t="s">
        <v>420</v>
      </c>
      <c r="K1804" s="29" t="s">
        <v>3261</v>
      </c>
      <c r="L1804" s="29" t="s">
        <v>3219</v>
      </c>
      <c r="M1804" s="29" t="s">
        <v>452</v>
      </c>
      <c r="N1804" s="29" t="s">
        <v>2993</v>
      </c>
      <c r="O1804" s="29" t="s">
        <v>133</v>
      </c>
      <c r="P1804" s="30" t="s">
        <v>3262</v>
      </c>
    </row>
    <row r="1805" s="25" customFormat="1" spans="1:16">
      <c r="A1805" s="29" t="s">
        <v>3261</v>
      </c>
      <c r="B1805" s="29" t="s">
        <v>3243</v>
      </c>
      <c r="C1805" s="29" t="s">
        <v>59</v>
      </c>
      <c r="D1805" s="29" t="s">
        <v>2879</v>
      </c>
      <c r="E1805" s="29" t="s">
        <v>35</v>
      </c>
      <c r="F1805" s="29" t="s">
        <v>47</v>
      </c>
      <c r="G1805" s="29" t="s">
        <v>450</v>
      </c>
      <c r="H1805" s="29" t="s">
        <v>176</v>
      </c>
      <c r="I1805" s="29" t="s">
        <v>39</v>
      </c>
      <c r="J1805" s="29" t="s">
        <v>424</v>
      </c>
      <c r="K1805" s="29" t="s">
        <v>39</v>
      </c>
      <c r="L1805" s="29" t="s">
        <v>39</v>
      </c>
      <c r="M1805" s="29" t="s">
        <v>39</v>
      </c>
      <c r="N1805" s="29" t="s">
        <v>2993</v>
      </c>
      <c r="O1805" s="29" t="s">
        <v>133</v>
      </c>
      <c r="P1805" s="30" t="s">
        <v>3263</v>
      </c>
    </row>
    <row r="1806" s="25" customFormat="1" spans="1:16">
      <c r="A1806" s="29" t="s">
        <v>3264</v>
      </c>
      <c r="B1806" s="29" t="s">
        <v>3264</v>
      </c>
      <c r="C1806" s="29" t="s">
        <v>59</v>
      </c>
      <c r="D1806" s="29" t="s">
        <v>2879</v>
      </c>
      <c r="E1806" s="29" t="s">
        <v>47</v>
      </c>
      <c r="F1806" s="29" t="s">
        <v>47</v>
      </c>
      <c r="G1806" s="29" t="s">
        <v>3013</v>
      </c>
      <c r="H1806" s="29" t="s">
        <v>3014</v>
      </c>
      <c r="I1806" s="29" t="s">
        <v>204</v>
      </c>
      <c r="J1806" s="29" t="s">
        <v>39</v>
      </c>
      <c r="K1806" s="29" t="s">
        <v>3265</v>
      </c>
      <c r="L1806" s="29" t="s">
        <v>3016</v>
      </c>
      <c r="M1806" s="29" t="s">
        <v>474</v>
      </c>
      <c r="N1806" s="29" t="s">
        <v>3017</v>
      </c>
      <c r="O1806" s="29" t="s">
        <v>137</v>
      </c>
      <c r="P1806" s="30" t="s">
        <v>3018</v>
      </c>
    </row>
    <row r="1807" s="25" customFormat="1" spans="1:16">
      <c r="A1807" s="29" t="s">
        <v>3265</v>
      </c>
      <c r="B1807" s="29" t="s">
        <v>3264</v>
      </c>
      <c r="C1807" s="29" t="s">
        <v>59</v>
      </c>
      <c r="D1807" s="29" t="s">
        <v>2879</v>
      </c>
      <c r="E1807" s="29" t="s">
        <v>47</v>
      </c>
      <c r="F1807" s="29" t="s">
        <v>47</v>
      </c>
      <c r="G1807" s="29" t="s">
        <v>3013</v>
      </c>
      <c r="H1807" s="29" t="s">
        <v>3014</v>
      </c>
      <c r="I1807" s="29" t="s">
        <v>204</v>
      </c>
      <c r="J1807" s="29" t="s">
        <v>35</v>
      </c>
      <c r="K1807" s="29" t="s">
        <v>3266</v>
      </c>
      <c r="L1807" s="29" t="s">
        <v>3020</v>
      </c>
      <c r="M1807" s="29" t="s">
        <v>474</v>
      </c>
      <c r="N1807" s="29" t="s">
        <v>3021</v>
      </c>
      <c r="O1807" s="29" t="s">
        <v>137</v>
      </c>
      <c r="P1807" s="30" t="s">
        <v>3022</v>
      </c>
    </row>
    <row r="1808" s="25" customFormat="1" spans="1:16">
      <c r="A1808" s="29" t="s">
        <v>3266</v>
      </c>
      <c r="B1808" s="29" t="s">
        <v>3264</v>
      </c>
      <c r="C1808" s="29" t="s">
        <v>59</v>
      </c>
      <c r="D1808" s="29" t="s">
        <v>2879</v>
      </c>
      <c r="E1808" s="29" t="s">
        <v>47</v>
      </c>
      <c r="F1808" s="29" t="s">
        <v>47</v>
      </c>
      <c r="G1808" s="29" t="s">
        <v>3013</v>
      </c>
      <c r="H1808" s="29" t="s">
        <v>3014</v>
      </c>
      <c r="I1808" s="29" t="s">
        <v>204</v>
      </c>
      <c r="J1808" s="29" t="s">
        <v>47</v>
      </c>
      <c r="K1808" s="29" t="s">
        <v>3267</v>
      </c>
      <c r="L1808" s="29" t="s">
        <v>3024</v>
      </c>
      <c r="M1808" s="29" t="s">
        <v>474</v>
      </c>
      <c r="N1808" s="29" t="s">
        <v>3021</v>
      </c>
      <c r="O1808" s="29" t="s">
        <v>137</v>
      </c>
      <c r="P1808" s="30" t="s">
        <v>3025</v>
      </c>
    </row>
    <row r="1809" s="25" customFormat="1" spans="1:16">
      <c r="A1809" s="29" t="s">
        <v>3267</v>
      </c>
      <c r="B1809" s="29" t="s">
        <v>3264</v>
      </c>
      <c r="C1809" s="29" t="s">
        <v>59</v>
      </c>
      <c r="D1809" s="29" t="s">
        <v>2879</v>
      </c>
      <c r="E1809" s="29" t="s">
        <v>47</v>
      </c>
      <c r="F1809" s="29" t="s">
        <v>47</v>
      </c>
      <c r="G1809" s="29" t="s">
        <v>3013</v>
      </c>
      <c r="H1809" s="29" t="s">
        <v>3014</v>
      </c>
      <c r="I1809" s="29" t="s">
        <v>204</v>
      </c>
      <c r="J1809" s="29" t="s">
        <v>51</v>
      </c>
      <c r="K1809" s="29" t="s">
        <v>3268</v>
      </c>
      <c r="L1809" s="29" t="s">
        <v>3027</v>
      </c>
      <c r="M1809" s="29" t="s">
        <v>474</v>
      </c>
      <c r="N1809" s="29" t="s">
        <v>3021</v>
      </c>
      <c r="O1809" s="29" t="s">
        <v>137</v>
      </c>
      <c r="P1809" s="30" t="s">
        <v>3028</v>
      </c>
    </row>
    <row r="1810" s="25" customFormat="1" spans="1:16">
      <c r="A1810" s="29" t="s">
        <v>3268</v>
      </c>
      <c r="B1810" s="29" t="s">
        <v>3264</v>
      </c>
      <c r="C1810" s="29" t="s">
        <v>59</v>
      </c>
      <c r="D1810" s="29" t="s">
        <v>2879</v>
      </c>
      <c r="E1810" s="29" t="s">
        <v>47</v>
      </c>
      <c r="F1810" s="29" t="s">
        <v>47</v>
      </c>
      <c r="G1810" s="29" t="s">
        <v>3013</v>
      </c>
      <c r="H1810" s="29" t="s">
        <v>3014</v>
      </c>
      <c r="I1810" s="29" t="s">
        <v>204</v>
      </c>
      <c r="J1810" s="29" t="s">
        <v>55</v>
      </c>
      <c r="K1810" s="29" t="s">
        <v>3269</v>
      </c>
      <c r="L1810" s="29" t="s">
        <v>3030</v>
      </c>
      <c r="M1810" s="29" t="s">
        <v>474</v>
      </c>
      <c r="N1810" s="29" t="s">
        <v>3021</v>
      </c>
      <c r="O1810" s="29" t="s">
        <v>137</v>
      </c>
      <c r="P1810" s="30" t="s">
        <v>3031</v>
      </c>
    </row>
    <row r="1811" s="25" customFormat="1" spans="1:16">
      <c r="A1811" s="29" t="s">
        <v>3269</v>
      </c>
      <c r="B1811" s="29" t="s">
        <v>3264</v>
      </c>
      <c r="C1811" s="29" t="s">
        <v>59</v>
      </c>
      <c r="D1811" s="29" t="s">
        <v>2879</v>
      </c>
      <c r="E1811" s="29" t="s">
        <v>47</v>
      </c>
      <c r="F1811" s="29" t="s">
        <v>47</v>
      </c>
      <c r="G1811" s="29" t="s">
        <v>3013</v>
      </c>
      <c r="H1811" s="29" t="s">
        <v>3014</v>
      </c>
      <c r="I1811" s="29" t="s">
        <v>204</v>
      </c>
      <c r="J1811" s="29" t="s">
        <v>59</v>
      </c>
      <c r="K1811" s="29" t="s">
        <v>3270</v>
      </c>
      <c r="L1811" s="29" t="s">
        <v>3033</v>
      </c>
      <c r="M1811" s="29" t="s">
        <v>474</v>
      </c>
      <c r="N1811" s="29" t="s">
        <v>3021</v>
      </c>
      <c r="O1811" s="29" t="s">
        <v>137</v>
      </c>
      <c r="P1811" s="30" t="s">
        <v>3034</v>
      </c>
    </row>
    <row r="1812" s="25" customFormat="1" spans="1:16">
      <c r="A1812" s="29" t="s">
        <v>3270</v>
      </c>
      <c r="B1812" s="29" t="s">
        <v>3264</v>
      </c>
      <c r="C1812" s="29" t="s">
        <v>59</v>
      </c>
      <c r="D1812" s="29" t="s">
        <v>2879</v>
      </c>
      <c r="E1812" s="29" t="s">
        <v>47</v>
      </c>
      <c r="F1812" s="29" t="s">
        <v>47</v>
      </c>
      <c r="G1812" s="29" t="s">
        <v>3013</v>
      </c>
      <c r="H1812" s="29" t="s">
        <v>3014</v>
      </c>
      <c r="I1812" s="29" t="s">
        <v>204</v>
      </c>
      <c r="J1812" s="29" t="s">
        <v>129</v>
      </c>
      <c r="K1812" s="29" t="s">
        <v>3271</v>
      </c>
      <c r="L1812" s="29" t="s">
        <v>3036</v>
      </c>
      <c r="M1812" s="29" t="s">
        <v>474</v>
      </c>
      <c r="N1812" s="29" t="s">
        <v>3021</v>
      </c>
      <c r="O1812" s="29" t="s">
        <v>137</v>
      </c>
      <c r="P1812" s="30" t="s">
        <v>3037</v>
      </c>
    </row>
    <row r="1813" s="25" customFormat="1" spans="1:16">
      <c r="A1813" s="29" t="s">
        <v>3271</v>
      </c>
      <c r="B1813" s="29" t="s">
        <v>3264</v>
      </c>
      <c r="C1813" s="29" t="s">
        <v>59</v>
      </c>
      <c r="D1813" s="29" t="s">
        <v>2879</v>
      </c>
      <c r="E1813" s="29" t="s">
        <v>47</v>
      </c>
      <c r="F1813" s="29" t="s">
        <v>47</v>
      </c>
      <c r="G1813" s="29" t="s">
        <v>3013</v>
      </c>
      <c r="H1813" s="29" t="s">
        <v>3014</v>
      </c>
      <c r="I1813" s="29" t="s">
        <v>204</v>
      </c>
      <c r="J1813" s="29" t="s">
        <v>133</v>
      </c>
      <c r="K1813" s="29" t="s">
        <v>3272</v>
      </c>
      <c r="L1813" s="29" t="s">
        <v>3039</v>
      </c>
      <c r="M1813" s="29" t="s">
        <v>474</v>
      </c>
      <c r="N1813" s="29" t="s">
        <v>3021</v>
      </c>
      <c r="O1813" s="29" t="s">
        <v>137</v>
      </c>
      <c r="P1813" s="30" t="s">
        <v>3040</v>
      </c>
    </row>
    <row r="1814" s="25" customFormat="1" spans="1:16">
      <c r="A1814" s="29" t="s">
        <v>3272</v>
      </c>
      <c r="B1814" s="29" t="s">
        <v>3264</v>
      </c>
      <c r="C1814" s="29" t="s">
        <v>59</v>
      </c>
      <c r="D1814" s="29" t="s">
        <v>2879</v>
      </c>
      <c r="E1814" s="29" t="s">
        <v>47</v>
      </c>
      <c r="F1814" s="29" t="s">
        <v>47</v>
      </c>
      <c r="G1814" s="29" t="s">
        <v>3013</v>
      </c>
      <c r="H1814" s="29" t="s">
        <v>3014</v>
      </c>
      <c r="I1814" s="29" t="s">
        <v>204</v>
      </c>
      <c r="J1814" s="29" t="s">
        <v>137</v>
      </c>
      <c r="K1814" s="29" t="s">
        <v>3273</v>
      </c>
      <c r="L1814" s="29" t="s">
        <v>3042</v>
      </c>
      <c r="M1814" s="29" t="s">
        <v>474</v>
      </c>
      <c r="N1814" s="29" t="s">
        <v>3021</v>
      </c>
      <c r="O1814" s="29" t="s">
        <v>137</v>
      </c>
      <c r="P1814" s="30" t="s">
        <v>3043</v>
      </c>
    </row>
    <row r="1815" s="25" customFormat="1" spans="1:16">
      <c r="A1815" s="29" t="s">
        <v>3273</v>
      </c>
      <c r="B1815" s="29" t="s">
        <v>3264</v>
      </c>
      <c r="C1815" s="29" t="s">
        <v>59</v>
      </c>
      <c r="D1815" s="29" t="s">
        <v>2879</v>
      </c>
      <c r="E1815" s="29" t="s">
        <v>47</v>
      </c>
      <c r="F1815" s="29" t="s">
        <v>47</v>
      </c>
      <c r="G1815" s="29" t="s">
        <v>3013</v>
      </c>
      <c r="H1815" s="29" t="s">
        <v>3014</v>
      </c>
      <c r="I1815" s="29" t="s">
        <v>204</v>
      </c>
      <c r="J1815" s="29" t="s">
        <v>141</v>
      </c>
      <c r="K1815" s="29" t="s">
        <v>3274</v>
      </c>
      <c r="L1815" s="29" t="s">
        <v>3045</v>
      </c>
      <c r="M1815" s="29" t="s">
        <v>474</v>
      </c>
      <c r="N1815" s="29" t="s">
        <v>3021</v>
      </c>
      <c r="O1815" s="29" t="s">
        <v>137</v>
      </c>
      <c r="P1815" s="30" t="s">
        <v>3046</v>
      </c>
    </row>
    <row r="1816" s="25" customFormat="1" spans="1:16">
      <c r="A1816" s="29" t="s">
        <v>3274</v>
      </c>
      <c r="B1816" s="29" t="s">
        <v>3264</v>
      </c>
      <c r="C1816" s="29" t="s">
        <v>59</v>
      </c>
      <c r="D1816" s="29" t="s">
        <v>2879</v>
      </c>
      <c r="E1816" s="29" t="s">
        <v>47</v>
      </c>
      <c r="F1816" s="29" t="s">
        <v>47</v>
      </c>
      <c r="G1816" s="29" t="s">
        <v>3013</v>
      </c>
      <c r="H1816" s="29" t="s">
        <v>3014</v>
      </c>
      <c r="I1816" s="29" t="s">
        <v>204</v>
      </c>
      <c r="J1816" s="29" t="s">
        <v>145</v>
      </c>
      <c r="K1816" s="29" t="s">
        <v>39</v>
      </c>
      <c r="L1816" s="29" t="s">
        <v>3047</v>
      </c>
      <c r="M1816" s="29" t="s">
        <v>474</v>
      </c>
      <c r="N1816" s="29" t="s">
        <v>3021</v>
      </c>
      <c r="O1816" s="29" t="s">
        <v>137</v>
      </c>
      <c r="P1816" s="30" t="s">
        <v>3048</v>
      </c>
    </row>
    <row r="1817" s="25" customFormat="1" spans="1:16">
      <c r="A1817" s="29" t="s">
        <v>3275</v>
      </c>
      <c r="B1817" s="29" t="s">
        <v>3275</v>
      </c>
      <c r="C1817" s="29" t="s">
        <v>59</v>
      </c>
      <c r="D1817" s="29" t="s">
        <v>2879</v>
      </c>
      <c r="E1817" s="29" t="s">
        <v>47</v>
      </c>
      <c r="F1817" s="29" t="s">
        <v>47</v>
      </c>
      <c r="G1817" s="29" t="s">
        <v>3050</v>
      </c>
      <c r="H1817" s="29" t="s">
        <v>3051</v>
      </c>
      <c r="I1817" s="29" t="s">
        <v>204</v>
      </c>
      <c r="J1817" s="29" t="s">
        <v>39</v>
      </c>
      <c r="K1817" s="29" t="s">
        <v>3276</v>
      </c>
      <c r="L1817" s="29" t="s">
        <v>3016</v>
      </c>
      <c r="M1817" s="29" t="s">
        <v>488</v>
      </c>
      <c r="N1817" s="29" t="s">
        <v>3053</v>
      </c>
      <c r="O1817" s="29" t="s">
        <v>141</v>
      </c>
      <c r="P1817" s="30" t="s">
        <v>3054</v>
      </c>
    </row>
    <row r="1818" s="25" customFormat="1" spans="1:16">
      <c r="A1818" s="29" t="s">
        <v>3276</v>
      </c>
      <c r="B1818" s="29" t="s">
        <v>3275</v>
      </c>
      <c r="C1818" s="29" t="s">
        <v>59</v>
      </c>
      <c r="D1818" s="29" t="s">
        <v>2879</v>
      </c>
      <c r="E1818" s="29" t="s">
        <v>47</v>
      </c>
      <c r="F1818" s="29" t="s">
        <v>47</v>
      </c>
      <c r="G1818" s="29" t="s">
        <v>3050</v>
      </c>
      <c r="H1818" s="29" t="s">
        <v>3051</v>
      </c>
      <c r="I1818" s="29" t="s">
        <v>204</v>
      </c>
      <c r="J1818" s="29" t="s">
        <v>35</v>
      </c>
      <c r="K1818" s="29" t="s">
        <v>3277</v>
      </c>
      <c r="L1818" s="29" t="s">
        <v>3020</v>
      </c>
      <c r="M1818" s="29" t="s">
        <v>488</v>
      </c>
      <c r="N1818" s="29" t="s">
        <v>3056</v>
      </c>
      <c r="O1818" s="29" t="s">
        <v>141</v>
      </c>
      <c r="P1818" s="30" t="s">
        <v>3057</v>
      </c>
    </row>
    <row r="1819" s="25" customFormat="1" spans="1:16">
      <c r="A1819" s="29" t="s">
        <v>3277</v>
      </c>
      <c r="B1819" s="29" t="s">
        <v>3275</v>
      </c>
      <c r="C1819" s="29" t="s">
        <v>59</v>
      </c>
      <c r="D1819" s="29" t="s">
        <v>2879</v>
      </c>
      <c r="E1819" s="29" t="s">
        <v>47</v>
      </c>
      <c r="F1819" s="29" t="s">
        <v>47</v>
      </c>
      <c r="G1819" s="29" t="s">
        <v>3050</v>
      </c>
      <c r="H1819" s="29" t="s">
        <v>3051</v>
      </c>
      <c r="I1819" s="29" t="s">
        <v>204</v>
      </c>
      <c r="J1819" s="29" t="s">
        <v>47</v>
      </c>
      <c r="K1819" s="29" t="s">
        <v>3278</v>
      </c>
      <c r="L1819" s="29" t="s">
        <v>3024</v>
      </c>
      <c r="M1819" s="29" t="s">
        <v>488</v>
      </c>
      <c r="N1819" s="29" t="s">
        <v>3056</v>
      </c>
      <c r="O1819" s="29" t="s">
        <v>141</v>
      </c>
      <c r="P1819" s="30" t="s">
        <v>3059</v>
      </c>
    </row>
    <row r="1820" s="25" customFormat="1" spans="1:16">
      <c r="A1820" s="29" t="s">
        <v>3278</v>
      </c>
      <c r="B1820" s="29" t="s">
        <v>3275</v>
      </c>
      <c r="C1820" s="29" t="s">
        <v>59</v>
      </c>
      <c r="D1820" s="29" t="s">
        <v>2879</v>
      </c>
      <c r="E1820" s="29" t="s">
        <v>47</v>
      </c>
      <c r="F1820" s="29" t="s">
        <v>47</v>
      </c>
      <c r="G1820" s="29" t="s">
        <v>3050</v>
      </c>
      <c r="H1820" s="29" t="s">
        <v>3051</v>
      </c>
      <c r="I1820" s="29" t="s">
        <v>204</v>
      </c>
      <c r="J1820" s="29" t="s">
        <v>51</v>
      </c>
      <c r="K1820" s="29" t="s">
        <v>3279</v>
      </c>
      <c r="L1820" s="29" t="s">
        <v>3027</v>
      </c>
      <c r="M1820" s="29" t="s">
        <v>488</v>
      </c>
      <c r="N1820" s="29" t="s">
        <v>3056</v>
      </c>
      <c r="O1820" s="29" t="s">
        <v>141</v>
      </c>
      <c r="P1820" s="30" t="s">
        <v>3061</v>
      </c>
    </row>
    <row r="1821" s="25" customFormat="1" spans="1:16">
      <c r="A1821" s="29" t="s">
        <v>3279</v>
      </c>
      <c r="B1821" s="29" t="s">
        <v>3275</v>
      </c>
      <c r="C1821" s="29" t="s">
        <v>59</v>
      </c>
      <c r="D1821" s="29" t="s">
        <v>2879</v>
      </c>
      <c r="E1821" s="29" t="s">
        <v>47</v>
      </c>
      <c r="F1821" s="29" t="s">
        <v>47</v>
      </c>
      <c r="G1821" s="29" t="s">
        <v>3050</v>
      </c>
      <c r="H1821" s="29" t="s">
        <v>3051</v>
      </c>
      <c r="I1821" s="29" t="s">
        <v>204</v>
      </c>
      <c r="J1821" s="29" t="s">
        <v>55</v>
      </c>
      <c r="K1821" s="29" t="s">
        <v>3280</v>
      </c>
      <c r="L1821" s="29" t="s">
        <v>3030</v>
      </c>
      <c r="M1821" s="29" t="s">
        <v>488</v>
      </c>
      <c r="N1821" s="29" t="s">
        <v>3056</v>
      </c>
      <c r="O1821" s="29" t="s">
        <v>141</v>
      </c>
      <c r="P1821" s="30" t="s">
        <v>3063</v>
      </c>
    </row>
    <row r="1822" s="25" customFormat="1" spans="1:16">
      <c r="A1822" s="29" t="s">
        <v>3280</v>
      </c>
      <c r="B1822" s="29" t="s">
        <v>3275</v>
      </c>
      <c r="C1822" s="29" t="s">
        <v>59</v>
      </c>
      <c r="D1822" s="29" t="s">
        <v>2879</v>
      </c>
      <c r="E1822" s="29" t="s">
        <v>47</v>
      </c>
      <c r="F1822" s="29" t="s">
        <v>47</v>
      </c>
      <c r="G1822" s="29" t="s">
        <v>3050</v>
      </c>
      <c r="H1822" s="29" t="s">
        <v>3051</v>
      </c>
      <c r="I1822" s="29" t="s">
        <v>204</v>
      </c>
      <c r="J1822" s="29" t="s">
        <v>59</v>
      </c>
      <c r="K1822" s="29" t="s">
        <v>3281</v>
      </c>
      <c r="L1822" s="29" t="s">
        <v>3033</v>
      </c>
      <c r="M1822" s="29" t="s">
        <v>488</v>
      </c>
      <c r="N1822" s="29" t="s">
        <v>3056</v>
      </c>
      <c r="O1822" s="29" t="s">
        <v>141</v>
      </c>
      <c r="P1822" s="30" t="s">
        <v>3065</v>
      </c>
    </row>
    <row r="1823" s="25" customFormat="1" spans="1:16">
      <c r="A1823" s="29" t="s">
        <v>3281</v>
      </c>
      <c r="B1823" s="29" t="s">
        <v>3275</v>
      </c>
      <c r="C1823" s="29" t="s">
        <v>59</v>
      </c>
      <c r="D1823" s="29" t="s">
        <v>2879</v>
      </c>
      <c r="E1823" s="29" t="s">
        <v>47</v>
      </c>
      <c r="F1823" s="29" t="s">
        <v>47</v>
      </c>
      <c r="G1823" s="29" t="s">
        <v>3050</v>
      </c>
      <c r="H1823" s="29" t="s">
        <v>3051</v>
      </c>
      <c r="I1823" s="29" t="s">
        <v>204</v>
      </c>
      <c r="J1823" s="29" t="s">
        <v>129</v>
      </c>
      <c r="K1823" s="29" t="s">
        <v>3282</v>
      </c>
      <c r="L1823" s="29" t="s">
        <v>3036</v>
      </c>
      <c r="M1823" s="29" t="s">
        <v>488</v>
      </c>
      <c r="N1823" s="29" t="s">
        <v>3056</v>
      </c>
      <c r="O1823" s="29" t="s">
        <v>141</v>
      </c>
      <c r="P1823" s="30" t="s">
        <v>3067</v>
      </c>
    </row>
    <row r="1824" s="25" customFormat="1" spans="1:16">
      <c r="A1824" s="29" t="s">
        <v>3282</v>
      </c>
      <c r="B1824" s="29" t="s">
        <v>3275</v>
      </c>
      <c r="C1824" s="29" t="s">
        <v>59</v>
      </c>
      <c r="D1824" s="29" t="s">
        <v>2879</v>
      </c>
      <c r="E1824" s="29" t="s">
        <v>47</v>
      </c>
      <c r="F1824" s="29" t="s">
        <v>47</v>
      </c>
      <c r="G1824" s="29" t="s">
        <v>3050</v>
      </c>
      <c r="H1824" s="29" t="s">
        <v>3051</v>
      </c>
      <c r="I1824" s="29" t="s">
        <v>204</v>
      </c>
      <c r="J1824" s="29" t="s">
        <v>133</v>
      </c>
      <c r="K1824" s="29" t="s">
        <v>3283</v>
      </c>
      <c r="L1824" s="29" t="s">
        <v>3039</v>
      </c>
      <c r="M1824" s="29" t="s">
        <v>488</v>
      </c>
      <c r="N1824" s="29" t="s">
        <v>3056</v>
      </c>
      <c r="O1824" s="29" t="s">
        <v>141</v>
      </c>
      <c r="P1824" s="30" t="s">
        <v>3069</v>
      </c>
    </row>
    <row r="1825" s="25" customFormat="1" spans="1:16">
      <c r="A1825" s="29" t="s">
        <v>3283</v>
      </c>
      <c r="B1825" s="29" t="s">
        <v>3275</v>
      </c>
      <c r="C1825" s="29" t="s">
        <v>59</v>
      </c>
      <c r="D1825" s="29" t="s">
        <v>2879</v>
      </c>
      <c r="E1825" s="29" t="s">
        <v>47</v>
      </c>
      <c r="F1825" s="29" t="s">
        <v>47</v>
      </c>
      <c r="G1825" s="29" t="s">
        <v>3050</v>
      </c>
      <c r="H1825" s="29" t="s">
        <v>3051</v>
      </c>
      <c r="I1825" s="29" t="s">
        <v>204</v>
      </c>
      <c r="J1825" s="29" t="s">
        <v>137</v>
      </c>
      <c r="K1825" s="29" t="s">
        <v>3284</v>
      </c>
      <c r="L1825" s="29" t="s">
        <v>3042</v>
      </c>
      <c r="M1825" s="29" t="s">
        <v>488</v>
      </c>
      <c r="N1825" s="29" t="s">
        <v>3056</v>
      </c>
      <c r="O1825" s="29" t="s">
        <v>141</v>
      </c>
      <c r="P1825" s="30" t="s">
        <v>3071</v>
      </c>
    </row>
    <row r="1826" s="25" customFormat="1" spans="1:16">
      <c r="A1826" s="29" t="s">
        <v>3284</v>
      </c>
      <c r="B1826" s="29" t="s">
        <v>3275</v>
      </c>
      <c r="C1826" s="29" t="s">
        <v>59</v>
      </c>
      <c r="D1826" s="29" t="s">
        <v>2879</v>
      </c>
      <c r="E1826" s="29" t="s">
        <v>47</v>
      </c>
      <c r="F1826" s="29" t="s">
        <v>47</v>
      </c>
      <c r="G1826" s="29" t="s">
        <v>3050</v>
      </c>
      <c r="H1826" s="29" t="s">
        <v>3051</v>
      </c>
      <c r="I1826" s="29" t="s">
        <v>204</v>
      </c>
      <c r="J1826" s="29" t="s">
        <v>141</v>
      </c>
      <c r="K1826" s="29" t="s">
        <v>3285</v>
      </c>
      <c r="L1826" s="29" t="s">
        <v>3045</v>
      </c>
      <c r="M1826" s="29" t="s">
        <v>488</v>
      </c>
      <c r="N1826" s="29" t="s">
        <v>3056</v>
      </c>
      <c r="O1826" s="29" t="s">
        <v>141</v>
      </c>
      <c r="P1826" s="30" t="s">
        <v>3073</v>
      </c>
    </row>
    <row r="1827" s="25" customFormat="1" spans="1:16">
      <c r="A1827" s="29" t="s">
        <v>3285</v>
      </c>
      <c r="B1827" s="29" t="s">
        <v>3275</v>
      </c>
      <c r="C1827" s="29" t="s">
        <v>59</v>
      </c>
      <c r="D1827" s="29" t="s">
        <v>2879</v>
      </c>
      <c r="E1827" s="29" t="s">
        <v>47</v>
      </c>
      <c r="F1827" s="29" t="s">
        <v>47</v>
      </c>
      <c r="G1827" s="29" t="s">
        <v>3050</v>
      </c>
      <c r="H1827" s="29" t="s">
        <v>3051</v>
      </c>
      <c r="I1827" s="29" t="s">
        <v>204</v>
      </c>
      <c r="J1827" s="29" t="s">
        <v>145</v>
      </c>
      <c r="K1827" s="29" t="s">
        <v>39</v>
      </c>
      <c r="L1827" s="29" t="s">
        <v>3047</v>
      </c>
      <c r="M1827" s="29" t="s">
        <v>488</v>
      </c>
      <c r="N1827" s="29" t="s">
        <v>3056</v>
      </c>
      <c r="O1827" s="29" t="s">
        <v>141</v>
      </c>
      <c r="P1827" s="30" t="s">
        <v>3074</v>
      </c>
    </row>
    <row r="1828" s="25" customFormat="1" spans="1:16">
      <c r="A1828" s="29" t="s">
        <v>3286</v>
      </c>
      <c r="B1828" s="29" t="s">
        <v>3286</v>
      </c>
      <c r="C1828" s="29" t="s">
        <v>59</v>
      </c>
      <c r="D1828" s="29" t="s">
        <v>2879</v>
      </c>
      <c r="E1828" s="29" t="s">
        <v>47</v>
      </c>
      <c r="F1828" s="29" t="s">
        <v>47</v>
      </c>
      <c r="G1828" s="29" t="s">
        <v>3076</v>
      </c>
      <c r="H1828" s="29" t="s">
        <v>3077</v>
      </c>
      <c r="I1828" s="29" t="s">
        <v>204</v>
      </c>
      <c r="J1828" s="29" t="s">
        <v>39</v>
      </c>
      <c r="K1828" s="29" t="s">
        <v>3287</v>
      </c>
      <c r="L1828" s="29" t="s">
        <v>3016</v>
      </c>
      <c r="M1828" s="29" t="s">
        <v>502</v>
      </c>
      <c r="N1828" s="29" t="s">
        <v>3079</v>
      </c>
      <c r="O1828" s="29" t="s">
        <v>145</v>
      </c>
      <c r="P1828" s="30" t="s">
        <v>3080</v>
      </c>
    </row>
    <row r="1829" s="25" customFormat="1" spans="1:16">
      <c r="A1829" s="29" t="s">
        <v>3287</v>
      </c>
      <c r="B1829" s="29" t="s">
        <v>3286</v>
      </c>
      <c r="C1829" s="29" t="s">
        <v>59</v>
      </c>
      <c r="D1829" s="29" t="s">
        <v>2879</v>
      </c>
      <c r="E1829" s="29" t="s">
        <v>47</v>
      </c>
      <c r="F1829" s="29" t="s">
        <v>47</v>
      </c>
      <c r="G1829" s="29" t="s">
        <v>3076</v>
      </c>
      <c r="H1829" s="29" t="s">
        <v>3077</v>
      </c>
      <c r="I1829" s="29" t="s">
        <v>204</v>
      </c>
      <c r="J1829" s="29" t="s">
        <v>35</v>
      </c>
      <c r="K1829" s="29" t="s">
        <v>3288</v>
      </c>
      <c r="L1829" s="29" t="s">
        <v>3020</v>
      </c>
      <c r="M1829" s="29" t="s">
        <v>502</v>
      </c>
      <c r="N1829" s="29" t="s">
        <v>3082</v>
      </c>
      <c r="O1829" s="29" t="s">
        <v>145</v>
      </c>
      <c r="P1829" s="30" t="s">
        <v>3083</v>
      </c>
    </row>
    <row r="1830" s="25" customFormat="1" spans="1:16">
      <c r="A1830" s="29" t="s">
        <v>3288</v>
      </c>
      <c r="B1830" s="29" t="s">
        <v>3286</v>
      </c>
      <c r="C1830" s="29" t="s">
        <v>59</v>
      </c>
      <c r="D1830" s="29" t="s">
        <v>2879</v>
      </c>
      <c r="E1830" s="29" t="s">
        <v>47</v>
      </c>
      <c r="F1830" s="29" t="s">
        <v>47</v>
      </c>
      <c r="G1830" s="29" t="s">
        <v>3076</v>
      </c>
      <c r="H1830" s="29" t="s">
        <v>3077</v>
      </c>
      <c r="I1830" s="29" t="s">
        <v>204</v>
      </c>
      <c r="J1830" s="29" t="s">
        <v>47</v>
      </c>
      <c r="K1830" s="29" t="s">
        <v>3289</v>
      </c>
      <c r="L1830" s="29" t="s">
        <v>3024</v>
      </c>
      <c r="M1830" s="29" t="s">
        <v>502</v>
      </c>
      <c r="N1830" s="29" t="s">
        <v>3082</v>
      </c>
      <c r="O1830" s="29" t="s">
        <v>145</v>
      </c>
      <c r="P1830" s="30" t="s">
        <v>3085</v>
      </c>
    </row>
    <row r="1831" s="25" customFormat="1" spans="1:16">
      <c r="A1831" s="29" t="s">
        <v>3289</v>
      </c>
      <c r="B1831" s="29" t="s">
        <v>3286</v>
      </c>
      <c r="C1831" s="29" t="s">
        <v>59</v>
      </c>
      <c r="D1831" s="29" t="s">
        <v>2879</v>
      </c>
      <c r="E1831" s="29" t="s">
        <v>47</v>
      </c>
      <c r="F1831" s="29" t="s">
        <v>47</v>
      </c>
      <c r="G1831" s="29" t="s">
        <v>3076</v>
      </c>
      <c r="H1831" s="29" t="s">
        <v>3077</v>
      </c>
      <c r="I1831" s="29" t="s">
        <v>204</v>
      </c>
      <c r="J1831" s="29" t="s">
        <v>51</v>
      </c>
      <c r="K1831" s="29" t="s">
        <v>3290</v>
      </c>
      <c r="L1831" s="29" t="s">
        <v>3027</v>
      </c>
      <c r="M1831" s="29" t="s">
        <v>502</v>
      </c>
      <c r="N1831" s="29" t="s">
        <v>3082</v>
      </c>
      <c r="O1831" s="29" t="s">
        <v>145</v>
      </c>
      <c r="P1831" s="30" t="s">
        <v>3087</v>
      </c>
    </row>
    <row r="1832" s="25" customFormat="1" spans="1:16">
      <c r="A1832" s="29" t="s">
        <v>3290</v>
      </c>
      <c r="B1832" s="29" t="s">
        <v>3286</v>
      </c>
      <c r="C1832" s="29" t="s">
        <v>59</v>
      </c>
      <c r="D1832" s="29" t="s">
        <v>2879</v>
      </c>
      <c r="E1832" s="29" t="s">
        <v>47</v>
      </c>
      <c r="F1832" s="29" t="s">
        <v>47</v>
      </c>
      <c r="G1832" s="29" t="s">
        <v>3076</v>
      </c>
      <c r="H1832" s="29" t="s">
        <v>3077</v>
      </c>
      <c r="I1832" s="29" t="s">
        <v>204</v>
      </c>
      <c r="J1832" s="29" t="s">
        <v>55</v>
      </c>
      <c r="K1832" s="29" t="s">
        <v>3291</v>
      </c>
      <c r="L1832" s="29" t="s">
        <v>3030</v>
      </c>
      <c r="M1832" s="29" t="s">
        <v>502</v>
      </c>
      <c r="N1832" s="29" t="s">
        <v>3082</v>
      </c>
      <c r="O1832" s="29" t="s">
        <v>145</v>
      </c>
      <c r="P1832" s="30" t="s">
        <v>3089</v>
      </c>
    </row>
    <row r="1833" s="25" customFormat="1" spans="1:16">
      <c r="A1833" s="29" t="s">
        <v>3291</v>
      </c>
      <c r="B1833" s="29" t="s">
        <v>3286</v>
      </c>
      <c r="C1833" s="29" t="s">
        <v>59</v>
      </c>
      <c r="D1833" s="29" t="s">
        <v>2879</v>
      </c>
      <c r="E1833" s="29" t="s">
        <v>47</v>
      </c>
      <c r="F1833" s="29" t="s">
        <v>47</v>
      </c>
      <c r="G1833" s="29" t="s">
        <v>3076</v>
      </c>
      <c r="H1833" s="29" t="s">
        <v>3077</v>
      </c>
      <c r="I1833" s="29" t="s">
        <v>204</v>
      </c>
      <c r="J1833" s="29" t="s">
        <v>59</v>
      </c>
      <c r="K1833" s="29" t="s">
        <v>3292</v>
      </c>
      <c r="L1833" s="29" t="s">
        <v>3033</v>
      </c>
      <c r="M1833" s="29" t="s">
        <v>502</v>
      </c>
      <c r="N1833" s="29" t="s">
        <v>3082</v>
      </c>
      <c r="O1833" s="29" t="s">
        <v>145</v>
      </c>
      <c r="P1833" s="30" t="s">
        <v>3091</v>
      </c>
    </row>
    <row r="1834" s="25" customFormat="1" spans="1:16">
      <c r="A1834" s="29" t="s">
        <v>3292</v>
      </c>
      <c r="B1834" s="29" t="s">
        <v>3286</v>
      </c>
      <c r="C1834" s="29" t="s">
        <v>59</v>
      </c>
      <c r="D1834" s="29" t="s">
        <v>2879</v>
      </c>
      <c r="E1834" s="29" t="s">
        <v>47</v>
      </c>
      <c r="F1834" s="29" t="s">
        <v>47</v>
      </c>
      <c r="G1834" s="29" t="s">
        <v>3076</v>
      </c>
      <c r="H1834" s="29" t="s">
        <v>3077</v>
      </c>
      <c r="I1834" s="29" t="s">
        <v>204</v>
      </c>
      <c r="J1834" s="29" t="s">
        <v>129</v>
      </c>
      <c r="K1834" s="29" t="s">
        <v>3293</v>
      </c>
      <c r="L1834" s="29" t="s">
        <v>3036</v>
      </c>
      <c r="M1834" s="29" t="s">
        <v>502</v>
      </c>
      <c r="N1834" s="29" t="s">
        <v>3082</v>
      </c>
      <c r="O1834" s="29" t="s">
        <v>145</v>
      </c>
      <c r="P1834" s="30" t="s">
        <v>3093</v>
      </c>
    </row>
    <row r="1835" s="25" customFormat="1" spans="1:16">
      <c r="A1835" s="29" t="s">
        <v>3293</v>
      </c>
      <c r="B1835" s="29" t="s">
        <v>3286</v>
      </c>
      <c r="C1835" s="29" t="s">
        <v>59</v>
      </c>
      <c r="D1835" s="29" t="s">
        <v>2879</v>
      </c>
      <c r="E1835" s="29" t="s">
        <v>47</v>
      </c>
      <c r="F1835" s="29" t="s">
        <v>47</v>
      </c>
      <c r="G1835" s="29" t="s">
        <v>3076</v>
      </c>
      <c r="H1835" s="29" t="s">
        <v>3077</v>
      </c>
      <c r="I1835" s="29" t="s">
        <v>204</v>
      </c>
      <c r="J1835" s="29" t="s">
        <v>133</v>
      </c>
      <c r="K1835" s="29" t="s">
        <v>3294</v>
      </c>
      <c r="L1835" s="29" t="s">
        <v>3039</v>
      </c>
      <c r="M1835" s="29" t="s">
        <v>502</v>
      </c>
      <c r="N1835" s="29" t="s">
        <v>3082</v>
      </c>
      <c r="O1835" s="29" t="s">
        <v>145</v>
      </c>
      <c r="P1835" s="30" t="s">
        <v>3095</v>
      </c>
    </row>
    <row r="1836" s="25" customFormat="1" spans="1:16">
      <c r="A1836" s="29" t="s">
        <v>3294</v>
      </c>
      <c r="B1836" s="29" t="s">
        <v>3286</v>
      </c>
      <c r="C1836" s="29" t="s">
        <v>59</v>
      </c>
      <c r="D1836" s="29" t="s">
        <v>2879</v>
      </c>
      <c r="E1836" s="29" t="s">
        <v>47</v>
      </c>
      <c r="F1836" s="29" t="s">
        <v>47</v>
      </c>
      <c r="G1836" s="29" t="s">
        <v>3076</v>
      </c>
      <c r="H1836" s="29" t="s">
        <v>3077</v>
      </c>
      <c r="I1836" s="29" t="s">
        <v>204</v>
      </c>
      <c r="J1836" s="29" t="s">
        <v>137</v>
      </c>
      <c r="K1836" s="29" t="s">
        <v>3295</v>
      </c>
      <c r="L1836" s="29" t="s">
        <v>3042</v>
      </c>
      <c r="M1836" s="29" t="s">
        <v>502</v>
      </c>
      <c r="N1836" s="29" t="s">
        <v>3082</v>
      </c>
      <c r="O1836" s="29" t="s">
        <v>145</v>
      </c>
      <c r="P1836" s="30" t="s">
        <v>3097</v>
      </c>
    </row>
    <row r="1837" s="25" customFormat="1" spans="1:16">
      <c r="A1837" s="29" t="s">
        <v>3295</v>
      </c>
      <c r="B1837" s="29" t="s">
        <v>3286</v>
      </c>
      <c r="C1837" s="29" t="s">
        <v>59</v>
      </c>
      <c r="D1837" s="29" t="s">
        <v>2879</v>
      </c>
      <c r="E1837" s="29" t="s">
        <v>47</v>
      </c>
      <c r="F1837" s="29" t="s">
        <v>47</v>
      </c>
      <c r="G1837" s="29" t="s">
        <v>3076</v>
      </c>
      <c r="H1837" s="29" t="s">
        <v>3077</v>
      </c>
      <c r="I1837" s="29" t="s">
        <v>204</v>
      </c>
      <c r="J1837" s="29" t="s">
        <v>141</v>
      </c>
      <c r="K1837" s="29" t="s">
        <v>3296</v>
      </c>
      <c r="L1837" s="29" t="s">
        <v>3045</v>
      </c>
      <c r="M1837" s="29" t="s">
        <v>502</v>
      </c>
      <c r="N1837" s="29" t="s">
        <v>3082</v>
      </c>
      <c r="O1837" s="29" t="s">
        <v>145</v>
      </c>
      <c r="P1837" s="30" t="s">
        <v>3099</v>
      </c>
    </row>
    <row r="1838" s="25" customFormat="1" spans="1:16">
      <c r="A1838" s="29" t="s">
        <v>3296</v>
      </c>
      <c r="B1838" s="29" t="s">
        <v>3286</v>
      </c>
      <c r="C1838" s="29" t="s">
        <v>59</v>
      </c>
      <c r="D1838" s="29" t="s">
        <v>2879</v>
      </c>
      <c r="E1838" s="29" t="s">
        <v>47</v>
      </c>
      <c r="F1838" s="29" t="s">
        <v>47</v>
      </c>
      <c r="G1838" s="29" t="s">
        <v>3076</v>
      </c>
      <c r="H1838" s="29" t="s">
        <v>3077</v>
      </c>
      <c r="I1838" s="29" t="s">
        <v>204</v>
      </c>
      <c r="J1838" s="29" t="s">
        <v>145</v>
      </c>
      <c r="K1838" s="29" t="s">
        <v>39</v>
      </c>
      <c r="L1838" s="29" t="s">
        <v>3047</v>
      </c>
      <c r="M1838" s="29" t="s">
        <v>502</v>
      </c>
      <c r="N1838" s="29" t="s">
        <v>3082</v>
      </c>
      <c r="O1838" s="29" t="s">
        <v>145</v>
      </c>
      <c r="P1838" s="30" t="s">
        <v>3100</v>
      </c>
    </row>
    <row r="1839" s="25" customFormat="1" spans="1:16">
      <c r="A1839" s="29" t="s">
        <v>3297</v>
      </c>
      <c r="B1839" s="29" t="s">
        <v>3297</v>
      </c>
      <c r="C1839" s="29" t="s">
        <v>59</v>
      </c>
      <c r="D1839" s="29" t="s">
        <v>2883</v>
      </c>
      <c r="E1839" s="29" t="s">
        <v>35</v>
      </c>
      <c r="F1839" s="29" t="s">
        <v>51</v>
      </c>
      <c r="G1839" s="29" t="s">
        <v>515</v>
      </c>
      <c r="H1839" s="29" t="s">
        <v>38</v>
      </c>
      <c r="I1839" s="29" t="s">
        <v>39</v>
      </c>
      <c r="J1839" s="29" t="s">
        <v>39</v>
      </c>
      <c r="K1839" s="29" t="s">
        <v>3298</v>
      </c>
      <c r="L1839" s="29" t="s">
        <v>3016</v>
      </c>
      <c r="M1839" s="29" t="s">
        <v>517</v>
      </c>
      <c r="N1839" s="29" t="s">
        <v>2877</v>
      </c>
      <c r="O1839" s="29" t="s">
        <v>35</v>
      </c>
      <c r="P1839" s="30" t="s">
        <v>2878</v>
      </c>
    </row>
    <row r="1840" s="25" customFormat="1" spans="1:16">
      <c r="A1840" s="29" t="s">
        <v>3298</v>
      </c>
      <c r="B1840" s="29" t="s">
        <v>3297</v>
      </c>
      <c r="C1840" s="29" t="s">
        <v>59</v>
      </c>
      <c r="D1840" s="29" t="s">
        <v>2883</v>
      </c>
      <c r="E1840" s="29" t="s">
        <v>35</v>
      </c>
      <c r="F1840" s="29" t="s">
        <v>51</v>
      </c>
      <c r="G1840" s="29" t="s">
        <v>515</v>
      </c>
      <c r="H1840" s="29" t="s">
        <v>38</v>
      </c>
      <c r="I1840" s="29" t="s">
        <v>39</v>
      </c>
      <c r="J1840" s="29" t="s">
        <v>35</v>
      </c>
      <c r="K1840" s="29" t="s">
        <v>3299</v>
      </c>
      <c r="L1840" s="29" t="s">
        <v>3020</v>
      </c>
      <c r="M1840" s="29" t="s">
        <v>517</v>
      </c>
      <c r="N1840" s="29" t="s">
        <v>3106</v>
      </c>
      <c r="O1840" s="29" t="s">
        <v>35</v>
      </c>
      <c r="P1840" s="30" t="s">
        <v>3107</v>
      </c>
    </row>
    <row r="1841" s="25" customFormat="1" spans="1:16">
      <c r="A1841" s="29" t="s">
        <v>3299</v>
      </c>
      <c r="B1841" s="29" t="s">
        <v>3297</v>
      </c>
      <c r="C1841" s="29" t="s">
        <v>59</v>
      </c>
      <c r="D1841" s="29" t="s">
        <v>2883</v>
      </c>
      <c r="E1841" s="29" t="s">
        <v>35</v>
      </c>
      <c r="F1841" s="29" t="s">
        <v>51</v>
      </c>
      <c r="G1841" s="29" t="s">
        <v>515</v>
      </c>
      <c r="H1841" s="29" t="s">
        <v>38</v>
      </c>
      <c r="I1841" s="29" t="s">
        <v>39</v>
      </c>
      <c r="J1841" s="29" t="s">
        <v>47</v>
      </c>
      <c r="K1841" s="29" t="s">
        <v>3300</v>
      </c>
      <c r="L1841" s="29" t="s">
        <v>3024</v>
      </c>
      <c r="M1841" s="29" t="s">
        <v>517</v>
      </c>
      <c r="N1841" s="29" t="s">
        <v>3106</v>
      </c>
      <c r="O1841" s="29" t="s">
        <v>35</v>
      </c>
      <c r="P1841" s="30" t="s">
        <v>3110</v>
      </c>
    </row>
    <row r="1842" s="25" customFormat="1" spans="1:16">
      <c r="A1842" s="29" t="s">
        <v>3300</v>
      </c>
      <c r="B1842" s="29" t="s">
        <v>3297</v>
      </c>
      <c r="C1842" s="29" t="s">
        <v>59</v>
      </c>
      <c r="D1842" s="29" t="s">
        <v>2883</v>
      </c>
      <c r="E1842" s="29" t="s">
        <v>35</v>
      </c>
      <c r="F1842" s="29" t="s">
        <v>51</v>
      </c>
      <c r="G1842" s="29" t="s">
        <v>515</v>
      </c>
      <c r="H1842" s="29" t="s">
        <v>38</v>
      </c>
      <c r="I1842" s="29" t="s">
        <v>39</v>
      </c>
      <c r="J1842" s="29" t="s">
        <v>51</v>
      </c>
      <c r="K1842" s="29" t="s">
        <v>3301</v>
      </c>
      <c r="L1842" s="29" t="s">
        <v>3027</v>
      </c>
      <c r="M1842" s="29" t="s">
        <v>517</v>
      </c>
      <c r="N1842" s="29" t="s">
        <v>3106</v>
      </c>
      <c r="O1842" s="29" t="s">
        <v>35</v>
      </c>
      <c r="P1842" s="30" t="s">
        <v>2885</v>
      </c>
    </row>
    <row r="1843" s="25" customFormat="1" spans="1:16">
      <c r="A1843" s="29" t="s">
        <v>3301</v>
      </c>
      <c r="B1843" s="29" t="s">
        <v>3297</v>
      </c>
      <c r="C1843" s="29" t="s">
        <v>59</v>
      </c>
      <c r="D1843" s="29" t="s">
        <v>2883</v>
      </c>
      <c r="E1843" s="29" t="s">
        <v>35</v>
      </c>
      <c r="F1843" s="29" t="s">
        <v>51</v>
      </c>
      <c r="G1843" s="29" t="s">
        <v>515</v>
      </c>
      <c r="H1843" s="29" t="s">
        <v>38</v>
      </c>
      <c r="I1843" s="29" t="s">
        <v>39</v>
      </c>
      <c r="J1843" s="29" t="s">
        <v>55</v>
      </c>
      <c r="K1843" s="29" t="s">
        <v>3302</v>
      </c>
      <c r="L1843" s="29" t="s">
        <v>3030</v>
      </c>
      <c r="M1843" s="29" t="s">
        <v>517</v>
      </c>
      <c r="N1843" s="29" t="s">
        <v>3106</v>
      </c>
      <c r="O1843" s="29" t="s">
        <v>35</v>
      </c>
      <c r="P1843" s="30" t="s">
        <v>3115</v>
      </c>
    </row>
    <row r="1844" s="25" customFormat="1" spans="1:16">
      <c r="A1844" s="29" t="s">
        <v>3302</v>
      </c>
      <c r="B1844" s="29" t="s">
        <v>3297</v>
      </c>
      <c r="C1844" s="29" t="s">
        <v>59</v>
      </c>
      <c r="D1844" s="29" t="s">
        <v>2883</v>
      </c>
      <c r="E1844" s="29" t="s">
        <v>35</v>
      </c>
      <c r="F1844" s="29" t="s">
        <v>51</v>
      </c>
      <c r="G1844" s="29" t="s">
        <v>515</v>
      </c>
      <c r="H1844" s="29" t="s">
        <v>38</v>
      </c>
      <c r="I1844" s="29" t="s">
        <v>39</v>
      </c>
      <c r="J1844" s="29" t="s">
        <v>59</v>
      </c>
      <c r="K1844" s="29" t="s">
        <v>3303</v>
      </c>
      <c r="L1844" s="29" t="s">
        <v>3033</v>
      </c>
      <c r="M1844" s="29" t="s">
        <v>517</v>
      </c>
      <c r="N1844" s="29" t="s">
        <v>3106</v>
      </c>
      <c r="O1844" s="29" t="s">
        <v>35</v>
      </c>
      <c r="P1844" s="30" t="s">
        <v>3118</v>
      </c>
    </row>
    <row r="1845" s="25" customFormat="1" spans="1:16">
      <c r="A1845" s="29" t="s">
        <v>3303</v>
      </c>
      <c r="B1845" s="29" t="s">
        <v>3297</v>
      </c>
      <c r="C1845" s="29" t="s">
        <v>59</v>
      </c>
      <c r="D1845" s="29" t="s">
        <v>2883</v>
      </c>
      <c r="E1845" s="29" t="s">
        <v>35</v>
      </c>
      <c r="F1845" s="29" t="s">
        <v>51</v>
      </c>
      <c r="G1845" s="29" t="s">
        <v>515</v>
      </c>
      <c r="H1845" s="29" t="s">
        <v>38</v>
      </c>
      <c r="I1845" s="29" t="s">
        <v>39</v>
      </c>
      <c r="J1845" s="29" t="s">
        <v>129</v>
      </c>
      <c r="K1845" s="29" t="s">
        <v>3304</v>
      </c>
      <c r="L1845" s="29" t="s">
        <v>3036</v>
      </c>
      <c r="M1845" s="29" t="s">
        <v>517</v>
      </c>
      <c r="N1845" s="29" t="s">
        <v>3106</v>
      </c>
      <c r="O1845" s="29" t="s">
        <v>35</v>
      </c>
      <c r="P1845" s="30" t="s">
        <v>2891</v>
      </c>
    </row>
    <row r="1846" s="25" customFormat="1" spans="1:16">
      <c r="A1846" s="29" t="s">
        <v>3304</v>
      </c>
      <c r="B1846" s="29" t="s">
        <v>3297</v>
      </c>
      <c r="C1846" s="29" t="s">
        <v>59</v>
      </c>
      <c r="D1846" s="29" t="s">
        <v>2883</v>
      </c>
      <c r="E1846" s="29" t="s">
        <v>35</v>
      </c>
      <c r="F1846" s="29" t="s">
        <v>51</v>
      </c>
      <c r="G1846" s="29" t="s">
        <v>515</v>
      </c>
      <c r="H1846" s="29" t="s">
        <v>38</v>
      </c>
      <c r="I1846" s="29" t="s">
        <v>39</v>
      </c>
      <c r="J1846" s="29" t="s">
        <v>133</v>
      </c>
      <c r="K1846" s="29" t="s">
        <v>3305</v>
      </c>
      <c r="L1846" s="29" t="s">
        <v>3039</v>
      </c>
      <c r="M1846" s="29" t="s">
        <v>517</v>
      </c>
      <c r="N1846" s="29" t="s">
        <v>3106</v>
      </c>
      <c r="O1846" s="29" t="s">
        <v>35</v>
      </c>
      <c r="P1846" s="30" t="s">
        <v>3123</v>
      </c>
    </row>
    <row r="1847" s="25" customFormat="1" spans="1:16">
      <c r="A1847" s="29" t="s">
        <v>3305</v>
      </c>
      <c r="B1847" s="29" t="s">
        <v>3297</v>
      </c>
      <c r="C1847" s="29" t="s">
        <v>59</v>
      </c>
      <c r="D1847" s="29" t="s">
        <v>2883</v>
      </c>
      <c r="E1847" s="29" t="s">
        <v>35</v>
      </c>
      <c r="F1847" s="29" t="s">
        <v>51</v>
      </c>
      <c r="G1847" s="29" t="s">
        <v>515</v>
      </c>
      <c r="H1847" s="29" t="s">
        <v>38</v>
      </c>
      <c r="I1847" s="29" t="s">
        <v>39</v>
      </c>
      <c r="J1847" s="29" t="s">
        <v>137</v>
      </c>
      <c r="K1847" s="29" t="s">
        <v>3306</v>
      </c>
      <c r="L1847" s="29" t="s">
        <v>3042</v>
      </c>
      <c r="M1847" s="29" t="s">
        <v>517</v>
      </c>
      <c r="N1847" s="29" t="s">
        <v>3106</v>
      </c>
      <c r="O1847" s="29" t="s">
        <v>35</v>
      </c>
      <c r="P1847" s="30" t="s">
        <v>3126</v>
      </c>
    </row>
    <row r="1848" s="25" customFormat="1" spans="1:16">
      <c r="A1848" s="29" t="s">
        <v>3306</v>
      </c>
      <c r="B1848" s="29" t="s">
        <v>3297</v>
      </c>
      <c r="C1848" s="29" t="s">
        <v>59</v>
      </c>
      <c r="D1848" s="29" t="s">
        <v>2883</v>
      </c>
      <c r="E1848" s="29" t="s">
        <v>35</v>
      </c>
      <c r="F1848" s="29" t="s">
        <v>51</v>
      </c>
      <c r="G1848" s="29" t="s">
        <v>515</v>
      </c>
      <c r="H1848" s="29" t="s">
        <v>38</v>
      </c>
      <c r="I1848" s="29" t="s">
        <v>39</v>
      </c>
      <c r="J1848" s="29" t="s">
        <v>141</v>
      </c>
      <c r="K1848" s="29" t="s">
        <v>3307</v>
      </c>
      <c r="L1848" s="29" t="s">
        <v>3045</v>
      </c>
      <c r="M1848" s="29" t="s">
        <v>517</v>
      </c>
      <c r="N1848" s="29" t="s">
        <v>3106</v>
      </c>
      <c r="O1848" s="29" t="s">
        <v>35</v>
      </c>
      <c r="P1848" s="30" t="s">
        <v>3129</v>
      </c>
    </row>
    <row r="1849" s="25" customFormat="1" spans="1:16">
      <c r="A1849" s="29" t="s">
        <v>3307</v>
      </c>
      <c r="B1849" s="29" t="s">
        <v>3297</v>
      </c>
      <c r="C1849" s="29" t="s">
        <v>59</v>
      </c>
      <c r="D1849" s="29" t="s">
        <v>2883</v>
      </c>
      <c r="E1849" s="29" t="s">
        <v>35</v>
      </c>
      <c r="F1849" s="29" t="s">
        <v>51</v>
      </c>
      <c r="G1849" s="29" t="s">
        <v>515</v>
      </c>
      <c r="H1849" s="29" t="s">
        <v>38</v>
      </c>
      <c r="I1849" s="29" t="s">
        <v>39</v>
      </c>
      <c r="J1849" s="29" t="s">
        <v>145</v>
      </c>
      <c r="K1849" s="29" t="s">
        <v>3308</v>
      </c>
      <c r="L1849" s="29" t="s">
        <v>3047</v>
      </c>
      <c r="M1849" s="29" t="s">
        <v>517</v>
      </c>
      <c r="N1849" s="29" t="s">
        <v>3106</v>
      </c>
      <c r="O1849" s="29" t="s">
        <v>35</v>
      </c>
      <c r="P1849" s="30" t="s">
        <v>3130</v>
      </c>
    </row>
    <row r="1850" s="25" customFormat="1" spans="1:16">
      <c r="A1850" s="29" t="s">
        <v>3308</v>
      </c>
      <c r="B1850" s="29" t="s">
        <v>3297</v>
      </c>
      <c r="C1850" s="29" t="s">
        <v>59</v>
      </c>
      <c r="D1850" s="29" t="s">
        <v>2883</v>
      </c>
      <c r="E1850" s="29" t="s">
        <v>35</v>
      </c>
      <c r="F1850" s="29" t="s">
        <v>51</v>
      </c>
      <c r="G1850" s="29" t="s">
        <v>515</v>
      </c>
      <c r="H1850" s="29" t="s">
        <v>38</v>
      </c>
      <c r="I1850" s="29" t="s">
        <v>39</v>
      </c>
      <c r="J1850" s="29" t="s">
        <v>408</v>
      </c>
      <c r="K1850" s="29" t="s">
        <v>3309</v>
      </c>
      <c r="L1850" s="29" t="s">
        <v>3310</v>
      </c>
      <c r="M1850" s="29" t="s">
        <v>517</v>
      </c>
      <c r="N1850" s="29" t="s">
        <v>3106</v>
      </c>
      <c r="O1850" s="29" t="s">
        <v>35</v>
      </c>
      <c r="P1850" s="30" t="s">
        <v>3311</v>
      </c>
    </row>
    <row r="1851" s="25" customFormat="1" spans="1:16">
      <c r="A1851" s="29" t="s">
        <v>3309</v>
      </c>
      <c r="B1851" s="29" t="s">
        <v>3297</v>
      </c>
      <c r="C1851" s="29" t="s">
        <v>59</v>
      </c>
      <c r="D1851" s="29" t="s">
        <v>2883</v>
      </c>
      <c r="E1851" s="29" t="s">
        <v>35</v>
      </c>
      <c r="F1851" s="29" t="s">
        <v>51</v>
      </c>
      <c r="G1851" s="29" t="s">
        <v>515</v>
      </c>
      <c r="H1851" s="29" t="s">
        <v>38</v>
      </c>
      <c r="I1851" s="29" t="s">
        <v>39</v>
      </c>
      <c r="J1851" s="29" t="s">
        <v>412</v>
      </c>
      <c r="K1851" s="29" t="s">
        <v>3312</v>
      </c>
      <c r="L1851" s="29" t="s">
        <v>3313</v>
      </c>
      <c r="M1851" s="29" t="s">
        <v>517</v>
      </c>
      <c r="N1851" s="29" t="s">
        <v>3106</v>
      </c>
      <c r="O1851" s="29" t="s">
        <v>35</v>
      </c>
      <c r="P1851" s="30" t="s">
        <v>3314</v>
      </c>
    </row>
    <row r="1852" s="25" customFormat="1" spans="1:16">
      <c r="A1852" s="29" t="s">
        <v>3312</v>
      </c>
      <c r="B1852" s="29" t="s">
        <v>3297</v>
      </c>
      <c r="C1852" s="29" t="s">
        <v>59</v>
      </c>
      <c r="D1852" s="29" t="s">
        <v>2883</v>
      </c>
      <c r="E1852" s="29" t="s">
        <v>35</v>
      </c>
      <c r="F1852" s="29" t="s">
        <v>51</v>
      </c>
      <c r="G1852" s="29" t="s">
        <v>515</v>
      </c>
      <c r="H1852" s="29" t="s">
        <v>38</v>
      </c>
      <c r="I1852" s="29" t="s">
        <v>39</v>
      </c>
      <c r="J1852" s="29" t="s">
        <v>416</v>
      </c>
      <c r="K1852" s="29" t="s">
        <v>3315</v>
      </c>
      <c r="L1852" s="29" t="s">
        <v>3316</v>
      </c>
      <c r="M1852" s="29" t="s">
        <v>517</v>
      </c>
      <c r="N1852" s="29" t="s">
        <v>3106</v>
      </c>
      <c r="O1852" s="29" t="s">
        <v>35</v>
      </c>
      <c r="P1852" s="30" t="s">
        <v>3317</v>
      </c>
    </row>
    <row r="1853" s="25" customFormat="1" spans="1:16">
      <c r="A1853" s="29" t="s">
        <v>3315</v>
      </c>
      <c r="B1853" s="29" t="s">
        <v>3297</v>
      </c>
      <c r="C1853" s="29" t="s">
        <v>59</v>
      </c>
      <c r="D1853" s="29" t="s">
        <v>2883</v>
      </c>
      <c r="E1853" s="29" t="s">
        <v>35</v>
      </c>
      <c r="F1853" s="29" t="s">
        <v>51</v>
      </c>
      <c r="G1853" s="29" t="s">
        <v>515</v>
      </c>
      <c r="H1853" s="29" t="s">
        <v>38</v>
      </c>
      <c r="I1853" s="29" t="s">
        <v>39</v>
      </c>
      <c r="J1853" s="29" t="s">
        <v>420</v>
      </c>
      <c r="K1853" s="29" t="s">
        <v>3318</v>
      </c>
      <c r="L1853" s="29" t="s">
        <v>3319</v>
      </c>
      <c r="M1853" s="29" t="s">
        <v>517</v>
      </c>
      <c r="N1853" s="29" t="s">
        <v>3106</v>
      </c>
      <c r="O1853" s="29" t="s">
        <v>35</v>
      </c>
      <c r="P1853" s="30" t="s">
        <v>3320</v>
      </c>
    </row>
    <row r="1854" s="25" customFormat="1" spans="1:16">
      <c r="A1854" s="29" t="s">
        <v>3318</v>
      </c>
      <c r="B1854" s="29" t="s">
        <v>3297</v>
      </c>
      <c r="C1854" s="29" t="s">
        <v>59</v>
      </c>
      <c r="D1854" s="29" t="s">
        <v>2883</v>
      </c>
      <c r="E1854" s="29" t="s">
        <v>35</v>
      </c>
      <c r="F1854" s="29" t="s">
        <v>51</v>
      </c>
      <c r="G1854" s="29" t="s">
        <v>515</v>
      </c>
      <c r="H1854" s="29" t="s">
        <v>38</v>
      </c>
      <c r="I1854" s="29" t="s">
        <v>39</v>
      </c>
      <c r="J1854" s="29" t="s">
        <v>424</v>
      </c>
      <c r="K1854" s="29" t="s">
        <v>39</v>
      </c>
      <c r="L1854" s="29" t="s">
        <v>3321</v>
      </c>
      <c r="M1854" s="29" t="s">
        <v>517</v>
      </c>
      <c r="N1854" s="29" t="s">
        <v>3106</v>
      </c>
      <c r="O1854" s="29" t="s">
        <v>35</v>
      </c>
      <c r="P1854" s="30" t="s">
        <v>3322</v>
      </c>
    </row>
    <row r="1855" s="25" customFormat="1" spans="1:16">
      <c r="A1855" s="29" t="s">
        <v>3323</v>
      </c>
      <c r="B1855" s="29" t="s">
        <v>3323</v>
      </c>
      <c r="C1855" s="29" t="s">
        <v>59</v>
      </c>
      <c r="D1855" s="29" t="s">
        <v>2883</v>
      </c>
      <c r="E1855" s="29" t="s">
        <v>35</v>
      </c>
      <c r="F1855" s="29" t="s">
        <v>51</v>
      </c>
      <c r="G1855" s="29" t="s">
        <v>543</v>
      </c>
      <c r="H1855" s="29" t="s">
        <v>63</v>
      </c>
      <c r="I1855" s="29" t="s">
        <v>39</v>
      </c>
      <c r="J1855" s="29" t="s">
        <v>39</v>
      </c>
      <c r="K1855" s="29" t="s">
        <v>3324</v>
      </c>
      <c r="L1855" s="29" t="s">
        <v>3016</v>
      </c>
      <c r="M1855" s="29" t="s">
        <v>545</v>
      </c>
      <c r="N1855" s="29" t="s">
        <v>2895</v>
      </c>
      <c r="O1855" s="29" t="s">
        <v>47</v>
      </c>
      <c r="P1855" s="30" t="s">
        <v>2896</v>
      </c>
    </row>
    <row r="1856" s="25" customFormat="1" spans="1:16">
      <c r="A1856" s="29" t="s">
        <v>3324</v>
      </c>
      <c r="B1856" s="29" t="s">
        <v>3323</v>
      </c>
      <c r="C1856" s="29" t="s">
        <v>59</v>
      </c>
      <c r="D1856" s="29" t="s">
        <v>2883</v>
      </c>
      <c r="E1856" s="29" t="s">
        <v>35</v>
      </c>
      <c r="F1856" s="29" t="s">
        <v>51</v>
      </c>
      <c r="G1856" s="29" t="s">
        <v>543</v>
      </c>
      <c r="H1856" s="29" t="s">
        <v>63</v>
      </c>
      <c r="I1856" s="29" t="s">
        <v>39</v>
      </c>
      <c r="J1856" s="29" t="s">
        <v>35</v>
      </c>
      <c r="K1856" s="29" t="s">
        <v>3325</v>
      </c>
      <c r="L1856" s="29" t="s">
        <v>3020</v>
      </c>
      <c r="M1856" s="29" t="s">
        <v>545</v>
      </c>
      <c r="N1856" s="29" t="s">
        <v>3134</v>
      </c>
      <c r="O1856" s="29" t="s">
        <v>47</v>
      </c>
      <c r="P1856" s="30" t="s">
        <v>3135</v>
      </c>
    </row>
    <row r="1857" s="25" customFormat="1" spans="1:16">
      <c r="A1857" s="29" t="s">
        <v>3325</v>
      </c>
      <c r="B1857" s="29" t="s">
        <v>3323</v>
      </c>
      <c r="C1857" s="29" t="s">
        <v>59</v>
      </c>
      <c r="D1857" s="29" t="s">
        <v>2883</v>
      </c>
      <c r="E1857" s="29" t="s">
        <v>35</v>
      </c>
      <c r="F1857" s="29" t="s">
        <v>51</v>
      </c>
      <c r="G1857" s="29" t="s">
        <v>543</v>
      </c>
      <c r="H1857" s="29" t="s">
        <v>63</v>
      </c>
      <c r="I1857" s="29" t="s">
        <v>39</v>
      </c>
      <c r="J1857" s="29" t="s">
        <v>47</v>
      </c>
      <c r="K1857" s="29" t="s">
        <v>3326</v>
      </c>
      <c r="L1857" s="29" t="s">
        <v>3024</v>
      </c>
      <c r="M1857" s="29" t="s">
        <v>545</v>
      </c>
      <c r="N1857" s="29" t="s">
        <v>3134</v>
      </c>
      <c r="O1857" s="29" t="s">
        <v>47</v>
      </c>
      <c r="P1857" s="30" t="s">
        <v>3137</v>
      </c>
    </row>
    <row r="1858" s="25" customFormat="1" spans="1:16">
      <c r="A1858" s="29" t="s">
        <v>3326</v>
      </c>
      <c r="B1858" s="29" t="s">
        <v>3323</v>
      </c>
      <c r="C1858" s="29" t="s">
        <v>59</v>
      </c>
      <c r="D1858" s="29" t="s">
        <v>2883</v>
      </c>
      <c r="E1858" s="29" t="s">
        <v>35</v>
      </c>
      <c r="F1858" s="29" t="s">
        <v>51</v>
      </c>
      <c r="G1858" s="29" t="s">
        <v>543</v>
      </c>
      <c r="H1858" s="29" t="s">
        <v>63</v>
      </c>
      <c r="I1858" s="29" t="s">
        <v>39</v>
      </c>
      <c r="J1858" s="29" t="s">
        <v>51</v>
      </c>
      <c r="K1858" s="29" t="s">
        <v>3327</v>
      </c>
      <c r="L1858" s="29" t="s">
        <v>3027</v>
      </c>
      <c r="M1858" s="29" t="s">
        <v>545</v>
      </c>
      <c r="N1858" s="29" t="s">
        <v>3134</v>
      </c>
      <c r="O1858" s="29" t="s">
        <v>47</v>
      </c>
      <c r="P1858" s="30" t="s">
        <v>3139</v>
      </c>
    </row>
    <row r="1859" s="25" customFormat="1" spans="1:16">
      <c r="A1859" s="29" t="s">
        <v>3327</v>
      </c>
      <c r="B1859" s="29" t="s">
        <v>3323</v>
      </c>
      <c r="C1859" s="29" t="s">
        <v>59</v>
      </c>
      <c r="D1859" s="29" t="s">
        <v>2883</v>
      </c>
      <c r="E1859" s="29" t="s">
        <v>35</v>
      </c>
      <c r="F1859" s="29" t="s">
        <v>51</v>
      </c>
      <c r="G1859" s="29" t="s">
        <v>543</v>
      </c>
      <c r="H1859" s="29" t="s">
        <v>63</v>
      </c>
      <c r="I1859" s="29" t="s">
        <v>39</v>
      </c>
      <c r="J1859" s="29" t="s">
        <v>55</v>
      </c>
      <c r="K1859" s="29" t="s">
        <v>3328</v>
      </c>
      <c r="L1859" s="29" t="s">
        <v>3030</v>
      </c>
      <c r="M1859" s="29" t="s">
        <v>545</v>
      </c>
      <c r="N1859" s="29" t="s">
        <v>3134</v>
      </c>
      <c r="O1859" s="29" t="s">
        <v>47</v>
      </c>
      <c r="P1859" s="30" t="s">
        <v>3141</v>
      </c>
    </row>
    <row r="1860" s="25" customFormat="1" spans="1:16">
      <c r="A1860" s="29" t="s">
        <v>3328</v>
      </c>
      <c r="B1860" s="29" t="s">
        <v>3323</v>
      </c>
      <c r="C1860" s="29" t="s">
        <v>59</v>
      </c>
      <c r="D1860" s="29" t="s">
        <v>2883</v>
      </c>
      <c r="E1860" s="29" t="s">
        <v>35</v>
      </c>
      <c r="F1860" s="29" t="s">
        <v>51</v>
      </c>
      <c r="G1860" s="29" t="s">
        <v>543</v>
      </c>
      <c r="H1860" s="29" t="s">
        <v>63</v>
      </c>
      <c r="I1860" s="29" t="s">
        <v>39</v>
      </c>
      <c r="J1860" s="29" t="s">
        <v>59</v>
      </c>
      <c r="K1860" s="29" t="s">
        <v>3329</v>
      </c>
      <c r="L1860" s="29" t="s">
        <v>3033</v>
      </c>
      <c r="M1860" s="29" t="s">
        <v>545</v>
      </c>
      <c r="N1860" s="29" t="s">
        <v>3134</v>
      </c>
      <c r="O1860" s="29" t="s">
        <v>47</v>
      </c>
      <c r="P1860" s="30" t="s">
        <v>3143</v>
      </c>
    </row>
    <row r="1861" s="25" customFormat="1" spans="1:16">
      <c r="A1861" s="29" t="s">
        <v>3329</v>
      </c>
      <c r="B1861" s="29" t="s">
        <v>3323</v>
      </c>
      <c r="C1861" s="29" t="s">
        <v>59</v>
      </c>
      <c r="D1861" s="29" t="s">
        <v>2883</v>
      </c>
      <c r="E1861" s="29" t="s">
        <v>35</v>
      </c>
      <c r="F1861" s="29" t="s">
        <v>51</v>
      </c>
      <c r="G1861" s="29" t="s">
        <v>543</v>
      </c>
      <c r="H1861" s="29" t="s">
        <v>63</v>
      </c>
      <c r="I1861" s="29" t="s">
        <v>39</v>
      </c>
      <c r="J1861" s="29" t="s">
        <v>129</v>
      </c>
      <c r="K1861" s="29" t="s">
        <v>3330</v>
      </c>
      <c r="L1861" s="29" t="s">
        <v>3036</v>
      </c>
      <c r="M1861" s="29" t="s">
        <v>545</v>
      </c>
      <c r="N1861" s="29" t="s">
        <v>3134</v>
      </c>
      <c r="O1861" s="29" t="s">
        <v>47</v>
      </c>
      <c r="P1861" s="30" t="s">
        <v>2906</v>
      </c>
    </row>
    <row r="1862" s="25" customFormat="1" spans="1:16">
      <c r="A1862" s="29" t="s">
        <v>3330</v>
      </c>
      <c r="B1862" s="29" t="s">
        <v>3323</v>
      </c>
      <c r="C1862" s="29" t="s">
        <v>59</v>
      </c>
      <c r="D1862" s="29" t="s">
        <v>2883</v>
      </c>
      <c r="E1862" s="29" t="s">
        <v>35</v>
      </c>
      <c r="F1862" s="29" t="s">
        <v>51</v>
      </c>
      <c r="G1862" s="29" t="s">
        <v>543</v>
      </c>
      <c r="H1862" s="29" t="s">
        <v>63</v>
      </c>
      <c r="I1862" s="29" t="s">
        <v>39</v>
      </c>
      <c r="J1862" s="29" t="s">
        <v>133</v>
      </c>
      <c r="K1862" s="29" t="s">
        <v>3331</v>
      </c>
      <c r="L1862" s="29" t="s">
        <v>3039</v>
      </c>
      <c r="M1862" s="29" t="s">
        <v>545</v>
      </c>
      <c r="N1862" s="29" t="s">
        <v>3134</v>
      </c>
      <c r="O1862" s="29" t="s">
        <v>47</v>
      </c>
      <c r="P1862" s="30" t="s">
        <v>3146</v>
      </c>
    </row>
    <row r="1863" s="25" customFormat="1" spans="1:16">
      <c r="A1863" s="29" t="s">
        <v>3331</v>
      </c>
      <c r="B1863" s="29" t="s">
        <v>3323</v>
      </c>
      <c r="C1863" s="29" t="s">
        <v>59</v>
      </c>
      <c r="D1863" s="29" t="s">
        <v>2883</v>
      </c>
      <c r="E1863" s="29" t="s">
        <v>35</v>
      </c>
      <c r="F1863" s="29" t="s">
        <v>51</v>
      </c>
      <c r="G1863" s="29" t="s">
        <v>543</v>
      </c>
      <c r="H1863" s="29" t="s">
        <v>63</v>
      </c>
      <c r="I1863" s="29" t="s">
        <v>39</v>
      </c>
      <c r="J1863" s="29" t="s">
        <v>137</v>
      </c>
      <c r="K1863" s="29" t="s">
        <v>3332</v>
      </c>
      <c r="L1863" s="29" t="s">
        <v>3042</v>
      </c>
      <c r="M1863" s="29" t="s">
        <v>545</v>
      </c>
      <c r="N1863" s="29" t="s">
        <v>3134</v>
      </c>
      <c r="O1863" s="29" t="s">
        <v>47</v>
      </c>
      <c r="P1863" s="30" t="s">
        <v>3148</v>
      </c>
    </row>
    <row r="1864" s="25" customFormat="1" spans="1:16">
      <c r="A1864" s="29" t="s">
        <v>3332</v>
      </c>
      <c r="B1864" s="29" t="s">
        <v>3323</v>
      </c>
      <c r="C1864" s="29" t="s">
        <v>59</v>
      </c>
      <c r="D1864" s="29" t="s">
        <v>2883</v>
      </c>
      <c r="E1864" s="29" t="s">
        <v>35</v>
      </c>
      <c r="F1864" s="29" t="s">
        <v>51</v>
      </c>
      <c r="G1864" s="29" t="s">
        <v>543</v>
      </c>
      <c r="H1864" s="29" t="s">
        <v>63</v>
      </c>
      <c r="I1864" s="29" t="s">
        <v>39</v>
      </c>
      <c r="J1864" s="29" t="s">
        <v>141</v>
      </c>
      <c r="K1864" s="29" t="s">
        <v>3333</v>
      </c>
      <c r="L1864" s="29" t="s">
        <v>3045</v>
      </c>
      <c r="M1864" s="29" t="s">
        <v>545</v>
      </c>
      <c r="N1864" s="29" t="s">
        <v>3134</v>
      </c>
      <c r="O1864" s="29" t="s">
        <v>47</v>
      </c>
      <c r="P1864" s="30" t="s">
        <v>3150</v>
      </c>
    </row>
    <row r="1865" s="25" customFormat="1" spans="1:16">
      <c r="A1865" s="29" t="s">
        <v>3333</v>
      </c>
      <c r="B1865" s="29" t="s">
        <v>3323</v>
      </c>
      <c r="C1865" s="29" t="s">
        <v>59</v>
      </c>
      <c r="D1865" s="29" t="s">
        <v>2883</v>
      </c>
      <c r="E1865" s="29" t="s">
        <v>35</v>
      </c>
      <c r="F1865" s="29" t="s">
        <v>51</v>
      </c>
      <c r="G1865" s="29" t="s">
        <v>543</v>
      </c>
      <c r="H1865" s="29" t="s">
        <v>63</v>
      </c>
      <c r="I1865" s="29" t="s">
        <v>39</v>
      </c>
      <c r="J1865" s="29" t="s">
        <v>145</v>
      </c>
      <c r="K1865" s="29" t="s">
        <v>3334</v>
      </c>
      <c r="L1865" s="29" t="s">
        <v>3047</v>
      </c>
      <c r="M1865" s="29" t="s">
        <v>545</v>
      </c>
      <c r="N1865" s="29" t="s">
        <v>3134</v>
      </c>
      <c r="O1865" s="29" t="s">
        <v>47</v>
      </c>
      <c r="P1865" s="30" t="s">
        <v>3151</v>
      </c>
    </row>
    <row r="1866" s="25" customFormat="1" spans="1:16">
      <c r="A1866" s="29" t="s">
        <v>3334</v>
      </c>
      <c r="B1866" s="29" t="s">
        <v>3323</v>
      </c>
      <c r="C1866" s="29" t="s">
        <v>59</v>
      </c>
      <c r="D1866" s="29" t="s">
        <v>2883</v>
      </c>
      <c r="E1866" s="29" t="s">
        <v>35</v>
      </c>
      <c r="F1866" s="29" t="s">
        <v>51</v>
      </c>
      <c r="G1866" s="29" t="s">
        <v>543</v>
      </c>
      <c r="H1866" s="29" t="s">
        <v>63</v>
      </c>
      <c r="I1866" s="29" t="s">
        <v>39</v>
      </c>
      <c r="J1866" s="29" t="s">
        <v>408</v>
      </c>
      <c r="K1866" s="29" t="s">
        <v>3335</v>
      </c>
      <c r="L1866" s="29" t="s">
        <v>3310</v>
      </c>
      <c r="M1866" s="29" t="s">
        <v>545</v>
      </c>
      <c r="N1866" s="29" t="s">
        <v>3134</v>
      </c>
      <c r="O1866" s="29" t="s">
        <v>47</v>
      </c>
      <c r="P1866" s="30" t="s">
        <v>3336</v>
      </c>
    </row>
    <row r="1867" s="25" customFormat="1" spans="1:16">
      <c r="A1867" s="29" t="s">
        <v>3335</v>
      </c>
      <c r="B1867" s="29" t="s">
        <v>3323</v>
      </c>
      <c r="C1867" s="29" t="s">
        <v>59</v>
      </c>
      <c r="D1867" s="29" t="s">
        <v>2883</v>
      </c>
      <c r="E1867" s="29" t="s">
        <v>35</v>
      </c>
      <c r="F1867" s="29" t="s">
        <v>51</v>
      </c>
      <c r="G1867" s="29" t="s">
        <v>543</v>
      </c>
      <c r="H1867" s="29" t="s">
        <v>63</v>
      </c>
      <c r="I1867" s="29" t="s">
        <v>39</v>
      </c>
      <c r="J1867" s="29" t="s">
        <v>412</v>
      </c>
      <c r="K1867" s="29" t="s">
        <v>3337</v>
      </c>
      <c r="L1867" s="29" t="s">
        <v>3313</v>
      </c>
      <c r="M1867" s="29" t="s">
        <v>545</v>
      </c>
      <c r="N1867" s="29" t="s">
        <v>3134</v>
      </c>
      <c r="O1867" s="29" t="s">
        <v>47</v>
      </c>
      <c r="P1867" s="30" t="s">
        <v>3338</v>
      </c>
    </row>
    <row r="1868" s="25" customFormat="1" spans="1:16">
      <c r="A1868" s="29" t="s">
        <v>3337</v>
      </c>
      <c r="B1868" s="29" t="s">
        <v>3323</v>
      </c>
      <c r="C1868" s="29" t="s">
        <v>59</v>
      </c>
      <c r="D1868" s="29" t="s">
        <v>2883</v>
      </c>
      <c r="E1868" s="29" t="s">
        <v>35</v>
      </c>
      <c r="F1868" s="29" t="s">
        <v>51</v>
      </c>
      <c r="G1868" s="29" t="s">
        <v>543</v>
      </c>
      <c r="H1868" s="29" t="s">
        <v>63</v>
      </c>
      <c r="I1868" s="29" t="s">
        <v>39</v>
      </c>
      <c r="J1868" s="29" t="s">
        <v>416</v>
      </c>
      <c r="K1868" s="29" t="s">
        <v>3339</v>
      </c>
      <c r="L1868" s="29" t="s">
        <v>3340</v>
      </c>
      <c r="M1868" s="29" t="s">
        <v>545</v>
      </c>
      <c r="N1868" s="29" t="s">
        <v>3134</v>
      </c>
      <c r="O1868" s="29" t="s">
        <v>47</v>
      </c>
      <c r="P1868" s="30" t="s">
        <v>3341</v>
      </c>
    </row>
    <row r="1869" s="25" customFormat="1" spans="1:16">
      <c r="A1869" s="29" t="s">
        <v>3339</v>
      </c>
      <c r="B1869" s="29" t="s">
        <v>3323</v>
      </c>
      <c r="C1869" s="29" t="s">
        <v>59</v>
      </c>
      <c r="D1869" s="29" t="s">
        <v>2883</v>
      </c>
      <c r="E1869" s="29" t="s">
        <v>35</v>
      </c>
      <c r="F1869" s="29" t="s">
        <v>51</v>
      </c>
      <c r="G1869" s="29" t="s">
        <v>543</v>
      </c>
      <c r="H1869" s="29" t="s">
        <v>63</v>
      </c>
      <c r="I1869" s="29" t="s">
        <v>39</v>
      </c>
      <c r="J1869" s="29" t="s">
        <v>420</v>
      </c>
      <c r="K1869" s="29" t="s">
        <v>3342</v>
      </c>
      <c r="L1869" s="29" t="s">
        <v>3343</v>
      </c>
      <c r="M1869" s="29" t="s">
        <v>545</v>
      </c>
      <c r="N1869" s="29" t="s">
        <v>3134</v>
      </c>
      <c r="O1869" s="29" t="s">
        <v>47</v>
      </c>
      <c r="P1869" s="30" t="s">
        <v>3344</v>
      </c>
    </row>
    <row r="1870" s="25" customFormat="1" spans="1:16">
      <c r="A1870" s="29" t="s">
        <v>3342</v>
      </c>
      <c r="B1870" s="29" t="s">
        <v>3323</v>
      </c>
      <c r="C1870" s="29" t="s">
        <v>59</v>
      </c>
      <c r="D1870" s="29" t="s">
        <v>2883</v>
      </c>
      <c r="E1870" s="29" t="s">
        <v>35</v>
      </c>
      <c r="F1870" s="29" t="s">
        <v>51</v>
      </c>
      <c r="G1870" s="29" t="s">
        <v>543</v>
      </c>
      <c r="H1870" s="29" t="s">
        <v>63</v>
      </c>
      <c r="I1870" s="29" t="s">
        <v>39</v>
      </c>
      <c r="J1870" s="29" t="s">
        <v>424</v>
      </c>
      <c r="K1870" s="29" t="s">
        <v>39</v>
      </c>
      <c r="L1870" s="29" t="s">
        <v>39</v>
      </c>
      <c r="M1870" s="29" t="s">
        <v>39</v>
      </c>
      <c r="N1870" s="29" t="s">
        <v>3134</v>
      </c>
      <c r="O1870" s="29" t="s">
        <v>47</v>
      </c>
      <c r="P1870" s="30" t="s">
        <v>3345</v>
      </c>
    </row>
    <row r="1871" s="25" customFormat="1" spans="1:16">
      <c r="A1871" s="29" t="s">
        <v>3346</v>
      </c>
      <c r="B1871" s="29" t="s">
        <v>3346</v>
      </c>
      <c r="C1871" s="29" t="s">
        <v>59</v>
      </c>
      <c r="D1871" s="29" t="s">
        <v>2883</v>
      </c>
      <c r="E1871" s="29" t="s">
        <v>35</v>
      </c>
      <c r="F1871" s="29" t="s">
        <v>51</v>
      </c>
      <c r="G1871" s="29" t="s">
        <v>568</v>
      </c>
      <c r="H1871" s="29" t="s">
        <v>80</v>
      </c>
      <c r="I1871" s="29" t="s">
        <v>39</v>
      </c>
      <c r="J1871" s="29" t="s">
        <v>39</v>
      </c>
      <c r="K1871" s="29" t="s">
        <v>3347</v>
      </c>
      <c r="L1871" s="29" t="s">
        <v>3016</v>
      </c>
      <c r="M1871" s="29" t="s">
        <v>545</v>
      </c>
      <c r="N1871" s="29" t="s">
        <v>2909</v>
      </c>
      <c r="O1871" s="29" t="s">
        <v>51</v>
      </c>
      <c r="P1871" s="30" t="s">
        <v>2910</v>
      </c>
    </row>
    <row r="1872" s="25" customFormat="1" spans="1:16">
      <c r="A1872" s="29" t="s">
        <v>3347</v>
      </c>
      <c r="B1872" s="29" t="s">
        <v>3346</v>
      </c>
      <c r="C1872" s="29" t="s">
        <v>59</v>
      </c>
      <c r="D1872" s="29" t="s">
        <v>2883</v>
      </c>
      <c r="E1872" s="29" t="s">
        <v>35</v>
      </c>
      <c r="F1872" s="29" t="s">
        <v>51</v>
      </c>
      <c r="G1872" s="29" t="s">
        <v>568</v>
      </c>
      <c r="H1872" s="29" t="s">
        <v>80</v>
      </c>
      <c r="I1872" s="29" t="s">
        <v>39</v>
      </c>
      <c r="J1872" s="29" t="s">
        <v>35</v>
      </c>
      <c r="K1872" s="29" t="s">
        <v>3348</v>
      </c>
      <c r="L1872" s="29" t="s">
        <v>3020</v>
      </c>
      <c r="M1872" s="29" t="s">
        <v>545</v>
      </c>
      <c r="N1872" s="29" t="s">
        <v>3155</v>
      </c>
      <c r="O1872" s="29" t="s">
        <v>51</v>
      </c>
      <c r="P1872" s="30" t="s">
        <v>3156</v>
      </c>
    </row>
    <row r="1873" s="25" customFormat="1" spans="1:16">
      <c r="A1873" s="29" t="s">
        <v>3348</v>
      </c>
      <c r="B1873" s="29" t="s">
        <v>3346</v>
      </c>
      <c r="C1873" s="29" t="s">
        <v>59</v>
      </c>
      <c r="D1873" s="29" t="s">
        <v>2883</v>
      </c>
      <c r="E1873" s="29" t="s">
        <v>35</v>
      </c>
      <c r="F1873" s="29" t="s">
        <v>51</v>
      </c>
      <c r="G1873" s="29" t="s">
        <v>568</v>
      </c>
      <c r="H1873" s="29" t="s">
        <v>80</v>
      </c>
      <c r="I1873" s="29" t="s">
        <v>39</v>
      </c>
      <c r="J1873" s="29" t="s">
        <v>47</v>
      </c>
      <c r="K1873" s="29" t="s">
        <v>3349</v>
      </c>
      <c r="L1873" s="29" t="s">
        <v>3024</v>
      </c>
      <c r="M1873" s="29" t="s">
        <v>545</v>
      </c>
      <c r="N1873" s="29" t="s">
        <v>3155</v>
      </c>
      <c r="O1873" s="29" t="s">
        <v>51</v>
      </c>
      <c r="P1873" s="30" t="s">
        <v>3158</v>
      </c>
    </row>
    <row r="1874" s="25" customFormat="1" spans="1:16">
      <c r="A1874" s="29" t="s">
        <v>3349</v>
      </c>
      <c r="B1874" s="29" t="s">
        <v>3346</v>
      </c>
      <c r="C1874" s="29" t="s">
        <v>59</v>
      </c>
      <c r="D1874" s="29" t="s">
        <v>2883</v>
      </c>
      <c r="E1874" s="29" t="s">
        <v>35</v>
      </c>
      <c r="F1874" s="29" t="s">
        <v>51</v>
      </c>
      <c r="G1874" s="29" t="s">
        <v>568</v>
      </c>
      <c r="H1874" s="29" t="s">
        <v>80</v>
      </c>
      <c r="I1874" s="29" t="s">
        <v>39</v>
      </c>
      <c r="J1874" s="29" t="s">
        <v>51</v>
      </c>
      <c r="K1874" s="29" t="s">
        <v>3350</v>
      </c>
      <c r="L1874" s="29" t="s">
        <v>3027</v>
      </c>
      <c r="M1874" s="29" t="s">
        <v>545</v>
      </c>
      <c r="N1874" s="29" t="s">
        <v>3155</v>
      </c>
      <c r="O1874" s="29" t="s">
        <v>51</v>
      </c>
      <c r="P1874" s="30" t="s">
        <v>3160</v>
      </c>
    </row>
    <row r="1875" s="25" customFormat="1" spans="1:16">
      <c r="A1875" s="29" t="s">
        <v>3350</v>
      </c>
      <c r="B1875" s="29" t="s">
        <v>3346</v>
      </c>
      <c r="C1875" s="29" t="s">
        <v>59</v>
      </c>
      <c r="D1875" s="29" t="s">
        <v>2883</v>
      </c>
      <c r="E1875" s="29" t="s">
        <v>35</v>
      </c>
      <c r="F1875" s="29" t="s">
        <v>51</v>
      </c>
      <c r="G1875" s="29" t="s">
        <v>568</v>
      </c>
      <c r="H1875" s="29" t="s">
        <v>80</v>
      </c>
      <c r="I1875" s="29" t="s">
        <v>39</v>
      </c>
      <c r="J1875" s="29" t="s">
        <v>55</v>
      </c>
      <c r="K1875" s="29" t="s">
        <v>3351</v>
      </c>
      <c r="L1875" s="29" t="s">
        <v>3030</v>
      </c>
      <c r="M1875" s="29" t="s">
        <v>545</v>
      </c>
      <c r="N1875" s="29" t="s">
        <v>3155</v>
      </c>
      <c r="O1875" s="29" t="s">
        <v>51</v>
      </c>
      <c r="P1875" s="30" t="s">
        <v>3162</v>
      </c>
    </row>
    <row r="1876" s="25" customFormat="1" spans="1:16">
      <c r="A1876" s="29" t="s">
        <v>3351</v>
      </c>
      <c r="B1876" s="29" t="s">
        <v>3346</v>
      </c>
      <c r="C1876" s="29" t="s">
        <v>59</v>
      </c>
      <c r="D1876" s="29" t="s">
        <v>2883</v>
      </c>
      <c r="E1876" s="29" t="s">
        <v>35</v>
      </c>
      <c r="F1876" s="29" t="s">
        <v>51</v>
      </c>
      <c r="G1876" s="29" t="s">
        <v>568</v>
      </c>
      <c r="H1876" s="29" t="s">
        <v>80</v>
      </c>
      <c r="I1876" s="29" t="s">
        <v>39</v>
      </c>
      <c r="J1876" s="29" t="s">
        <v>59</v>
      </c>
      <c r="K1876" s="29" t="s">
        <v>3352</v>
      </c>
      <c r="L1876" s="29" t="s">
        <v>3033</v>
      </c>
      <c r="M1876" s="29" t="s">
        <v>545</v>
      </c>
      <c r="N1876" s="29" t="s">
        <v>3155</v>
      </c>
      <c r="O1876" s="29" t="s">
        <v>51</v>
      </c>
      <c r="P1876" s="30" t="s">
        <v>2919</v>
      </c>
    </row>
    <row r="1877" s="25" customFormat="1" spans="1:16">
      <c r="A1877" s="29" t="s">
        <v>3352</v>
      </c>
      <c r="B1877" s="29" t="s">
        <v>3346</v>
      </c>
      <c r="C1877" s="29" t="s">
        <v>59</v>
      </c>
      <c r="D1877" s="29" t="s">
        <v>2883</v>
      </c>
      <c r="E1877" s="29" t="s">
        <v>35</v>
      </c>
      <c r="F1877" s="29" t="s">
        <v>51</v>
      </c>
      <c r="G1877" s="29" t="s">
        <v>568</v>
      </c>
      <c r="H1877" s="29" t="s">
        <v>80</v>
      </c>
      <c r="I1877" s="29" t="s">
        <v>39</v>
      </c>
      <c r="J1877" s="29" t="s">
        <v>129</v>
      </c>
      <c r="K1877" s="29" t="s">
        <v>3353</v>
      </c>
      <c r="L1877" s="29" t="s">
        <v>3036</v>
      </c>
      <c r="M1877" s="29" t="s">
        <v>545</v>
      </c>
      <c r="N1877" s="29" t="s">
        <v>3155</v>
      </c>
      <c r="O1877" s="29" t="s">
        <v>51</v>
      </c>
      <c r="P1877" s="30" t="s">
        <v>3165</v>
      </c>
    </row>
    <row r="1878" s="25" customFormat="1" spans="1:16">
      <c r="A1878" s="29" t="s">
        <v>3353</v>
      </c>
      <c r="B1878" s="29" t="s">
        <v>3346</v>
      </c>
      <c r="C1878" s="29" t="s">
        <v>59</v>
      </c>
      <c r="D1878" s="29" t="s">
        <v>2883</v>
      </c>
      <c r="E1878" s="29" t="s">
        <v>35</v>
      </c>
      <c r="F1878" s="29" t="s">
        <v>51</v>
      </c>
      <c r="G1878" s="29" t="s">
        <v>568</v>
      </c>
      <c r="H1878" s="29" t="s">
        <v>80</v>
      </c>
      <c r="I1878" s="29" t="s">
        <v>39</v>
      </c>
      <c r="J1878" s="29" t="s">
        <v>133</v>
      </c>
      <c r="K1878" s="29" t="s">
        <v>3354</v>
      </c>
      <c r="L1878" s="29" t="s">
        <v>3039</v>
      </c>
      <c r="M1878" s="29" t="s">
        <v>545</v>
      </c>
      <c r="N1878" s="29" t="s">
        <v>3155</v>
      </c>
      <c r="O1878" s="29" t="s">
        <v>51</v>
      </c>
      <c r="P1878" s="30" t="s">
        <v>3167</v>
      </c>
    </row>
    <row r="1879" s="25" customFormat="1" spans="1:16">
      <c r="A1879" s="29" t="s">
        <v>3354</v>
      </c>
      <c r="B1879" s="29" t="s">
        <v>3346</v>
      </c>
      <c r="C1879" s="29" t="s">
        <v>59</v>
      </c>
      <c r="D1879" s="29" t="s">
        <v>2883</v>
      </c>
      <c r="E1879" s="29" t="s">
        <v>35</v>
      </c>
      <c r="F1879" s="29" t="s">
        <v>51</v>
      </c>
      <c r="G1879" s="29" t="s">
        <v>568</v>
      </c>
      <c r="H1879" s="29" t="s">
        <v>80</v>
      </c>
      <c r="I1879" s="29" t="s">
        <v>39</v>
      </c>
      <c r="J1879" s="29" t="s">
        <v>137</v>
      </c>
      <c r="K1879" s="29" t="s">
        <v>3355</v>
      </c>
      <c r="L1879" s="29" t="s">
        <v>3042</v>
      </c>
      <c r="M1879" s="29" t="s">
        <v>545</v>
      </c>
      <c r="N1879" s="29" t="s">
        <v>3155</v>
      </c>
      <c r="O1879" s="29" t="s">
        <v>51</v>
      </c>
      <c r="P1879" s="30" t="s">
        <v>3169</v>
      </c>
    </row>
    <row r="1880" s="25" customFormat="1" spans="1:16">
      <c r="A1880" s="29" t="s">
        <v>3355</v>
      </c>
      <c r="B1880" s="29" t="s">
        <v>3346</v>
      </c>
      <c r="C1880" s="29" t="s">
        <v>59</v>
      </c>
      <c r="D1880" s="29" t="s">
        <v>2883</v>
      </c>
      <c r="E1880" s="29" t="s">
        <v>35</v>
      </c>
      <c r="F1880" s="29" t="s">
        <v>51</v>
      </c>
      <c r="G1880" s="29" t="s">
        <v>568</v>
      </c>
      <c r="H1880" s="29" t="s">
        <v>80</v>
      </c>
      <c r="I1880" s="29" t="s">
        <v>39</v>
      </c>
      <c r="J1880" s="29" t="s">
        <v>141</v>
      </c>
      <c r="K1880" s="29" t="s">
        <v>3356</v>
      </c>
      <c r="L1880" s="29" t="s">
        <v>3045</v>
      </c>
      <c r="M1880" s="29" t="s">
        <v>545</v>
      </c>
      <c r="N1880" s="29" t="s">
        <v>3155</v>
      </c>
      <c r="O1880" s="29" t="s">
        <v>51</v>
      </c>
      <c r="P1880" s="30" t="s">
        <v>3171</v>
      </c>
    </row>
    <row r="1881" s="25" customFormat="1" spans="1:16">
      <c r="A1881" s="29" t="s">
        <v>3356</v>
      </c>
      <c r="B1881" s="29" t="s">
        <v>3346</v>
      </c>
      <c r="C1881" s="29" t="s">
        <v>59</v>
      </c>
      <c r="D1881" s="29" t="s">
        <v>2883</v>
      </c>
      <c r="E1881" s="29" t="s">
        <v>35</v>
      </c>
      <c r="F1881" s="29" t="s">
        <v>51</v>
      </c>
      <c r="G1881" s="29" t="s">
        <v>568</v>
      </c>
      <c r="H1881" s="29" t="s">
        <v>80</v>
      </c>
      <c r="I1881" s="29" t="s">
        <v>39</v>
      </c>
      <c r="J1881" s="29" t="s">
        <v>145</v>
      </c>
      <c r="K1881" s="29" t="s">
        <v>3357</v>
      </c>
      <c r="L1881" s="29" t="s">
        <v>3047</v>
      </c>
      <c r="M1881" s="29" t="s">
        <v>545</v>
      </c>
      <c r="N1881" s="29" t="s">
        <v>3155</v>
      </c>
      <c r="O1881" s="29" t="s">
        <v>51</v>
      </c>
      <c r="P1881" s="30" t="s">
        <v>3172</v>
      </c>
    </row>
    <row r="1882" s="25" customFormat="1" spans="1:16">
      <c r="A1882" s="29" t="s">
        <v>3357</v>
      </c>
      <c r="B1882" s="29" t="s">
        <v>3346</v>
      </c>
      <c r="C1882" s="29" t="s">
        <v>59</v>
      </c>
      <c r="D1882" s="29" t="s">
        <v>2883</v>
      </c>
      <c r="E1882" s="29" t="s">
        <v>35</v>
      </c>
      <c r="F1882" s="29" t="s">
        <v>51</v>
      </c>
      <c r="G1882" s="29" t="s">
        <v>568</v>
      </c>
      <c r="H1882" s="29" t="s">
        <v>80</v>
      </c>
      <c r="I1882" s="29" t="s">
        <v>39</v>
      </c>
      <c r="J1882" s="29" t="s">
        <v>408</v>
      </c>
      <c r="K1882" s="29" t="s">
        <v>3358</v>
      </c>
      <c r="L1882" s="29" t="s">
        <v>3310</v>
      </c>
      <c r="M1882" s="29" t="s">
        <v>545</v>
      </c>
      <c r="N1882" s="29" t="s">
        <v>3155</v>
      </c>
      <c r="O1882" s="29" t="s">
        <v>51</v>
      </c>
      <c r="P1882" s="30" t="s">
        <v>3359</v>
      </c>
    </row>
    <row r="1883" s="25" customFormat="1" spans="1:16">
      <c r="A1883" s="29" t="s">
        <v>3358</v>
      </c>
      <c r="B1883" s="29" t="s">
        <v>3346</v>
      </c>
      <c r="C1883" s="29" t="s">
        <v>59</v>
      </c>
      <c r="D1883" s="29" t="s">
        <v>2883</v>
      </c>
      <c r="E1883" s="29" t="s">
        <v>35</v>
      </c>
      <c r="F1883" s="29" t="s">
        <v>51</v>
      </c>
      <c r="G1883" s="29" t="s">
        <v>568</v>
      </c>
      <c r="H1883" s="29" t="s">
        <v>80</v>
      </c>
      <c r="I1883" s="29" t="s">
        <v>39</v>
      </c>
      <c r="J1883" s="29" t="s">
        <v>412</v>
      </c>
      <c r="K1883" s="29" t="s">
        <v>3360</v>
      </c>
      <c r="L1883" s="29" t="s">
        <v>3313</v>
      </c>
      <c r="M1883" s="29" t="s">
        <v>545</v>
      </c>
      <c r="N1883" s="29" t="s">
        <v>3155</v>
      </c>
      <c r="O1883" s="29" t="s">
        <v>51</v>
      </c>
      <c r="P1883" s="30" t="s">
        <v>3361</v>
      </c>
    </row>
    <row r="1884" s="25" customFormat="1" spans="1:16">
      <c r="A1884" s="29" t="s">
        <v>3360</v>
      </c>
      <c r="B1884" s="29" t="s">
        <v>3346</v>
      </c>
      <c r="C1884" s="29" t="s">
        <v>59</v>
      </c>
      <c r="D1884" s="29" t="s">
        <v>2883</v>
      </c>
      <c r="E1884" s="29" t="s">
        <v>35</v>
      </c>
      <c r="F1884" s="29" t="s">
        <v>51</v>
      </c>
      <c r="G1884" s="29" t="s">
        <v>568</v>
      </c>
      <c r="H1884" s="29" t="s">
        <v>80</v>
      </c>
      <c r="I1884" s="29" t="s">
        <v>39</v>
      </c>
      <c r="J1884" s="29" t="s">
        <v>416</v>
      </c>
      <c r="K1884" s="29" t="s">
        <v>3362</v>
      </c>
      <c r="L1884" s="29" t="s">
        <v>3340</v>
      </c>
      <c r="M1884" s="29" t="s">
        <v>545</v>
      </c>
      <c r="N1884" s="29" t="s">
        <v>3155</v>
      </c>
      <c r="O1884" s="29" t="s">
        <v>51</v>
      </c>
      <c r="P1884" s="30" t="s">
        <v>3363</v>
      </c>
    </row>
    <row r="1885" s="25" customFormat="1" spans="1:16">
      <c r="A1885" s="29" t="s">
        <v>3362</v>
      </c>
      <c r="B1885" s="29" t="s">
        <v>3346</v>
      </c>
      <c r="C1885" s="29" t="s">
        <v>59</v>
      </c>
      <c r="D1885" s="29" t="s">
        <v>2883</v>
      </c>
      <c r="E1885" s="29" t="s">
        <v>35</v>
      </c>
      <c r="F1885" s="29" t="s">
        <v>51</v>
      </c>
      <c r="G1885" s="29" t="s">
        <v>568</v>
      </c>
      <c r="H1885" s="29" t="s">
        <v>80</v>
      </c>
      <c r="I1885" s="29" t="s">
        <v>39</v>
      </c>
      <c r="J1885" s="29" t="s">
        <v>420</v>
      </c>
      <c r="K1885" s="29" t="s">
        <v>3364</v>
      </c>
      <c r="L1885" s="29" t="s">
        <v>3343</v>
      </c>
      <c r="M1885" s="29" t="s">
        <v>545</v>
      </c>
      <c r="N1885" s="29" t="s">
        <v>3155</v>
      </c>
      <c r="O1885" s="29" t="s">
        <v>51</v>
      </c>
      <c r="P1885" s="30" t="s">
        <v>3365</v>
      </c>
    </row>
    <row r="1886" s="25" customFormat="1" spans="1:16">
      <c r="A1886" s="29" t="s">
        <v>3364</v>
      </c>
      <c r="B1886" s="29" t="s">
        <v>3346</v>
      </c>
      <c r="C1886" s="29" t="s">
        <v>59</v>
      </c>
      <c r="D1886" s="29" t="s">
        <v>2883</v>
      </c>
      <c r="E1886" s="29" t="s">
        <v>35</v>
      </c>
      <c r="F1886" s="29" t="s">
        <v>51</v>
      </c>
      <c r="G1886" s="29" t="s">
        <v>568</v>
      </c>
      <c r="H1886" s="29" t="s">
        <v>80</v>
      </c>
      <c r="I1886" s="29" t="s">
        <v>39</v>
      </c>
      <c r="J1886" s="29" t="s">
        <v>424</v>
      </c>
      <c r="K1886" s="29" t="s">
        <v>39</v>
      </c>
      <c r="L1886" s="29" t="s">
        <v>39</v>
      </c>
      <c r="M1886" s="29" t="s">
        <v>39</v>
      </c>
      <c r="N1886" s="29" t="s">
        <v>3155</v>
      </c>
      <c r="O1886" s="29" t="s">
        <v>51</v>
      </c>
      <c r="P1886" s="30" t="s">
        <v>3366</v>
      </c>
    </row>
    <row r="1887" s="25" customFormat="1" spans="1:16">
      <c r="A1887" s="29" t="s">
        <v>3367</v>
      </c>
      <c r="B1887" s="29" t="s">
        <v>3367</v>
      </c>
      <c r="C1887" s="29" t="s">
        <v>59</v>
      </c>
      <c r="D1887" s="29" t="s">
        <v>2883</v>
      </c>
      <c r="E1887" s="29" t="s">
        <v>35</v>
      </c>
      <c r="F1887" s="29" t="s">
        <v>51</v>
      </c>
      <c r="G1887" s="29" t="s">
        <v>590</v>
      </c>
      <c r="H1887" s="29" t="s">
        <v>96</v>
      </c>
      <c r="I1887" s="29" t="s">
        <v>39</v>
      </c>
      <c r="J1887" s="29" t="s">
        <v>39</v>
      </c>
      <c r="K1887" s="29" t="s">
        <v>3368</v>
      </c>
      <c r="L1887" s="29" t="s">
        <v>3016</v>
      </c>
      <c r="M1887" s="29" t="s">
        <v>545</v>
      </c>
      <c r="N1887" s="29" t="s">
        <v>2923</v>
      </c>
      <c r="O1887" s="29" t="s">
        <v>55</v>
      </c>
      <c r="P1887" s="30" t="s">
        <v>2924</v>
      </c>
    </row>
    <row r="1888" s="25" customFormat="1" spans="1:16">
      <c r="A1888" s="29" t="s">
        <v>3368</v>
      </c>
      <c r="B1888" s="29" t="s">
        <v>3367</v>
      </c>
      <c r="C1888" s="29" t="s">
        <v>59</v>
      </c>
      <c r="D1888" s="29" t="s">
        <v>2883</v>
      </c>
      <c r="E1888" s="29" t="s">
        <v>35</v>
      </c>
      <c r="F1888" s="29" t="s">
        <v>51</v>
      </c>
      <c r="G1888" s="29" t="s">
        <v>590</v>
      </c>
      <c r="H1888" s="29" t="s">
        <v>96</v>
      </c>
      <c r="I1888" s="29" t="s">
        <v>39</v>
      </c>
      <c r="J1888" s="29" t="s">
        <v>35</v>
      </c>
      <c r="K1888" s="29" t="s">
        <v>3369</v>
      </c>
      <c r="L1888" s="29" t="s">
        <v>3020</v>
      </c>
      <c r="M1888" s="29" t="s">
        <v>545</v>
      </c>
      <c r="N1888" s="29" t="s">
        <v>3176</v>
      </c>
      <c r="O1888" s="29" t="s">
        <v>55</v>
      </c>
      <c r="P1888" s="30" t="s">
        <v>3177</v>
      </c>
    </row>
    <row r="1889" s="25" customFormat="1" spans="1:16">
      <c r="A1889" s="29" t="s">
        <v>3369</v>
      </c>
      <c r="B1889" s="29" t="s">
        <v>3367</v>
      </c>
      <c r="C1889" s="29" t="s">
        <v>59</v>
      </c>
      <c r="D1889" s="29" t="s">
        <v>2883</v>
      </c>
      <c r="E1889" s="29" t="s">
        <v>35</v>
      </c>
      <c r="F1889" s="29" t="s">
        <v>51</v>
      </c>
      <c r="G1889" s="29" t="s">
        <v>590</v>
      </c>
      <c r="H1889" s="29" t="s">
        <v>96</v>
      </c>
      <c r="I1889" s="29" t="s">
        <v>39</v>
      </c>
      <c r="J1889" s="29" t="s">
        <v>47</v>
      </c>
      <c r="K1889" s="29" t="s">
        <v>3370</v>
      </c>
      <c r="L1889" s="29" t="s">
        <v>3024</v>
      </c>
      <c r="M1889" s="29" t="s">
        <v>545</v>
      </c>
      <c r="N1889" s="29" t="s">
        <v>3176</v>
      </c>
      <c r="O1889" s="29" t="s">
        <v>55</v>
      </c>
      <c r="P1889" s="30" t="s">
        <v>3179</v>
      </c>
    </row>
    <row r="1890" s="25" customFormat="1" spans="1:16">
      <c r="A1890" s="29" t="s">
        <v>3370</v>
      </c>
      <c r="B1890" s="29" t="s">
        <v>3367</v>
      </c>
      <c r="C1890" s="29" t="s">
        <v>59</v>
      </c>
      <c r="D1890" s="29" t="s">
        <v>2883</v>
      </c>
      <c r="E1890" s="29" t="s">
        <v>35</v>
      </c>
      <c r="F1890" s="29" t="s">
        <v>51</v>
      </c>
      <c r="G1890" s="29" t="s">
        <v>590</v>
      </c>
      <c r="H1890" s="29" t="s">
        <v>96</v>
      </c>
      <c r="I1890" s="29" t="s">
        <v>39</v>
      </c>
      <c r="J1890" s="29" t="s">
        <v>51</v>
      </c>
      <c r="K1890" s="29" t="s">
        <v>3371</v>
      </c>
      <c r="L1890" s="29" t="s">
        <v>3027</v>
      </c>
      <c r="M1890" s="29" t="s">
        <v>545</v>
      </c>
      <c r="N1890" s="29" t="s">
        <v>3176</v>
      </c>
      <c r="O1890" s="29" t="s">
        <v>55</v>
      </c>
      <c r="P1890" s="30" t="s">
        <v>3181</v>
      </c>
    </row>
    <row r="1891" s="25" customFormat="1" spans="1:16">
      <c r="A1891" s="29" t="s">
        <v>3371</v>
      </c>
      <c r="B1891" s="29" t="s">
        <v>3367</v>
      </c>
      <c r="C1891" s="29" t="s">
        <v>59</v>
      </c>
      <c r="D1891" s="29" t="s">
        <v>2883</v>
      </c>
      <c r="E1891" s="29" t="s">
        <v>35</v>
      </c>
      <c r="F1891" s="29" t="s">
        <v>51</v>
      </c>
      <c r="G1891" s="29" t="s">
        <v>590</v>
      </c>
      <c r="H1891" s="29" t="s">
        <v>96</v>
      </c>
      <c r="I1891" s="29" t="s">
        <v>39</v>
      </c>
      <c r="J1891" s="29" t="s">
        <v>55</v>
      </c>
      <c r="K1891" s="29" t="s">
        <v>3372</v>
      </c>
      <c r="L1891" s="29" t="s">
        <v>3030</v>
      </c>
      <c r="M1891" s="29" t="s">
        <v>545</v>
      </c>
      <c r="N1891" s="29" t="s">
        <v>3176</v>
      </c>
      <c r="O1891" s="29" t="s">
        <v>55</v>
      </c>
      <c r="P1891" s="30" t="s">
        <v>3183</v>
      </c>
    </row>
    <row r="1892" s="25" customFormat="1" spans="1:16">
      <c r="A1892" s="29" t="s">
        <v>3372</v>
      </c>
      <c r="B1892" s="29" t="s">
        <v>3367</v>
      </c>
      <c r="C1892" s="29" t="s">
        <v>59</v>
      </c>
      <c r="D1892" s="29" t="s">
        <v>2883</v>
      </c>
      <c r="E1892" s="29" t="s">
        <v>35</v>
      </c>
      <c r="F1892" s="29" t="s">
        <v>51</v>
      </c>
      <c r="G1892" s="29" t="s">
        <v>590</v>
      </c>
      <c r="H1892" s="29" t="s">
        <v>96</v>
      </c>
      <c r="I1892" s="29" t="s">
        <v>39</v>
      </c>
      <c r="J1892" s="29" t="s">
        <v>59</v>
      </c>
      <c r="K1892" s="29" t="s">
        <v>3373</v>
      </c>
      <c r="L1892" s="29" t="s">
        <v>3033</v>
      </c>
      <c r="M1892" s="29" t="s">
        <v>545</v>
      </c>
      <c r="N1892" s="29" t="s">
        <v>3176</v>
      </c>
      <c r="O1892" s="29" t="s">
        <v>55</v>
      </c>
      <c r="P1892" s="30" t="s">
        <v>3185</v>
      </c>
    </row>
    <row r="1893" s="25" customFormat="1" spans="1:16">
      <c r="A1893" s="29" t="s">
        <v>3373</v>
      </c>
      <c r="B1893" s="29" t="s">
        <v>3367</v>
      </c>
      <c r="C1893" s="29" t="s">
        <v>59</v>
      </c>
      <c r="D1893" s="29" t="s">
        <v>2883</v>
      </c>
      <c r="E1893" s="29" t="s">
        <v>35</v>
      </c>
      <c r="F1893" s="29" t="s">
        <v>51</v>
      </c>
      <c r="G1893" s="29" t="s">
        <v>590</v>
      </c>
      <c r="H1893" s="29" t="s">
        <v>96</v>
      </c>
      <c r="I1893" s="29" t="s">
        <v>39</v>
      </c>
      <c r="J1893" s="29" t="s">
        <v>129</v>
      </c>
      <c r="K1893" s="29" t="s">
        <v>3374</v>
      </c>
      <c r="L1893" s="29" t="s">
        <v>3036</v>
      </c>
      <c r="M1893" s="29" t="s">
        <v>545</v>
      </c>
      <c r="N1893" s="29" t="s">
        <v>3176</v>
      </c>
      <c r="O1893" s="29" t="s">
        <v>55</v>
      </c>
      <c r="P1893" s="30" t="s">
        <v>2934</v>
      </c>
    </row>
    <row r="1894" s="25" customFormat="1" spans="1:16">
      <c r="A1894" s="29" t="s">
        <v>3374</v>
      </c>
      <c r="B1894" s="29" t="s">
        <v>3367</v>
      </c>
      <c r="C1894" s="29" t="s">
        <v>59</v>
      </c>
      <c r="D1894" s="29" t="s">
        <v>2883</v>
      </c>
      <c r="E1894" s="29" t="s">
        <v>35</v>
      </c>
      <c r="F1894" s="29" t="s">
        <v>51</v>
      </c>
      <c r="G1894" s="29" t="s">
        <v>590</v>
      </c>
      <c r="H1894" s="29" t="s">
        <v>96</v>
      </c>
      <c r="I1894" s="29" t="s">
        <v>39</v>
      </c>
      <c r="J1894" s="29" t="s">
        <v>133</v>
      </c>
      <c r="K1894" s="29" t="s">
        <v>3375</v>
      </c>
      <c r="L1894" s="29" t="s">
        <v>3039</v>
      </c>
      <c r="M1894" s="29" t="s">
        <v>545</v>
      </c>
      <c r="N1894" s="29" t="s">
        <v>3176</v>
      </c>
      <c r="O1894" s="29" t="s">
        <v>55</v>
      </c>
      <c r="P1894" s="30" t="s">
        <v>3188</v>
      </c>
    </row>
    <row r="1895" s="25" customFormat="1" spans="1:16">
      <c r="A1895" s="29" t="s">
        <v>3375</v>
      </c>
      <c r="B1895" s="29" t="s">
        <v>3367</v>
      </c>
      <c r="C1895" s="29" t="s">
        <v>59</v>
      </c>
      <c r="D1895" s="29" t="s">
        <v>2883</v>
      </c>
      <c r="E1895" s="29" t="s">
        <v>35</v>
      </c>
      <c r="F1895" s="29" t="s">
        <v>51</v>
      </c>
      <c r="G1895" s="29" t="s">
        <v>590</v>
      </c>
      <c r="H1895" s="29" t="s">
        <v>96</v>
      </c>
      <c r="I1895" s="29" t="s">
        <v>39</v>
      </c>
      <c r="J1895" s="29" t="s">
        <v>137</v>
      </c>
      <c r="K1895" s="29" t="s">
        <v>3376</v>
      </c>
      <c r="L1895" s="29" t="s">
        <v>3042</v>
      </c>
      <c r="M1895" s="29" t="s">
        <v>545</v>
      </c>
      <c r="N1895" s="29" t="s">
        <v>3176</v>
      </c>
      <c r="O1895" s="29" t="s">
        <v>55</v>
      </c>
      <c r="P1895" s="30" t="s">
        <v>3190</v>
      </c>
    </row>
    <row r="1896" s="25" customFormat="1" spans="1:16">
      <c r="A1896" s="29" t="s">
        <v>3376</v>
      </c>
      <c r="B1896" s="29" t="s">
        <v>3367</v>
      </c>
      <c r="C1896" s="29" t="s">
        <v>59</v>
      </c>
      <c r="D1896" s="29" t="s">
        <v>2883</v>
      </c>
      <c r="E1896" s="29" t="s">
        <v>35</v>
      </c>
      <c r="F1896" s="29" t="s">
        <v>51</v>
      </c>
      <c r="G1896" s="29" t="s">
        <v>590</v>
      </c>
      <c r="H1896" s="29" t="s">
        <v>96</v>
      </c>
      <c r="I1896" s="29" t="s">
        <v>39</v>
      </c>
      <c r="J1896" s="29" t="s">
        <v>141</v>
      </c>
      <c r="K1896" s="29" t="s">
        <v>3377</v>
      </c>
      <c r="L1896" s="29" t="s">
        <v>3045</v>
      </c>
      <c r="M1896" s="29" t="s">
        <v>545</v>
      </c>
      <c r="N1896" s="29" t="s">
        <v>3176</v>
      </c>
      <c r="O1896" s="29" t="s">
        <v>55</v>
      </c>
      <c r="P1896" s="30" t="s">
        <v>3192</v>
      </c>
    </row>
    <row r="1897" s="25" customFormat="1" spans="1:16">
      <c r="A1897" s="29" t="s">
        <v>3377</v>
      </c>
      <c r="B1897" s="29" t="s">
        <v>3367</v>
      </c>
      <c r="C1897" s="29" t="s">
        <v>59</v>
      </c>
      <c r="D1897" s="29" t="s">
        <v>2883</v>
      </c>
      <c r="E1897" s="29" t="s">
        <v>35</v>
      </c>
      <c r="F1897" s="29" t="s">
        <v>51</v>
      </c>
      <c r="G1897" s="29" t="s">
        <v>590</v>
      </c>
      <c r="H1897" s="29" t="s">
        <v>96</v>
      </c>
      <c r="I1897" s="29" t="s">
        <v>39</v>
      </c>
      <c r="J1897" s="29" t="s">
        <v>145</v>
      </c>
      <c r="K1897" s="29" t="s">
        <v>3378</v>
      </c>
      <c r="L1897" s="29" t="s">
        <v>3047</v>
      </c>
      <c r="M1897" s="29" t="s">
        <v>545</v>
      </c>
      <c r="N1897" s="29" t="s">
        <v>3176</v>
      </c>
      <c r="O1897" s="29" t="s">
        <v>55</v>
      </c>
      <c r="P1897" s="30" t="s">
        <v>3193</v>
      </c>
    </row>
    <row r="1898" s="25" customFormat="1" spans="1:16">
      <c r="A1898" s="29" t="s">
        <v>3378</v>
      </c>
      <c r="B1898" s="29" t="s">
        <v>3367</v>
      </c>
      <c r="C1898" s="29" t="s">
        <v>59</v>
      </c>
      <c r="D1898" s="29" t="s">
        <v>2883</v>
      </c>
      <c r="E1898" s="29" t="s">
        <v>35</v>
      </c>
      <c r="F1898" s="29" t="s">
        <v>51</v>
      </c>
      <c r="G1898" s="29" t="s">
        <v>590</v>
      </c>
      <c r="H1898" s="29" t="s">
        <v>96</v>
      </c>
      <c r="I1898" s="29" t="s">
        <v>39</v>
      </c>
      <c r="J1898" s="29" t="s">
        <v>408</v>
      </c>
      <c r="K1898" s="29" t="s">
        <v>3379</v>
      </c>
      <c r="L1898" s="29" t="s">
        <v>3310</v>
      </c>
      <c r="M1898" s="29" t="s">
        <v>545</v>
      </c>
      <c r="N1898" s="29" t="s">
        <v>3176</v>
      </c>
      <c r="O1898" s="29" t="s">
        <v>55</v>
      </c>
      <c r="P1898" s="30" t="s">
        <v>3380</v>
      </c>
    </row>
    <row r="1899" s="25" customFormat="1" spans="1:16">
      <c r="A1899" s="29" t="s">
        <v>3379</v>
      </c>
      <c r="B1899" s="29" t="s">
        <v>3367</v>
      </c>
      <c r="C1899" s="29" t="s">
        <v>59</v>
      </c>
      <c r="D1899" s="29" t="s">
        <v>2883</v>
      </c>
      <c r="E1899" s="29" t="s">
        <v>35</v>
      </c>
      <c r="F1899" s="29" t="s">
        <v>51</v>
      </c>
      <c r="G1899" s="29" t="s">
        <v>590</v>
      </c>
      <c r="H1899" s="29" t="s">
        <v>96</v>
      </c>
      <c r="I1899" s="29" t="s">
        <v>39</v>
      </c>
      <c r="J1899" s="29" t="s">
        <v>412</v>
      </c>
      <c r="K1899" s="29" t="s">
        <v>3381</v>
      </c>
      <c r="L1899" s="29" t="s">
        <v>3313</v>
      </c>
      <c r="M1899" s="29" t="s">
        <v>545</v>
      </c>
      <c r="N1899" s="29" t="s">
        <v>3176</v>
      </c>
      <c r="O1899" s="29" t="s">
        <v>55</v>
      </c>
      <c r="P1899" s="30" t="s">
        <v>3382</v>
      </c>
    </row>
    <row r="1900" s="25" customFormat="1" spans="1:16">
      <c r="A1900" s="29" t="s">
        <v>3381</v>
      </c>
      <c r="B1900" s="29" t="s">
        <v>3367</v>
      </c>
      <c r="C1900" s="29" t="s">
        <v>59</v>
      </c>
      <c r="D1900" s="29" t="s">
        <v>2883</v>
      </c>
      <c r="E1900" s="29" t="s">
        <v>35</v>
      </c>
      <c r="F1900" s="29" t="s">
        <v>51</v>
      </c>
      <c r="G1900" s="29" t="s">
        <v>590</v>
      </c>
      <c r="H1900" s="29" t="s">
        <v>96</v>
      </c>
      <c r="I1900" s="29" t="s">
        <v>39</v>
      </c>
      <c r="J1900" s="29" t="s">
        <v>416</v>
      </c>
      <c r="K1900" s="29" t="s">
        <v>3383</v>
      </c>
      <c r="L1900" s="29" t="s">
        <v>3340</v>
      </c>
      <c r="M1900" s="29" t="s">
        <v>545</v>
      </c>
      <c r="N1900" s="29" t="s">
        <v>3176</v>
      </c>
      <c r="O1900" s="29" t="s">
        <v>55</v>
      </c>
      <c r="P1900" s="30" t="s">
        <v>3384</v>
      </c>
    </row>
    <row r="1901" s="25" customFormat="1" spans="1:16">
      <c r="A1901" s="29" t="s">
        <v>3383</v>
      </c>
      <c r="B1901" s="29" t="s">
        <v>3367</v>
      </c>
      <c r="C1901" s="29" t="s">
        <v>59</v>
      </c>
      <c r="D1901" s="29" t="s">
        <v>2883</v>
      </c>
      <c r="E1901" s="29" t="s">
        <v>35</v>
      </c>
      <c r="F1901" s="29" t="s">
        <v>51</v>
      </c>
      <c r="G1901" s="29" t="s">
        <v>590</v>
      </c>
      <c r="H1901" s="29" t="s">
        <v>96</v>
      </c>
      <c r="I1901" s="29" t="s">
        <v>39</v>
      </c>
      <c r="J1901" s="29" t="s">
        <v>420</v>
      </c>
      <c r="K1901" s="29" t="s">
        <v>3385</v>
      </c>
      <c r="L1901" s="29" t="s">
        <v>3343</v>
      </c>
      <c r="M1901" s="29" t="s">
        <v>545</v>
      </c>
      <c r="N1901" s="29" t="s">
        <v>3176</v>
      </c>
      <c r="O1901" s="29" t="s">
        <v>55</v>
      </c>
      <c r="P1901" s="30" t="s">
        <v>3386</v>
      </c>
    </row>
    <row r="1902" s="25" customFormat="1" spans="1:16">
      <c r="A1902" s="29" t="s">
        <v>3385</v>
      </c>
      <c r="B1902" s="29" t="s">
        <v>3367</v>
      </c>
      <c r="C1902" s="29" t="s">
        <v>59</v>
      </c>
      <c r="D1902" s="29" t="s">
        <v>2883</v>
      </c>
      <c r="E1902" s="29" t="s">
        <v>35</v>
      </c>
      <c r="F1902" s="29" t="s">
        <v>51</v>
      </c>
      <c r="G1902" s="29" t="s">
        <v>590</v>
      </c>
      <c r="H1902" s="29" t="s">
        <v>96</v>
      </c>
      <c r="I1902" s="29" t="s">
        <v>39</v>
      </c>
      <c r="J1902" s="29" t="s">
        <v>424</v>
      </c>
      <c r="K1902" s="29" t="s">
        <v>39</v>
      </c>
      <c r="L1902" s="29" t="s">
        <v>39</v>
      </c>
      <c r="M1902" s="29" t="s">
        <v>39</v>
      </c>
      <c r="N1902" s="29" t="s">
        <v>3176</v>
      </c>
      <c r="O1902" s="29" t="s">
        <v>55</v>
      </c>
      <c r="P1902" s="30" t="s">
        <v>3387</v>
      </c>
    </row>
    <row r="1903" s="25" customFormat="1" spans="1:16">
      <c r="A1903" s="29" t="s">
        <v>3388</v>
      </c>
      <c r="B1903" s="29" t="s">
        <v>3388</v>
      </c>
      <c r="C1903" s="29" t="s">
        <v>59</v>
      </c>
      <c r="D1903" s="29" t="s">
        <v>2883</v>
      </c>
      <c r="E1903" s="29" t="s">
        <v>35</v>
      </c>
      <c r="F1903" s="29" t="s">
        <v>51</v>
      </c>
      <c r="G1903" s="29" t="s">
        <v>612</v>
      </c>
      <c r="H1903" s="29" t="s">
        <v>112</v>
      </c>
      <c r="I1903" s="29" t="s">
        <v>39</v>
      </c>
      <c r="J1903" s="29" t="s">
        <v>39</v>
      </c>
      <c r="K1903" s="29" t="s">
        <v>3389</v>
      </c>
      <c r="L1903" s="29" t="s">
        <v>3016</v>
      </c>
      <c r="M1903" s="29" t="s">
        <v>614</v>
      </c>
      <c r="N1903" s="29" t="s">
        <v>2937</v>
      </c>
      <c r="O1903" s="29" t="s">
        <v>59</v>
      </c>
      <c r="P1903" s="30" t="s">
        <v>2938</v>
      </c>
    </row>
    <row r="1904" s="25" customFormat="1" spans="1:16">
      <c r="A1904" s="29" t="s">
        <v>3389</v>
      </c>
      <c r="B1904" s="29" t="s">
        <v>3388</v>
      </c>
      <c r="C1904" s="29" t="s">
        <v>59</v>
      </c>
      <c r="D1904" s="29" t="s">
        <v>2883</v>
      </c>
      <c r="E1904" s="29" t="s">
        <v>35</v>
      </c>
      <c r="F1904" s="29" t="s">
        <v>51</v>
      </c>
      <c r="G1904" s="29" t="s">
        <v>612</v>
      </c>
      <c r="H1904" s="29" t="s">
        <v>112</v>
      </c>
      <c r="I1904" s="29" t="s">
        <v>39</v>
      </c>
      <c r="J1904" s="29" t="s">
        <v>35</v>
      </c>
      <c r="K1904" s="29" t="s">
        <v>3390</v>
      </c>
      <c r="L1904" s="29" t="s">
        <v>3020</v>
      </c>
      <c r="M1904" s="29" t="s">
        <v>614</v>
      </c>
      <c r="N1904" s="29" t="s">
        <v>2940</v>
      </c>
      <c r="O1904" s="29" t="s">
        <v>59</v>
      </c>
      <c r="P1904" s="30" t="s">
        <v>2941</v>
      </c>
    </row>
    <row r="1905" s="25" customFormat="1" spans="1:16">
      <c r="A1905" s="29" t="s">
        <v>3390</v>
      </c>
      <c r="B1905" s="29" t="s">
        <v>3388</v>
      </c>
      <c r="C1905" s="29" t="s">
        <v>59</v>
      </c>
      <c r="D1905" s="29" t="s">
        <v>2883</v>
      </c>
      <c r="E1905" s="29" t="s">
        <v>35</v>
      </c>
      <c r="F1905" s="29" t="s">
        <v>51</v>
      </c>
      <c r="G1905" s="29" t="s">
        <v>612</v>
      </c>
      <c r="H1905" s="29" t="s">
        <v>112</v>
      </c>
      <c r="I1905" s="29" t="s">
        <v>39</v>
      </c>
      <c r="J1905" s="29" t="s">
        <v>47</v>
      </c>
      <c r="K1905" s="29" t="s">
        <v>3391</v>
      </c>
      <c r="L1905" s="29" t="s">
        <v>3024</v>
      </c>
      <c r="M1905" s="29" t="s">
        <v>614</v>
      </c>
      <c r="N1905" s="29" t="s">
        <v>2940</v>
      </c>
      <c r="O1905" s="29" t="s">
        <v>59</v>
      </c>
      <c r="P1905" s="30" t="s">
        <v>2943</v>
      </c>
    </row>
    <row r="1906" s="25" customFormat="1" spans="1:16">
      <c r="A1906" s="29" t="s">
        <v>3391</v>
      </c>
      <c r="B1906" s="29" t="s">
        <v>3388</v>
      </c>
      <c r="C1906" s="29" t="s">
        <v>59</v>
      </c>
      <c r="D1906" s="29" t="s">
        <v>2883</v>
      </c>
      <c r="E1906" s="29" t="s">
        <v>35</v>
      </c>
      <c r="F1906" s="29" t="s">
        <v>51</v>
      </c>
      <c r="G1906" s="29" t="s">
        <v>612</v>
      </c>
      <c r="H1906" s="29" t="s">
        <v>112</v>
      </c>
      <c r="I1906" s="29" t="s">
        <v>39</v>
      </c>
      <c r="J1906" s="29" t="s">
        <v>51</v>
      </c>
      <c r="K1906" s="29" t="s">
        <v>3392</v>
      </c>
      <c r="L1906" s="29" t="s">
        <v>3027</v>
      </c>
      <c r="M1906" s="29" t="s">
        <v>614</v>
      </c>
      <c r="N1906" s="29" t="s">
        <v>2940</v>
      </c>
      <c r="O1906" s="29" t="s">
        <v>59</v>
      </c>
      <c r="P1906" s="30" t="s">
        <v>2945</v>
      </c>
    </row>
    <row r="1907" s="25" customFormat="1" spans="1:16">
      <c r="A1907" s="29" t="s">
        <v>3392</v>
      </c>
      <c r="B1907" s="29" t="s">
        <v>3388</v>
      </c>
      <c r="C1907" s="29" t="s">
        <v>59</v>
      </c>
      <c r="D1907" s="29" t="s">
        <v>2883</v>
      </c>
      <c r="E1907" s="29" t="s">
        <v>35</v>
      </c>
      <c r="F1907" s="29" t="s">
        <v>51</v>
      </c>
      <c r="G1907" s="29" t="s">
        <v>612</v>
      </c>
      <c r="H1907" s="29" t="s">
        <v>112</v>
      </c>
      <c r="I1907" s="29" t="s">
        <v>39</v>
      </c>
      <c r="J1907" s="29" t="s">
        <v>55</v>
      </c>
      <c r="K1907" s="29" t="s">
        <v>3393</v>
      </c>
      <c r="L1907" s="29" t="s">
        <v>3030</v>
      </c>
      <c r="M1907" s="29" t="s">
        <v>614</v>
      </c>
      <c r="N1907" s="29" t="s">
        <v>2940</v>
      </c>
      <c r="O1907" s="29" t="s">
        <v>59</v>
      </c>
      <c r="P1907" s="30" t="s">
        <v>2947</v>
      </c>
    </row>
    <row r="1908" s="25" customFormat="1" spans="1:16">
      <c r="A1908" s="29" t="s">
        <v>3393</v>
      </c>
      <c r="B1908" s="29" t="s">
        <v>3388</v>
      </c>
      <c r="C1908" s="29" t="s">
        <v>59</v>
      </c>
      <c r="D1908" s="29" t="s">
        <v>2883</v>
      </c>
      <c r="E1908" s="29" t="s">
        <v>35</v>
      </c>
      <c r="F1908" s="29" t="s">
        <v>51</v>
      </c>
      <c r="G1908" s="29" t="s">
        <v>612</v>
      </c>
      <c r="H1908" s="29" t="s">
        <v>112</v>
      </c>
      <c r="I1908" s="29" t="s">
        <v>39</v>
      </c>
      <c r="J1908" s="29" t="s">
        <v>59</v>
      </c>
      <c r="K1908" s="29" t="s">
        <v>3394</v>
      </c>
      <c r="L1908" s="29" t="s">
        <v>3033</v>
      </c>
      <c r="M1908" s="29" t="s">
        <v>614</v>
      </c>
      <c r="N1908" s="29" t="s">
        <v>2940</v>
      </c>
      <c r="O1908" s="29" t="s">
        <v>59</v>
      </c>
      <c r="P1908" s="30" t="s">
        <v>2950</v>
      </c>
    </row>
    <row r="1909" s="25" customFormat="1" spans="1:16">
      <c r="A1909" s="29" t="s">
        <v>3394</v>
      </c>
      <c r="B1909" s="29" t="s">
        <v>3388</v>
      </c>
      <c r="C1909" s="29" t="s">
        <v>59</v>
      </c>
      <c r="D1909" s="29" t="s">
        <v>2883</v>
      </c>
      <c r="E1909" s="29" t="s">
        <v>35</v>
      </c>
      <c r="F1909" s="29" t="s">
        <v>51</v>
      </c>
      <c r="G1909" s="29" t="s">
        <v>612</v>
      </c>
      <c r="H1909" s="29" t="s">
        <v>112</v>
      </c>
      <c r="I1909" s="29" t="s">
        <v>39</v>
      </c>
      <c r="J1909" s="29" t="s">
        <v>129</v>
      </c>
      <c r="K1909" s="29" t="s">
        <v>3395</v>
      </c>
      <c r="L1909" s="29" t="s">
        <v>3036</v>
      </c>
      <c r="M1909" s="29" t="s">
        <v>614</v>
      </c>
      <c r="N1909" s="29" t="s">
        <v>2940</v>
      </c>
      <c r="O1909" s="29" t="s">
        <v>59</v>
      </c>
      <c r="P1909" s="30" t="s">
        <v>2953</v>
      </c>
    </row>
    <row r="1910" s="25" customFormat="1" spans="1:16">
      <c r="A1910" s="29" t="s">
        <v>3395</v>
      </c>
      <c r="B1910" s="29" t="s">
        <v>3388</v>
      </c>
      <c r="C1910" s="29" t="s">
        <v>59</v>
      </c>
      <c r="D1910" s="29" t="s">
        <v>2883</v>
      </c>
      <c r="E1910" s="29" t="s">
        <v>35</v>
      </c>
      <c r="F1910" s="29" t="s">
        <v>51</v>
      </c>
      <c r="G1910" s="29" t="s">
        <v>612</v>
      </c>
      <c r="H1910" s="29" t="s">
        <v>112</v>
      </c>
      <c r="I1910" s="29" t="s">
        <v>39</v>
      </c>
      <c r="J1910" s="29" t="s">
        <v>133</v>
      </c>
      <c r="K1910" s="29" t="s">
        <v>3396</v>
      </c>
      <c r="L1910" s="29" t="s">
        <v>3039</v>
      </c>
      <c r="M1910" s="29" t="s">
        <v>614</v>
      </c>
      <c r="N1910" s="29" t="s">
        <v>2940</v>
      </c>
      <c r="O1910" s="29" t="s">
        <v>59</v>
      </c>
      <c r="P1910" s="30" t="s">
        <v>2956</v>
      </c>
    </row>
    <row r="1911" s="25" customFormat="1" spans="1:16">
      <c r="A1911" s="29" t="s">
        <v>3396</v>
      </c>
      <c r="B1911" s="29" t="s">
        <v>3388</v>
      </c>
      <c r="C1911" s="29" t="s">
        <v>59</v>
      </c>
      <c r="D1911" s="29" t="s">
        <v>2883</v>
      </c>
      <c r="E1911" s="29" t="s">
        <v>35</v>
      </c>
      <c r="F1911" s="29" t="s">
        <v>51</v>
      </c>
      <c r="G1911" s="29" t="s">
        <v>612</v>
      </c>
      <c r="H1911" s="29" t="s">
        <v>112</v>
      </c>
      <c r="I1911" s="29" t="s">
        <v>39</v>
      </c>
      <c r="J1911" s="29" t="s">
        <v>137</v>
      </c>
      <c r="K1911" s="29" t="s">
        <v>3397</v>
      </c>
      <c r="L1911" s="29" t="s">
        <v>3042</v>
      </c>
      <c r="M1911" s="29" t="s">
        <v>614</v>
      </c>
      <c r="N1911" s="29" t="s">
        <v>2940</v>
      </c>
      <c r="O1911" s="29" t="s">
        <v>59</v>
      </c>
      <c r="P1911" s="30" t="s">
        <v>2959</v>
      </c>
    </row>
    <row r="1912" s="25" customFormat="1" spans="1:16">
      <c r="A1912" s="29" t="s">
        <v>3397</v>
      </c>
      <c r="B1912" s="29" t="s">
        <v>3388</v>
      </c>
      <c r="C1912" s="29" t="s">
        <v>59</v>
      </c>
      <c r="D1912" s="29" t="s">
        <v>2883</v>
      </c>
      <c r="E1912" s="29" t="s">
        <v>35</v>
      </c>
      <c r="F1912" s="29" t="s">
        <v>51</v>
      </c>
      <c r="G1912" s="29" t="s">
        <v>612</v>
      </c>
      <c r="H1912" s="29" t="s">
        <v>112</v>
      </c>
      <c r="I1912" s="29" t="s">
        <v>39</v>
      </c>
      <c r="J1912" s="29" t="s">
        <v>141</v>
      </c>
      <c r="K1912" s="29" t="s">
        <v>3398</v>
      </c>
      <c r="L1912" s="29" t="s">
        <v>3045</v>
      </c>
      <c r="M1912" s="29" t="s">
        <v>614</v>
      </c>
      <c r="N1912" s="29" t="s">
        <v>2940</v>
      </c>
      <c r="O1912" s="29" t="s">
        <v>59</v>
      </c>
      <c r="P1912" s="30" t="s">
        <v>2962</v>
      </c>
    </row>
    <row r="1913" s="25" customFormat="1" spans="1:16">
      <c r="A1913" s="29" t="s">
        <v>3398</v>
      </c>
      <c r="B1913" s="29" t="s">
        <v>3388</v>
      </c>
      <c r="C1913" s="29" t="s">
        <v>59</v>
      </c>
      <c r="D1913" s="29" t="s">
        <v>2883</v>
      </c>
      <c r="E1913" s="29" t="s">
        <v>35</v>
      </c>
      <c r="F1913" s="29" t="s">
        <v>51</v>
      </c>
      <c r="G1913" s="29" t="s">
        <v>612</v>
      </c>
      <c r="H1913" s="29" t="s">
        <v>112</v>
      </c>
      <c r="I1913" s="29" t="s">
        <v>39</v>
      </c>
      <c r="J1913" s="29" t="s">
        <v>145</v>
      </c>
      <c r="K1913" s="29" t="s">
        <v>3399</v>
      </c>
      <c r="L1913" s="29" t="s">
        <v>3047</v>
      </c>
      <c r="M1913" s="29" t="s">
        <v>614</v>
      </c>
      <c r="N1913" s="29" t="s">
        <v>2940</v>
      </c>
      <c r="O1913" s="29" t="s">
        <v>59</v>
      </c>
      <c r="P1913" s="30" t="s">
        <v>2963</v>
      </c>
    </row>
    <row r="1914" s="25" customFormat="1" spans="1:16">
      <c r="A1914" s="29" t="s">
        <v>3399</v>
      </c>
      <c r="B1914" s="29" t="s">
        <v>3388</v>
      </c>
      <c r="C1914" s="29" t="s">
        <v>59</v>
      </c>
      <c r="D1914" s="29" t="s">
        <v>2883</v>
      </c>
      <c r="E1914" s="29" t="s">
        <v>35</v>
      </c>
      <c r="F1914" s="29" t="s">
        <v>51</v>
      </c>
      <c r="G1914" s="29" t="s">
        <v>612</v>
      </c>
      <c r="H1914" s="29" t="s">
        <v>112</v>
      </c>
      <c r="I1914" s="29" t="s">
        <v>39</v>
      </c>
      <c r="J1914" s="29" t="s">
        <v>408</v>
      </c>
      <c r="K1914" s="29" t="s">
        <v>3400</v>
      </c>
      <c r="L1914" s="29" t="s">
        <v>3310</v>
      </c>
      <c r="M1914" s="29" t="s">
        <v>614</v>
      </c>
      <c r="N1914" s="29" t="s">
        <v>2940</v>
      </c>
      <c r="O1914" s="29" t="s">
        <v>59</v>
      </c>
      <c r="P1914" s="30" t="s">
        <v>3211</v>
      </c>
    </row>
    <row r="1915" s="25" customFormat="1" spans="1:16">
      <c r="A1915" s="29" t="s">
        <v>3400</v>
      </c>
      <c r="B1915" s="29" t="s">
        <v>3388</v>
      </c>
      <c r="C1915" s="29" t="s">
        <v>59</v>
      </c>
      <c r="D1915" s="29" t="s">
        <v>2883</v>
      </c>
      <c r="E1915" s="29" t="s">
        <v>35</v>
      </c>
      <c r="F1915" s="29" t="s">
        <v>51</v>
      </c>
      <c r="G1915" s="29" t="s">
        <v>612</v>
      </c>
      <c r="H1915" s="29" t="s">
        <v>112</v>
      </c>
      <c r="I1915" s="29" t="s">
        <v>39</v>
      </c>
      <c r="J1915" s="29" t="s">
        <v>412</v>
      </c>
      <c r="K1915" s="29" t="s">
        <v>3401</v>
      </c>
      <c r="L1915" s="29" t="s">
        <v>3313</v>
      </c>
      <c r="M1915" s="29" t="s">
        <v>614</v>
      </c>
      <c r="N1915" s="29" t="s">
        <v>2940</v>
      </c>
      <c r="O1915" s="29" t="s">
        <v>59</v>
      </c>
      <c r="P1915" s="30" t="s">
        <v>3214</v>
      </c>
    </row>
    <row r="1916" s="25" customFormat="1" spans="1:16">
      <c r="A1916" s="29" t="s">
        <v>3401</v>
      </c>
      <c r="B1916" s="29" t="s">
        <v>3388</v>
      </c>
      <c r="C1916" s="29" t="s">
        <v>59</v>
      </c>
      <c r="D1916" s="29" t="s">
        <v>2883</v>
      </c>
      <c r="E1916" s="29" t="s">
        <v>35</v>
      </c>
      <c r="F1916" s="29" t="s">
        <v>51</v>
      </c>
      <c r="G1916" s="29" t="s">
        <v>612</v>
      </c>
      <c r="H1916" s="29" t="s">
        <v>112</v>
      </c>
      <c r="I1916" s="29" t="s">
        <v>39</v>
      </c>
      <c r="J1916" s="29" t="s">
        <v>416</v>
      </c>
      <c r="K1916" s="29" t="s">
        <v>3402</v>
      </c>
      <c r="L1916" s="29" t="s">
        <v>3340</v>
      </c>
      <c r="M1916" s="29" t="s">
        <v>614</v>
      </c>
      <c r="N1916" s="29" t="s">
        <v>2940</v>
      </c>
      <c r="O1916" s="29" t="s">
        <v>59</v>
      </c>
      <c r="P1916" s="30" t="s">
        <v>3217</v>
      </c>
    </row>
    <row r="1917" s="25" customFormat="1" spans="1:16">
      <c r="A1917" s="29" t="s">
        <v>3402</v>
      </c>
      <c r="B1917" s="29" t="s">
        <v>3388</v>
      </c>
      <c r="C1917" s="29" t="s">
        <v>59</v>
      </c>
      <c r="D1917" s="29" t="s">
        <v>2883</v>
      </c>
      <c r="E1917" s="29" t="s">
        <v>35</v>
      </c>
      <c r="F1917" s="29" t="s">
        <v>51</v>
      </c>
      <c r="G1917" s="29" t="s">
        <v>612</v>
      </c>
      <c r="H1917" s="29" t="s">
        <v>112</v>
      </c>
      <c r="I1917" s="29" t="s">
        <v>39</v>
      </c>
      <c r="J1917" s="29" t="s">
        <v>420</v>
      </c>
      <c r="K1917" s="29" t="s">
        <v>3403</v>
      </c>
      <c r="L1917" s="29" t="s">
        <v>3343</v>
      </c>
      <c r="M1917" s="29" t="s">
        <v>614</v>
      </c>
      <c r="N1917" s="29" t="s">
        <v>2940</v>
      </c>
      <c r="O1917" s="29" t="s">
        <v>59</v>
      </c>
      <c r="P1917" s="30" t="s">
        <v>3220</v>
      </c>
    </row>
    <row r="1918" s="25" customFormat="1" spans="1:16">
      <c r="A1918" s="29" t="s">
        <v>3403</v>
      </c>
      <c r="B1918" s="29" t="s">
        <v>3388</v>
      </c>
      <c r="C1918" s="29" t="s">
        <v>59</v>
      </c>
      <c r="D1918" s="29" t="s">
        <v>2883</v>
      </c>
      <c r="E1918" s="29" t="s">
        <v>35</v>
      </c>
      <c r="F1918" s="29" t="s">
        <v>51</v>
      </c>
      <c r="G1918" s="29" t="s">
        <v>612</v>
      </c>
      <c r="H1918" s="29" t="s">
        <v>112</v>
      </c>
      <c r="I1918" s="29" t="s">
        <v>39</v>
      </c>
      <c r="J1918" s="29" t="s">
        <v>424</v>
      </c>
      <c r="K1918" s="29" t="s">
        <v>3404</v>
      </c>
      <c r="L1918" s="29" t="s">
        <v>3405</v>
      </c>
      <c r="M1918" s="29" t="s">
        <v>614</v>
      </c>
      <c r="N1918" s="29" t="s">
        <v>2940</v>
      </c>
      <c r="O1918" s="29" t="s">
        <v>59</v>
      </c>
      <c r="P1918" s="30" t="s">
        <v>3221</v>
      </c>
    </row>
    <row r="1919" s="25" customFormat="1" spans="1:16">
      <c r="A1919" s="29" t="s">
        <v>3404</v>
      </c>
      <c r="B1919" s="29" t="s">
        <v>3388</v>
      </c>
      <c r="C1919" s="29" t="s">
        <v>59</v>
      </c>
      <c r="D1919" s="29" t="s">
        <v>2883</v>
      </c>
      <c r="E1919" s="29" t="s">
        <v>35</v>
      </c>
      <c r="F1919" s="29" t="s">
        <v>51</v>
      </c>
      <c r="G1919" s="29" t="s">
        <v>612</v>
      </c>
      <c r="H1919" s="29" t="s">
        <v>112</v>
      </c>
      <c r="I1919" s="29" t="s">
        <v>39</v>
      </c>
      <c r="J1919" s="29" t="s">
        <v>631</v>
      </c>
      <c r="K1919" s="29" t="s">
        <v>3406</v>
      </c>
      <c r="L1919" s="29" t="s">
        <v>3407</v>
      </c>
      <c r="M1919" s="29" t="s">
        <v>614</v>
      </c>
      <c r="N1919" s="29" t="s">
        <v>2940</v>
      </c>
      <c r="O1919" s="29" t="s">
        <v>59</v>
      </c>
      <c r="P1919" s="30" t="s">
        <v>3408</v>
      </c>
    </row>
    <row r="1920" s="25" customFormat="1" spans="1:16">
      <c r="A1920" s="29" t="s">
        <v>3406</v>
      </c>
      <c r="B1920" s="29" t="s">
        <v>3388</v>
      </c>
      <c r="C1920" s="29" t="s">
        <v>59</v>
      </c>
      <c r="D1920" s="29" t="s">
        <v>2883</v>
      </c>
      <c r="E1920" s="29" t="s">
        <v>35</v>
      </c>
      <c r="F1920" s="29" t="s">
        <v>51</v>
      </c>
      <c r="G1920" s="29" t="s">
        <v>612</v>
      </c>
      <c r="H1920" s="29" t="s">
        <v>112</v>
      </c>
      <c r="I1920" s="29" t="s">
        <v>39</v>
      </c>
      <c r="J1920" s="29" t="s">
        <v>635</v>
      </c>
      <c r="K1920" s="29" t="s">
        <v>3409</v>
      </c>
      <c r="L1920" s="29" t="s">
        <v>3410</v>
      </c>
      <c r="M1920" s="29" t="s">
        <v>614</v>
      </c>
      <c r="N1920" s="29" t="s">
        <v>2940</v>
      </c>
      <c r="O1920" s="29" t="s">
        <v>59</v>
      </c>
      <c r="P1920" s="30" t="s">
        <v>3411</v>
      </c>
    </row>
    <row r="1921" s="25" customFormat="1" spans="1:16">
      <c r="A1921" s="29" t="s">
        <v>3409</v>
      </c>
      <c r="B1921" s="29" t="s">
        <v>3388</v>
      </c>
      <c r="C1921" s="29" t="s">
        <v>59</v>
      </c>
      <c r="D1921" s="29" t="s">
        <v>2883</v>
      </c>
      <c r="E1921" s="29" t="s">
        <v>35</v>
      </c>
      <c r="F1921" s="29" t="s">
        <v>51</v>
      </c>
      <c r="G1921" s="29" t="s">
        <v>612</v>
      </c>
      <c r="H1921" s="29" t="s">
        <v>112</v>
      </c>
      <c r="I1921" s="29" t="s">
        <v>39</v>
      </c>
      <c r="J1921" s="29" t="s">
        <v>639</v>
      </c>
      <c r="K1921" s="29" t="s">
        <v>3412</v>
      </c>
      <c r="L1921" s="29" t="s">
        <v>3413</v>
      </c>
      <c r="M1921" s="29" t="s">
        <v>614</v>
      </c>
      <c r="N1921" s="29" t="s">
        <v>2940</v>
      </c>
      <c r="O1921" s="29" t="s">
        <v>59</v>
      </c>
      <c r="P1921" s="30" t="s">
        <v>3414</v>
      </c>
    </row>
    <row r="1922" s="25" customFormat="1" spans="1:16">
      <c r="A1922" s="29" t="s">
        <v>3412</v>
      </c>
      <c r="B1922" s="29" t="s">
        <v>3388</v>
      </c>
      <c r="C1922" s="29" t="s">
        <v>59</v>
      </c>
      <c r="D1922" s="29" t="s">
        <v>2883</v>
      </c>
      <c r="E1922" s="29" t="s">
        <v>35</v>
      </c>
      <c r="F1922" s="29" t="s">
        <v>51</v>
      </c>
      <c r="G1922" s="29" t="s">
        <v>612</v>
      </c>
      <c r="H1922" s="29" t="s">
        <v>112</v>
      </c>
      <c r="I1922" s="29" t="s">
        <v>39</v>
      </c>
      <c r="J1922" s="29" t="s">
        <v>643</v>
      </c>
      <c r="K1922" s="29" t="s">
        <v>3415</v>
      </c>
      <c r="L1922" s="29" t="s">
        <v>3416</v>
      </c>
      <c r="M1922" s="29" t="s">
        <v>614</v>
      </c>
      <c r="N1922" s="29" t="s">
        <v>2940</v>
      </c>
      <c r="O1922" s="29" t="s">
        <v>59</v>
      </c>
      <c r="P1922" s="30" t="s">
        <v>3417</v>
      </c>
    </row>
    <row r="1923" s="25" customFormat="1" spans="1:16">
      <c r="A1923" s="29" t="s">
        <v>3415</v>
      </c>
      <c r="B1923" s="29" t="s">
        <v>3388</v>
      </c>
      <c r="C1923" s="29" t="s">
        <v>59</v>
      </c>
      <c r="D1923" s="29" t="s">
        <v>2883</v>
      </c>
      <c r="E1923" s="29" t="s">
        <v>35</v>
      </c>
      <c r="F1923" s="29" t="s">
        <v>51</v>
      </c>
      <c r="G1923" s="29" t="s">
        <v>612</v>
      </c>
      <c r="H1923" s="29" t="s">
        <v>112</v>
      </c>
      <c r="I1923" s="29" t="s">
        <v>39</v>
      </c>
      <c r="J1923" s="29" t="s">
        <v>647</v>
      </c>
      <c r="K1923" s="29" t="s">
        <v>39</v>
      </c>
      <c r="L1923" s="29" t="s">
        <v>39</v>
      </c>
      <c r="M1923" s="29" t="s">
        <v>39</v>
      </c>
      <c r="N1923" s="29" t="s">
        <v>2940</v>
      </c>
      <c r="O1923" s="29" t="s">
        <v>59</v>
      </c>
      <c r="P1923" s="30" t="s">
        <v>3418</v>
      </c>
    </row>
    <row r="1924" s="25" customFormat="1" spans="1:16">
      <c r="A1924" s="29" t="s">
        <v>3419</v>
      </c>
      <c r="B1924" s="29" t="s">
        <v>3419</v>
      </c>
      <c r="C1924" s="29" t="s">
        <v>59</v>
      </c>
      <c r="D1924" s="29" t="s">
        <v>2883</v>
      </c>
      <c r="E1924" s="29" t="s">
        <v>35</v>
      </c>
      <c r="F1924" s="29" t="s">
        <v>51</v>
      </c>
      <c r="G1924" s="29" t="s">
        <v>650</v>
      </c>
      <c r="H1924" s="29" t="s">
        <v>149</v>
      </c>
      <c r="I1924" s="29" t="s">
        <v>39</v>
      </c>
      <c r="J1924" s="29" t="s">
        <v>39</v>
      </c>
      <c r="K1924" s="29" t="s">
        <v>3420</v>
      </c>
      <c r="L1924" s="29" t="s">
        <v>3016</v>
      </c>
      <c r="M1924" s="29" t="s">
        <v>652</v>
      </c>
      <c r="N1924" s="29" t="s">
        <v>2966</v>
      </c>
      <c r="O1924" s="29" t="s">
        <v>129</v>
      </c>
      <c r="P1924" s="30" t="s">
        <v>2967</v>
      </c>
    </row>
    <row r="1925" s="25" customFormat="1" spans="1:16">
      <c r="A1925" s="29" t="s">
        <v>3420</v>
      </c>
      <c r="B1925" s="29" t="s">
        <v>3419</v>
      </c>
      <c r="C1925" s="29" t="s">
        <v>59</v>
      </c>
      <c r="D1925" s="29" t="s">
        <v>2883</v>
      </c>
      <c r="E1925" s="29" t="s">
        <v>35</v>
      </c>
      <c r="F1925" s="29" t="s">
        <v>51</v>
      </c>
      <c r="G1925" s="29" t="s">
        <v>650</v>
      </c>
      <c r="H1925" s="29" t="s">
        <v>149</v>
      </c>
      <c r="I1925" s="29" t="s">
        <v>39</v>
      </c>
      <c r="J1925" s="29" t="s">
        <v>35</v>
      </c>
      <c r="K1925" s="29" t="s">
        <v>3421</v>
      </c>
      <c r="L1925" s="29" t="s">
        <v>3020</v>
      </c>
      <c r="M1925" s="29" t="s">
        <v>652</v>
      </c>
      <c r="N1925" s="29" t="s">
        <v>2969</v>
      </c>
      <c r="O1925" s="29" t="s">
        <v>129</v>
      </c>
      <c r="P1925" s="30" t="s">
        <v>2970</v>
      </c>
    </row>
    <row r="1926" s="25" customFormat="1" spans="1:16">
      <c r="A1926" s="29" t="s">
        <v>3421</v>
      </c>
      <c r="B1926" s="29" t="s">
        <v>3419</v>
      </c>
      <c r="C1926" s="29" t="s">
        <v>59</v>
      </c>
      <c r="D1926" s="29" t="s">
        <v>2883</v>
      </c>
      <c r="E1926" s="29" t="s">
        <v>35</v>
      </c>
      <c r="F1926" s="29" t="s">
        <v>51</v>
      </c>
      <c r="G1926" s="29" t="s">
        <v>650</v>
      </c>
      <c r="H1926" s="29" t="s">
        <v>149</v>
      </c>
      <c r="I1926" s="29" t="s">
        <v>39</v>
      </c>
      <c r="J1926" s="29" t="s">
        <v>47</v>
      </c>
      <c r="K1926" s="29" t="s">
        <v>3422</v>
      </c>
      <c r="L1926" s="29" t="s">
        <v>3024</v>
      </c>
      <c r="M1926" s="29" t="s">
        <v>652</v>
      </c>
      <c r="N1926" s="29" t="s">
        <v>2969</v>
      </c>
      <c r="O1926" s="29" t="s">
        <v>129</v>
      </c>
      <c r="P1926" s="30" t="s">
        <v>2972</v>
      </c>
    </row>
    <row r="1927" s="25" customFormat="1" spans="1:16">
      <c r="A1927" s="29" t="s">
        <v>3422</v>
      </c>
      <c r="B1927" s="29" t="s">
        <v>3419</v>
      </c>
      <c r="C1927" s="29" t="s">
        <v>59</v>
      </c>
      <c r="D1927" s="29" t="s">
        <v>2883</v>
      </c>
      <c r="E1927" s="29" t="s">
        <v>35</v>
      </c>
      <c r="F1927" s="29" t="s">
        <v>51</v>
      </c>
      <c r="G1927" s="29" t="s">
        <v>650</v>
      </c>
      <c r="H1927" s="29" t="s">
        <v>149</v>
      </c>
      <c r="I1927" s="29" t="s">
        <v>39</v>
      </c>
      <c r="J1927" s="29" t="s">
        <v>51</v>
      </c>
      <c r="K1927" s="29" t="s">
        <v>3423</v>
      </c>
      <c r="L1927" s="29" t="s">
        <v>3027</v>
      </c>
      <c r="M1927" s="29" t="s">
        <v>652</v>
      </c>
      <c r="N1927" s="29" t="s">
        <v>2969</v>
      </c>
      <c r="O1927" s="29" t="s">
        <v>129</v>
      </c>
      <c r="P1927" s="30" t="s">
        <v>2974</v>
      </c>
    </row>
    <row r="1928" s="25" customFormat="1" spans="1:16">
      <c r="A1928" s="29" t="s">
        <v>3423</v>
      </c>
      <c r="B1928" s="29" t="s">
        <v>3419</v>
      </c>
      <c r="C1928" s="29" t="s">
        <v>59</v>
      </c>
      <c r="D1928" s="29" t="s">
        <v>2883</v>
      </c>
      <c r="E1928" s="29" t="s">
        <v>35</v>
      </c>
      <c r="F1928" s="29" t="s">
        <v>51</v>
      </c>
      <c r="G1928" s="29" t="s">
        <v>650</v>
      </c>
      <c r="H1928" s="29" t="s">
        <v>149</v>
      </c>
      <c r="I1928" s="29" t="s">
        <v>39</v>
      </c>
      <c r="J1928" s="29" t="s">
        <v>55</v>
      </c>
      <c r="K1928" s="29" t="s">
        <v>3424</v>
      </c>
      <c r="L1928" s="29" t="s">
        <v>3030</v>
      </c>
      <c r="M1928" s="29" t="s">
        <v>652</v>
      </c>
      <c r="N1928" s="29" t="s">
        <v>2969</v>
      </c>
      <c r="O1928" s="29" t="s">
        <v>129</v>
      </c>
      <c r="P1928" s="30" t="s">
        <v>2976</v>
      </c>
    </row>
    <row r="1929" s="25" customFormat="1" spans="1:16">
      <c r="A1929" s="29" t="s">
        <v>3424</v>
      </c>
      <c r="B1929" s="29" t="s">
        <v>3419</v>
      </c>
      <c r="C1929" s="29" t="s">
        <v>59</v>
      </c>
      <c r="D1929" s="29" t="s">
        <v>2883</v>
      </c>
      <c r="E1929" s="29" t="s">
        <v>35</v>
      </c>
      <c r="F1929" s="29" t="s">
        <v>51</v>
      </c>
      <c r="G1929" s="29" t="s">
        <v>650</v>
      </c>
      <c r="H1929" s="29" t="s">
        <v>149</v>
      </c>
      <c r="I1929" s="29" t="s">
        <v>39</v>
      </c>
      <c r="J1929" s="29" t="s">
        <v>59</v>
      </c>
      <c r="K1929" s="29" t="s">
        <v>3425</v>
      </c>
      <c r="L1929" s="29" t="s">
        <v>3033</v>
      </c>
      <c r="M1929" s="29" t="s">
        <v>652</v>
      </c>
      <c r="N1929" s="29" t="s">
        <v>2969</v>
      </c>
      <c r="O1929" s="29" t="s">
        <v>129</v>
      </c>
      <c r="P1929" s="30" t="s">
        <v>2978</v>
      </c>
    </row>
    <row r="1930" s="25" customFormat="1" spans="1:16">
      <c r="A1930" s="29" t="s">
        <v>3425</v>
      </c>
      <c r="B1930" s="29" t="s">
        <v>3419</v>
      </c>
      <c r="C1930" s="29" t="s">
        <v>59</v>
      </c>
      <c r="D1930" s="29" t="s">
        <v>2883</v>
      </c>
      <c r="E1930" s="29" t="s">
        <v>35</v>
      </c>
      <c r="F1930" s="29" t="s">
        <v>51</v>
      </c>
      <c r="G1930" s="29" t="s">
        <v>650</v>
      </c>
      <c r="H1930" s="29" t="s">
        <v>149</v>
      </c>
      <c r="I1930" s="29" t="s">
        <v>39</v>
      </c>
      <c r="J1930" s="29" t="s">
        <v>129</v>
      </c>
      <c r="K1930" s="29" t="s">
        <v>3426</v>
      </c>
      <c r="L1930" s="29" t="s">
        <v>3036</v>
      </c>
      <c r="M1930" s="29" t="s">
        <v>652</v>
      </c>
      <c r="N1930" s="29" t="s">
        <v>2969</v>
      </c>
      <c r="O1930" s="29" t="s">
        <v>129</v>
      </c>
      <c r="P1930" s="30" t="s">
        <v>2980</v>
      </c>
    </row>
    <row r="1931" s="25" customFormat="1" spans="1:16">
      <c r="A1931" s="29" t="s">
        <v>3426</v>
      </c>
      <c r="B1931" s="29" t="s">
        <v>3419</v>
      </c>
      <c r="C1931" s="29" t="s">
        <v>59</v>
      </c>
      <c r="D1931" s="29" t="s">
        <v>2883</v>
      </c>
      <c r="E1931" s="29" t="s">
        <v>35</v>
      </c>
      <c r="F1931" s="29" t="s">
        <v>51</v>
      </c>
      <c r="G1931" s="29" t="s">
        <v>650</v>
      </c>
      <c r="H1931" s="29" t="s">
        <v>149</v>
      </c>
      <c r="I1931" s="29" t="s">
        <v>39</v>
      </c>
      <c r="J1931" s="29" t="s">
        <v>133</v>
      </c>
      <c r="K1931" s="29" t="s">
        <v>3427</v>
      </c>
      <c r="L1931" s="29" t="s">
        <v>3039</v>
      </c>
      <c r="M1931" s="29" t="s">
        <v>652</v>
      </c>
      <c r="N1931" s="29" t="s">
        <v>2969</v>
      </c>
      <c r="O1931" s="29" t="s">
        <v>129</v>
      </c>
      <c r="P1931" s="30" t="s">
        <v>2982</v>
      </c>
    </row>
    <row r="1932" s="25" customFormat="1" spans="1:16">
      <c r="A1932" s="29" t="s">
        <v>3427</v>
      </c>
      <c r="B1932" s="29" t="s">
        <v>3419</v>
      </c>
      <c r="C1932" s="29" t="s">
        <v>59</v>
      </c>
      <c r="D1932" s="29" t="s">
        <v>2883</v>
      </c>
      <c r="E1932" s="29" t="s">
        <v>35</v>
      </c>
      <c r="F1932" s="29" t="s">
        <v>51</v>
      </c>
      <c r="G1932" s="29" t="s">
        <v>650</v>
      </c>
      <c r="H1932" s="29" t="s">
        <v>149</v>
      </c>
      <c r="I1932" s="29" t="s">
        <v>39</v>
      </c>
      <c r="J1932" s="29" t="s">
        <v>137</v>
      </c>
      <c r="K1932" s="29" t="s">
        <v>3428</v>
      </c>
      <c r="L1932" s="29" t="s">
        <v>3042</v>
      </c>
      <c r="M1932" s="29" t="s">
        <v>652</v>
      </c>
      <c r="N1932" s="29" t="s">
        <v>2969</v>
      </c>
      <c r="O1932" s="29" t="s">
        <v>129</v>
      </c>
      <c r="P1932" s="30" t="s">
        <v>2984</v>
      </c>
    </row>
    <row r="1933" s="25" customFormat="1" spans="1:16">
      <c r="A1933" s="29" t="s">
        <v>3428</v>
      </c>
      <c r="B1933" s="29" t="s">
        <v>3419</v>
      </c>
      <c r="C1933" s="29" t="s">
        <v>59</v>
      </c>
      <c r="D1933" s="29" t="s">
        <v>2883</v>
      </c>
      <c r="E1933" s="29" t="s">
        <v>35</v>
      </c>
      <c r="F1933" s="29" t="s">
        <v>51</v>
      </c>
      <c r="G1933" s="29" t="s">
        <v>650</v>
      </c>
      <c r="H1933" s="29" t="s">
        <v>149</v>
      </c>
      <c r="I1933" s="29" t="s">
        <v>39</v>
      </c>
      <c r="J1933" s="29" t="s">
        <v>141</v>
      </c>
      <c r="K1933" s="29" t="s">
        <v>3429</v>
      </c>
      <c r="L1933" s="29" t="s">
        <v>3045</v>
      </c>
      <c r="M1933" s="29" t="s">
        <v>652</v>
      </c>
      <c r="N1933" s="29" t="s">
        <v>2969</v>
      </c>
      <c r="O1933" s="29" t="s">
        <v>129</v>
      </c>
      <c r="P1933" s="30" t="s">
        <v>2986</v>
      </c>
    </row>
    <row r="1934" s="25" customFormat="1" spans="1:16">
      <c r="A1934" s="29" t="s">
        <v>3429</v>
      </c>
      <c r="B1934" s="29" t="s">
        <v>3419</v>
      </c>
      <c r="C1934" s="29" t="s">
        <v>59</v>
      </c>
      <c r="D1934" s="29" t="s">
        <v>2883</v>
      </c>
      <c r="E1934" s="29" t="s">
        <v>35</v>
      </c>
      <c r="F1934" s="29" t="s">
        <v>51</v>
      </c>
      <c r="G1934" s="29" t="s">
        <v>650</v>
      </c>
      <c r="H1934" s="29" t="s">
        <v>149</v>
      </c>
      <c r="I1934" s="29" t="s">
        <v>39</v>
      </c>
      <c r="J1934" s="29" t="s">
        <v>145</v>
      </c>
      <c r="K1934" s="29" t="s">
        <v>3430</v>
      </c>
      <c r="L1934" s="29" t="s">
        <v>3047</v>
      </c>
      <c r="M1934" s="29" t="s">
        <v>652</v>
      </c>
      <c r="N1934" s="29" t="s">
        <v>2969</v>
      </c>
      <c r="O1934" s="29" t="s">
        <v>129</v>
      </c>
      <c r="P1934" s="30" t="s">
        <v>2987</v>
      </c>
    </row>
    <row r="1935" s="25" customFormat="1" spans="1:16">
      <c r="A1935" s="29" t="s">
        <v>3430</v>
      </c>
      <c r="B1935" s="29" t="s">
        <v>3419</v>
      </c>
      <c r="C1935" s="29" t="s">
        <v>59</v>
      </c>
      <c r="D1935" s="29" t="s">
        <v>2883</v>
      </c>
      <c r="E1935" s="29" t="s">
        <v>35</v>
      </c>
      <c r="F1935" s="29" t="s">
        <v>51</v>
      </c>
      <c r="G1935" s="29" t="s">
        <v>650</v>
      </c>
      <c r="H1935" s="29" t="s">
        <v>149</v>
      </c>
      <c r="I1935" s="29" t="s">
        <v>39</v>
      </c>
      <c r="J1935" s="29" t="s">
        <v>408</v>
      </c>
      <c r="K1935" s="29" t="s">
        <v>3431</v>
      </c>
      <c r="L1935" s="29" t="s">
        <v>3310</v>
      </c>
      <c r="M1935" s="29" t="s">
        <v>652</v>
      </c>
      <c r="N1935" s="29" t="s">
        <v>2969</v>
      </c>
      <c r="O1935" s="29" t="s">
        <v>129</v>
      </c>
      <c r="P1935" s="30" t="s">
        <v>3235</v>
      </c>
    </row>
    <row r="1936" s="25" customFormat="1" spans="1:16">
      <c r="A1936" s="29" t="s">
        <v>3431</v>
      </c>
      <c r="B1936" s="29" t="s">
        <v>3419</v>
      </c>
      <c r="C1936" s="29" t="s">
        <v>59</v>
      </c>
      <c r="D1936" s="29" t="s">
        <v>2883</v>
      </c>
      <c r="E1936" s="29" t="s">
        <v>35</v>
      </c>
      <c r="F1936" s="29" t="s">
        <v>51</v>
      </c>
      <c r="G1936" s="29" t="s">
        <v>650</v>
      </c>
      <c r="H1936" s="29" t="s">
        <v>149</v>
      </c>
      <c r="I1936" s="29" t="s">
        <v>39</v>
      </c>
      <c r="J1936" s="29" t="s">
        <v>412</v>
      </c>
      <c r="K1936" s="29" t="s">
        <v>3432</v>
      </c>
      <c r="L1936" s="29" t="s">
        <v>3313</v>
      </c>
      <c r="M1936" s="29" t="s">
        <v>652</v>
      </c>
      <c r="N1936" s="29" t="s">
        <v>2969</v>
      </c>
      <c r="O1936" s="29" t="s">
        <v>129</v>
      </c>
      <c r="P1936" s="30" t="s">
        <v>3237</v>
      </c>
    </row>
    <row r="1937" s="25" customFormat="1" spans="1:16">
      <c r="A1937" s="29" t="s">
        <v>3432</v>
      </c>
      <c r="B1937" s="29" t="s">
        <v>3419</v>
      </c>
      <c r="C1937" s="29" t="s">
        <v>59</v>
      </c>
      <c r="D1937" s="29" t="s">
        <v>2883</v>
      </c>
      <c r="E1937" s="29" t="s">
        <v>35</v>
      </c>
      <c r="F1937" s="29" t="s">
        <v>51</v>
      </c>
      <c r="G1937" s="29" t="s">
        <v>650</v>
      </c>
      <c r="H1937" s="29" t="s">
        <v>149</v>
      </c>
      <c r="I1937" s="29" t="s">
        <v>39</v>
      </c>
      <c r="J1937" s="29" t="s">
        <v>416</v>
      </c>
      <c r="K1937" s="29" t="s">
        <v>3433</v>
      </c>
      <c r="L1937" s="29" t="s">
        <v>3340</v>
      </c>
      <c r="M1937" s="29" t="s">
        <v>652</v>
      </c>
      <c r="N1937" s="29" t="s">
        <v>2969</v>
      </c>
      <c r="O1937" s="29" t="s">
        <v>129</v>
      </c>
      <c r="P1937" s="30" t="s">
        <v>3239</v>
      </c>
    </row>
    <row r="1938" s="25" customFormat="1" spans="1:16">
      <c r="A1938" s="29" t="s">
        <v>3433</v>
      </c>
      <c r="B1938" s="29" t="s">
        <v>3419</v>
      </c>
      <c r="C1938" s="29" t="s">
        <v>59</v>
      </c>
      <c r="D1938" s="29" t="s">
        <v>2883</v>
      </c>
      <c r="E1938" s="29" t="s">
        <v>35</v>
      </c>
      <c r="F1938" s="29" t="s">
        <v>51</v>
      </c>
      <c r="G1938" s="29" t="s">
        <v>650</v>
      </c>
      <c r="H1938" s="29" t="s">
        <v>149</v>
      </c>
      <c r="I1938" s="29" t="s">
        <v>39</v>
      </c>
      <c r="J1938" s="29" t="s">
        <v>420</v>
      </c>
      <c r="K1938" s="29" t="s">
        <v>3434</v>
      </c>
      <c r="L1938" s="29" t="s">
        <v>3343</v>
      </c>
      <c r="M1938" s="29" t="s">
        <v>652</v>
      </c>
      <c r="N1938" s="29" t="s">
        <v>2969</v>
      </c>
      <c r="O1938" s="29" t="s">
        <v>129</v>
      </c>
      <c r="P1938" s="30" t="s">
        <v>3241</v>
      </c>
    </row>
    <row r="1939" s="25" customFormat="1" spans="1:16">
      <c r="A1939" s="29" t="s">
        <v>3434</v>
      </c>
      <c r="B1939" s="29" t="s">
        <v>3419</v>
      </c>
      <c r="C1939" s="29" t="s">
        <v>59</v>
      </c>
      <c r="D1939" s="29" t="s">
        <v>2883</v>
      </c>
      <c r="E1939" s="29" t="s">
        <v>35</v>
      </c>
      <c r="F1939" s="29" t="s">
        <v>51</v>
      </c>
      <c r="G1939" s="29" t="s">
        <v>650</v>
      </c>
      <c r="H1939" s="29" t="s">
        <v>149</v>
      </c>
      <c r="I1939" s="29" t="s">
        <v>39</v>
      </c>
      <c r="J1939" s="29" t="s">
        <v>424</v>
      </c>
      <c r="K1939" s="29" t="s">
        <v>3435</v>
      </c>
      <c r="L1939" s="29" t="s">
        <v>3405</v>
      </c>
      <c r="M1939" s="29" t="s">
        <v>652</v>
      </c>
      <c r="N1939" s="29" t="s">
        <v>2969</v>
      </c>
      <c r="O1939" s="29" t="s">
        <v>129</v>
      </c>
      <c r="P1939" s="30" t="s">
        <v>3242</v>
      </c>
    </row>
    <row r="1940" s="25" customFormat="1" spans="1:16">
      <c r="A1940" s="29" t="s">
        <v>3435</v>
      </c>
      <c r="B1940" s="29" t="s">
        <v>3419</v>
      </c>
      <c r="C1940" s="29" t="s">
        <v>59</v>
      </c>
      <c r="D1940" s="29" t="s">
        <v>2883</v>
      </c>
      <c r="E1940" s="29" t="s">
        <v>35</v>
      </c>
      <c r="F1940" s="29" t="s">
        <v>51</v>
      </c>
      <c r="G1940" s="29" t="s">
        <v>650</v>
      </c>
      <c r="H1940" s="29" t="s">
        <v>149</v>
      </c>
      <c r="I1940" s="29" t="s">
        <v>39</v>
      </c>
      <c r="J1940" s="29" t="s">
        <v>631</v>
      </c>
      <c r="K1940" s="29" t="s">
        <v>3436</v>
      </c>
      <c r="L1940" s="29" t="s">
        <v>3407</v>
      </c>
      <c r="M1940" s="29" t="s">
        <v>652</v>
      </c>
      <c r="N1940" s="29" t="s">
        <v>2969</v>
      </c>
      <c r="O1940" s="29" t="s">
        <v>129</v>
      </c>
      <c r="P1940" s="30" t="s">
        <v>3437</v>
      </c>
    </row>
    <row r="1941" s="25" customFormat="1" spans="1:16">
      <c r="A1941" s="29" t="s">
        <v>3436</v>
      </c>
      <c r="B1941" s="29" t="s">
        <v>3419</v>
      </c>
      <c r="C1941" s="29" t="s">
        <v>59</v>
      </c>
      <c r="D1941" s="29" t="s">
        <v>2883</v>
      </c>
      <c r="E1941" s="29" t="s">
        <v>35</v>
      </c>
      <c r="F1941" s="29" t="s">
        <v>51</v>
      </c>
      <c r="G1941" s="29" t="s">
        <v>650</v>
      </c>
      <c r="H1941" s="29" t="s">
        <v>149</v>
      </c>
      <c r="I1941" s="29" t="s">
        <v>39</v>
      </c>
      <c r="J1941" s="29" t="s">
        <v>635</v>
      </c>
      <c r="K1941" s="29" t="s">
        <v>3438</v>
      </c>
      <c r="L1941" s="29" t="s">
        <v>3410</v>
      </c>
      <c r="M1941" s="29" t="s">
        <v>652</v>
      </c>
      <c r="N1941" s="29" t="s">
        <v>2969</v>
      </c>
      <c r="O1941" s="29" t="s">
        <v>129</v>
      </c>
      <c r="P1941" s="30" t="s">
        <v>3439</v>
      </c>
    </row>
    <row r="1942" s="25" customFormat="1" spans="1:16">
      <c r="A1942" s="29" t="s">
        <v>3438</v>
      </c>
      <c r="B1942" s="29" t="s">
        <v>3419</v>
      </c>
      <c r="C1942" s="29" t="s">
        <v>59</v>
      </c>
      <c r="D1942" s="29" t="s">
        <v>2883</v>
      </c>
      <c r="E1942" s="29" t="s">
        <v>35</v>
      </c>
      <c r="F1942" s="29" t="s">
        <v>51</v>
      </c>
      <c r="G1942" s="29" t="s">
        <v>650</v>
      </c>
      <c r="H1942" s="29" t="s">
        <v>149</v>
      </c>
      <c r="I1942" s="29" t="s">
        <v>39</v>
      </c>
      <c r="J1942" s="29" t="s">
        <v>639</v>
      </c>
      <c r="K1942" s="29" t="s">
        <v>3440</v>
      </c>
      <c r="L1942" s="29" t="s">
        <v>3413</v>
      </c>
      <c r="M1942" s="29" t="s">
        <v>652</v>
      </c>
      <c r="N1942" s="29" t="s">
        <v>2969</v>
      </c>
      <c r="O1942" s="29" t="s">
        <v>129</v>
      </c>
      <c r="P1942" s="30" t="s">
        <v>3441</v>
      </c>
    </row>
    <row r="1943" s="25" customFormat="1" spans="1:16">
      <c r="A1943" s="29" t="s">
        <v>3440</v>
      </c>
      <c r="B1943" s="29" t="s">
        <v>3419</v>
      </c>
      <c r="C1943" s="29" t="s">
        <v>59</v>
      </c>
      <c r="D1943" s="29" t="s">
        <v>2883</v>
      </c>
      <c r="E1943" s="29" t="s">
        <v>35</v>
      </c>
      <c r="F1943" s="29" t="s">
        <v>51</v>
      </c>
      <c r="G1943" s="29" t="s">
        <v>650</v>
      </c>
      <c r="H1943" s="29" t="s">
        <v>149</v>
      </c>
      <c r="I1943" s="29" t="s">
        <v>39</v>
      </c>
      <c r="J1943" s="29" t="s">
        <v>643</v>
      </c>
      <c r="K1943" s="29" t="s">
        <v>3442</v>
      </c>
      <c r="L1943" s="29" t="s">
        <v>3416</v>
      </c>
      <c r="M1943" s="29" t="s">
        <v>652</v>
      </c>
      <c r="N1943" s="29" t="s">
        <v>2969</v>
      </c>
      <c r="O1943" s="29" t="s">
        <v>129</v>
      </c>
      <c r="P1943" s="30" t="s">
        <v>3443</v>
      </c>
    </row>
    <row r="1944" s="25" customFormat="1" spans="1:16">
      <c r="A1944" s="29" t="s">
        <v>3442</v>
      </c>
      <c r="B1944" s="29" t="s">
        <v>3419</v>
      </c>
      <c r="C1944" s="29" t="s">
        <v>59</v>
      </c>
      <c r="D1944" s="29" t="s">
        <v>2883</v>
      </c>
      <c r="E1944" s="29" t="s">
        <v>35</v>
      </c>
      <c r="F1944" s="29" t="s">
        <v>51</v>
      </c>
      <c r="G1944" s="29" t="s">
        <v>650</v>
      </c>
      <c r="H1944" s="29" t="s">
        <v>149</v>
      </c>
      <c r="I1944" s="29" t="s">
        <v>39</v>
      </c>
      <c r="J1944" s="29" t="s">
        <v>647</v>
      </c>
      <c r="K1944" s="29" t="s">
        <v>39</v>
      </c>
      <c r="L1944" s="29" t="s">
        <v>39</v>
      </c>
      <c r="M1944" s="29" t="s">
        <v>39</v>
      </c>
      <c r="N1944" s="29" t="s">
        <v>2969</v>
      </c>
      <c r="O1944" s="29" t="s">
        <v>129</v>
      </c>
      <c r="P1944" s="30" t="s">
        <v>3444</v>
      </c>
    </row>
    <row r="1945" s="25" customFormat="1" spans="1:16">
      <c r="A1945" s="29" t="s">
        <v>3445</v>
      </c>
      <c r="B1945" s="29" t="s">
        <v>3445</v>
      </c>
      <c r="C1945" s="29" t="s">
        <v>59</v>
      </c>
      <c r="D1945" s="29" t="s">
        <v>2883</v>
      </c>
      <c r="E1945" s="29" t="s">
        <v>35</v>
      </c>
      <c r="F1945" s="29" t="s">
        <v>51</v>
      </c>
      <c r="G1945" s="29" t="s">
        <v>678</v>
      </c>
      <c r="H1945" s="29" t="s">
        <v>176</v>
      </c>
      <c r="I1945" s="29" t="s">
        <v>39</v>
      </c>
      <c r="J1945" s="29" t="s">
        <v>39</v>
      </c>
      <c r="K1945" s="29" t="s">
        <v>3446</v>
      </c>
      <c r="L1945" s="29" t="s">
        <v>3016</v>
      </c>
      <c r="M1945" s="29" t="s">
        <v>680</v>
      </c>
      <c r="N1945" s="29" t="s">
        <v>3196</v>
      </c>
      <c r="O1945" s="29" t="s">
        <v>133</v>
      </c>
      <c r="P1945" s="30" t="s">
        <v>2991</v>
      </c>
    </row>
    <row r="1946" s="25" customFormat="1" spans="1:16">
      <c r="A1946" s="29" t="s">
        <v>3446</v>
      </c>
      <c r="B1946" s="29" t="s">
        <v>3445</v>
      </c>
      <c r="C1946" s="29" t="s">
        <v>59</v>
      </c>
      <c r="D1946" s="29" t="s">
        <v>2883</v>
      </c>
      <c r="E1946" s="29" t="s">
        <v>35</v>
      </c>
      <c r="F1946" s="29" t="s">
        <v>51</v>
      </c>
      <c r="G1946" s="29" t="s">
        <v>678</v>
      </c>
      <c r="H1946" s="29" t="s">
        <v>176</v>
      </c>
      <c r="I1946" s="29" t="s">
        <v>39</v>
      </c>
      <c r="J1946" s="29" t="s">
        <v>35</v>
      </c>
      <c r="K1946" s="29" t="s">
        <v>3447</v>
      </c>
      <c r="L1946" s="29" t="s">
        <v>3020</v>
      </c>
      <c r="M1946" s="29" t="s">
        <v>680</v>
      </c>
      <c r="N1946" s="29" t="s">
        <v>3198</v>
      </c>
      <c r="O1946" s="29" t="s">
        <v>133</v>
      </c>
      <c r="P1946" s="30" t="s">
        <v>2994</v>
      </c>
    </row>
    <row r="1947" s="25" customFormat="1" spans="1:16">
      <c r="A1947" s="29" t="s">
        <v>3447</v>
      </c>
      <c r="B1947" s="29" t="s">
        <v>3445</v>
      </c>
      <c r="C1947" s="29" t="s">
        <v>59</v>
      </c>
      <c r="D1947" s="29" t="s">
        <v>2883</v>
      </c>
      <c r="E1947" s="29" t="s">
        <v>35</v>
      </c>
      <c r="F1947" s="29" t="s">
        <v>51</v>
      </c>
      <c r="G1947" s="29" t="s">
        <v>678</v>
      </c>
      <c r="H1947" s="29" t="s">
        <v>176</v>
      </c>
      <c r="I1947" s="29" t="s">
        <v>39</v>
      </c>
      <c r="J1947" s="29" t="s">
        <v>47</v>
      </c>
      <c r="K1947" s="29" t="s">
        <v>3448</v>
      </c>
      <c r="L1947" s="29" t="s">
        <v>3024</v>
      </c>
      <c r="M1947" s="29" t="s">
        <v>680</v>
      </c>
      <c r="N1947" s="29" t="s">
        <v>3198</v>
      </c>
      <c r="O1947" s="29" t="s">
        <v>133</v>
      </c>
      <c r="P1947" s="30" t="s">
        <v>2996</v>
      </c>
    </row>
    <row r="1948" s="25" customFormat="1" spans="1:16">
      <c r="A1948" s="29" t="s">
        <v>3448</v>
      </c>
      <c r="B1948" s="29" t="s">
        <v>3445</v>
      </c>
      <c r="C1948" s="29" t="s">
        <v>59</v>
      </c>
      <c r="D1948" s="29" t="s">
        <v>2883</v>
      </c>
      <c r="E1948" s="29" t="s">
        <v>35</v>
      </c>
      <c r="F1948" s="29" t="s">
        <v>51</v>
      </c>
      <c r="G1948" s="29" t="s">
        <v>678</v>
      </c>
      <c r="H1948" s="29" t="s">
        <v>176</v>
      </c>
      <c r="I1948" s="29" t="s">
        <v>39</v>
      </c>
      <c r="J1948" s="29" t="s">
        <v>51</v>
      </c>
      <c r="K1948" s="29" t="s">
        <v>3449</v>
      </c>
      <c r="L1948" s="29" t="s">
        <v>3027</v>
      </c>
      <c r="M1948" s="29" t="s">
        <v>680</v>
      </c>
      <c r="N1948" s="29" t="s">
        <v>3198</v>
      </c>
      <c r="O1948" s="29" t="s">
        <v>133</v>
      </c>
      <c r="P1948" s="30" t="s">
        <v>2998</v>
      </c>
    </row>
    <row r="1949" s="25" customFormat="1" spans="1:16">
      <c r="A1949" s="29" t="s">
        <v>3449</v>
      </c>
      <c r="B1949" s="29" t="s">
        <v>3445</v>
      </c>
      <c r="C1949" s="29" t="s">
        <v>59</v>
      </c>
      <c r="D1949" s="29" t="s">
        <v>2883</v>
      </c>
      <c r="E1949" s="29" t="s">
        <v>35</v>
      </c>
      <c r="F1949" s="29" t="s">
        <v>51</v>
      </c>
      <c r="G1949" s="29" t="s">
        <v>678</v>
      </c>
      <c r="H1949" s="29" t="s">
        <v>176</v>
      </c>
      <c r="I1949" s="29" t="s">
        <v>39</v>
      </c>
      <c r="J1949" s="29" t="s">
        <v>55</v>
      </c>
      <c r="K1949" s="29" t="s">
        <v>3450</v>
      </c>
      <c r="L1949" s="29" t="s">
        <v>3030</v>
      </c>
      <c r="M1949" s="29" t="s">
        <v>680</v>
      </c>
      <c r="N1949" s="29" t="s">
        <v>3198</v>
      </c>
      <c r="O1949" s="29" t="s">
        <v>133</v>
      </c>
      <c r="P1949" s="30" t="s">
        <v>3000</v>
      </c>
    </row>
    <row r="1950" s="25" customFormat="1" spans="1:16">
      <c r="A1950" s="29" t="s">
        <v>3450</v>
      </c>
      <c r="B1950" s="29" t="s">
        <v>3445</v>
      </c>
      <c r="C1950" s="29" t="s">
        <v>59</v>
      </c>
      <c r="D1950" s="29" t="s">
        <v>2883</v>
      </c>
      <c r="E1950" s="29" t="s">
        <v>35</v>
      </c>
      <c r="F1950" s="29" t="s">
        <v>51</v>
      </c>
      <c r="G1950" s="29" t="s">
        <v>678</v>
      </c>
      <c r="H1950" s="29" t="s">
        <v>176</v>
      </c>
      <c r="I1950" s="29" t="s">
        <v>39</v>
      </c>
      <c r="J1950" s="29" t="s">
        <v>59</v>
      </c>
      <c r="K1950" s="29" t="s">
        <v>3451</v>
      </c>
      <c r="L1950" s="29" t="s">
        <v>3033</v>
      </c>
      <c r="M1950" s="29" t="s">
        <v>680</v>
      </c>
      <c r="N1950" s="29" t="s">
        <v>3198</v>
      </c>
      <c r="O1950" s="29" t="s">
        <v>133</v>
      </c>
      <c r="P1950" s="30" t="s">
        <v>3002</v>
      </c>
    </row>
    <row r="1951" s="25" customFormat="1" spans="1:16">
      <c r="A1951" s="29" t="s">
        <v>3451</v>
      </c>
      <c r="B1951" s="29" t="s">
        <v>3445</v>
      </c>
      <c r="C1951" s="29" t="s">
        <v>59</v>
      </c>
      <c r="D1951" s="29" t="s">
        <v>2883</v>
      </c>
      <c r="E1951" s="29" t="s">
        <v>35</v>
      </c>
      <c r="F1951" s="29" t="s">
        <v>51</v>
      </c>
      <c r="G1951" s="29" t="s">
        <v>678</v>
      </c>
      <c r="H1951" s="29" t="s">
        <v>176</v>
      </c>
      <c r="I1951" s="29" t="s">
        <v>39</v>
      </c>
      <c r="J1951" s="29" t="s">
        <v>129</v>
      </c>
      <c r="K1951" s="29" t="s">
        <v>3452</v>
      </c>
      <c r="L1951" s="29" t="s">
        <v>3036</v>
      </c>
      <c r="M1951" s="29" t="s">
        <v>680</v>
      </c>
      <c r="N1951" s="29" t="s">
        <v>3198</v>
      </c>
      <c r="O1951" s="29" t="s">
        <v>133</v>
      </c>
      <c r="P1951" s="30" t="s">
        <v>3004</v>
      </c>
    </row>
    <row r="1952" s="25" customFormat="1" spans="1:16">
      <c r="A1952" s="29" t="s">
        <v>3452</v>
      </c>
      <c r="B1952" s="29" t="s">
        <v>3445</v>
      </c>
      <c r="C1952" s="29" t="s">
        <v>59</v>
      </c>
      <c r="D1952" s="29" t="s">
        <v>2883</v>
      </c>
      <c r="E1952" s="29" t="s">
        <v>35</v>
      </c>
      <c r="F1952" s="29" t="s">
        <v>51</v>
      </c>
      <c r="G1952" s="29" t="s">
        <v>678</v>
      </c>
      <c r="H1952" s="29" t="s">
        <v>176</v>
      </c>
      <c r="I1952" s="29" t="s">
        <v>39</v>
      </c>
      <c r="J1952" s="29" t="s">
        <v>133</v>
      </c>
      <c r="K1952" s="29" t="s">
        <v>3453</v>
      </c>
      <c r="L1952" s="29" t="s">
        <v>3039</v>
      </c>
      <c r="M1952" s="29" t="s">
        <v>680</v>
      </c>
      <c r="N1952" s="29" t="s">
        <v>3198</v>
      </c>
      <c r="O1952" s="29" t="s">
        <v>133</v>
      </c>
      <c r="P1952" s="30" t="s">
        <v>3006</v>
      </c>
    </row>
    <row r="1953" s="25" customFormat="1" spans="1:16">
      <c r="A1953" s="29" t="s">
        <v>3453</v>
      </c>
      <c r="B1953" s="29" t="s">
        <v>3445</v>
      </c>
      <c r="C1953" s="29" t="s">
        <v>59</v>
      </c>
      <c r="D1953" s="29" t="s">
        <v>2883</v>
      </c>
      <c r="E1953" s="29" t="s">
        <v>35</v>
      </c>
      <c r="F1953" s="29" t="s">
        <v>51</v>
      </c>
      <c r="G1953" s="29" t="s">
        <v>678</v>
      </c>
      <c r="H1953" s="29" t="s">
        <v>176</v>
      </c>
      <c r="I1953" s="29" t="s">
        <v>39</v>
      </c>
      <c r="J1953" s="29" t="s">
        <v>137</v>
      </c>
      <c r="K1953" s="29" t="s">
        <v>3454</v>
      </c>
      <c r="L1953" s="29" t="s">
        <v>3042</v>
      </c>
      <c r="M1953" s="29" t="s">
        <v>680</v>
      </c>
      <c r="N1953" s="29" t="s">
        <v>3198</v>
      </c>
      <c r="O1953" s="29" t="s">
        <v>133</v>
      </c>
      <c r="P1953" s="30" t="s">
        <v>3008</v>
      </c>
    </row>
    <row r="1954" s="25" customFormat="1" spans="1:16">
      <c r="A1954" s="29" t="s">
        <v>3454</v>
      </c>
      <c r="B1954" s="29" t="s">
        <v>3445</v>
      </c>
      <c r="C1954" s="29" t="s">
        <v>59</v>
      </c>
      <c r="D1954" s="29" t="s">
        <v>2883</v>
      </c>
      <c r="E1954" s="29" t="s">
        <v>35</v>
      </c>
      <c r="F1954" s="29" t="s">
        <v>51</v>
      </c>
      <c r="G1954" s="29" t="s">
        <v>678</v>
      </c>
      <c r="H1954" s="29" t="s">
        <v>176</v>
      </c>
      <c r="I1954" s="29" t="s">
        <v>39</v>
      </c>
      <c r="J1954" s="29" t="s">
        <v>141</v>
      </c>
      <c r="K1954" s="29" t="s">
        <v>3455</v>
      </c>
      <c r="L1954" s="29" t="s">
        <v>3045</v>
      </c>
      <c r="M1954" s="29" t="s">
        <v>680</v>
      </c>
      <c r="N1954" s="29" t="s">
        <v>3198</v>
      </c>
      <c r="O1954" s="29" t="s">
        <v>133</v>
      </c>
      <c r="P1954" s="30" t="s">
        <v>3010</v>
      </c>
    </row>
    <row r="1955" s="25" customFormat="1" spans="1:16">
      <c r="A1955" s="29" t="s">
        <v>3455</v>
      </c>
      <c r="B1955" s="29" t="s">
        <v>3445</v>
      </c>
      <c r="C1955" s="29" t="s">
        <v>59</v>
      </c>
      <c r="D1955" s="29" t="s">
        <v>2883</v>
      </c>
      <c r="E1955" s="29" t="s">
        <v>35</v>
      </c>
      <c r="F1955" s="29" t="s">
        <v>51</v>
      </c>
      <c r="G1955" s="29" t="s">
        <v>678</v>
      </c>
      <c r="H1955" s="29" t="s">
        <v>176</v>
      </c>
      <c r="I1955" s="29" t="s">
        <v>39</v>
      </c>
      <c r="J1955" s="29" t="s">
        <v>145</v>
      </c>
      <c r="K1955" s="29" t="s">
        <v>3456</v>
      </c>
      <c r="L1955" s="29" t="s">
        <v>3047</v>
      </c>
      <c r="M1955" s="29" t="s">
        <v>680</v>
      </c>
      <c r="N1955" s="29" t="s">
        <v>3198</v>
      </c>
      <c r="O1955" s="29" t="s">
        <v>133</v>
      </c>
      <c r="P1955" s="30" t="s">
        <v>3011</v>
      </c>
    </row>
    <row r="1956" s="25" customFormat="1" spans="1:16">
      <c r="A1956" s="29" t="s">
        <v>3456</v>
      </c>
      <c r="B1956" s="29" t="s">
        <v>3445</v>
      </c>
      <c r="C1956" s="29" t="s">
        <v>59</v>
      </c>
      <c r="D1956" s="29" t="s">
        <v>2883</v>
      </c>
      <c r="E1956" s="29" t="s">
        <v>35</v>
      </c>
      <c r="F1956" s="29" t="s">
        <v>51</v>
      </c>
      <c r="G1956" s="29" t="s">
        <v>678</v>
      </c>
      <c r="H1956" s="29" t="s">
        <v>176</v>
      </c>
      <c r="I1956" s="29" t="s">
        <v>39</v>
      </c>
      <c r="J1956" s="29" t="s">
        <v>408</v>
      </c>
      <c r="K1956" s="29" t="s">
        <v>3457</v>
      </c>
      <c r="L1956" s="29" t="s">
        <v>3310</v>
      </c>
      <c r="M1956" s="29" t="s">
        <v>680</v>
      </c>
      <c r="N1956" s="29" t="s">
        <v>3198</v>
      </c>
      <c r="O1956" s="29" t="s">
        <v>133</v>
      </c>
      <c r="P1956" s="30" t="s">
        <v>3256</v>
      </c>
    </row>
    <row r="1957" s="25" customFormat="1" spans="1:16">
      <c r="A1957" s="29" t="s">
        <v>3457</v>
      </c>
      <c r="B1957" s="29" t="s">
        <v>3445</v>
      </c>
      <c r="C1957" s="29" t="s">
        <v>59</v>
      </c>
      <c r="D1957" s="29" t="s">
        <v>2883</v>
      </c>
      <c r="E1957" s="29" t="s">
        <v>35</v>
      </c>
      <c r="F1957" s="29" t="s">
        <v>51</v>
      </c>
      <c r="G1957" s="29" t="s">
        <v>678</v>
      </c>
      <c r="H1957" s="29" t="s">
        <v>176</v>
      </c>
      <c r="I1957" s="29" t="s">
        <v>39</v>
      </c>
      <c r="J1957" s="29" t="s">
        <v>412</v>
      </c>
      <c r="K1957" s="29" t="s">
        <v>3458</v>
      </c>
      <c r="L1957" s="29" t="s">
        <v>3313</v>
      </c>
      <c r="M1957" s="29" t="s">
        <v>680</v>
      </c>
      <c r="N1957" s="29" t="s">
        <v>3198</v>
      </c>
      <c r="O1957" s="29" t="s">
        <v>133</v>
      </c>
      <c r="P1957" s="30" t="s">
        <v>3258</v>
      </c>
    </row>
    <row r="1958" s="25" customFormat="1" spans="1:16">
      <c r="A1958" s="29" t="s">
        <v>3458</v>
      </c>
      <c r="B1958" s="29" t="s">
        <v>3445</v>
      </c>
      <c r="C1958" s="29" t="s">
        <v>59</v>
      </c>
      <c r="D1958" s="29" t="s">
        <v>2883</v>
      </c>
      <c r="E1958" s="29" t="s">
        <v>35</v>
      </c>
      <c r="F1958" s="29" t="s">
        <v>51</v>
      </c>
      <c r="G1958" s="29" t="s">
        <v>678</v>
      </c>
      <c r="H1958" s="29" t="s">
        <v>176</v>
      </c>
      <c r="I1958" s="29" t="s">
        <v>39</v>
      </c>
      <c r="J1958" s="29" t="s">
        <v>416</v>
      </c>
      <c r="K1958" s="29" t="s">
        <v>3459</v>
      </c>
      <c r="L1958" s="29" t="s">
        <v>3340</v>
      </c>
      <c r="M1958" s="29" t="s">
        <v>680</v>
      </c>
      <c r="N1958" s="29" t="s">
        <v>3198</v>
      </c>
      <c r="O1958" s="29" t="s">
        <v>133</v>
      </c>
      <c r="P1958" s="30" t="s">
        <v>3260</v>
      </c>
    </row>
    <row r="1959" s="25" customFormat="1" spans="1:16">
      <c r="A1959" s="29" t="s">
        <v>3459</v>
      </c>
      <c r="B1959" s="29" t="s">
        <v>3445</v>
      </c>
      <c r="C1959" s="29" t="s">
        <v>59</v>
      </c>
      <c r="D1959" s="29" t="s">
        <v>2883</v>
      </c>
      <c r="E1959" s="29" t="s">
        <v>35</v>
      </c>
      <c r="F1959" s="29" t="s">
        <v>51</v>
      </c>
      <c r="G1959" s="29" t="s">
        <v>678</v>
      </c>
      <c r="H1959" s="29" t="s">
        <v>176</v>
      </c>
      <c r="I1959" s="29" t="s">
        <v>39</v>
      </c>
      <c r="J1959" s="29" t="s">
        <v>420</v>
      </c>
      <c r="K1959" s="29" t="s">
        <v>3460</v>
      </c>
      <c r="L1959" s="29" t="s">
        <v>3343</v>
      </c>
      <c r="M1959" s="29" t="s">
        <v>680</v>
      </c>
      <c r="N1959" s="29" t="s">
        <v>3198</v>
      </c>
      <c r="O1959" s="29" t="s">
        <v>133</v>
      </c>
      <c r="P1959" s="30" t="s">
        <v>3262</v>
      </c>
    </row>
    <row r="1960" s="25" customFormat="1" spans="1:16">
      <c r="A1960" s="29" t="s">
        <v>3460</v>
      </c>
      <c r="B1960" s="29" t="s">
        <v>3445</v>
      </c>
      <c r="C1960" s="29" t="s">
        <v>59</v>
      </c>
      <c r="D1960" s="29" t="s">
        <v>2883</v>
      </c>
      <c r="E1960" s="29" t="s">
        <v>35</v>
      </c>
      <c r="F1960" s="29" t="s">
        <v>51</v>
      </c>
      <c r="G1960" s="29" t="s">
        <v>678</v>
      </c>
      <c r="H1960" s="29" t="s">
        <v>176</v>
      </c>
      <c r="I1960" s="29" t="s">
        <v>39</v>
      </c>
      <c r="J1960" s="29" t="s">
        <v>424</v>
      </c>
      <c r="K1960" s="29" t="s">
        <v>3461</v>
      </c>
      <c r="L1960" s="29" t="s">
        <v>3405</v>
      </c>
      <c r="M1960" s="29" t="s">
        <v>680</v>
      </c>
      <c r="N1960" s="29" t="s">
        <v>3198</v>
      </c>
      <c r="O1960" s="29" t="s">
        <v>133</v>
      </c>
      <c r="P1960" s="30" t="s">
        <v>3263</v>
      </c>
    </row>
    <row r="1961" s="25" customFormat="1" spans="1:16">
      <c r="A1961" s="29" t="s">
        <v>3461</v>
      </c>
      <c r="B1961" s="29" t="s">
        <v>3445</v>
      </c>
      <c r="C1961" s="29" t="s">
        <v>59</v>
      </c>
      <c r="D1961" s="29" t="s">
        <v>2883</v>
      </c>
      <c r="E1961" s="29" t="s">
        <v>35</v>
      </c>
      <c r="F1961" s="29" t="s">
        <v>51</v>
      </c>
      <c r="G1961" s="29" t="s">
        <v>678</v>
      </c>
      <c r="H1961" s="29" t="s">
        <v>176</v>
      </c>
      <c r="I1961" s="29" t="s">
        <v>39</v>
      </c>
      <c r="J1961" s="29" t="s">
        <v>631</v>
      </c>
      <c r="K1961" s="29" t="s">
        <v>3462</v>
      </c>
      <c r="L1961" s="29" t="s">
        <v>3407</v>
      </c>
      <c r="M1961" s="29" t="s">
        <v>680</v>
      </c>
      <c r="N1961" s="29" t="s">
        <v>3198</v>
      </c>
      <c r="O1961" s="29" t="s">
        <v>133</v>
      </c>
      <c r="P1961" s="30" t="s">
        <v>3463</v>
      </c>
    </row>
    <row r="1962" s="25" customFormat="1" spans="1:16">
      <c r="A1962" s="29" t="s">
        <v>3462</v>
      </c>
      <c r="B1962" s="29" t="s">
        <v>3445</v>
      </c>
      <c r="C1962" s="29" t="s">
        <v>59</v>
      </c>
      <c r="D1962" s="29" t="s">
        <v>2883</v>
      </c>
      <c r="E1962" s="29" t="s">
        <v>35</v>
      </c>
      <c r="F1962" s="29" t="s">
        <v>51</v>
      </c>
      <c r="G1962" s="29" t="s">
        <v>678</v>
      </c>
      <c r="H1962" s="29" t="s">
        <v>176</v>
      </c>
      <c r="I1962" s="29" t="s">
        <v>39</v>
      </c>
      <c r="J1962" s="29" t="s">
        <v>635</v>
      </c>
      <c r="K1962" s="29" t="s">
        <v>3464</v>
      </c>
      <c r="L1962" s="29" t="s">
        <v>3410</v>
      </c>
      <c r="M1962" s="29" t="s">
        <v>680</v>
      </c>
      <c r="N1962" s="29" t="s">
        <v>3198</v>
      </c>
      <c r="O1962" s="29" t="s">
        <v>133</v>
      </c>
      <c r="P1962" s="30" t="s">
        <v>3465</v>
      </c>
    </row>
    <row r="1963" s="25" customFormat="1" spans="1:16">
      <c r="A1963" s="29" t="s">
        <v>3464</v>
      </c>
      <c r="B1963" s="29" t="s">
        <v>3445</v>
      </c>
      <c r="C1963" s="29" t="s">
        <v>59</v>
      </c>
      <c r="D1963" s="29" t="s">
        <v>2883</v>
      </c>
      <c r="E1963" s="29" t="s">
        <v>35</v>
      </c>
      <c r="F1963" s="29" t="s">
        <v>51</v>
      </c>
      <c r="G1963" s="29" t="s">
        <v>678</v>
      </c>
      <c r="H1963" s="29" t="s">
        <v>176</v>
      </c>
      <c r="I1963" s="29" t="s">
        <v>39</v>
      </c>
      <c r="J1963" s="29" t="s">
        <v>639</v>
      </c>
      <c r="K1963" s="29" t="s">
        <v>3466</v>
      </c>
      <c r="L1963" s="29" t="s">
        <v>3413</v>
      </c>
      <c r="M1963" s="29" t="s">
        <v>680</v>
      </c>
      <c r="N1963" s="29" t="s">
        <v>3198</v>
      </c>
      <c r="O1963" s="29" t="s">
        <v>133</v>
      </c>
      <c r="P1963" s="30" t="s">
        <v>3467</v>
      </c>
    </row>
    <row r="1964" s="25" customFormat="1" spans="1:16">
      <c r="A1964" s="29" t="s">
        <v>3466</v>
      </c>
      <c r="B1964" s="29" t="s">
        <v>3445</v>
      </c>
      <c r="C1964" s="29" t="s">
        <v>59</v>
      </c>
      <c r="D1964" s="29" t="s">
        <v>2883</v>
      </c>
      <c r="E1964" s="29" t="s">
        <v>35</v>
      </c>
      <c r="F1964" s="29" t="s">
        <v>51</v>
      </c>
      <c r="G1964" s="29" t="s">
        <v>678</v>
      </c>
      <c r="H1964" s="29" t="s">
        <v>176</v>
      </c>
      <c r="I1964" s="29" t="s">
        <v>39</v>
      </c>
      <c r="J1964" s="29" t="s">
        <v>643</v>
      </c>
      <c r="K1964" s="29" t="s">
        <v>3468</v>
      </c>
      <c r="L1964" s="29" t="s">
        <v>3416</v>
      </c>
      <c r="M1964" s="29" t="s">
        <v>680</v>
      </c>
      <c r="N1964" s="29" t="s">
        <v>3198</v>
      </c>
      <c r="O1964" s="29" t="s">
        <v>133</v>
      </c>
      <c r="P1964" s="30" t="s">
        <v>3469</v>
      </c>
    </row>
    <row r="1965" s="25" customFormat="1" spans="1:16">
      <c r="A1965" s="29" t="s">
        <v>3468</v>
      </c>
      <c r="B1965" s="29" t="s">
        <v>3445</v>
      </c>
      <c r="C1965" s="29" t="s">
        <v>59</v>
      </c>
      <c r="D1965" s="29" t="s">
        <v>2883</v>
      </c>
      <c r="E1965" s="29" t="s">
        <v>35</v>
      </c>
      <c r="F1965" s="29" t="s">
        <v>51</v>
      </c>
      <c r="G1965" s="29" t="s">
        <v>678</v>
      </c>
      <c r="H1965" s="29" t="s">
        <v>176</v>
      </c>
      <c r="I1965" s="29" t="s">
        <v>39</v>
      </c>
      <c r="J1965" s="29" t="s">
        <v>647</v>
      </c>
      <c r="K1965" s="29" t="s">
        <v>39</v>
      </c>
      <c r="L1965" s="29" t="s">
        <v>39</v>
      </c>
      <c r="M1965" s="29" t="s">
        <v>39</v>
      </c>
      <c r="N1965" s="29" t="s">
        <v>3198</v>
      </c>
      <c r="O1965" s="29" t="s">
        <v>133</v>
      </c>
      <c r="P1965" s="30" t="s">
        <v>3470</v>
      </c>
    </row>
    <row r="1966" s="25" customFormat="1" spans="1:16">
      <c r="A1966" s="29" t="s">
        <v>3471</v>
      </c>
      <c r="B1966" s="29" t="s">
        <v>3471</v>
      </c>
      <c r="C1966" s="29" t="s">
        <v>59</v>
      </c>
      <c r="D1966" s="29" t="s">
        <v>2883</v>
      </c>
      <c r="E1966" s="29" t="s">
        <v>47</v>
      </c>
      <c r="F1966" s="29" t="s">
        <v>51</v>
      </c>
      <c r="G1966" s="29" t="s">
        <v>3013</v>
      </c>
      <c r="H1966" s="29" t="s">
        <v>3014</v>
      </c>
      <c r="I1966" s="29" t="s">
        <v>204</v>
      </c>
      <c r="J1966" s="29" t="s">
        <v>39</v>
      </c>
      <c r="K1966" s="29" t="s">
        <v>3472</v>
      </c>
      <c r="L1966" s="29" t="s">
        <v>3016</v>
      </c>
      <c r="M1966" s="29" t="s">
        <v>709</v>
      </c>
      <c r="N1966" s="29" t="s">
        <v>3017</v>
      </c>
      <c r="O1966" s="29" t="s">
        <v>137</v>
      </c>
      <c r="P1966" s="30" t="s">
        <v>3018</v>
      </c>
    </row>
    <row r="1967" s="25" customFormat="1" spans="1:16">
      <c r="A1967" s="29" t="s">
        <v>3472</v>
      </c>
      <c r="B1967" s="29" t="s">
        <v>3471</v>
      </c>
      <c r="C1967" s="29" t="s">
        <v>59</v>
      </c>
      <c r="D1967" s="29" t="s">
        <v>2883</v>
      </c>
      <c r="E1967" s="29" t="s">
        <v>47</v>
      </c>
      <c r="F1967" s="29" t="s">
        <v>51</v>
      </c>
      <c r="G1967" s="29" t="s">
        <v>3013</v>
      </c>
      <c r="H1967" s="29" t="s">
        <v>3014</v>
      </c>
      <c r="I1967" s="29" t="s">
        <v>204</v>
      </c>
      <c r="J1967" s="29" t="s">
        <v>35</v>
      </c>
      <c r="K1967" s="29" t="s">
        <v>3473</v>
      </c>
      <c r="L1967" s="29" t="s">
        <v>3020</v>
      </c>
      <c r="M1967" s="29" t="s">
        <v>709</v>
      </c>
      <c r="N1967" s="29" t="s">
        <v>3021</v>
      </c>
      <c r="O1967" s="29" t="s">
        <v>137</v>
      </c>
      <c r="P1967" s="30" t="s">
        <v>3022</v>
      </c>
    </row>
    <row r="1968" s="25" customFormat="1" spans="1:16">
      <c r="A1968" s="29" t="s">
        <v>3473</v>
      </c>
      <c r="B1968" s="29" t="s">
        <v>3471</v>
      </c>
      <c r="C1968" s="29" t="s">
        <v>59</v>
      </c>
      <c r="D1968" s="29" t="s">
        <v>2883</v>
      </c>
      <c r="E1968" s="29" t="s">
        <v>47</v>
      </c>
      <c r="F1968" s="29" t="s">
        <v>51</v>
      </c>
      <c r="G1968" s="29" t="s">
        <v>3013</v>
      </c>
      <c r="H1968" s="29" t="s">
        <v>3014</v>
      </c>
      <c r="I1968" s="29" t="s">
        <v>204</v>
      </c>
      <c r="J1968" s="29" t="s">
        <v>47</v>
      </c>
      <c r="K1968" s="29" t="s">
        <v>3474</v>
      </c>
      <c r="L1968" s="29" t="s">
        <v>3024</v>
      </c>
      <c r="M1968" s="29" t="s">
        <v>709</v>
      </c>
      <c r="N1968" s="29" t="s">
        <v>3021</v>
      </c>
      <c r="O1968" s="29" t="s">
        <v>137</v>
      </c>
      <c r="P1968" s="30" t="s">
        <v>3025</v>
      </c>
    </row>
    <row r="1969" s="25" customFormat="1" spans="1:16">
      <c r="A1969" s="29" t="s">
        <v>3474</v>
      </c>
      <c r="B1969" s="29" t="s">
        <v>3471</v>
      </c>
      <c r="C1969" s="29" t="s">
        <v>59</v>
      </c>
      <c r="D1969" s="29" t="s">
        <v>2883</v>
      </c>
      <c r="E1969" s="29" t="s">
        <v>47</v>
      </c>
      <c r="F1969" s="29" t="s">
        <v>51</v>
      </c>
      <c r="G1969" s="29" t="s">
        <v>3013</v>
      </c>
      <c r="H1969" s="29" t="s">
        <v>3014</v>
      </c>
      <c r="I1969" s="29" t="s">
        <v>204</v>
      </c>
      <c r="J1969" s="29" t="s">
        <v>51</v>
      </c>
      <c r="K1969" s="29" t="s">
        <v>3475</v>
      </c>
      <c r="L1969" s="29" t="s">
        <v>3027</v>
      </c>
      <c r="M1969" s="29" t="s">
        <v>709</v>
      </c>
      <c r="N1969" s="29" t="s">
        <v>3021</v>
      </c>
      <c r="O1969" s="29" t="s">
        <v>137</v>
      </c>
      <c r="P1969" s="30" t="s">
        <v>3028</v>
      </c>
    </row>
    <row r="1970" s="25" customFormat="1" spans="1:16">
      <c r="A1970" s="29" t="s">
        <v>3475</v>
      </c>
      <c r="B1970" s="29" t="s">
        <v>3471</v>
      </c>
      <c r="C1970" s="29" t="s">
        <v>59</v>
      </c>
      <c r="D1970" s="29" t="s">
        <v>2883</v>
      </c>
      <c r="E1970" s="29" t="s">
        <v>47</v>
      </c>
      <c r="F1970" s="29" t="s">
        <v>51</v>
      </c>
      <c r="G1970" s="29" t="s">
        <v>3013</v>
      </c>
      <c r="H1970" s="29" t="s">
        <v>3014</v>
      </c>
      <c r="I1970" s="29" t="s">
        <v>204</v>
      </c>
      <c r="J1970" s="29" t="s">
        <v>55</v>
      </c>
      <c r="K1970" s="29" t="s">
        <v>3476</v>
      </c>
      <c r="L1970" s="29" t="s">
        <v>3030</v>
      </c>
      <c r="M1970" s="29" t="s">
        <v>709</v>
      </c>
      <c r="N1970" s="29" t="s">
        <v>3021</v>
      </c>
      <c r="O1970" s="29" t="s">
        <v>137</v>
      </c>
      <c r="P1970" s="30" t="s">
        <v>3031</v>
      </c>
    </row>
    <row r="1971" s="25" customFormat="1" spans="1:16">
      <c r="A1971" s="29" t="s">
        <v>3476</v>
      </c>
      <c r="B1971" s="29" t="s">
        <v>3471</v>
      </c>
      <c r="C1971" s="29" t="s">
        <v>59</v>
      </c>
      <c r="D1971" s="29" t="s">
        <v>2883</v>
      </c>
      <c r="E1971" s="29" t="s">
        <v>47</v>
      </c>
      <c r="F1971" s="29" t="s">
        <v>51</v>
      </c>
      <c r="G1971" s="29" t="s">
        <v>3013</v>
      </c>
      <c r="H1971" s="29" t="s">
        <v>3014</v>
      </c>
      <c r="I1971" s="29" t="s">
        <v>204</v>
      </c>
      <c r="J1971" s="29" t="s">
        <v>59</v>
      </c>
      <c r="K1971" s="29" t="s">
        <v>3477</v>
      </c>
      <c r="L1971" s="29" t="s">
        <v>3033</v>
      </c>
      <c r="M1971" s="29" t="s">
        <v>709</v>
      </c>
      <c r="N1971" s="29" t="s">
        <v>3021</v>
      </c>
      <c r="O1971" s="29" t="s">
        <v>137</v>
      </c>
      <c r="P1971" s="30" t="s">
        <v>3034</v>
      </c>
    </row>
    <row r="1972" s="25" customFormat="1" spans="1:16">
      <c r="A1972" s="29" t="s">
        <v>3477</v>
      </c>
      <c r="B1972" s="29" t="s">
        <v>3471</v>
      </c>
      <c r="C1972" s="29" t="s">
        <v>59</v>
      </c>
      <c r="D1972" s="29" t="s">
        <v>2883</v>
      </c>
      <c r="E1972" s="29" t="s">
        <v>47</v>
      </c>
      <c r="F1972" s="29" t="s">
        <v>51</v>
      </c>
      <c r="G1972" s="29" t="s">
        <v>3013</v>
      </c>
      <c r="H1972" s="29" t="s">
        <v>3014</v>
      </c>
      <c r="I1972" s="29" t="s">
        <v>204</v>
      </c>
      <c r="J1972" s="29" t="s">
        <v>129</v>
      </c>
      <c r="K1972" s="29" t="s">
        <v>3478</v>
      </c>
      <c r="L1972" s="29" t="s">
        <v>3036</v>
      </c>
      <c r="M1972" s="29" t="s">
        <v>709</v>
      </c>
      <c r="N1972" s="29" t="s">
        <v>3021</v>
      </c>
      <c r="O1972" s="29" t="s">
        <v>137</v>
      </c>
      <c r="P1972" s="30" t="s">
        <v>3037</v>
      </c>
    </row>
    <row r="1973" s="25" customFormat="1" spans="1:16">
      <c r="A1973" s="29" t="s">
        <v>3478</v>
      </c>
      <c r="B1973" s="29" t="s">
        <v>3471</v>
      </c>
      <c r="C1973" s="29" t="s">
        <v>59</v>
      </c>
      <c r="D1973" s="29" t="s">
        <v>2883</v>
      </c>
      <c r="E1973" s="29" t="s">
        <v>47</v>
      </c>
      <c r="F1973" s="29" t="s">
        <v>51</v>
      </c>
      <c r="G1973" s="29" t="s">
        <v>3013</v>
      </c>
      <c r="H1973" s="29" t="s">
        <v>3014</v>
      </c>
      <c r="I1973" s="29" t="s">
        <v>204</v>
      </c>
      <c r="J1973" s="29" t="s">
        <v>133</v>
      </c>
      <c r="K1973" s="29" t="s">
        <v>3479</v>
      </c>
      <c r="L1973" s="29" t="s">
        <v>3039</v>
      </c>
      <c r="M1973" s="29" t="s">
        <v>709</v>
      </c>
      <c r="N1973" s="29" t="s">
        <v>3021</v>
      </c>
      <c r="O1973" s="29" t="s">
        <v>137</v>
      </c>
      <c r="P1973" s="30" t="s">
        <v>3040</v>
      </c>
    </row>
    <row r="1974" s="25" customFormat="1" spans="1:16">
      <c r="A1974" s="29" t="s">
        <v>3479</v>
      </c>
      <c r="B1974" s="29" t="s">
        <v>3471</v>
      </c>
      <c r="C1974" s="29" t="s">
        <v>59</v>
      </c>
      <c r="D1974" s="29" t="s">
        <v>2883</v>
      </c>
      <c r="E1974" s="29" t="s">
        <v>47</v>
      </c>
      <c r="F1974" s="29" t="s">
        <v>51</v>
      </c>
      <c r="G1974" s="29" t="s">
        <v>3013</v>
      </c>
      <c r="H1974" s="29" t="s">
        <v>3014</v>
      </c>
      <c r="I1974" s="29" t="s">
        <v>204</v>
      </c>
      <c r="J1974" s="29" t="s">
        <v>137</v>
      </c>
      <c r="K1974" s="29" t="s">
        <v>3480</v>
      </c>
      <c r="L1974" s="29" t="s">
        <v>3042</v>
      </c>
      <c r="M1974" s="29" t="s">
        <v>709</v>
      </c>
      <c r="N1974" s="29" t="s">
        <v>3021</v>
      </c>
      <c r="O1974" s="29" t="s">
        <v>137</v>
      </c>
      <c r="P1974" s="30" t="s">
        <v>3043</v>
      </c>
    </row>
    <row r="1975" s="25" customFormat="1" spans="1:16">
      <c r="A1975" s="29" t="s">
        <v>3480</v>
      </c>
      <c r="B1975" s="29" t="s">
        <v>3471</v>
      </c>
      <c r="C1975" s="29" t="s">
        <v>59</v>
      </c>
      <c r="D1975" s="29" t="s">
        <v>2883</v>
      </c>
      <c r="E1975" s="29" t="s">
        <v>47</v>
      </c>
      <c r="F1975" s="29" t="s">
        <v>51</v>
      </c>
      <c r="G1975" s="29" t="s">
        <v>3013</v>
      </c>
      <c r="H1975" s="29" t="s">
        <v>3014</v>
      </c>
      <c r="I1975" s="29" t="s">
        <v>204</v>
      </c>
      <c r="J1975" s="29" t="s">
        <v>141</v>
      </c>
      <c r="K1975" s="29" t="s">
        <v>3481</v>
      </c>
      <c r="L1975" s="29" t="s">
        <v>3045</v>
      </c>
      <c r="M1975" s="29" t="s">
        <v>709</v>
      </c>
      <c r="N1975" s="29" t="s">
        <v>3021</v>
      </c>
      <c r="O1975" s="29" t="s">
        <v>137</v>
      </c>
      <c r="P1975" s="30" t="s">
        <v>3046</v>
      </c>
    </row>
    <row r="1976" s="25" customFormat="1" spans="1:16">
      <c r="A1976" s="29" t="s">
        <v>3481</v>
      </c>
      <c r="B1976" s="29" t="s">
        <v>3471</v>
      </c>
      <c r="C1976" s="29" t="s">
        <v>59</v>
      </c>
      <c r="D1976" s="29" t="s">
        <v>2883</v>
      </c>
      <c r="E1976" s="29" t="s">
        <v>47</v>
      </c>
      <c r="F1976" s="29" t="s">
        <v>51</v>
      </c>
      <c r="G1976" s="29" t="s">
        <v>3013</v>
      </c>
      <c r="H1976" s="29" t="s">
        <v>3014</v>
      </c>
      <c r="I1976" s="29" t="s">
        <v>204</v>
      </c>
      <c r="J1976" s="29" t="s">
        <v>145</v>
      </c>
      <c r="K1976" s="29" t="s">
        <v>3482</v>
      </c>
      <c r="L1976" s="29" t="s">
        <v>3047</v>
      </c>
      <c r="M1976" s="29" t="s">
        <v>709</v>
      </c>
      <c r="N1976" s="29" t="s">
        <v>3021</v>
      </c>
      <c r="O1976" s="29" t="s">
        <v>137</v>
      </c>
      <c r="P1976" s="30" t="s">
        <v>3048</v>
      </c>
    </row>
    <row r="1977" s="25" customFormat="1" spans="1:16">
      <c r="A1977" s="29" t="s">
        <v>3482</v>
      </c>
      <c r="B1977" s="29" t="s">
        <v>3471</v>
      </c>
      <c r="C1977" s="29" t="s">
        <v>59</v>
      </c>
      <c r="D1977" s="29" t="s">
        <v>2883</v>
      </c>
      <c r="E1977" s="29" t="s">
        <v>47</v>
      </c>
      <c r="F1977" s="29" t="s">
        <v>51</v>
      </c>
      <c r="G1977" s="29" t="s">
        <v>3013</v>
      </c>
      <c r="H1977" s="29" t="s">
        <v>3014</v>
      </c>
      <c r="I1977" s="29" t="s">
        <v>204</v>
      </c>
      <c r="J1977" s="29" t="s">
        <v>408</v>
      </c>
      <c r="K1977" s="29" t="s">
        <v>3483</v>
      </c>
      <c r="L1977" s="29" t="s">
        <v>3310</v>
      </c>
      <c r="M1977" s="29" t="s">
        <v>709</v>
      </c>
      <c r="N1977" s="29" t="s">
        <v>3021</v>
      </c>
      <c r="O1977" s="29" t="s">
        <v>137</v>
      </c>
      <c r="P1977" s="30" t="s">
        <v>3484</v>
      </c>
    </row>
    <row r="1978" s="25" customFormat="1" spans="1:16">
      <c r="A1978" s="29" t="s">
        <v>3483</v>
      </c>
      <c r="B1978" s="29" t="s">
        <v>3471</v>
      </c>
      <c r="C1978" s="29" t="s">
        <v>59</v>
      </c>
      <c r="D1978" s="29" t="s">
        <v>2883</v>
      </c>
      <c r="E1978" s="29" t="s">
        <v>47</v>
      </c>
      <c r="F1978" s="29" t="s">
        <v>51</v>
      </c>
      <c r="G1978" s="29" t="s">
        <v>3013</v>
      </c>
      <c r="H1978" s="29" t="s">
        <v>3014</v>
      </c>
      <c r="I1978" s="29" t="s">
        <v>204</v>
      </c>
      <c r="J1978" s="29" t="s">
        <v>412</v>
      </c>
      <c r="K1978" s="29" t="s">
        <v>3485</v>
      </c>
      <c r="L1978" s="29" t="s">
        <v>3313</v>
      </c>
      <c r="M1978" s="29" t="s">
        <v>709</v>
      </c>
      <c r="N1978" s="29" t="s">
        <v>3021</v>
      </c>
      <c r="O1978" s="29" t="s">
        <v>137</v>
      </c>
      <c r="P1978" s="30" t="s">
        <v>3486</v>
      </c>
    </row>
    <row r="1979" s="25" customFormat="1" spans="1:16">
      <c r="A1979" s="29" t="s">
        <v>3485</v>
      </c>
      <c r="B1979" s="29" t="s">
        <v>3471</v>
      </c>
      <c r="C1979" s="29" t="s">
        <v>59</v>
      </c>
      <c r="D1979" s="29" t="s">
        <v>2883</v>
      </c>
      <c r="E1979" s="29" t="s">
        <v>47</v>
      </c>
      <c r="F1979" s="29" t="s">
        <v>51</v>
      </c>
      <c r="G1979" s="29" t="s">
        <v>3013</v>
      </c>
      <c r="H1979" s="29" t="s">
        <v>3014</v>
      </c>
      <c r="I1979" s="29" t="s">
        <v>204</v>
      </c>
      <c r="J1979" s="29" t="s">
        <v>416</v>
      </c>
      <c r="K1979" s="29" t="s">
        <v>3487</v>
      </c>
      <c r="L1979" s="29" t="s">
        <v>3340</v>
      </c>
      <c r="M1979" s="29" t="s">
        <v>709</v>
      </c>
      <c r="N1979" s="29" t="s">
        <v>3021</v>
      </c>
      <c r="O1979" s="29" t="s">
        <v>137</v>
      </c>
      <c r="P1979" s="30" t="s">
        <v>3488</v>
      </c>
    </row>
    <row r="1980" s="25" customFormat="1" spans="1:16">
      <c r="A1980" s="29" t="s">
        <v>3487</v>
      </c>
      <c r="B1980" s="29" t="s">
        <v>3471</v>
      </c>
      <c r="C1980" s="29" t="s">
        <v>59</v>
      </c>
      <c r="D1980" s="29" t="s">
        <v>2883</v>
      </c>
      <c r="E1980" s="29" t="s">
        <v>47</v>
      </c>
      <c r="F1980" s="29" t="s">
        <v>51</v>
      </c>
      <c r="G1980" s="29" t="s">
        <v>3013</v>
      </c>
      <c r="H1980" s="29" t="s">
        <v>3014</v>
      </c>
      <c r="I1980" s="29" t="s">
        <v>204</v>
      </c>
      <c r="J1980" s="29" t="s">
        <v>420</v>
      </c>
      <c r="K1980" s="29" t="s">
        <v>3489</v>
      </c>
      <c r="L1980" s="29" t="s">
        <v>3343</v>
      </c>
      <c r="M1980" s="29" t="s">
        <v>709</v>
      </c>
      <c r="N1980" s="29" t="s">
        <v>3021</v>
      </c>
      <c r="O1980" s="29" t="s">
        <v>137</v>
      </c>
      <c r="P1980" s="30" t="s">
        <v>3490</v>
      </c>
    </row>
    <row r="1981" s="25" customFormat="1" spans="1:16">
      <c r="A1981" s="29" t="s">
        <v>3489</v>
      </c>
      <c r="B1981" s="29" t="s">
        <v>3471</v>
      </c>
      <c r="C1981" s="29" t="s">
        <v>59</v>
      </c>
      <c r="D1981" s="29" t="s">
        <v>2883</v>
      </c>
      <c r="E1981" s="29" t="s">
        <v>47</v>
      </c>
      <c r="F1981" s="29" t="s">
        <v>51</v>
      </c>
      <c r="G1981" s="29" t="s">
        <v>3013</v>
      </c>
      <c r="H1981" s="29" t="s">
        <v>3014</v>
      </c>
      <c r="I1981" s="29" t="s">
        <v>204</v>
      </c>
      <c r="J1981" s="29" t="s">
        <v>424</v>
      </c>
      <c r="K1981" s="29" t="s">
        <v>3491</v>
      </c>
      <c r="L1981" s="29" t="s">
        <v>3405</v>
      </c>
      <c r="M1981" s="29" t="s">
        <v>709</v>
      </c>
      <c r="N1981" s="29" t="s">
        <v>3021</v>
      </c>
      <c r="O1981" s="29" t="s">
        <v>137</v>
      </c>
      <c r="P1981" s="30" t="s">
        <v>3492</v>
      </c>
    </row>
    <row r="1982" s="25" customFormat="1" spans="1:16">
      <c r="A1982" s="29" t="s">
        <v>3491</v>
      </c>
      <c r="B1982" s="29" t="s">
        <v>3471</v>
      </c>
      <c r="C1982" s="29" t="s">
        <v>59</v>
      </c>
      <c r="D1982" s="29" t="s">
        <v>2883</v>
      </c>
      <c r="E1982" s="29" t="s">
        <v>47</v>
      </c>
      <c r="F1982" s="29" t="s">
        <v>51</v>
      </c>
      <c r="G1982" s="29" t="s">
        <v>3013</v>
      </c>
      <c r="H1982" s="29" t="s">
        <v>3014</v>
      </c>
      <c r="I1982" s="29" t="s">
        <v>204</v>
      </c>
      <c r="J1982" s="29" t="s">
        <v>631</v>
      </c>
      <c r="K1982" s="29" t="s">
        <v>3493</v>
      </c>
      <c r="L1982" s="29" t="s">
        <v>3407</v>
      </c>
      <c r="M1982" s="29" t="s">
        <v>709</v>
      </c>
      <c r="N1982" s="29" t="s">
        <v>3021</v>
      </c>
      <c r="O1982" s="29" t="s">
        <v>137</v>
      </c>
      <c r="P1982" s="30" t="s">
        <v>3494</v>
      </c>
    </row>
    <row r="1983" s="25" customFormat="1" spans="1:16">
      <c r="A1983" s="29" t="s">
        <v>3493</v>
      </c>
      <c r="B1983" s="29" t="s">
        <v>3471</v>
      </c>
      <c r="C1983" s="29" t="s">
        <v>59</v>
      </c>
      <c r="D1983" s="29" t="s">
        <v>2883</v>
      </c>
      <c r="E1983" s="29" t="s">
        <v>47</v>
      </c>
      <c r="F1983" s="29" t="s">
        <v>51</v>
      </c>
      <c r="G1983" s="29" t="s">
        <v>3013</v>
      </c>
      <c r="H1983" s="29" t="s">
        <v>3014</v>
      </c>
      <c r="I1983" s="29" t="s">
        <v>204</v>
      </c>
      <c r="J1983" s="29" t="s">
        <v>635</v>
      </c>
      <c r="K1983" s="29" t="s">
        <v>3495</v>
      </c>
      <c r="L1983" s="29" t="s">
        <v>3410</v>
      </c>
      <c r="M1983" s="29" t="s">
        <v>709</v>
      </c>
      <c r="N1983" s="29" t="s">
        <v>3021</v>
      </c>
      <c r="O1983" s="29" t="s">
        <v>137</v>
      </c>
      <c r="P1983" s="30" t="s">
        <v>3496</v>
      </c>
    </row>
    <row r="1984" s="25" customFormat="1" spans="1:16">
      <c r="A1984" s="29" t="s">
        <v>3495</v>
      </c>
      <c r="B1984" s="29" t="s">
        <v>3471</v>
      </c>
      <c r="C1984" s="29" t="s">
        <v>59</v>
      </c>
      <c r="D1984" s="29" t="s">
        <v>2883</v>
      </c>
      <c r="E1984" s="29" t="s">
        <v>47</v>
      </c>
      <c r="F1984" s="29" t="s">
        <v>51</v>
      </c>
      <c r="G1984" s="29" t="s">
        <v>3013</v>
      </c>
      <c r="H1984" s="29" t="s">
        <v>3014</v>
      </c>
      <c r="I1984" s="29" t="s">
        <v>204</v>
      </c>
      <c r="J1984" s="29" t="s">
        <v>639</v>
      </c>
      <c r="K1984" s="29" t="s">
        <v>3497</v>
      </c>
      <c r="L1984" s="29" t="s">
        <v>3413</v>
      </c>
      <c r="M1984" s="29" t="s">
        <v>709</v>
      </c>
      <c r="N1984" s="29" t="s">
        <v>3021</v>
      </c>
      <c r="O1984" s="29" t="s">
        <v>137</v>
      </c>
      <c r="P1984" s="30" t="s">
        <v>3498</v>
      </c>
    </row>
    <row r="1985" s="25" customFormat="1" spans="1:16">
      <c r="A1985" s="29" t="s">
        <v>3497</v>
      </c>
      <c r="B1985" s="29" t="s">
        <v>3471</v>
      </c>
      <c r="C1985" s="29" t="s">
        <v>59</v>
      </c>
      <c r="D1985" s="29" t="s">
        <v>2883</v>
      </c>
      <c r="E1985" s="29" t="s">
        <v>47</v>
      </c>
      <c r="F1985" s="29" t="s">
        <v>51</v>
      </c>
      <c r="G1985" s="29" t="s">
        <v>3013</v>
      </c>
      <c r="H1985" s="29" t="s">
        <v>3014</v>
      </c>
      <c r="I1985" s="29" t="s">
        <v>204</v>
      </c>
      <c r="J1985" s="29" t="s">
        <v>643</v>
      </c>
      <c r="K1985" s="29" t="s">
        <v>3499</v>
      </c>
      <c r="L1985" s="29" t="s">
        <v>3416</v>
      </c>
      <c r="M1985" s="29" t="s">
        <v>709</v>
      </c>
      <c r="N1985" s="29" t="s">
        <v>3021</v>
      </c>
      <c r="O1985" s="29" t="s">
        <v>137</v>
      </c>
      <c r="P1985" s="30" t="s">
        <v>3500</v>
      </c>
    </row>
    <row r="1986" s="25" customFormat="1" spans="1:16">
      <c r="A1986" s="29" t="s">
        <v>3499</v>
      </c>
      <c r="B1986" s="29" t="s">
        <v>3471</v>
      </c>
      <c r="C1986" s="29" t="s">
        <v>59</v>
      </c>
      <c r="D1986" s="29" t="s">
        <v>2883</v>
      </c>
      <c r="E1986" s="29" t="s">
        <v>47</v>
      </c>
      <c r="F1986" s="29" t="s">
        <v>51</v>
      </c>
      <c r="G1986" s="29" t="s">
        <v>3013</v>
      </c>
      <c r="H1986" s="29" t="s">
        <v>3014</v>
      </c>
      <c r="I1986" s="29" t="s">
        <v>204</v>
      </c>
      <c r="J1986" s="29" t="s">
        <v>647</v>
      </c>
      <c r="K1986" s="29" t="s">
        <v>39</v>
      </c>
      <c r="L1986" s="29" t="s">
        <v>39</v>
      </c>
      <c r="M1986" s="29" t="s">
        <v>39</v>
      </c>
      <c r="N1986" s="29" t="s">
        <v>3021</v>
      </c>
      <c r="O1986" s="29" t="s">
        <v>137</v>
      </c>
      <c r="P1986" s="30" t="s">
        <v>3501</v>
      </c>
    </row>
    <row r="1987" s="25" customFormat="1" spans="1:16">
      <c r="A1987" s="29" t="s">
        <v>3502</v>
      </c>
      <c r="B1987" s="29" t="s">
        <v>3502</v>
      </c>
      <c r="C1987" s="29" t="s">
        <v>59</v>
      </c>
      <c r="D1987" s="29" t="s">
        <v>2883</v>
      </c>
      <c r="E1987" s="29" t="s">
        <v>47</v>
      </c>
      <c r="F1987" s="29" t="s">
        <v>51</v>
      </c>
      <c r="G1987" s="29" t="s">
        <v>3050</v>
      </c>
      <c r="H1987" s="29" t="s">
        <v>3051</v>
      </c>
      <c r="I1987" s="29" t="s">
        <v>204</v>
      </c>
      <c r="J1987" s="29" t="s">
        <v>39</v>
      </c>
      <c r="K1987" s="29" t="s">
        <v>3503</v>
      </c>
      <c r="L1987" s="29" t="s">
        <v>3016</v>
      </c>
      <c r="M1987" s="29" t="s">
        <v>741</v>
      </c>
      <c r="N1987" s="29" t="s">
        <v>3053</v>
      </c>
      <c r="O1987" s="29" t="s">
        <v>141</v>
      </c>
      <c r="P1987" s="30" t="s">
        <v>3054</v>
      </c>
    </row>
    <row r="1988" s="25" customFormat="1" spans="1:16">
      <c r="A1988" s="29" t="s">
        <v>3503</v>
      </c>
      <c r="B1988" s="29" t="s">
        <v>3502</v>
      </c>
      <c r="C1988" s="29" t="s">
        <v>59</v>
      </c>
      <c r="D1988" s="29" t="s">
        <v>2883</v>
      </c>
      <c r="E1988" s="29" t="s">
        <v>47</v>
      </c>
      <c r="F1988" s="29" t="s">
        <v>51</v>
      </c>
      <c r="G1988" s="29" t="s">
        <v>3050</v>
      </c>
      <c r="H1988" s="29" t="s">
        <v>3051</v>
      </c>
      <c r="I1988" s="29" t="s">
        <v>204</v>
      </c>
      <c r="J1988" s="29" t="s">
        <v>35</v>
      </c>
      <c r="K1988" s="29" t="s">
        <v>3504</v>
      </c>
      <c r="L1988" s="29" t="s">
        <v>3020</v>
      </c>
      <c r="M1988" s="29" t="s">
        <v>741</v>
      </c>
      <c r="N1988" s="29" t="s">
        <v>3056</v>
      </c>
      <c r="O1988" s="29" t="s">
        <v>141</v>
      </c>
      <c r="P1988" s="30" t="s">
        <v>3057</v>
      </c>
    </row>
    <row r="1989" s="25" customFormat="1" spans="1:16">
      <c r="A1989" s="29" t="s">
        <v>3504</v>
      </c>
      <c r="B1989" s="29" t="s">
        <v>3502</v>
      </c>
      <c r="C1989" s="29" t="s">
        <v>59</v>
      </c>
      <c r="D1989" s="29" t="s">
        <v>2883</v>
      </c>
      <c r="E1989" s="29" t="s">
        <v>47</v>
      </c>
      <c r="F1989" s="29" t="s">
        <v>51</v>
      </c>
      <c r="G1989" s="29" t="s">
        <v>3050</v>
      </c>
      <c r="H1989" s="29" t="s">
        <v>3051</v>
      </c>
      <c r="I1989" s="29" t="s">
        <v>204</v>
      </c>
      <c r="J1989" s="29" t="s">
        <v>47</v>
      </c>
      <c r="K1989" s="29" t="s">
        <v>3505</v>
      </c>
      <c r="L1989" s="29" t="s">
        <v>3024</v>
      </c>
      <c r="M1989" s="29" t="s">
        <v>741</v>
      </c>
      <c r="N1989" s="29" t="s">
        <v>3056</v>
      </c>
      <c r="O1989" s="29" t="s">
        <v>141</v>
      </c>
      <c r="P1989" s="30" t="s">
        <v>3059</v>
      </c>
    </row>
    <row r="1990" s="25" customFormat="1" spans="1:16">
      <c r="A1990" s="29" t="s">
        <v>3505</v>
      </c>
      <c r="B1990" s="29" t="s">
        <v>3502</v>
      </c>
      <c r="C1990" s="29" t="s">
        <v>59</v>
      </c>
      <c r="D1990" s="29" t="s">
        <v>2883</v>
      </c>
      <c r="E1990" s="29" t="s">
        <v>47</v>
      </c>
      <c r="F1990" s="29" t="s">
        <v>51</v>
      </c>
      <c r="G1990" s="29" t="s">
        <v>3050</v>
      </c>
      <c r="H1990" s="29" t="s">
        <v>3051</v>
      </c>
      <c r="I1990" s="29" t="s">
        <v>204</v>
      </c>
      <c r="J1990" s="29" t="s">
        <v>51</v>
      </c>
      <c r="K1990" s="29" t="s">
        <v>3506</v>
      </c>
      <c r="L1990" s="29" t="s">
        <v>3027</v>
      </c>
      <c r="M1990" s="29" t="s">
        <v>741</v>
      </c>
      <c r="N1990" s="29" t="s">
        <v>3056</v>
      </c>
      <c r="O1990" s="29" t="s">
        <v>141</v>
      </c>
      <c r="P1990" s="30" t="s">
        <v>3061</v>
      </c>
    </row>
    <row r="1991" s="25" customFormat="1" spans="1:16">
      <c r="A1991" s="29" t="s">
        <v>3506</v>
      </c>
      <c r="B1991" s="29" t="s">
        <v>3502</v>
      </c>
      <c r="C1991" s="29" t="s">
        <v>59</v>
      </c>
      <c r="D1991" s="29" t="s">
        <v>2883</v>
      </c>
      <c r="E1991" s="29" t="s">
        <v>47</v>
      </c>
      <c r="F1991" s="29" t="s">
        <v>51</v>
      </c>
      <c r="G1991" s="29" t="s">
        <v>3050</v>
      </c>
      <c r="H1991" s="29" t="s">
        <v>3051</v>
      </c>
      <c r="I1991" s="29" t="s">
        <v>204</v>
      </c>
      <c r="J1991" s="29" t="s">
        <v>55</v>
      </c>
      <c r="K1991" s="29" t="s">
        <v>3507</v>
      </c>
      <c r="L1991" s="29" t="s">
        <v>3030</v>
      </c>
      <c r="M1991" s="29" t="s">
        <v>741</v>
      </c>
      <c r="N1991" s="29" t="s">
        <v>3056</v>
      </c>
      <c r="O1991" s="29" t="s">
        <v>141</v>
      </c>
      <c r="P1991" s="30" t="s">
        <v>3063</v>
      </c>
    </row>
    <row r="1992" s="25" customFormat="1" spans="1:16">
      <c r="A1992" s="29" t="s">
        <v>3507</v>
      </c>
      <c r="B1992" s="29" t="s">
        <v>3502</v>
      </c>
      <c r="C1992" s="29" t="s">
        <v>59</v>
      </c>
      <c r="D1992" s="29" t="s">
        <v>2883</v>
      </c>
      <c r="E1992" s="29" t="s">
        <v>47</v>
      </c>
      <c r="F1992" s="29" t="s">
        <v>51</v>
      </c>
      <c r="G1992" s="29" t="s">
        <v>3050</v>
      </c>
      <c r="H1992" s="29" t="s">
        <v>3051</v>
      </c>
      <c r="I1992" s="29" t="s">
        <v>204</v>
      </c>
      <c r="J1992" s="29" t="s">
        <v>59</v>
      </c>
      <c r="K1992" s="29" t="s">
        <v>3508</v>
      </c>
      <c r="L1992" s="29" t="s">
        <v>3033</v>
      </c>
      <c r="M1992" s="29" t="s">
        <v>741</v>
      </c>
      <c r="N1992" s="29" t="s">
        <v>3056</v>
      </c>
      <c r="O1992" s="29" t="s">
        <v>141</v>
      </c>
      <c r="P1992" s="30" t="s">
        <v>3065</v>
      </c>
    </row>
    <row r="1993" s="25" customFormat="1" spans="1:16">
      <c r="A1993" s="29" t="s">
        <v>3508</v>
      </c>
      <c r="B1993" s="29" t="s">
        <v>3502</v>
      </c>
      <c r="C1993" s="29" t="s">
        <v>59</v>
      </c>
      <c r="D1993" s="29" t="s">
        <v>2883</v>
      </c>
      <c r="E1993" s="29" t="s">
        <v>47</v>
      </c>
      <c r="F1993" s="29" t="s">
        <v>51</v>
      </c>
      <c r="G1993" s="29" t="s">
        <v>3050</v>
      </c>
      <c r="H1993" s="29" t="s">
        <v>3051</v>
      </c>
      <c r="I1993" s="29" t="s">
        <v>204</v>
      </c>
      <c r="J1993" s="29" t="s">
        <v>129</v>
      </c>
      <c r="K1993" s="29" t="s">
        <v>3509</v>
      </c>
      <c r="L1993" s="29" t="s">
        <v>3036</v>
      </c>
      <c r="M1993" s="29" t="s">
        <v>741</v>
      </c>
      <c r="N1993" s="29" t="s">
        <v>3056</v>
      </c>
      <c r="O1993" s="29" t="s">
        <v>141</v>
      </c>
      <c r="P1993" s="30" t="s">
        <v>3067</v>
      </c>
    </row>
    <row r="1994" s="25" customFormat="1" spans="1:16">
      <c r="A1994" s="29" t="s">
        <v>3509</v>
      </c>
      <c r="B1994" s="29" t="s">
        <v>3502</v>
      </c>
      <c r="C1994" s="29" t="s">
        <v>59</v>
      </c>
      <c r="D1994" s="29" t="s">
        <v>2883</v>
      </c>
      <c r="E1994" s="29" t="s">
        <v>47</v>
      </c>
      <c r="F1994" s="29" t="s">
        <v>51</v>
      </c>
      <c r="G1994" s="29" t="s">
        <v>3050</v>
      </c>
      <c r="H1994" s="29" t="s">
        <v>3051</v>
      </c>
      <c r="I1994" s="29" t="s">
        <v>204</v>
      </c>
      <c r="J1994" s="29" t="s">
        <v>133</v>
      </c>
      <c r="K1994" s="29" t="s">
        <v>3510</v>
      </c>
      <c r="L1994" s="29" t="s">
        <v>3039</v>
      </c>
      <c r="M1994" s="29" t="s">
        <v>741</v>
      </c>
      <c r="N1994" s="29" t="s">
        <v>3056</v>
      </c>
      <c r="O1994" s="29" t="s">
        <v>141</v>
      </c>
      <c r="P1994" s="30" t="s">
        <v>3069</v>
      </c>
    </row>
    <row r="1995" s="25" customFormat="1" spans="1:16">
      <c r="A1995" s="29" t="s">
        <v>3510</v>
      </c>
      <c r="B1995" s="29" t="s">
        <v>3502</v>
      </c>
      <c r="C1995" s="29" t="s">
        <v>59</v>
      </c>
      <c r="D1995" s="29" t="s">
        <v>2883</v>
      </c>
      <c r="E1995" s="29" t="s">
        <v>47</v>
      </c>
      <c r="F1995" s="29" t="s">
        <v>51</v>
      </c>
      <c r="G1995" s="29" t="s">
        <v>3050</v>
      </c>
      <c r="H1995" s="29" t="s">
        <v>3051</v>
      </c>
      <c r="I1995" s="29" t="s">
        <v>204</v>
      </c>
      <c r="J1995" s="29" t="s">
        <v>137</v>
      </c>
      <c r="K1995" s="29" t="s">
        <v>3511</v>
      </c>
      <c r="L1995" s="29" t="s">
        <v>3042</v>
      </c>
      <c r="M1995" s="29" t="s">
        <v>741</v>
      </c>
      <c r="N1995" s="29" t="s">
        <v>3056</v>
      </c>
      <c r="O1995" s="29" t="s">
        <v>141</v>
      </c>
      <c r="P1995" s="30" t="s">
        <v>3071</v>
      </c>
    </row>
    <row r="1996" s="25" customFormat="1" spans="1:16">
      <c r="A1996" s="29" t="s">
        <v>3511</v>
      </c>
      <c r="B1996" s="29" t="s">
        <v>3502</v>
      </c>
      <c r="C1996" s="29" t="s">
        <v>59</v>
      </c>
      <c r="D1996" s="29" t="s">
        <v>2883</v>
      </c>
      <c r="E1996" s="29" t="s">
        <v>47</v>
      </c>
      <c r="F1996" s="29" t="s">
        <v>51</v>
      </c>
      <c r="G1996" s="29" t="s">
        <v>3050</v>
      </c>
      <c r="H1996" s="29" t="s">
        <v>3051</v>
      </c>
      <c r="I1996" s="29" t="s">
        <v>204</v>
      </c>
      <c r="J1996" s="29" t="s">
        <v>141</v>
      </c>
      <c r="K1996" s="29" t="s">
        <v>3512</v>
      </c>
      <c r="L1996" s="29" t="s">
        <v>3045</v>
      </c>
      <c r="M1996" s="29" t="s">
        <v>741</v>
      </c>
      <c r="N1996" s="29" t="s">
        <v>3056</v>
      </c>
      <c r="O1996" s="29" t="s">
        <v>141</v>
      </c>
      <c r="P1996" s="30" t="s">
        <v>3073</v>
      </c>
    </row>
    <row r="1997" s="25" customFormat="1" spans="1:16">
      <c r="A1997" s="29" t="s">
        <v>3512</v>
      </c>
      <c r="B1997" s="29" t="s">
        <v>3502</v>
      </c>
      <c r="C1997" s="29" t="s">
        <v>59</v>
      </c>
      <c r="D1997" s="29" t="s">
        <v>2883</v>
      </c>
      <c r="E1997" s="29" t="s">
        <v>47</v>
      </c>
      <c r="F1997" s="29" t="s">
        <v>51</v>
      </c>
      <c r="G1997" s="29" t="s">
        <v>3050</v>
      </c>
      <c r="H1997" s="29" t="s">
        <v>3051</v>
      </c>
      <c r="I1997" s="29" t="s">
        <v>204</v>
      </c>
      <c r="J1997" s="29" t="s">
        <v>145</v>
      </c>
      <c r="K1997" s="29" t="s">
        <v>3513</v>
      </c>
      <c r="L1997" s="29" t="s">
        <v>3047</v>
      </c>
      <c r="M1997" s="29" t="s">
        <v>741</v>
      </c>
      <c r="N1997" s="29" t="s">
        <v>3056</v>
      </c>
      <c r="O1997" s="29" t="s">
        <v>141</v>
      </c>
      <c r="P1997" s="30" t="s">
        <v>3074</v>
      </c>
    </row>
    <row r="1998" s="25" customFormat="1" spans="1:16">
      <c r="A1998" s="29" t="s">
        <v>3513</v>
      </c>
      <c r="B1998" s="29" t="s">
        <v>3502</v>
      </c>
      <c r="C1998" s="29" t="s">
        <v>59</v>
      </c>
      <c r="D1998" s="29" t="s">
        <v>2883</v>
      </c>
      <c r="E1998" s="29" t="s">
        <v>47</v>
      </c>
      <c r="F1998" s="29" t="s">
        <v>51</v>
      </c>
      <c r="G1998" s="29" t="s">
        <v>3050</v>
      </c>
      <c r="H1998" s="29" t="s">
        <v>3051</v>
      </c>
      <c r="I1998" s="29" t="s">
        <v>204</v>
      </c>
      <c r="J1998" s="29" t="s">
        <v>408</v>
      </c>
      <c r="K1998" s="29" t="s">
        <v>3514</v>
      </c>
      <c r="L1998" s="29" t="s">
        <v>3310</v>
      </c>
      <c r="M1998" s="29" t="s">
        <v>741</v>
      </c>
      <c r="N1998" s="29" t="s">
        <v>3056</v>
      </c>
      <c r="O1998" s="29" t="s">
        <v>141</v>
      </c>
      <c r="P1998" s="30" t="s">
        <v>3515</v>
      </c>
    </row>
    <row r="1999" s="25" customFormat="1" spans="1:16">
      <c r="A1999" s="29" t="s">
        <v>3514</v>
      </c>
      <c r="B1999" s="29" t="s">
        <v>3502</v>
      </c>
      <c r="C1999" s="29" t="s">
        <v>59</v>
      </c>
      <c r="D1999" s="29" t="s">
        <v>2883</v>
      </c>
      <c r="E1999" s="29" t="s">
        <v>47</v>
      </c>
      <c r="F1999" s="29" t="s">
        <v>51</v>
      </c>
      <c r="G1999" s="29" t="s">
        <v>3050</v>
      </c>
      <c r="H1999" s="29" t="s">
        <v>3051</v>
      </c>
      <c r="I1999" s="29" t="s">
        <v>204</v>
      </c>
      <c r="J1999" s="29" t="s">
        <v>412</v>
      </c>
      <c r="K1999" s="29" t="s">
        <v>3516</v>
      </c>
      <c r="L1999" s="29" t="s">
        <v>3313</v>
      </c>
      <c r="M1999" s="29" t="s">
        <v>741</v>
      </c>
      <c r="N1999" s="29" t="s">
        <v>3056</v>
      </c>
      <c r="O1999" s="29" t="s">
        <v>141</v>
      </c>
      <c r="P1999" s="30" t="s">
        <v>3517</v>
      </c>
    </row>
    <row r="2000" s="25" customFormat="1" spans="1:16">
      <c r="A2000" s="29" t="s">
        <v>3516</v>
      </c>
      <c r="B2000" s="29" t="s">
        <v>3502</v>
      </c>
      <c r="C2000" s="29" t="s">
        <v>59</v>
      </c>
      <c r="D2000" s="29" t="s">
        <v>2883</v>
      </c>
      <c r="E2000" s="29" t="s">
        <v>47</v>
      </c>
      <c r="F2000" s="29" t="s">
        <v>51</v>
      </c>
      <c r="G2000" s="29" t="s">
        <v>3050</v>
      </c>
      <c r="H2000" s="29" t="s">
        <v>3051</v>
      </c>
      <c r="I2000" s="29" t="s">
        <v>204</v>
      </c>
      <c r="J2000" s="29" t="s">
        <v>416</v>
      </c>
      <c r="K2000" s="29" t="s">
        <v>3518</v>
      </c>
      <c r="L2000" s="29" t="s">
        <v>3340</v>
      </c>
      <c r="M2000" s="29" t="s">
        <v>741</v>
      </c>
      <c r="N2000" s="29" t="s">
        <v>3056</v>
      </c>
      <c r="O2000" s="29" t="s">
        <v>141</v>
      </c>
      <c r="P2000" s="30" t="s">
        <v>3519</v>
      </c>
    </row>
    <row r="2001" s="25" customFormat="1" spans="1:16">
      <c r="A2001" s="29" t="s">
        <v>3518</v>
      </c>
      <c r="B2001" s="29" t="s">
        <v>3502</v>
      </c>
      <c r="C2001" s="29" t="s">
        <v>59</v>
      </c>
      <c r="D2001" s="29" t="s">
        <v>2883</v>
      </c>
      <c r="E2001" s="29" t="s">
        <v>47</v>
      </c>
      <c r="F2001" s="29" t="s">
        <v>51</v>
      </c>
      <c r="G2001" s="29" t="s">
        <v>3050</v>
      </c>
      <c r="H2001" s="29" t="s">
        <v>3051</v>
      </c>
      <c r="I2001" s="29" t="s">
        <v>204</v>
      </c>
      <c r="J2001" s="29" t="s">
        <v>420</v>
      </c>
      <c r="K2001" s="29" t="s">
        <v>3520</v>
      </c>
      <c r="L2001" s="29" t="s">
        <v>3343</v>
      </c>
      <c r="M2001" s="29" t="s">
        <v>741</v>
      </c>
      <c r="N2001" s="29" t="s">
        <v>3056</v>
      </c>
      <c r="O2001" s="29" t="s">
        <v>141</v>
      </c>
      <c r="P2001" s="30" t="s">
        <v>3521</v>
      </c>
    </row>
    <row r="2002" s="25" customFormat="1" spans="1:16">
      <c r="A2002" s="29" t="s">
        <v>3520</v>
      </c>
      <c r="B2002" s="29" t="s">
        <v>3502</v>
      </c>
      <c r="C2002" s="29" t="s">
        <v>59</v>
      </c>
      <c r="D2002" s="29" t="s">
        <v>2883</v>
      </c>
      <c r="E2002" s="29" t="s">
        <v>47</v>
      </c>
      <c r="F2002" s="29" t="s">
        <v>51</v>
      </c>
      <c r="G2002" s="29" t="s">
        <v>3050</v>
      </c>
      <c r="H2002" s="29" t="s">
        <v>3051</v>
      </c>
      <c r="I2002" s="29" t="s">
        <v>204</v>
      </c>
      <c r="J2002" s="29" t="s">
        <v>424</v>
      </c>
      <c r="K2002" s="29" t="s">
        <v>3522</v>
      </c>
      <c r="L2002" s="29" t="s">
        <v>3405</v>
      </c>
      <c r="M2002" s="29" t="s">
        <v>741</v>
      </c>
      <c r="N2002" s="29" t="s">
        <v>3056</v>
      </c>
      <c r="O2002" s="29" t="s">
        <v>141</v>
      </c>
      <c r="P2002" s="30" t="s">
        <v>3523</v>
      </c>
    </row>
    <row r="2003" s="25" customFormat="1" spans="1:16">
      <c r="A2003" s="29" t="s">
        <v>3522</v>
      </c>
      <c r="B2003" s="29" t="s">
        <v>3502</v>
      </c>
      <c r="C2003" s="29" t="s">
        <v>59</v>
      </c>
      <c r="D2003" s="29" t="s">
        <v>2883</v>
      </c>
      <c r="E2003" s="29" t="s">
        <v>47</v>
      </c>
      <c r="F2003" s="29" t="s">
        <v>51</v>
      </c>
      <c r="G2003" s="29" t="s">
        <v>3050</v>
      </c>
      <c r="H2003" s="29" t="s">
        <v>3051</v>
      </c>
      <c r="I2003" s="29" t="s">
        <v>204</v>
      </c>
      <c r="J2003" s="29" t="s">
        <v>631</v>
      </c>
      <c r="K2003" s="29" t="s">
        <v>3524</v>
      </c>
      <c r="L2003" s="29" t="s">
        <v>3407</v>
      </c>
      <c r="M2003" s="29" t="s">
        <v>741</v>
      </c>
      <c r="N2003" s="29" t="s">
        <v>3056</v>
      </c>
      <c r="O2003" s="29" t="s">
        <v>141</v>
      </c>
      <c r="P2003" s="30" t="s">
        <v>3525</v>
      </c>
    </row>
    <row r="2004" s="25" customFormat="1" spans="1:16">
      <c r="A2004" s="29" t="s">
        <v>3524</v>
      </c>
      <c r="B2004" s="29" t="s">
        <v>3502</v>
      </c>
      <c r="C2004" s="29" t="s">
        <v>59</v>
      </c>
      <c r="D2004" s="29" t="s">
        <v>2883</v>
      </c>
      <c r="E2004" s="29" t="s">
        <v>47</v>
      </c>
      <c r="F2004" s="29" t="s">
        <v>51</v>
      </c>
      <c r="G2004" s="29" t="s">
        <v>3050</v>
      </c>
      <c r="H2004" s="29" t="s">
        <v>3051</v>
      </c>
      <c r="I2004" s="29" t="s">
        <v>204</v>
      </c>
      <c r="J2004" s="29" t="s">
        <v>635</v>
      </c>
      <c r="K2004" s="29" t="s">
        <v>3526</v>
      </c>
      <c r="L2004" s="29" t="s">
        <v>3410</v>
      </c>
      <c r="M2004" s="29" t="s">
        <v>741</v>
      </c>
      <c r="N2004" s="29" t="s">
        <v>3056</v>
      </c>
      <c r="O2004" s="29" t="s">
        <v>141</v>
      </c>
      <c r="P2004" s="30" t="s">
        <v>3527</v>
      </c>
    </row>
    <row r="2005" s="25" customFormat="1" spans="1:16">
      <c r="A2005" s="29" t="s">
        <v>3526</v>
      </c>
      <c r="B2005" s="29" t="s">
        <v>3502</v>
      </c>
      <c r="C2005" s="29" t="s">
        <v>59</v>
      </c>
      <c r="D2005" s="29" t="s">
        <v>2883</v>
      </c>
      <c r="E2005" s="29" t="s">
        <v>47</v>
      </c>
      <c r="F2005" s="29" t="s">
        <v>51</v>
      </c>
      <c r="G2005" s="29" t="s">
        <v>3050</v>
      </c>
      <c r="H2005" s="29" t="s">
        <v>3051</v>
      </c>
      <c r="I2005" s="29" t="s">
        <v>204</v>
      </c>
      <c r="J2005" s="29" t="s">
        <v>639</v>
      </c>
      <c r="K2005" s="29" t="s">
        <v>3528</v>
      </c>
      <c r="L2005" s="29" t="s">
        <v>3413</v>
      </c>
      <c r="M2005" s="29" t="s">
        <v>741</v>
      </c>
      <c r="N2005" s="29" t="s">
        <v>3056</v>
      </c>
      <c r="O2005" s="29" t="s">
        <v>141</v>
      </c>
      <c r="P2005" s="30" t="s">
        <v>3529</v>
      </c>
    </row>
    <row r="2006" s="25" customFormat="1" spans="1:16">
      <c r="A2006" s="29" t="s">
        <v>3528</v>
      </c>
      <c r="B2006" s="29" t="s">
        <v>3502</v>
      </c>
      <c r="C2006" s="29" t="s">
        <v>59</v>
      </c>
      <c r="D2006" s="29" t="s">
        <v>2883</v>
      </c>
      <c r="E2006" s="29" t="s">
        <v>47</v>
      </c>
      <c r="F2006" s="29" t="s">
        <v>51</v>
      </c>
      <c r="G2006" s="29" t="s">
        <v>3050</v>
      </c>
      <c r="H2006" s="29" t="s">
        <v>3051</v>
      </c>
      <c r="I2006" s="29" t="s">
        <v>204</v>
      </c>
      <c r="J2006" s="29" t="s">
        <v>643</v>
      </c>
      <c r="K2006" s="29" t="s">
        <v>3530</v>
      </c>
      <c r="L2006" s="29" t="s">
        <v>3416</v>
      </c>
      <c r="M2006" s="29" t="s">
        <v>741</v>
      </c>
      <c r="N2006" s="29" t="s">
        <v>3056</v>
      </c>
      <c r="O2006" s="29" t="s">
        <v>141</v>
      </c>
      <c r="P2006" s="30" t="s">
        <v>3531</v>
      </c>
    </row>
    <row r="2007" s="25" customFormat="1" spans="1:16">
      <c r="A2007" s="29" t="s">
        <v>3530</v>
      </c>
      <c r="B2007" s="29" t="s">
        <v>3502</v>
      </c>
      <c r="C2007" s="29" t="s">
        <v>59</v>
      </c>
      <c r="D2007" s="29" t="s">
        <v>2883</v>
      </c>
      <c r="E2007" s="29" t="s">
        <v>47</v>
      </c>
      <c r="F2007" s="29" t="s">
        <v>51</v>
      </c>
      <c r="G2007" s="29" t="s">
        <v>3050</v>
      </c>
      <c r="H2007" s="29" t="s">
        <v>3051</v>
      </c>
      <c r="I2007" s="29" t="s">
        <v>204</v>
      </c>
      <c r="J2007" s="29" t="s">
        <v>647</v>
      </c>
      <c r="K2007" s="29" t="s">
        <v>39</v>
      </c>
      <c r="L2007" s="29" t="s">
        <v>39</v>
      </c>
      <c r="M2007" s="29" t="s">
        <v>39</v>
      </c>
      <c r="N2007" s="29" t="s">
        <v>3056</v>
      </c>
      <c r="O2007" s="29" t="s">
        <v>141</v>
      </c>
      <c r="P2007" s="30" t="s">
        <v>3532</v>
      </c>
    </row>
    <row r="2008" s="25" customFormat="1" spans="1:16">
      <c r="A2008" s="29" t="s">
        <v>3533</v>
      </c>
      <c r="B2008" s="29" t="s">
        <v>3533</v>
      </c>
      <c r="C2008" s="29" t="s">
        <v>59</v>
      </c>
      <c r="D2008" s="29" t="s">
        <v>2883</v>
      </c>
      <c r="E2008" s="29" t="s">
        <v>47</v>
      </c>
      <c r="F2008" s="29" t="s">
        <v>51</v>
      </c>
      <c r="G2008" s="29" t="s">
        <v>3076</v>
      </c>
      <c r="H2008" s="29" t="s">
        <v>3077</v>
      </c>
      <c r="I2008" s="29" t="s">
        <v>204</v>
      </c>
      <c r="J2008" s="29" t="s">
        <v>39</v>
      </c>
      <c r="K2008" s="29" t="s">
        <v>3534</v>
      </c>
      <c r="L2008" s="29" t="s">
        <v>3016</v>
      </c>
      <c r="M2008" s="29" t="s">
        <v>773</v>
      </c>
      <c r="N2008" s="29" t="s">
        <v>3079</v>
      </c>
      <c r="O2008" s="29" t="s">
        <v>145</v>
      </c>
      <c r="P2008" s="30" t="s">
        <v>3080</v>
      </c>
    </row>
    <row r="2009" s="25" customFormat="1" spans="1:16">
      <c r="A2009" s="29" t="s">
        <v>3534</v>
      </c>
      <c r="B2009" s="29" t="s">
        <v>3533</v>
      </c>
      <c r="C2009" s="29" t="s">
        <v>59</v>
      </c>
      <c r="D2009" s="29" t="s">
        <v>2883</v>
      </c>
      <c r="E2009" s="29" t="s">
        <v>47</v>
      </c>
      <c r="F2009" s="29" t="s">
        <v>51</v>
      </c>
      <c r="G2009" s="29" t="s">
        <v>3076</v>
      </c>
      <c r="H2009" s="29" t="s">
        <v>3077</v>
      </c>
      <c r="I2009" s="29" t="s">
        <v>204</v>
      </c>
      <c r="J2009" s="29" t="s">
        <v>35</v>
      </c>
      <c r="K2009" s="29" t="s">
        <v>3535</v>
      </c>
      <c r="L2009" s="29" t="s">
        <v>3020</v>
      </c>
      <c r="M2009" s="29" t="s">
        <v>773</v>
      </c>
      <c r="N2009" s="29" t="s">
        <v>3082</v>
      </c>
      <c r="O2009" s="29" t="s">
        <v>145</v>
      </c>
      <c r="P2009" s="30" t="s">
        <v>3083</v>
      </c>
    </row>
    <row r="2010" s="25" customFormat="1" spans="1:16">
      <c r="A2010" s="29" t="s">
        <v>3535</v>
      </c>
      <c r="B2010" s="29" t="s">
        <v>3533</v>
      </c>
      <c r="C2010" s="29" t="s">
        <v>59</v>
      </c>
      <c r="D2010" s="29" t="s">
        <v>2883</v>
      </c>
      <c r="E2010" s="29" t="s">
        <v>47</v>
      </c>
      <c r="F2010" s="29" t="s">
        <v>51</v>
      </c>
      <c r="G2010" s="29" t="s">
        <v>3076</v>
      </c>
      <c r="H2010" s="29" t="s">
        <v>3077</v>
      </c>
      <c r="I2010" s="29" t="s">
        <v>204</v>
      </c>
      <c r="J2010" s="29" t="s">
        <v>47</v>
      </c>
      <c r="K2010" s="29" t="s">
        <v>3536</v>
      </c>
      <c r="L2010" s="29" t="s">
        <v>3024</v>
      </c>
      <c r="M2010" s="29" t="s">
        <v>773</v>
      </c>
      <c r="N2010" s="29" t="s">
        <v>3082</v>
      </c>
      <c r="O2010" s="29" t="s">
        <v>145</v>
      </c>
      <c r="P2010" s="30" t="s">
        <v>3085</v>
      </c>
    </row>
    <row r="2011" s="25" customFormat="1" spans="1:16">
      <c r="A2011" s="29" t="s">
        <v>3536</v>
      </c>
      <c r="B2011" s="29" t="s">
        <v>3533</v>
      </c>
      <c r="C2011" s="29" t="s">
        <v>59</v>
      </c>
      <c r="D2011" s="29" t="s">
        <v>2883</v>
      </c>
      <c r="E2011" s="29" t="s">
        <v>47</v>
      </c>
      <c r="F2011" s="29" t="s">
        <v>51</v>
      </c>
      <c r="G2011" s="29" t="s">
        <v>3076</v>
      </c>
      <c r="H2011" s="29" t="s">
        <v>3077</v>
      </c>
      <c r="I2011" s="29" t="s">
        <v>204</v>
      </c>
      <c r="J2011" s="29" t="s">
        <v>51</v>
      </c>
      <c r="K2011" s="29" t="s">
        <v>3537</v>
      </c>
      <c r="L2011" s="29" t="s">
        <v>3027</v>
      </c>
      <c r="M2011" s="29" t="s">
        <v>773</v>
      </c>
      <c r="N2011" s="29" t="s">
        <v>3082</v>
      </c>
      <c r="O2011" s="29" t="s">
        <v>145</v>
      </c>
      <c r="P2011" s="30" t="s">
        <v>3087</v>
      </c>
    </row>
    <row r="2012" s="25" customFormat="1" spans="1:16">
      <c r="A2012" s="29" t="s">
        <v>3537</v>
      </c>
      <c r="B2012" s="29" t="s">
        <v>3533</v>
      </c>
      <c r="C2012" s="29" t="s">
        <v>59</v>
      </c>
      <c r="D2012" s="29" t="s">
        <v>2883</v>
      </c>
      <c r="E2012" s="29" t="s">
        <v>47</v>
      </c>
      <c r="F2012" s="29" t="s">
        <v>51</v>
      </c>
      <c r="G2012" s="29" t="s">
        <v>3076</v>
      </c>
      <c r="H2012" s="29" t="s">
        <v>3077</v>
      </c>
      <c r="I2012" s="29" t="s">
        <v>204</v>
      </c>
      <c r="J2012" s="29" t="s">
        <v>55</v>
      </c>
      <c r="K2012" s="29" t="s">
        <v>3538</v>
      </c>
      <c r="L2012" s="29" t="s">
        <v>3030</v>
      </c>
      <c r="M2012" s="29" t="s">
        <v>773</v>
      </c>
      <c r="N2012" s="29" t="s">
        <v>3082</v>
      </c>
      <c r="O2012" s="29" t="s">
        <v>145</v>
      </c>
      <c r="P2012" s="30" t="s">
        <v>3089</v>
      </c>
    </row>
    <row r="2013" s="25" customFormat="1" spans="1:16">
      <c r="A2013" s="29" t="s">
        <v>3538</v>
      </c>
      <c r="B2013" s="29" t="s">
        <v>3533</v>
      </c>
      <c r="C2013" s="29" t="s">
        <v>59</v>
      </c>
      <c r="D2013" s="29" t="s">
        <v>2883</v>
      </c>
      <c r="E2013" s="29" t="s">
        <v>47</v>
      </c>
      <c r="F2013" s="29" t="s">
        <v>51</v>
      </c>
      <c r="G2013" s="29" t="s">
        <v>3076</v>
      </c>
      <c r="H2013" s="29" t="s">
        <v>3077</v>
      </c>
      <c r="I2013" s="29" t="s">
        <v>204</v>
      </c>
      <c r="J2013" s="29" t="s">
        <v>59</v>
      </c>
      <c r="K2013" s="29" t="s">
        <v>3539</v>
      </c>
      <c r="L2013" s="29" t="s">
        <v>3033</v>
      </c>
      <c r="M2013" s="29" t="s">
        <v>773</v>
      </c>
      <c r="N2013" s="29" t="s">
        <v>3082</v>
      </c>
      <c r="O2013" s="29" t="s">
        <v>145</v>
      </c>
      <c r="P2013" s="30" t="s">
        <v>3091</v>
      </c>
    </row>
    <row r="2014" s="25" customFormat="1" spans="1:16">
      <c r="A2014" s="29" t="s">
        <v>3539</v>
      </c>
      <c r="B2014" s="29" t="s">
        <v>3533</v>
      </c>
      <c r="C2014" s="29" t="s">
        <v>59</v>
      </c>
      <c r="D2014" s="29" t="s">
        <v>2883</v>
      </c>
      <c r="E2014" s="29" t="s">
        <v>47</v>
      </c>
      <c r="F2014" s="29" t="s">
        <v>51</v>
      </c>
      <c r="G2014" s="29" t="s">
        <v>3076</v>
      </c>
      <c r="H2014" s="29" t="s">
        <v>3077</v>
      </c>
      <c r="I2014" s="29" t="s">
        <v>204</v>
      </c>
      <c r="J2014" s="29" t="s">
        <v>129</v>
      </c>
      <c r="K2014" s="29" t="s">
        <v>3540</v>
      </c>
      <c r="L2014" s="29" t="s">
        <v>3036</v>
      </c>
      <c r="M2014" s="29" t="s">
        <v>773</v>
      </c>
      <c r="N2014" s="29" t="s">
        <v>3082</v>
      </c>
      <c r="O2014" s="29" t="s">
        <v>145</v>
      </c>
      <c r="P2014" s="30" t="s">
        <v>3093</v>
      </c>
    </row>
    <row r="2015" s="25" customFormat="1" spans="1:16">
      <c r="A2015" s="29" t="s">
        <v>3540</v>
      </c>
      <c r="B2015" s="29" t="s">
        <v>3533</v>
      </c>
      <c r="C2015" s="29" t="s">
        <v>59</v>
      </c>
      <c r="D2015" s="29" t="s">
        <v>2883</v>
      </c>
      <c r="E2015" s="29" t="s">
        <v>47</v>
      </c>
      <c r="F2015" s="29" t="s">
        <v>51</v>
      </c>
      <c r="G2015" s="29" t="s">
        <v>3076</v>
      </c>
      <c r="H2015" s="29" t="s">
        <v>3077</v>
      </c>
      <c r="I2015" s="29" t="s">
        <v>204</v>
      </c>
      <c r="J2015" s="29" t="s">
        <v>133</v>
      </c>
      <c r="K2015" s="29" t="s">
        <v>3541</v>
      </c>
      <c r="L2015" s="29" t="s">
        <v>3039</v>
      </c>
      <c r="M2015" s="29" t="s">
        <v>773</v>
      </c>
      <c r="N2015" s="29" t="s">
        <v>3082</v>
      </c>
      <c r="O2015" s="29" t="s">
        <v>145</v>
      </c>
      <c r="P2015" s="30" t="s">
        <v>3095</v>
      </c>
    </row>
    <row r="2016" s="25" customFormat="1" spans="1:16">
      <c r="A2016" s="29" t="s">
        <v>3541</v>
      </c>
      <c r="B2016" s="29" t="s">
        <v>3533</v>
      </c>
      <c r="C2016" s="29" t="s">
        <v>59</v>
      </c>
      <c r="D2016" s="29" t="s">
        <v>2883</v>
      </c>
      <c r="E2016" s="29" t="s">
        <v>47</v>
      </c>
      <c r="F2016" s="29" t="s">
        <v>51</v>
      </c>
      <c r="G2016" s="29" t="s">
        <v>3076</v>
      </c>
      <c r="H2016" s="29" t="s">
        <v>3077</v>
      </c>
      <c r="I2016" s="29" t="s">
        <v>204</v>
      </c>
      <c r="J2016" s="29" t="s">
        <v>137</v>
      </c>
      <c r="K2016" s="29" t="s">
        <v>3542</v>
      </c>
      <c r="L2016" s="29" t="s">
        <v>3042</v>
      </c>
      <c r="M2016" s="29" t="s">
        <v>773</v>
      </c>
      <c r="N2016" s="29" t="s">
        <v>3082</v>
      </c>
      <c r="O2016" s="29" t="s">
        <v>145</v>
      </c>
      <c r="P2016" s="30" t="s">
        <v>3097</v>
      </c>
    </row>
    <row r="2017" s="25" customFormat="1" spans="1:16">
      <c r="A2017" s="29" t="s">
        <v>3542</v>
      </c>
      <c r="B2017" s="29" t="s">
        <v>3533</v>
      </c>
      <c r="C2017" s="29" t="s">
        <v>59</v>
      </c>
      <c r="D2017" s="29" t="s">
        <v>2883</v>
      </c>
      <c r="E2017" s="29" t="s">
        <v>47</v>
      </c>
      <c r="F2017" s="29" t="s">
        <v>51</v>
      </c>
      <c r="G2017" s="29" t="s">
        <v>3076</v>
      </c>
      <c r="H2017" s="29" t="s">
        <v>3077</v>
      </c>
      <c r="I2017" s="29" t="s">
        <v>204</v>
      </c>
      <c r="J2017" s="29" t="s">
        <v>141</v>
      </c>
      <c r="K2017" s="29" t="s">
        <v>3543</v>
      </c>
      <c r="L2017" s="29" t="s">
        <v>3045</v>
      </c>
      <c r="M2017" s="29" t="s">
        <v>773</v>
      </c>
      <c r="N2017" s="29" t="s">
        <v>3082</v>
      </c>
      <c r="O2017" s="29" t="s">
        <v>145</v>
      </c>
      <c r="P2017" s="30" t="s">
        <v>3099</v>
      </c>
    </row>
    <row r="2018" s="25" customFormat="1" spans="1:16">
      <c r="A2018" s="29" t="s">
        <v>3543</v>
      </c>
      <c r="B2018" s="29" t="s">
        <v>3533</v>
      </c>
      <c r="C2018" s="29" t="s">
        <v>59</v>
      </c>
      <c r="D2018" s="29" t="s">
        <v>2883</v>
      </c>
      <c r="E2018" s="29" t="s">
        <v>47</v>
      </c>
      <c r="F2018" s="29" t="s">
        <v>51</v>
      </c>
      <c r="G2018" s="29" t="s">
        <v>3076</v>
      </c>
      <c r="H2018" s="29" t="s">
        <v>3077</v>
      </c>
      <c r="I2018" s="29" t="s">
        <v>204</v>
      </c>
      <c r="J2018" s="29" t="s">
        <v>145</v>
      </c>
      <c r="K2018" s="29" t="s">
        <v>3544</v>
      </c>
      <c r="L2018" s="29" t="s">
        <v>3047</v>
      </c>
      <c r="M2018" s="29" t="s">
        <v>773</v>
      </c>
      <c r="N2018" s="29" t="s">
        <v>3082</v>
      </c>
      <c r="O2018" s="29" t="s">
        <v>145</v>
      </c>
      <c r="P2018" s="30" t="s">
        <v>3100</v>
      </c>
    </row>
    <row r="2019" s="25" customFormat="1" spans="1:16">
      <c r="A2019" s="29" t="s">
        <v>3544</v>
      </c>
      <c r="B2019" s="29" t="s">
        <v>3533</v>
      </c>
      <c r="C2019" s="29" t="s">
        <v>59</v>
      </c>
      <c r="D2019" s="29" t="s">
        <v>2883</v>
      </c>
      <c r="E2019" s="29" t="s">
        <v>47</v>
      </c>
      <c r="F2019" s="29" t="s">
        <v>51</v>
      </c>
      <c r="G2019" s="29" t="s">
        <v>3076</v>
      </c>
      <c r="H2019" s="29" t="s">
        <v>3077</v>
      </c>
      <c r="I2019" s="29" t="s">
        <v>204</v>
      </c>
      <c r="J2019" s="29" t="s">
        <v>408</v>
      </c>
      <c r="K2019" s="29" t="s">
        <v>3545</v>
      </c>
      <c r="L2019" s="29" t="s">
        <v>3310</v>
      </c>
      <c r="M2019" s="29" t="s">
        <v>773</v>
      </c>
      <c r="N2019" s="29" t="s">
        <v>3082</v>
      </c>
      <c r="O2019" s="29" t="s">
        <v>145</v>
      </c>
      <c r="P2019" s="30" t="s">
        <v>3546</v>
      </c>
    </row>
    <row r="2020" s="25" customFormat="1" spans="1:16">
      <c r="A2020" s="29" t="s">
        <v>3545</v>
      </c>
      <c r="B2020" s="29" t="s">
        <v>3533</v>
      </c>
      <c r="C2020" s="29" t="s">
        <v>59</v>
      </c>
      <c r="D2020" s="29" t="s">
        <v>2883</v>
      </c>
      <c r="E2020" s="29" t="s">
        <v>47</v>
      </c>
      <c r="F2020" s="29" t="s">
        <v>51</v>
      </c>
      <c r="G2020" s="29" t="s">
        <v>3076</v>
      </c>
      <c r="H2020" s="29" t="s">
        <v>3077</v>
      </c>
      <c r="I2020" s="29" t="s">
        <v>204</v>
      </c>
      <c r="J2020" s="29" t="s">
        <v>412</v>
      </c>
      <c r="K2020" s="29" t="s">
        <v>3547</v>
      </c>
      <c r="L2020" s="29" t="s">
        <v>3313</v>
      </c>
      <c r="M2020" s="29" t="s">
        <v>773</v>
      </c>
      <c r="N2020" s="29" t="s">
        <v>3082</v>
      </c>
      <c r="O2020" s="29" t="s">
        <v>145</v>
      </c>
      <c r="P2020" s="30" t="s">
        <v>3548</v>
      </c>
    </row>
    <row r="2021" s="25" customFormat="1" spans="1:16">
      <c r="A2021" s="29" t="s">
        <v>3547</v>
      </c>
      <c r="B2021" s="29" t="s">
        <v>3533</v>
      </c>
      <c r="C2021" s="29" t="s">
        <v>59</v>
      </c>
      <c r="D2021" s="29" t="s">
        <v>2883</v>
      </c>
      <c r="E2021" s="29" t="s">
        <v>47</v>
      </c>
      <c r="F2021" s="29" t="s">
        <v>51</v>
      </c>
      <c r="G2021" s="29" t="s">
        <v>3076</v>
      </c>
      <c r="H2021" s="29" t="s">
        <v>3077</v>
      </c>
      <c r="I2021" s="29" t="s">
        <v>204</v>
      </c>
      <c r="J2021" s="29" t="s">
        <v>416</v>
      </c>
      <c r="K2021" s="29" t="s">
        <v>3549</v>
      </c>
      <c r="L2021" s="29" t="s">
        <v>3340</v>
      </c>
      <c r="M2021" s="29" t="s">
        <v>773</v>
      </c>
      <c r="N2021" s="29" t="s">
        <v>3082</v>
      </c>
      <c r="O2021" s="29" t="s">
        <v>145</v>
      </c>
      <c r="P2021" s="30" t="s">
        <v>3550</v>
      </c>
    </row>
    <row r="2022" s="25" customFormat="1" spans="1:16">
      <c r="A2022" s="29" t="s">
        <v>3549</v>
      </c>
      <c r="B2022" s="29" t="s">
        <v>3533</v>
      </c>
      <c r="C2022" s="29" t="s">
        <v>59</v>
      </c>
      <c r="D2022" s="29" t="s">
        <v>2883</v>
      </c>
      <c r="E2022" s="29" t="s">
        <v>47</v>
      </c>
      <c r="F2022" s="29" t="s">
        <v>51</v>
      </c>
      <c r="G2022" s="29" t="s">
        <v>3076</v>
      </c>
      <c r="H2022" s="29" t="s">
        <v>3077</v>
      </c>
      <c r="I2022" s="29" t="s">
        <v>204</v>
      </c>
      <c r="J2022" s="29" t="s">
        <v>420</v>
      </c>
      <c r="K2022" s="29" t="s">
        <v>3551</v>
      </c>
      <c r="L2022" s="29" t="s">
        <v>3343</v>
      </c>
      <c r="M2022" s="29" t="s">
        <v>773</v>
      </c>
      <c r="N2022" s="29" t="s">
        <v>3082</v>
      </c>
      <c r="O2022" s="29" t="s">
        <v>145</v>
      </c>
      <c r="P2022" s="30" t="s">
        <v>3552</v>
      </c>
    </row>
    <row r="2023" s="25" customFormat="1" spans="1:16">
      <c r="A2023" s="29" t="s">
        <v>3551</v>
      </c>
      <c r="B2023" s="29" t="s">
        <v>3533</v>
      </c>
      <c r="C2023" s="29" t="s">
        <v>59</v>
      </c>
      <c r="D2023" s="29" t="s">
        <v>2883</v>
      </c>
      <c r="E2023" s="29" t="s">
        <v>47</v>
      </c>
      <c r="F2023" s="29" t="s">
        <v>51</v>
      </c>
      <c r="G2023" s="29" t="s">
        <v>3076</v>
      </c>
      <c r="H2023" s="29" t="s">
        <v>3077</v>
      </c>
      <c r="I2023" s="29" t="s">
        <v>204</v>
      </c>
      <c r="J2023" s="29" t="s">
        <v>424</v>
      </c>
      <c r="K2023" s="29" t="s">
        <v>3553</v>
      </c>
      <c r="L2023" s="29" t="s">
        <v>3405</v>
      </c>
      <c r="M2023" s="29" t="s">
        <v>773</v>
      </c>
      <c r="N2023" s="29" t="s">
        <v>3082</v>
      </c>
      <c r="O2023" s="29" t="s">
        <v>145</v>
      </c>
      <c r="P2023" s="30" t="s">
        <v>3554</v>
      </c>
    </row>
    <row r="2024" s="25" customFormat="1" spans="1:16">
      <c r="A2024" s="29" t="s">
        <v>3553</v>
      </c>
      <c r="B2024" s="29" t="s">
        <v>3533</v>
      </c>
      <c r="C2024" s="29" t="s">
        <v>59</v>
      </c>
      <c r="D2024" s="29" t="s">
        <v>2883</v>
      </c>
      <c r="E2024" s="29" t="s">
        <v>47</v>
      </c>
      <c r="F2024" s="29" t="s">
        <v>51</v>
      </c>
      <c r="G2024" s="29" t="s">
        <v>3076</v>
      </c>
      <c r="H2024" s="29" t="s">
        <v>3077</v>
      </c>
      <c r="I2024" s="29" t="s">
        <v>204</v>
      </c>
      <c r="J2024" s="29" t="s">
        <v>631</v>
      </c>
      <c r="K2024" s="29" t="s">
        <v>3555</v>
      </c>
      <c r="L2024" s="29" t="s">
        <v>3407</v>
      </c>
      <c r="M2024" s="29" t="s">
        <v>773</v>
      </c>
      <c r="N2024" s="29" t="s">
        <v>3082</v>
      </c>
      <c r="O2024" s="29" t="s">
        <v>145</v>
      </c>
      <c r="P2024" s="30" t="s">
        <v>3556</v>
      </c>
    </row>
    <row r="2025" s="25" customFormat="1" spans="1:16">
      <c r="A2025" s="29" t="s">
        <v>3555</v>
      </c>
      <c r="B2025" s="29" t="s">
        <v>3533</v>
      </c>
      <c r="C2025" s="29" t="s">
        <v>59</v>
      </c>
      <c r="D2025" s="29" t="s">
        <v>2883</v>
      </c>
      <c r="E2025" s="29" t="s">
        <v>47</v>
      </c>
      <c r="F2025" s="29" t="s">
        <v>51</v>
      </c>
      <c r="G2025" s="29" t="s">
        <v>3076</v>
      </c>
      <c r="H2025" s="29" t="s">
        <v>3077</v>
      </c>
      <c r="I2025" s="29" t="s">
        <v>204</v>
      </c>
      <c r="J2025" s="29" t="s">
        <v>635</v>
      </c>
      <c r="K2025" s="29" t="s">
        <v>3557</v>
      </c>
      <c r="L2025" s="29" t="s">
        <v>3410</v>
      </c>
      <c r="M2025" s="29" t="s">
        <v>773</v>
      </c>
      <c r="N2025" s="29" t="s">
        <v>3082</v>
      </c>
      <c r="O2025" s="29" t="s">
        <v>145</v>
      </c>
      <c r="P2025" s="30" t="s">
        <v>3558</v>
      </c>
    </row>
    <row r="2026" s="25" customFormat="1" spans="1:16">
      <c r="A2026" s="29" t="s">
        <v>3557</v>
      </c>
      <c r="B2026" s="29" t="s">
        <v>3533</v>
      </c>
      <c r="C2026" s="29" t="s">
        <v>59</v>
      </c>
      <c r="D2026" s="29" t="s">
        <v>2883</v>
      </c>
      <c r="E2026" s="29" t="s">
        <v>47</v>
      </c>
      <c r="F2026" s="29" t="s">
        <v>51</v>
      </c>
      <c r="G2026" s="29" t="s">
        <v>3076</v>
      </c>
      <c r="H2026" s="29" t="s">
        <v>3077</v>
      </c>
      <c r="I2026" s="29" t="s">
        <v>204</v>
      </c>
      <c r="J2026" s="29" t="s">
        <v>639</v>
      </c>
      <c r="K2026" s="29" t="s">
        <v>3559</v>
      </c>
      <c r="L2026" s="29" t="s">
        <v>3413</v>
      </c>
      <c r="M2026" s="29" t="s">
        <v>773</v>
      </c>
      <c r="N2026" s="29" t="s">
        <v>3082</v>
      </c>
      <c r="O2026" s="29" t="s">
        <v>145</v>
      </c>
      <c r="P2026" s="30" t="s">
        <v>3560</v>
      </c>
    </row>
    <row r="2027" s="25" customFormat="1" spans="1:16">
      <c r="A2027" s="29" t="s">
        <v>3559</v>
      </c>
      <c r="B2027" s="29" t="s">
        <v>3533</v>
      </c>
      <c r="C2027" s="29" t="s">
        <v>59</v>
      </c>
      <c r="D2027" s="29" t="s">
        <v>2883</v>
      </c>
      <c r="E2027" s="29" t="s">
        <v>47</v>
      </c>
      <c r="F2027" s="29" t="s">
        <v>51</v>
      </c>
      <c r="G2027" s="29" t="s">
        <v>3076</v>
      </c>
      <c r="H2027" s="29" t="s">
        <v>3077</v>
      </c>
      <c r="I2027" s="29" t="s">
        <v>204</v>
      </c>
      <c r="J2027" s="29" t="s">
        <v>643</v>
      </c>
      <c r="K2027" s="29" t="s">
        <v>3561</v>
      </c>
      <c r="L2027" s="29" t="s">
        <v>3416</v>
      </c>
      <c r="M2027" s="29" t="s">
        <v>773</v>
      </c>
      <c r="N2027" s="29" t="s">
        <v>3082</v>
      </c>
      <c r="O2027" s="29" t="s">
        <v>145</v>
      </c>
      <c r="P2027" s="30" t="s">
        <v>3562</v>
      </c>
    </row>
    <row r="2028" s="25" customFormat="1" spans="1:16">
      <c r="A2028" s="29" t="s">
        <v>3561</v>
      </c>
      <c r="B2028" s="29" t="s">
        <v>3533</v>
      </c>
      <c r="C2028" s="29" t="s">
        <v>59</v>
      </c>
      <c r="D2028" s="29" t="s">
        <v>2883</v>
      </c>
      <c r="E2028" s="29" t="s">
        <v>47</v>
      </c>
      <c r="F2028" s="29" t="s">
        <v>51</v>
      </c>
      <c r="G2028" s="29" t="s">
        <v>3076</v>
      </c>
      <c r="H2028" s="29" t="s">
        <v>3077</v>
      </c>
      <c r="I2028" s="29" t="s">
        <v>204</v>
      </c>
      <c r="J2028" s="29" t="s">
        <v>647</v>
      </c>
      <c r="K2028" s="29" t="s">
        <v>39</v>
      </c>
      <c r="L2028" s="29" t="s">
        <v>39</v>
      </c>
      <c r="M2028" s="29" t="s">
        <v>39</v>
      </c>
      <c r="N2028" s="29" t="s">
        <v>3082</v>
      </c>
      <c r="O2028" s="29" t="s">
        <v>145</v>
      </c>
      <c r="P2028" s="30" t="s">
        <v>3563</v>
      </c>
    </row>
    <row r="2029" s="25" customFormat="1" spans="1:16">
      <c r="A2029" s="29" t="s">
        <v>3564</v>
      </c>
      <c r="B2029" s="29" t="s">
        <v>3564</v>
      </c>
      <c r="C2029" s="29" t="s">
        <v>129</v>
      </c>
      <c r="D2029" s="29" t="s">
        <v>3565</v>
      </c>
      <c r="E2029" s="29" t="s">
        <v>35</v>
      </c>
      <c r="F2029" s="29" t="s">
        <v>35</v>
      </c>
      <c r="G2029" s="29" t="s">
        <v>37</v>
      </c>
      <c r="H2029" s="29" t="s">
        <v>38</v>
      </c>
      <c r="I2029" s="29" t="s">
        <v>39</v>
      </c>
      <c r="J2029" s="29" t="s">
        <v>39</v>
      </c>
      <c r="K2029" s="29" t="s">
        <v>3565</v>
      </c>
      <c r="L2029" s="29" t="s">
        <v>3566</v>
      </c>
      <c r="M2029" s="29" t="s">
        <v>39</v>
      </c>
      <c r="N2029" s="29" t="s">
        <v>3567</v>
      </c>
      <c r="O2029" s="29" t="s">
        <v>35</v>
      </c>
      <c r="P2029" s="30" t="s">
        <v>3568</v>
      </c>
    </row>
    <row r="2030" s="25" customFormat="1" spans="1:16">
      <c r="A2030" s="29" t="s">
        <v>3565</v>
      </c>
      <c r="B2030" s="29" t="s">
        <v>3564</v>
      </c>
      <c r="C2030" s="29" t="s">
        <v>129</v>
      </c>
      <c r="D2030" s="29" t="s">
        <v>3565</v>
      </c>
      <c r="E2030" s="29" t="s">
        <v>35</v>
      </c>
      <c r="F2030" s="29" t="s">
        <v>35</v>
      </c>
      <c r="G2030" s="29" t="s">
        <v>37</v>
      </c>
      <c r="H2030" s="29" t="s">
        <v>38</v>
      </c>
      <c r="I2030" s="29" t="s">
        <v>39</v>
      </c>
      <c r="J2030" s="29" t="s">
        <v>35</v>
      </c>
      <c r="K2030" s="29" t="s">
        <v>3569</v>
      </c>
      <c r="L2030" s="29" t="s">
        <v>3570</v>
      </c>
      <c r="M2030" s="29" t="s">
        <v>39</v>
      </c>
      <c r="N2030" s="29" t="s">
        <v>3571</v>
      </c>
      <c r="O2030" s="29" t="s">
        <v>35</v>
      </c>
      <c r="P2030" s="30" t="s">
        <v>3572</v>
      </c>
    </row>
    <row r="2031" s="25" customFormat="1" spans="1:16">
      <c r="A2031" s="29" t="s">
        <v>3569</v>
      </c>
      <c r="B2031" s="29" t="s">
        <v>3564</v>
      </c>
      <c r="C2031" s="29" t="s">
        <v>129</v>
      </c>
      <c r="D2031" s="29" t="s">
        <v>3565</v>
      </c>
      <c r="E2031" s="29" t="s">
        <v>35</v>
      </c>
      <c r="F2031" s="29" t="s">
        <v>35</v>
      </c>
      <c r="G2031" s="29" t="s">
        <v>37</v>
      </c>
      <c r="H2031" s="29" t="s">
        <v>38</v>
      </c>
      <c r="I2031" s="29" t="s">
        <v>39</v>
      </c>
      <c r="J2031" s="29" t="s">
        <v>47</v>
      </c>
      <c r="K2031" s="29" t="s">
        <v>3573</v>
      </c>
      <c r="L2031" s="29" t="s">
        <v>3574</v>
      </c>
      <c r="M2031" s="29" t="s">
        <v>39</v>
      </c>
      <c r="N2031" s="29" t="s">
        <v>3571</v>
      </c>
      <c r="O2031" s="29" t="s">
        <v>35</v>
      </c>
      <c r="P2031" s="30" t="s">
        <v>3575</v>
      </c>
    </row>
    <row r="2032" s="25" customFormat="1" spans="1:16">
      <c r="A2032" s="29" t="s">
        <v>3573</v>
      </c>
      <c r="B2032" s="29" t="s">
        <v>3564</v>
      </c>
      <c r="C2032" s="29" t="s">
        <v>129</v>
      </c>
      <c r="D2032" s="29" t="s">
        <v>3565</v>
      </c>
      <c r="E2032" s="29" t="s">
        <v>35</v>
      </c>
      <c r="F2032" s="29" t="s">
        <v>35</v>
      </c>
      <c r="G2032" s="29" t="s">
        <v>37</v>
      </c>
      <c r="H2032" s="29" t="s">
        <v>38</v>
      </c>
      <c r="I2032" s="29" t="s">
        <v>39</v>
      </c>
      <c r="J2032" s="29" t="s">
        <v>51</v>
      </c>
      <c r="K2032" s="29" t="s">
        <v>3576</v>
      </c>
      <c r="L2032" s="29" t="s">
        <v>3577</v>
      </c>
      <c r="M2032" s="29" t="s">
        <v>39</v>
      </c>
      <c r="N2032" s="29" t="s">
        <v>3571</v>
      </c>
      <c r="O2032" s="29" t="s">
        <v>35</v>
      </c>
      <c r="P2032" s="30" t="s">
        <v>3578</v>
      </c>
    </row>
    <row r="2033" s="25" customFormat="1" spans="1:16">
      <c r="A2033" s="29" t="s">
        <v>3576</v>
      </c>
      <c r="B2033" s="29" t="s">
        <v>3564</v>
      </c>
      <c r="C2033" s="29" t="s">
        <v>129</v>
      </c>
      <c r="D2033" s="29" t="s">
        <v>3565</v>
      </c>
      <c r="E2033" s="29" t="s">
        <v>35</v>
      </c>
      <c r="F2033" s="29" t="s">
        <v>35</v>
      </c>
      <c r="G2033" s="29" t="s">
        <v>37</v>
      </c>
      <c r="H2033" s="29" t="s">
        <v>38</v>
      </c>
      <c r="I2033" s="29" t="s">
        <v>39</v>
      </c>
      <c r="J2033" s="29" t="s">
        <v>55</v>
      </c>
      <c r="K2033" s="29" t="s">
        <v>3579</v>
      </c>
      <c r="L2033" s="29" t="s">
        <v>3580</v>
      </c>
      <c r="M2033" s="29" t="s">
        <v>39</v>
      </c>
      <c r="N2033" s="29" t="s">
        <v>3571</v>
      </c>
      <c r="O2033" s="29" t="s">
        <v>35</v>
      </c>
      <c r="P2033" s="30" t="s">
        <v>3581</v>
      </c>
    </row>
    <row r="2034" s="25" customFormat="1" spans="1:16">
      <c r="A2034" s="29" t="s">
        <v>3579</v>
      </c>
      <c r="B2034" s="29" t="s">
        <v>3564</v>
      </c>
      <c r="C2034" s="29" t="s">
        <v>129</v>
      </c>
      <c r="D2034" s="29" t="s">
        <v>3565</v>
      </c>
      <c r="E2034" s="29" t="s">
        <v>35</v>
      </c>
      <c r="F2034" s="29" t="s">
        <v>35</v>
      </c>
      <c r="G2034" s="29" t="s">
        <v>37</v>
      </c>
      <c r="H2034" s="29" t="s">
        <v>38</v>
      </c>
      <c r="I2034" s="29" t="s">
        <v>39</v>
      </c>
      <c r="J2034" s="29" t="s">
        <v>59</v>
      </c>
      <c r="K2034" s="29" t="s">
        <v>39</v>
      </c>
      <c r="L2034" s="29" t="s">
        <v>39</v>
      </c>
      <c r="M2034" s="29" t="s">
        <v>39</v>
      </c>
      <c r="N2034" s="29" t="s">
        <v>3571</v>
      </c>
      <c r="O2034" s="29" t="s">
        <v>35</v>
      </c>
      <c r="P2034" s="30" t="s">
        <v>3582</v>
      </c>
    </row>
    <row r="2035" s="25" customFormat="1" spans="1:16">
      <c r="A2035" s="29" t="s">
        <v>3583</v>
      </c>
      <c r="B2035" s="29" t="s">
        <v>3583</v>
      </c>
      <c r="C2035" s="29" t="s">
        <v>129</v>
      </c>
      <c r="D2035" s="29" t="s">
        <v>3565</v>
      </c>
      <c r="E2035" s="29" t="s">
        <v>35</v>
      </c>
      <c r="F2035" s="29" t="s">
        <v>35</v>
      </c>
      <c r="G2035" s="29" t="s">
        <v>62</v>
      </c>
      <c r="H2035" s="29" t="s">
        <v>63</v>
      </c>
      <c r="I2035" s="29" t="s">
        <v>39</v>
      </c>
      <c r="J2035" s="29" t="s">
        <v>39</v>
      </c>
      <c r="K2035" s="29" t="s">
        <v>3584</v>
      </c>
      <c r="L2035" s="29" t="s">
        <v>3566</v>
      </c>
      <c r="M2035" s="29" t="s">
        <v>65</v>
      </c>
      <c r="N2035" s="29" t="s">
        <v>3585</v>
      </c>
      <c r="O2035" s="29" t="s">
        <v>47</v>
      </c>
      <c r="P2035" s="30" t="s">
        <v>3586</v>
      </c>
    </row>
    <row r="2036" s="25" customFormat="1" spans="1:16">
      <c r="A2036" s="29" t="s">
        <v>3584</v>
      </c>
      <c r="B2036" s="29" t="s">
        <v>3583</v>
      </c>
      <c r="C2036" s="29" t="s">
        <v>129</v>
      </c>
      <c r="D2036" s="29" t="s">
        <v>3565</v>
      </c>
      <c r="E2036" s="29" t="s">
        <v>35</v>
      </c>
      <c r="F2036" s="29" t="s">
        <v>35</v>
      </c>
      <c r="G2036" s="29" t="s">
        <v>62</v>
      </c>
      <c r="H2036" s="29" t="s">
        <v>63</v>
      </c>
      <c r="I2036" s="29" t="s">
        <v>39</v>
      </c>
      <c r="J2036" s="29" t="s">
        <v>35</v>
      </c>
      <c r="K2036" s="29" t="s">
        <v>3587</v>
      </c>
      <c r="L2036" s="29" t="s">
        <v>3570</v>
      </c>
      <c r="M2036" s="29" t="s">
        <v>65</v>
      </c>
      <c r="N2036" s="29" t="s">
        <v>3588</v>
      </c>
      <c r="O2036" s="29" t="s">
        <v>47</v>
      </c>
      <c r="P2036" s="30" t="s">
        <v>3589</v>
      </c>
    </row>
    <row r="2037" s="25" customFormat="1" spans="1:16">
      <c r="A2037" s="29" t="s">
        <v>3587</v>
      </c>
      <c r="B2037" s="29" t="s">
        <v>3583</v>
      </c>
      <c r="C2037" s="29" t="s">
        <v>129</v>
      </c>
      <c r="D2037" s="29" t="s">
        <v>3565</v>
      </c>
      <c r="E2037" s="29" t="s">
        <v>35</v>
      </c>
      <c r="F2037" s="29" t="s">
        <v>35</v>
      </c>
      <c r="G2037" s="29" t="s">
        <v>62</v>
      </c>
      <c r="H2037" s="29" t="s">
        <v>63</v>
      </c>
      <c r="I2037" s="29" t="s">
        <v>39</v>
      </c>
      <c r="J2037" s="29" t="s">
        <v>47</v>
      </c>
      <c r="K2037" s="29" t="s">
        <v>3590</v>
      </c>
      <c r="L2037" s="29" t="s">
        <v>3574</v>
      </c>
      <c r="M2037" s="29" t="s">
        <v>65</v>
      </c>
      <c r="N2037" s="29" t="s">
        <v>3588</v>
      </c>
      <c r="O2037" s="29" t="s">
        <v>47</v>
      </c>
      <c r="P2037" s="30" t="s">
        <v>3591</v>
      </c>
    </row>
    <row r="2038" s="25" customFormat="1" spans="1:16">
      <c r="A2038" s="29" t="s">
        <v>3590</v>
      </c>
      <c r="B2038" s="29" t="s">
        <v>3583</v>
      </c>
      <c r="C2038" s="29" t="s">
        <v>129</v>
      </c>
      <c r="D2038" s="29" t="s">
        <v>3565</v>
      </c>
      <c r="E2038" s="29" t="s">
        <v>35</v>
      </c>
      <c r="F2038" s="29" t="s">
        <v>35</v>
      </c>
      <c r="G2038" s="29" t="s">
        <v>62</v>
      </c>
      <c r="H2038" s="29" t="s">
        <v>63</v>
      </c>
      <c r="I2038" s="29" t="s">
        <v>39</v>
      </c>
      <c r="J2038" s="29" t="s">
        <v>51</v>
      </c>
      <c r="K2038" s="29" t="s">
        <v>3592</v>
      </c>
      <c r="L2038" s="29" t="s">
        <v>3577</v>
      </c>
      <c r="M2038" s="29" t="s">
        <v>65</v>
      </c>
      <c r="N2038" s="29" t="s">
        <v>3588</v>
      </c>
      <c r="O2038" s="29" t="s">
        <v>47</v>
      </c>
      <c r="P2038" s="30" t="s">
        <v>3593</v>
      </c>
    </row>
    <row r="2039" s="25" customFormat="1" spans="1:16">
      <c r="A2039" s="29" t="s">
        <v>3592</v>
      </c>
      <c r="B2039" s="29" t="s">
        <v>3583</v>
      </c>
      <c r="C2039" s="29" t="s">
        <v>129</v>
      </c>
      <c r="D2039" s="29" t="s">
        <v>3565</v>
      </c>
      <c r="E2039" s="29" t="s">
        <v>35</v>
      </c>
      <c r="F2039" s="29" t="s">
        <v>35</v>
      </c>
      <c r="G2039" s="29" t="s">
        <v>62</v>
      </c>
      <c r="H2039" s="29" t="s">
        <v>63</v>
      </c>
      <c r="I2039" s="29" t="s">
        <v>39</v>
      </c>
      <c r="J2039" s="29" t="s">
        <v>55</v>
      </c>
      <c r="K2039" s="29" t="s">
        <v>3594</v>
      </c>
      <c r="L2039" s="29" t="s">
        <v>3580</v>
      </c>
      <c r="M2039" s="29" t="s">
        <v>65</v>
      </c>
      <c r="N2039" s="29" t="s">
        <v>3588</v>
      </c>
      <c r="O2039" s="29" t="s">
        <v>47</v>
      </c>
      <c r="P2039" s="30" t="s">
        <v>3595</v>
      </c>
    </row>
    <row r="2040" s="25" customFormat="1" spans="1:16">
      <c r="A2040" s="29" t="s">
        <v>3594</v>
      </c>
      <c r="B2040" s="29" t="s">
        <v>3583</v>
      </c>
      <c r="C2040" s="29" t="s">
        <v>129</v>
      </c>
      <c r="D2040" s="29" t="s">
        <v>3565</v>
      </c>
      <c r="E2040" s="29" t="s">
        <v>35</v>
      </c>
      <c r="F2040" s="29" t="s">
        <v>35</v>
      </c>
      <c r="G2040" s="29" t="s">
        <v>62</v>
      </c>
      <c r="H2040" s="29" t="s">
        <v>63</v>
      </c>
      <c r="I2040" s="29" t="s">
        <v>39</v>
      </c>
      <c r="J2040" s="29" t="s">
        <v>59</v>
      </c>
      <c r="K2040" s="29" t="s">
        <v>39</v>
      </c>
      <c r="L2040" s="29" t="s">
        <v>39</v>
      </c>
      <c r="M2040" s="29" t="s">
        <v>39</v>
      </c>
      <c r="N2040" s="29" t="s">
        <v>3588</v>
      </c>
      <c r="O2040" s="29" t="s">
        <v>47</v>
      </c>
      <c r="P2040" s="30" t="s">
        <v>3596</v>
      </c>
    </row>
    <row r="2041" s="25" customFormat="1" spans="1:16">
      <c r="A2041" s="29" t="s">
        <v>3597</v>
      </c>
      <c r="B2041" s="29" t="s">
        <v>3597</v>
      </c>
      <c r="C2041" s="29" t="s">
        <v>129</v>
      </c>
      <c r="D2041" s="29" t="s">
        <v>3565</v>
      </c>
      <c r="E2041" s="29" t="s">
        <v>35</v>
      </c>
      <c r="F2041" s="29" t="s">
        <v>35</v>
      </c>
      <c r="G2041" s="29" t="s">
        <v>79</v>
      </c>
      <c r="H2041" s="29" t="s">
        <v>80</v>
      </c>
      <c r="I2041" s="29" t="s">
        <v>39</v>
      </c>
      <c r="J2041" s="29" t="s">
        <v>39</v>
      </c>
      <c r="K2041" s="29" t="s">
        <v>3598</v>
      </c>
      <c r="L2041" s="29" t="s">
        <v>3566</v>
      </c>
      <c r="M2041" s="29" t="s">
        <v>65</v>
      </c>
      <c r="N2041" s="29" t="s">
        <v>3599</v>
      </c>
      <c r="O2041" s="29" t="s">
        <v>51</v>
      </c>
      <c r="P2041" s="30" t="s">
        <v>3600</v>
      </c>
    </row>
    <row r="2042" s="25" customFormat="1" spans="1:16">
      <c r="A2042" s="29" t="s">
        <v>3598</v>
      </c>
      <c r="B2042" s="29" t="s">
        <v>3597</v>
      </c>
      <c r="C2042" s="29" t="s">
        <v>129</v>
      </c>
      <c r="D2042" s="29" t="s">
        <v>3565</v>
      </c>
      <c r="E2042" s="29" t="s">
        <v>35</v>
      </c>
      <c r="F2042" s="29" t="s">
        <v>35</v>
      </c>
      <c r="G2042" s="29" t="s">
        <v>79</v>
      </c>
      <c r="H2042" s="29" t="s">
        <v>80</v>
      </c>
      <c r="I2042" s="29" t="s">
        <v>39</v>
      </c>
      <c r="J2042" s="29" t="s">
        <v>35</v>
      </c>
      <c r="K2042" s="29" t="s">
        <v>3601</v>
      </c>
      <c r="L2042" s="29" t="s">
        <v>3570</v>
      </c>
      <c r="M2042" s="29" t="s">
        <v>65</v>
      </c>
      <c r="N2042" s="29" t="s">
        <v>3602</v>
      </c>
      <c r="O2042" s="29" t="s">
        <v>51</v>
      </c>
      <c r="P2042" s="30" t="s">
        <v>3603</v>
      </c>
    </row>
    <row r="2043" s="25" customFormat="1" spans="1:16">
      <c r="A2043" s="29" t="s">
        <v>3601</v>
      </c>
      <c r="B2043" s="29" t="s">
        <v>3597</v>
      </c>
      <c r="C2043" s="29" t="s">
        <v>129</v>
      </c>
      <c r="D2043" s="29" t="s">
        <v>3565</v>
      </c>
      <c r="E2043" s="29" t="s">
        <v>35</v>
      </c>
      <c r="F2043" s="29" t="s">
        <v>35</v>
      </c>
      <c r="G2043" s="29" t="s">
        <v>79</v>
      </c>
      <c r="H2043" s="29" t="s">
        <v>80</v>
      </c>
      <c r="I2043" s="29" t="s">
        <v>39</v>
      </c>
      <c r="J2043" s="29" t="s">
        <v>47</v>
      </c>
      <c r="K2043" s="29" t="s">
        <v>3604</v>
      </c>
      <c r="L2043" s="29" t="s">
        <v>3574</v>
      </c>
      <c r="M2043" s="29" t="s">
        <v>65</v>
      </c>
      <c r="N2043" s="29" t="s">
        <v>3602</v>
      </c>
      <c r="O2043" s="29" t="s">
        <v>51</v>
      </c>
      <c r="P2043" s="30" t="s">
        <v>3605</v>
      </c>
    </row>
    <row r="2044" s="25" customFormat="1" spans="1:16">
      <c r="A2044" s="29" t="s">
        <v>3604</v>
      </c>
      <c r="B2044" s="29" t="s">
        <v>3597</v>
      </c>
      <c r="C2044" s="29" t="s">
        <v>129</v>
      </c>
      <c r="D2044" s="29" t="s">
        <v>3565</v>
      </c>
      <c r="E2044" s="29" t="s">
        <v>35</v>
      </c>
      <c r="F2044" s="29" t="s">
        <v>35</v>
      </c>
      <c r="G2044" s="29" t="s">
        <v>79</v>
      </c>
      <c r="H2044" s="29" t="s">
        <v>80</v>
      </c>
      <c r="I2044" s="29" t="s">
        <v>39</v>
      </c>
      <c r="J2044" s="29" t="s">
        <v>51</v>
      </c>
      <c r="K2044" s="29" t="s">
        <v>3606</v>
      </c>
      <c r="L2044" s="29" t="s">
        <v>3577</v>
      </c>
      <c r="M2044" s="29" t="s">
        <v>65</v>
      </c>
      <c r="N2044" s="29" t="s">
        <v>3602</v>
      </c>
      <c r="O2044" s="29" t="s">
        <v>51</v>
      </c>
      <c r="P2044" s="30" t="s">
        <v>3607</v>
      </c>
    </row>
    <row r="2045" s="25" customFormat="1" spans="1:16">
      <c r="A2045" s="29" t="s">
        <v>3606</v>
      </c>
      <c r="B2045" s="29" t="s">
        <v>3597</v>
      </c>
      <c r="C2045" s="29" t="s">
        <v>129</v>
      </c>
      <c r="D2045" s="29" t="s">
        <v>3565</v>
      </c>
      <c r="E2045" s="29" t="s">
        <v>35</v>
      </c>
      <c r="F2045" s="29" t="s">
        <v>35</v>
      </c>
      <c r="G2045" s="29" t="s">
        <v>79</v>
      </c>
      <c r="H2045" s="29" t="s">
        <v>80</v>
      </c>
      <c r="I2045" s="29" t="s">
        <v>39</v>
      </c>
      <c r="J2045" s="29" t="s">
        <v>55</v>
      </c>
      <c r="K2045" s="29" t="s">
        <v>3608</v>
      </c>
      <c r="L2045" s="29" t="s">
        <v>3580</v>
      </c>
      <c r="M2045" s="29" t="s">
        <v>65</v>
      </c>
      <c r="N2045" s="29" t="s">
        <v>3602</v>
      </c>
      <c r="O2045" s="29" t="s">
        <v>51</v>
      </c>
      <c r="P2045" s="30" t="s">
        <v>3609</v>
      </c>
    </row>
    <row r="2046" s="25" customFormat="1" spans="1:16">
      <c r="A2046" s="29" t="s">
        <v>3608</v>
      </c>
      <c r="B2046" s="29" t="s">
        <v>3597</v>
      </c>
      <c r="C2046" s="29" t="s">
        <v>129</v>
      </c>
      <c r="D2046" s="29" t="s">
        <v>3565</v>
      </c>
      <c r="E2046" s="29" t="s">
        <v>35</v>
      </c>
      <c r="F2046" s="29" t="s">
        <v>35</v>
      </c>
      <c r="G2046" s="29" t="s">
        <v>79</v>
      </c>
      <c r="H2046" s="29" t="s">
        <v>80</v>
      </c>
      <c r="I2046" s="29" t="s">
        <v>39</v>
      </c>
      <c r="J2046" s="29" t="s">
        <v>59</v>
      </c>
      <c r="K2046" s="29" t="s">
        <v>39</v>
      </c>
      <c r="L2046" s="29" t="s">
        <v>39</v>
      </c>
      <c r="M2046" s="29" t="s">
        <v>39</v>
      </c>
      <c r="N2046" s="29" t="s">
        <v>3602</v>
      </c>
      <c r="O2046" s="29" t="s">
        <v>51</v>
      </c>
      <c r="P2046" s="30" t="s">
        <v>3610</v>
      </c>
    </row>
    <row r="2047" s="25" customFormat="1" spans="1:16">
      <c r="A2047" s="29" t="s">
        <v>3611</v>
      </c>
      <c r="B2047" s="29" t="s">
        <v>3611</v>
      </c>
      <c r="C2047" s="29" t="s">
        <v>129</v>
      </c>
      <c r="D2047" s="29" t="s">
        <v>3565</v>
      </c>
      <c r="E2047" s="29" t="s">
        <v>35</v>
      </c>
      <c r="F2047" s="29" t="s">
        <v>35</v>
      </c>
      <c r="G2047" s="29" t="s">
        <v>95</v>
      </c>
      <c r="H2047" s="29" t="s">
        <v>96</v>
      </c>
      <c r="I2047" s="29" t="s">
        <v>39</v>
      </c>
      <c r="J2047" s="29" t="s">
        <v>39</v>
      </c>
      <c r="K2047" s="29" t="s">
        <v>3612</v>
      </c>
      <c r="L2047" s="29" t="s">
        <v>3566</v>
      </c>
      <c r="M2047" s="29" t="s">
        <v>65</v>
      </c>
      <c r="N2047" s="29" t="s">
        <v>3613</v>
      </c>
      <c r="O2047" s="29" t="s">
        <v>55</v>
      </c>
      <c r="P2047" s="30" t="s">
        <v>3614</v>
      </c>
    </row>
    <row r="2048" s="25" customFormat="1" spans="1:16">
      <c r="A2048" s="29" t="s">
        <v>3612</v>
      </c>
      <c r="B2048" s="29" t="s">
        <v>3611</v>
      </c>
      <c r="C2048" s="29" t="s">
        <v>129</v>
      </c>
      <c r="D2048" s="29" t="s">
        <v>3565</v>
      </c>
      <c r="E2048" s="29" t="s">
        <v>35</v>
      </c>
      <c r="F2048" s="29" t="s">
        <v>35</v>
      </c>
      <c r="G2048" s="29" t="s">
        <v>95</v>
      </c>
      <c r="H2048" s="29" t="s">
        <v>96</v>
      </c>
      <c r="I2048" s="29" t="s">
        <v>39</v>
      </c>
      <c r="J2048" s="29" t="s">
        <v>35</v>
      </c>
      <c r="K2048" s="29" t="s">
        <v>3615</v>
      </c>
      <c r="L2048" s="29" t="s">
        <v>3570</v>
      </c>
      <c r="M2048" s="29" t="s">
        <v>65</v>
      </c>
      <c r="N2048" s="29" t="s">
        <v>3616</v>
      </c>
      <c r="O2048" s="29" t="s">
        <v>55</v>
      </c>
      <c r="P2048" s="30" t="s">
        <v>3617</v>
      </c>
    </row>
    <row r="2049" s="25" customFormat="1" spans="1:16">
      <c r="A2049" s="29" t="s">
        <v>3615</v>
      </c>
      <c r="B2049" s="29" t="s">
        <v>3611</v>
      </c>
      <c r="C2049" s="29" t="s">
        <v>129</v>
      </c>
      <c r="D2049" s="29" t="s">
        <v>3565</v>
      </c>
      <c r="E2049" s="29" t="s">
        <v>35</v>
      </c>
      <c r="F2049" s="29" t="s">
        <v>35</v>
      </c>
      <c r="G2049" s="29" t="s">
        <v>95</v>
      </c>
      <c r="H2049" s="29" t="s">
        <v>96</v>
      </c>
      <c r="I2049" s="29" t="s">
        <v>39</v>
      </c>
      <c r="J2049" s="29" t="s">
        <v>47</v>
      </c>
      <c r="K2049" s="29" t="s">
        <v>3618</v>
      </c>
      <c r="L2049" s="29" t="s">
        <v>3574</v>
      </c>
      <c r="M2049" s="29" t="s">
        <v>65</v>
      </c>
      <c r="N2049" s="29" t="s">
        <v>3616</v>
      </c>
      <c r="O2049" s="29" t="s">
        <v>55</v>
      </c>
      <c r="P2049" s="30" t="s">
        <v>3619</v>
      </c>
    </row>
    <row r="2050" s="25" customFormat="1" spans="1:16">
      <c r="A2050" s="29" t="s">
        <v>3618</v>
      </c>
      <c r="B2050" s="29" t="s">
        <v>3611</v>
      </c>
      <c r="C2050" s="29" t="s">
        <v>129</v>
      </c>
      <c r="D2050" s="29" t="s">
        <v>3565</v>
      </c>
      <c r="E2050" s="29" t="s">
        <v>35</v>
      </c>
      <c r="F2050" s="29" t="s">
        <v>35</v>
      </c>
      <c r="G2050" s="29" t="s">
        <v>95</v>
      </c>
      <c r="H2050" s="29" t="s">
        <v>96</v>
      </c>
      <c r="I2050" s="29" t="s">
        <v>39</v>
      </c>
      <c r="J2050" s="29" t="s">
        <v>51</v>
      </c>
      <c r="K2050" s="29" t="s">
        <v>3620</v>
      </c>
      <c r="L2050" s="29" t="s">
        <v>3577</v>
      </c>
      <c r="M2050" s="29" t="s">
        <v>65</v>
      </c>
      <c r="N2050" s="29" t="s">
        <v>3616</v>
      </c>
      <c r="O2050" s="29" t="s">
        <v>55</v>
      </c>
      <c r="P2050" s="30" t="s">
        <v>3621</v>
      </c>
    </row>
    <row r="2051" s="25" customFormat="1" spans="1:16">
      <c r="A2051" s="29" t="s">
        <v>3620</v>
      </c>
      <c r="B2051" s="29" t="s">
        <v>3611</v>
      </c>
      <c r="C2051" s="29" t="s">
        <v>129</v>
      </c>
      <c r="D2051" s="29" t="s">
        <v>3565</v>
      </c>
      <c r="E2051" s="29" t="s">
        <v>35</v>
      </c>
      <c r="F2051" s="29" t="s">
        <v>35</v>
      </c>
      <c r="G2051" s="29" t="s">
        <v>95</v>
      </c>
      <c r="H2051" s="29" t="s">
        <v>96</v>
      </c>
      <c r="I2051" s="29" t="s">
        <v>39</v>
      </c>
      <c r="J2051" s="29" t="s">
        <v>55</v>
      </c>
      <c r="K2051" s="29" t="s">
        <v>3622</v>
      </c>
      <c r="L2051" s="29" t="s">
        <v>3580</v>
      </c>
      <c r="M2051" s="29" t="s">
        <v>65</v>
      </c>
      <c r="N2051" s="29" t="s">
        <v>3616</v>
      </c>
      <c r="O2051" s="29" t="s">
        <v>55</v>
      </c>
      <c r="P2051" s="30" t="s">
        <v>3623</v>
      </c>
    </row>
    <row r="2052" s="25" customFormat="1" spans="1:16">
      <c r="A2052" s="29" t="s">
        <v>3622</v>
      </c>
      <c r="B2052" s="29" t="s">
        <v>3611</v>
      </c>
      <c r="C2052" s="29" t="s">
        <v>129</v>
      </c>
      <c r="D2052" s="29" t="s">
        <v>3565</v>
      </c>
      <c r="E2052" s="29" t="s">
        <v>35</v>
      </c>
      <c r="F2052" s="29" t="s">
        <v>35</v>
      </c>
      <c r="G2052" s="29" t="s">
        <v>95</v>
      </c>
      <c r="H2052" s="29" t="s">
        <v>96</v>
      </c>
      <c r="I2052" s="29" t="s">
        <v>39</v>
      </c>
      <c r="J2052" s="29" t="s">
        <v>59</v>
      </c>
      <c r="K2052" s="29" t="s">
        <v>39</v>
      </c>
      <c r="L2052" s="29" t="s">
        <v>39</v>
      </c>
      <c r="M2052" s="29" t="s">
        <v>39</v>
      </c>
      <c r="N2052" s="29" t="s">
        <v>3616</v>
      </c>
      <c r="O2052" s="29" t="s">
        <v>55</v>
      </c>
      <c r="P2052" s="30" t="s">
        <v>3624</v>
      </c>
    </row>
    <row r="2053" s="25" customFormat="1" spans="1:16">
      <c r="A2053" s="29" t="s">
        <v>3625</v>
      </c>
      <c r="B2053" s="29" t="s">
        <v>3625</v>
      </c>
      <c r="C2053" s="29" t="s">
        <v>129</v>
      </c>
      <c r="D2053" s="29" t="s">
        <v>3565</v>
      </c>
      <c r="E2053" s="29" t="s">
        <v>35</v>
      </c>
      <c r="F2053" s="29" t="s">
        <v>35</v>
      </c>
      <c r="G2053" s="29" t="s">
        <v>111</v>
      </c>
      <c r="H2053" s="29" t="s">
        <v>112</v>
      </c>
      <c r="I2053" s="29" t="s">
        <v>39</v>
      </c>
      <c r="J2053" s="29" t="s">
        <v>39</v>
      </c>
      <c r="K2053" s="29" t="s">
        <v>3626</v>
      </c>
      <c r="L2053" s="29" t="s">
        <v>3566</v>
      </c>
      <c r="M2053" s="29" t="s">
        <v>114</v>
      </c>
      <c r="N2053" s="29" t="s">
        <v>3627</v>
      </c>
      <c r="O2053" s="29" t="s">
        <v>59</v>
      </c>
      <c r="P2053" s="30" t="s">
        <v>3628</v>
      </c>
    </row>
    <row r="2054" s="25" customFormat="1" spans="1:16">
      <c r="A2054" s="29" t="s">
        <v>3626</v>
      </c>
      <c r="B2054" s="29" t="s">
        <v>3625</v>
      </c>
      <c r="C2054" s="29" t="s">
        <v>129</v>
      </c>
      <c r="D2054" s="29" t="s">
        <v>3565</v>
      </c>
      <c r="E2054" s="29" t="s">
        <v>35</v>
      </c>
      <c r="F2054" s="29" t="s">
        <v>35</v>
      </c>
      <c r="G2054" s="29" t="s">
        <v>111</v>
      </c>
      <c r="H2054" s="29" t="s">
        <v>112</v>
      </c>
      <c r="I2054" s="29" t="s">
        <v>39</v>
      </c>
      <c r="J2054" s="29" t="s">
        <v>35</v>
      </c>
      <c r="K2054" s="29" t="s">
        <v>3629</v>
      </c>
      <c r="L2054" s="29" t="s">
        <v>3570</v>
      </c>
      <c r="M2054" s="29" t="s">
        <v>114</v>
      </c>
      <c r="N2054" s="29" t="s">
        <v>3630</v>
      </c>
      <c r="O2054" s="29" t="s">
        <v>59</v>
      </c>
      <c r="P2054" s="30" t="s">
        <v>3631</v>
      </c>
    </row>
    <row r="2055" s="25" customFormat="1" spans="1:16">
      <c r="A2055" s="29" t="s">
        <v>3629</v>
      </c>
      <c r="B2055" s="29" t="s">
        <v>3625</v>
      </c>
      <c r="C2055" s="29" t="s">
        <v>129</v>
      </c>
      <c r="D2055" s="29" t="s">
        <v>3565</v>
      </c>
      <c r="E2055" s="29" t="s">
        <v>35</v>
      </c>
      <c r="F2055" s="29" t="s">
        <v>35</v>
      </c>
      <c r="G2055" s="29" t="s">
        <v>111</v>
      </c>
      <c r="H2055" s="29" t="s">
        <v>112</v>
      </c>
      <c r="I2055" s="29" t="s">
        <v>39</v>
      </c>
      <c r="J2055" s="29" t="s">
        <v>47</v>
      </c>
      <c r="K2055" s="29" t="s">
        <v>3632</v>
      </c>
      <c r="L2055" s="29" t="s">
        <v>3574</v>
      </c>
      <c r="M2055" s="29" t="s">
        <v>114</v>
      </c>
      <c r="N2055" s="29" t="s">
        <v>3630</v>
      </c>
      <c r="O2055" s="29" t="s">
        <v>59</v>
      </c>
      <c r="P2055" s="30" t="s">
        <v>3633</v>
      </c>
    </row>
    <row r="2056" s="25" customFormat="1" spans="1:16">
      <c r="A2056" s="29" t="s">
        <v>3632</v>
      </c>
      <c r="B2056" s="29" t="s">
        <v>3625</v>
      </c>
      <c r="C2056" s="29" t="s">
        <v>129</v>
      </c>
      <c r="D2056" s="29" t="s">
        <v>3565</v>
      </c>
      <c r="E2056" s="29" t="s">
        <v>35</v>
      </c>
      <c r="F2056" s="29" t="s">
        <v>35</v>
      </c>
      <c r="G2056" s="29" t="s">
        <v>111</v>
      </c>
      <c r="H2056" s="29" t="s">
        <v>112</v>
      </c>
      <c r="I2056" s="29" t="s">
        <v>39</v>
      </c>
      <c r="J2056" s="29" t="s">
        <v>51</v>
      </c>
      <c r="K2056" s="29" t="s">
        <v>3634</v>
      </c>
      <c r="L2056" s="29" t="s">
        <v>3577</v>
      </c>
      <c r="M2056" s="29" t="s">
        <v>114</v>
      </c>
      <c r="N2056" s="29" t="s">
        <v>3630</v>
      </c>
      <c r="O2056" s="29" t="s">
        <v>59</v>
      </c>
      <c r="P2056" s="30" t="s">
        <v>3635</v>
      </c>
    </row>
    <row r="2057" s="25" customFormat="1" spans="1:16">
      <c r="A2057" s="29" t="s">
        <v>3634</v>
      </c>
      <c r="B2057" s="29" t="s">
        <v>3625</v>
      </c>
      <c r="C2057" s="29" t="s">
        <v>129</v>
      </c>
      <c r="D2057" s="29" t="s">
        <v>3565</v>
      </c>
      <c r="E2057" s="29" t="s">
        <v>35</v>
      </c>
      <c r="F2057" s="29" t="s">
        <v>35</v>
      </c>
      <c r="G2057" s="29" t="s">
        <v>111</v>
      </c>
      <c r="H2057" s="29" t="s">
        <v>112</v>
      </c>
      <c r="I2057" s="29" t="s">
        <v>39</v>
      </c>
      <c r="J2057" s="29" t="s">
        <v>55</v>
      </c>
      <c r="K2057" s="29" t="s">
        <v>3636</v>
      </c>
      <c r="L2057" s="29" t="s">
        <v>3580</v>
      </c>
      <c r="M2057" s="29" t="s">
        <v>114</v>
      </c>
      <c r="N2057" s="29" t="s">
        <v>3630</v>
      </c>
      <c r="O2057" s="29" t="s">
        <v>59</v>
      </c>
      <c r="P2057" s="30" t="s">
        <v>3637</v>
      </c>
    </row>
    <row r="2058" s="25" customFormat="1" spans="1:16">
      <c r="A2058" s="29" t="s">
        <v>3636</v>
      </c>
      <c r="B2058" s="29" t="s">
        <v>3625</v>
      </c>
      <c r="C2058" s="29" t="s">
        <v>129</v>
      </c>
      <c r="D2058" s="29" t="s">
        <v>3565</v>
      </c>
      <c r="E2058" s="29" t="s">
        <v>35</v>
      </c>
      <c r="F2058" s="29" t="s">
        <v>35</v>
      </c>
      <c r="G2058" s="29" t="s">
        <v>111</v>
      </c>
      <c r="H2058" s="29" t="s">
        <v>112</v>
      </c>
      <c r="I2058" s="29" t="s">
        <v>39</v>
      </c>
      <c r="J2058" s="29" t="s">
        <v>59</v>
      </c>
      <c r="K2058" s="29" t="s">
        <v>3638</v>
      </c>
      <c r="L2058" s="29" t="s">
        <v>3639</v>
      </c>
      <c r="M2058" s="29" t="s">
        <v>114</v>
      </c>
      <c r="N2058" s="29" t="s">
        <v>3630</v>
      </c>
      <c r="O2058" s="29" t="s">
        <v>59</v>
      </c>
      <c r="P2058" s="30" t="s">
        <v>3640</v>
      </c>
    </row>
    <row r="2059" s="25" customFormat="1" spans="1:16">
      <c r="A2059" s="29" t="s">
        <v>3638</v>
      </c>
      <c r="B2059" s="29" t="s">
        <v>3625</v>
      </c>
      <c r="C2059" s="29" t="s">
        <v>129</v>
      </c>
      <c r="D2059" s="29" t="s">
        <v>3565</v>
      </c>
      <c r="E2059" s="29" t="s">
        <v>35</v>
      </c>
      <c r="F2059" s="29" t="s">
        <v>35</v>
      </c>
      <c r="G2059" s="29" t="s">
        <v>111</v>
      </c>
      <c r="H2059" s="29" t="s">
        <v>112</v>
      </c>
      <c r="I2059" s="29" t="s">
        <v>39</v>
      </c>
      <c r="J2059" s="29" t="s">
        <v>129</v>
      </c>
      <c r="K2059" s="29" t="s">
        <v>3641</v>
      </c>
      <c r="L2059" s="29" t="s">
        <v>3642</v>
      </c>
      <c r="M2059" s="29" t="s">
        <v>114</v>
      </c>
      <c r="N2059" s="29" t="s">
        <v>3630</v>
      </c>
      <c r="O2059" s="29" t="s">
        <v>59</v>
      </c>
      <c r="P2059" s="30" t="s">
        <v>3643</v>
      </c>
    </row>
    <row r="2060" s="25" customFormat="1" spans="1:16">
      <c r="A2060" s="29" t="s">
        <v>3641</v>
      </c>
      <c r="B2060" s="29" t="s">
        <v>3625</v>
      </c>
      <c r="C2060" s="29" t="s">
        <v>129</v>
      </c>
      <c r="D2060" s="29" t="s">
        <v>3565</v>
      </c>
      <c r="E2060" s="29" t="s">
        <v>35</v>
      </c>
      <c r="F2060" s="29" t="s">
        <v>35</v>
      </c>
      <c r="G2060" s="29" t="s">
        <v>111</v>
      </c>
      <c r="H2060" s="29" t="s">
        <v>112</v>
      </c>
      <c r="I2060" s="29" t="s">
        <v>39</v>
      </c>
      <c r="J2060" s="29" t="s">
        <v>133</v>
      </c>
      <c r="K2060" s="29" t="s">
        <v>3644</v>
      </c>
      <c r="L2060" s="29" t="s">
        <v>3645</v>
      </c>
      <c r="M2060" s="29" t="s">
        <v>114</v>
      </c>
      <c r="N2060" s="29" t="s">
        <v>3630</v>
      </c>
      <c r="O2060" s="29" t="s">
        <v>59</v>
      </c>
      <c r="P2060" s="30" t="s">
        <v>3646</v>
      </c>
    </row>
    <row r="2061" s="25" customFormat="1" spans="1:16">
      <c r="A2061" s="29" t="s">
        <v>3644</v>
      </c>
      <c r="B2061" s="29" t="s">
        <v>3625</v>
      </c>
      <c r="C2061" s="29" t="s">
        <v>129</v>
      </c>
      <c r="D2061" s="29" t="s">
        <v>3565</v>
      </c>
      <c r="E2061" s="29" t="s">
        <v>35</v>
      </c>
      <c r="F2061" s="29" t="s">
        <v>35</v>
      </c>
      <c r="G2061" s="29" t="s">
        <v>111</v>
      </c>
      <c r="H2061" s="29" t="s">
        <v>112</v>
      </c>
      <c r="I2061" s="29" t="s">
        <v>39</v>
      </c>
      <c r="J2061" s="29" t="s">
        <v>137</v>
      </c>
      <c r="K2061" s="29" t="s">
        <v>3647</v>
      </c>
      <c r="L2061" s="29" t="s">
        <v>3648</v>
      </c>
      <c r="M2061" s="29" t="s">
        <v>114</v>
      </c>
      <c r="N2061" s="29" t="s">
        <v>3630</v>
      </c>
      <c r="O2061" s="29" t="s">
        <v>59</v>
      </c>
      <c r="P2061" s="30" t="s">
        <v>3649</v>
      </c>
    </row>
    <row r="2062" s="25" customFormat="1" spans="1:16">
      <c r="A2062" s="29" t="s">
        <v>3647</v>
      </c>
      <c r="B2062" s="29" t="s">
        <v>3625</v>
      </c>
      <c r="C2062" s="29" t="s">
        <v>129</v>
      </c>
      <c r="D2062" s="29" t="s">
        <v>3565</v>
      </c>
      <c r="E2062" s="29" t="s">
        <v>35</v>
      </c>
      <c r="F2062" s="29" t="s">
        <v>35</v>
      </c>
      <c r="G2062" s="29" t="s">
        <v>111</v>
      </c>
      <c r="H2062" s="29" t="s">
        <v>112</v>
      </c>
      <c r="I2062" s="29" t="s">
        <v>39</v>
      </c>
      <c r="J2062" s="29" t="s">
        <v>141</v>
      </c>
      <c r="K2062" s="29" t="s">
        <v>3650</v>
      </c>
      <c r="L2062" s="29" t="s">
        <v>3651</v>
      </c>
      <c r="M2062" s="29" t="s">
        <v>114</v>
      </c>
      <c r="N2062" s="29" t="s">
        <v>3630</v>
      </c>
      <c r="O2062" s="29" t="s">
        <v>59</v>
      </c>
      <c r="P2062" s="30" t="s">
        <v>3652</v>
      </c>
    </row>
    <row r="2063" s="25" customFormat="1" spans="1:16">
      <c r="A2063" s="29" t="s">
        <v>3650</v>
      </c>
      <c r="B2063" s="29" t="s">
        <v>3625</v>
      </c>
      <c r="C2063" s="29" t="s">
        <v>129</v>
      </c>
      <c r="D2063" s="29" t="s">
        <v>3565</v>
      </c>
      <c r="E2063" s="29" t="s">
        <v>35</v>
      </c>
      <c r="F2063" s="29" t="s">
        <v>35</v>
      </c>
      <c r="G2063" s="29" t="s">
        <v>111</v>
      </c>
      <c r="H2063" s="29" t="s">
        <v>112</v>
      </c>
      <c r="I2063" s="29" t="s">
        <v>39</v>
      </c>
      <c r="J2063" s="29" t="s">
        <v>145</v>
      </c>
      <c r="K2063" s="29" t="s">
        <v>39</v>
      </c>
      <c r="L2063" s="29" t="s">
        <v>39</v>
      </c>
      <c r="M2063" s="29" t="s">
        <v>39</v>
      </c>
      <c r="N2063" s="29" t="s">
        <v>3630</v>
      </c>
      <c r="O2063" s="29" t="s">
        <v>59</v>
      </c>
      <c r="P2063" s="30" t="s">
        <v>3653</v>
      </c>
    </row>
    <row r="2064" s="25" customFormat="1" spans="1:16">
      <c r="A2064" s="29" t="s">
        <v>3654</v>
      </c>
      <c r="B2064" s="29" t="s">
        <v>3654</v>
      </c>
      <c r="C2064" s="29" t="s">
        <v>129</v>
      </c>
      <c r="D2064" s="29" t="s">
        <v>3565</v>
      </c>
      <c r="E2064" s="29" t="s">
        <v>35</v>
      </c>
      <c r="F2064" s="29" t="s">
        <v>35</v>
      </c>
      <c r="G2064" s="29" t="s">
        <v>148</v>
      </c>
      <c r="H2064" s="29" t="s">
        <v>149</v>
      </c>
      <c r="I2064" s="29" t="s">
        <v>39</v>
      </c>
      <c r="J2064" s="29" t="s">
        <v>39</v>
      </c>
      <c r="K2064" s="29" t="s">
        <v>3655</v>
      </c>
      <c r="L2064" s="29" t="s">
        <v>3566</v>
      </c>
      <c r="M2064" s="29" t="s">
        <v>151</v>
      </c>
      <c r="N2064" s="29" t="s">
        <v>3656</v>
      </c>
      <c r="O2064" s="29" t="s">
        <v>129</v>
      </c>
      <c r="P2064" s="30" t="s">
        <v>3657</v>
      </c>
    </row>
    <row r="2065" s="25" customFormat="1" spans="1:16">
      <c r="A2065" s="29" t="s">
        <v>3655</v>
      </c>
      <c r="B2065" s="29" t="s">
        <v>3654</v>
      </c>
      <c r="C2065" s="29" t="s">
        <v>129</v>
      </c>
      <c r="D2065" s="29" t="s">
        <v>3565</v>
      </c>
      <c r="E2065" s="29" t="s">
        <v>35</v>
      </c>
      <c r="F2065" s="29" t="s">
        <v>35</v>
      </c>
      <c r="G2065" s="29" t="s">
        <v>148</v>
      </c>
      <c r="H2065" s="29" t="s">
        <v>149</v>
      </c>
      <c r="I2065" s="29" t="s">
        <v>39</v>
      </c>
      <c r="J2065" s="29" t="s">
        <v>35</v>
      </c>
      <c r="K2065" s="29" t="s">
        <v>3658</v>
      </c>
      <c r="L2065" s="29" t="s">
        <v>3570</v>
      </c>
      <c r="M2065" s="29" t="s">
        <v>151</v>
      </c>
      <c r="N2065" s="29" t="s">
        <v>3659</v>
      </c>
      <c r="O2065" s="29" t="s">
        <v>129</v>
      </c>
      <c r="P2065" s="30" t="s">
        <v>3660</v>
      </c>
    </row>
    <row r="2066" s="25" customFormat="1" spans="1:16">
      <c r="A2066" s="29" t="s">
        <v>3658</v>
      </c>
      <c r="B2066" s="29" t="s">
        <v>3654</v>
      </c>
      <c r="C2066" s="29" t="s">
        <v>129</v>
      </c>
      <c r="D2066" s="29" t="s">
        <v>3565</v>
      </c>
      <c r="E2066" s="29" t="s">
        <v>35</v>
      </c>
      <c r="F2066" s="29" t="s">
        <v>35</v>
      </c>
      <c r="G2066" s="29" t="s">
        <v>148</v>
      </c>
      <c r="H2066" s="29" t="s">
        <v>149</v>
      </c>
      <c r="I2066" s="29" t="s">
        <v>39</v>
      </c>
      <c r="J2066" s="29" t="s">
        <v>47</v>
      </c>
      <c r="K2066" s="29" t="s">
        <v>3661</v>
      </c>
      <c r="L2066" s="29" t="s">
        <v>3574</v>
      </c>
      <c r="M2066" s="29" t="s">
        <v>151</v>
      </c>
      <c r="N2066" s="29" t="s">
        <v>3659</v>
      </c>
      <c r="O2066" s="29" t="s">
        <v>129</v>
      </c>
      <c r="P2066" s="30" t="s">
        <v>3662</v>
      </c>
    </row>
    <row r="2067" s="25" customFormat="1" spans="1:16">
      <c r="A2067" s="29" t="s">
        <v>3661</v>
      </c>
      <c r="B2067" s="29" t="s">
        <v>3654</v>
      </c>
      <c r="C2067" s="29" t="s">
        <v>129</v>
      </c>
      <c r="D2067" s="29" t="s">
        <v>3565</v>
      </c>
      <c r="E2067" s="29" t="s">
        <v>35</v>
      </c>
      <c r="F2067" s="29" t="s">
        <v>35</v>
      </c>
      <c r="G2067" s="29" t="s">
        <v>148</v>
      </c>
      <c r="H2067" s="29" t="s">
        <v>149</v>
      </c>
      <c r="I2067" s="29" t="s">
        <v>39</v>
      </c>
      <c r="J2067" s="29" t="s">
        <v>51</v>
      </c>
      <c r="K2067" s="29" t="s">
        <v>3663</v>
      </c>
      <c r="L2067" s="29" t="s">
        <v>3577</v>
      </c>
      <c r="M2067" s="29" t="s">
        <v>151</v>
      </c>
      <c r="N2067" s="29" t="s">
        <v>3659</v>
      </c>
      <c r="O2067" s="29" t="s">
        <v>129</v>
      </c>
      <c r="P2067" s="30" t="s">
        <v>3664</v>
      </c>
    </row>
    <row r="2068" s="25" customFormat="1" spans="1:16">
      <c r="A2068" s="29" t="s">
        <v>3663</v>
      </c>
      <c r="B2068" s="29" t="s">
        <v>3654</v>
      </c>
      <c r="C2068" s="29" t="s">
        <v>129</v>
      </c>
      <c r="D2068" s="29" t="s">
        <v>3565</v>
      </c>
      <c r="E2068" s="29" t="s">
        <v>35</v>
      </c>
      <c r="F2068" s="29" t="s">
        <v>35</v>
      </c>
      <c r="G2068" s="29" t="s">
        <v>148</v>
      </c>
      <c r="H2068" s="29" t="s">
        <v>149</v>
      </c>
      <c r="I2068" s="29" t="s">
        <v>39</v>
      </c>
      <c r="J2068" s="29" t="s">
        <v>55</v>
      </c>
      <c r="K2068" s="29" t="s">
        <v>3665</v>
      </c>
      <c r="L2068" s="29" t="s">
        <v>3580</v>
      </c>
      <c r="M2068" s="29" t="s">
        <v>151</v>
      </c>
      <c r="N2068" s="29" t="s">
        <v>3659</v>
      </c>
      <c r="O2068" s="29" t="s">
        <v>129</v>
      </c>
      <c r="P2068" s="30" t="s">
        <v>3666</v>
      </c>
    </row>
    <row r="2069" s="25" customFormat="1" spans="1:16">
      <c r="A2069" s="29" t="s">
        <v>3665</v>
      </c>
      <c r="B2069" s="29" t="s">
        <v>3654</v>
      </c>
      <c r="C2069" s="29" t="s">
        <v>129</v>
      </c>
      <c r="D2069" s="29" t="s">
        <v>3565</v>
      </c>
      <c r="E2069" s="29" t="s">
        <v>35</v>
      </c>
      <c r="F2069" s="29" t="s">
        <v>35</v>
      </c>
      <c r="G2069" s="29" t="s">
        <v>148</v>
      </c>
      <c r="H2069" s="29" t="s">
        <v>149</v>
      </c>
      <c r="I2069" s="29" t="s">
        <v>39</v>
      </c>
      <c r="J2069" s="29" t="s">
        <v>59</v>
      </c>
      <c r="K2069" s="29" t="s">
        <v>3667</v>
      </c>
      <c r="L2069" s="29" t="s">
        <v>3639</v>
      </c>
      <c r="M2069" s="29" t="s">
        <v>151</v>
      </c>
      <c r="N2069" s="29" t="s">
        <v>3659</v>
      </c>
      <c r="O2069" s="29" t="s">
        <v>129</v>
      </c>
      <c r="P2069" s="30" t="s">
        <v>3668</v>
      </c>
    </row>
    <row r="2070" s="25" customFormat="1" spans="1:16">
      <c r="A2070" s="29" t="s">
        <v>3667</v>
      </c>
      <c r="B2070" s="29" t="s">
        <v>3654</v>
      </c>
      <c r="C2070" s="29" t="s">
        <v>129</v>
      </c>
      <c r="D2070" s="29" t="s">
        <v>3565</v>
      </c>
      <c r="E2070" s="29" t="s">
        <v>35</v>
      </c>
      <c r="F2070" s="29" t="s">
        <v>35</v>
      </c>
      <c r="G2070" s="29" t="s">
        <v>148</v>
      </c>
      <c r="H2070" s="29" t="s">
        <v>149</v>
      </c>
      <c r="I2070" s="29" t="s">
        <v>39</v>
      </c>
      <c r="J2070" s="29" t="s">
        <v>129</v>
      </c>
      <c r="K2070" s="29" t="s">
        <v>3669</v>
      </c>
      <c r="L2070" s="29" t="s">
        <v>3642</v>
      </c>
      <c r="M2070" s="29" t="s">
        <v>151</v>
      </c>
      <c r="N2070" s="29" t="s">
        <v>3659</v>
      </c>
      <c r="O2070" s="29" t="s">
        <v>129</v>
      </c>
      <c r="P2070" s="30" t="s">
        <v>3670</v>
      </c>
    </row>
    <row r="2071" s="25" customFormat="1" spans="1:16">
      <c r="A2071" s="29" t="s">
        <v>3669</v>
      </c>
      <c r="B2071" s="29" t="s">
        <v>3654</v>
      </c>
      <c r="C2071" s="29" t="s">
        <v>129</v>
      </c>
      <c r="D2071" s="29" t="s">
        <v>3565</v>
      </c>
      <c r="E2071" s="29" t="s">
        <v>35</v>
      </c>
      <c r="F2071" s="29" t="s">
        <v>35</v>
      </c>
      <c r="G2071" s="29" t="s">
        <v>148</v>
      </c>
      <c r="H2071" s="29" t="s">
        <v>149</v>
      </c>
      <c r="I2071" s="29" t="s">
        <v>39</v>
      </c>
      <c r="J2071" s="29" t="s">
        <v>133</v>
      </c>
      <c r="K2071" s="29" t="s">
        <v>3671</v>
      </c>
      <c r="L2071" s="29" t="s">
        <v>3645</v>
      </c>
      <c r="M2071" s="29" t="s">
        <v>151</v>
      </c>
      <c r="N2071" s="29" t="s">
        <v>3659</v>
      </c>
      <c r="O2071" s="29" t="s">
        <v>129</v>
      </c>
      <c r="P2071" s="30" t="s">
        <v>3672</v>
      </c>
    </row>
    <row r="2072" s="25" customFormat="1" spans="1:16">
      <c r="A2072" s="29" t="s">
        <v>3671</v>
      </c>
      <c r="B2072" s="29" t="s">
        <v>3654</v>
      </c>
      <c r="C2072" s="29" t="s">
        <v>129</v>
      </c>
      <c r="D2072" s="29" t="s">
        <v>3565</v>
      </c>
      <c r="E2072" s="29" t="s">
        <v>35</v>
      </c>
      <c r="F2072" s="29" t="s">
        <v>35</v>
      </c>
      <c r="G2072" s="29" t="s">
        <v>148</v>
      </c>
      <c r="H2072" s="29" t="s">
        <v>149</v>
      </c>
      <c r="I2072" s="29" t="s">
        <v>39</v>
      </c>
      <c r="J2072" s="29" t="s">
        <v>137</v>
      </c>
      <c r="K2072" s="29" t="s">
        <v>3673</v>
      </c>
      <c r="L2072" s="29" t="s">
        <v>3648</v>
      </c>
      <c r="M2072" s="29" t="s">
        <v>151</v>
      </c>
      <c r="N2072" s="29" t="s">
        <v>3659</v>
      </c>
      <c r="O2072" s="29" t="s">
        <v>129</v>
      </c>
      <c r="P2072" s="30" t="s">
        <v>3674</v>
      </c>
    </row>
    <row r="2073" s="25" customFormat="1" spans="1:16">
      <c r="A2073" s="29" t="s">
        <v>3673</v>
      </c>
      <c r="B2073" s="29" t="s">
        <v>3654</v>
      </c>
      <c r="C2073" s="29" t="s">
        <v>129</v>
      </c>
      <c r="D2073" s="29" t="s">
        <v>3565</v>
      </c>
      <c r="E2073" s="29" t="s">
        <v>35</v>
      </c>
      <c r="F2073" s="29" t="s">
        <v>35</v>
      </c>
      <c r="G2073" s="29" t="s">
        <v>148</v>
      </c>
      <c r="H2073" s="29" t="s">
        <v>149</v>
      </c>
      <c r="I2073" s="29" t="s">
        <v>39</v>
      </c>
      <c r="J2073" s="29" t="s">
        <v>141</v>
      </c>
      <c r="K2073" s="29" t="s">
        <v>3675</v>
      </c>
      <c r="L2073" s="29" t="s">
        <v>3651</v>
      </c>
      <c r="M2073" s="29" t="s">
        <v>151</v>
      </c>
      <c r="N2073" s="29" t="s">
        <v>3659</v>
      </c>
      <c r="O2073" s="29" t="s">
        <v>129</v>
      </c>
      <c r="P2073" s="30" t="s">
        <v>3676</v>
      </c>
    </row>
    <row r="2074" s="25" customFormat="1" spans="1:16">
      <c r="A2074" s="29" t="s">
        <v>3675</v>
      </c>
      <c r="B2074" s="29" t="s">
        <v>3654</v>
      </c>
      <c r="C2074" s="29" t="s">
        <v>129</v>
      </c>
      <c r="D2074" s="29" t="s">
        <v>3565</v>
      </c>
      <c r="E2074" s="29" t="s">
        <v>35</v>
      </c>
      <c r="F2074" s="29" t="s">
        <v>35</v>
      </c>
      <c r="G2074" s="29" t="s">
        <v>148</v>
      </c>
      <c r="H2074" s="29" t="s">
        <v>149</v>
      </c>
      <c r="I2074" s="29" t="s">
        <v>39</v>
      </c>
      <c r="J2074" s="29" t="s">
        <v>145</v>
      </c>
      <c r="K2074" s="29" t="s">
        <v>39</v>
      </c>
      <c r="L2074" s="29" t="s">
        <v>39</v>
      </c>
      <c r="M2074" s="29" t="s">
        <v>39</v>
      </c>
      <c r="N2074" s="29" t="s">
        <v>3659</v>
      </c>
      <c r="O2074" s="29" t="s">
        <v>129</v>
      </c>
      <c r="P2074" s="30" t="s">
        <v>3677</v>
      </c>
    </row>
    <row r="2075" s="25" customFormat="1" spans="1:16">
      <c r="A2075" s="29" t="s">
        <v>3678</v>
      </c>
      <c r="B2075" s="29" t="s">
        <v>3678</v>
      </c>
      <c r="C2075" s="29" t="s">
        <v>129</v>
      </c>
      <c r="D2075" s="29" t="s">
        <v>3565</v>
      </c>
      <c r="E2075" s="29" t="s">
        <v>35</v>
      </c>
      <c r="F2075" s="29" t="s">
        <v>35</v>
      </c>
      <c r="G2075" s="29" t="s">
        <v>175</v>
      </c>
      <c r="H2075" s="29" t="s">
        <v>176</v>
      </c>
      <c r="I2075" s="29" t="s">
        <v>39</v>
      </c>
      <c r="J2075" s="29" t="s">
        <v>39</v>
      </c>
      <c r="K2075" s="29" t="s">
        <v>3679</v>
      </c>
      <c r="L2075" s="29" t="s">
        <v>3566</v>
      </c>
      <c r="M2075" s="29" t="s">
        <v>178</v>
      </c>
      <c r="N2075" s="29" t="s">
        <v>3680</v>
      </c>
      <c r="O2075" s="29" t="s">
        <v>133</v>
      </c>
      <c r="P2075" s="30" t="s">
        <v>3681</v>
      </c>
    </row>
    <row r="2076" s="25" customFormat="1" spans="1:16">
      <c r="A2076" s="29" t="s">
        <v>3679</v>
      </c>
      <c r="B2076" s="29" t="s">
        <v>3678</v>
      </c>
      <c r="C2076" s="29" t="s">
        <v>129</v>
      </c>
      <c r="D2076" s="29" t="s">
        <v>3565</v>
      </c>
      <c r="E2076" s="29" t="s">
        <v>35</v>
      </c>
      <c r="F2076" s="29" t="s">
        <v>35</v>
      </c>
      <c r="G2076" s="29" t="s">
        <v>175</v>
      </c>
      <c r="H2076" s="29" t="s">
        <v>176</v>
      </c>
      <c r="I2076" s="29" t="s">
        <v>39</v>
      </c>
      <c r="J2076" s="29" t="s">
        <v>35</v>
      </c>
      <c r="K2076" s="29" t="s">
        <v>3682</v>
      </c>
      <c r="L2076" s="29" t="s">
        <v>3570</v>
      </c>
      <c r="M2076" s="29" t="s">
        <v>178</v>
      </c>
      <c r="N2076" s="29" t="s">
        <v>3683</v>
      </c>
      <c r="O2076" s="29" t="s">
        <v>133</v>
      </c>
      <c r="P2076" s="30" t="s">
        <v>3684</v>
      </c>
    </row>
    <row r="2077" s="25" customFormat="1" spans="1:16">
      <c r="A2077" s="29" t="s">
        <v>3682</v>
      </c>
      <c r="B2077" s="29" t="s">
        <v>3678</v>
      </c>
      <c r="C2077" s="29" t="s">
        <v>129</v>
      </c>
      <c r="D2077" s="29" t="s">
        <v>3565</v>
      </c>
      <c r="E2077" s="29" t="s">
        <v>35</v>
      </c>
      <c r="F2077" s="29" t="s">
        <v>35</v>
      </c>
      <c r="G2077" s="29" t="s">
        <v>175</v>
      </c>
      <c r="H2077" s="29" t="s">
        <v>176</v>
      </c>
      <c r="I2077" s="29" t="s">
        <v>39</v>
      </c>
      <c r="J2077" s="29" t="s">
        <v>47</v>
      </c>
      <c r="K2077" s="29" t="s">
        <v>3685</v>
      </c>
      <c r="L2077" s="29" t="s">
        <v>3574</v>
      </c>
      <c r="M2077" s="29" t="s">
        <v>178</v>
      </c>
      <c r="N2077" s="29" t="s">
        <v>3683</v>
      </c>
      <c r="O2077" s="29" t="s">
        <v>133</v>
      </c>
      <c r="P2077" s="30" t="s">
        <v>3686</v>
      </c>
    </row>
    <row r="2078" s="25" customFormat="1" spans="1:16">
      <c r="A2078" s="29" t="s">
        <v>3685</v>
      </c>
      <c r="B2078" s="29" t="s">
        <v>3678</v>
      </c>
      <c r="C2078" s="29" t="s">
        <v>129</v>
      </c>
      <c r="D2078" s="29" t="s">
        <v>3565</v>
      </c>
      <c r="E2078" s="29" t="s">
        <v>35</v>
      </c>
      <c r="F2078" s="29" t="s">
        <v>35</v>
      </c>
      <c r="G2078" s="29" t="s">
        <v>175</v>
      </c>
      <c r="H2078" s="29" t="s">
        <v>176</v>
      </c>
      <c r="I2078" s="29" t="s">
        <v>39</v>
      </c>
      <c r="J2078" s="29" t="s">
        <v>51</v>
      </c>
      <c r="K2078" s="29" t="s">
        <v>3687</v>
      </c>
      <c r="L2078" s="29" t="s">
        <v>3577</v>
      </c>
      <c r="M2078" s="29" t="s">
        <v>178</v>
      </c>
      <c r="N2078" s="29" t="s">
        <v>3683</v>
      </c>
      <c r="O2078" s="29" t="s">
        <v>133</v>
      </c>
      <c r="P2078" s="30" t="s">
        <v>3688</v>
      </c>
    </row>
    <row r="2079" s="25" customFormat="1" spans="1:16">
      <c r="A2079" s="29" t="s">
        <v>3687</v>
      </c>
      <c r="B2079" s="29" t="s">
        <v>3678</v>
      </c>
      <c r="C2079" s="29" t="s">
        <v>129</v>
      </c>
      <c r="D2079" s="29" t="s">
        <v>3565</v>
      </c>
      <c r="E2079" s="29" t="s">
        <v>35</v>
      </c>
      <c r="F2079" s="29" t="s">
        <v>35</v>
      </c>
      <c r="G2079" s="29" t="s">
        <v>175</v>
      </c>
      <c r="H2079" s="29" t="s">
        <v>176</v>
      </c>
      <c r="I2079" s="29" t="s">
        <v>39</v>
      </c>
      <c r="J2079" s="29" t="s">
        <v>55</v>
      </c>
      <c r="K2079" s="29" t="s">
        <v>3689</v>
      </c>
      <c r="L2079" s="29" t="s">
        <v>3580</v>
      </c>
      <c r="M2079" s="29" t="s">
        <v>178</v>
      </c>
      <c r="N2079" s="29" t="s">
        <v>3683</v>
      </c>
      <c r="O2079" s="29" t="s">
        <v>133</v>
      </c>
      <c r="P2079" s="30" t="s">
        <v>3690</v>
      </c>
    </row>
    <row r="2080" s="25" customFormat="1" spans="1:16">
      <c r="A2080" s="29" t="s">
        <v>3689</v>
      </c>
      <c r="B2080" s="29" t="s">
        <v>3678</v>
      </c>
      <c r="C2080" s="29" t="s">
        <v>129</v>
      </c>
      <c r="D2080" s="29" t="s">
        <v>3565</v>
      </c>
      <c r="E2080" s="29" t="s">
        <v>35</v>
      </c>
      <c r="F2080" s="29" t="s">
        <v>35</v>
      </c>
      <c r="G2080" s="29" t="s">
        <v>175</v>
      </c>
      <c r="H2080" s="29" t="s">
        <v>176</v>
      </c>
      <c r="I2080" s="29" t="s">
        <v>39</v>
      </c>
      <c r="J2080" s="29" t="s">
        <v>59</v>
      </c>
      <c r="K2080" s="29" t="s">
        <v>3691</v>
      </c>
      <c r="L2080" s="29" t="s">
        <v>3639</v>
      </c>
      <c r="M2080" s="29" t="s">
        <v>178</v>
      </c>
      <c r="N2080" s="29" t="s">
        <v>3683</v>
      </c>
      <c r="O2080" s="29" t="s">
        <v>133</v>
      </c>
      <c r="P2080" s="30" t="s">
        <v>3692</v>
      </c>
    </row>
    <row r="2081" s="25" customFormat="1" spans="1:16">
      <c r="A2081" s="29" t="s">
        <v>3691</v>
      </c>
      <c r="B2081" s="29" t="s">
        <v>3678</v>
      </c>
      <c r="C2081" s="29" t="s">
        <v>129</v>
      </c>
      <c r="D2081" s="29" t="s">
        <v>3565</v>
      </c>
      <c r="E2081" s="29" t="s">
        <v>35</v>
      </c>
      <c r="F2081" s="29" t="s">
        <v>35</v>
      </c>
      <c r="G2081" s="29" t="s">
        <v>175</v>
      </c>
      <c r="H2081" s="29" t="s">
        <v>176</v>
      </c>
      <c r="I2081" s="29" t="s">
        <v>39</v>
      </c>
      <c r="J2081" s="29" t="s">
        <v>129</v>
      </c>
      <c r="K2081" s="29" t="s">
        <v>3693</v>
      </c>
      <c r="L2081" s="29" t="s">
        <v>3642</v>
      </c>
      <c r="M2081" s="29" t="s">
        <v>178</v>
      </c>
      <c r="N2081" s="29" t="s">
        <v>3683</v>
      </c>
      <c r="O2081" s="29" t="s">
        <v>133</v>
      </c>
      <c r="P2081" s="30" t="s">
        <v>3694</v>
      </c>
    </row>
    <row r="2082" s="25" customFormat="1" spans="1:16">
      <c r="A2082" s="29" t="s">
        <v>3693</v>
      </c>
      <c r="B2082" s="29" t="s">
        <v>3678</v>
      </c>
      <c r="C2082" s="29" t="s">
        <v>129</v>
      </c>
      <c r="D2082" s="29" t="s">
        <v>3565</v>
      </c>
      <c r="E2082" s="29" t="s">
        <v>35</v>
      </c>
      <c r="F2082" s="29" t="s">
        <v>35</v>
      </c>
      <c r="G2082" s="29" t="s">
        <v>175</v>
      </c>
      <c r="H2082" s="29" t="s">
        <v>176</v>
      </c>
      <c r="I2082" s="29" t="s">
        <v>39</v>
      </c>
      <c r="J2082" s="29" t="s">
        <v>133</v>
      </c>
      <c r="K2082" s="29" t="s">
        <v>3695</v>
      </c>
      <c r="L2082" s="29" t="s">
        <v>3645</v>
      </c>
      <c r="M2082" s="29" t="s">
        <v>178</v>
      </c>
      <c r="N2082" s="29" t="s">
        <v>3683</v>
      </c>
      <c r="O2082" s="29" t="s">
        <v>133</v>
      </c>
      <c r="P2082" s="30" t="s">
        <v>3696</v>
      </c>
    </row>
    <row r="2083" s="25" customFormat="1" spans="1:16">
      <c r="A2083" s="29" t="s">
        <v>3695</v>
      </c>
      <c r="B2083" s="29" t="s">
        <v>3678</v>
      </c>
      <c r="C2083" s="29" t="s">
        <v>129</v>
      </c>
      <c r="D2083" s="29" t="s">
        <v>3565</v>
      </c>
      <c r="E2083" s="29" t="s">
        <v>35</v>
      </c>
      <c r="F2083" s="29" t="s">
        <v>35</v>
      </c>
      <c r="G2083" s="29" t="s">
        <v>175</v>
      </c>
      <c r="H2083" s="29" t="s">
        <v>176</v>
      </c>
      <c r="I2083" s="29" t="s">
        <v>39</v>
      </c>
      <c r="J2083" s="29" t="s">
        <v>137</v>
      </c>
      <c r="K2083" s="29" t="s">
        <v>3697</v>
      </c>
      <c r="L2083" s="29" t="s">
        <v>3648</v>
      </c>
      <c r="M2083" s="29" t="s">
        <v>178</v>
      </c>
      <c r="N2083" s="29" t="s">
        <v>3683</v>
      </c>
      <c r="O2083" s="29" t="s">
        <v>133</v>
      </c>
      <c r="P2083" s="30" t="s">
        <v>3698</v>
      </c>
    </row>
    <row r="2084" s="25" customFormat="1" spans="1:16">
      <c r="A2084" s="29" t="s">
        <v>3697</v>
      </c>
      <c r="B2084" s="29" t="s">
        <v>3678</v>
      </c>
      <c r="C2084" s="29" t="s">
        <v>129</v>
      </c>
      <c r="D2084" s="29" t="s">
        <v>3565</v>
      </c>
      <c r="E2084" s="29" t="s">
        <v>35</v>
      </c>
      <c r="F2084" s="29" t="s">
        <v>35</v>
      </c>
      <c r="G2084" s="29" t="s">
        <v>175</v>
      </c>
      <c r="H2084" s="29" t="s">
        <v>176</v>
      </c>
      <c r="I2084" s="29" t="s">
        <v>39</v>
      </c>
      <c r="J2084" s="29" t="s">
        <v>141</v>
      </c>
      <c r="K2084" s="29" t="s">
        <v>3699</v>
      </c>
      <c r="L2084" s="29" t="s">
        <v>3651</v>
      </c>
      <c r="M2084" s="29" t="s">
        <v>178</v>
      </c>
      <c r="N2084" s="29" t="s">
        <v>3683</v>
      </c>
      <c r="O2084" s="29" t="s">
        <v>133</v>
      </c>
      <c r="P2084" s="30" t="s">
        <v>3700</v>
      </c>
    </row>
    <row r="2085" s="25" customFormat="1" spans="1:16">
      <c r="A2085" s="29" t="s">
        <v>3699</v>
      </c>
      <c r="B2085" s="29" t="s">
        <v>3678</v>
      </c>
      <c r="C2085" s="29" t="s">
        <v>129</v>
      </c>
      <c r="D2085" s="29" t="s">
        <v>3565</v>
      </c>
      <c r="E2085" s="29" t="s">
        <v>35</v>
      </c>
      <c r="F2085" s="29" t="s">
        <v>35</v>
      </c>
      <c r="G2085" s="29" t="s">
        <v>175</v>
      </c>
      <c r="H2085" s="29" t="s">
        <v>176</v>
      </c>
      <c r="I2085" s="29" t="s">
        <v>39</v>
      </c>
      <c r="J2085" s="29" t="s">
        <v>145</v>
      </c>
      <c r="K2085" s="29" t="s">
        <v>39</v>
      </c>
      <c r="L2085" s="29" t="s">
        <v>39</v>
      </c>
      <c r="M2085" s="29" t="s">
        <v>39</v>
      </c>
      <c r="N2085" s="29" t="s">
        <v>3683</v>
      </c>
      <c r="O2085" s="29" t="s">
        <v>133</v>
      </c>
      <c r="P2085" s="30" t="s">
        <v>3701</v>
      </c>
    </row>
    <row r="2086" s="25" customFormat="1" spans="1:16">
      <c r="A2086" s="29" t="s">
        <v>3702</v>
      </c>
      <c r="B2086" s="29" t="s">
        <v>3702</v>
      </c>
      <c r="C2086" s="29" t="s">
        <v>129</v>
      </c>
      <c r="D2086" s="29" t="s">
        <v>3565</v>
      </c>
      <c r="E2086" s="29" t="s">
        <v>47</v>
      </c>
      <c r="F2086" s="29" t="s">
        <v>35</v>
      </c>
      <c r="G2086" s="29" t="s">
        <v>3703</v>
      </c>
      <c r="H2086" s="29" t="s">
        <v>3704</v>
      </c>
      <c r="I2086" s="29" t="s">
        <v>47</v>
      </c>
      <c r="J2086" s="29" t="s">
        <v>39</v>
      </c>
      <c r="K2086" s="29" t="s">
        <v>3705</v>
      </c>
      <c r="L2086" s="29" t="s">
        <v>3706</v>
      </c>
      <c r="M2086" s="29" t="s">
        <v>207</v>
      </c>
      <c r="N2086" s="29" t="s">
        <v>3707</v>
      </c>
      <c r="O2086" s="29" t="s">
        <v>137</v>
      </c>
      <c r="P2086" s="30" t="s">
        <v>3708</v>
      </c>
    </row>
    <row r="2087" s="25" customFormat="1" spans="1:16">
      <c r="A2087" s="29" t="s">
        <v>3705</v>
      </c>
      <c r="B2087" s="29" t="s">
        <v>3702</v>
      </c>
      <c r="C2087" s="29" t="s">
        <v>129</v>
      </c>
      <c r="D2087" s="29" t="s">
        <v>3565</v>
      </c>
      <c r="E2087" s="29" t="s">
        <v>47</v>
      </c>
      <c r="F2087" s="29" t="s">
        <v>35</v>
      </c>
      <c r="G2087" s="29" t="s">
        <v>3703</v>
      </c>
      <c r="H2087" s="29" t="s">
        <v>3704</v>
      </c>
      <c r="I2087" s="29" t="s">
        <v>47</v>
      </c>
      <c r="J2087" s="29" t="s">
        <v>35</v>
      </c>
      <c r="K2087" s="29" t="s">
        <v>3709</v>
      </c>
      <c r="L2087" s="29" t="s">
        <v>3710</v>
      </c>
      <c r="M2087" s="29" t="s">
        <v>207</v>
      </c>
      <c r="N2087" s="29" t="s">
        <v>3711</v>
      </c>
      <c r="O2087" s="29" t="s">
        <v>137</v>
      </c>
      <c r="P2087" s="30" t="s">
        <v>3712</v>
      </c>
    </row>
    <row r="2088" s="25" customFormat="1" spans="1:16">
      <c r="A2088" s="29" t="s">
        <v>3709</v>
      </c>
      <c r="B2088" s="29" t="s">
        <v>3702</v>
      </c>
      <c r="C2088" s="29" t="s">
        <v>129</v>
      </c>
      <c r="D2088" s="29" t="s">
        <v>3565</v>
      </c>
      <c r="E2088" s="29" t="s">
        <v>47</v>
      </c>
      <c r="F2088" s="29" t="s">
        <v>35</v>
      </c>
      <c r="G2088" s="29" t="s">
        <v>3703</v>
      </c>
      <c r="H2088" s="29" t="s">
        <v>3704</v>
      </c>
      <c r="I2088" s="29" t="s">
        <v>47</v>
      </c>
      <c r="J2088" s="29" t="s">
        <v>47</v>
      </c>
      <c r="K2088" s="29" t="s">
        <v>3713</v>
      </c>
      <c r="L2088" s="29" t="s">
        <v>3714</v>
      </c>
      <c r="M2088" s="29" t="s">
        <v>207</v>
      </c>
      <c r="N2088" s="29" t="s">
        <v>3711</v>
      </c>
      <c r="O2088" s="29" t="s">
        <v>137</v>
      </c>
      <c r="P2088" s="30" t="s">
        <v>3715</v>
      </c>
    </row>
    <row r="2089" s="25" customFormat="1" spans="1:16">
      <c r="A2089" s="29" t="s">
        <v>3713</v>
      </c>
      <c r="B2089" s="29" t="s">
        <v>3702</v>
      </c>
      <c r="C2089" s="29" t="s">
        <v>129</v>
      </c>
      <c r="D2089" s="29" t="s">
        <v>3565</v>
      </c>
      <c r="E2089" s="29" t="s">
        <v>47</v>
      </c>
      <c r="F2089" s="29" t="s">
        <v>35</v>
      </c>
      <c r="G2089" s="29" t="s">
        <v>3703</v>
      </c>
      <c r="H2089" s="29" t="s">
        <v>3704</v>
      </c>
      <c r="I2089" s="29" t="s">
        <v>47</v>
      </c>
      <c r="J2089" s="29" t="s">
        <v>51</v>
      </c>
      <c r="K2089" s="29" t="s">
        <v>3716</v>
      </c>
      <c r="L2089" s="29" t="s">
        <v>3717</v>
      </c>
      <c r="M2089" s="29" t="s">
        <v>207</v>
      </c>
      <c r="N2089" s="29" t="s">
        <v>3711</v>
      </c>
      <c r="O2089" s="29" t="s">
        <v>137</v>
      </c>
      <c r="P2089" s="30" t="s">
        <v>3718</v>
      </c>
    </row>
    <row r="2090" s="25" customFormat="1" spans="1:16">
      <c r="A2090" s="29" t="s">
        <v>3716</v>
      </c>
      <c r="B2090" s="29" t="s">
        <v>3702</v>
      </c>
      <c r="C2090" s="29" t="s">
        <v>129</v>
      </c>
      <c r="D2090" s="29" t="s">
        <v>3565</v>
      </c>
      <c r="E2090" s="29" t="s">
        <v>47</v>
      </c>
      <c r="F2090" s="29" t="s">
        <v>35</v>
      </c>
      <c r="G2090" s="29" t="s">
        <v>3703</v>
      </c>
      <c r="H2090" s="29" t="s">
        <v>3704</v>
      </c>
      <c r="I2090" s="29" t="s">
        <v>47</v>
      </c>
      <c r="J2090" s="29" t="s">
        <v>55</v>
      </c>
      <c r="K2090" s="29" t="s">
        <v>3719</v>
      </c>
      <c r="L2090" s="29" t="s">
        <v>3720</v>
      </c>
      <c r="M2090" s="29" t="s">
        <v>207</v>
      </c>
      <c r="N2090" s="29" t="s">
        <v>3711</v>
      </c>
      <c r="O2090" s="29" t="s">
        <v>137</v>
      </c>
      <c r="P2090" s="30" t="s">
        <v>3721</v>
      </c>
    </row>
    <row r="2091" s="25" customFormat="1" spans="1:16">
      <c r="A2091" s="29" t="s">
        <v>3719</v>
      </c>
      <c r="B2091" s="29" t="s">
        <v>3702</v>
      </c>
      <c r="C2091" s="29" t="s">
        <v>129</v>
      </c>
      <c r="D2091" s="29" t="s">
        <v>3565</v>
      </c>
      <c r="E2091" s="29" t="s">
        <v>47</v>
      </c>
      <c r="F2091" s="29" t="s">
        <v>35</v>
      </c>
      <c r="G2091" s="29" t="s">
        <v>3703</v>
      </c>
      <c r="H2091" s="29" t="s">
        <v>3704</v>
      </c>
      <c r="I2091" s="29" t="s">
        <v>47</v>
      </c>
      <c r="J2091" s="29" t="s">
        <v>59</v>
      </c>
      <c r="K2091" s="29" t="s">
        <v>3722</v>
      </c>
      <c r="L2091" s="29" t="s">
        <v>3723</v>
      </c>
      <c r="M2091" s="29" t="s">
        <v>207</v>
      </c>
      <c r="N2091" s="29" t="s">
        <v>3711</v>
      </c>
      <c r="O2091" s="29" t="s">
        <v>137</v>
      </c>
      <c r="P2091" s="30" t="s">
        <v>3724</v>
      </c>
    </row>
    <row r="2092" s="25" customFormat="1" spans="1:16">
      <c r="A2092" s="29" t="s">
        <v>3722</v>
      </c>
      <c r="B2092" s="29" t="s">
        <v>3702</v>
      </c>
      <c r="C2092" s="29" t="s">
        <v>129</v>
      </c>
      <c r="D2092" s="29" t="s">
        <v>3565</v>
      </c>
      <c r="E2092" s="29" t="s">
        <v>47</v>
      </c>
      <c r="F2092" s="29" t="s">
        <v>35</v>
      </c>
      <c r="G2092" s="29" t="s">
        <v>3703</v>
      </c>
      <c r="H2092" s="29" t="s">
        <v>3704</v>
      </c>
      <c r="I2092" s="29" t="s">
        <v>47</v>
      </c>
      <c r="J2092" s="29" t="s">
        <v>129</v>
      </c>
      <c r="K2092" s="29" t="s">
        <v>3725</v>
      </c>
      <c r="L2092" s="29" t="s">
        <v>3726</v>
      </c>
      <c r="M2092" s="29" t="s">
        <v>207</v>
      </c>
      <c r="N2092" s="29" t="s">
        <v>3711</v>
      </c>
      <c r="O2092" s="29" t="s">
        <v>137</v>
      </c>
      <c r="P2092" s="30" t="s">
        <v>3727</v>
      </c>
    </row>
    <row r="2093" s="25" customFormat="1" spans="1:16">
      <c r="A2093" s="29" t="s">
        <v>3725</v>
      </c>
      <c r="B2093" s="29" t="s">
        <v>3702</v>
      </c>
      <c r="C2093" s="29" t="s">
        <v>129</v>
      </c>
      <c r="D2093" s="29" t="s">
        <v>3565</v>
      </c>
      <c r="E2093" s="29" t="s">
        <v>47</v>
      </c>
      <c r="F2093" s="29" t="s">
        <v>35</v>
      </c>
      <c r="G2093" s="29" t="s">
        <v>3703</v>
      </c>
      <c r="H2093" s="29" t="s">
        <v>3704</v>
      </c>
      <c r="I2093" s="29" t="s">
        <v>47</v>
      </c>
      <c r="J2093" s="29" t="s">
        <v>133</v>
      </c>
      <c r="K2093" s="29" t="s">
        <v>3728</v>
      </c>
      <c r="L2093" s="29" t="s">
        <v>3729</v>
      </c>
      <c r="M2093" s="29" t="s">
        <v>207</v>
      </c>
      <c r="N2093" s="29" t="s">
        <v>3711</v>
      </c>
      <c r="O2093" s="29" t="s">
        <v>137</v>
      </c>
      <c r="P2093" s="30" t="s">
        <v>3730</v>
      </c>
    </row>
    <row r="2094" s="25" customFormat="1" spans="1:16">
      <c r="A2094" s="29" t="s">
        <v>3728</v>
      </c>
      <c r="B2094" s="29" t="s">
        <v>3702</v>
      </c>
      <c r="C2094" s="29" t="s">
        <v>129</v>
      </c>
      <c r="D2094" s="29" t="s">
        <v>3565</v>
      </c>
      <c r="E2094" s="29" t="s">
        <v>47</v>
      </c>
      <c r="F2094" s="29" t="s">
        <v>35</v>
      </c>
      <c r="G2094" s="29" t="s">
        <v>3703</v>
      </c>
      <c r="H2094" s="29" t="s">
        <v>3704</v>
      </c>
      <c r="I2094" s="29" t="s">
        <v>47</v>
      </c>
      <c r="J2094" s="29" t="s">
        <v>137</v>
      </c>
      <c r="K2094" s="29" t="s">
        <v>3731</v>
      </c>
      <c r="L2094" s="29" t="s">
        <v>3732</v>
      </c>
      <c r="M2094" s="29" t="s">
        <v>207</v>
      </c>
      <c r="N2094" s="29" t="s">
        <v>3711</v>
      </c>
      <c r="O2094" s="29" t="s">
        <v>137</v>
      </c>
      <c r="P2094" s="30" t="s">
        <v>3733</v>
      </c>
    </row>
    <row r="2095" s="25" customFormat="1" spans="1:16">
      <c r="A2095" s="29" t="s">
        <v>3731</v>
      </c>
      <c r="B2095" s="29" t="s">
        <v>3702</v>
      </c>
      <c r="C2095" s="29" t="s">
        <v>129</v>
      </c>
      <c r="D2095" s="29" t="s">
        <v>3565</v>
      </c>
      <c r="E2095" s="29" t="s">
        <v>47</v>
      </c>
      <c r="F2095" s="29" t="s">
        <v>35</v>
      </c>
      <c r="G2095" s="29" t="s">
        <v>3703</v>
      </c>
      <c r="H2095" s="29" t="s">
        <v>3704</v>
      </c>
      <c r="I2095" s="29" t="s">
        <v>47</v>
      </c>
      <c r="J2095" s="29" t="s">
        <v>141</v>
      </c>
      <c r="K2095" s="29" t="s">
        <v>3734</v>
      </c>
      <c r="L2095" s="29" t="s">
        <v>3735</v>
      </c>
      <c r="M2095" s="29" t="s">
        <v>207</v>
      </c>
      <c r="N2095" s="29" t="s">
        <v>3711</v>
      </c>
      <c r="O2095" s="29" t="s">
        <v>137</v>
      </c>
      <c r="P2095" s="30" t="s">
        <v>3736</v>
      </c>
    </row>
    <row r="2096" s="25" customFormat="1" spans="1:16">
      <c r="A2096" s="29" t="s">
        <v>3734</v>
      </c>
      <c r="B2096" s="29" t="s">
        <v>3702</v>
      </c>
      <c r="C2096" s="29" t="s">
        <v>129</v>
      </c>
      <c r="D2096" s="29" t="s">
        <v>3565</v>
      </c>
      <c r="E2096" s="29" t="s">
        <v>47</v>
      </c>
      <c r="F2096" s="29" t="s">
        <v>35</v>
      </c>
      <c r="G2096" s="29" t="s">
        <v>3703</v>
      </c>
      <c r="H2096" s="29" t="s">
        <v>3704</v>
      </c>
      <c r="I2096" s="29" t="s">
        <v>47</v>
      </c>
      <c r="J2096" s="29" t="s">
        <v>145</v>
      </c>
      <c r="K2096" s="29" t="s">
        <v>39</v>
      </c>
      <c r="L2096" s="29" t="s">
        <v>3737</v>
      </c>
      <c r="M2096" s="29" t="s">
        <v>207</v>
      </c>
      <c r="N2096" s="29" t="s">
        <v>3711</v>
      </c>
      <c r="O2096" s="29" t="s">
        <v>137</v>
      </c>
      <c r="P2096" s="30" t="s">
        <v>3738</v>
      </c>
    </row>
    <row r="2097" s="25" customFormat="1" spans="1:16">
      <c r="A2097" s="29" t="s">
        <v>3739</v>
      </c>
      <c r="B2097" s="29" t="s">
        <v>3739</v>
      </c>
      <c r="C2097" s="29" t="s">
        <v>129</v>
      </c>
      <c r="D2097" s="29" t="s">
        <v>3565</v>
      </c>
      <c r="E2097" s="29" t="s">
        <v>47</v>
      </c>
      <c r="F2097" s="29" t="s">
        <v>35</v>
      </c>
      <c r="G2097" s="29" t="s">
        <v>3740</v>
      </c>
      <c r="H2097" s="29" t="s">
        <v>3741</v>
      </c>
      <c r="I2097" s="29" t="s">
        <v>47</v>
      </c>
      <c r="J2097" s="29" t="s">
        <v>39</v>
      </c>
      <c r="K2097" s="29" t="s">
        <v>3742</v>
      </c>
      <c r="L2097" s="29" t="s">
        <v>3706</v>
      </c>
      <c r="M2097" s="29" t="s">
        <v>244</v>
      </c>
      <c r="N2097" s="29" t="s">
        <v>3743</v>
      </c>
      <c r="O2097" s="29" t="s">
        <v>141</v>
      </c>
      <c r="P2097" s="30" t="s">
        <v>3744</v>
      </c>
    </row>
    <row r="2098" s="25" customFormat="1" spans="1:16">
      <c r="A2098" s="29" t="s">
        <v>3742</v>
      </c>
      <c r="B2098" s="29" t="s">
        <v>3739</v>
      </c>
      <c r="C2098" s="29" t="s">
        <v>129</v>
      </c>
      <c r="D2098" s="29" t="s">
        <v>3565</v>
      </c>
      <c r="E2098" s="29" t="s">
        <v>47</v>
      </c>
      <c r="F2098" s="29" t="s">
        <v>35</v>
      </c>
      <c r="G2098" s="29" t="s">
        <v>3740</v>
      </c>
      <c r="H2098" s="29" t="s">
        <v>3741</v>
      </c>
      <c r="I2098" s="29" t="s">
        <v>47</v>
      </c>
      <c r="J2098" s="29" t="s">
        <v>35</v>
      </c>
      <c r="K2098" s="29" t="s">
        <v>3745</v>
      </c>
      <c r="L2098" s="29" t="s">
        <v>3710</v>
      </c>
      <c r="M2098" s="29" t="s">
        <v>244</v>
      </c>
      <c r="N2098" s="29" t="s">
        <v>3746</v>
      </c>
      <c r="O2098" s="29" t="s">
        <v>141</v>
      </c>
      <c r="P2098" s="30" t="s">
        <v>3747</v>
      </c>
    </row>
    <row r="2099" s="25" customFormat="1" spans="1:16">
      <c r="A2099" s="29" t="s">
        <v>3745</v>
      </c>
      <c r="B2099" s="29" t="s">
        <v>3739</v>
      </c>
      <c r="C2099" s="29" t="s">
        <v>129</v>
      </c>
      <c r="D2099" s="29" t="s">
        <v>3565</v>
      </c>
      <c r="E2099" s="29" t="s">
        <v>47</v>
      </c>
      <c r="F2099" s="29" t="s">
        <v>35</v>
      </c>
      <c r="G2099" s="29" t="s">
        <v>3740</v>
      </c>
      <c r="H2099" s="29" t="s">
        <v>3741</v>
      </c>
      <c r="I2099" s="29" t="s">
        <v>47</v>
      </c>
      <c r="J2099" s="29" t="s">
        <v>47</v>
      </c>
      <c r="K2099" s="29" t="s">
        <v>3748</v>
      </c>
      <c r="L2099" s="29" t="s">
        <v>3714</v>
      </c>
      <c r="M2099" s="29" t="s">
        <v>244</v>
      </c>
      <c r="N2099" s="29" t="s">
        <v>3746</v>
      </c>
      <c r="O2099" s="29" t="s">
        <v>141</v>
      </c>
      <c r="P2099" s="30" t="s">
        <v>3749</v>
      </c>
    </row>
    <row r="2100" s="25" customFormat="1" spans="1:16">
      <c r="A2100" s="29" t="s">
        <v>3748</v>
      </c>
      <c r="B2100" s="29" t="s">
        <v>3739</v>
      </c>
      <c r="C2100" s="29" t="s">
        <v>129</v>
      </c>
      <c r="D2100" s="29" t="s">
        <v>3565</v>
      </c>
      <c r="E2100" s="29" t="s">
        <v>47</v>
      </c>
      <c r="F2100" s="29" t="s">
        <v>35</v>
      </c>
      <c r="G2100" s="29" t="s">
        <v>3740</v>
      </c>
      <c r="H2100" s="29" t="s">
        <v>3741</v>
      </c>
      <c r="I2100" s="29" t="s">
        <v>47</v>
      </c>
      <c r="J2100" s="29" t="s">
        <v>51</v>
      </c>
      <c r="K2100" s="29" t="s">
        <v>3750</v>
      </c>
      <c r="L2100" s="29" t="s">
        <v>3717</v>
      </c>
      <c r="M2100" s="29" t="s">
        <v>244</v>
      </c>
      <c r="N2100" s="29" t="s">
        <v>3746</v>
      </c>
      <c r="O2100" s="29" t="s">
        <v>141</v>
      </c>
      <c r="P2100" s="30" t="s">
        <v>3751</v>
      </c>
    </row>
    <row r="2101" s="25" customFormat="1" spans="1:16">
      <c r="A2101" s="29" t="s">
        <v>3750</v>
      </c>
      <c r="B2101" s="29" t="s">
        <v>3739</v>
      </c>
      <c r="C2101" s="29" t="s">
        <v>129</v>
      </c>
      <c r="D2101" s="29" t="s">
        <v>3565</v>
      </c>
      <c r="E2101" s="29" t="s">
        <v>47</v>
      </c>
      <c r="F2101" s="29" t="s">
        <v>35</v>
      </c>
      <c r="G2101" s="29" t="s">
        <v>3740</v>
      </c>
      <c r="H2101" s="29" t="s">
        <v>3741</v>
      </c>
      <c r="I2101" s="29" t="s">
        <v>47</v>
      </c>
      <c r="J2101" s="29" t="s">
        <v>55</v>
      </c>
      <c r="K2101" s="29" t="s">
        <v>3752</v>
      </c>
      <c r="L2101" s="29" t="s">
        <v>3720</v>
      </c>
      <c r="M2101" s="29" t="s">
        <v>244</v>
      </c>
      <c r="N2101" s="29" t="s">
        <v>3746</v>
      </c>
      <c r="O2101" s="29" t="s">
        <v>141</v>
      </c>
      <c r="P2101" s="30" t="s">
        <v>3753</v>
      </c>
    </row>
    <row r="2102" s="25" customFormat="1" spans="1:16">
      <c r="A2102" s="29" t="s">
        <v>3752</v>
      </c>
      <c r="B2102" s="29" t="s">
        <v>3739</v>
      </c>
      <c r="C2102" s="29" t="s">
        <v>129</v>
      </c>
      <c r="D2102" s="29" t="s">
        <v>3565</v>
      </c>
      <c r="E2102" s="29" t="s">
        <v>47</v>
      </c>
      <c r="F2102" s="29" t="s">
        <v>35</v>
      </c>
      <c r="G2102" s="29" t="s">
        <v>3740</v>
      </c>
      <c r="H2102" s="29" t="s">
        <v>3741</v>
      </c>
      <c r="I2102" s="29" t="s">
        <v>47</v>
      </c>
      <c r="J2102" s="29" t="s">
        <v>59</v>
      </c>
      <c r="K2102" s="29" t="s">
        <v>3754</v>
      </c>
      <c r="L2102" s="29" t="s">
        <v>3723</v>
      </c>
      <c r="M2102" s="29" t="s">
        <v>244</v>
      </c>
      <c r="N2102" s="29" t="s">
        <v>3746</v>
      </c>
      <c r="O2102" s="29" t="s">
        <v>141</v>
      </c>
      <c r="P2102" s="30" t="s">
        <v>3755</v>
      </c>
    </row>
    <row r="2103" s="25" customFormat="1" spans="1:16">
      <c r="A2103" s="29" t="s">
        <v>3754</v>
      </c>
      <c r="B2103" s="29" t="s">
        <v>3739</v>
      </c>
      <c r="C2103" s="29" t="s">
        <v>129</v>
      </c>
      <c r="D2103" s="29" t="s">
        <v>3565</v>
      </c>
      <c r="E2103" s="29" t="s">
        <v>47</v>
      </c>
      <c r="F2103" s="29" t="s">
        <v>35</v>
      </c>
      <c r="G2103" s="29" t="s">
        <v>3740</v>
      </c>
      <c r="H2103" s="29" t="s">
        <v>3741</v>
      </c>
      <c r="I2103" s="29" t="s">
        <v>47</v>
      </c>
      <c r="J2103" s="29" t="s">
        <v>129</v>
      </c>
      <c r="K2103" s="29" t="s">
        <v>3756</v>
      </c>
      <c r="L2103" s="29" t="s">
        <v>3726</v>
      </c>
      <c r="M2103" s="29" t="s">
        <v>244</v>
      </c>
      <c r="N2103" s="29" t="s">
        <v>3746</v>
      </c>
      <c r="O2103" s="29" t="s">
        <v>141</v>
      </c>
      <c r="P2103" s="30" t="s">
        <v>3757</v>
      </c>
    </row>
    <row r="2104" s="25" customFormat="1" spans="1:16">
      <c r="A2104" s="29" t="s">
        <v>3756</v>
      </c>
      <c r="B2104" s="29" t="s">
        <v>3739</v>
      </c>
      <c r="C2104" s="29" t="s">
        <v>129</v>
      </c>
      <c r="D2104" s="29" t="s">
        <v>3565</v>
      </c>
      <c r="E2104" s="29" t="s">
        <v>47</v>
      </c>
      <c r="F2104" s="29" t="s">
        <v>35</v>
      </c>
      <c r="G2104" s="29" t="s">
        <v>3740</v>
      </c>
      <c r="H2104" s="29" t="s">
        <v>3741</v>
      </c>
      <c r="I2104" s="29" t="s">
        <v>47</v>
      </c>
      <c r="J2104" s="29" t="s">
        <v>133</v>
      </c>
      <c r="K2104" s="29" t="s">
        <v>3758</v>
      </c>
      <c r="L2104" s="29" t="s">
        <v>3729</v>
      </c>
      <c r="M2104" s="29" t="s">
        <v>244</v>
      </c>
      <c r="N2104" s="29" t="s">
        <v>3746</v>
      </c>
      <c r="O2104" s="29" t="s">
        <v>141</v>
      </c>
      <c r="P2104" s="30" t="s">
        <v>3759</v>
      </c>
    </row>
    <row r="2105" s="25" customFormat="1" spans="1:16">
      <c r="A2105" s="29" t="s">
        <v>3758</v>
      </c>
      <c r="B2105" s="29" t="s">
        <v>3739</v>
      </c>
      <c r="C2105" s="29" t="s">
        <v>129</v>
      </c>
      <c r="D2105" s="29" t="s">
        <v>3565</v>
      </c>
      <c r="E2105" s="29" t="s">
        <v>47</v>
      </c>
      <c r="F2105" s="29" t="s">
        <v>35</v>
      </c>
      <c r="G2105" s="29" t="s">
        <v>3740</v>
      </c>
      <c r="H2105" s="29" t="s">
        <v>3741</v>
      </c>
      <c r="I2105" s="29" t="s">
        <v>47</v>
      </c>
      <c r="J2105" s="29" t="s">
        <v>137</v>
      </c>
      <c r="K2105" s="29" t="s">
        <v>3760</v>
      </c>
      <c r="L2105" s="29" t="s">
        <v>3732</v>
      </c>
      <c r="M2105" s="29" t="s">
        <v>244</v>
      </c>
      <c r="N2105" s="29" t="s">
        <v>3746</v>
      </c>
      <c r="O2105" s="29" t="s">
        <v>141</v>
      </c>
      <c r="P2105" s="30" t="s">
        <v>3761</v>
      </c>
    </row>
    <row r="2106" s="25" customFormat="1" spans="1:16">
      <c r="A2106" s="29" t="s">
        <v>3760</v>
      </c>
      <c r="B2106" s="29" t="s">
        <v>3739</v>
      </c>
      <c r="C2106" s="29" t="s">
        <v>129</v>
      </c>
      <c r="D2106" s="29" t="s">
        <v>3565</v>
      </c>
      <c r="E2106" s="29" t="s">
        <v>47</v>
      </c>
      <c r="F2106" s="29" t="s">
        <v>35</v>
      </c>
      <c r="G2106" s="29" t="s">
        <v>3740</v>
      </c>
      <c r="H2106" s="29" t="s">
        <v>3741</v>
      </c>
      <c r="I2106" s="29" t="s">
        <v>47</v>
      </c>
      <c r="J2106" s="29" t="s">
        <v>141</v>
      </c>
      <c r="K2106" s="29" t="s">
        <v>3762</v>
      </c>
      <c r="L2106" s="29" t="s">
        <v>3735</v>
      </c>
      <c r="M2106" s="29" t="s">
        <v>244</v>
      </c>
      <c r="N2106" s="29" t="s">
        <v>3746</v>
      </c>
      <c r="O2106" s="29" t="s">
        <v>141</v>
      </c>
      <c r="P2106" s="30" t="s">
        <v>3763</v>
      </c>
    </row>
    <row r="2107" s="25" customFormat="1" spans="1:16">
      <c r="A2107" s="29" t="s">
        <v>3762</v>
      </c>
      <c r="B2107" s="29" t="s">
        <v>3739</v>
      </c>
      <c r="C2107" s="29" t="s">
        <v>129</v>
      </c>
      <c r="D2107" s="29" t="s">
        <v>3565</v>
      </c>
      <c r="E2107" s="29" t="s">
        <v>47</v>
      </c>
      <c r="F2107" s="29" t="s">
        <v>35</v>
      </c>
      <c r="G2107" s="29" t="s">
        <v>3740</v>
      </c>
      <c r="H2107" s="29" t="s">
        <v>3741</v>
      </c>
      <c r="I2107" s="29" t="s">
        <v>47</v>
      </c>
      <c r="J2107" s="29" t="s">
        <v>145</v>
      </c>
      <c r="K2107" s="29" t="s">
        <v>39</v>
      </c>
      <c r="L2107" s="29" t="s">
        <v>3737</v>
      </c>
      <c r="M2107" s="29" t="s">
        <v>244</v>
      </c>
      <c r="N2107" s="29" t="s">
        <v>3746</v>
      </c>
      <c r="O2107" s="29" t="s">
        <v>141</v>
      </c>
      <c r="P2107" s="30" t="s">
        <v>3764</v>
      </c>
    </row>
    <row r="2108" s="25" customFormat="1" spans="1:16">
      <c r="A2108" s="29" t="s">
        <v>3765</v>
      </c>
      <c r="B2108" s="29" t="s">
        <v>3765</v>
      </c>
      <c r="C2108" s="29" t="s">
        <v>129</v>
      </c>
      <c r="D2108" s="29" t="s">
        <v>3565</v>
      </c>
      <c r="E2108" s="29" t="s">
        <v>47</v>
      </c>
      <c r="F2108" s="29" t="s">
        <v>35</v>
      </c>
      <c r="G2108" s="29" t="s">
        <v>3766</v>
      </c>
      <c r="H2108" s="29" t="s">
        <v>3767</v>
      </c>
      <c r="I2108" s="29" t="s">
        <v>47</v>
      </c>
      <c r="J2108" s="29" t="s">
        <v>39</v>
      </c>
      <c r="K2108" s="29" t="s">
        <v>3768</v>
      </c>
      <c r="L2108" s="29" t="s">
        <v>3706</v>
      </c>
      <c r="M2108" s="29" t="s">
        <v>271</v>
      </c>
      <c r="N2108" s="29" t="s">
        <v>3769</v>
      </c>
      <c r="O2108" s="29" t="s">
        <v>145</v>
      </c>
      <c r="P2108" s="30" t="s">
        <v>3770</v>
      </c>
    </row>
    <row r="2109" s="25" customFormat="1" spans="1:16">
      <c r="A2109" s="29" t="s">
        <v>3768</v>
      </c>
      <c r="B2109" s="29" t="s">
        <v>3765</v>
      </c>
      <c r="C2109" s="29" t="s">
        <v>129</v>
      </c>
      <c r="D2109" s="29" t="s">
        <v>3565</v>
      </c>
      <c r="E2109" s="29" t="s">
        <v>47</v>
      </c>
      <c r="F2109" s="29" t="s">
        <v>35</v>
      </c>
      <c r="G2109" s="29" t="s">
        <v>3766</v>
      </c>
      <c r="H2109" s="29" t="s">
        <v>3767</v>
      </c>
      <c r="I2109" s="29" t="s">
        <v>47</v>
      </c>
      <c r="J2109" s="29" t="s">
        <v>35</v>
      </c>
      <c r="K2109" s="29" t="s">
        <v>3771</v>
      </c>
      <c r="L2109" s="29" t="s">
        <v>3710</v>
      </c>
      <c r="M2109" s="29" t="s">
        <v>271</v>
      </c>
      <c r="N2109" s="29" t="s">
        <v>3772</v>
      </c>
      <c r="O2109" s="29" t="s">
        <v>145</v>
      </c>
      <c r="P2109" s="30" t="s">
        <v>3773</v>
      </c>
    </row>
    <row r="2110" s="25" customFormat="1" spans="1:16">
      <c r="A2110" s="29" t="s">
        <v>3771</v>
      </c>
      <c r="B2110" s="29" t="s">
        <v>3765</v>
      </c>
      <c r="C2110" s="29" t="s">
        <v>129</v>
      </c>
      <c r="D2110" s="29" t="s">
        <v>3565</v>
      </c>
      <c r="E2110" s="29" t="s">
        <v>47</v>
      </c>
      <c r="F2110" s="29" t="s">
        <v>35</v>
      </c>
      <c r="G2110" s="29" t="s">
        <v>3766</v>
      </c>
      <c r="H2110" s="29" t="s">
        <v>3767</v>
      </c>
      <c r="I2110" s="29" t="s">
        <v>47</v>
      </c>
      <c r="J2110" s="29" t="s">
        <v>47</v>
      </c>
      <c r="K2110" s="29" t="s">
        <v>3774</v>
      </c>
      <c r="L2110" s="29" t="s">
        <v>3714</v>
      </c>
      <c r="M2110" s="29" t="s">
        <v>271</v>
      </c>
      <c r="N2110" s="29" t="s">
        <v>3772</v>
      </c>
      <c r="O2110" s="29" t="s">
        <v>145</v>
      </c>
      <c r="P2110" s="30" t="s">
        <v>3775</v>
      </c>
    </row>
    <row r="2111" s="25" customFormat="1" spans="1:16">
      <c r="A2111" s="29" t="s">
        <v>3774</v>
      </c>
      <c r="B2111" s="29" t="s">
        <v>3765</v>
      </c>
      <c r="C2111" s="29" t="s">
        <v>129</v>
      </c>
      <c r="D2111" s="29" t="s">
        <v>3565</v>
      </c>
      <c r="E2111" s="29" t="s">
        <v>47</v>
      </c>
      <c r="F2111" s="29" t="s">
        <v>35</v>
      </c>
      <c r="G2111" s="29" t="s">
        <v>3766</v>
      </c>
      <c r="H2111" s="29" t="s">
        <v>3767</v>
      </c>
      <c r="I2111" s="29" t="s">
        <v>47</v>
      </c>
      <c r="J2111" s="29" t="s">
        <v>51</v>
      </c>
      <c r="K2111" s="29" t="s">
        <v>3776</v>
      </c>
      <c r="L2111" s="29" t="s">
        <v>3717</v>
      </c>
      <c r="M2111" s="29" t="s">
        <v>271</v>
      </c>
      <c r="N2111" s="29" t="s">
        <v>3772</v>
      </c>
      <c r="O2111" s="29" t="s">
        <v>145</v>
      </c>
      <c r="P2111" s="30" t="s">
        <v>3777</v>
      </c>
    </row>
    <row r="2112" s="25" customFormat="1" spans="1:16">
      <c r="A2112" s="29" t="s">
        <v>3776</v>
      </c>
      <c r="B2112" s="29" t="s">
        <v>3765</v>
      </c>
      <c r="C2112" s="29" t="s">
        <v>129</v>
      </c>
      <c r="D2112" s="29" t="s">
        <v>3565</v>
      </c>
      <c r="E2112" s="29" t="s">
        <v>47</v>
      </c>
      <c r="F2112" s="29" t="s">
        <v>35</v>
      </c>
      <c r="G2112" s="29" t="s">
        <v>3766</v>
      </c>
      <c r="H2112" s="29" t="s">
        <v>3767</v>
      </c>
      <c r="I2112" s="29" t="s">
        <v>47</v>
      </c>
      <c r="J2112" s="29" t="s">
        <v>55</v>
      </c>
      <c r="K2112" s="29" t="s">
        <v>3778</v>
      </c>
      <c r="L2112" s="29" t="s">
        <v>3720</v>
      </c>
      <c r="M2112" s="29" t="s">
        <v>271</v>
      </c>
      <c r="N2112" s="29" t="s">
        <v>3772</v>
      </c>
      <c r="O2112" s="29" t="s">
        <v>145</v>
      </c>
      <c r="P2112" s="30" t="s">
        <v>3779</v>
      </c>
    </row>
    <row r="2113" s="25" customFormat="1" spans="1:16">
      <c r="A2113" s="29" t="s">
        <v>3778</v>
      </c>
      <c r="B2113" s="29" t="s">
        <v>3765</v>
      </c>
      <c r="C2113" s="29" t="s">
        <v>129</v>
      </c>
      <c r="D2113" s="29" t="s">
        <v>3565</v>
      </c>
      <c r="E2113" s="29" t="s">
        <v>47</v>
      </c>
      <c r="F2113" s="29" t="s">
        <v>35</v>
      </c>
      <c r="G2113" s="29" t="s">
        <v>3766</v>
      </c>
      <c r="H2113" s="29" t="s">
        <v>3767</v>
      </c>
      <c r="I2113" s="29" t="s">
        <v>47</v>
      </c>
      <c r="J2113" s="29" t="s">
        <v>59</v>
      </c>
      <c r="K2113" s="29" t="s">
        <v>3780</v>
      </c>
      <c r="L2113" s="29" t="s">
        <v>3723</v>
      </c>
      <c r="M2113" s="29" t="s">
        <v>271</v>
      </c>
      <c r="N2113" s="29" t="s">
        <v>3772</v>
      </c>
      <c r="O2113" s="29" t="s">
        <v>145</v>
      </c>
      <c r="P2113" s="30" t="s">
        <v>3781</v>
      </c>
    </row>
    <row r="2114" s="25" customFormat="1" spans="1:16">
      <c r="A2114" s="29" t="s">
        <v>3780</v>
      </c>
      <c r="B2114" s="29" t="s">
        <v>3765</v>
      </c>
      <c r="C2114" s="29" t="s">
        <v>129</v>
      </c>
      <c r="D2114" s="29" t="s">
        <v>3565</v>
      </c>
      <c r="E2114" s="29" t="s">
        <v>47</v>
      </c>
      <c r="F2114" s="29" t="s">
        <v>35</v>
      </c>
      <c r="G2114" s="29" t="s">
        <v>3766</v>
      </c>
      <c r="H2114" s="29" t="s">
        <v>3767</v>
      </c>
      <c r="I2114" s="29" t="s">
        <v>47</v>
      </c>
      <c r="J2114" s="29" t="s">
        <v>129</v>
      </c>
      <c r="K2114" s="29" t="s">
        <v>3782</v>
      </c>
      <c r="L2114" s="29" t="s">
        <v>3726</v>
      </c>
      <c r="M2114" s="29" t="s">
        <v>271</v>
      </c>
      <c r="N2114" s="29" t="s">
        <v>3772</v>
      </c>
      <c r="O2114" s="29" t="s">
        <v>145</v>
      </c>
      <c r="P2114" s="30" t="s">
        <v>3783</v>
      </c>
    </row>
    <row r="2115" s="25" customFormat="1" spans="1:16">
      <c r="A2115" s="29" t="s">
        <v>3782</v>
      </c>
      <c r="B2115" s="29" t="s">
        <v>3765</v>
      </c>
      <c r="C2115" s="29" t="s">
        <v>129</v>
      </c>
      <c r="D2115" s="29" t="s">
        <v>3565</v>
      </c>
      <c r="E2115" s="29" t="s">
        <v>47</v>
      </c>
      <c r="F2115" s="29" t="s">
        <v>35</v>
      </c>
      <c r="G2115" s="29" t="s">
        <v>3766</v>
      </c>
      <c r="H2115" s="29" t="s">
        <v>3767</v>
      </c>
      <c r="I2115" s="29" t="s">
        <v>47</v>
      </c>
      <c r="J2115" s="29" t="s">
        <v>133</v>
      </c>
      <c r="K2115" s="29" t="s">
        <v>3784</v>
      </c>
      <c r="L2115" s="29" t="s">
        <v>3729</v>
      </c>
      <c r="M2115" s="29" t="s">
        <v>271</v>
      </c>
      <c r="N2115" s="29" t="s">
        <v>3772</v>
      </c>
      <c r="O2115" s="29" t="s">
        <v>145</v>
      </c>
      <c r="P2115" s="30" t="s">
        <v>3785</v>
      </c>
    </row>
    <row r="2116" s="25" customFormat="1" spans="1:16">
      <c r="A2116" s="29" t="s">
        <v>3784</v>
      </c>
      <c r="B2116" s="29" t="s">
        <v>3765</v>
      </c>
      <c r="C2116" s="29" t="s">
        <v>129</v>
      </c>
      <c r="D2116" s="29" t="s">
        <v>3565</v>
      </c>
      <c r="E2116" s="29" t="s">
        <v>47</v>
      </c>
      <c r="F2116" s="29" t="s">
        <v>35</v>
      </c>
      <c r="G2116" s="29" t="s">
        <v>3766</v>
      </c>
      <c r="H2116" s="29" t="s">
        <v>3767</v>
      </c>
      <c r="I2116" s="29" t="s">
        <v>47</v>
      </c>
      <c r="J2116" s="29" t="s">
        <v>137</v>
      </c>
      <c r="K2116" s="29" t="s">
        <v>3786</v>
      </c>
      <c r="L2116" s="29" t="s">
        <v>3732</v>
      </c>
      <c r="M2116" s="29" t="s">
        <v>271</v>
      </c>
      <c r="N2116" s="29" t="s">
        <v>3772</v>
      </c>
      <c r="O2116" s="29" t="s">
        <v>145</v>
      </c>
      <c r="P2116" s="30" t="s">
        <v>3787</v>
      </c>
    </row>
    <row r="2117" s="25" customFormat="1" spans="1:16">
      <c r="A2117" s="29" t="s">
        <v>3786</v>
      </c>
      <c r="B2117" s="29" t="s">
        <v>3765</v>
      </c>
      <c r="C2117" s="29" t="s">
        <v>129</v>
      </c>
      <c r="D2117" s="29" t="s">
        <v>3565</v>
      </c>
      <c r="E2117" s="29" t="s">
        <v>47</v>
      </c>
      <c r="F2117" s="29" t="s">
        <v>35</v>
      </c>
      <c r="G2117" s="29" t="s">
        <v>3766</v>
      </c>
      <c r="H2117" s="29" t="s">
        <v>3767</v>
      </c>
      <c r="I2117" s="29" t="s">
        <v>47</v>
      </c>
      <c r="J2117" s="29" t="s">
        <v>141</v>
      </c>
      <c r="K2117" s="29" t="s">
        <v>3788</v>
      </c>
      <c r="L2117" s="29" t="s">
        <v>3735</v>
      </c>
      <c r="M2117" s="29" t="s">
        <v>271</v>
      </c>
      <c r="N2117" s="29" t="s">
        <v>3772</v>
      </c>
      <c r="O2117" s="29" t="s">
        <v>145</v>
      </c>
      <c r="P2117" s="30" t="s">
        <v>3789</v>
      </c>
    </row>
    <row r="2118" s="25" customFormat="1" spans="1:16">
      <c r="A2118" s="29" t="s">
        <v>3788</v>
      </c>
      <c r="B2118" s="29" t="s">
        <v>3765</v>
      </c>
      <c r="C2118" s="29" t="s">
        <v>129</v>
      </c>
      <c r="D2118" s="29" t="s">
        <v>3565</v>
      </c>
      <c r="E2118" s="29" t="s">
        <v>47</v>
      </c>
      <c r="F2118" s="29" t="s">
        <v>35</v>
      </c>
      <c r="G2118" s="29" t="s">
        <v>3766</v>
      </c>
      <c r="H2118" s="29" t="s">
        <v>3767</v>
      </c>
      <c r="I2118" s="29" t="s">
        <v>47</v>
      </c>
      <c r="J2118" s="29" t="s">
        <v>145</v>
      </c>
      <c r="K2118" s="29" t="s">
        <v>39</v>
      </c>
      <c r="L2118" s="29" t="s">
        <v>3737</v>
      </c>
      <c r="M2118" s="29" t="s">
        <v>271</v>
      </c>
      <c r="N2118" s="29" t="s">
        <v>3772</v>
      </c>
      <c r="O2118" s="29" t="s">
        <v>145</v>
      </c>
      <c r="P2118" s="30" t="s">
        <v>3790</v>
      </c>
    </row>
    <row r="2119" s="25" customFormat="1" spans="1:16">
      <c r="A2119" s="29" t="s">
        <v>3791</v>
      </c>
      <c r="B2119" s="29" t="s">
        <v>3791</v>
      </c>
      <c r="C2119" s="29" t="s">
        <v>129</v>
      </c>
      <c r="D2119" s="29" t="s">
        <v>3569</v>
      </c>
      <c r="E2119" s="29" t="s">
        <v>35</v>
      </c>
      <c r="F2119" s="29" t="s">
        <v>47</v>
      </c>
      <c r="G2119" s="29" t="s">
        <v>295</v>
      </c>
      <c r="H2119" s="29" t="s">
        <v>38</v>
      </c>
      <c r="I2119" s="29" t="s">
        <v>39</v>
      </c>
      <c r="J2119" s="29" t="s">
        <v>39</v>
      </c>
      <c r="K2119" s="29" t="s">
        <v>3792</v>
      </c>
      <c r="L2119" s="29" t="s">
        <v>3793</v>
      </c>
      <c r="M2119" s="29" t="s">
        <v>298</v>
      </c>
      <c r="N2119" s="29" t="s">
        <v>3567</v>
      </c>
      <c r="O2119" s="29" t="s">
        <v>35</v>
      </c>
      <c r="P2119" s="30" t="s">
        <v>3568</v>
      </c>
    </row>
    <row r="2120" s="25" customFormat="1" spans="1:16">
      <c r="A2120" s="29" t="s">
        <v>3792</v>
      </c>
      <c r="B2120" s="29" t="s">
        <v>3791</v>
      </c>
      <c r="C2120" s="29" t="s">
        <v>129</v>
      </c>
      <c r="D2120" s="29" t="s">
        <v>3569</v>
      </c>
      <c r="E2120" s="29" t="s">
        <v>35</v>
      </c>
      <c r="F2120" s="29" t="s">
        <v>47</v>
      </c>
      <c r="G2120" s="29" t="s">
        <v>295</v>
      </c>
      <c r="H2120" s="29" t="s">
        <v>38</v>
      </c>
      <c r="I2120" s="29" t="s">
        <v>39</v>
      </c>
      <c r="J2120" s="29" t="s">
        <v>35</v>
      </c>
      <c r="K2120" s="29" t="s">
        <v>3794</v>
      </c>
      <c r="L2120" s="29" t="s">
        <v>3795</v>
      </c>
      <c r="M2120" s="29" t="s">
        <v>298</v>
      </c>
      <c r="N2120" s="29" t="s">
        <v>3796</v>
      </c>
      <c r="O2120" s="29" t="s">
        <v>35</v>
      </c>
      <c r="P2120" s="30" t="s">
        <v>3797</v>
      </c>
    </row>
    <row r="2121" s="25" customFormat="1" spans="1:16">
      <c r="A2121" s="29" t="s">
        <v>3794</v>
      </c>
      <c r="B2121" s="29" t="s">
        <v>3791</v>
      </c>
      <c r="C2121" s="29" t="s">
        <v>129</v>
      </c>
      <c r="D2121" s="29" t="s">
        <v>3569</v>
      </c>
      <c r="E2121" s="29" t="s">
        <v>35</v>
      </c>
      <c r="F2121" s="29" t="s">
        <v>47</v>
      </c>
      <c r="G2121" s="29" t="s">
        <v>295</v>
      </c>
      <c r="H2121" s="29" t="s">
        <v>38</v>
      </c>
      <c r="I2121" s="29" t="s">
        <v>39</v>
      </c>
      <c r="J2121" s="29" t="s">
        <v>47</v>
      </c>
      <c r="K2121" s="29" t="s">
        <v>3798</v>
      </c>
      <c r="L2121" s="29" t="s">
        <v>3799</v>
      </c>
      <c r="M2121" s="29" t="s">
        <v>298</v>
      </c>
      <c r="N2121" s="29" t="s">
        <v>3796</v>
      </c>
      <c r="O2121" s="29" t="s">
        <v>35</v>
      </c>
      <c r="P2121" s="30" t="s">
        <v>3800</v>
      </c>
    </row>
    <row r="2122" s="25" customFormat="1" spans="1:16">
      <c r="A2122" s="29" t="s">
        <v>3798</v>
      </c>
      <c r="B2122" s="29" t="s">
        <v>3791</v>
      </c>
      <c r="C2122" s="29" t="s">
        <v>129</v>
      </c>
      <c r="D2122" s="29" t="s">
        <v>3569</v>
      </c>
      <c r="E2122" s="29" t="s">
        <v>35</v>
      </c>
      <c r="F2122" s="29" t="s">
        <v>47</v>
      </c>
      <c r="G2122" s="29" t="s">
        <v>295</v>
      </c>
      <c r="H2122" s="29" t="s">
        <v>38</v>
      </c>
      <c r="I2122" s="29" t="s">
        <v>39</v>
      </c>
      <c r="J2122" s="29" t="s">
        <v>51</v>
      </c>
      <c r="K2122" s="29" t="s">
        <v>3801</v>
      </c>
      <c r="L2122" s="29" t="s">
        <v>3802</v>
      </c>
      <c r="M2122" s="29" t="s">
        <v>298</v>
      </c>
      <c r="N2122" s="29" t="s">
        <v>3796</v>
      </c>
      <c r="O2122" s="29" t="s">
        <v>35</v>
      </c>
      <c r="P2122" s="30" t="s">
        <v>3575</v>
      </c>
    </row>
    <row r="2123" s="25" customFormat="1" spans="1:16">
      <c r="A2123" s="29" t="s">
        <v>3801</v>
      </c>
      <c r="B2123" s="29" t="s">
        <v>3791</v>
      </c>
      <c r="C2123" s="29" t="s">
        <v>129</v>
      </c>
      <c r="D2123" s="29" t="s">
        <v>3569</v>
      </c>
      <c r="E2123" s="29" t="s">
        <v>35</v>
      </c>
      <c r="F2123" s="29" t="s">
        <v>47</v>
      </c>
      <c r="G2123" s="29" t="s">
        <v>295</v>
      </c>
      <c r="H2123" s="29" t="s">
        <v>38</v>
      </c>
      <c r="I2123" s="29" t="s">
        <v>39</v>
      </c>
      <c r="J2123" s="29" t="s">
        <v>55</v>
      </c>
      <c r="K2123" s="29" t="s">
        <v>3803</v>
      </c>
      <c r="L2123" s="29" t="s">
        <v>3804</v>
      </c>
      <c r="M2123" s="29" t="s">
        <v>298</v>
      </c>
      <c r="N2123" s="29" t="s">
        <v>3796</v>
      </c>
      <c r="O2123" s="29" t="s">
        <v>35</v>
      </c>
      <c r="P2123" s="30" t="s">
        <v>3805</v>
      </c>
    </row>
    <row r="2124" s="25" customFormat="1" spans="1:16">
      <c r="A2124" s="29" t="s">
        <v>3803</v>
      </c>
      <c r="B2124" s="29" t="s">
        <v>3791</v>
      </c>
      <c r="C2124" s="29" t="s">
        <v>129</v>
      </c>
      <c r="D2124" s="29" t="s">
        <v>3569</v>
      </c>
      <c r="E2124" s="29" t="s">
        <v>35</v>
      </c>
      <c r="F2124" s="29" t="s">
        <v>47</v>
      </c>
      <c r="G2124" s="29" t="s">
        <v>295</v>
      </c>
      <c r="H2124" s="29" t="s">
        <v>38</v>
      </c>
      <c r="I2124" s="29" t="s">
        <v>39</v>
      </c>
      <c r="J2124" s="29" t="s">
        <v>59</v>
      </c>
      <c r="K2124" s="29" t="s">
        <v>3806</v>
      </c>
      <c r="L2124" s="29" t="s">
        <v>3807</v>
      </c>
      <c r="M2124" s="29" t="s">
        <v>298</v>
      </c>
      <c r="N2124" s="29" t="s">
        <v>3796</v>
      </c>
      <c r="O2124" s="29" t="s">
        <v>35</v>
      </c>
      <c r="P2124" s="30" t="s">
        <v>3808</v>
      </c>
    </row>
    <row r="2125" s="25" customFormat="1" spans="1:16">
      <c r="A2125" s="29" t="s">
        <v>3806</v>
      </c>
      <c r="B2125" s="29" t="s">
        <v>3791</v>
      </c>
      <c r="C2125" s="29" t="s">
        <v>129</v>
      </c>
      <c r="D2125" s="29" t="s">
        <v>3569</v>
      </c>
      <c r="E2125" s="29" t="s">
        <v>35</v>
      </c>
      <c r="F2125" s="29" t="s">
        <v>47</v>
      </c>
      <c r="G2125" s="29" t="s">
        <v>295</v>
      </c>
      <c r="H2125" s="29" t="s">
        <v>38</v>
      </c>
      <c r="I2125" s="29" t="s">
        <v>39</v>
      </c>
      <c r="J2125" s="29" t="s">
        <v>129</v>
      </c>
      <c r="K2125" s="29" t="s">
        <v>3809</v>
      </c>
      <c r="L2125" s="29" t="s">
        <v>3810</v>
      </c>
      <c r="M2125" s="29" t="s">
        <v>298</v>
      </c>
      <c r="N2125" s="29" t="s">
        <v>3796</v>
      </c>
      <c r="O2125" s="29" t="s">
        <v>35</v>
      </c>
      <c r="P2125" s="30" t="s">
        <v>3581</v>
      </c>
    </row>
    <row r="2126" s="25" customFormat="1" spans="1:16">
      <c r="A2126" s="29" t="s">
        <v>3809</v>
      </c>
      <c r="B2126" s="29" t="s">
        <v>3791</v>
      </c>
      <c r="C2126" s="29" t="s">
        <v>129</v>
      </c>
      <c r="D2126" s="29" t="s">
        <v>3569</v>
      </c>
      <c r="E2126" s="29" t="s">
        <v>35</v>
      </c>
      <c r="F2126" s="29" t="s">
        <v>47</v>
      </c>
      <c r="G2126" s="29" t="s">
        <v>295</v>
      </c>
      <c r="H2126" s="29" t="s">
        <v>38</v>
      </c>
      <c r="I2126" s="29" t="s">
        <v>39</v>
      </c>
      <c r="J2126" s="29" t="s">
        <v>133</v>
      </c>
      <c r="K2126" s="29" t="s">
        <v>3811</v>
      </c>
      <c r="L2126" s="29" t="s">
        <v>3812</v>
      </c>
      <c r="M2126" s="29" t="s">
        <v>298</v>
      </c>
      <c r="N2126" s="29" t="s">
        <v>3796</v>
      </c>
      <c r="O2126" s="29" t="s">
        <v>35</v>
      </c>
      <c r="P2126" s="30" t="s">
        <v>3813</v>
      </c>
    </row>
    <row r="2127" s="25" customFormat="1" spans="1:16">
      <c r="A2127" s="29" t="s">
        <v>3811</v>
      </c>
      <c r="B2127" s="29" t="s">
        <v>3791</v>
      </c>
      <c r="C2127" s="29" t="s">
        <v>129</v>
      </c>
      <c r="D2127" s="29" t="s">
        <v>3569</v>
      </c>
      <c r="E2127" s="29" t="s">
        <v>35</v>
      </c>
      <c r="F2127" s="29" t="s">
        <v>47</v>
      </c>
      <c r="G2127" s="29" t="s">
        <v>295</v>
      </c>
      <c r="H2127" s="29" t="s">
        <v>38</v>
      </c>
      <c r="I2127" s="29" t="s">
        <v>39</v>
      </c>
      <c r="J2127" s="29" t="s">
        <v>137</v>
      </c>
      <c r="K2127" s="29" t="s">
        <v>3814</v>
      </c>
      <c r="L2127" s="29" t="s">
        <v>3815</v>
      </c>
      <c r="M2127" s="29" t="s">
        <v>298</v>
      </c>
      <c r="N2127" s="29" t="s">
        <v>3796</v>
      </c>
      <c r="O2127" s="29" t="s">
        <v>35</v>
      </c>
      <c r="P2127" s="30" t="s">
        <v>3816</v>
      </c>
    </row>
    <row r="2128" s="25" customFormat="1" spans="1:16">
      <c r="A2128" s="29" t="s">
        <v>3814</v>
      </c>
      <c r="B2128" s="29" t="s">
        <v>3791</v>
      </c>
      <c r="C2128" s="29" t="s">
        <v>129</v>
      </c>
      <c r="D2128" s="29" t="s">
        <v>3569</v>
      </c>
      <c r="E2128" s="29" t="s">
        <v>35</v>
      </c>
      <c r="F2128" s="29" t="s">
        <v>47</v>
      </c>
      <c r="G2128" s="29" t="s">
        <v>295</v>
      </c>
      <c r="H2128" s="29" t="s">
        <v>38</v>
      </c>
      <c r="I2128" s="29" t="s">
        <v>39</v>
      </c>
      <c r="J2128" s="29" t="s">
        <v>141</v>
      </c>
      <c r="K2128" s="29" t="s">
        <v>3817</v>
      </c>
      <c r="L2128" s="29" t="s">
        <v>3818</v>
      </c>
      <c r="M2128" s="29" t="s">
        <v>298</v>
      </c>
      <c r="N2128" s="29" t="s">
        <v>3796</v>
      </c>
      <c r="O2128" s="29" t="s">
        <v>35</v>
      </c>
      <c r="P2128" s="30" t="s">
        <v>3819</v>
      </c>
    </row>
    <row r="2129" s="25" customFormat="1" spans="1:16">
      <c r="A2129" s="29" t="s">
        <v>3817</v>
      </c>
      <c r="B2129" s="29" t="s">
        <v>3791</v>
      </c>
      <c r="C2129" s="29" t="s">
        <v>129</v>
      </c>
      <c r="D2129" s="29" t="s">
        <v>3569</v>
      </c>
      <c r="E2129" s="29" t="s">
        <v>35</v>
      </c>
      <c r="F2129" s="29" t="s">
        <v>47</v>
      </c>
      <c r="G2129" s="29" t="s">
        <v>295</v>
      </c>
      <c r="H2129" s="29" t="s">
        <v>38</v>
      </c>
      <c r="I2129" s="29" t="s">
        <v>39</v>
      </c>
      <c r="J2129" s="29" t="s">
        <v>145</v>
      </c>
      <c r="K2129" s="29" t="s">
        <v>39</v>
      </c>
      <c r="L2129" s="29" t="s">
        <v>39</v>
      </c>
      <c r="M2129" s="29" t="s">
        <v>39</v>
      </c>
      <c r="N2129" s="29" t="s">
        <v>3796</v>
      </c>
      <c r="O2129" s="29" t="s">
        <v>35</v>
      </c>
      <c r="P2129" s="30" t="s">
        <v>3820</v>
      </c>
    </row>
    <row r="2130" s="25" customFormat="1" spans="1:16">
      <c r="A2130" s="29" t="s">
        <v>3821</v>
      </c>
      <c r="B2130" s="29" t="s">
        <v>3821</v>
      </c>
      <c r="C2130" s="29" t="s">
        <v>129</v>
      </c>
      <c r="D2130" s="29" t="s">
        <v>3569</v>
      </c>
      <c r="E2130" s="29" t="s">
        <v>35</v>
      </c>
      <c r="F2130" s="29" t="s">
        <v>47</v>
      </c>
      <c r="G2130" s="29" t="s">
        <v>327</v>
      </c>
      <c r="H2130" s="29" t="s">
        <v>63</v>
      </c>
      <c r="I2130" s="29" t="s">
        <v>39</v>
      </c>
      <c r="J2130" s="29" t="s">
        <v>39</v>
      </c>
      <c r="K2130" s="29" t="s">
        <v>3822</v>
      </c>
      <c r="L2130" s="29" t="s">
        <v>3793</v>
      </c>
      <c r="M2130" s="29" t="s">
        <v>329</v>
      </c>
      <c r="N2130" s="29" t="s">
        <v>3585</v>
      </c>
      <c r="O2130" s="29" t="s">
        <v>47</v>
      </c>
      <c r="P2130" s="30" t="s">
        <v>3586</v>
      </c>
    </row>
    <row r="2131" s="25" customFormat="1" spans="1:16">
      <c r="A2131" s="29" t="s">
        <v>3822</v>
      </c>
      <c r="B2131" s="29" t="s">
        <v>3821</v>
      </c>
      <c r="C2131" s="29" t="s">
        <v>129</v>
      </c>
      <c r="D2131" s="29" t="s">
        <v>3569</v>
      </c>
      <c r="E2131" s="29" t="s">
        <v>35</v>
      </c>
      <c r="F2131" s="29" t="s">
        <v>47</v>
      </c>
      <c r="G2131" s="29" t="s">
        <v>327</v>
      </c>
      <c r="H2131" s="29" t="s">
        <v>63</v>
      </c>
      <c r="I2131" s="29" t="s">
        <v>39</v>
      </c>
      <c r="J2131" s="29" t="s">
        <v>35</v>
      </c>
      <c r="K2131" s="29" t="s">
        <v>3823</v>
      </c>
      <c r="L2131" s="29" t="s">
        <v>3795</v>
      </c>
      <c r="M2131" s="29" t="s">
        <v>329</v>
      </c>
      <c r="N2131" s="29" t="s">
        <v>3824</v>
      </c>
      <c r="O2131" s="29" t="s">
        <v>47</v>
      </c>
      <c r="P2131" s="30" t="s">
        <v>3825</v>
      </c>
    </row>
    <row r="2132" s="25" customFormat="1" spans="1:16">
      <c r="A2132" s="29" t="s">
        <v>3823</v>
      </c>
      <c r="B2132" s="29" t="s">
        <v>3821</v>
      </c>
      <c r="C2132" s="29" t="s">
        <v>129</v>
      </c>
      <c r="D2132" s="29" t="s">
        <v>3569</v>
      </c>
      <c r="E2132" s="29" t="s">
        <v>35</v>
      </c>
      <c r="F2132" s="29" t="s">
        <v>47</v>
      </c>
      <c r="G2132" s="29" t="s">
        <v>327</v>
      </c>
      <c r="H2132" s="29" t="s">
        <v>63</v>
      </c>
      <c r="I2132" s="29" t="s">
        <v>39</v>
      </c>
      <c r="J2132" s="29" t="s">
        <v>47</v>
      </c>
      <c r="K2132" s="29" t="s">
        <v>3826</v>
      </c>
      <c r="L2132" s="29" t="s">
        <v>3799</v>
      </c>
      <c r="M2132" s="29" t="s">
        <v>329</v>
      </c>
      <c r="N2132" s="29" t="s">
        <v>3824</v>
      </c>
      <c r="O2132" s="29" t="s">
        <v>47</v>
      </c>
      <c r="P2132" s="30" t="s">
        <v>3827</v>
      </c>
    </row>
    <row r="2133" s="25" customFormat="1" spans="1:16">
      <c r="A2133" s="29" t="s">
        <v>3826</v>
      </c>
      <c r="B2133" s="29" t="s">
        <v>3821</v>
      </c>
      <c r="C2133" s="29" t="s">
        <v>129</v>
      </c>
      <c r="D2133" s="29" t="s">
        <v>3569</v>
      </c>
      <c r="E2133" s="29" t="s">
        <v>35</v>
      </c>
      <c r="F2133" s="29" t="s">
        <v>47</v>
      </c>
      <c r="G2133" s="29" t="s">
        <v>327</v>
      </c>
      <c r="H2133" s="29" t="s">
        <v>63</v>
      </c>
      <c r="I2133" s="29" t="s">
        <v>39</v>
      </c>
      <c r="J2133" s="29" t="s">
        <v>51</v>
      </c>
      <c r="K2133" s="29" t="s">
        <v>3828</v>
      </c>
      <c r="L2133" s="29" t="s">
        <v>3802</v>
      </c>
      <c r="M2133" s="29" t="s">
        <v>329</v>
      </c>
      <c r="N2133" s="29" t="s">
        <v>3824</v>
      </c>
      <c r="O2133" s="29" t="s">
        <v>47</v>
      </c>
      <c r="P2133" s="30" t="s">
        <v>3829</v>
      </c>
    </row>
    <row r="2134" s="25" customFormat="1" spans="1:16">
      <c r="A2134" s="29" t="s">
        <v>3828</v>
      </c>
      <c r="B2134" s="29" t="s">
        <v>3821</v>
      </c>
      <c r="C2134" s="29" t="s">
        <v>129</v>
      </c>
      <c r="D2134" s="29" t="s">
        <v>3569</v>
      </c>
      <c r="E2134" s="29" t="s">
        <v>35</v>
      </c>
      <c r="F2134" s="29" t="s">
        <v>47</v>
      </c>
      <c r="G2134" s="29" t="s">
        <v>327</v>
      </c>
      <c r="H2134" s="29" t="s">
        <v>63</v>
      </c>
      <c r="I2134" s="29" t="s">
        <v>39</v>
      </c>
      <c r="J2134" s="29" t="s">
        <v>55</v>
      </c>
      <c r="K2134" s="29" t="s">
        <v>3830</v>
      </c>
      <c r="L2134" s="29" t="s">
        <v>3804</v>
      </c>
      <c r="M2134" s="29" t="s">
        <v>329</v>
      </c>
      <c r="N2134" s="29" t="s">
        <v>3824</v>
      </c>
      <c r="O2134" s="29" t="s">
        <v>47</v>
      </c>
      <c r="P2134" s="30" t="s">
        <v>3831</v>
      </c>
    </row>
    <row r="2135" s="25" customFormat="1" spans="1:16">
      <c r="A2135" s="29" t="s">
        <v>3830</v>
      </c>
      <c r="B2135" s="29" t="s">
        <v>3821</v>
      </c>
      <c r="C2135" s="29" t="s">
        <v>129</v>
      </c>
      <c r="D2135" s="29" t="s">
        <v>3569</v>
      </c>
      <c r="E2135" s="29" t="s">
        <v>35</v>
      </c>
      <c r="F2135" s="29" t="s">
        <v>47</v>
      </c>
      <c r="G2135" s="29" t="s">
        <v>327</v>
      </c>
      <c r="H2135" s="29" t="s">
        <v>63</v>
      </c>
      <c r="I2135" s="29" t="s">
        <v>39</v>
      </c>
      <c r="J2135" s="29" t="s">
        <v>59</v>
      </c>
      <c r="K2135" s="29" t="s">
        <v>3832</v>
      </c>
      <c r="L2135" s="29" t="s">
        <v>3807</v>
      </c>
      <c r="M2135" s="29" t="s">
        <v>329</v>
      </c>
      <c r="N2135" s="29" t="s">
        <v>3824</v>
      </c>
      <c r="O2135" s="29" t="s">
        <v>47</v>
      </c>
      <c r="P2135" s="30" t="s">
        <v>3833</v>
      </c>
    </row>
    <row r="2136" s="25" customFormat="1" spans="1:16">
      <c r="A2136" s="29" t="s">
        <v>3832</v>
      </c>
      <c r="B2136" s="29" t="s">
        <v>3821</v>
      </c>
      <c r="C2136" s="29" t="s">
        <v>129</v>
      </c>
      <c r="D2136" s="29" t="s">
        <v>3569</v>
      </c>
      <c r="E2136" s="29" t="s">
        <v>35</v>
      </c>
      <c r="F2136" s="29" t="s">
        <v>47</v>
      </c>
      <c r="G2136" s="29" t="s">
        <v>327</v>
      </c>
      <c r="H2136" s="29" t="s">
        <v>63</v>
      </c>
      <c r="I2136" s="29" t="s">
        <v>39</v>
      </c>
      <c r="J2136" s="29" t="s">
        <v>129</v>
      </c>
      <c r="K2136" s="29" t="s">
        <v>3834</v>
      </c>
      <c r="L2136" s="29" t="s">
        <v>3810</v>
      </c>
      <c r="M2136" s="29" t="s">
        <v>329</v>
      </c>
      <c r="N2136" s="29" t="s">
        <v>3824</v>
      </c>
      <c r="O2136" s="29" t="s">
        <v>47</v>
      </c>
      <c r="P2136" s="30" t="s">
        <v>3596</v>
      </c>
    </row>
    <row r="2137" s="25" customFormat="1" spans="1:16">
      <c r="A2137" s="29" t="s">
        <v>3834</v>
      </c>
      <c r="B2137" s="29" t="s">
        <v>3821</v>
      </c>
      <c r="C2137" s="29" t="s">
        <v>129</v>
      </c>
      <c r="D2137" s="29" t="s">
        <v>3569</v>
      </c>
      <c r="E2137" s="29" t="s">
        <v>35</v>
      </c>
      <c r="F2137" s="29" t="s">
        <v>47</v>
      </c>
      <c r="G2137" s="29" t="s">
        <v>327</v>
      </c>
      <c r="H2137" s="29" t="s">
        <v>63</v>
      </c>
      <c r="I2137" s="29" t="s">
        <v>39</v>
      </c>
      <c r="J2137" s="29" t="s">
        <v>133</v>
      </c>
      <c r="K2137" s="29" t="s">
        <v>3835</v>
      </c>
      <c r="L2137" s="29" t="s">
        <v>3812</v>
      </c>
      <c r="M2137" s="29" t="s">
        <v>329</v>
      </c>
      <c r="N2137" s="29" t="s">
        <v>3824</v>
      </c>
      <c r="O2137" s="29" t="s">
        <v>47</v>
      </c>
      <c r="P2137" s="30" t="s">
        <v>3836</v>
      </c>
    </row>
    <row r="2138" s="25" customFormat="1" spans="1:16">
      <c r="A2138" s="29" t="s">
        <v>3835</v>
      </c>
      <c r="B2138" s="29" t="s">
        <v>3821</v>
      </c>
      <c r="C2138" s="29" t="s">
        <v>129</v>
      </c>
      <c r="D2138" s="29" t="s">
        <v>3569</v>
      </c>
      <c r="E2138" s="29" t="s">
        <v>35</v>
      </c>
      <c r="F2138" s="29" t="s">
        <v>47</v>
      </c>
      <c r="G2138" s="29" t="s">
        <v>327</v>
      </c>
      <c r="H2138" s="29" t="s">
        <v>63</v>
      </c>
      <c r="I2138" s="29" t="s">
        <v>39</v>
      </c>
      <c r="J2138" s="29" t="s">
        <v>137</v>
      </c>
      <c r="K2138" s="29" t="s">
        <v>3837</v>
      </c>
      <c r="L2138" s="29" t="s">
        <v>3815</v>
      </c>
      <c r="M2138" s="29" t="s">
        <v>329</v>
      </c>
      <c r="N2138" s="29" t="s">
        <v>3824</v>
      </c>
      <c r="O2138" s="29" t="s">
        <v>47</v>
      </c>
      <c r="P2138" s="30" t="s">
        <v>3838</v>
      </c>
    </row>
    <row r="2139" s="25" customFormat="1" spans="1:16">
      <c r="A2139" s="29" t="s">
        <v>3837</v>
      </c>
      <c r="B2139" s="29" t="s">
        <v>3821</v>
      </c>
      <c r="C2139" s="29" t="s">
        <v>129</v>
      </c>
      <c r="D2139" s="29" t="s">
        <v>3569</v>
      </c>
      <c r="E2139" s="29" t="s">
        <v>35</v>
      </c>
      <c r="F2139" s="29" t="s">
        <v>47</v>
      </c>
      <c r="G2139" s="29" t="s">
        <v>327</v>
      </c>
      <c r="H2139" s="29" t="s">
        <v>63</v>
      </c>
      <c r="I2139" s="29" t="s">
        <v>39</v>
      </c>
      <c r="J2139" s="29" t="s">
        <v>141</v>
      </c>
      <c r="K2139" s="29" t="s">
        <v>3839</v>
      </c>
      <c r="L2139" s="29" t="s">
        <v>3818</v>
      </c>
      <c r="M2139" s="29" t="s">
        <v>329</v>
      </c>
      <c r="N2139" s="29" t="s">
        <v>3824</v>
      </c>
      <c r="O2139" s="29" t="s">
        <v>47</v>
      </c>
      <c r="P2139" s="30" t="s">
        <v>3840</v>
      </c>
    </row>
    <row r="2140" s="25" customFormat="1" spans="1:16">
      <c r="A2140" s="29" t="s">
        <v>3839</v>
      </c>
      <c r="B2140" s="29" t="s">
        <v>3821</v>
      </c>
      <c r="C2140" s="29" t="s">
        <v>129</v>
      </c>
      <c r="D2140" s="29" t="s">
        <v>3569</v>
      </c>
      <c r="E2140" s="29" t="s">
        <v>35</v>
      </c>
      <c r="F2140" s="29" t="s">
        <v>47</v>
      </c>
      <c r="G2140" s="29" t="s">
        <v>327</v>
      </c>
      <c r="H2140" s="29" t="s">
        <v>63</v>
      </c>
      <c r="I2140" s="29" t="s">
        <v>39</v>
      </c>
      <c r="J2140" s="29" t="s">
        <v>145</v>
      </c>
      <c r="K2140" s="29" t="s">
        <v>39</v>
      </c>
      <c r="L2140" s="29" t="s">
        <v>39</v>
      </c>
      <c r="M2140" s="29" t="s">
        <v>39</v>
      </c>
      <c r="N2140" s="29" t="s">
        <v>3824</v>
      </c>
      <c r="O2140" s="29" t="s">
        <v>47</v>
      </c>
      <c r="P2140" s="30" t="s">
        <v>3841</v>
      </c>
    </row>
    <row r="2141" s="25" customFormat="1" spans="1:16">
      <c r="A2141" s="29" t="s">
        <v>3842</v>
      </c>
      <c r="B2141" s="29" t="s">
        <v>3842</v>
      </c>
      <c r="C2141" s="29" t="s">
        <v>129</v>
      </c>
      <c r="D2141" s="29" t="s">
        <v>3569</v>
      </c>
      <c r="E2141" s="29" t="s">
        <v>35</v>
      </c>
      <c r="F2141" s="29" t="s">
        <v>47</v>
      </c>
      <c r="G2141" s="29" t="s">
        <v>350</v>
      </c>
      <c r="H2141" s="29" t="s">
        <v>80</v>
      </c>
      <c r="I2141" s="29" t="s">
        <v>39</v>
      </c>
      <c r="J2141" s="29" t="s">
        <v>39</v>
      </c>
      <c r="K2141" s="29" t="s">
        <v>3843</v>
      </c>
      <c r="L2141" s="29" t="s">
        <v>3793</v>
      </c>
      <c r="M2141" s="29" t="s">
        <v>329</v>
      </c>
      <c r="N2141" s="29" t="s">
        <v>3599</v>
      </c>
      <c r="O2141" s="29" t="s">
        <v>51</v>
      </c>
      <c r="P2141" s="30" t="s">
        <v>3600</v>
      </c>
    </row>
    <row r="2142" s="25" customFormat="1" spans="1:16">
      <c r="A2142" s="29" t="s">
        <v>3843</v>
      </c>
      <c r="B2142" s="29" t="s">
        <v>3842</v>
      </c>
      <c r="C2142" s="29" t="s">
        <v>129</v>
      </c>
      <c r="D2142" s="29" t="s">
        <v>3569</v>
      </c>
      <c r="E2142" s="29" t="s">
        <v>35</v>
      </c>
      <c r="F2142" s="29" t="s">
        <v>47</v>
      </c>
      <c r="G2142" s="29" t="s">
        <v>350</v>
      </c>
      <c r="H2142" s="29" t="s">
        <v>80</v>
      </c>
      <c r="I2142" s="29" t="s">
        <v>39</v>
      </c>
      <c r="J2142" s="29" t="s">
        <v>35</v>
      </c>
      <c r="K2142" s="29" t="s">
        <v>3844</v>
      </c>
      <c r="L2142" s="29" t="s">
        <v>3795</v>
      </c>
      <c r="M2142" s="29" t="s">
        <v>329</v>
      </c>
      <c r="N2142" s="29" t="s">
        <v>3845</v>
      </c>
      <c r="O2142" s="29" t="s">
        <v>51</v>
      </c>
      <c r="P2142" s="30" t="s">
        <v>3846</v>
      </c>
    </row>
    <row r="2143" s="25" customFormat="1" spans="1:16">
      <c r="A2143" s="29" t="s">
        <v>3844</v>
      </c>
      <c r="B2143" s="29" t="s">
        <v>3842</v>
      </c>
      <c r="C2143" s="29" t="s">
        <v>129</v>
      </c>
      <c r="D2143" s="29" t="s">
        <v>3569</v>
      </c>
      <c r="E2143" s="29" t="s">
        <v>35</v>
      </c>
      <c r="F2143" s="29" t="s">
        <v>47</v>
      </c>
      <c r="G2143" s="29" t="s">
        <v>350</v>
      </c>
      <c r="H2143" s="29" t="s">
        <v>80</v>
      </c>
      <c r="I2143" s="29" t="s">
        <v>39</v>
      </c>
      <c r="J2143" s="29" t="s">
        <v>47</v>
      </c>
      <c r="K2143" s="29" t="s">
        <v>3847</v>
      </c>
      <c r="L2143" s="29" t="s">
        <v>3799</v>
      </c>
      <c r="M2143" s="29" t="s">
        <v>329</v>
      </c>
      <c r="N2143" s="29" t="s">
        <v>3845</v>
      </c>
      <c r="O2143" s="29" t="s">
        <v>51</v>
      </c>
      <c r="P2143" s="30" t="s">
        <v>3848</v>
      </c>
    </row>
    <row r="2144" s="25" customFormat="1" spans="1:16">
      <c r="A2144" s="29" t="s">
        <v>3847</v>
      </c>
      <c r="B2144" s="29" t="s">
        <v>3842</v>
      </c>
      <c r="C2144" s="29" t="s">
        <v>129</v>
      </c>
      <c r="D2144" s="29" t="s">
        <v>3569</v>
      </c>
      <c r="E2144" s="29" t="s">
        <v>35</v>
      </c>
      <c r="F2144" s="29" t="s">
        <v>47</v>
      </c>
      <c r="G2144" s="29" t="s">
        <v>350</v>
      </c>
      <c r="H2144" s="29" t="s">
        <v>80</v>
      </c>
      <c r="I2144" s="29" t="s">
        <v>39</v>
      </c>
      <c r="J2144" s="29" t="s">
        <v>51</v>
      </c>
      <c r="K2144" s="29" t="s">
        <v>3849</v>
      </c>
      <c r="L2144" s="29" t="s">
        <v>3802</v>
      </c>
      <c r="M2144" s="29" t="s">
        <v>329</v>
      </c>
      <c r="N2144" s="29" t="s">
        <v>3845</v>
      </c>
      <c r="O2144" s="29" t="s">
        <v>51</v>
      </c>
      <c r="P2144" s="30" t="s">
        <v>3850</v>
      </c>
    </row>
    <row r="2145" s="25" customFormat="1" spans="1:16">
      <c r="A2145" s="29" t="s">
        <v>3849</v>
      </c>
      <c r="B2145" s="29" t="s">
        <v>3842</v>
      </c>
      <c r="C2145" s="29" t="s">
        <v>129</v>
      </c>
      <c r="D2145" s="29" t="s">
        <v>3569</v>
      </c>
      <c r="E2145" s="29" t="s">
        <v>35</v>
      </c>
      <c r="F2145" s="29" t="s">
        <v>47</v>
      </c>
      <c r="G2145" s="29" t="s">
        <v>350</v>
      </c>
      <c r="H2145" s="29" t="s">
        <v>80</v>
      </c>
      <c r="I2145" s="29" t="s">
        <v>39</v>
      </c>
      <c r="J2145" s="29" t="s">
        <v>55</v>
      </c>
      <c r="K2145" s="29" t="s">
        <v>3851</v>
      </c>
      <c r="L2145" s="29" t="s">
        <v>3804</v>
      </c>
      <c r="M2145" s="29" t="s">
        <v>329</v>
      </c>
      <c r="N2145" s="29" t="s">
        <v>3845</v>
      </c>
      <c r="O2145" s="29" t="s">
        <v>51</v>
      </c>
      <c r="P2145" s="30" t="s">
        <v>3852</v>
      </c>
    </row>
    <row r="2146" s="25" customFormat="1" spans="1:16">
      <c r="A2146" s="29" t="s">
        <v>3851</v>
      </c>
      <c r="B2146" s="29" t="s">
        <v>3842</v>
      </c>
      <c r="C2146" s="29" t="s">
        <v>129</v>
      </c>
      <c r="D2146" s="29" t="s">
        <v>3569</v>
      </c>
      <c r="E2146" s="29" t="s">
        <v>35</v>
      </c>
      <c r="F2146" s="29" t="s">
        <v>47</v>
      </c>
      <c r="G2146" s="29" t="s">
        <v>350</v>
      </c>
      <c r="H2146" s="29" t="s">
        <v>80</v>
      </c>
      <c r="I2146" s="29" t="s">
        <v>39</v>
      </c>
      <c r="J2146" s="29" t="s">
        <v>59</v>
      </c>
      <c r="K2146" s="29" t="s">
        <v>3853</v>
      </c>
      <c r="L2146" s="29" t="s">
        <v>3807</v>
      </c>
      <c r="M2146" s="29" t="s">
        <v>329</v>
      </c>
      <c r="N2146" s="29" t="s">
        <v>3845</v>
      </c>
      <c r="O2146" s="29" t="s">
        <v>51</v>
      </c>
      <c r="P2146" s="30" t="s">
        <v>3609</v>
      </c>
    </row>
    <row r="2147" s="25" customFormat="1" spans="1:16">
      <c r="A2147" s="29" t="s">
        <v>3853</v>
      </c>
      <c r="B2147" s="29" t="s">
        <v>3842</v>
      </c>
      <c r="C2147" s="29" t="s">
        <v>129</v>
      </c>
      <c r="D2147" s="29" t="s">
        <v>3569</v>
      </c>
      <c r="E2147" s="29" t="s">
        <v>35</v>
      </c>
      <c r="F2147" s="29" t="s">
        <v>47</v>
      </c>
      <c r="G2147" s="29" t="s">
        <v>350</v>
      </c>
      <c r="H2147" s="29" t="s">
        <v>80</v>
      </c>
      <c r="I2147" s="29" t="s">
        <v>39</v>
      </c>
      <c r="J2147" s="29" t="s">
        <v>129</v>
      </c>
      <c r="K2147" s="29" t="s">
        <v>3854</v>
      </c>
      <c r="L2147" s="29" t="s">
        <v>3810</v>
      </c>
      <c r="M2147" s="29" t="s">
        <v>329</v>
      </c>
      <c r="N2147" s="29" t="s">
        <v>3845</v>
      </c>
      <c r="O2147" s="29" t="s">
        <v>51</v>
      </c>
      <c r="P2147" s="30" t="s">
        <v>3855</v>
      </c>
    </row>
    <row r="2148" s="25" customFormat="1" spans="1:16">
      <c r="A2148" s="29" t="s">
        <v>3854</v>
      </c>
      <c r="B2148" s="29" t="s">
        <v>3842</v>
      </c>
      <c r="C2148" s="29" t="s">
        <v>129</v>
      </c>
      <c r="D2148" s="29" t="s">
        <v>3569</v>
      </c>
      <c r="E2148" s="29" t="s">
        <v>35</v>
      </c>
      <c r="F2148" s="29" t="s">
        <v>47</v>
      </c>
      <c r="G2148" s="29" t="s">
        <v>350</v>
      </c>
      <c r="H2148" s="29" t="s">
        <v>80</v>
      </c>
      <c r="I2148" s="29" t="s">
        <v>39</v>
      </c>
      <c r="J2148" s="29" t="s">
        <v>133</v>
      </c>
      <c r="K2148" s="29" t="s">
        <v>3856</v>
      </c>
      <c r="L2148" s="29" t="s">
        <v>3812</v>
      </c>
      <c r="M2148" s="29" t="s">
        <v>329</v>
      </c>
      <c r="N2148" s="29" t="s">
        <v>3845</v>
      </c>
      <c r="O2148" s="29" t="s">
        <v>51</v>
      </c>
      <c r="P2148" s="30" t="s">
        <v>3857</v>
      </c>
    </row>
    <row r="2149" s="25" customFormat="1" spans="1:16">
      <c r="A2149" s="29" t="s">
        <v>3856</v>
      </c>
      <c r="B2149" s="29" t="s">
        <v>3842</v>
      </c>
      <c r="C2149" s="29" t="s">
        <v>129</v>
      </c>
      <c r="D2149" s="29" t="s">
        <v>3569</v>
      </c>
      <c r="E2149" s="29" t="s">
        <v>35</v>
      </c>
      <c r="F2149" s="29" t="s">
        <v>47</v>
      </c>
      <c r="G2149" s="29" t="s">
        <v>350</v>
      </c>
      <c r="H2149" s="29" t="s">
        <v>80</v>
      </c>
      <c r="I2149" s="29" t="s">
        <v>39</v>
      </c>
      <c r="J2149" s="29" t="s">
        <v>137</v>
      </c>
      <c r="K2149" s="29" t="s">
        <v>3858</v>
      </c>
      <c r="L2149" s="29" t="s">
        <v>3815</v>
      </c>
      <c r="M2149" s="29" t="s">
        <v>329</v>
      </c>
      <c r="N2149" s="29" t="s">
        <v>3845</v>
      </c>
      <c r="O2149" s="29" t="s">
        <v>51</v>
      </c>
      <c r="P2149" s="30" t="s">
        <v>3859</v>
      </c>
    </row>
    <row r="2150" s="25" customFormat="1" spans="1:16">
      <c r="A2150" s="29" t="s">
        <v>3858</v>
      </c>
      <c r="B2150" s="29" t="s">
        <v>3842</v>
      </c>
      <c r="C2150" s="29" t="s">
        <v>129</v>
      </c>
      <c r="D2150" s="29" t="s">
        <v>3569</v>
      </c>
      <c r="E2150" s="29" t="s">
        <v>35</v>
      </c>
      <c r="F2150" s="29" t="s">
        <v>47</v>
      </c>
      <c r="G2150" s="29" t="s">
        <v>350</v>
      </c>
      <c r="H2150" s="29" t="s">
        <v>80</v>
      </c>
      <c r="I2150" s="29" t="s">
        <v>39</v>
      </c>
      <c r="J2150" s="29" t="s">
        <v>141</v>
      </c>
      <c r="K2150" s="29" t="s">
        <v>3860</v>
      </c>
      <c r="L2150" s="29" t="s">
        <v>3818</v>
      </c>
      <c r="M2150" s="29" t="s">
        <v>329</v>
      </c>
      <c r="N2150" s="29" t="s">
        <v>3845</v>
      </c>
      <c r="O2150" s="29" t="s">
        <v>51</v>
      </c>
      <c r="P2150" s="30" t="s">
        <v>3861</v>
      </c>
    </row>
    <row r="2151" s="25" customFormat="1" spans="1:16">
      <c r="A2151" s="29" t="s">
        <v>3860</v>
      </c>
      <c r="B2151" s="29" t="s">
        <v>3842</v>
      </c>
      <c r="C2151" s="29" t="s">
        <v>129</v>
      </c>
      <c r="D2151" s="29" t="s">
        <v>3569</v>
      </c>
      <c r="E2151" s="29" t="s">
        <v>35</v>
      </c>
      <c r="F2151" s="29" t="s">
        <v>47</v>
      </c>
      <c r="G2151" s="29" t="s">
        <v>350</v>
      </c>
      <c r="H2151" s="29" t="s">
        <v>80</v>
      </c>
      <c r="I2151" s="29" t="s">
        <v>39</v>
      </c>
      <c r="J2151" s="29" t="s">
        <v>145</v>
      </c>
      <c r="K2151" s="29" t="s">
        <v>39</v>
      </c>
      <c r="L2151" s="29" t="s">
        <v>39</v>
      </c>
      <c r="M2151" s="29" t="s">
        <v>39</v>
      </c>
      <c r="N2151" s="29" t="s">
        <v>3845</v>
      </c>
      <c r="O2151" s="29" t="s">
        <v>51</v>
      </c>
      <c r="P2151" s="30" t="s">
        <v>3862</v>
      </c>
    </row>
    <row r="2152" s="25" customFormat="1" spans="1:16">
      <c r="A2152" s="29" t="s">
        <v>3863</v>
      </c>
      <c r="B2152" s="29" t="s">
        <v>3863</v>
      </c>
      <c r="C2152" s="29" t="s">
        <v>129</v>
      </c>
      <c r="D2152" s="29" t="s">
        <v>3569</v>
      </c>
      <c r="E2152" s="29" t="s">
        <v>35</v>
      </c>
      <c r="F2152" s="29" t="s">
        <v>47</v>
      </c>
      <c r="G2152" s="29" t="s">
        <v>372</v>
      </c>
      <c r="H2152" s="29" t="s">
        <v>96</v>
      </c>
      <c r="I2152" s="29" t="s">
        <v>39</v>
      </c>
      <c r="J2152" s="29" t="s">
        <v>39</v>
      </c>
      <c r="K2152" s="29" t="s">
        <v>3864</v>
      </c>
      <c r="L2152" s="29" t="s">
        <v>3793</v>
      </c>
      <c r="M2152" s="29" t="s">
        <v>329</v>
      </c>
      <c r="N2152" s="29" t="s">
        <v>3613</v>
      </c>
      <c r="O2152" s="29" t="s">
        <v>55</v>
      </c>
      <c r="P2152" s="30" t="s">
        <v>3614</v>
      </c>
    </row>
    <row r="2153" s="25" customFormat="1" spans="1:16">
      <c r="A2153" s="29" t="s">
        <v>3864</v>
      </c>
      <c r="B2153" s="29" t="s">
        <v>3863</v>
      </c>
      <c r="C2153" s="29" t="s">
        <v>129</v>
      </c>
      <c r="D2153" s="29" t="s">
        <v>3569</v>
      </c>
      <c r="E2153" s="29" t="s">
        <v>35</v>
      </c>
      <c r="F2153" s="29" t="s">
        <v>47</v>
      </c>
      <c r="G2153" s="29" t="s">
        <v>372</v>
      </c>
      <c r="H2153" s="29" t="s">
        <v>96</v>
      </c>
      <c r="I2153" s="29" t="s">
        <v>39</v>
      </c>
      <c r="J2153" s="29" t="s">
        <v>35</v>
      </c>
      <c r="K2153" s="29" t="s">
        <v>3865</v>
      </c>
      <c r="L2153" s="29" t="s">
        <v>3795</v>
      </c>
      <c r="M2153" s="29" t="s">
        <v>329</v>
      </c>
      <c r="N2153" s="29" t="s">
        <v>3866</v>
      </c>
      <c r="O2153" s="29" t="s">
        <v>55</v>
      </c>
      <c r="P2153" s="30" t="s">
        <v>3867</v>
      </c>
    </row>
    <row r="2154" s="25" customFormat="1" spans="1:16">
      <c r="A2154" s="29" t="s">
        <v>3865</v>
      </c>
      <c r="B2154" s="29" t="s">
        <v>3863</v>
      </c>
      <c r="C2154" s="29" t="s">
        <v>129</v>
      </c>
      <c r="D2154" s="29" t="s">
        <v>3569</v>
      </c>
      <c r="E2154" s="29" t="s">
        <v>35</v>
      </c>
      <c r="F2154" s="29" t="s">
        <v>47</v>
      </c>
      <c r="G2154" s="29" t="s">
        <v>372</v>
      </c>
      <c r="H2154" s="29" t="s">
        <v>96</v>
      </c>
      <c r="I2154" s="29" t="s">
        <v>39</v>
      </c>
      <c r="J2154" s="29" t="s">
        <v>47</v>
      </c>
      <c r="K2154" s="29" t="s">
        <v>3868</v>
      </c>
      <c r="L2154" s="29" t="s">
        <v>3799</v>
      </c>
      <c r="M2154" s="29" t="s">
        <v>329</v>
      </c>
      <c r="N2154" s="29" t="s">
        <v>3866</v>
      </c>
      <c r="O2154" s="29" t="s">
        <v>55</v>
      </c>
      <c r="P2154" s="30" t="s">
        <v>3869</v>
      </c>
    </row>
    <row r="2155" s="25" customFormat="1" spans="1:16">
      <c r="A2155" s="29" t="s">
        <v>3868</v>
      </c>
      <c r="B2155" s="29" t="s">
        <v>3863</v>
      </c>
      <c r="C2155" s="29" t="s">
        <v>129</v>
      </c>
      <c r="D2155" s="29" t="s">
        <v>3569</v>
      </c>
      <c r="E2155" s="29" t="s">
        <v>35</v>
      </c>
      <c r="F2155" s="29" t="s">
        <v>47</v>
      </c>
      <c r="G2155" s="29" t="s">
        <v>372</v>
      </c>
      <c r="H2155" s="29" t="s">
        <v>96</v>
      </c>
      <c r="I2155" s="29" t="s">
        <v>39</v>
      </c>
      <c r="J2155" s="29" t="s">
        <v>51</v>
      </c>
      <c r="K2155" s="29" t="s">
        <v>3870</v>
      </c>
      <c r="L2155" s="29" t="s">
        <v>3802</v>
      </c>
      <c r="M2155" s="29" t="s">
        <v>329</v>
      </c>
      <c r="N2155" s="29" t="s">
        <v>3866</v>
      </c>
      <c r="O2155" s="29" t="s">
        <v>55</v>
      </c>
      <c r="P2155" s="30" t="s">
        <v>3871</v>
      </c>
    </row>
    <row r="2156" s="25" customFormat="1" spans="1:16">
      <c r="A2156" s="29" t="s">
        <v>3870</v>
      </c>
      <c r="B2156" s="29" t="s">
        <v>3863</v>
      </c>
      <c r="C2156" s="29" t="s">
        <v>129</v>
      </c>
      <c r="D2156" s="29" t="s">
        <v>3569</v>
      </c>
      <c r="E2156" s="29" t="s">
        <v>35</v>
      </c>
      <c r="F2156" s="29" t="s">
        <v>47</v>
      </c>
      <c r="G2156" s="29" t="s">
        <v>372</v>
      </c>
      <c r="H2156" s="29" t="s">
        <v>96</v>
      </c>
      <c r="I2156" s="29" t="s">
        <v>39</v>
      </c>
      <c r="J2156" s="29" t="s">
        <v>55</v>
      </c>
      <c r="K2156" s="29" t="s">
        <v>3872</v>
      </c>
      <c r="L2156" s="29" t="s">
        <v>3804</v>
      </c>
      <c r="M2156" s="29" t="s">
        <v>329</v>
      </c>
      <c r="N2156" s="29" t="s">
        <v>3866</v>
      </c>
      <c r="O2156" s="29" t="s">
        <v>55</v>
      </c>
      <c r="P2156" s="30" t="s">
        <v>3873</v>
      </c>
    </row>
    <row r="2157" s="25" customFormat="1" spans="1:16">
      <c r="A2157" s="29" t="s">
        <v>3872</v>
      </c>
      <c r="B2157" s="29" t="s">
        <v>3863</v>
      </c>
      <c r="C2157" s="29" t="s">
        <v>129</v>
      </c>
      <c r="D2157" s="29" t="s">
        <v>3569</v>
      </c>
      <c r="E2157" s="29" t="s">
        <v>35</v>
      </c>
      <c r="F2157" s="29" t="s">
        <v>47</v>
      </c>
      <c r="G2157" s="29" t="s">
        <v>372</v>
      </c>
      <c r="H2157" s="29" t="s">
        <v>96</v>
      </c>
      <c r="I2157" s="29" t="s">
        <v>39</v>
      </c>
      <c r="J2157" s="29" t="s">
        <v>59</v>
      </c>
      <c r="K2157" s="29" t="s">
        <v>3874</v>
      </c>
      <c r="L2157" s="29" t="s">
        <v>3807</v>
      </c>
      <c r="M2157" s="29" t="s">
        <v>329</v>
      </c>
      <c r="N2157" s="29" t="s">
        <v>3866</v>
      </c>
      <c r="O2157" s="29" t="s">
        <v>55</v>
      </c>
      <c r="P2157" s="30" t="s">
        <v>3875</v>
      </c>
    </row>
    <row r="2158" s="25" customFormat="1" spans="1:16">
      <c r="A2158" s="29" t="s">
        <v>3874</v>
      </c>
      <c r="B2158" s="29" t="s">
        <v>3863</v>
      </c>
      <c r="C2158" s="29" t="s">
        <v>129</v>
      </c>
      <c r="D2158" s="29" t="s">
        <v>3569</v>
      </c>
      <c r="E2158" s="29" t="s">
        <v>35</v>
      </c>
      <c r="F2158" s="29" t="s">
        <v>47</v>
      </c>
      <c r="G2158" s="29" t="s">
        <v>372</v>
      </c>
      <c r="H2158" s="29" t="s">
        <v>96</v>
      </c>
      <c r="I2158" s="29" t="s">
        <v>39</v>
      </c>
      <c r="J2158" s="29" t="s">
        <v>129</v>
      </c>
      <c r="K2158" s="29" t="s">
        <v>3876</v>
      </c>
      <c r="L2158" s="29" t="s">
        <v>3810</v>
      </c>
      <c r="M2158" s="29" t="s">
        <v>329</v>
      </c>
      <c r="N2158" s="29" t="s">
        <v>3866</v>
      </c>
      <c r="O2158" s="29" t="s">
        <v>55</v>
      </c>
      <c r="P2158" s="30" t="s">
        <v>3624</v>
      </c>
    </row>
    <row r="2159" s="25" customFormat="1" spans="1:16">
      <c r="A2159" s="29" t="s">
        <v>3876</v>
      </c>
      <c r="B2159" s="29" t="s">
        <v>3863</v>
      </c>
      <c r="C2159" s="29" t="s">
        <v>129</v>
      </c>
      <c r="D2159" s="29" t="s">
        <v>3569</v>
      </c>
      <c r="E2159" s="29" t="s">
        <v>35</v>
      </c>
      <c r="F2159" s="29" t="s">
        <v>47</v>
      </c>
      <c r="G2159" s="29" t="s">
        <v>372</v>
      </c>
      <c r="H2159" s="29" t="s">
        <v>96</v>
      </c>
      <c r="I2159" s="29" t="s">
        <v>39</v>
      </c>
      <c r="J2159" s="29" t="s">
        <v>133</v>
      </c>
      <c r="K2159" s="29" t="s">
        <v>3877</v>
      </c>
      <c r="L2159" s="29" t="s">
        <v>3812</v>
      </c>
      <c r="M2159" s="29" t="s">
        <v>329</v>
      </c>
      <c r="N2159" s="29" t="s">
        <v>3866</v>
      </c>
      <c r="O2159" s="29" t="s">
        <v>55</v>
      </c>
      <c r="P2159" s="30" t="s">
        <v>3878</v>
      </c>
    </row>
    <row r="2160" s="25" customFormat="1" spans="1:16">
      <c r="A2160" s="29" t="s">
        <v>3877</v>
      </c>
      <c r="B2160" s="29" t="s">
        <v>3863</v>
      </c>
      <c r="C2160" s="29" t="s">
        <v>129</v>
      </c>
      <c r="D2160" s="29" t="s">
        <v>3569</v>
      </c>
      <c r="E2160" s="29" t="s">
        <v>35</v>
      </c>
      <c r="F2160" s="29" t="s">
        <v>47</v>
      </c>
      <c r="G2160" s="29" t="s">
        <v>372</v>
      </c>
      <c r="H2160" s="29" t="s">
        <v>96</v>
      </c>
      <c r="I2160" s="29" t="s">
        <v>39</v>
      </c>
      <c r="J2160" s="29" t="s">
        <v>137</v>
      </c>
      <c r="K2160" s="29" t="s">
        <v>3879</v>
      </c>
      <c r="L2160" s="29" t="s">
        <v>3815</v>
      </c>
      <c r="M2160" s="29" t="s">
        <v>329</v>
      </c>
      <c r="N2160" s="29" t="s">
        <v>3866</v>
      </c>
      <c r="O2160" s="29" t="s">
        <v>55</v>
      </c>
      <c r="P2160" s="30" t="s">
        <v>3880</v>
      </c>
    </row>
    <row r="2161" s="25" customFormat="1" spans="1:16">
      <c r="A2161" s="29" t="s">
        <v>3879</v>
      </c>
      <c r="B2161" s="29" t="s">
        <v>3863</v>
      </c>
      <c r="C2161" s="29" t="s">
        <v>129</v>
      </c>
      <c r="D2161" s="29" t="s">
        <v>3569</v>
      </c>
      <c r="E2161" s="29" t="s">
        <v>35</v>
      </c>
      <c r="F2161" s="29" t="s">
        <v>47</v>
      </c>
      <c r="G2161" s="29" t="s">
        <v>372</v>
      </c>
      <c r="H2161" s="29" t="s">
        <v>96</v>
      </c>
      <c r="I2161" s="29" t="s">
        <v>39</v>
      </c>
      <c r="J2161" s="29" t="s">
        <v>141</v>
      </c>
      <c r="K2161" s="29" t="s">
        <v>3881</v>
      </c>
      <c r="L2161" s="29" t="s">
        <v>3818</v>
      </c>
      <c r="M2161" s="29" t="s">
        <v>329</v>
      </c>
      <c r="N2161" s="29" t="s">
        <v>3866</v>
      </c>
      <c r="O2161" s="29" t="s">
        <v>55</v>
      </c>
      <c r="P2161" s="30" t="s">
        <v>3882</v>
      </c>
    </row>
    <row r="2162" s="25" customFormat="1" spans="1:16">
      <c r="A2162" s="29" t="s">
        <v>3881</v>
      </c>
      <c r="B2162" s="29" t="s">
        <v>3863</v>
      </c>
      <c r="C2162" s="29" t="s">
        <v>129</v>
      </c>
      <c r="D2162" s="29" t="s">
        <v>3569</v>
      </c>
      <c r="E2162" s="29" t="s">
        <v>35</v>
      </c>
      <c r="F2162" s="29" t="s">
        <v>47</v>
      </c>
      <c r="G2162" s="29" t="s">
        <v>372</v>
      </c>
      <c r="H2162" s="29" t="s">
        <v>96</v>
      </c>
      <c r="I2162" s="29" t="s">
        <v>39</v>
      </c>
      <c r="J2162" s="29" t="s">
        <v>145</v>
      </c>
      <c r="K2162" s="29" t="s">
        <v>39</v>
      </c>
      <c r="L2162" s="29" t="s">
        <v>39</v>
      </c>
      <c r="M2162" s="29" t="s">
        <v>39</v>
      </c>
      <c r="N2162" s="29" t="s">
        <v>3866</v>
      </c>
      <c r="O2162" s="29" t="s">
        <v>55</v>
      </c>
      <c r="P2162" s="30" t="s">
        <v>3883</v>
      </c>
    </row>
    <row r="2163" s="25" customFormat="1" spans="1:16">
      <c r="A2163" s="29" t="s">
        <v>3884</v>
      </c>
      <c r="B2163" s="29" t="s">
        <v>3884</v>
      </c>
      <c r="C2163" s="29" t="s">
        <v>129</v>
      </c>
      <c r="D2163" s="29" t="s">
        <v>3569</v>
      </c>
      <c r="E2163" s="29" t="s">
        <v>35</v>
      </c>
      <c r="F2163" s="29" t="s">
        <v>47</v>
      </c>
      <c r="G2163" s="29" t="s">
        <v>394</v>
      </c>
      <c r="H2163" s="29" t="s">
        <v>112</v>
      </c>
      <c r="I2163" s="29" t="s">
        <v>39</v>
      </c>
      <c r="J2163" s="29" t="s">
        <v>39</v>
      </c>
      <c r="K2163" s="29" t="s">
        <v>3885</v>
      </c>
      <c r="L2163" s="29" t="s">
        <v>3793</v>
      </c>
      <c r="M2163" s="29" t="s">
        <v>396</v>
      </c>
      <c r="N2163" s="29" t="s">
        <v>3627</v>
      </c>
      <c r="O2163" s="29" t="s">
        <v>59</v>
      </c>
      <c r="P2163" s="30" t="s">
        <v>3628</v>
      </c>
    </row>
    <row r="2164" s="25" customFormat="1" spans="1:16">
      <c r="A2164" s="29" t="s">
        <v>3885</v>
      </c>
      <c r="B2164" s="29" t="s">
        <v>3884</v>
      </c>
      <c r="C2164" s="29" t="s">
        <v>129</v>
      </c>
      <c r="D2164" s="29" t="s">
        <v>3569</v>
      </c>
      <c r="E2164" s="29" t="s">
        <v>35</v>
      </c>
      <c r="F2164" s="29" t="s">
        <v>47</v>
      </c>
      <c r="G2164" s="29" t="s">
        <v>394</v>
      </c>
      <c r="H2164" s="29" t="s">
        <v>112</v>
      </c>
      <c r="I2164" s="29" t="s">
        <v>39</v>
      </c>
      <c r="J2164" s="29" t="s">
        <v>35</v>
      </c>
      <c r="K2164" s="29" t="s">
        <v>3886</v>
      </c>
      <c r="L2164" s="29" t="s">
        <v>3795</v>
      </c>
      <c r="M2164" s="29" t="s">
        <v>396</v>
      </c>
      <c r="N2164" s="29" t="s">
        <v>3630</v>
      </c>
      <c r="O2164" s="29" t="s">
        <v>59</v>
      </c>
      <c r="P2164" s="30" t="s">
        <v>3631</v>
      </c>
    </row>
    <row r="2165" s="25" customFormat="1" spans="1:16">
      <c r="A2165" s="29" t="s">
        <v>3886</v>
      </c>
      <c r="B2165" s="29" t="s">
        <v>3884</v>
      </c>
      <c r="C2165" s="29" t="s">
        <v>129</v>
      </c>
      <c r="D2165" s="29" t="s">
        <v>3569</v>
      </c>
      <c r="E2165" s="29" t="s">
        <v>35</v>
      </c>
      <c r="F2165" s="29" t="s">
        <v>47</v>
      </c>
      <c r="G2165" s="29" t="s">
        <v>394</v>
      </c>
      <c r="H2165" s="29" t="s">
        <v>112</v>
      </c>
      <c r="I2165" s="29" t="s">
        <v>39</v>
      </c>
      <c r="J2165" s="29" t="s">
        <v>47</v>
      </c>
      <c r="K2165" s="29" t="s">
        <v>3887</v>
      </c>
      <c r="L2165" s="29" t="s">
        <v>3799</v>
      </c>
      <c r="M2165" s="29" t="s">
        <v>396</v>
      </c>
      <c r="N2165" s="29" t="s">
        <v>3630</v>
      </c>
      <c r="O2165" s="29" t="s">
        <v>59</v>
      </c>
      <c r="P2165" s="30" t="s">
        <v>3633</v>
      </c>
    </row>
    <row r="2166" s="25" customFormat="1" spans="1:16">
      <c r="A2166" s="29" t="s">
        <v>3887</v>
      </c>
      <c r="B2166" s="29" t="s">
        <v>3884</v>
      </c>
      <c r="C2166" s="29" t="s">
        <v>129</v>
      </c>
      <c r="D2166" s="29" t="s">
        <v>3569</v>
      </c>
      <c r="E2166" s="29" t="s">
        <v>35</v>
      </c>
      <c r="F2166" s="29" t="s">
        <v>47</v>
      </c>
      <c r="G2166" s="29" t="s">
        <v>394</v>
      </c>
      <c r="H2166" s="29" t="s">
        <v>112</v>
      </c>
      <c r="I2166" s="29" t="s">
        <v>39</v>
      </c>
      <c r="J2166" s="29" t="s">
        <v>51</v>
      </c>
      <c r="K2166" s="29" t="s">
        <v>3888</v>
      </c>
      <c r="L2166" s="29" t="s">
        <v>3802</v>
      </c>
      <c r="M2166" s="29" t="s">
        <v>396</v>
      </c>
      <c r="N2166" s="29" t="s">
        <v>3630</v>
      </c>
      <c r="O2166" s="29" t="s">
        <v>59</v>
      </c>
      <c r="P2166" s="30" t="s">
        <v>3635</v>
      </c>
    </row>
    <row r="2167" s="25" customFormat="1" spans="1:16">
      <c r="A2167" s="29" t="s">
        <v>3888</v>
      </c>
      <c r="B2167" s="29" t="s">
        <v>3884</v>
      </c>
      <c r="C2167" s="29" t="s">
        <v>129</v>
      </c>
      <c r="D2167" s="29" t="s">
        <v>3569</v>
      </c>
      <c r="E2167" s="29" t="s">
        <v>35</v>
      </c>
      <c r="F2167" s="29" t="s">
        <v>47</v>
      </c>
      <c r="G2167" s="29" t="s">
        <v>394</v>
      </c>
      <c r="H2167" s="29" t="s">
        <v>112</v>
      </c>
      <c r="I2167" s="29" t="s">
        <v>39</v>
      </c>
      <c r="J2167" s="29" t="s">
        <v>55</v>
      </c>
      <c r="K2167" s="29" t="s">
        <v>3889</v>
      </c>
      <c r="L2167" s="29" t="s">
        <v>3804</v>
      </c>
      <c r="M2167" s="29" t="s">
        <v>396</v>
      </c>
      <c r="N2167" s="29" t="s">
        <v>3630</v>
      </c>
      <c r="O2167" s="29" t="s">
        <v>59</v>
      </c>
      <c r="P2167" s="30" t="s">
        <v>3637</v>
      </c>
    </row>
    <row r="2168" s="25" customFormat="1" spans="1:16">
      <c r="A2168" s="29" t="s">
        <v>3889</v>
      </c>
      <c r="B2168" s="29" t="s">
        <v>3884</v>
      </c>
      <c r="C2168" s="29" t="s">
        <v>129</v>
      </c>
      <c r="D2168" s="29" t="s">
        <v>3569</v>
      </c>
      <c r="E2168" s="29" t="s">
        <v>35</v>
      </c>
      <c r="F2168" s="29" t="s">
        <v>47</v>
      </c>
      <c r="G2168" s="29" t="s">
        <v>394</v>
      </c>
      <c r="H2168" s="29" t="s">
        <v>112</v>
      </c>
      <c r="I2168" s="29" t="s">
        <v>39</v>
      </c>
      <c r="J2168" s="29" t="s">
        <v>59</v>
      </c>
      <c r="K2168" s="29" t="s">
        <v>3890</v>
      </c>
      <c r="L2168" s="29" t="s">
        <v>3807</v>
      </c>
      <c r="M2168" s="29" t="s">
        <v>396</v>
      </c>
      <c r="N2168" s="29" t="s">
        <v>3630</v>
      </c>
      <c r="O2168" s="29" t="s">
        <v>59</v>
      </c>
      <c r="P2168" s="30" t="s">
        <v>3640</v>
      </c>
    </row>
    <row r="2169" s="25" customFormat="1" spans="1:16">
      <c r="A2169" s="29" t="s">
        <v>3890</v>
      </c>
      <c r="B2169" s="29" t="s">
        <v>3884</v>
      </c>
      <c r="C2169" s="29" t="s">
        <v>129</v>
      </c>
      <c r="D2169" s="29" t="s">
        <v>3569</v>
      </c>
      <c r="E2169" s="29" t="s">
        <v>35</v>
      </c>
      <c r="F2169" s="29" t="s">
        <v>47</v>
      </c>
      <c r="G2169" s="29" t="s">
        <v>394</v>
      </c>
      <c r="H2169" s="29" t="s">
        <v>112</v>
      </c>
      <c r="I2169" s="29" t="s">
        <v>39</v>
      </c>
      <c r="J2169" s="29" t="s">
        <v>129</v>
      </c>
      <c r="K2169" s="29" t="s">
        <v>3891</v>
      </c>
      <c r="L2169" s="29" t="s">
        <v>3810</v>
      </c>
      <c r="M2169" s="29" t="s">
        <v>396</v>
      </c>
      <c r="N2169" s="29" t="s">
        <v>3630</v>
      </c>
      <c r="O2169" s="29" t="s">
        <v>59</v>
      </c>
      <c r="P2169" s="30" t="s">
        <v>3643</v>
      </c>
    </row>
    <row r="2170" s="25" customFormat="1" spans="1:16">
      <c r="A2170" s="29" t="s">
        <v>3891</v>
      </c>
      <c r="B2170" s="29" t="s">
        <v>3884</v>
      </c>
      <c r="C2170" s="29" t="s">
        <v>129</v>
      </c>
      <c r="D2170" s="29" t="s">
        <v>3569</v>
      </c>
      <c r="E2170" s="29" t="s">
        <v>35</v>
      </c>
      <c r="F2170" s="29" t="s">
        <v>47</v>
      </c>
      <c r="G2170" s="29" t="s">
        <v>394</v>
      </c>
      <c r="H2170" s="29" t="s">
        <v>112</v>
      </c>
      <c r="I2170" s="29" t="s">
        <v>39</v>
      </c>
      <c r="J2170" s="29" t="s">
        <v>133</v>
      </c>
      <c r="K2170" s="29" t="s">
        <v>3892</v>
      </c>
      <c r="L2170" s="29" t="s">
        <v>3812</v>
      </c>
      <c r="M2170" s="29" t="s">
        <v>396</v>
      </c>
      <c r="N2170" s="29" t="s">
        <v>3630</v>
      </c>
      <c r="O2170" s="29" t="s">
        <v>59</v>
      </c>
      <c r="P2170" s="30" t="s">
        <v>3646</v>
      </c>
    </row>
    <row r="2171" s="25" customFormat="1" spans="1:16">
      <c r="A2171" s="29" t="s">
        <v>3892</v>
      </c>
      <c r="B2171" s="29" t="s">
        <v>3884</v>
      </c>
      <c r="C2171" s="29" t="s">
        <v>129</v>
      </c>
      <c r="D2171" s="29" t="s">
        <v>3569</v>
      </c>
      <c r="E2171" s="29" t="s">
        <v>35</v>
      </c>
      <c r="F2171" s="29" t="s">
        <v>47</v>
      </c>
      <c r="G2171" s="29" t="s">
        <v>394</v>
      </c>
      <c r="H2171" s="29" t="s">
        <v>112</v>
      </c>
      <c r="I2171" s="29" t="s">
        <v>39</v>
      </c>
      <c r="J2171" s="29" t="s">
        <v>137</v>
      </c>
      <c r="K2171" s="29" t="s">
        <v>3893</v>
      </c>
      <c r="L2171" s="29" t="s">
        <v>3815</v>
      </c>
      <c r="M2171" s="29" t="s">
        <v>396</v>
      </c>
      <c r="N2171" s="29" t="s">
        <v>3630</v>
      </c>
      <c r="O2171" s="29" t="s">
        <v>59</v>
      </c>
      <c r="P2171" s="30" t="s">
        <v>3649</v>
      </c>
    </row>
    <row r="2172" s="25" customFormat="1" spans="1:16">
      <c r="A2172" s="29" t="s">
        <v>3893</v>
      </c>
      <c r="B2172" s="29" t="s">
        <v>3884</v>
      </c>
      <c r="C2172" s="29" t="s">
        <v>129</v>
      </c>
      <c r="D2172" s="29" t="s">
        <v>3569</v>
      </c>
      <c r="E2172" s="29" t="s">
        <v>35</v>
      </c>
      <c r="F2172" s="29" t="s">
        <v>47</v>
      </c>
      <c r="G2172" s="29" t="s">
        <v>394</v>
      </c>
      <c r="H2172" s="29" t="s">
        <v>112</v>
      </c>
      <c r="I2172" s="29" t="s">
        <v>39</v>
      </c>
      <c r="J2172" s="29" t="s">
        <v>141</v>
      </c>
      <c r="K2172" s="29" t="s">
        <v>3894</v>
      </c>
      <c r="L2172" s="29" t="s">
        <v>3818</v>
      </c>
      <c r="M2172" s="29" t="s">
        <v>396</v>
      </c>
      <c r="N2172" s="29" t="s">
        <v>3630</v>
      </c>
      <c r="O2172" s="29" t="s">
        <v>59</v>
      </c>
      <c r="P2172" s="30" t="s">
        <v>3652</v>
      </c>
    </row>
    <row r="2173" s="25" customFormat="1" spans="1:16">
      <c r="A2173" s="29" t="s">
        <v>3894</v>
      </c>
      <c r="B2173" s="29" t="s">
        <v>3884</v>
      </c>
      <c r="C2173" s="29" t="s">
        <v>129</v>
      </c>
      <c r="D2173" s="29" t="s">
        <v>3569</v>
      </c>
      <c r="E2173" s="29" t="s">
        <v>35</v>
      </c>
      <c r="F2173" s="29" t="s">
        <v>47</v>
      </c>
      <c r="G2173" s="29" t="s">
        <v>394</v>
      </c>
      <c r="H2173" s="29" t="s">
        <v>112</v>
      </c>
      <c r="I2173" s="29" t="s">
        <v>39</v>
      </c>
      <c r="J2173" s="29" t="s">
        <v>145</v>
      </c>
      <c r="K2173" s="29" t="s">
        <v>3895</v>
      </c>
      <c r="L2173" s="29" t="s">
        <v>3896</v>
      </c>
      <c r="M2173" s="29" t="s">
        <v>396</v>
      </c>
      <c r="N2173" s="29" t="s">
        <v>3630</v>
      </c>
      <c r="O2173" s="29" t="s">
        <v>59</v>
      </c>
      <c r="P2173" s="30" t="s">
        <v>3653</v>
      </c>
    </row>
    <row r="2174" s="25" customFormat="1" spans="1:16">
      <c r="A2174" s="29" t="s">
        <v>3895</v>
      </c>
      <c r="B2174" s="29" t="s">
        <v>3884</v>
      </c>
      <c r="C2174" s="29" t="s">
        <v>129</v>
      </c>
      <c r="D2174" s="29" t="s">
        <v>3569</v>
      </c>
      <c r="E2174" s="29" t="s">
        <v>35</v>
      </c>
      <c r="F2174" s="29" t="s">
        <v>47</v>
      </c>
      <c r="G2174" s="29" t="s">
        <v>394</v>
      </c>
      <c r="H2174" s="29" t="s">
        <v>112</v>
      </c>
      <c r="I2174" s="29" t="s">
        <v>39</v>
      </c>
      <c r="J2174" s="29" t="s">
        <v>408</v>
      </c>
      <c r="K2174" s="29" t="s">
        <v>3897</v>
      </c>
      <c r="L2174" s="29" t="s">
        <v>3898</v>
      </c>
      <c r="M2174" s="29" t="s">
        <v>396</v>
      </c>
      <c r="N2174" s="29" t="s">
        <v>3630</v>
      </c>
      <c r="O2174" s="29" t="s">
        <v>59</v>
      </c>
      <c r="P2174" s="30" t="s">
        <v>3899</v>
      </c>
    </row>
    <row r="2175" s="25" customFormat="1" spans="1:16">
      <c r="A2175" s="29" t="s">
        <v>3897</v>
      </c>
      <c r="B2175" s="29" t="s">
        <v>3884</v>
      </c>
      <c r="C2175" s="29" t="s">
        <v>129</v>
      </c>
      <c r="D2175" s="29" t="s">
        <v>3569</v>
      </c>
      <c r="E2175" s="29" t="s">
        <v>35</v>
      </c>
      <c r="F2175" s="29" t="s">
        <v>47</v>
      </c>
      <c r="G2175" s="29" t="s">
        <v>394</v>
      </c>
      <c r="H2175" s="29" t="s">
        <v>112</v>
      </c>
      <c r="I2175" s="29" t="s">
        <v>39</v>
      </c>
      <c r="J2175" s="29" t="s">
        <v>412</v>
      </c>
      <c r="K2175" s="29" t="s">
        <v>3900</v>
      </c>
      <c r="L2175" s="29" t="s">
        <v>3901</v>
      </c>
      <c r="M2175" s="29" t="s">
        <v>396</v>
      </c>
      <c r="N2175" s="29" t="s">
        <v>3630</v>
      </c>
      <c r="O2175" s="29" t="s">
        <v>59</v>
      </c>
      <c r="P2175" s="30" t="s">
        <v>3902</v>
      </c>
    </row>
    <row r="2176" s="25" customFormat="1" spans="1:16">
      <c r="A2176" s="29" t="s">
        <v>3900</v>
      </c>
      <c r="B2176" s="29" t="s">
        <v>3884</v>
      </c>
      <c r="C2176" s="29" t="s">
        <v>129</v>
      </c>
      <c r="D2176" s="29" t="s">
        <v>3569</v>
      </c>
      <c r="E2176" s="29" t="s">
        <v>35</v>
      </c>
      <c r="F2176" s="29" t="s">
        <v>47</v>
      </c>
      <c r="G2176" s="29" t="s">
        <v>394</v>
      </c>
      <c r="H2176" s="29" t="s">
        <v>112</v>
      </c>
      <c r="I2176" s="29" t="s">
        <v>39</v>
      </c>
      <c r="J2176" s="29" t="s">
        <v>416</v>
      </c>
      <c r="K2176" s="29" t="s">
        <v>3903</v>
      </c>
      <c r="L2176" s="29" t="s">
        <v>3904</v>
      </c>
      <c r="M2176" s="29" t="s">
        <v>396</v>
      </c>
      <c r="N2176" s="29" t="s">
        <v>3630</v>
      </c>
      <c r="O2176" s="29" t="s">
        <v>59</v>
      </c>
      <c r="P2176" s="30" t="s">
        <v>3905</v>
      </c>
    </row>
    <row r="2177" s="25" customFormat="1" spans="1:16">
      <c r="A2177" s="29" t="s">
        <v>3903</v>
      </c>
      <c r="B2177" s="29" t="s">
        <v>3884</v>
      </c>
      <c r="C2177" s="29" t="s">
        <v>129</v>
      </c>
      <c r="D2177" s="29" t="s">
        <v>3569</v>
      </c>
      <c r="E2177" s="29" t="s">
        <v>35</v>
      </c>
      <c r="F2177" s="29" t="s">
        <v>47</v>
      </c>
      <c r="G2177" s="29" t="s">
        <v>394</v>
      </c>
      <c r="H2177" s="29" t="s">
        <v>112</v>
      </c>
      <c r="I2177" s="29" t="s">
        <v>39</v>
      </c>
      <c r="J2177" s="29" t="s">
        <v>420</v>
      </c>
      <c r="K2177" s="29" t="s">
        <v>3906</v>
      </c>
      <c r="L2177" s="29" t="s">
        <v>3907</v>
      </c>
      <c r="M2177" s="29" t="s">
        <v>396</v>
      </c>
      <c r="N2177" s="29" t="s">
        <v>3630</v>
      </c>
      <c r="O2177" s="29" t="s">
        <v>59</v>
      </c>
      <c r="P2177" s="30" t="s">
        <v>3908</v>
      </c>
    </row>
    <row r="2178" s="25" customFormat="1" spans="1:16">
      <c r="A2178" s="29" t="s">
        <v>3906</v>
      </c>
      <c r="B2178" s="29" t="s">
        <v>3884</v>
      </c>
      <c r="C2178" s="29" t="s">
        <v>129</v>
      </c>
      <c r="D2178" s="29" t="s">
        <v>3569</v>
      </c>
      <c r="E2178" s="29" t="s">
        <v>35</v>
      </c>
      <c r="F2178" s="29" t="s">
        <v>47</v>
      </c>
      <c r="G2178" s="29" t="s">
        <v>394</v>
      </c>
      <c r="H2178" s="29" t="s">
        <v>112</v>
      </c>
      <c r="I2178" s="29" t="s">
        <v>39</v>
      </c>
      <c r="J2178" s="29" t="s">
        <v>424</v>
      </c>
      <c r="K2178" s="29" t="s">
        <v>39</v>
      </c>
      <c r="L2178" s="29" t="s">
        <v>39</v>
      </c>
      <c r="M2178" s="29" t="s">
        <v>39</v>
      </c>
      <c r="N2178" s="29" t="s">
        <v>3630</v>
      </c>
      <c r="O2178" s="29" t="s">
        <v>59</v>
      </c>
      <c r="P2178" s="30" t="s">
        <v>3909</v>
      </c>
    </row>
    <row r="2179" s="25" customFormat="1" spans="1:16">
      <c r="A2179" s="29" t="s">
        <v>3910</v>
      </c>
      <c r="B2179" s="29" t="s">
        <v>3910</v>
      </c>
      <c r="C2179" s="29" t="s">
        <v>129</v>
      </c>
      <c r="D2179" s="29" t="s">
        <v>3569</v>
      </c>
      <c r="E2179" s="29" t="s">
        <v>35</v>
      </c>
      <c r="F2179" s="29" t="s">
        <v>47</v>
      </c>
      <c r="G2179" s="29" t="s">
        <v>427</v>
      </c>
      <c r="H2179" s="29" t="s">
        <v>149</v>
      </c>
      <c r="I2179" s="29" t="s">
        <v>39</v>
      </c>
      <c r="J2179" s="29" t="s">
        <v>39</v>
      </c>
      <c r="K2179" s="29" t="s">
        <v>3911</v>
      </c>
      <c r="L2179" s="29" t="s">
        <v>3793</v>
      </c>
      <c r="M2179" s="29" t="s">
        <v>429</v>
      </c>
      <c r="N2179" s="29" t="s">
        <v>3656</v>
      </c>
      <c r="O2179" s="29" t="s">
        <v>129</v>
      </c>
      <c r="P2179" s="30" t="s">
        <v>3657</v>
      </c>
    </row>
    <row r="2180" s="25" customFormat="1" spans="1:16">
      <c r="A2180" s="29" t="s">
        <v>3911</v>
      </c>
      <c r="B2180" s="29" t="s">
        <v>3910</v>
      </c>
      <c r="C2180" s="29" t="s">
        <v>129</v>
      </c>
      <c r="D2180" s="29" t="s">
        <v>3569</v>
      </c>
      <c r="E2180" s="29" t="s">
        <v>35</v>
      </c>
      <c r="F2180" s="29" t="s">
        <v>47</v>
      </c>
      <c r="G2180" s="29" t="s">
        <v>427</v>
      </c>
      <c r="H2180" s="29" t="s">
        <v>149</v>
      </c>
      <c r="I2180" s="29" t="s">
        <v>39</v>
      </c>
      <c r="J2180" s="29" t="s">
        <v>35</v>
      </c>
      <c r="K2180" s="29" t="s">
        <v>3912</v>
      </c>
      <c r="L2180" s="29" t="s">
        <v>3795</v>
      </c>
      <c r="M2180" s="29" t="s">
        <v>429</v>
      </c>
      <c r="N2180" s="29" t="s">
        <v>3659</v>
      </c>
      <c r="O2180" s="29" t="s">
        <v>129</v>
      </c>
      <c r="P2180" s="30" t="s">
        <v>3660</v>
      </c>
    </row>
    <row r="2181" s="25" customFormat="1" spans="1:16">
      <c r="A2181" s="29" t="s">
        <v>3912</v>
      </c>
      <c r="B2181" s="29" t="s">
        <v>3910</v>
      </c>
      <c r="C2181" s="29" t="s">
        <v>129</v>
      </c>
      <c r="D2181" s="29" t="s">
        <v>3569</v>
      </c>
      <c r="E2181" s="29" t="s">
        <v>35</v>
      </c>
      <c r="F2181" s="29" t="s">
        <v>47</v>
      </c>
      <c r="G2181" s="29" t="s">
        <v>427</v>
      </c>
      <c r="H2181" s="29" t="s">
        <v>149</v>
      </c>
      <c r="I2181" s="29" t="s">
        <v>39</v>
      </c>
      <c r="J2181" s="29" t="s">
        <v>47</v>
      </c>
      <c r="K2181" s="29" t="s">
        <v>3913</v>
      </c>
      <c r="L2181" s="29" t="s">
        <v>3799</v>
      </c>
      <c r="M2181" s="29" t="s">
        <v>429</v>
      </c>
      <c r="N2181" s="29" t="s">
        <v>3659</v>
      </c>
      <c r="O2181" s="29" t="s">
        <v>129</v>
      </c>
      <c r="P2181" s="30" t="s">
        <v>3662</v>
      </c>
    </row>
    <row r="2182" s="25" customFormat="1" spans="1:16">
      <c r="A2182" s="29" t="s">
        <v>3913</v>
      </c>
      <c r="B2182" s="29" t="s">
        <v>3910</v>
      </c>
      <c r="C2182" s="29" t="s">
        <v>129</v>
      </c>
      <c r="D2182" s="29" t="s">
        <v>3569</v>
      </c>
      <c r="E2182" s="29" t="s">
        <v>35</v>
      </c>
      <c r="F2182" s="29" t="s">
        <v>47</v>
      </c>
      <c r="G2182" s="29" t="s">
        <v>427</v>
      </c>
      <c r="H2182" s="29" t="s">
        <v>149</v>
      </c>
      <c r="I2182" s="29" t="s">
        <v>39</v>
      </c>
      <c r="J2182" s="29" t="s">
        <v>51</v>
      </c>
      <c r="K2182" s="29" t="s">
        <v>3914</v>
      </c>
      <c r="L2182" s="29" t="s">
        <v>3802</v>
      </c>
      <c r="M2182" s="29" t="s">
        <v>429</v>
      </c>
      <c r="N2182" s="29" t="s">
        <v>3659</v>
      </c>
      <c r="O2182" s="29" t="s">
        <v>129</v>
      </c>
      <c r="P2182" s="30" t="s">
        <v>3664</v>
      </c>
    </row>
    <row r="2183" s="25" customFormat="1" spans="1:16">
      <c r="A2183" s="29" t="s">
        <v>3914</v>
      </c>
      <c r="B2183" s="29" t="s">
        <v>3910</v>
      </c>
      <c r="C2183" s="29" t="s">
        <v>129</v>
      </c>
      <c r="D2183" s="29" t="s">
        <v>3569</v>
      </c>
      <c r="E2183" s="29" t="s">
        <v>35</v>
      </c>
      <c r="F2183" s="29" t="s">
        <v>47</v>
      </c>
      <c r="G2183" s="29" t="s">
        <v>427</v>
      </c>
      <c r="H2183" s="29" t="s">
        <v>149</v>
      </c>
      <c r="I2183" s="29" t="s">
        <v>39</v>
      </c>
      <c r="J2183" s="29" t="s">
        <v>55</v>
      </c>
      <c r="K2183" s="29" t="s">
        <v>3915</v>
      </c>
      <c r="L2183" s="29" t="s">
        <v>3804</v>
      </c>
      <c r="M2183" s="29" t="s">
        <v>429</v>
      </c>
      <c r="N2183" s="29" t="s">
        <v>3659</v>
      </c>
      <c r="O2183" s="29" t="s">
        <v>129</v>
      </c>
      <c r="P2183" s="30" t="s">
        <v>3666</v>
      </c>
    </row>
    <row r="2184" s="25" customFormat="1" spans="1:16">
      <c r="A2184" s="29" t="s">
        <v>3915</v>
      </c>
      <c r="B2184" s="29" t="s">
        <v>3910</v>
      </c>
      <c r="C2184" s="29" t="s">
        <v>129</v>
      </c>
      <c r="D2184" s="29" t="s">
        <v>3569</v>
      </c>
      <c r="E2184" s="29" t="s">
        <v>35</v>
      </c>
      <c r="F2184" s="29" t="s">
        <v>47</v>
      </c>
      <c r="G2184" s="29" t="s">
        <v>427</v>
      </c>
      <c r="H2184" s="29" t="s">
        <v>149</v>
      </c>
      <c r="I2184" s="29" t="s">
        <v>39</v>
      </c>
      <c r="J2184" s="29" t="s">
        <v>59</v>
      </c>
      <c r="K2184" s="29" t="s">
        <v>3916</v>
      </c>
      <c r="L2184" s="29" t="s">
        <v>3807</v>
      </c>
      <c r="M2184" s="29" t="s">
        <v>429</v>
      </c>
      <c r="N2184" s="29" t="s">
        <v>3659</v>
      </c>
      <c r="O2184" s="29" t="s">
        <v>129</v>
      </c>
      <c r="P2184" s="30" t="s">
        <v>3668</v>
      </c>
    </row>
    <row r="2185" s="25" customFormat="1" spans="1:16">
      <c r="A2185" s="29" t="s">
        <v>3916</v>
      </c>
      <c r="B2185" s="29" t="s">
        <v>3910</v>
      </c>
      <c r="C2185" s="29" t="s">
        <v>129</v>
      </c>
      <c r="D2185" s="29" t="s">
        <v>3569</v>
      </c>
      <c r="E2185" s="29" t="s">
        <v>35</v>
      </c>
      <c r="F2185" s="29" t="s">
        <v>47</v>
      </c>
      <c r="G2185" s="29" t="s">
        <v>427</v>
      </c>
      <c r="H2185" s="29" t="s">
        <v>149</v>
      </c>
      <c r="I2185" s="29" t="s">
        <v>39</v>
      </c>
      <c r="J2185" s="29" t="s">
        <v>129</v>
      </c>
      <c r="K2185" s="29" t="s">
        <v>3917</v>
      </c>
      <c r="L2185" s="29" t="s">
        <v>3810</v>
      </c>
      <c r="M2185" s="29" t="s">
        <v>429</v>
      </c>
      <c r="N2185" s="29" t="s">
        <v>3659</v>
      </c>
      <c r="O2185" s="29" t="s">
        <v>129</v>
      </c>
      <c r="P2185" s="30" t="s">
        <v>3670</v>
      </c>
    </row>
    <row r="2186" s="25" customFormat="1" spans="1:16">
      <c r="A2186" s="29" t="s">
        <v>3917</v>
      </c>
      <c r="B2186" s="29" t="s">
        <v>3910</v>
      </c>
      <c r="C2186" s="29" t="s">
        <v>129</v>
      </c>
      <c r="D2186" s="29" t="s">
        <v>3569</v>
      </c>
      <c r="E2186" s="29" t="s">
        <v>35</v>
      </c>
      <c r="F2186" s="29" t="s">
        <v>47</v>
      </c>
      <c r="G2186" s="29" t="s">
        <v>427</v>
      </c>
      <c r="H2186" s="29" t="s">
        <v>149</v>
      </c>
      <c r="I2186" s="29" t="s">
        <v>39</v>
      </c>
      <c r="J2186" s="29" t="s">
        <v>133</v>
      </c>
      <c r="K2186" s="29" t="s">
        <v>3918</v>
      </c>
      <c r="L2186" s="29" t="s">
        <v>3812</v>
      </c>
      <c r="M2186" s="29" t="s">
        <v>429</v>
      </c>
      <c r="N2186" s="29" t="s">
        <v>3659</v>
      </c>
      <c r="O2186" s="29" t="s">
        <v>129</v>
      </c>
      <c r="P2186" s="30" t="s">
        <v>3672</v>
      </c>
    </row>
    <row r="2187" s="25" customFormat="1" spans="1:16">
      <c r="A2187" s="29" t="s">
        <v>3918</v>
      </c>
      <c r="B2187" s="29" t="s">
        <v>3910</v>
      </c>
      <c r="C2187" s="29" t="s">
        <v>129</v>
      </c>
      <c r="D2187" s="29" t="s">
        <v>3569</v>
      </c>
      <c r="E2187" s="29" t="s">
        <v>35</v>
      </c>
      <c r="F2187" s="29" t="s">
        <v>47</v>
      </c>
      <c r="G2187" s="29" t="s">
        <v>427</v>
      </c>
      <c r="H2187" s="29" t="s">
        <v>149</v>
      </c>
      <c r="I2187" s="29" t="s">
        <v>39</v>
      </c>
      <c r="J2187" s="29" t="s">
        <v>137</v>
      </c>
      <c r="K2187" s="29" t="s">
        <v>3919</v>
      </c>
      <c r="L2187" s="29" t="s">
        <v>3815</v>
      </c>
      <c r="M2187" s="29" t="s">
        <v>429</v>
      </c>
      <c r="N2187" s="29" t="s">
        <v>3659</v>
      </c>
      <c r="O2187" s="29" t="s">
        <v>129</v>
      </c>
      <c r="P2187" s="30" t="s">
        <v>3674</v>
      </c>
    </row>
    <row r="2188" s="25" customFormat="1" spans="1:16">
      <c r="A2188" s="29" t="s">
        <v>3919</v>
      </c>
      <c r="B2188" s="29" t="s">
        <v>3910</v>
      </c>
      <c r="C2188" s="29" t="s">
        <v>129</v>
      </c>
      <c r="D2188" s="29" t="s">
        <v>3569</v>
      </c>
      <c r="E2188" s="29" t="s">
        <v>35</v>
      </c>
      <c r="F2188" s="29" t="s">
        <v>47</v>
      </c>
      <c r="G2188" s="29" t="s">
        <v>427</v>
      </c>
      <c r="H2188" s="29" t="s">
        <v>149</v>
      </c>
      <c r="I2188" s="29" t="s">
        <v>39</v>
      </c>
      <c r="J2188" s="29" t="s">
        <v>141</v>
      </c>
      <c r="K2188" s="29" t="s">
        <v>3920</v>
      </c>
      <c r="L2188" s="29" t="s">
        <v>3818</v>
      </c>
      <c r="M2188" s="29" t="s">
        <v>429</v>
      </c>
      <c r="N2188" s="29" t="s">
        <v>3659</v>
      </c>
      <c r="O2188" s="29" t="s">
        <v>129</v>
      </c>
      <c r="P2188" s="30" t="s">
        <v>3676</v>
      </c>
    </row>
    <row r="2189" s="25" customFormat="1" spans="1:16">
      <c r="A2189" s="29" t="s">
        <v>3920</v>
      </c>
      <c r="B2189" s="29" t="s">
        <v>3910</v>
      </c>
      <c r="C2189" s="29" t="s">
        <v>129</v>
      </c>
      <c r="D2189" s="29" t="s">
        <v>3569</v>
      </c>
      <c r="E2189" s="29" t="s">
        <v>35</v>
      </c>
      <c r="F2189" s="29" t="s">
        <v>47</v>
      </c>
      <c r="G2189" s="29" t="s">
        <v>427</v>
      </c>
      <c r="H2189" s="29" t="s">
        <v>149</v>
      </c>
      <c r="I2189" s="29" t="s">
        <v>39</v>
      </c>
      <c r="J2189" s="29" t="s">
        <v>145</v>
      </c>
      <c r="K2189" s="29" t="s">
        <v>3921</v>
      </c>
      <c r="L2189" s="29" t="s">
        <v>3896</v>
      </c>
      <c r="M2189" s="29" t="s">
        <v>429</v>
      </c>
      <c r="N2189" s="29" t="s">
        <v>3659</v>
      </c>
      <c r="O2189" s="29" t="s">
        <v>129</v>
      </c>
      <c r="P2189" s="30" t="s">
        <v>3677</v>
      </c>
    </row>
    <row r="2190" s="25" customFormat="1" spans="1:16">
      <c r="A2190" s="29" t="s">
        <v>3921</v>
      </c>
      <c r="B2190" s="29" t="s">
        <v>3910</v>
      </c>
      <c r="C2190" s="29" t="s">
        <v>129</v>
      </c>
      <c r="D2190" s="29" t="s">
        <v>3569</v>
      </c>
      <c r="E2190" s="29" t="s">
        <v>35</v>
      </c>
      <c r="F2190" s="29" t="s">
        <v>47</v>
      </c>
      <c r="G2190" s="29" t="s">
        <v>427</v>
      </c>
      <c r="H2190" s="29" t="s">
        <v>149</v>
      </c>
      <c r="I2190" s="29" t="s">
        <v>39</v>
      </c>
      <c r="J2190" s="29" t="s">
        <v>408</v>
      </c>
      <c r="K2190" s="29" t="s">
        <v>3922</v>
      </c>
      <c r="L2190" s="29" t="s">
        <v>3898</v>
      </c>
      <c r="M2190" s="29" t="s">
        <v>429</v>
      </c>
      <c r="N2190" s="29" t="s">
        <v>3659</v>
      </c>
      <c r="O2190" s="29" t="s">
        <v>129</v>
      </c>
      <c r="P2190" s="30" t="s">
        <v>3923</v>
      </c>
    </row>
    <row r="2191" s="25" customFormat="1" spans="1:16">
      <c r="A2191" s="29" t="s">
        <v>3922</v>
      </c>
      <c r="B2191" s="29" t="s">
        <v>3910</v>
      </c>
      <c r="C2191" s="29" t="s">
        <v>129</v>
      </c>
      <c r="D2191" s="29" t="s">
        <v>3569</v>
      </c>
      <c r="E2191" s="29" t="s">
        <v>35</v>
      </c>
      <c r="F2191" s="29" t="s">
        <v>47</v>
      </c>
      <c r="G2191" s="29" t="s">
        <v>427</v>
      </c>
      <c r="H2191" s="29" t="s">
        <v>149</v>
      </c>
      <c r="I2191" s="29" t="s">
        <v>39</v>
      </c>
      <c r="J2191" s="29" t="s">
        <v>412</v>
      </c>
      <c r="K2191" s="29" t="s">
        <v>3924</v>
      </c>
      <c r="L2191" s="29" t="s">
        <v>3901</v>
      </c>
      <c r="M2191" s="29" t="s">
        <v>429</v>
      </c>
      <c r="N2191" s="29" t="s">
        <v>3659</v>
      </c>
      <c r="O2191" s="29" t="s">
        <v>129</v>
      </c>
      <c r="P2191" s="30" t="s">
        <v>3925</v>
      </c>
    </row>
    <row r="2192" s="25" customFormat="1" spans="1:16">
      <c r="A2192" s="29" t="s">
        <v>3924</v>
      </c>
      <c r="B2192" s="29" t="s">
        <v>3910</v>
      </c>
      <c r="C2192" s="29" t="s">
        <v>129</v>
      </c>
      <c r="D2192" s="29" t="s">
        <v>3569</v>
      </c>
      <c r="E2192" s="29" t="s">
        <v>35</v>
      </c>
      <c r="F2192" s="29" t="s">
        <v>47</v>
      </c>
      <c r="G2192" s="29" t="s">
        <v>427</v>
      </c>
      <c r="H2192" s="29" t="s">
        <v>149</v>
      </c>
      <c r="I2192" s="29" t="s">
        <v>39</v>
      </c>
      <c r="J2192" s="29" t="s">
        <v>416</v>
      </c>
      <c r="K2192" s="29" t="s">
        <v>3926</v>
      </c>
      <c r="L2192" s="29" t="s">
        <v>3904</v>
      </c>
      <c r="M2192" s="29" t="s">
        <v>429</v>
      </c>
      <c r="N2192" s="29" t="s">
        <v>3659</v>
      </c>
      <c r="O2192" s="29" t="s">
        <v>129</v>
      </c>
      <c r="P2192" s="30" t="s">
        <v>3927</v>
      </c>
    </row>
    <row r="2193" s="25" customFormat="1" spans="1:16">
      <c r="A2193" s="29" t="s">
        <v>3926</v>
      </c>
      <c r="B2193" s="29" t="s">
        <v>3910</v>
      </c>
      <c r="C2193" s="29" t="s">
        <v>129</v>
      </c>
      <c r="D2193" s="29" t="s">
        <v>3569</v>
      </c>
      <c r="E2193" s="29" t="s">
        <v>35</v>
      </c>
      <c r="F2193" s="29" t="s">
        <v>47</v>
      </c>
      <c r="G2193" s="29" t="s">
        <v>427</v>
      </c>
      <c r="H2193" s="29" t="s">
        <v>149</v>
      </c>
      <c r="I2193" s="29" t="s">
        <v>39</v>
      </c>
      <c r="J2193" s="29" t="s">
        <v>420</v>
      </c>
      <c r="K2193" s="29" t="s">
        <v>3928</v>
      </c>
      <c r="L2193" s="29" t="s">
        <v>3907</v>
      </c>
      <c r="M2193" s="29" t="s">
        <v>429</v>
      </c>
      <c r="N2193" s="29" t="s">
        <v>3659</v>
      </c>
      <c r="O2193" s="29" t="s">
        <v>129</v>
      </c>
      <c r="P2193" s="30" t="s">
        <v>3929</v>
      </c>
    </row>
    <row r="2194" s="25" customFormat="1" spans="1:16">
      <c r="A2194" s="27" t="s">
        <v>3928</v>
      </c>
      <c r="B2194" s="27" t="s">
        <v>3910</v>
      </c>
      <c r="C2194" s="27" t="s">
        <v>129</v>
      </c>
      <c r="D2194" s="27" t="s">
        <v>3569</v>
      </c>
      <c r="E2194" s="27" t="s">
        <v>35</v>
      </c>
      <c r="F2194" s="27" t="s">
        <v>47</v>
      </c>
      <c r="G2194" s="27" t="s">
        <v>427</v>
      </c>
      <c r="H2194" s="27" t="s">
        <v>149</v>
      </c>
      <c r="I2194" s="29" t="s">
        <v>39</v>
      </c>
      <c r="J2194" s="27" t="s">
        <v>424</v>
      </c>
      <c r="K2194" s="29" t="s">
        <v>39</v>
      </c>
      <c r="L2194" s="27" t="s">
        <v>39</v>
      </c>
      <c r="M2194" s="27" t="s">
        <v>39</v>
      </c>
      <c r="N2194" s="29" t="s">
        <v>3659</v>
      </c>
      <c r="O2194" s="27" t="s">
        <v>129</v>
      </c>
      <c r="P2194" s="30" t="s">
        <v>3930</v>
      </c>
    </row>
    <row r="2195" s="25" customFormat="1" spans="1:16">
      <c r="A2195" s="27" t="s">
        <v>3931</v>
      </c>
      <c r="B2195" s="27" t="s">
        <v>3931</v>
      </c>
      <c r="C2195" s="27" t="s">
        <v>129</v>
      </c>
      <c r="D2195" s="27" t="s">
        <v>3569</v>
      </c>
      <c r="E2195" s="27" t="s">
        <v>35</v>
      </c>
      <c r="F2195" s="27" t="s">
        <v>47</v>
      </c>
      <c r="G2195" s="27" t="s">
        <v>450</v>
      </c>
      <c r="H2195" s="27" t="s">
        <v>176</v>
      </c>
      <c r="I2195" s="29" t="s">
        <v>39</v>
      </c>
      <c r="J2195" s="27" t="s">
        <v>39</v>
      </c>
      <c r="K2195" s="29" t="s">
        <v>3932</v>
      </c>
      <c r="L2195" s="27" t="s">
        <v>3793</v>
      </c>
      <c r="M2195" s="27" t="s">
        <v>452</v>
      </c>
      <c r="N2195" s="29" t="s">
        <v>3680</v>
      </c>
      <c r="O2195" s="27" t="s">
        <v>133</v>
      </c>
      <c r="P2195" s="30" t="s">
        <v>3681</v>
      </c>
    </row>
    <row r="2196" s="25" customFormat="1" spans="1:16">
      <c r="A2196" s="27" t="s">
        <v>3932</v>
      </c>
      <c r="B2196" s="27" t="s">
        <v>3931</v>
      </c>
      <c r="C2196" s="27" t="s">
        <v>129</v>
      </c>
      <c r="D2196" s="27" t="s">
        <v>3569</v>
      </c>
      <c r="E2196" s="27" t="s">
        <v>35</v>
      </c>
      <c r="F2196" s="27" t="s">
        <v>47</v>
      </c>
      <c r="G2196" s="27" t="s">
        <v>450</v>
      </c>
      <c r="H2196" s="27" t="s">
        <v>176</v>
      </c>
      <c r="I2196" s="29" t="s">
        <v>39</v>
      </c>
      <c r="J2196" s="27" t="s">
        <v>35</v>
      </c>
      <c r="K2196" s="29" t="s">
        <v>3933</v>
      </c>
      <c r="L2196" s="27" t="s">
        <v>3795</v>
      </c>
      <c r="M2196" s="27" t="s">
        <v>452</v>
      </c>
      <c r="N2196" s="29" t="s">
        <v>3683</v>
      </c>
      <c r="O2196" s="27" t="s">
        <v>133</v>
      </c>
      <c r="P2196" s="30" t="s">
        <v>3684</v>
      </c>
    </row>
    <row r="2197" s="25" customFormat="1" spans="1:16">
      <c r="A2197" s="27" t="s">
        <v>3933</v>
      </c>
      <c r="B2197" s="27" t="s">
        <v>3931</v>
      </c>
      <c r="C2197" s="27" t="s">
        <v>129</v>
      </c>
      <c r="D2197" s="27" t="s">
        <v>3569</v>
      </c>
      <c r="E2197" s="27" t="s">
        <v>35</v>
      </c>
      <c r="F2197" s="27" t="s">
        <v>47</v>
      </c>
      <c r="G2197" s="27" t="s">
        <v>450</v>
      </c>
      <c r="H2197" s="27" t="s">
        <v>176</v>
      </c>
      <c r="I2197" s="29" t="s">
        <v>39</v>
      </c>
      <c r="J2197" s="27" t="s">
        <v>47</v>
      </c>
      <c r="K2197" s="29" t="s">
        <v>3934</v>
      </c>
      <c r="L2197" s="27" t="s">
        <v>3799</v>
      </c>
      <c r="M2197" s="27" t="s">
        <v>452</v>
      </c>
      <c r="N2197" s="29" t="s">
        <v>3683</v>
      </c>
      <c r="O2197" s="27" t="s">
        <v>133</v>
      </c>
      <c r="P2197" s="30" t="s">
        <v>3686</v>
      </c>
    </row>
    <row r="2198" s="25" customFormat="1" spans="1:16">
      <c r="A2198" s="27" t="s">
        <v>3934</v>
      </c>
      <c r="B2198" s="27" t="s">
        <v>3931</v>
      </c>
      <c r="C2198" s="27" t="s">
        <v>129</v>
      </c>
      <c r="D2198" s="27" t="s">
        <v>3569</v>
      </c>
      <c r="E2198" s="27" t="s">
        <v>35</v>
      </c>
      <c r="F2198" s="27" t="s">
        <v>47</v>
      </c>
      <c r="G2198" s="27" t="s">
        <v>450</v>
      </c>
      <c r="H2198" s="27" t="s">
        <v>176</v>
      </c>
      <c r="I2198" s="29" t="s">
        <v>39</v>
      </c>
      <c r="J2198" s="27" t="s">
        <v>51</v>
      </c>
      <c r="K2198" s="29" t="s">
        <v>3935</v>
      </c>
      <c r="L2198" s="27" t="s">
        <v>3802</v>
      </c>
      <c r="M2198" s="27" t="s">
        <v>452</v>
      </c>
      <c r="N2198" s="29" t="s">
        <v>3683</v>
      </c>
      <c r="O2198" s="27" t="s">
        <v>133</v>
      </c>
      <c r="P2198" s="30" t="s">
        <v>3688</v>
      </c>
    </row>
    <row r="2199" s="25" customFormat="1" spans="1:16">
      <c r="A2199" s="27" t="s">
        <v>3935</v>
      </c>
      <c r="B2199" s="27" t="s">
        <v>3931</v>
      </c>
      <c r="C2199" s="27" t="s">
        <v>129</v>
      </c>
      <c r="D2199" s="27" t="s">
        <v>3569</v>
      </c>
      <c r="E2199" s="27" t="s">
        <v>35</v>
      </c>
      <c r="F2199" s="27" t="s">
        <v>47</v>
      </c>
      <c r="G2199" s="27" t="s">
        <v>450</v>
      </c>
      <c r="H2199" s="27" t="s">
        <v>176</v>
      </c>
      <c r="I2199" s="29" t="s">
        <v>39</v>
      </c>
      <c r="J2199" s="27" t="s">
        <v>55</v>
      </c>
      <c r="K2199" s="29" t="s">
        <v>3936</v>
      </c>
      <c r="L2199" s="27" t="s">
        <v>3804</v>
      </c>
      <c r="M2199" s="27" t="s">
        <v>452</v>
      </c>
      <c r="N2199" s="29" t="s">
        <v>3683</v>
      </c>
      <c r="O2199" s="27" t="s">
        <v>133</v>
      </c>
      <c r="P2199" s="30" t="s">
        <v>3690</v>
      </c>
    </row>
    <row r="2200" s="25" customFormat="1" spans="1:16">
      <c r="A2200" s="27" t="s">
        <v>3936</v>
      </c>
      <c r="B2200" s="27" t="s">
        <v>3931</v>
      </c>
      <c r="C2200" s="27" t="s">
        <v>129</v>
      </c>
      <c r="D2200" s="27" t="s">
        <v>3569</v>
      </c>
      <c r="E2200" s="27" t="s">
        <v>35</v>
      </c>
      <c r="F2200" s="27" t="s">
        <v>47</v>
      </c>
      <c r="G2200" s="27" t="s">
        <v>450</v>
      </c>
      <c r="H2200" s="27" t="s">
        <v>176</v>
      </c>
      <c r="I2200" s="29" t="s">
        <v>39</v>
      </c>
      <c r="J2200" s="27" t="s">
        <v>59</v>
      </c>
      <c r="K2200" s="29" t="s">
        <v>3937</v>
      </c>
      <c r="L2200" s="27" t="s">
        <v>3807</v>
      </c>
      <c r="M2200" s="27" t="s">
        <v>452</v>
      </c>
      <c r="N2200" s="29" t="s">
        <v>3683</v>
      </c>
      <c r="O2200" s="27" t="s">
        <v>133</v>
      </c>
      <c r="P2200" s="30" t="s">
        <v>3692</v>
      </c>
    </row>
    <row r="2201" s="25" customFormat="1" spans="1:16">
      <c r="A2201" s="27" t="s">
        <v>3937</v>
      </c>
      <c r="B2201" s="27" t="s">
        <v>3931</v>
      </c>
      <c r="C2201" s="27" t="s">
        <v>129</v>
      </c>
      <c r="D2201" s="27" t="s">
        <v>3569</v>
      </c>
      <c r="E2201" s="27" t="s">
        <v>35</v>
      </c>
      <c r="F2201" s="27" t="s">
        <v>47</v>
      </c>
      <c r="G2201" s="27" t="s">
        <v>450</v>
      </c>
      <c r="H2201" s="27" t="s">
        <v>176</v>
      </c>
      <c r="I2201" s="29" t="s">
        <v>39</v>
      </c>
      <c r="J2201" s="27" t="s">
        <v>129</v>
      </c>
      <c r="K2201" s="29" t="s">
        <v>3938</v>
      </c>
      <c r="L2201" s="27" t="s">
        <v>3810</v>
      </c>
      <c r="M2201" s="27" t="s">
        <v>452</v>
      </c>
      <c r="N2201" s="29" t="s">
        <v>3683</v>
      </c>
      <c r="O2201" s="27" t="s">
        <v>133</v>
      </c>
      <c r="P2201" s="30" t="s">
        <v>3694</v>
      </c>
    </row>
    <row r="2202" s="25" customFormat="1" spans="1:16">
      <c r="A2202" s="27" t="s">
        <v>3938</v>
      </c>
      <c r="B2202" s="27" t="s">
        <v>3931</v>
      </c>
      <c r="C2202" s="27" t="s">
        <v>129</v>
      </c>
      <c r="D2202" s="27" t="s">
        <v>3569</v>
      </c>
      <c r="E2202" s="27" t="s">
        <v>35</v>
      </c>
      <c r="F2202" s="27" t="s">
        <v>47</v>
      </c>
      <c r="G2202" s="27" t="s">
        <v>450</v>
      </c>
      <c r="H2202" s="27" t="s">
        <v>176</v>
      </c>
      <c r="I2202" s="29" t="s">
        <v>39</v>
      </c>
      <c r="J2202" s="27" t="s">
        <v>133</v>
      </c>
      <c r="K2202" s="29" t="s">
        <v>3939</v>
      </c>
      <c r="L2202" s="27" t="s">
        <v>3812</v>
      </c>
      <c r="M2202" s="27" t="s">
        <v>452</v>
      </c>
      <c r="N2202" s="29" t="s">
        <v>3683</v>
      </c>
      <c r="O2202" s="27" t="s">
        <v>133</v>
      </c>
      <c r="P2202" s="30" t="s">
        <v>3696</v>
      </c>
    </row>
    <row r="2203" s="25" customFormat="1" spans="1:16">
      <c r="A2203" s="27" t="s">
        <v>3939</v>
      </c>
      <c r="B2203" s="27" t="s">
        <v>3931</v>
      </c>
      <c r="C2203" s="27" t="s">
        <v>129</v>
      </c>
      <c r="D2203" s="27" t="s">
        <v>3569</v>
      </c>
      <c r="E2203" s="27" t="s">
        <v>35</v>
      </c>
      <c r="F2203" s="27" t="s">
        <v>47</v>
      </c>
      <c r="G2203" s="27" t="s">
        <v>450</v>
      </c>
      <c r="H2203" s="27" t="s">
        <v>176</v>
      </c>
      <c r="I2203" s="29" t="s">
        <v>39</v>
      </c>
      <c r="J2203" s="27" t="s">
        <v>137</v>
      </c>
      <c r="K2203" s="29" t="s">
        <v>3940</v>
      </c>
      <c r="L2203" s="27" t="s">
        <v>3815</v>
      </c>
      <c r="M2203" s="27" t="s">
        <v>452</v>
      </c>
      <c r="N2203" s="29" t="s">
        <v>3683</v>
      </c>
      <c r="O2203" s="27" t="s">
        <v>133</v>
      </c>
      <c r="P2203" s="30" t="s">
        <v>3698</v>
      </c>
    </row>
    <row r="2204" s="25" customFormat="1" spans="1:16">
      <c r="A2204" s="27" t="s">
        <v>3940</v>
      </c>
      <c r="B2204" s="27" t="s">
        <v>3931</v>
      </c>
      <c r="C2204" s="27" t="s">
        <v>129</v>
      </c>
      <c r="D2204" s="27" t="s">
        <v>3569</v>
      </c>
      <c r="E2204" s="27" t="s">
        <v>35</v>
      </c>
      <c r="F2204" s="27" t="s">
        <v>47</v>
      </c>
      <c r="G2204" s="27" t="s">
        <v>450</v>
      </c>
      <c r="H2204" s="27" t="s">
        <v>176</v>
      </c>
      <c r="I2204" s="29" t="s">
        <v>39</v>
      </c>
      <c r="J2204" s="27" t="s">
        <v>141</v>
      </c>
      <c r="K2204" s="29" t="s">
        <v>3941</v>
      </c>
      <c r="L2204" s="27" t="s">
        <v>3818</v>
      </c>
      <c r="M2204" s="27" t="s">
        <v>452</v>
      </c>
      <c r="N2204" s="29" t="s">
        <v>3683</v>
      </c>
      <c r="O2204" s="27" t="s">
        <v>133</v>
      </c>
      <c r="P2204" s="30" t="s">
        <v>3700</v>
      </c>
    </row>
    <row r="2205" s="25" customFormat="1" spans="1:16">
      <c r="A2205" s="27" t="s">
        <v>3941</v>
      </c>
      <c r="B2205" s="27" t="s">
        <v>3931</v>
      </c>
      <c r="C2205" s="27" t="s">
        <v>129</v>
      </c>
      <c r="D2205" s="27" t="s">
        <v>3569</v>
      </c>
      <c r="E2205" s="27" t="s">
        <v>35</v>
      </c>
      <c r="F2205" s="27" t="s">
        <v>47</v>
      </c>
      <c r="G2205" s="27" t="s">
        <v>450</v>
      </c>
      <c r="H2205" s="27" t="s">
        <v>176</v>
      </c>
      <c r="I2205" s="29" t="s">
        <v>39</v>
      </c>
      <c r="J2205" s="27" t="s">
        <v>145</v>
      </c>
      <c r="K2205" s="29" t="s">
        <v>3942</v>
      </c>
      <c r="L2205" s="27" t="s">
        <v>3896</v>
      </c>
      <c r="M2205" s="27" t="s">
        <v>452</v>
      </c>
      <c r="N2205" s="29" t="s">
        <v>3683</v>
      </c>
      <c r="O2205" s="27" t="s">
        <v>133</v>
      </c>
      <c r="P2205" s="30" t="s">
        <v>3701</v>
      </c>
    </row>
    <row r="2206" s="25" customFormat="1" spans="1:16">
      <c r="A2206" s="27" t="s">
        <v>3942</v>
      </c>
      <c r="B2206" s="27" t="s">
        <v>3931</v>
      </c>
      <c r="C2206" s="27" t="s">
        <v>129</v>
      </c>
      <c r="D2206" s="27" t="s">
        <v>3569</v>
      </c>
      <c r="E2206" s="27" t="s">
        <v>35</v>
      </c>
      <c r="F2206" s="27" t="s">
        <v>47</v>
      </c>
      <c r="G2206" s="27" t="s">
        <v>450</v>
      </c>
      <c r="H2206" s="27" t="s">
        <v>176</v>
      </c>
      <c r="I2206" s="29" t="s">
        <v>39</v>
      </c>
      <c r="J2206" s="27" t="s">
        <v>408</v>
      </c>
      <c r="K2206" s="29" t="s">
        <v>3943</v>
      </c>
      <c r="L2206" s="27" t="s">
        <v>3898</v>
      </c>
      <c r="M2206" s="27" t="s">
        <v>452</v>
      </c>
      <c r="N2206" s="29" t="s">
        <v>3683</v>
      </c>
      <c r="O2206" s="27" t="s">
        <v>133</v>
      </c>
      <c r="P2206" s="30" t="s">
        <v>3944</v>
      </c>
    </row>
    <row r="2207" s="25" customFormat="1" spans="1:16">
      <c r="A2207" s="27" t="s">
        <v>3943</v>
      </c>
      <c r="B2207" s="27" t="s">
        <v>3931</v>
      </c>
      <c r="C2207" s="27" t="s">
        <v>129</v>
      </c>
      <c r="D2207" s="27" t="s">
        <v>3569</v>
      </c>
      <c r="E2207" s="27" t="s">
        <v>35</v>
      </c>
      <c r="F2207" s="27" t="s">
        <v>47</v>
      </c>
      <c r="G2207" s="27" t="s">
        <v>450</v>
      </c>
      <c r="H2207" s="27" t="s">
        <v>176</v>
      </c>
      <c r="I2207" s="29" t="s">
        <v>39</v>
      </c>
      <c r="J2207" s="27" t="s">
        <v>412</v>
      </c>
      <c r="K2207" s="29" t="s">
        <v>3945</v>
      </c>
      <c r="L2207" s="27" t="s">
        <v>3901</v>
      </c>
      <c r="M2207" s="27" t="s">
        <v>452</v>
      </c>
      <c r="N2207" s="29" t="s">
        <v>3683</v>
      </c>
      <c r="O2207" s="27" t="s">
        <v>133</v>
      </c>
      <c r="P2207" s="30" t="s">
        <v>3946</v>
      </c>
    </row>
    <row r="2208" s="25" customFormat="1" spans="1:16">
      <c r="A2208" s="27" t="s">
        <v>3945</v>
      </c>
      <c r="B2208" s="27" t="s">
        <v>3931</v>
      </c>
      <c r="C2208" s="27" t="s">
        <v>129</v>
      </c>
      <c r="D2208" s="27" t="s">
        <v>3569</v>
      </c>
      <c r="E2208" s="27" t="s">
        <v>35</v>
      </c>
      <c r="F2208" s="27" t="s">
        <v>47</v>
      </c>
      <c r="G2208" s="27" t="s">
        <v>450</v>
      </c>
      <c r="H2208" s="27" t="s">
        <v>176</v>
      </c>
      <c r="I2208" s="29" t="s">
        <v>39</v>
      </c>
      <c r="J2208" s="27" t="s">
        <v>416</v>
      </c>
      <c r="K2208" s="29" t="s">
        <v>3947</v>
      </c>
      <c r="L2208" s="27" t="s">
        <v>3904</v>
      </c>
      <c r="M2208" s="27" t="s">
        <v>452</v>
      </c>
      <c r="N2208" s="29" t="s">
        <v>3683</v>
      </c>
      <c r="O2208" s="27" t="s">
        <v>133</v>
      </c>
      <c r="P2208" s="30" t="s">
        <v>3948</v>
      </c>
    </row>
    <row r="2209" s="25" customFormat="1" spans="1:16">
      <c r="A2209" s="27" t="s">
        <v>3947</v>
      </c>
      <c r="B2209" s="27" t="s">
        <v>3931</v>
      </c>
      <c r="C2209" s="27" t="s">
        <v>129</v>
      </c>
      <c r="D2209" s="27" t="s">
        <v>3569</v>
      </c>
      <c r="E2209" s="27" t="s">
        <v>35</v>
      </c>
      <c r="F2209" s="27" t="s">
        <v>47</v>
      </c>
      <c r="G2209" s="27" t="s">
        <v>450</v>
      </c>
      <c r="H2209" s="27" t="s">
        <v>176</v>
      </c>
      <c r="I2209" s="29" t="s">
        <v>39</v>
      </c>
      <c r="J2209" s="27" t="s">
        <v>420</v>
      </c>
      <c r="K2209" s="29" t="s">
        <v>3949</v>
      </c>
      <c r="L2209" s="27" t="s">
        <v>3907</v>
      </c>
      <c r="M2209" s="27" t="s">
        <v>452</v>
      </c>
      <c r="N2209" s="29" t="s">
        <v>3683</v>
      </c>
      <c r="O2209" s="27" t="s">
        <v>133</v>
      </c>
      <c r="P2209" s="30" t="s">
        <v>3950</v>
      </c>
    </row>
    <row r="2210" s="25" customFormat="1" spans="1:16">
      <c r="A2210" s="27" t="s">
        <v>3949</v>
      </c>
      <c r="B2210" s="27" t="s">
        <v>3931</v>
      </c>
      <c r="C2210" s="27" t="s">
        <v>129</v>
      </c>
      <c r="D2210" s="27" t="s">
        <v>3569</v>
      </c>
      <c r="E2210" s="27" t="s">
        <v>35</v>
      </c>
      <c r="F2210" s="27" t="s">
        <v>47</v>
      </c>
      <c r="G2210" s="27" t="s">
        <v>450</v>
      </c>
      <c r="H2210" s="27" t="s">
        <v>176</v>
      </c>
      <c r="I2210" s="29" t="s">
        <v>39</v>
      </c>
      <c r="J2210" s="27" t="s">
        <v>424</v>
      </c>
      <c r="K2210" s="29" t="s">
        <v>39</v>
      </c>
      <c r="L2210" s="27" t="s">
        <v>39</v>
      </c>
      <c r="M2210" s="27" t="s">
        <v>39</v>
      </c>
      <c r="N2210" s="29" t="s">
        <v>3683</v>
      </c>
      <c r="O2210" s="27" t="s">
        <v>133</v>
      </c>
      <c r="P2210" s="30" t="s">
        <v>3951</v>
      </c>
    </row>
    <row r="2211" s="25" customFormat="1" spans="1:16">
      <c r="A2211" s="27" t="s">
        <v>3952</v>
      </c>
      <c r="B2211" s="27" t="s">
        <v>3952</v>
      </c>
      <c r="C2211" s="27" t="s">
        <v>129</v>
      </c>
      <c r="D2211" s="27" t="s">
        <v>3569</v>
      </c>
      <c r="E2211" s="27" t="s">
        <v>47</v>
      </c>
      <c r="F2211" s="27" t="s">
        <v>47</v>
      </c>
      <c r="G2211" s="29" t="s">
        <v>3703</v>
      </c>
      <c r="H2211" s="29" t="s">
        <v>3704</v>
      </c>
      <c r="I2211" s="29" t="s">
        <v>204</v>
      </c>
      <c r="J2211" s="27" t="s">
        <v>39</v>
      </c>
      <c r="K2211" s="29" t="s">
        <v>3953</v>
      </c>
      <c r="L2211" s="27" t="s">
        <v>3706</v>
      </c>
      <c r="M2211" s="27" t="s">
        <v>474</v>
      </c>
      <c r="N2211" s="29" t="s">
        <v>3707</v>
      </c>
      <c r="O2211" s="27" t="s">
        <v>137</v>
      </c>
      <c r="P2211" s="30" t="s">
        <v>3708</v>
      </c>
    </row>
    <row r="2212" s="25" customFormat="1" spans="1:16">
      <c r="A2212" s="27" t="s">
        <v>3953</v>
      </c>
      <c r="B2212" s="27" t="s">
        <v>3952</v>
      </c>
      <c r="C2212" s="27" t="s">
        <v>129</v>
      </c>
      <c r="D2212" s="27" t="s">
        <v>3569</v>
      </c>
      <c r="E2212" s="27" t="s">
        <v>47</v>
      </c>
      <c r="F2212" s="27" t="s">
        <v>47</v>
      </c>
      <c r="G2212" s="29" t="s">
        <v>3703</v>
      </c>
      <c r="H2212" s="29" t="s">
        <v>3704</v>
      </c>
      <c r="I2212" s="29" t="s">
        <v>204</v>
      </c>
      <c r="J2212" s="27" t="s">
        <v>35</v>
      </c>
      <c r="K2212" s="29" t="s">
        <v>3954</v>
      </c>
      <c r="L2212" s="27" t="s">
        <v>3710</v>
      </c>
      <c r="M2212" s="27" t="s">
        <v>474</v>
      </c>
      <c r="N2212" s="29" t="s">
        <v>3711</v>
      </c>
      <c r="O2212" s="27" t="s">
        <v>137</v>
      </c>
      <c r="P2212" s="30" t="s">
        <v>3712</v>
      </c>
    </row>
    <row r="2213" s="25" customFormat="1" spans="1:16">
      <c r="A2213" s="27" t="s">
        <v>3954</v>
      </c>
      <c r="B2213" s="27" t="s">
        <v>3952</v>
      </c>
      <c r="C2213" s="27" t="s">
        <v>129</v>
      </c>
      <c r="D2213" s="27" t="s">
        <v>3569</v>
      </c>
      <c r="E2213" s="27" t="s">
        <v>47</v>
      </c>
      <c r="F2213" s="27" t="s">
        <v>47</v>
      </c>
      <c r="G2213" s="29" t="s">
        <v>3703</v>
      </c>
      <c r="H2213" s="29" t="s">
        <v>3704</v>
      </c>
      <c r="I2213" s="29" t="s">
        <v>204</v>
      </c>
      <c r="J2213" s="27" t="s">
        <v>47</v>
      </c>
      <c r="K2213" s="29" t="s">
        <v>3955</v>
      </c>
      <c r="L2213" s="27" t="s">
        <v>3714</v>
      </c>
      <c r="M2213" s="27" t="s">
        <v>474</v>
      </c>
      <c r="N2213" s="29" t="s">
        <v>3711</v>
      </c>
      <c r="O2213" s="27" t="s">
        <v>137</v>
      </c>
      <c r="P2213" s="30" t="s">
        <v>3715</v>
      </c>
    </row>
    <row r="2214" s="25" customFormat="1" spans="1:16">
      <c r="A2214" s="27" t="s">
        <v>3955</v>
      </c>
      <c r="B2214" s="27" t="s">
        <v>3952</v>
      </c>
      <c r="C2214" s="27" t="s">
        <v>129</v>
      </c>
      <c r="D2214" s="27" t="s">
        <v>3569</v>
      </c>
      <c r="E2214" s="27" t="s">
        <v>47</v>
      </c>
      <c r="F2214" s="27" t="s">
        <v>47</v>
      </c>
      <c r="G2214" s="29" t="s">
        <v>3703</v>
      </c>
      <c r="H2214" s="29" t="s">
        <v>3704</v>
      </c>
      <c r="I2214" s="29" t="s">
        <v>204</v>
      </c>
      <c r="J2214" s="27" t="s">
        <v>51</v>
      </c>
      <c r="K2214" s="29" t="s">
        <v>3956</v>
      </c>
      <c r="L2214" s="27" t="s">
        <v>3717</v>
      </c>
      <c r="M2214" s="27" t="s">
        <v>474</v>
      </c>
      <c r="N2214" s="29" t="s">
        <v>3711</v>
      </c>
      <c r="O2214" s="27" t="s">
        <v>137</v>
      </c>
      <c r="P2214" s="30" t="s">
        <v>3718</v>
      </c>
    </row>
    <row r="2215" s="25" customFormat="1" spans="1:16">
      <c r="A2215" s="27" t="s">
        <v>3956</v>
      </c>
      <c r="B2215" s="27" t="s">
        <v>3952</v>
      </c>
      <c r="C2215" s="27" t="s">
        <v>129</v>
      </c>
      <c r="D2215" s="27" t="s">
        <v>3569</v>
      </c>
      <c r="E2215" s="27" t="s">
        <v>47</v>
      </c>
      <c r="F2215" s="27" t="s">
        <v>47</v>
      </c>
      <c r="G2215" s="29" t="s">
        <v>3703</v>
      </c>
      <c r="H2215" s="29" t="s">
        <v>3704</v>
      </c>
      <c r="I2215" s="29" t="s">
        <v>204</v>
      </c>
      <c r="J2215" s="27" t="s">
        <v>55</v>
      </c>
      <c r="K2215" s="29" t="s">
        <v>3957</v>
      </c>
      <c r="L2215" s="27" t="s">
        <v>3720</v>
      </c>
      <c r="M2215" s="27" t="s">
        <v>474</v>
      </c>
      <c r="N2215" s="29" t="s">
        <v>3711</v>
      </c>
      <c r="O2215" s="27" t="s">
        <v>137</v>
      </c>
      <c r="P2215" s="30" t="s">
        <v>3721</v>
      </c>
    </row>
    <row r="2216" s="25" customFormat="1" spans="1:16">
      <c r="A2216" s="27" t="s">
        <v>3957</v>
      </c>
      <c r="B2216" s="27" t="s">
        <v>3952</v>
      </c>
      <c r="C2216" s="27" t="s">
        <v>129</v>
      </c>
      <c r="D2216" s="27" t="s">
        <v>3569</v>
      </c>
      <c r="E2216" s="27" t="s">
        <v>47</v>
      </c>
      <c r="F2216" s="27" t="s">
        <v>47</v>
      </c>
      <c r="G2216" s="29" t="s">
        <v>3703</v>
      </c>
      <c r="H2216" s="29" t="s">
        <v>3704</v>
      </c>
      <c r="I2216" s="29" t="s">
        <v>204</v>
      </c>
      <c r="J2216" s="27" t="s">
        <v>59</v>
      </c>
      <c r="K2216" s="29" t="s">
        <v>3958</v>
      </c>
      <c r="L2216" s="27" t="s">
        <v>3723</v>
      </c>
      <c r="M2216" s="27" t="s">
        <v>474</v>
      </c>
      <c r="N2216" s="29" t="s">
        <v>3711</v>
      </c>
      <c r="O2216" s="27" t="s">
        <v>137</v>
      </c>
      <c r="P2216" s="30" t="s">
        <v>3724</v>
      </c>
    </row>
    <row r="2217" s="25" customFormat="1" spans="1:16">
      <c r="A2217" s="27" t="s">
        <v>3958</v>
      </c>
      <c r="B2217" s="27" t="s">
        <v>3952</v>
      </c>
      <c r="C2217" s="27" t="s">
        <v>129</v>
      </c>
      <c r="D2217" s="27" t="s">
        <v>3569</v>
      </c>
      <c r="E2217" s="27" t="s">
        <v>47</v>
      </c>
      <c r="F2217" s="27" t="s">
        <v>47</v>
      </c>
      <c r="G2217" s="29" t="s">
        <v>3703</v>
      </c>
      <c r="H2217" s="29" t="s">
        <v>3704</v>
      </c>
      <c r="I2217" s="29" t="s">
        <v>204</v>
      </c>
      <c r="J2217" s="27" t="s">
        <v>129</v>
      </c>
      <c r="K2217" s="29" t="s">
        <v>3959</v>
      </c>
      <c r="L2217" s="27" t="s">
        <v>3726</v>
      </c>
      <c r="M2217" s="27" t="s">
        <v>474</v>
      </c>
      <c r="N2217" s="29" t="s">
        <v>3711</v>
      </c>
      <c r="O2217" s="27" t="s">
        <v>137</v>
      </c>
      <c r="P2217" s="30" t="s">
        <v>3727</v>
      </c>
    </row>
    <row r="2218" s="25" customFormat="1" spans="1:16">
      <c r="A2218" s="27" t="s">
        <v>3959</v>
      </c>
      <c r="B2218" s="27" t="s">
        <v>3952</v>
      </c>
      <c r="C2218" s="27" t="s">
        <v>129</v>
      </c>
      <c r="D2218" s="27" t="s">
        <v>3569</v>
      </c>
      <c r="E2218" s="27" t="s">
        <v>47</v>
      </c>
      <c r="F2218" s="27" t="s">
        <v>47</v>
      </c>
      <c r="G2218" s="29" t="s">
        <v>3703</v>
      </c>
      <c r="H2218" s="29" t="s">
        <v>3704</v>
      </c>
      <c r="I2218" s="29" t="s">
        <v>204</v>
      </c>
      <c r="J2218" s="27" t="s">
        <v>133</v>
      </c>
      <c r="K2218" s="29" t="s">
        <v>3960</v>
      </c>
      <c r="L2218" s="27" t="s">
        <v>3729</v>
      </c>
      <c r="M2218" s="27" t="s">
        <v>474</v>
      </c>
      <c r="N2218" s="29" t="s">
        <v>3711</v>
      </c>
      <c r="O2218" s="27" t="s">
        <v>137</v>
      </c>
      <c r="P2218" s="30" t="s">
        <v>3730</v>
      </c>
    </row>
    <row r="2219" s="25" customFormat="1" spans="1:16">
      <c r="A2219" s="27" t="s">
        <v>3960</v>
      </c>
      <c r="B2219" s="27" t="s">
        <v>3952</v>
      </c>
      <c r="C2219" s="27" t="s">
        <v>129</v>
      </c>
      <c r="D2219" s="27" t="s">
        <v>3569</v>
      </c>
      <c r="E2219" s="27" t="s">
        <v>47</v>
      </c>
      <c r="F2219" s="27" t="s">
        <v>47</v>
      </c>
      <c r="G2219" s="29" t="s">
        <v>3703</v>
      </c>
      <c r="H2219" s="29" t="s">
        <v>3704</v>
      </c>
      <c r="I2219" s="29" t="s">
        <v>204</v>
      </c>
      <c r="J2219" s="27" t="s">
        <v>137</v>
      </c>
      <c r="K2219" s="29" t="s">
        <v>3961</v>
      </c>
      <c r="L2219" s="27" t="s">
        <v>3732</v>
      </c>
      <c r="M2219" s="27" t="s">
        <v>474</v>
      </c>
      <c r="N2219" s="29" t="s">
        <v>3711</v>
      </c>
      <c r="O2219" s="27" t="s">
        <v>137</v>
      </c>
      <c r="P2219" s="30" t="s">
        <v>3733</v>
      </c>
    </row>
    <row r="2220" s="25" customFormat="1" spans="1:16">
      <c r="A2220" s="27" t="s">
        <v>3961</v>
      </c>
      <c r="B2220" s="27" t="s">
        <v>3952</v>
      </c>
      <c r="C2220" s="27" t="s">
        <v>129</v>
      </c>
      <c r="D2220" s="27" t="s">
        <v>3569</v>
      </c>
      <c r="E2220" s="27" t="s">
        <v>47</v>
      </c>
      <c r="F2220" s="27" t="s">
        <v>47</v>
      </c>
      <c r="G2220" s="29" t="s">
        <v>3703</v>
      </c>
      <c r="H2220" s="29" t="s">
        <v>3704</v>
      </c>
      <c r="I2220" s="29" t="s">
        <v>204</v>
      </c>
      <c r="J2220" s="27" t="s">
        <v>141</v>
      </c>
      <c r="K2220" s="29" t="s">
        <v>3962</v>
      </c>
      <c r="L2220" s="27" t="s">
        <v>3735</v>
      </c>
      <c r="M2220" s="27" t="s">
        <v>474</v>
      </c>
      <c r="N2220" s="29" t="s">
        <v>3711</v>
      </c>
      <c r="O2220" s="27" t="s">
        <v>137</v>
      </c>
      <c r="P2220" s="30" t="s">
        <v>3736</v>
      </c>
    </row>
    <row r="2221" s="25" customFormat="1" spans="1:16">
      <c r="A2221" s="27" t="s">
        <v>3962</v>
      </c>
      <c r="B2221" s="27" t="s">
        <v>3952</v>
      </c>
      <c r="C2221" s="27" t="s">
        <v>129</v>
      </c>
      <c r="D2221" s="27" t="s">
        <v>3569</v>
      </c>
      <c r="E2221" s="27" t="s">
        <v>47</v>
      </c>
      <c r="F2221" s="27" t="s">
        <v>47</v>
      </c>
      <c r="G2221" s="29" t="s">
        <v>3703</v>
      </c>
      <c r="H2221" s="29" t="s">
        <v>3704</v>
      </c>
      <c r="I2221" s="29" t="s">
        <v>204</v>
      </c>
      <c r="J2221" s="27" t="s">
        <v>145</v>
      </c>
      <c r="K2221" s="29" t="s">
        <v>39</v>
      </c>
      <c r="L2221" s="27" t="s">
        <v>3737</v>
      </c>
      <c r="M2221" s="27" t="s">
        <v>474</v>
      </c>
      <c r="N2221" s="29" t="s">
        <v>3711</v>
      </c>
      <c r="O2221" s="27" t="s">
        <v>137</v>
      </c>
      <c r="P2221" s="30" t="s">
        <v>3738</v>
      </c>
    </row>
    <row r="2222" s="25" customFormat="1" spans="1:16">
      <c r="A2222" s="27" t="s">
        <v>3963</v>
      </c>
      <c r="B2222" s="27" t="s">
        <v>3963</v>
      </c>
      <c r="C2222" s="27" t="s">
        <v>129</v>
      </c>
      <c r="D2222" s="27" t="s">
        <v>3569</v>
      </c>
      <c r="E2222" s="27" t="s">
        <v>47</v>
      </c>
      <c r="F2222" s="27" t="s">
        <v>47</v>
      </c>
      <c r="G2222" s="29" t="s">
        <v>3740</v>
      </c>
      <c r="H2222" s="29" t="s">
        <v>3741</v>
      </c>
      <c r="I2222" s="29" t="s">
        <v>204</v>
      </c>
      <c r="J2222" s="27" t="s">
        <v>39</v>
      </c>
      <c r="K2222" s="29" t="s">
        <v>3964</v>
      </c>
      <c r="L2222" s="27" t="s">
        <v>3706</v>
      </c>
      <c r="M2222" s="27" t="s">
        <v>488</v>
      </c>
      <c r="N2222" s="29" t="s">
        <v>3743</v>
      </c>
      <c r="O2222" s="27" t="s">
        <v>141</v>
      </c>
      <c r="P2222" s="30" t="s">
        <v>3744</v>
      </c>
    </row>
    <row r="2223" s="25" customFormat="1" spans="1:16">
      <c r="A2223" s="27" t="s">
        <v>3964</v>
      </c>
      <c r="B2223" s="27" t="s">
        <v>3963</v>
      </c>
      <c r="C2223" s="27" t="s">
        <v>129</v>
      </c>
      <c r="D2223" s="27" t="s">
        <v>3569</v>
      </c>
      <c r="E2223" s="27" t="s">
        <v>47</v>
      </c>
      <c r="F2223" s="27" t="s">
        <v>47</v>
      </c>
      <c r="G2223" s="29" t="s">
        <v>3740</v>
      </c>
      <c r="H2223" s="29" t="s">
        <v>3741</v>
      </c>
      <c r="I2223" s="29" t="s">
        <v>204</v>
      </c>
      <c r="J2223" s="27" t="s">
        <v>35</v>
      </c>
      <c r="K2223" s="29" t="s">
        <v>3965</v>
      </c>
      <c r="L2223" s="27" t="s">
        <v>3710</v>
      </c>
      <c r="M2223" s="27" t="s">
        <v>488</v>
      </c>
      <c r="N2223" s="29" t="s">
        <v>3746</v>
      </c>
      <c r="O2223" s="27" t="s">
        <v>141</v>
      </c>
      <c r="P2223" s="30" t="s">
        <v>3747</v>
      </c>
    </row>
    <row r="2224" s="25" customFormat="1" spans="1:16">
      <c r="A2224" s="27" t="s">
        <v>3965</v>
      </c>
      <c r="B2224" s="27" t="s">
        <v>3963</v>
      </c>
      <c r="C2224" s="27" t="s">
        <v>129</v>
      </c>
      <c r="D2224" s="27" t="s">
        <v>3569</v>
      </c>
      <c r="E2224" s="27" t="s">
        <v>47</v>
      </c>
      <c r="F2224" s="27" t="s">
        <v>47</v>
      </c>
      <c r="G2224" s="29" t="s">
        <v>3740</v>
      </c>
      <c r="H2224" s="29" t="s">
        <v>3741</v>
      </c>
      <c r="I2224" s="29" t="s">
        <v>204</v>
      </c>
      <c r="J2224" s="27" t="s">
        <v>47</v>
      </c>
      <c r="K2224" s="29" t="s">
        <v>3966</v>
      </c>
      <c r="L2224" s="27" t="s">
        <v>3714</v>
      </c>
      <c r="M2224" s="27" t="s">
        <v>488</v>
      </c>
      <c r="N2224" s="29" t="s">
        <v>3746</v>
      </c>
      <c r="O2224" s="27" t="s">
        <v>141</v>
      </c>
      <c r="P2224" s="30" t="s">
        <v>3749</v>
      </c>
    </row>
    <row r="2225" s="25" customFormat="1" spans="1:16">
      <c r="A2225" s="27" t="s">
        <v>3966</v>
      </c>
      <c r="B2225" s="27" t="s">
        <v>3963</v>
      </c>
      <c r="C2225" s="27" t="s">
        <v>129</v>
      </c>
      <c r="D2225" s="27" t="s">
        <v>3569</v>
      </c>
      <c r="E2225" s="27" t="s">
        <v>47</v>
      </c>
      <c r="F2225" s="27" t="s">
        <v>47</v>
      </c>
      <c r="G2225" s="29" t="s">
        <v>3740</v>
      </c>
      <c r="H2225" s="29" t="s">
        <v>3741</v>
      </c>
      <c r="I2225" s="29" t="s">
        <v>204</v>
      </c>
      <c r="J2225" s="27" t="s">
        <v>51</v>
      </c>
      <c r="K2225" s="29" t="s">
        <v>3967</v>
      </c>
      <c r="L2225" s="27" t="s">
        <v>3717</v>
      </c>
      <c r="M2225" s="27" t="s">
        <v>488</v>
      </c>
      <c r="N2225" s="29" t="s">
        <v>3746</v>
      </c>
      <c r="O2225" s="27" t="s">
        <v>141</v>
      </c>
      <c r="P2225" s="30" t="s">
        <v>3751</v>
      </c>
    </row>
    <row r="2226" s="25" customFormat="1" spans="1:16">
      <c r="A2226" s="27" t="s">
        <v>3967</v>
      </c>
      <c r="B2226" s="27" t="s">
        <v>3963</v>
      </c>
      <c r="C2226" s="27" t="s">
        <v>129</v>
      </c>
      <c r="D2226" s="27" t="s">
        <v>3569</v>
      </c>
      <c r="E2226" s="27" t="s">
        <v>47</v>
      </c>
      <c r="F2226" s="27" t="s">
        <v>47</v>
      </c>
      <c r="G2226" s="29" t="s">
        <v>3740</v>
      </c>
      <c r="H2226" s="29" t="s">
        <v>3741</v>
      </c>
      <c r="I2226" s="29" t="s">
        <v>204</v>
      </c>
      <c r="J2226" s="27" t="s">
        <v>55</v>
      </c>
      <c r="K2226" s="29" t="s">
        <v>3968</v>
      </c>
      <c r="L2226" s="27" t="s">
        <v>3720</v>
      </c>
      <c r="M2226" s="27" t="s">
        <v>488</v>
      </c>
      <c r="N2226" s="29" t="s">
        <v>3746</v>
      </c>
      <c r="O2226" s="27" t="s">
        <v>141</v>
      </c>
      <c r="P2226" s="30" t="s">
        <v>3753</v>
      </c>
    </row>
    <row r="2227" s="25" customFormat="1" spans="1:16">
      <c r="A2227" s="27" t="s">
        <v>3968</v>
      </c>
      <c r="B2227" s="27" t="s">
        <v>3963</v>
      </c>
      <c r="C2227" s="27" t="s">
        <v>129</v>
      </c>
      <c r="D2227" s="27" t="s">
        <v>3569</v>
      </c>
      <c r="E2227" s="27" t="s">
        <v>47</v>
      </c>
      <c r="F2227" s="27" t="s">
        <v>47</v>
      </c>
      <c r="G2227" s="29" t="s">
        <v>3740</v>
      </c>
      <c r="H2227" s="29" t="s">
        <v>3741</v>
      </c>
      <c r="I2227" s="29" t="s">
        <v>204</v>
      </c>
      <c r="J2227" s="27" t="s">
        <v>59</v>
      </c>
      <c r="K2227" s="29" t="s">
        <v>3969</v>
      </c>
      <c r="L2227" s="27" t="s">
        <v>3723</v>
      </c>
      <c r="M2227" s="27" t="s">
        <v>488</v>
      </c>
      <c r="N2227" s="29" t="s">
        <v>3746</v>
      </c>
      <c r="O2227" s="27" t="s">
        <v>141</v>
      </c>
      <c r="P2227" s="30" t="s">
        <v>3755</v>
      </c>
    </row>
    <row r="2228" s="25" customFormat="1" spans="1:16">
      <c r="A2228" s="27" t="s">
        <v>3969</v>
      </c>
      <c r="B2228" s="27" t="s">
        <v>3963</v>
      </c>
      <c r="C2228" s="27" t="s">
        <v>129</v>
      </c>
      <c r="D2228" s="27" t="s">
        <v>3569</v>
      </c>
      <c r="E2228" s="27" t="s">
        <v>47</v>
      </c>
      <c r="F2228" s="27" t="s">
        <v>47</v>
      </c>
      <c r="G2228" s="29" t="s">
        <v>3740</v>
      </c>
      <c r="H2228" s="29" t="s">
        <v>3741</v>
      </c>
      <c r="I2228" s="29" t="s">
        <v>204</v>
      </c>
      <c r="J2228" s="27" t="s">
        <v>129</v>
      </c>
      <c r="K2228" s="29" t="s">
        <v>3970</v>
      </c>
      <c r="L2228" s="27" t="s">
        <v>3726</v>
      </c>
      <c r="M2228" s="27" t="s">
        <v>488</v>
      </c>
      <c r="N2228" s="29" t="s">
        <v>3746</v>
      </c>
      <c r="O2228" s="27" t="s">
        <v>141</v>
      </c>
      <c r="P2228" s="30" t="s">
        <v>3757</v>
      </c>
    </row>
    <row r="2229" s="25" customFormat="1" spans="1:16">
      <c r="A2229" s="27" t="s">
        <v>3970</v>
      </c>
      <c r="B2229" s="27" t="s">
        <v>3963</v>
      </c>
      <c r="C2229" s="27" t="s">
        <v>129</v>
      </c>
      <c r="D2229" s="27" t="s">
        <v>3569</v>
      </c>
      <c r="E2229" s="27" t="s">
        <v>47</v>
      </c>
      <c r="F2229" s="27" t="s">
        <v>47</v>
      </c>
      <c r="G2229" s="29" t="s">
        <v>3740</v>
      </c>
      <c r="H2229" s="29" t="s">
        <v>3741</v>
      </c>
      <c r="I2229" s="29" t="s">
        <v>204</v>
      </c>
      <c r="J2229" s="27" t="s">
        <v>133</v>
      </c>
      <c r="K2229" s="29" t="s">
        <v>3971</v>
      </c>
      <c r="L2229" s="27" t="s">
        <v>3729</v>
      </c>
      <c r="M2229" s="27" t="s">
        <v>488</v>
      </c>
      <c r="N2229" s="29" t="s">
        <v>3746</v>
      </c>
      <c r="O2229" s="27" t="s">
        <v>141</v>
      </c>
      <c r="P2229" s="30" t="s">
        <v>3759</v>
      </c>
    </row>
    <row r="2230" s="25" customFormat="1" spans="1:16">
      <c r="A2230" s="27" t="s">
        <v>3971</v>
      </c>
      <c r="B2230" s="27" t="s">
        <v>3963</v>
      </c>
      <c r="C2230" s="27" t="s">
        <v>129</v>
      </c>
      <c r="D2230" s="27" t="s">
        <v>3569</v>
      </c>
      <c r="E2230" s="27" t="s">
        <v>47</v>
      </c>
      <c r="F2230" s="27" t="s">
        <v>47</v>
      </c>
      <c r="G2230" s="29" t="s">
        <v>3740</v>
      </c>
      <c r="H2230" s="29" t="s">
        <v>3741</v>
      </c>
      <c r="I2230" s="29" t="s">
        <v>204</v>
      </c>
      <c r="J2230" s="27" t="s">
        <v>137</v>
      </c>
      <c r="K2230" s="29" t="s">
        <v>3972</v>
      </c>
      <c r="L2230" s="27" t="s">
        <v>3732</v>
      </c>
      <c r="M2230" s="27" t="s">
        <v>488</v>
      </c>
      <c r="N2230" s="29" t="s">
        <v>3746</v>
      </c>
      <c r="O2230" s="27" t="s">
        <v>141</v>
      </c>
      <c r="P2230" s="30" t="s">
        <v>3761</v>
      </c>
    </row>
    <row r="2231" s="25" customFormat="1" spans="1:16">
      <c r="A2231" s="27" t="s">
        <v>3972</v>
      </c>
      <c r="B2231" s="27" t="s">
        <v>3963</v>
      </c>
      <c r="C2231" s="27" t="s">
        <v>129</v>
      </c>
      <c r="D2231" s="27" t="s">
        <v>3569</v>
      </c>
      <c r="E2231" s="27" t="s">
        <v>47</v>
      </c>
      <c r="F2231" s="27" t="s">
        <v>47</v>
      </c>
      <c r="G2231" s="29" t="s">
        <v>3740</v>
      </c>
      <c r="H2231" s="29" t="s">
        <v>3741</v>
      </c>
      <c r="I2231" s="29" t="s">
        <v>204</v>
      </c>
      <c r="J2231" s="27" t="s">
        <v>141</v>
      </c>
      <c r="K2231" s="29" t="s">
        <v>3973</v>
      </c>
      <c r="L2231" s="27" t="s">
        <v>3735</v>
      </c>
      <c r="M2231" s="27" t="s">
        <v>488</v>
      </c>
      <c r="N2231" s="29" t="s">
        <v>3746</v>
      </c>
      <c r="O2231" s="27" t="s">
        <v>141</v>
      </c>
      <c r="P2231" s="30" t="s">
        <v>3763</v>
      </c>
    </row>
    <row r="2232" s="25" customFormat="1" spans="1:16">
      <c r="A2232" s="27" t="s">
        <v>3973</v>
      </c>
      <c r="B2232" s="27" t="s">
        <v>3963</v>
      </c>
      <c r="C2232" s="27" t="s">
        <v>129</v>
      </c>
      <c r="D2232" s="27" t="s">
        <v>3569</v>
      </c>
      <c r="E2232" s="27" t="s">
        <v>47</v>
      </c>
      <c r="F2232" s="27" t="s">
        <v>47</v>
      </c>
      <c r="G2232" s="29" t="s">
        <v>3740</v>
      </c>
      <c r="H2232" s="29" t="s">
        <v>3741</v>
      </c>
      <c r="I2232" s="29" t="s">
        <v>204</v>
      </c>
      <c r="J2232" s="27" t="s">
        <v>145</v>
      </c>
      <c r="K2232" s="29" t="s">
        <v>39</v>
      </c>
      <c r="L2232" s="27" t="s">
        <v>3737</v>
      </c>
      <c r="M2232" s="27" t="s">
        <v>488</v>
      </c>
      <c r="N2232" s="29" t="s">
        <v>3746</v>
      </c>
      <c r="O2232" s="27" t="s">
        <v>141</v>
      </c>
      <c r="P2232" s="30" t="s">
        <v>3764</v>
      </c>
    </row>
    <row r="2233" s="25" customFormat="1" spans="1:16">
      <c r="A2233" s="27" t="s">
        <v>3974</v>
      </c>
      <c r="B2233" s="27" t="s">
        <v>3974</v>
      </c>
      <c r="C2233" s="27" t="s">
        <v>129</v>
      </c>
      <c r="D2233" s="27" t="s">
        <v>3569</v>
      </c>
      <c r="E2233" s="27" t="s">
        <v>47</v>
      </c>
      <c r="F2233" s="27" t="s">
        <v>47</v>
      </c>
      <c r="G2233" s="29" t="s">
        <v>3766</v>
      </c>
      <c r="H2233" s="29" t="s">
        <v>3767</v>
      </c>
      <c r="I2233" s="29" t="s">
        <v>204</v>
      </c>
      <c r="J2233" s="27" t="s">
        <v>39</v>
      </c>
      <c r="K2233" s="29" t="s">
        <v>3975</v>
      </c>
      <c r="L2233" s="27" t="s">
        <v>3706</v>
      </c>
      <c r="M2233" s="27" t="s">
        <v>502</v>
      </c>
      <c r="N2233" s="29" t="s">
        <v>3769</v>
      </c>
      <c r="O2233" s="27" t="s">
        <v>145</v>
      </c>
      <c r="P2233" s="30" t="s">
        <v>3770</v>
      </c>
    </row>
    <row r="2234" s="25" customFormat="1" spans="1:16">
      <c r="A2234" s="27" t="s">
        <v>3975</v>
      </c>
      <c r="B2234" s="27" t="s">
        <v>3974</v>
      </c>
      <c r="C2234" s="27" t="s">
        <v>129</v>
      </c>
      <c r="D2234" s="27" t="s">
        <v>3569</v>
      </c>
      <c r="E2234" s="27" t="s">
        <v>47</v>
      </c>
      <c r="F2234" s="27" t="s">
        <v>47</v>
      </c>
      <c r="G2234" s="29" t="s">
        <v>3766</v>
      </c>
      <c r="H2234" s="29" t="s">
        <v>3767</v>
      </c>
      <c r="I2234" s="29" t="s">
        <v>204</v>
      </c>
      <c r="J2234" s="27" t="s">
        <v>35</v>
      </c>
      <c r="K2234" s="29" t="s">
        <v>3976</v>
      </c>
      <c r="L2234" s="27" t="s">
        <v>3710</v>
      </c>
      <c r="M2234" s="27" t="s">
        <v>502</v>
      </c>
      <c r="N2234" s="29" t="s">
        <v>3772</v>
      </c>
      <c r="O2234" s="27" t="s">
        <v>145</v>
      </c>
      <c r="P2234" s="30" t="s">
        <v>3773</v>
      </c>
    </row>
    <row r="2235" s="25" customFormat="1" spans="1:16">
      <c r="A2235" s="27" t="s">
        <v>3976</v>
      </c>
      <c r="B2235" s="27" t="s">
        <v>3974</v>
      </c>
      <c r="C2235" s="27" t="s">
        <v>129</v>
      </c>
      <c r="D2235" s="27" t="s">
        <v>3569</v>
      </c>
      <c r="E2235" s="27" t="s">
        <v>47</v>
      </c>
      <c r="F2235" s="27" t="s">
        <v>47</v>
      </c>
      <c r="G2235" s="29" t="s">
        <v>3766</v>
      </c>
      <c r="H2235" s="29" t="s">
        <v>3767</v>
      </c>
      <c r="I2235" s="29" t="s">
        <v>204</v>
      </c>
      <c r="J2235" s="27" t="s">
        <v>47</v>
      </c>
      <c r="K2235" s="29" t="s">
        <v>3977</v>
      </c>
      <c r="L2235" s="27" t="s">
        <v>3714</v>
      </c>
      <c r="M2235" s="27" t="s">
        <v>502</v>
      </c>
      <c r="N2235" s="29" t="s">
        <v>3772</v>
      </c>
      <c r="O2235" s="27" t="s">
        <v>145</v>
      </c>
      <c r="P2235" s="30" t="s">
        <v>3775</v>
      </c>
    </row>
    <row r="2236" s="25" customFormat="1" spans="1:16">
      <c r="A2236" s="27" t="s">
        <v>3977</v>
      </c>
      <c r="B2236" s="27" t="s">
        <v>3974</v>
      </c>
      <c r="C2236" s="27" t="s">
        <v>129</v>
      </c>
      <c r="D2236" s="27" t="s">
        <v>3569</v>
      </c>
      <c r="E2236" s="27" t="s">
        <v>47</v>
      </c>
      <c r="F2236" s="27" t="s">
        <v>47</v>
      </c>
      <c r="G2236" s="29" t="s">
        <v>3766</v>
      </c>
      <c r="H2236" s="29" t="s">
        <v>3767</v>
      </c>
      <c r="I2236" s="29" t="s">
        <v>204</v>
      </c>
      <c r="J2236" s="27" t="s">
        <v>51</v>
      </c>
      <c r="K2236" s="29" t="s">
        <v>3978</v>
      </c>
      <c r="L2236" s="27" t="s">
        <v>3717</v>
      </c>
      <c r="M2236" s="27" t="s">
        <v>502</v>
      </c>
      <c r="N2236" s="29" t="s">
        <v>3772</v>
      </c>
      <c r="O2236" s="27" t="s">
        <v>145</v>
      </c>
      <c r="P2236" s="30" t="s">
        <v>3777</v>
      </c>
    </row>
    <row r="2237" s="25" customFormat="1" spans="1:16">
      <c r="A2237" s="27" t="s">
        <v>3978</v>
      </c>
      <c r="B2237" s="27" t="s">
        <v>3974</v>
      </c>
      <c r="C2237" s="27" t="s">
        <v>129</v>
      </c>
      <c r="D2237" s="27" t="s">
        <v>3569</v>
      </c>
      <c r="E2237" s="27" t="s">
        <v>47</v>
      </c>
      <c r="F2237" s="27" t="s">
        <v>47</v>
      </c>
      <c r="G2237" s="29" t="s">
        <v>3766</v>
      </c>
      <c r="H2237" s="29" t="s">
        <v>3767</v>
      </c>
      <c r="I2237" s="29" t="s">
        <v>204</v>
      </c>
      <c r="J2237" s="27" t="s">
        <v>55</v>
      </c>
      <c r="K2237" s="29" t="s">
        <v>3979</v>
      </c>
      <c r="L2237" s="27" t="s">
        <v>3720</v>
      </c>
      <c r="M2237" s="27" t="s">
        <v>502</v>
      </c>
      <c r="N2237" s="29" t="s">
        <v>3772</v>
      </c>
      <c r="O2237" s="27" t="s">
        <v>145</v>
      </c>
      <c r="P2237" s="30" t="s">
        <v>3779</v>
      </c>
    </row>
    <row r="2238" s="25" customFormat="1" spans="1:16">
      <c r="A2238" s="27" t="s">
        <v>3979</v>
      </c>
      <c r="B2238" s="27" t="s">
        <v>3974</v>
      </c>
      <c r="C2238" s="27" t="s">
        <v>129</v>
      </c>
      <c r="D2238" s="27" t="s">
        <v>3569</v>
      </c>
      <c r="E2238" s="27" t="s">
        <v>47</v>
      </c>
      <c r="F2238" s="27" t="s">
        <v>47</v>
      </c>
      <c r="G2238" s="29" t="s">
        <v>3766</v>
      </c>
      <c r="H2238" s="29" t="s">
        <v>3767</v>
      </c>
      <c r="I2238" s="29" t="s">
        <v>204</v>
      </c>
      <c r="J2238" s="27" t="s">
        <v>59</v>
      </c>
      <c r="K2238" s="29" t="s">
        <v>3980</v>
      </c>
      <c r="L2238" s="27" t="s">
        <v>3723</v>
      </c>
      <c r="M2238" s="27" t="s">
        <v>502</v>
      </c>
      <c r="N2238" s="29" t="s">
        <v>3772</v>
      </c>
      <c r="O2238" s="27" t="s">
        <v>145</v>
      </c>
      <c r="P2238" s="30" t="s">
        <v>3781</v>
      </c>
    </row>
    <row r="2239" s="25" customFormat="1" spans="1:16">
      <c r="A2239" s="27" t="s">
        <v>3980</v>
      </c>
      <c r="B2239" s="27" t="s">
        <v>3974</v>
      </c>
      <c r="C2239" s="27" t="s">
        <v>129</v>
      </c>
      <c r="D2239" s="27" t="s">
        <v>3569</v>
      </c>
      <c r="E2239" s="27" t="s">
        <v>47</v>
      </c>
      <c r="F2239" s="27" t="s">
        <v>47</v>
      </c>
      <c r="G2239" s="29" t="s">
        <v>3766</v>
      </c>
      <c r="H2239" s="29" t="s">
        <v>3767</v>
      </c>
      <c r="I2239" s="29" t="s">
        <v>204</v>
      </c>
      <c r="J2239" s="27" t="s">
        <v>129</v>
      </c>
      <c r="K2239" s="29" t="s">
        <v>3981</v>
      </c>
      <c r="L2239" s="27" t="s">
        <v>3726</v>
      </c>
      <c r="M2239" s="27" t="s">
        <v>502</v>
      </c>
      <c r="N2239" s="29" t="s">
        <v>3772</v>
      </c>
      <c r="O2239" s="27" t="s">
        <v>145</v>
      </c>
      <c r="P2239" s="30" t="s">
        <v>3783</v>
      </c>
    </row>
    <row r="2240" s="25" customFormat="1" spans="1:16">
      <c r="A2240" s="27" t="s">
        <v>3981</v>
      </c>
      <c r="B2240" s="27" t="s">
        <v>3974</v>
      </c>
      <c r="C2240" s="27" t="s">
        <v>129</v>
      </c>
      <c r="D2240" s="27" t="s">
        <v>3569</v>
      </c>
      <c r="E2240" s="27" t="s">
        <v>47</v>
      </c>
      <c r="F2240" s="27" t="s">
        <v>47</v>
      </c>
      <c r="G2240" s="29" t="s">
        <v>3766</v>
      </c>
      <c r="H2240" s="29" t="s">
        <v>3767</v>
      </c>
      <c r="I2240" s="29" t="s">
        <v>204</v>
      </c>
      <c r="J2240" s="27" t="s">
        <v>133</v>
      </c>
      <c r="K2240" s="29" t="s">
        <v>3982</v>
      </c>
      <c r="L2240" s="27" t="s">
        <v>3729</v>
      </c>
      <c r="M2240" s="27" t="s">
        <v>502</v>
      </c>
      <c r="N2240" s="29" t="s">
        <v>3772</v>
      </c>
      <c r="O2240" s="27" t="s">
        <v>145</v>
      </c>
      <c r="P2240" s="30" t="s">
        <v>3785</v>
      </c>
    </row>
    <row r="2241" s="25" customFormat="1" spans="1:16">
      <c r="A2241" s="27" t="s">
        <v>3982</v>
      </c>
      <c r="B2241" s="27" t="s">
        <v>3974</v>
      </c>
      <c r="C2241" s="27" t="s">
        <v>129</v>
      </c>
      <c r="D2241" s="27" t="s">
        <v>3569</v>
      </c>
      <c r="E2241" s="27" t="s">
        <v>47</v>
      </c>
      <c r="F2241" s="27" t="s">
        <v>47</v>
      </c>
      <c r="G2241" s="29" t="s">
        <v>3766</v>
      </c>
      <c r="H2241" s="29" t="s">
        <v>3767</v>
      </c>
      <c r="I2241" s="29" t="s">
        <v>204</v>
      </c>
      <c r="J2241" s="27" t="s">
        <v>137</v>
      </c>
      <c r="K2241" s="29" t="s">
        <v>3983</v>
      </c>
      <c r="L2241" s="27" t="s">
        <v>3732</v>
      </c>
      <c r="M2241" s="27" t="s">
        <v>502</v>
      </c>
      <c r="N2241" s="29" t="s">
        <v>3772</v>
      </c>
      <c r="O2241" s="27" t="s">
        <v>145</v>
      </c>
      <c r="P2241" s="30" t="s">
        <v>3787</v>
      </c>
    </row>
    <row r="2242" s="25" customFormat="1" spans="1:16">
      <c r="A2242" s="27" t="s">
        <v>3983</v>
      </c>
      <c r="B2242" s="27" t="s">
        <v>3974</v>
      </c>
      <c r="C2242" s="27" t="s">
        <v>129</v>
      </c>
      <c r="D2242" s="27" t="s">
        <v>3569</v>
      </c>
      <c r="E2242" s="27" t="s">
        <v>47</v>
      </c>
      <c r="F2242" s="27" t="s">
        <v>47</v>
      </c>
      <c r="G2242" s="29" t="s">
        <v>3766</v>
      </c>
      <c r="H2242" s="29" t="s">
        <v>3767</v>
      </c>
      <c r="I2242" s="29" t="s">
        <v>204</v>
      </c>
      <c r="J2242" s="27" t="s">
        <v>141</v>
      </c>
      <c r="K2242" s="29" t="s">
        <v>3984</v>
      </c>
      <c r="L2242" s="27" t="s">
        <v>3735</v>
      </c>
      <c r="M2242" s="27" t="s">
        <v>502</v>
      </c>
      <c r="N2242" s="29" t="s">
        <v>3772</v>
      </c>
      <c r="O2242" s="27" t="s">
        <v>145</v>
      </c>
      <c r="P2242" s="30" t="s">
        <v>3789</v>
      </c>
    </row>
    <row r="2243" s="25" customFormat="1" spans="1:16">
      <c r="A2243" s="27" t="s">
        <v>3984</v>
      </c>
      <c r="B2243" s="27" t="s">
        <v>3974</v>
      </c>
      <c r="C2243" s="27" t="s">
        <v>129</v>
      </c>
      <c r="D2243" s="27" t="s">
        <v>3569</v>
      </c>
      <c r="E2243" s="27" t="s">
        <v>47</v>
      </c>
      <c r="F2243" s="27" t="s">
        <v>47</v>
      </c>
      <c r="G2243" s="29" t="s">
        <v>3766</v>
      </c>
      <c r="H2243" s="29" t="s">
        <v>3767</v>
      </c>
      <c r="I2243" s="29" t="s">
        <v>204</v>
      </c>
      <c r="J2243" s="27" t="s">
        <v>145</v>
      </c>
      <c r="K2243" s="29" t="s">
        <v>39</v>
      </c>
      <c r="L2243" s="27" t="s">
        <v>3737</v>
      </c>
      <c r="M2243" s="27" t="s">
        <v>502</v>
      </c>
      <c r="N2243" s="29" t="s">
        <v>3772</v>
      </c>
      <c r="O2243" s="27" t="s">
        <v>145</v>
      </c>
      <c r="P2243" s="30" t="s">
        <v>3790</v>
      </c>
    </row>
    <row r="2244" s="25" customFormat="1" spans="1:16">
      <c r="A2244" s="27" t="s">
        <v>3985</v>
      </c>
      <c r="B2244" s="27" t="s">
        <v>3985</v>
      </c>
      <c r="C2244" s="27" t="s">
        <v>129</v>
      </c>
      <c r="D2244" s="27" t="s">
        <v>3573</v>
      </c>
      <c r="E2244" s="27" t="s">
        <v>35</v>
      </c>
      <c r="F2244" s="27" t="s">
        <v>51</v>
      </c>
      <c r="G2244" s="27" t="s">
        <v>515</v>
      </c>
      <c r="H2244" s="27" t="s">
        <v>38</v>
      </c>
      <c r="I2244" s="29" t="s">
        <v>39</v>
      </c>
      <c r="J2244" s="27" t="s">
        <v>39</v>
      </c>
      <c r="K2244" s="29" t="s">
        <v>3986</v>
      </c>
      <c r="L2244" s="27" t="s">
        <v>3706</v>
      </c>
      <c r="M2244" s="27" t="s">
        <v>517</v>
      </c>
      <c r="N2244" s="29" t="s">
        <v>3567</v>
      </c>
      <c r="O2244" s="27" t="s">
        <v>35</v>
      </c>
      <c r="P2244" s="30" t="s">
        <v>3568</v>
      </c>
    </row>
    <row r="2245" s="25" customFormat="1" spans="1:16">
      <c r="A2245" s="27" t="s">
        <v>3986</v>
      </c>
      <c r="B2245" s="27" t="s">
        <v>3985</v>
      </c>
      <c r="C2245" s="27" t="s">
        <v>129</v>
      </c>
      <c r="D2245" s="27" t="s">
        <v>3573</v>
      </c>
      <c r="E2245" s="27" t="s">
        <v>35</v>
      </c>
      <c r="F2245" s="27" t="s">
        <v>51</v>
      </c>
      <c r="G2245" s="27" t="s">
        <v>515</v>
      </c>
      <c r="H2245" s="27" t="s">
        <v>38</v>
      </c>
      <c r="I2245" s="29" t="s">
        <v>39</v>
      </c>
      <c r="J2245" s="27" t="s">
        <v>35</v>
      </c>
      <c r="K2245" s="29" t="s">
        <v>3987</v>
      </c>
      <c r="L2245" s="27" t="s">
        <v>3710</v>
      </c>
      <c r="M2245" s="27" t="s">
        <v>517</v>
      </c>
      <c r="N2245" s="29" t="s">
        <v>3796</v>
      </c>
      <c r="O2245" s="27" t="s">
        <v>35</v>
      </c>
      <c r="P2245" s="30" t="s">
        <v>3797</v>
      </c>
    </row>
    <row r="2246" s="25" customFormat="1" spans="1:16">
      <c r="A2246" s="27" t="s">
        <v>3987</v>
      </c>
      <c r="B2246" s="27" t="s">
        <v>3985</v>
      </c>
      <c r="C2246" s="27" t="s">
        <v>129</v>
      </c>
      <c r="D2246" s="27" t="s">
        <v>3573</v>
      </c>
      <c r="E2246" s="27" t="s">
        <v>35</v>
      </c>
      <c r="F2246" s="27" t="s">
        <v>51</v>
      </c>
      <c r="G2246" s="27" t="s">
        <v>515</v>
      </c>
      <c r="H2246" s="27" t="s">
        <v>38</v>
      </c>
      <c r="I2246" s="29" t="s">
        <v>39</v>
      </c>
      <c r="J2246" s="27" t="s">
        <v>47</v>
      </c>
      <c r="K2246" s="29" t="s">
        <v>3988</v>
      </c>
      <c r="L2246" s="27" t="s">
        <v>3714</v>
      </c>
      <c r="M2246" s="27" t="s">
        <v>517</v>
      </c>
      <c r="N2246" s="29" t="s">
        <v>3796</v>
      </c>
      <c r="O2246" s="27" t="s">
        <v>35</v>
      </c>
      <c r="P2246" s="30" t="s">
        <v>3800</v>
      </c>
    </row>
    <row r="2247" s="25" customFormat="1" spans="1:16">
      <c r="A2247" s="27" t="s">
        <v>3988</v>
      </c>
      <c r="B2247" s="27" t="s">
        <v>3985</v>
      </c>
      <c r="C2247" s="27" t="s">
        <v>129</v>
      </c>
      <c r="D2247" s="27" t="s">
        <v>3573</v>
      </c>
      <c r="E2247" s="27" t="s">
        <v>35</v>
      </c>
      <c r="F2247" s="27" t="s">
        <v>51</v>
      </c>
      <c r="G2247" s="27" t="s">
        <v>515</v>
      </c>
      <c r="H2247" s="27" t="s">
        <v>38</v>
      </c>
      <c r="I2247" s="29" t="s">
        <v>39</v>
      </c>
      <c r="J2247" s="27" t="s">
        <v>51</v>
      </c>
      <c r="K2247" s="29" t="s">
        <v>3989</v>
      </c>
      <c r="L2247" s="27" t="s">
        <v>3717</v>
      </c>
      <c r="M2247" s="27" t="s">
        <v>517</v>
      </c>
      <c r="N2247" s="29" t="s">
        <v>3796</v>
      </c>
      <c r="O2247" s="27" t="s">
        <v>35</v>
      </c>
      <c r="P2247" s="30" t="s">
        <v>3575</v>
      </c>
    </row>
    <row r="2248" s="25" customFormat="1" spans="1:16">
      <c r="A2248" s="27" t="s">
        <v>3989</v>
      </c>
      <c r="B2248" s="27" t="s">
        <v>3985</v>
      </c>
      <c r="C2248" s="27" t="s">
        <v>129</v>
      </c>
      <c r="D2248" s="27" t="s">
        <v>3573</v>
      </c>
      <c r="E2248" s="27" t="s">
        <v>35</v>
      </c>
      <c r="F2248" s="27" t="s">
        <v>51</v>
      </c>
      <c r="G2248" s="27" t="s">
        <v>515</v>
      </c>
      <c r="H2248" s="27" t="s">
        <v>38</v>
      </c>
      <c r="I2248" s="29" t="s">
        <v>39</v>
      </c>
      <c r="J2248" s="27" t="s">
        <v>55</v>
      </c>
      <c r="K2248" s="29" t="s">
        <v>3990</v>
      </c>
      <c r="L2248" s="27" t="s">
        <v>3720</v>
      </c>
      <c r="M2248" s="27" t="s">
        <v>517</v>
      </c>
      <c r="N2248" s="29" t="s">
        <v>3796</v>
      </c>
      <c r="O2248" s="27" t="s">
        <v>35</v>
      </c>
      <c r="P2248" s="30" t="s">
        <v>3805</v>
      </c>
    </row>
    <row r="2249" s="25" customFormat="1" spans="1:16">
      <c r="A2249" s="27" t="s">
        <v>3990</v>
      </c>
      <c r="B2249" s="27" t="s">
        <v>3985</v>
      </c>
      <c r="C2249" s="27" t="s">
        <v>129</v>
      </c>
      <c r="D2249" s="27" t="s">
        <v>3573</v>
      </c>
      <c r="E2249" s="27" t="s">
        <v>35</v>
      </c>
      <c r="F2249" s="27" t="s">
        <v>51</v>
      </c>
      <c r="G2249" s="27" t="s">
        <v>515</v>
      </c>
      <c r="H2249" s="27" t="s">
        <v>38</v>
      </c>
      <c r="I2249" s="29" t="s">
        <v>39</v>
      </c>
      <c r="J2249" s="27" t="s">
        <v>59</v>
      </c>
      <c r="K2249" s="29" t="s">
        <v>3991</v>
      </c>
      <c r="L2249" s="27" t="s">
        <v>3723</v>
      </c>
      <c r="M2249" s="27" t="s">
        <v>517</v>
      </c>
      <c r="N2249" s="29" t="s">
        <v>3796</v>
      </c>
      <c r="O2249" s="27" t="s">
        <v>35</v>
      </c>
      <c r="P2249" s="30" t="s">
        <v>3808</v>
      </c>
    </row>
    <row r="2250" s="25" customFormat="1" spans="1:16">
      <c r="A2250" s="27" t="s">
        <v>3991</v>
      </c>
      <c r="B2250" s="27" t="s">
        <v>3985</v>
      </c>
      <c r="C2250" s="27" t="s">
        <v>129</v>
      </c>
      <c r="D2250" s="27" t="s">
        <v>3573</v>
      </c>
      <c r="E2250" s="27" t="s">
        <v>35</v>
      </c>
      <c r="F2250" s="27" t="s">
        <v>51</v>
      </c>
      <c r="G2250" s="27" t="s">
        <v>515</v>
      </c>
      <c r="H2250" s="27" t="s">
        <v>38</v>
      </c>
      <c r="I2250" s="29" t="s">
        <v>39</v>
      </c>
      <c r="J2250" s="27" t="s">
        <v>129</v>
      </c>
      <c r="K2250" s="29" t="s">
        <v>3992</v>
      </c>
      <c r="L2250" s="27" t="s">
        <v>3726</v>
      </c>
      <c r="M2250" s="27" t="s">
        <v>517</v>
      </c>
      <c r="N2250" s="29" t="s">
        <v>3796</v>
      </c>
      <c r="O2250" s="27" t="s">
        <v>35</v>
      </c>
      <c r="P2250" s="30" t="s">
        <v>3581</v>
      </c>
    </row>
    <row r="2251" s="25" customFormat="1" spans="1:16">
      <c r="A2251" s="27" t="s">
        <v>3992</v>
      </c>
      <c r="B2251" s="27" t="s">
        <v>3985</v>
      </c>
      <c r="C2251" s="27" t="s">
        <v>129</v>
      </c>
      <c r="D2251" s="27" t="s">
        <v>3573</v>
      </c>
      <c r="E2251" s="27" t="s">
        <v>35</v>
      </c>
      <c r="F2251" s="27" t="s">
        <v>51</v>
      </c>
      <c r="G2251" s="27" t="s">
        <v>515</v>
      </c>
      <c r="H2251" s="27" t="s">
        <v>38</v>
      </c>
      <c r="I2251" s="29" t="s">
        <v>39</v>
      </c>
      <c r="J2251" s="27" t="s">
        <v>133</v>
      </c>
      <c r="K2251" s="29" t="s">
        <v>3993</v>
      </c>
      <c r="L2251" s="27" t="s">
        <v>3729</v>
      </c>
      <c r="M2251" s="27" t="s">
        <v>517</v>
      </c>
      <c r="N2251" s="29" t="s">
        <v>3796</v>
      </c>
      <c r="O2251" s="27" t="s">
        <v>35</v>
      </c>
      <c r="P2251" s="30" t="s">
        <v>3813</v>
      </c>
    </row>
    <row r="2252" s="25" customFormat="1" spans="1:16">
      <c r="A2252" s="27" t="s">
        <v>3993</v>
      </c>
      <c r="B2252" s="27" t="s">
        <v>3985</v>
      </c>
      <c r="C2252" s="27" t="s">
        <v>129</v>
      </c>
      <c r="D2252" s="27" t="s">
        <v>3573</v>
      </c>
      <c r="E2252" s="27" t="s">
        <v>35</v>
      </c>
      <c r="F2252" s="27" t="s">
        <v>51</v>
      </c>
      <c r="G2252" s="27" t="s">
        <v>515</v>
      </c>
      <c r="H2252" s="27" t="s">
        <v>38</v>
      </c>
      <c r="I2252" s="29" t="s">
        <v>39</v>
      </c>
      <c r="J2252" s="27" t="s">
        <v>137</v>
      </c>
      <c r="K2252" s="29" t="s">
        <v>3994</v>
      </c>
      <c r="L2252" s="27" t="s">
        <v>3732</v>
      </c>
      <c r="M2252" s="27" t="s">
        <v>517</v>
      </c>
      <c r="N2252" s="29" t="s">
        <v>3796</v>
      </c>
      <c r="O2252" s="27" t="s">
        <v>35</v>
      </c>
      <c r="P2252" s="30" t="s">
        <v>3816</v>
      </c>
    </row>
    <row r="2253" s="25" customFormat="1" spans="1:16">
      <c r="A2253" s="27" t="s">
        <v>3994</v>
      </c>
      <c r="B2253" s="27" t="s">
        <v>3985</v>
      </c>
      <c r="C2253" s="27" t="s">
        <v>129</v>
      </c>
      <c r="D2253" s="27" t="s">
        <v>3573</v>
      </c>
      <c r="E2253" s="27" t="s">
        <v>35</v>
      </c>
      <c r="F2253" s="27" t="s">
        <v>51</v>
      </c>
      <c r="G2253" s="27" t="s">
        <v>515</v>
      </c>
      <c r="H2253" s="27" t="s">
        <v>38</v>
      </c>
      <c r="I2253" s="29" t="s">
        <v>39</v>
      </c>
      <c r="J2253" s="27" t="s">
        <v>141</v>
      </c>
      <c r="K2253" s="29" t="s">
        <v>3995</v>
      </c>
      <c r="L2253" s="27" t="s">
        <v>3735</v>
      </c>
      <c r="M2253" s="27" t="s">
        <v>517</v>
      </c>
      <c r="N2253" s="29" t="s">
        <v>3796</v>
      </c>
      <c r="O2253" s="27" t="s">
        <v>35</v>
      </c>
      <c r="P2253" s="30" t="s">
        <v>3819</v>
      </c>
    </row>
    <row r="2254" s="25" customFormat="1" spans="1:16">
      <c r="A2254" s="27" t="s">
        <v>3995</v>
      </c>
      <c r="B2254" s="27" t="s">
        <v>3985</v>
      </c>
      <c r="C2254" s="27" t="s">
        <v>129</v>
      </c>
      <c r="D2254" s="27" t="s">
        <v>3573</v>
      </c>
      <c r="E2254" s="27" t="s">
        <v>35</v>
      </c>
      <c r="F2254" s="27" t="s">
        <v>51</v>
      </c>
      <c r="G2254" s="27" t="s">
        <v>515</v>
      </c>
      <c r="H2254" s="27" t="s">
        <v>38</v>
      </c>
      <c r="I2254" s="29" t="s">
        <v>39</v>
      </c>
      <c r="J2254" s="27" t="s">
        <v>145</v>
      </c>
      <c r="K2254" s="29" t="s">
        <v>3996</v>
      </c>
      <c r="L2254" s="27" t="s">
        <v>3737</v>
      </c>
      <c r="M2254" s="27" t="s">
        <v>517</v>
      </c>
      <c r="N2254" s="29" t="s">
        <v>3796</v>
      </c>
      <c r="O2254" s="27" t="s">
        <v>35</v>
      </c>
      <c r="P2254" s="30" t="s">
        <v>3820</v>
      </c>
    </row>
    <row r="2255" s="25" customFormat="1" spans="1:16">
      <c r="A2255" s="27" t="s">
        <v>3996</v>
      </c>
      <c r="B2255" s="27" t="s">
        <v>3985</v>
      </c>
      <c r="C2255" s="27" t="s">
        <v>129</v>
      </c>
      <c r="D2255" s="27" t="s">
        <v>3573</v>
      </c>
      <c r="E2255" s="27" t="s">
        <v>35</v>
      </c>
      <c r="F2255" s="27" t="s">
        <v>51</v>
      </c>
      <c r="G2255" s="27" t="s">
        <v>515</v>
      </c>
      <c r="H2255" s="27" t="s">
        <v>38</v>
      </c>
      <c r="I2255" s="29" t="s">
        <v>39</v>
      </c>
      <c r="J2255" s="27" t="s">
        <v>408</v>
      </c>
      <c r="K2255" s="29" t="s">
        <v>3997</v>
      </c>
      <c r="L2255" s="27" t="s">
        <v>3998</v>
      </c>
      <c r="M2255" s="27" t="s">
        <v>517</v>
      </c>
      <c r="N2255" s="29" t="s">
        <v>3796</v>
      </c>
      <c r="O2255" s="27" t="s">
        <v>35</v>
      </c>
      <c r="P2255" s="30" t="s">
        <v>3999</v>
      </c>
    </row>
    <row r="2256" s="25" customFormat="1" spans="1:16">
      <c r="A2256" s="27" t="s">
        <v>3997</v>
      </c>
      <c r="B2256" s="27" t="s">
        <v>3985</v>
      </c>
      <c r="C2256" s="27" t="s">
        <v>129</v>
      </c>
      <c r="D2256" s="27" t="s">
        <v>3573</v>
      </c>
      <c r="E2256" s="27" t="s">
        <v>35</v>
      </c>
      <c r="F2256" s="27" t="s">
        <v>51</v>
      </c>
      <c r="G2256" s="27" t="s">
        <v>515</v>
      </c>
      <c r="H2256" s="27" t="s">
        <v>38</v>
      </c>
      <c r="I2256" s="29" t="s">
        <v>39</v>
      </c>
      <c r="J2256" s="27" t="s">
        <v>412</v>
      </c>
      <c r="K2256" s="29" t="s">
        <v>4000</v>
      </c>
      <c r="L2256" s="27" t="s">
        <v>4001</v>
      </c>
      <c r="M2256" s="27" t="s">
        <v>517</v>
      </c>
      <c r="N2256" s="29" t="s">
        <v>3796</v>
      </c>
      <c r="O2256" s="27" t="s">
        <v>35</v>
      </c>
      <c r="P2256" s="30" t="s">
        <v>4002</v>
      </c>
    </row>
    <row r="2257" s="25" customFormat="1" spans="1:16">
      <c r="A2257" s="27" t="s">
        <v>4000</v>
      </c>
      <c r="B2257" s="27" t="s">
        <v>3985</v>
      </c>
      <c r="C2257" s="27" t="s">
        <v>129</v>
      </c>
      <c r="D2257" s="27" t="s">
        <v>3573</v>
      </c>
      <c r="E2257" s="27" t="s">
        <v>35</v>
      </c>
      <c r="F2257" s="27" t="s">
        <v>51</v>
      </c>
      <c r="G2257" s="27" t="s">
        <v>515</v>
      </c>
      <c r="H2257" s="27" t="s">
        <v>38</v>
      </c>
      <c r="I2257" s="29" t="s">
        <v>39</v>
      </c>
      <c r="J2257" s="27" t="s">
        <v>416</v>
      </c>
      <c r="K2257" s="29" t="s">
        <v>4003</v>
      </c>
      <c r="L2257" s="27" t="s">
        <v>4004</v>
      </c>
      <c r="M2257" s="27" t="s">
        <v>517</v>
      </c>
      <c r="N2257" s="29" t="s">
        <v>3796</v>
      </c>
      <c r="O2257" s="27" t="s">
        <v>35</v>
      </c>
      <c r="P2257" s="30" t="s">
        <v>4005</v>
      </c>
    </row>
    <row r="2258" s="25" customFormat="1" spans="1:16">
      <c r="A2258" s="27" t="s">
        <v>4003</v>
      </c>
      <c r="B2258" s="27" t="s">
        <v>3985</v>
      </c>
      <c r="C2258" s="27" t="s">
        <v>129</v>
      </c>
      <c r="D2258" s="27" t="s">
        <v>3573</v>
      </c>
      <c r="E2258" s="27" t="s">
        <v>35</v>
      </c>
      <c r="F2258" s="27" t="s">
        <v>51</v>
      </c>
      <c r="G2258" s="27" t="s">
        <v>515</v>
      </c>
      <c r="H2258" s="27" t="s">
        <v>38</v>
      </c>
      <c r="I2258" s="29" t="s">
        <v>39</v>
      </c>
      <c r="J2258" s="27" t="s">
        <v>420</v>
      </c>
      <c r="K2258" s="29" t="s">
        <v>4006</v>
      </c>
      <c r="L2258" s="27" t="s">
        <v>4007</v>
      </c>
      <c r="M2258" s="27" t="s">
        <v>517</v>
      </c>
      <c r="N2258" s="29" t="s">
        <v>3796</v>
      </c>
      <c r="O2258" s="27" t="s">
        <v>35</v>
      </c>
      <c r="P2258" s="30" t="s">
        <v>4008</v>
      </c>
    </row>
    <row r="2259" s="25" customFormat="1" spans="1:16">
      <c r="A2259" s="27" t="s">
        <v>4006</v>
      </c>
      <c r="B2259" s="27" t="s">
        <v>3985</v>
      </c>
      <c r="C2259" s="27" t="s">
        <v>129</v>
      </c>
      <c r="D2259" s="27" t="s">
        <v>3573</v>
      </c>
      <c r="E2259" s="27" t="s">
        <v>35</v>
      </c>
      <c r="F2259" s="27" t="s">
        <v>51</v>
      </c>
      <c r="G2259" s="27" t="s">
        <v>515</v>
      </c>
      <c r="H2259" s="27" t="s">
        <v>38</v>
      </c>
      <c r="I2259" s="29" t="s">
        <v>39</v>
      </c>
      <c r="J2259" s="27" t="s">
        <v>424</v>
      </c>
      <c r="K2259" s="29" t="s">
        <v>39</v>
      </c>
      <c r="L2259" s="27" t="s">
        <v>4009</v>
      </c>
      <c r="M2259" s="27" t="s">
        <v>517</v>
      </c>
      <c r="N2259" s="29" t="s">
        <v>3796</v>
      </c>
      <c r="O2259" s="27" t="s">
        <v>35</v>
      </c>
      <c r="P2259" s="30" t="s">
        <v>4010</v>
      </c>
    </row>
    <row r="2260" s="25" customFormat="1" spans="1:16">
      <c r="A2260" s="27" t="s">
        <v>4011</v>
      </c>
      <c r="B2260" s="27" t="s">
        <v>4011</v>
      </c>
      <c r="C2260" s="27" t="s">
        <v>129</v>
      </c>
      <c r="D2260" s="27" t="s">
        <v>3573</v>
      </c>
      <c r="E2260" s="27" t="s">
        <v>35</v>
      </c>
      <c r="F2260" s="27" t="s">
        <v>51</v>
      </c>
      <c r="G2260" s="27" t="s">
        <v>543</v>
      </c>
      <c r="H2260" s="27" t="s">
        <v>63</v>
      </c>
      <c r="I2260" s="29" t="s">
        <v>39</v>
      </c>
      <c r="J2260" s="27" t="s">
        <v>39</v>
      </c>
      <c r="K2260" s="29" t="s">
        <v>4012</v>
      </c>
      <c r="L2260" s="27" t="s">
        <v>3706</v>
      </c>
      <c r="M2260" s="27" t="s">
        <v>545</v>
      </c>
      <c r="N2260" s="29" t="s">
        <v>3585</v>
      </c>
      <c r="O2260" s="27" t="s">
        <v>47</v>
      </c>
      <c r="P2260" s="30" t="s">
        <v>3586</v>
      </c>
    </row>
    <row r="2261" s="25" customFormat="1" spans="1:16">
      <c r="A2261" s="27" t="s">
        <v>4012</v>
      </c>
      <c r="B2261" s="27" t="s">
        <v>4011</v>
      </c>
      <c r="C2261" s="27" t="s">
        <v>129</v>
      </c>
      <c r="D2261" s="27" t="s">
        <v>3573</v>
      </c>
      <c r="E2261" s="27" t="s">
        <v>35</v>
      </c>
      <c r="F2261" s="27" t="s">
        <v>51</v>
      </c>
      <c r="G2261" s="27" t="s">
        <v>543</v>
      </c>
      <c r="H2261" s="27" t="s">
        <v>63</v>
      </c>
      <c r="I2261" s="29" t="s">
        <v>39</v>
      </c>
      <c r="J2261" s="27" t="s">
        <v>35</v>
      </c>
      <c r="K2261" s="29" t="s">
        <v>4013</v>
      </c>
      <c r="L2261" s="27" t="s">
        <v>3710</v>
      </c>
      <c r="M2261" s="27" t="s">
        <v>545</v>
      </c>
      <c r="N2261" s="29" t="s">
        <v>3824</v>
      </c>
      <c r="O2261" s="27" t="s">
        <v>47</v>
      </c>
      <c r="P2261" s="30" t="s">
        <v>3825</v>
      </c>
    </row>
    <row r="2262" s="25" customFormat="1" spans="1:16">
      <c r="A2262" s="27" t="s">
        <v>4013</v>
      </c>
      <c r="B2262" s="27" t="s">
        <v>4011</v>
      </c>
      <c r="C2262" s="27" t="s">
        <v>129</v>
      </c>
      <c r="D2262" s="27" t="s">
        <v>3573</v>
      </c>
      <c r="E2262" s="27" t="s">
        <v>35</v>
      </c>
      <c r="F2262" s="27" t="s">
        <v>51</v>
      </c>
      <c r="G2262" s="27" t="s">
        <v>543</v>
      </c>
      <c r="H2262" s="27" t="s">
        <v>63</v>
      </c>
      <c r="I2262" s="29" t="s">
        <v>39</v>
      </c>
      <c r="J2262" s="27" t="s">
        <v>47</v>
      </c>
      <c r="K2262" s="29" t="s">
        <v>4014</v>
      </c>
      <c r="L2262" s="27" t="s">
        <v>3714</v>
      </c>
      <c r="M2262" s="27" t="s">
        <v>545</v>
      </c>
      <c r="N2262" s="29" t="s">
        <v>3824</v>
      </c>
      <c r="O2262" s="27" t="s">
        <v>47</v>
      </c>
      <c r="P2262" s="30" t="s">
        <v>3827</v>
      </c>
    </row>
    <row r="2263" s="25" customFormat="1" spans="1:16">
      <c r="A2263" s="27" t="s">
        <v>4014</v>
      </c>
      <c r="B2263" s="27" t="s">
        <v>4011</v>
      </c>
      <c r="C2263" s="27" t="s">
        <v>129</v>
      </c>
      <c r="D2263" s="27" t="s">
        <v>3573</v>
      </c>
      <c r="E2263" s="27" t="s">
        <v>35</v>
      </c>
      <c r="F2263" s="27" t="s">
        <v>51</v>
      </c>
      <c r="G2263" s="27" t="s">
        <v>543</v>
      </c>
      <c r="H2263" s="27" t="s">
        <v>63</v>
      </c>
      <c r="I2263" s="29" t="s">
        <v>39</v>
      </c>
      <c r="J2263" s="27" t="s">
        <v>51</v>
      </c>
      <c r="K2263" s="29" t="s">
        <v>4015</v>
      </c>
      <c r="L2263" s="27" t="s">
        <v>3717</v>
      </c>
      <c r="M2263" s="27" t="s">
        <v>545</v>
      </c>
      <c r="N2263" s="29" t="s">
        <v>3824</v>
      </c>
      <c r="O2263" s="27" t="s">
        <v>47</v>
      </c>
      <c r="P2263" s="30" t="s">
        <v>3829</v>
      </c>
    </row>
    <row r="2264" s="25" customFormat="1" spans="1:16">
      <c r="A2264" s="27" t="s">
        <v>4015</v>
      </c>
      <c r="B2264" s="27" t="s">
        <v>4011</v>
      </c>
      <c r="C2264" s="27" t="s">
        <v>129</v>
      </c>
      <c r="D2264" s="27" t="s">
        <v>3573</v>
      </c>
      <c r="E2264" s="27" t="s">
        <v>35</v>
      </c>
      <c r="F2264" s="27" t="s">
        <v>51</v>
      </c>
      <c r="G2264" s="27" t="s">
        <v>543</v>
      </c>
      <c r="H2264" s="27" t="s">
        <v>63</v>
      </c>
      <c r="I2264" s="29" t="s">
        <v>39</v>
      </c>
      <c r="J2264" s="27" t="s">
        <v>55</v>
      </c>
      <c r="K2264" s="29" t="s">
        <v>4016</v>
      </c>
      <c r="L2264" s="27" t="s">
        <v>3720</v>
      </c>
      <c r="M2264" s="27" t="s">
        <v>545</v>
      </c>
      <c r="N2264" s="29" t="s">
        <v>3824</v>
      </c>
      <c r="O2264" s="27" t="s">
        <v>47</v>
      </c>
      <c r="P2264" s="30" t="s">
        <v>3831</v>
      </c>
    </row>
    <row r="2265" s="25" customFormat="1" spans="1:16">
      <c r="A2265" s="27" t="s">
        <v>4016</v>
      </c>
      <c r="B2265" s="27" t="s">
        <v>4011</v>
      </c>
      <c r="C2265" s="27" t="s">
        <v>129</v>
      </c>
      <c r="D2265" s="27" t="s">
        <v>3573</v>
      </c>
      <c r="E2265" s="27" t="s">
        <v>35</v>
      </c>
      <c r="F2265" s="27" t="s">
        <v>51</v>
      </c>
      <c r="G2265" s="27" t="s">
        <v>543</v>
      </c>
      <c r="H2265" s="27" t="s">
        <v>63</v>
      </c>
      <c r="I2265" s="29" t="s">
        <v>39</v>
      </c>
      <c r="J2265" s="27" t="s">
        <v>59</v>
      </c>
      <c r="K2265" s="29" t="s">
        <v>4017</v>
      </c>
      <c r="L2265" s="27" t="s">
        <v>3723</v>
      </c>
      <c r="M2265" s="27" t="s">
        <v>545</v>
      </c>
      <c r="N2265" s="29" t="s">
        <v>3824</v>
      </c>
      <c r="O2265" s="27" t="s">
        <v>47</v>
      </c>
      <c r="P2265" s="30" t="s">
        <v>3833</v>
      </c>
    </row>
    <row r="2266" s="25" customFormat="1" spans="1:16">
      <c r="A2266" s="27" t="s">
        <v>4017</v>
      </c>
      <c r="B2266" s="27" t="s">
        <v>4011</v>
      </c>
      <c r="C2266" s="27" t="s">
        <v>129</v>
      </c>
      <c r="D2266" s="27" t="s">
        <v>3573</v>
      </c>
      <c r="E2266" s="27" t="s">
        <v>35</v>
      </c>
      <c r="F2266" s="27" t="s">
        <v>51</v>
      </c>
      <c r="G2266" s="27" t="s">
        <v>543</v>
      </c>
      <c r="H2266" s="27" t="s">
        <v>63</v>
      </c>
      <c r="I2266" s="29" t="s">
        <v>39</v>
      </c>
      <c r="J2266" s="27" t="s">
        <v>129</v>
      </c>
      <c r="K2266" s="29" t="s">
        <v>4018</v>
      </c>
      <c r="L2266" s="27" t="s">
        <v>3726</v>
      </c>
      <c r="M2266" s="27" t="s">
        <v>545</v>
      </c>
      <c r="N2266" s="29" t="s">
        <v>3824</v>
      </c>
      <c r="O2266" s="27" t="s">
        <v>47</v>
      </c>
      <c r="P2266" s="30" t="s">
        <v>3596</v>
      </c>
    </row>
    <row r="2267" s="25" customFormat="1" spans="1:16">
      <c r="A2267" s="27" t="s">
        <v>4018</v>
      </c>
      <c r="B2267" s="27" t="s">
        <v>4011</v>
      </c>
      <c r="C2267" s="27" t="s">
        <v>129</v>
      </c>
      <c r="D2267" s="27" t="s">
        <v>3573</v>
      </c>
      <c r="E2267" s="27" t="s">
        <v>35</v>
      </c>
      <c r="F2267" s="27" t="s">
        <v>51</v>
      </c>
      <c r="G2267" s="27" t="s">
        <v>543</v>
      </c>
      <c r="H2267" s="27" t="s">
        <v>63</v>
      </c>
      <c r="I2267" s="29" t="s">
        <v>39</v>
      </c>
      <c r="J2267" s="27" t="s">
        <v>133</v>
      </c>
      <c r="K2267" s="29" t="s">
        <v>4019</v>
      </c>
      <c r="L2267" s="27" t="s">
        <v>3729</v>
      </c>
      <c r="M2267" s="27" t="s">
        <v>545</v>
      </c>
      <c r="N2267" s="29" t="s">
        <v>3824</v>
      </c>
      <c r="O2267" s="27" t="s">
        <v>47</v>
      </c>
      <c r="P2267" s="30" t="s">
        <v>3836</v>
      </c>
    </row>
    <row r="2268" s="25" customFormat="1" spans="1:16">
      <c r="A2268" s="27" t="s">
        <v>4019</v>
      </c>
      <c r="B2268" s="27" t="s">
        <v>4011</v>
      </c>
      <c r="C2268" s="27" t="s">
        <v>129</v>
      </c>
      <c r="D2268" s="27" t="s">
        <v>3573</v>
      </c>
      <c r="E2268" s="27" t="s">
        <v>35</v>
      </c>
      <c r="F2268" s="27" t="s">
        <v>51</v>
      </c>
      <c r="G2268" s="27" t="s">
        <v>543</v>
      </c>
      <c r="H2268" s="27" t="s">
        <v>63</v>
      </c>
      <c r="I2268" s="29" t="s">
        <v>39</v>
      </c>
      <c r="J2268" s="27" t="s">
        <v>137</v>
      </c>
      <c r="K2268" s="29" t="s">
        <v>4020</v>
      </c>
      <c r="L2268" s="27" t="s">
        <v>3732</v>
      </c>
      <c r="M2268" s="27" t="s">
        <v>545</v>
      </c>
      <c r="N2268" s="29" t="s">
        <v>3824</v>
      </c>
      <c r="O2268" s="27" t="s">
        <v>47</v>
      </c>
      <c r="P2268" s="30" t="s">
        <v>3838</v>
      </c>
    </row>
    <row r="2269" s="25" customFormat="1" spans="1:16">
      <c r="A2269" s="27" t="s">
        <v>4020</v>
      </c>
      <c r="B2269" s="27" t="s">
        <v>4011</v>
      </c>
      <c r="C2269" s="27" t="s">
        <v>129</v>
      </c>
      <c r="D2269" s="27" t="s">
        <v>3573</v>
      </c>
      <c r="E2269" s="27" t="s">
        <v>35</v>
      </c>
      <c r="F2269" s="27" t="s">
        <v>51</v>
      </c>
      <c r="G2269" s="27" t="s">
        <v>543</v>
      </c>
      <c r="H2269" s="27" t="s">
        <v>63</v>
      </c>
      <c r="I2269" s="29" t="s">
        <v>39</v>
      </c>
      <c r="J2269" s="27" t="s">
        <v>141</v>
      </c>
      <c r="K2269" s="29" t="s">
        <v>4021</v>
      </c>
      <c r="L2269" s="27" t="s">
        <v>3735</v>
      </c>
      <c r="M2269" s="27" t="s">
        <v>545</v>
      </c>
      <c r="N2269" s="29" t="s">
        <v>3824</v>
      </c>
      <c r="O2269" s="27" t="s">
        <v>47</v>
      </c>
      <c r="P2269" s="30" t="s">
        <v>3840</v>
      </c>
    </row>
    <row r="2270" s="25" customFormat="1" spans="1:16">
      <c r="A2270" s="27" t="s">
        <v>4021</v>
      </c>
      <c r="B2270" s="27" t="s">
        <v>4011</v>
      </c>
      <c r="C2270" s="27" t="s">
        <v>129</v>
      </c>
      <c r="D2270" s="27" t="s">
        <v>3573</v>
      </c>
      <c r="E2270" s="27" t="s">
        <v>35</v>
      </c>
      <c r="F2270" s="27" t="s">
        <v>51</v>
      </c>
      <c r="G2270" s="27" t="s">
        <v>543</v>
      </c>
      <c r="H2270" s="27" t="s">
        <v>63</v>
      </c>
      <c r="I2270" s="29" t="s">
        <v>39</v>
      </c>
      <c r="J2270" s="27" t="s">
        <v>145</v>
      </c>
      <c r="K2270" s="29" t="s">
        <v>4022</v>
      </c>
      <c r="L2270" s="27" t="s">
        <v>3737</v>
      </c>
      <c r="M2270" s="27" t="s">
        <v>545</v>
      </c>
      <c r="N2270" s="29" t="s">
        <v>3824</v>
      </c>
      <c r="O2270" s="27" t="s">
        <v>47</v>
      </c>
      <c r="P2270" s="30" t="s">
        <v>3841</v>
      </c>
    </row>
    <row r="2271" s="25" customFormat="1" spans="1:16">
      <c r="A2271" s="27" t="s">
        <v>4022</v>
      </c>
      <c r="B2271" s="27" t="s">
        <v>4011</v>
      </c>
      <c r="C2271" s="27" t="s">
        <v>129</v>
      </c>
      <c r="D2271" s="27" t="s">
        <v>3573</v>
      </c>
      <c r="E2271" s="27" t="s">
        <v>35</v>
      </c>
      <c r="F2271" s="27" t="s">
        <v>51</v>
      </c>
      <c r="G2271" s="27" t="s">
        <v>543</v>
      </c>
      <c r="H2271" s="27" t="s">
        <v>63</v>
      </c>
      <c r="I2271" s="29" t="s">
        <v>39</v>
      </c>
      <c r="J2271" s="27" t="s">
        <v>408</v>
      </c>
      <c r="K2271" s="29" t="s">
        <v>4023</v>
      </c>
      <c r="L2271" s="27" t="s">
        <v>3998</v>
      </c>
      <c r="M2271" s="27" t="s">
        <v>545</v>
      </c>
      <c r="N2271" s="29" t="s">
        <v>3824</v>
      </c>
      <c r="O2271" s="27" t="s">
        <v>47</v>
      </c>
      <c r="P2271" s="30" t="s">
        <v>4024</v>
      </c>
    </row>
    <row r="2272" s="25" customFormat="1" spans="1:16">
      <c r="A2272" s="27" t="s">
        <v>4023</v>
      </c>
      <c r="B2272" s="27" t="s">
        <v>4011</v>
      </c>
      <c r="C2272" s="27" t="s">
        <v>129</v>
      </c>
      <c r="D2272" s="27" t="s">
        <v>3573</v>
      </c>
      <c r="E2272" s="27" t="s">
        <v>35</v>
      </c>
      <c r="F2272" s="27" t="s">
        <v>51</v>
      </c>
      <c r="G2272" s="27" t="s">
        <v>543</v>
      </c>
      <c r="H2272" s="27" t="s">
        <v>63</v>
      </c>
      <c r="I2272" s="29" t="s">
        <v>39</v>
      </c>
      <c r="J2272" s="27" t="s">
        <v>412</v>
      </c>
      <c r="K2272" s="29" t="s">
        <v>4025</v>
      </c>
      <c r="L2272" s="27" t="s">
        <v>4001</v>
      </c>
      <c r="M2272" s="27" t="s">
        <v>545</v>
      </c>
      <c r="N2272" s="29" t="s">
        <v>3824</v>
      </c>
      <c r="O2272" s="27" t="s">
        <v>47</v>
      </c>
      <c r="P2272" s="30" t="s">
        <v>4026</v>
      </c>
    </row>
    <row r="2273" s="25" customFormat="1" spans="1:16">
      <c r="A2273" s="27" t="s">
        <v>4025</v>
      </c>
      <c r="B2273" s="27" t="s">
        <v>4011</v>
      </c>
      <c r="C2273" s="27" t="s">
        <v>129</v>
      </c>
      <c r="D2273" s="27" t="s">
        <v>3573</v>
      </c>
      <c r="E2273" s="27" t="s">
        <v>35</v>
      </c>
      <c r="F2273" s="27" t="s">
        <v>51</v>
      </c>
      <c r="G2273" s="27" t="s">
        <v>543</v>
      </c>
      <c r="H2273" s="27" t="s">
        <v>63</v>
      </c>
      <c r="I2273" s="29" t="s">
        <v>39</v>
      </c>
      <c r="J2273" s="27" t="s">
        <v>416</v>
      </c>
      <c r="K2273" s="29" t="s">
        <v>4027</v>
      </c>
      <c r="L2273" s="27" t="s">
        <v>4028</v>
      </c>
      <c r="M2273" s="27" t="s">
        <v>545</v>
      </c>
      <c r="N2273" s="29" t="s">
        <v>3824</v>
      </c>
      <c r="O2273" s="27" t="s">
        <v>47</v>
      </c>
      <c r="P2273" s="30" t="s">
        <v>4029</v>
      </c>
    </row>
    <row r="2274" s="25" customFormat="1" spans="1:16">
      <c r="A2274" s="27" t="s">
        <v>4027</v>
      </c>
      <c r="B2274" s="27" t="s">
        <v>4011</v>
      </c>
      <c r="C2274" s="27" t="s">
        <v>129</v>
      </c>
      <c r="D2274" s="27" t="s">
        <v>3573</v>
      </c>
      <c r="E2274" s="27" t="s">
        <v>35</v>
      </c>
      <c r="F2274" s="27" t="s">
        <v>51</v>
      </c>
      <c r="G2274" s="27" t="s">
        <v>543</v>
      </c>
      <c r="H2274" s="27" t="s">
        <v>63</v>
      </c>
      <c r="I2274" s="29" t="s">
        <v>39</v>
      </c>
      <c r="J2274" s="27" t="s">
        <v>420</v>
      </c>
      <c r="K2274" s="29" t="s">
        <v>4030</v>
      </c>
      <c r="L2274" s="27" t="s">
        <v>4031</v>
      </c>
      <c r="M2274" s="27" t="s">
        <v>545</v>
      </c>
      <c r="N2274" s="29" t="s">
        <v>3824</v>
      </c>
      <c r="O2274" s="27" t="s">
        <v>47</v>
      </c>
      <c r="P2274" s="30" t="s">
        <v>4032</v>
      </c>
    </row>
    <row r="2275" s="25" customFormat="1" spans="1:16">
      <c r="A2275" s="27" t="s">
        <v>4030</v>
      </c>
      <c r="B2275" s="27" t="s">
        <v>4011</v>
      </c>
      <c r="C2275" s="27" t="s">
        <v>129</v>
      </c>
      <c r="D2275" s="27" t="s">
        <v>3573</v>
      </c>
      <c r="E2275" s="27" t="s">
        <v>35</v>
      </c>
      <c r="F2275" s="27" t="s">
        <v>51</v>
      </c>
      <c r="G2275" s="27" t="s">
        <v>543</v>
      </c>
      <c r="H2275" s="27" t="s">
        <v>63</v>
      </c>
      <c r="I2275" s="29" t="s">
        <v>39</v>
      </c>
      <c r="J2275" s="27" t="s">
        <v>424</v>
      </c>
      <c r="K2275" s="29" t="s">
        <v>39</v>
      </c>
      <c r="L2275" s="27" t="s">
        <v>39</v>
      </c>
      <c r="M2275" s="27" t="s">
        <v>39</v>
      </c>
      <c r="N2275" s="29" t="s">
        <v>3824</v>
      </c>
      <c r="O2275" s="27" t="s">
        <v>47</v>
      </c>
      <c r="P2275" s="30" t="s">
        <v>4033</v>
      </c>
    </row>
    <row r="2276" s="25" customFormat="1" spans="1:16">
      <c r="A2276" s="27" t="s">
        <v>4034</v>
      </c>
      <c r="B2276" s="27" t="s">
        <v>4034</v>
      </c>
      <c r="C2276" s="27" t="s">
        <v>129</v>
      </c>
      <c r="D2276" s="27" t="s">
        <v>3573</v>
      </c>
      <c r="E2276" s="27" t="s">
        <v>35</v>
      </c>
      <c r="F2276" s="27" t="s">
        <v>51</v>
      </c>
      <c r="G2276" s="27" t="s">
        <v>568</v>
      </c>
      <c r="H2276" s="27" t="s">
        <v>80</v>
      </c>
      <c r="I2276" s="29" t="s">
        <v>39</v>
      </c>
      <c r="J2276" s="27" t="s">
        <v>39</v>
      </c>
      <c r="K2276" s="29" t="s">
        <v>4035</v>
      </c>
      <c r="L2276" s="27" t="s">
        <v>3706</v>
      </c>
      <c r="M2276" s="27" t="s">
        <v>545</v>
      </c>
      <c r="N2276" s="29" t="s">
        <v>3599</v>
      </c>
      <c r="O2276" s="27" t="s">
        <v>51</v>
      </c>
      <c r="P2276" s="30" t="s">
        <v>3600</v>
      </c>
    </row>
    <row r="2277" s="25" customFormat="1" spans="1:16">
      <c r="A2277" s="27" t="s">
        <v>4035</v>
      </c>
      <c r="B2277" s="27" t="s">
        <v>4034</v>
      </c>
      <c r="C2277" s="27" t="s">
        <v>129</v>
      </c>
      <c r="D2277" s="27" t="s">
        <v>3573</v>
      </c>
      <c r="E2277" s="27" t="s">
        <v>35</v>
      </c>
      <c r="F2277" s="27" t="s">
        <v>51</v>
      </c>
      <c r="G2277" s="27" t="s">
        <v>568</v>
      </c>
      <c r="H2277" s="27" t="s">
        <v>80</v>
      </c>
      <c r="I2277" s="29" t="s">
        <v>39</v>
      </c>
      <c r="J2277" s="27" t="s">
        <v>35</v>
      </c>
      <c r="K2277" s="29" t="s">
        <v>4036</v>
      </c>
      <c r="L2277" s="27" t="s">
        <v>3710</v>
      </c>
      <c r="M2277" s="27" t="s">
        <v>545</v>
      </c>
      <c r="N2277" s="29" t="s">
        <v>3845</v>
      </c>
      <c r="O2277" s="27" t="s">
        <v>51</v>
      </c>
      <c r="P2277" s="30" t="s">
        <v>3846</v>
      </c>
    </row>
    <row r="2278" s="25" customFormat="1" spans="1:16">
      <c r="A2278" s="27" t="s">
        <v>4036</v>
      </c>
      <c r="B2278" s="27" t="s">
        <v>4034</v>
      </c>
      <c r="C2278" s="27" t="s">
        <v>129</v>
      </c>
      <c r="D2278" s="27" t="s">
        <v>3573</v>
      </c>
      <c r="E2278" s="27" t="s">
        <v>35</v>
      </c>
      <c r="F2278" s="27" t="s">
        <v>51</v>
      </c>
      <c r="G2278" s="27" t="s">
        <v>568</v>
      </c>
      <c r="H2278" s="27" t="s">
        <v>80</v>
      </c>
      <c r="I2278" s="29" t="s">
        <v>39</v>
      </c>
      <c r="J2278" s="27" t="s">
        <v>47</v>
      </c>
      <c r="K2278" s="29" t="s">
        <v>4037</v>
      </c>
      <c r="L2278" s="27" t="s">
        <v>3714</v>
      </c>
      <c r="M2278" s="27" t="s">
        <v>545</v>
      </c>
      <c r="N2278" s="29" t="s">
        <v>3845</v>
      </c>
      <c r="O2278" s="27" t="s">
        <v>51</v>
      </c>
      <c r="P2278" s="30" t="s">
        <v>3848</v>
      </c>
    </row>
    <row r="2279" s="25" customFormat="1" spans="1:16">
      <c r="A2279" s="27" t="s">
        <v>4037</v>
      </c>
      <c r="B2279" s="27" t="s">
        <v>4034</v>
      </c>
      <c r="C2279" s="27" t="s">
        <v>129</v>
      </c>
      <c r="D2279" s="27" t="s">
        <v>3573</v>
      </c>
      <c r="E2279" s="27" t="s">
        <v>35</v>
      </c>
      <c r="F2279" s="27" t="s">
        <v>51</v>
      </c>
      <c r="G2279" s="27" t="s">
        <v>568</v>
      </c>
      <c r="H2279" s="27" t="s">
        <v>80</v>
      </c>
      <c r="I2279" s="29" t="s">
        <v>39</v>
      </c>
      <c r="J2279" s="27" t="s">
        <v>51</v>
      </c>
      <c r="K2279" s="29" t="s">
        <v>4038</v>
      </c>
      <c r="L2279" s="27" t="s">
        <v>3717</v>
      </c>
      <c r="M2279" s="27" t="s">
        <v>545</v>
      </c>
      <c r="N2279" s="29" t="s">
        <v>3845</v>
      </c>
      <c r="O2279" s="27" t="s">
        <v>51</v>
      </c>
      <c r="P2279" s="30" t="s">
        <v>3850</v>
      </c>
    </row>
    <row r="2280" s="25" customFormat="1" spans="1:16">
      <c r="A2280" s="27" t="s">
        <v>4038</v>
      </c>
      <c r="B2280" s="27" t="s">
        <v>4034</v>
      </c>
      <c r="C2280" s="27" t="s">
        <v>129</v>
      </c>
      <c r="D2280" s="27" t="s">
        <v>3573</v>
      </c>
      <c r="E2280" s="27" t="s">
        <v>35</v>
      </c>
      <c r="F2280" s="27" t="s">
        <v>51</v>
      </c>
      <c r="G2280" s="27" t="s">
        <v>568</v>
      </c>
      <c r="H2280" s="27" t="s">
        <v>80</v>
      </c>
      <c r="I2280" s="29" t="s">
        <v>39</v>
      </c>
      <c r="J2280" s="27" t="s">
        <v>55</v>
      </c>
      <c r="K2280" s="29" t="s">
        <v>4039</v>
      </c>
      <c r="L2280" s="27" t="s">
        <v>3720</v>
      </c>
      <c r="M2280" s="27" t="s">
        <v>545</v>
      </c>
      <c r="N2280" s="29" t="s">
        <v>3845</v>
      </c>
      <c r="O2280" s="27" t="s">
        <v>51</v>
      </c>
      <c r="P2280" s="30" t="s">
        <v>3852</v>
      </c>
    </row>
    <row r="2281" s="25" customFormat="1" spans="1:16">
      <c r="A2281" s="27" t="s">
        <v>4039</v>
      </c>
      <c r="B2281" s="27" t="s">
        <v>4034</v>
      </c>
      <c r="C2281" s="27" t="s">
        <v>129</v>
      </c>
      <c r="D2281" s="27" t="s">
        <v>3573</v>
      </c>
      <c r="E2281" s="27" t="s">
        <v>35</v>
      </c>
      <c r="F2281" s="27" t="s">
        <v>51</v>
      </c>
      <c r="G2281" s="27" t="s">
        <v>568</v>
      </c>
      <c r="H2281" s="27" t="s">
        <v>80</v>
      </c>
      <c r="I2281" s="29" t="s">
        <v>39</v>
      </c>
      <c r="J2281" s="27" t="s">
        <v>59</v>
      </c>
      <c r="K2281" s="29" t="s">
        <v>4040</v>
      </c>
      <c r="L2281" s="27" t="s">
        <v>3723</v>
      </c>
      <c r="M2281" s="27" t="s">
        <v>545</v>
      </c>
      <c r="N2281" s="29" t="s">
        <v>3845</v>
      </c>
      <c r="O2281" s="27" t="s">
        <v>51</v>
      </c>
      <c r="P2281" s="30" t="s">
        <v>3609</v>
      </c>
    </row>
    <row r="2282" s="25" customFormat="1" spans="1:16">
      <c r="A2282" s="27" t="s">
        <v>4040</v>
      </c>
      <c r="B2282" s="27" t="s">
        <v>4034</v>
      </c>
      <c r="C2282" s="27" t="s">
        <v>129</v>
      </c>
      <c r="D2282" s="27" t="s">
        <v>3573</v>
      </c>
      <c r="E2282" s="27" t="s">
        <v>35</v>
      </c>
      <c r="F2282" s="27" t="s">
        <v>51</v>
      </c>
      <c r="G2282" s="27" t="s">
        <v>568</v>
      </c>
      <c r="H2282" s="27" t="s">
        <v>80</v>
      </c>
      <c r="I2282" s="29" t="s">
        <v>39</v>
      </c>
      <c r="J2282" s="27" t="s">
        <v>129</v>
      </c>
      <c r="K2282" s="29" t="s">
        <v>4041</v>
      </c>
      <c r="L2282" s="27" t="s">
        <v>3726</v>
      </c>
      <c r="M2282" s="27" t="s">
        <v>545</v>
      </c>
      <c r="N2282" s="29" t="s">
        <v>3845</v>
      </c>
      <c r="O2282" s="27" t="s">
        <v>51</v>
      </c>
      <c r="P2282" s="30" t="s">
        <v>3855</v>
      </c>
    </row>
    <row r="2283" s="25" customFormat="1" spans="1:16">
      <c r="A2283" s="27" t="s">
        <v>4041</v>
      </c>
      <c r="B2283" s="27" t="s">
        <v>4034</v>
      </c>
      <c r="C2283" s="27" t="s">
        <v>129</v>
      </c>
      <c r="D2283" s="27" t="s">
        <v>3573</v>
      </c>
      <c r="E2283" s="27" t="s">
        <v>35</v>
      </c>
      <c r="F2283" s="27" t="s">
        <v>51</v>
      </c>
      <c r="G2283" s="27" t="s">
        <v>568</v>
      </c>
      <c r="H2283" s="27" t="s">
        <v>80</v>
      </c>
      <c r="I2283" s="29" t="s">
        <v>39</v>
      </c>
      <c r="J2283" s="27" t="s">
        <v>133</v>
      </c>
      <c r="K2283" s="29" t="s">
        <v>4042</v>
      </c>
      <c r="L2283" s="27" t="s">
        <v>3729</v>
      </c>
      <c r="M2283" s="27" t="s">
        <v>545</v>
      </c>
      <c r="N2283" s="29" t="s">
        <v>3845</v>
      </c>
      <c r="O2283" s="27" t="s">
        <v>51</v>
      </c>
      <c r="P2283" s="30" t="s">
        <v>3857</v>
      </c>
    </row>
    <row r="2284" s="25" customFormat="1" spans="1:16">
      <c r="A2284" s="27" t="s">
        <v>4042</v>
      </c>
      <c r="B2284" s="27" t="s">
        <v>4034</v>
      </c>
      <c r="C2284" s="27" t="s">
        <v>129</v>
      </c>
      <c r="D2284" s="27" t="s">
        <v>3573</v>
      </c>
      <c r="E2284" s="27" t="s">
        <v>35</v>
      </c>
      <c r="F2284" s="27" t="s">
        <v>51</v>
      </c>
      <c r="G2284" s="27" t="s">
        <v>568</v>
      </c>
      <c r="H2284" s="27" t="s">
        <v>80</v>
      </c>
      <c r="I2284" s="29" t="s">
        <v>39</v>
      </c>
      <c r="J2284" s="27" t="s">
        <v>137</v>
      </c>
      <c r="K2284" s="29" t="s">
        <v>4043</v>
      </c>
      <c r="L2284" s="27" t="s">
        <v>3732</v>
      </c>
      <c r="M2284" s="27" t="s">
        <v>545</v>
      </c>
      <c r="N2284" s="29" t="s">
        <v>3845</v>
      </c>
      <c r="O2284" s="27" t="s">
        <v>51</v>
      </c>
      <c r="P2284" s="30" t="s">
        <v>3859</v>
      </c>
    </row>
    <row r="2285" s="25" customFormat="1" spans="1:16">
      <c r="A2285" s="27" t="s">
        <v>4043</v>
      </c>
      <c r="B2285" s="27" t="s">
        <v>4034</v>
      </c>
      <c r="C2285" s="27" t="s">
        <v>129</v>
      </c>
      <c r="D2285" s="27" t="s">
        <v>3573</v>
      </c>
      <c r="E2285" s="27" t="s">
        <v>35</v>
      </c>
      <c r="F2285" s="27" t="s">
        <v>51</v>
      </c>
      <c r="G2285" s="27" t="s">
        <v>568</v>
      </c>
      <c r="H2285" s="27" t="s">
        <v>80</v>
      </c>
      <c r="I2285" s="29" t="s">
        <v>39</v>
      </c>
      <c r="J2285" s="27" t="s">
        <v>141</v>
      </c>
      <c r="K2285" s="29" t="s">
        <v>4044</v>
      </c>
      <c r="L2285" s="27" t="s">
        <v>3735</v>
      </c>
      <c r="M2285" s="27" t="s">
        <v>545</v>
      </c>
      <c r="N2285" s="29" t="s">
        <v>3845</v>
      </c>
      <c r="O2285" s="27" t="s">
        <v>51</v>
      </c>
      <c r="P2285" s="30" t="s">
        <v>3861</v>
      </c>
    </row>
    <row r="2286" s="25" customFormat="1" spans="1:16">
      <c r="A2286" s="27" t="s">
        <v>4044</v>
      </c>
      <c r="B2286" s="27" t="s">
        <v>4034</v>
      </c>
      <c r="C2286" s="27" t="s">
        <v>129</v>
      </c>
      <c r="D2286" s="27" t="s">
        <v>3573</v>
      </c>
      <c r="E2286" s="27" t="s">
        <v>35</v>
      </c>
      <c r="F2286" s="27" t="s">
        <v>51</v>
      </c>
      <c r="G2286" s="27" t="s">
        <v>568</v>
      </c>
      <c r="H2286" s="27" t="s">
        <v>80</v>
      </c>
      <c r="I2286" s="29" t="s">
        <v>39</v>
      </c>
      <c r="J2286" s="27" t="s">
        <v>145</v>
      </c>
      <c r="K2286" s="29" t="s">
        <v>4045</v>
      </c>
      <c r="L2286" s="27" t="s">
        <v>3737</v>
      </c>
      <c r="M2286" s="27" t="s">
        <v>545</v>
      </c>
      <c r="N2286" s="29" t="s">
        <v>3845</v>
      </c>
      <c r="O2286" s="27" t="s">
        <v>51</v>
      </c>
      <c r="P2286" s="30" t="s">
        <v>3862</v>
      </c>
    </row>
    <row r="2287" s="25" customFormat="1" spans="1:16">
      <c r="A2287" s="27" t="s">
        <v>4045</v>
      </c>
      <c r="B2287" s="27" t="s">
        <v>4034</v>
      </c>
      <c r="C2287" s="27" t="s">
        <v>129</v>
      </c>
      <c r="D2287" s="27" t="s">
        <v>3573</v>
      </c>
      <c r="E2287" s="27" t="s">
        <v>35</v>
      </c>
      <c r="F2287" s="27" t="s">
        <v>51</v>
      </c>
      <c r="G2287" s="27" t="s">
        <v>568</v>
      </c>
      <c r="H2287" s="27" t="s">
        <v>80</v>
      </c>
      <c r="I2287" s="29" t="s">
        <v>39</v>
      </c>
      <c r="J2287" s="27" t="s">
        <v>408</v>
      </c>
      <c r="K2287" s="29" t="s">
        <v>4046</v>
      </c>
      <c r="L2287" s="27" t="s">
        <v>3998</v>
      </c>
      <c r="M2287" s="27" t="s">
        <v>545</v>
      </c>
      <c r="N2287" s="29" t="s">
        <v>3845</v>
      </c>
      <c r="O2287" s="27" t="s">
        <v>51</v>
      </c>
      <c r="P2287" s="30" t="s">
        <v>4047</v>
      </c>
    </row>
    <row r="2288" s="25" customFormat="1" spans="1:16">
      <c r="A2288" s="27" t="s">
        <v>4046</v>
      </c>
      <c r="B2288" s="27" t="s">
        <v>4034</v>
      </c>
      <c r="C2288" s="27" t="s">
        <v>129</v>
      </c>
      <c r="D2288" s="27" t="s">
        <v>3573</v>
      </c>
      <c r="E2288" s="27" t="s">
        <v>35</v>
      </c>
      <c r="F2288" s="27" t="s">
        <v>51</v>
      </c>
      <c r="G2288" s="27" t="s">
        <v>568</v>
      </c>
      <c r="H2288" s="27" t="s">
        <v>80</v>
      </c>
      <c r="I2288" s="29" t="s">
        <v>39</v>
      </c>
      <c r="J2288" s="27" t="s">
        <v>412</v>
      </c>
      <c r="K2288" s="29" t="s">
        <v>4048</v>
      </c>
      <c r="L2288" s="27" t="s">
        <v>4001</v>
      </c>
      <c r="M2288" s="27" t="s">
        <v>545</v>
      </c>
      <c r="N2288" s="29" t="s">
        <v>3845</v>
      </c>
      <c r="O2288" s="27" t="s">
        <v>51</v>
      </c>
      <c r="P2288" s="30" t="s">
        <v>4049</v>
      </c>
    </row>
    <row r="2289" s="25" customFormat="1" spans="1:16">
      <c r="A2289" s="27" t="s">
        <v>4048</v>
      </c>
      <c r="B2289" s="27" t="s">
        <v>4034</v>
      </c>
      <c r="C2289" s="27" t="s">
        <v>129</v>
      </c>
      <c r="D2289" s="27" t="s">
        <v>3573</v>
      </c>
      <c r="E2289" s="27" t="s">
        <v>35</v>
      </c>
      <c r="F2289" s="27" t="s">
        <v>51</v>
      </c>
      <c r="G2289" s="27" t="s">
        <v>568</v>
      </c>
      <c r="H2289" s="27" t="s">
        <v>80</v>
      </c>
      <c r="I2289" s="29" t="s">
        <v>39</v>
      </c>
      <c r="J2289" s="27" t="s">
        <v>416</v>
      </c>
      <c r="K2289" s="29" t="s">
        <v>4050</v>
      </c>
      <c r="L2289" s="27" t="s">
        <v>4028</v>
      </c>
      <c r="M2289" s="27" t="s">
        <v>545</v>
      </c>
      <c r="N2289" s="29" t="s">
        <v>3845</v>
      </c>
      <c r="O2289" s="27" t="s">
        <v>51</v>
      </c>
      <c r="P2289" s="30" t="s">
        <v>4051</v>
      </c>
    </row>
    <row r="2290" s="25" customFormat="1" spans="1:16">
      <c r="A2290" s="27" t="s">
        <v>4050</v>
      </c>
      <c r="B2290" s="27" t="s">
        <v>4034</v>
      </c>
      <c r="C2290" s="27" t="s">
        <v>129</v>
      </c>
      <c r="D2290" s="27" t="s">
        <v>3573</v>
      </c>
      <c r="E2290" s="27" t="s">
        <v>35</v>
      </c>
      <c r="F2290" s="27" t="s">
        <v>51</v>
      </c>
      <c r="G2290" s="27" t="s">
        <v>568</v>
      </c>
      <c r="H2290" s="27" t="s">
        <v>80</v>
      </c>
      <c r="I2290" s="29" t="s">
        <v>39</v>
      </c>
      <c r="J2290" s="27" t="s">
        <v>420</v>
      </c>
      <c r="K2290" s="29" t="s">
        <v>4052</v>
      </c>
      <c r="L2290" s="27" t="s">
        <v>4031</v>
      </c>
      <c r="M2290" s="27" t="s">
        <v>545</v>
      </c>
      <c r="N2290" s="29" t="s">
        <v>3845</v>
      </c>
      <c r="O2290" s="27" t="s">
        <v>51</v>
      </c>
      <c r="P2290" s="30" t="s">
        <v>4053</v>
      </c>
    </row>
    <row r="2291" s="25" customFormat="1" spans="1:16">
      <c r="A2291" s="27" t="s">
        <v>4052</v>
      </c>
      <c r="B2291" s="27" t="s">
        <v>4034</v>
      </c>
      <c r="C2291" s="27" t="s">
        <v>129</v>
      </c>
      <c r="D2291" s="27" t="s">
        <v>3573</v>
      </c>
      <c r="E2291" s="27" t="s">
        <v>35</v>
      </c>
      <c r="F2291" s="27" t="s">
        <v>51</v>
      </c>
      <c r="G2291" s="27" t="s">
        <v>568</v>
      </c>
      <c r="H2291" s="27" t="s">
        <v>80</v>
      </c>
      <c r="I2291" s="29" t="s">
        <v>39</v>
      </c>
      <c r="J2291" s="27" t="s">
        <v>424</v>
      </c>
      <c r="K2291" s="29" t="s">
        <v>39</v>
      </c>
      <c r="L2291" s="27" t="s">
        <v>39</v>
      </c>
      <c r="M2291" s="27" t="s">
        <v>39</v>
      </c>
      <c r="N2291" s="29" t="s">
        <v>3845</v>
      </c>
      <c r="O2291" s="27" t="s">
        <v>51</v>
      </c>
      <c r="P2291" s="30" t="s">
        <v>4054</v>
      </c>
    </row>
    <row r="2292" s="25" customFormat="1" spans="1:16">
      <c r="A2292" s="27" t="s">
        <v>4055</v>
      </c>
      <c r="B2292" s="27" t="s">
        <v>4055</v>
      </c>
      <c r="C2292" s="27" t="s">
        <v>129</v>
      </c>
      <c r="D2292" s="27" t="s">
        <v>3573</v>
      </c>
      <c r="E2292" s="27" t="s">
        <v>35</v>
      </c>
      <c r="F2292" s="27" t="s">
        <v>51</v>
      </c>
      <c r="G2292" s="27" t="s">
        <v>590</v>
      </c>
      <c r="H2292" s="27" t="s">
        <v>96</v>
      </c>
      <c r="I2292" s="29" t="s">
        <v>39</v>
      </c>
      <c r="J2292" s="27" t="s">
        <v>39</v>
      </c>
      <c r="K2292" s="29" t="s">
        <v>4056</v>
      </c>
      <c r="L2292" s="27" t="s">
        <v>3706</v>
      </c>
      <c r="M2292" s="27" t="s">
        <v>545</v>
      </c>
      <c r="N2292" s="29" t="s">
        <v>3613</v>
      </c>
      <c r="O2292" s="27" t="s">
        <v>55</v>
      </c>
      <c r="P2292" s="30" t="s">
        <v>3614</v>
      </c>
    </row>
    <row r="2293" s="25" customFormat="1" spans="1:16">
      <c r="A2293" s="27" t="s">
        <v>4056</v>
      </c>
      <c r="B2293" s="27" t="s">
        <v>4055</v>
      </c>
      <c r="C2293" s="27" t="s">
        <v>129</v>
      </c>
      <c r="D2293" s="27" t="s">
        <v>3573</v>
      </c>
      <c r="E2293" s="27" t="s">
        <v>35</v>
      </c>
      <c r="F2293" s="27" t="s">
        <v>51</v>
      </c>
      <c r="G2293" s="27" t="s">
        <v>590</v>
      </c>
      <c r="H2293" s="27" t="s">
        <v>96</v>
      </c>
      <c r="I2293" s="29" t="s">
        <v>39</v>
      </c>
      <c r="J2293" s="27" t="s">
        <v>35</v>
      </c>
      <c r="K2293" s="29" t="s">
        <v>4057</v>
      </c>
      <c r="L2293" s="27" t="s">
        <v>3710</v>
      </c>
      <c r="M2293" s="27" t="s">
        <v>545</v>
      </c>
      <c r="N2293" s="29" t="s">
        <v>3866</v>
      </c>
      <c r="O2293" s="27" t="s">
        <v>55</v>
      </c>
      <c r="P2293" s="30" t="s">
        <v>3867</v>
      </c>
    </row>
    <row r="2294" s="25" customFormat="1" spans="1:16">
      <c r="A2294" s="27" t="s">
        <v>4057</v>
      </c>
      <c r="B2294" s="27" t="s">
        <v>4055</v>
      </c>
      <c r="C2294" s="27" t="s">
        <v>129</v>
      </c>
      <c r="D2294" s="27" t="s">
        <v>3573</v>
      </c>
      <c r="E2294" s="27" t="s">
        <v>35</v>
      </c>
      <c r="F2294" s="27" t="s">
        <v>51</v>
      </c>
      <c r="G2294" s="27" t="s">
        <v>590</v>
      </c>
      <c r="H2294" s="27" t="s">
        <v>96</v>
      </c>
      <c r="I2294" s="29" t="s">
        <v>39</v>
      </c>
      <c r="J2294" s="27" t="s">
        <v>47</v>
      </c>
      <c r="K2294" s="29" t="s">
        <v>4058</v>
      </c>
      <c r="L2294" s="27" t="s">
        <v>3714</v>
      </c>
      <c r="M2294" s="27" t="s">
        <v>545</v>
      </c>
      <c r="N2294" s="29" t="s">
        <v>3866</v>
      </c>
      <c r="O2294" s="27" t="s">
        <v>55</v>
      </c>
      <c r="P2294" s="30" t="s">
        <v>3869</v>
      </c>
    </row>
    <row r="2295" s="25" customFormat="1" spans="1:16">
      <c r="A2295" s="27" t="s">
        <v>4058</v>
      </c>
      <c r="B2295" s="27" t="s">
        <v>4055</v>
      </c>
      <c r="C2295" s="27" t="s">
        <v>129</v>
      </c>
      <c r="D2295" s="27" t="s">
        <v>3573</v>
      </c>
      <c r="E2295" s="27" t="s">
        <v>35</v>
      </c>
      <c r="F2295" s="27" t="s">
        <v>51</v>
      </c>
      <c r="G2295" s="27" t="s">
        <v>590</v>
      </c>
      <c r="H2295" s="27" t="s">
        <v>96</v>
      </c>
      <c r="I2295" s="29" t="s">
        <v>39</v>
      </c>
      <c r="J2295" s="27" t="s">
        <v>51</v>
      </c>
      <c r="K2295" s="29" t="s">
        <v>4059</v>
      </c>
      <c r="L2295" s="27" t="s">
        <v>3717</v>
      </c>
      <c r="M2295" s="27" t="s">
        <v>545</v>
      </c>
      <c r="N2295" s="29" t="s">
        <v>3866</v>
      </c>
      <c r="O2295" s="27" t="s">
        <v>55</v>
      </c>
      <c r="P2295" s="30" t="s">
        <v>3871</v>
      </c>
    </row>
    <row r="2296" s="25" customFormat="1" spans="1:16">
      <c r="A2296" s="27" t="s">
        <v>4059</v>
      </c>
      <c r="B2296" s="27" t="s">
        <v>4055</v>
      </c>
      <c r="C2296" s="27" t="s">
        <v>129</v>
      </c>
      <c r="D2296" s="27" t="s">
        <v>3573</v>
      </c>
      <c r="E2296" s="27" t="s">
        <v>35</v>
      </c>
      <c r="F2296" s="27" t="s">
        <v>51</v>
      </c>
      <c r="G2296" s="27" t="s">
        <v>590</v>
      </c>
      <c r="H2296" s="27" t="s">
        <v>96</v>
      </c>
      <c r="I2296" s="29" t="s">
        <v>39</v>
      </c>
      <c r="J2296" s="27" t="s">
        <v>55</v>
      </c>
      <c r="K2296" s="29" t="s">
        <v>4060</v>
      </c>
      <c r="L2296" s="27" t="s">
        <v>3720</v>
      </c>
      <c r="M2296" s="27" t="s">
        <v>545</v>
      </c>
      <c r="N2296" s="29" t="s">
        <v>3866</v>
      </c>
      <c r="O2296" s="27" t="s">
        <v>55</v>
      </c>
      <c r="P2296" s="30" t="s">
        <v>3873</v>
      </c>
    </row>
    <row r="2297" s="25" customFormat="1" spans="1:16">
      <c r="A2297" s="27" t="s">
        <v>4060</v>
      </c>
      <c r="B2297" s="27" t="s">
        <v>4055</v>
      </c>
      <c r="C2297" s="27" t="s">
        <v>129</v>
      </c>
      <c r="D2297" s="27" t="s">
        <v>3573</v>
      </c>
      <c r="E2297" s="27" t="s">
        <v>35</v>
      </c>
      <c r="F2297" s="27" t="s">
        <v>51</v>
      </c>
      <c r="G2297" s="27" t="s">
        <v>590</v>
      </c>
      <c r="H2297" s="27" t="s">
        <v>96</v>
      </c>
      <c r="I2297" s="29" t="s">
        <v>39</v>
      </c>
      <c r="J2297" s="27" t="s">
        <v>59</v>
      </c>
      <c r="K2297" s="29" t="s">
        <v>4061</v>
      </c>
      <c r="L2297" s="27" t="s">
        <v>3723</v>
      </c>
      <c r="M2297" s="27" t="s">
        <v>545</v>
      </c>
      <c r="N2297" s="29" t="s">
        <v>3866</v>
      </c>
      <c r="O2297" s="27" t="s">
        <v>55</v>
      </c>
      <c r="P2297" s="30" t="s">
        <v>3875</v>
      </c>
    </row>
    <row r="2298" s="25" customFormat="1" spans="1:16">
      <c r="A2298" s="27" t="s">
        <v>4061</v>
      </c>
      <c r="B2298" s="27" t="s">
        <v>4055</v>
      </c>
      <c r="C2298" s="27" t="s">
        <v>129</v>
      </c>
      <c r="D2298" s="27" t="s">
        <v>3573</v>
      </c>
      <c r="E2298" s="27" t="s">
        <v>35</v>
      </c>
      <c r="F2298" s="27" t="s">
        <v>51</v>
      </c>
      <c r="G2298" s="27" t="s">
        <v>590</v>
      </c>
      <c r="H2298" s="27" t="s">
        <v>96</v>
      </c>
      <c r="I2298" s="29" t="s">
        <v>39</v>
      </c>
      <c r="J2298" s="27" t="s">
        <v>129</v>
      </c>
      <c r="K2298" s="29" t="s">
        <v>4062</v>
      </c>
      <c r="L2298" s="27" t="s">
        <v>3726</v>
      </c>
      <c r="M2298" s="27" t="s">
        <v>545</v>
      </c>
      <c r="N2298" s="29" t="s">
        <v>3866</v>
      </c>
      <c r="O2298" s="27" t="s">
        <v>55</v>
      </c>
      <c r="P2298" s="30" t="s">
        <v>3624</v>
      </c>
    </row>
    <row r="2299" s="25" customFormat="1" spans="1:16">
      <c r="A2299" s="27" t="s">
        <v>4062</v>
      </c>
      <c r="B2299" s="27" t="s">
        <v>4055</v>
      </c>
      <c r="C2299" s="27" t="s">
        <v>129</v>
      </c>
      <c r="D2299" s="27" t="s">
        <v>3573</v>
      </c>
      <c r="E2299" s="27" t="s">
        <v>35</v>
      </c>
      <c r="F2299" s="27" t="s">
        <v>51</v>
      </c>
      <c r="G2299" s="27" t="s">
        <v>590</v>
      </c>
      <c r="H2299" s="27" t="s">
        <v>96</v>
      </c>
      <c r="I2299" s="29" t="s">
        <v>39</v>
      </c>
      <c r="J2299" s="27" t="s">
        <v>133</v>
      </c>
      <c r="K2299" s="29" t="s">
        <v>4063</v>
      </c>
      <c r="L2299" s="27" t="s">
        <v>3729</v>
      </c>
      <c r="M2299" s="27" t="s">
        <v>545</v>
      </c>
      <c r="N2299" s="29" t="s">
        <v>3866</v>
      </c>
      <c r="O2299" s="27" t="s">
        <v>55</v>
      </c>
      <c r="P2299" s="30" t="s">
        <v>3878</v>
      </c>
    </row>
    <row r="2300" s="25" customFormat="1" spans="1:16">
      <c r="A2300" s="27" t="s">
        <v>4063</v>
      </c>
      <c r="B2300" s="27" t="s">
        <v>4055</v>
      </c>
      <c r="C2300" s="27" t="s">
        <v>129</v>
      </c>
      <c r="D2300" s="27" t="s">
        <v>3573</v>
      </c>
      <c r="E2300" s="27" t="s">
        <v>35</v>
      </c>
      <c r="F2300" s="27" t="s">
        <v>51</v>
      </c>
      <c r="G2300" s="27" t="s">
        <v>590</v>
      </c>
      <c r="H2300" s="27" t="s">
        <v>96</v>
      </c>
      <c r="I2300" s="29" t="s">
        <v>39</v>
      </c>
      <c r="J2300" s="27" t="s">
        <v>137</v>
      </c>
      <c r="K2300" s="29" t="s">
        <v>4064</v>
      </c>
      <c r="L2300" s="27" t="s">
        <v>3732</v>
      </c>
      <c r="M2300" s="27" t="s">
        <v>545</v>
      </c>
      <c r="N2300" s="29" t="s">
        <v>3866</v>
      </c>
      <c r="O2300" s="27" t="s">
        <v>55</v>
      </c>
      <c r="P2300" s="30" t="s">
        <v>3880</v>
      </c>
    </row>
    <row r="2301" s="25" customFormat="1" spans="1:16">
      <c r="A2301" s="27" t="s">
        <v>4064</v>
      </c>
      <c r="B2301" s="27" t="s">
        <v>4055</v>
      </c>
      <c r="C2301" s="27" t="s">
        <v>129</v>
      </c>
      <c r="D2301" s="27" t="s">
        <v>3573</v>
      </c>
      <c r="E2301" s="27" t="s">
        <v>35</v>
      </c>
      <c r="F2301" s="27" t="s">
        <v>51</v>
      </c>
      <c r="G2301" s="27" t="s">
        <v>590</v>
      </c>
      <c r="H2301" s="27" t="s">
        <v>96</v>
      </c>
      <c r="I2301" s="29" t="s">
        <v>39</v>
      </c>
      <c r="J2301" s="27" t="s">
        <v>141</v>
      </c>
      <c r="K2301" s="29" t="s">
        <v>4065</v>
      </c>
      <c r="L2301" s="27" t="s">
        <v>3735</v>
      </c>
      <c r="M2301" s="27" t="s">
        <v>545</v>
      </c>
      <c r="N2301" s="29" t="s">
        <v>3866</v>
      </c>
      <c r="O2301" s="27" t="s">
        <v>55</v>
      </c>
      <c r="P2301" s="30" t="s">
        <v>3882</v>
      </c>
    </row>
    <row r="2302" s="25" customFormat="1" spans="1:16">
      <c r="A2302" s="27" t="s">
        <v>4065</v>
      </c>
      <c r="B2302" s="27" t="s">
        <v>4055</v>
      </c>
      <c r="C2302" s="27" t="s">
        <v>129</v>
      </c>
      <c r="D2302" s="27" t="s">
        <v>3573</v>
      </c>
      <c r="E2302" s="27" t="s">
        <v>35</v>
      </c>
      <c r="F2302" s="27" t="s">
        <v>51</v>
      </c>
      <c r="G2302" s="27" t="s">
        <v>590</v>
      </c>
      <c r="H2302" s="27" t="s">
        <v>96</v>
      </c>
      <c r="I2302" s="29" t="s">
        <v>39</v>
      </c>
      <c r="J2302" s="27" t="s">
        <v>145</v>
      </c>
      <c r="K2302" s="29" t="s">
        <v>4066</v>
      </c>
      <c r="L2302" s="27" t="s">
        <v>3737</v>
      </c>
      <c r="M2302" s="27" t="s">
        <v>545</v>
      </c>
      <c r="N2302" s="29" t="s">
        <v>3866</v>
      </c>
      <c r="O2302" s="27" t="s">
        <v>55</v>
      </c>
      <c r="P2302" s="30" t="s">
        <v>3883</v>
      </c>
    </row>
    <row r="2303" s="25" customFormat="1" spans="1:16">
      <c r="A2303" s="27" t="s">
        <v>4066</v>
      </c>
      <c r="B2303" s="27" t="s">
        <v>4055</v>
      </c>
      <c r="C2303" s="27" t="s">
        <v>129</v>
      </c>
      <c r="D2303" s="27" t="s">
        <v>3573</v>
      </c>
      <c r="E2303" s="27" t="s">
        <v>35</v>
      </c>
      <c r="F2303" s="27" t="s">
        <v>51</v>
      </c>
      <c r="G2303" s="27" t="s">
        <v>590</v>
      </c>
      <c r="H2303" s="27" t="s">
        <v>96</v>
      </c>
      <c r="I2303" s="29" t="s">
        <v>39</v>
      </c>
      <c r="J2303" s="27" t="s">
        <v>408</v>
      </c>
      <c r="K2303" s="29" t="s">
        <v>4067</v>
      </c>
      <c r="L2303" s="27" t="s">
        <v>3998</v>
      </c>
      <c r="M2303" s="27" t="s">
        <v>545</v>
      </c>
      <c r="N2303" s="29" t="s">
        <v>3866</v>
      </c>
      <c r="O2303" s="27" t="s">
        <v>55</v>
      </c>
      <c r="P2303" s="30" t="s">
        <v>4068</v>
      </c>
    </row>
    <row r="2304" s="25" customFormat="1" spans="1:16">
      <c r="A2304" s="27" t="s">
        <v>4067</v>
      </c>
      <c r="B2304" s="27" t="s">
        <v>4055</v>
      </c>
      <c r="C2304" s="27" t="s">
        <v>129</v>
      </c>
      <c r="D2304" s="27" t="s">
        <v>3573</v>
      </c>
      <c r="E2304" s="27" t="s">
        <v>35</v>
      </c>
      <c r="F2304" s="27" t="s">
        <v>51</v>
      </c>
      <c r="G2304" s="27" t="s">
        <v>590</v>
      </c>
      <c r="H2304" s="27" t="s">
        <v>96</v>
      </c>
      <c r="I2304" s="29" t="s">
        <v>39</v>
      </c>
      <c r="J2304" s="27" t="s">
        <v>412</v>
      </c>
      <c r="K2304" s="29" t="s">
        <v>4069</v>
      </c>
      <c r="L2304" s="27" t="s">
        <v>4001</v>
      </c>
      <c r="M2304" s="27" t="s">
        <v>545</v>
      </c>
      <c r="N2304" s="29" t="s">
        <v>3866</v>
      </c>
      <c r="O2304" s="27" t="s">
        <v>55</v>
      </c>
      <c r="P2304" s="30" t="s">
        <v>4070</v>
      </c>
    </row>
    <row r="2305" s="25" customFormat="1" spans="1:16">
      <c r="A2305" s="27" t="s">
        <v>4069</v>
      </c>
      <c r="B2305" s="27" t="s">
        <v>4055</v>
      </c>
      <c r="C2305" s="27" t="s">
        <v>129</v>
      </c>
      <c r="D2305" s="27" t="s">
        <v>3573</v>
      </c>
      <c r="E2305" s="27" t="s">
        <v>35</v>
      </c>
      <c r="F2305" s="27" t="s">
        <v>51</v>
      </c>
      <c r="G2305" s="27" t="s">
        <v>590</v>
      </c>
      <c r="H2305" s="27" t="s">
        <v>96</v>
      </c>
      <c r="I2305" s="29" t="s">
        <v>39</v>
      </c>
      <c r="J2305" s="27" t="s">
        <v>416</v>
      </c>
      <c r="K2305" s="29" t="s">
        <v>4071</v>
      </c>
      <c r="L2305" s="27" t="s">
        <v>4028</v>
      </c>
      <c r="M2305" s="27" t="s">
        <v>545</v>
      </c>
      <c r="N2305" s="29" t="s">
        <v>3866</v>
      </c>
      <c r="O2305" s="27" t="s">
        <v>55</v>
      </c>
      <c r="P2305" s="30" t="s">
        <v>4072</v>
      </c>
    </row>
    <row r="2306" s="25" customFormat="1" spans="1:16">
      <c r="A2306" s="27" t="s">
        <v>4071</v>
      </c>
      <c r="B2306" s="27" t="s">
        <v>4055</v>
      </c>
      <c r="C2306" s="27" t="s">
        <v>129</v>
      </c>
      <c r="D2306" s="27" t="s">
        <v>3573</v>
      </c>
      <c r="E2306" s="27" t="s">
        <v>35</v>
      </c>
      <c r="F2306" s="27" t="s">
        <v>51</v>
      </c>
      <c r="G2306" s="27" t="s">
        <v>590</v>
      </c>
      <c r="H2306" s="27" t="s">
        <v>96</v>
      </c>
      <c r="I2306" s="29" t="s">
        <v>39</v>
      </c>
      <c r="J2306" s="27" t="s">
        <v>420</v>
      </c>
      <c r="K2306" s="29" t="s">
        <v>4073</v>
      </c>
      <c r="L2306" s="27" t="s">
        <v>4031</v>
      </c>
      <c r="M2306" s="27" t="s">
        <v>545</v>
      </c>
      <c r="N2306" s="29" t="s">
        <v>3866</v>
      </c>
      <c r="O2306" s="27" t="s">
        <v>55</v>
      </c>
      <c r="P2306" s="30" t="s">
        <v>4074</v>
      </c>
    </row>
    <row r="2307" s="25" customFormat="1" spans="1:16">
      <c r="A2307" s="27" t="s">
        <v>4073</v>
      </c>
      <c r="B2307" s="27" t="s">
        <v>4055</v>
      </c>
      <c r="C2307" s="27" t="s">
        <v>129</v>
      </c>
      <c r="D2307" s="27" t="s">
        <v>3573</v>
      </c>
      <c r="E2307" s="27" t="s">
        <v>35</v>
      </c>
      <c r="F2307" s="27" t="s">
        <v>51</v>
      </c>
      <c r="G2307" s="27" t="s">
        <v>590</v>
      </c>
      <c r="H2307" s="27" t="s">
        <v>96</v>
      </c>
      <c r="I2307" s="29" t="s">
        <v>39</v>
      </c>
      <c r="J2307" s="27" t="s">
        <v>424</v>
      </c>
      <c r="K2307" s="29" t="s">
        <v>39</v>
      </c>
      <c r="L2307" s="27" t="s">
        <v>39</v>
      </c>
      <c r="M2307" s="27" t="s">
        <v>39</v>
      </c>
      <c r="N2307" s="29" t="s">
        <v>3866</v>
      </c>
      <c r="O2307" s="27" t="s">
        <v>55</v>
      </c>
      <c r="P2307" s="30" t="s">
        <v>4075</v>
      </c>
    </row>
    <row r="2308" s="25" customFormat="1" spans="1:16">
      <c r="A2308" s="27" t="s">
        <v>4076</v>
      </c>
      <c r="B2308" s="27" t="s">
        <v>4076</v>
      </c>
      <c r="C2308" s="27" t="s">
        <v>129</v>
      </c>
      <c r="D2308" s="27" t="s">
        <v>3573</v>
      </c>
      <c r="E2308" s="27" t="s">
        <v>35</v>
      </c>
      <c r="F2308" s="27" t="s">
        <v>51</v>
      </c>
      <c r="G2308" s="27" t="s">
        <v>612</v>
      </c>
      <c r="H2308" s="27" t="s">
        <v>112</v>
      </c>
      <c r="I2308" s="29" t="s">
        <v>39</v>
      </c>
      <c r="J2308" s="27" t="s">
        <v>39</v>
      </c>
      <c r="K2308" s="29" t="s">
        <v>4077</v>
      </c>
      <c r="L2308" s="27" t="s">
        <v>3706</v>
      </c>
      <c r="M2308" s="27" t="s">
        <v>614</v>
      </c>
      <c r="N2308" s="29" t="s">
        <v>3613</v>
      </c>
      <c r="O2308" s="27" t="s">
        <v>59</v>
      </c>
      <c r="P2308" s="30" t="s">
        <v>4078</v>
      </c>
    </row>
    <row r="2309" s="25" customFormat="1" spans="1:16">
      <c r="A2309" s="27" t="s">
        <v>4077</v>
      </c>
      <c r="B2309" s="27" t="s">
        <v>4076</v>
      </c>
      <c r="C2309" s="27" t="s">
        <v>129</v>
      </c>
      <c r="D2309" s="27" t="s">
        <v>3573</v>
      </c>
      <c r="E2309" s="27" t="s">
        <v>35</v>
      </c>
      <c r="F2309" s="27" t="s">
        <v>51</v>
      </c>
      <c r="G2309" s="27" t="s">
        <v>612</v>
      </c>
      <c r="H2309" s="27" t="s">
        <v>112</v>
      </c>
      <c r="I2309" s="29" t="s">
        <v>39</v>
      </c>
      <c r="J2309" s="27" t="s">
        <v>35</v>
      </c>
      <c r="K2309" s="29" t="s">
        <v>4079</v>
      </c>
      <c r="L2309" s="27" t="s">
        <v>3710</v>
      </c>
      <c r="M2309" s="27" t="s">
        <v>614</v>
      </c>
      <c r="N2309" s="29" t="s">
        <v>4080</v>
      </c>
      <c r="O2309" s="27" t="s">
        <v>59</v>
      </c>
      <c r="P2309" s="30" t="s">
        <v>4081</v>
      </c>
    </row>
    <row r="2310" s="25" customFormat="1" spans="1:16">
      <c r="A2310" s="27" t="s">
        <v>4079</v>
      </c>
      <c r="B2310" s="27" t="s">
        <v>4076</v>
      </c>
      <c r="C2310" s="27" t="s">
        <v>129</v>
      </c>
      <c r="D2310" s="27" t="s">
        <v>3573</v>
      </c>
      <c r="E2310" s="27" t="s">
        <v>35</v>
      </c>
      <c r="F2310" s="27" t="s">
        <v>51</v>
      </c>
      <c r="G2310" s="27" t="s">
        <v>612</v>
      </c>
      <c r="H2310" s="27" t="s">
        <v>112</v>
      </c>
      <c r="I2310" s="29" t="s">
        <v>39</v>
      </c>
      <c r="J2310" s="27" t="s">
        <v>47</v>
      </c>
      <c r="K2310" s="29" t="s">
        <v>4082</v>
      </c>
      <c r="L2310" s="27" t="s">
        <v>3714</v>
      </c>
      <c r="M2310" s="27" t="s">
        <v>614</v>
      </c>
      <c r="N2310" s="29" t="s">
        <v>4080</v>
      </c>
      <c r="O2310" s="27" t="s">
        <v>59</v>
      </c>
      <c r="P2310" s="30" t="s">
        <v>4083</v>
      </c>
    </row>
    <row r="2311" s="25" customFormat="1" spans="1:16">
      <c r="A2311" s="27" t="s">
        <v>4082</v>
      </c>
      <c r="B2311" s="27" t="s">
        <v>4076</v>
      </c>
      <c r="C2311" s="27" t="s">
        <v>129</v>
      </c>
      <c r="D2311" s="27" t="s">
        <v>3573</v>
      </c>
      <c r="E2311" s="27" t="s">
        <v>35</v>
      </c>
      <c r="F2311" s="27" t="s">
        <v>51</v>
      </c>
      <c r="G2311" s="27" t="s">
        <v>612</v>
      </c>
      <c r="H2311" s="27" t="s">
        <v>112</v>
      </c>
      <c r="I2311" s="29" t="s">
        <v>39</v>
      </c>
      <c r="J2311" s="27" t="s">
        <v>51</v>
      </c>
      <c r="K2311" s="29" t="s">
        <v>4084</v>
      </c>
      <c r="L2311" s="27" t="s">
        <v>3717</v>
      </c>
      <c r="M2311" s="27" t="s">
        <v>614</v>
      </c>
      <c r="N2311" s="29" t="s">
        <v>4080</v>
      </c>
      <c r="O2311" s="27" t="s">
        <v>59</v>
      </c>
      <c r="P2311" s="30" t="s">
        <v>4085</v>
      </c>
    </row>
    <row r="2312" s="25" customFormat="1" spans="1:16">
      <c r="A2312" s="27" t="s">
        <v>4084</v>
      </c>
      <c r="B2312" s="27" t="s">
        <v>4076</v>
      </c>
      <c r="C2312" s="27" t="s">
        <v>129</v>
      </c>
      <c r="D2312" s="27" t="s">
        <v>3573</v>
      </c>
      <c r="E2312" s="27" t="s">
        <v>35</v>
      </c>
      <c r="F2312" s="27" t="s">
        <v>51</v>
      </c>
      <c r="G2312" s="27" t="s">
        <v>612</v>
      </c>
      <c r="H2312" s="27" t="s">
        <v>112</v>
      </c>
      <c r="I2312" s="29" t="s">
        <v>39</v>
      </c>
      <c r="J2312" s="27" t="s">
        <v>55</v>
      </c>
      <c r="K2312" s="29" t="s">
        <v>4086</v>
      </c>
      <c r="L2312" s="27" t="s">
        <v>3720</v>
      </c>
      <c r="M2312" s="27" t="s">
        <v>614</v>
      </c>
      <c r="N2312" s="29" t="s">
        <v>4080</v>
      </c>
      <c r="O2312" s="27" t="s">
        <v>59</v>
      </c>
      <c r="P2312" s="30" t="s">
        <v>4087</v>
      </c>
    </row>
    <row r="2313" s="25" customFormat="1" spans="1:16">
      <c r="A2313" s="27" t="s">
        <v>4086</v>
      </c>
      <c r="B2313" s="27" t="s">
        <v>4076</v>
      </c>
      <c r="C2313" s="27" t="s">
        <v>129</v>
      </c>
      <c r="D2313" s="27" t="s">
        <v>3573</v>
      </c>
      <c r="E2313" s="27" t="s">
        <v>35</v>
      </c>
      <c r="F2313" s="27" t="s">
        <v>51</v>
      </c>
      <c r="G2313" s="27" t="s">
        <v>612</v>
      </c>
      <c r="H2313" s="27" t="s">
        <v>112</v>
      </c>
      <c r="I2313" s="29" t="s">
        <v>39</v>
      </c>
      <c r="J2313" s="27" t="s">
        <v>59</v>
      </c>
      <c r="K2313" s="29" t="s">
        <v>4088</v>
      </c>
      <c r="L2313" s="27" t="s">
        <v>3723</v>
      </c>
      <c r="M2313" s="27" t="s">
        <v>614</v>
      </c>
      <c r="N2313" s="29" t="s">
        <v>4080</v>
      </c>
      <c r="O2313" s="27" t="s">
        <v>59</v>
      </c>
      <c r="P2313" s="30" t="s">
        <v>4089</v>
      </c>
    </row>
    <row r="2314" s="25" customFormat="1" spans="1:16">
      <c r="A2314" s="27" t="s">
        <v>4088</v>
      </c>
      <c r="B2314" s="27" t="s">
        <v>4076</v>
      </c>
      <c r="C2314" s="27" t="s">
        <v>129</v>
      </c>
      <c r="D2314" s="27" t="s">
        <v>3573</v>
      </c>
      <c r="E2314" s="27" t="s">
        <v>35</v>
      </c>
      <c r="F2314" s="27" t="s">
        <v>51</v>
      </c>
      <c r="G2314" s="27" t="s">
        <v>612</v>
      </c>
      <c r="H2314" s="27" t="s">
        <v>112</v>
      </c>
      <c r="I2314" s="29" t="s">
        <v>39</v>
      </c>
      <c r="J2314" s="27" t="s">
        <v>129</v>
      </c>
      <c r="K2314" s="29" t="s">
        <v>4090</v>
      </c>
      <c r="L2314" s="27" t="s">
        <v>3726</v>
      </c>
      <c r="M2314" s="27" t="s">
        <v>614</v>
      </c>
      <c r="N2314" s="29" t="s">
        <v>4080</v>
      </c>
      <c r="O2314" s="27" t="s">
        <v>59</v>
      </c>
      <c r="P2314" s="30" t="s">
        <v>4091</v>
      </c>
    </row>
    <row r="2315" s="25" customFormat="1" spans="1:16">
      <c r="A2315" s="27" t="s">
        <v>4090</v>
      </c>
      <c r="B2315" s="27" t="s">
        <v>4076</v>
      </c>
      <c r="C2315" s="27" t="s">
        <v>129</v>
      </c>
      <c r="D2315" s="27" t="s">
        <v>3573</v>
      </c>
      <c r="E2315" s="27" t="s">
        <v>35</v>
      </c>
      <c r="F2315" s="27" t="s">
        <v>51</v>
      </c>
      <c r="G2315" s="27" t="s">
        <v>612</v>
      </c>
      <c r="H2315" s="27" t="s">
        <v>112</v>
      </c>
      <c r="I2315" s="29" t="s">
        <v>39</v>
      </c>
      <c r="J2315" s="27" t="s">
        <v>133</v>
      </c>
      <c r="K2315" s="29" t="s">
        <v>4092</v>
      </c>
      <c r="L2315" s="27" t="s">
        <v>3729</v>
      </c>
      <c r="M2315" s="27" t="s">
        <v>614</v>
      </c>
      <c r="N2315" s="29" t="s">
        <v>4080</v>
      </c>
      <c r="O2315" s="27" t="s">
        <v>59</v>
      </c>
      <c r="P2315" s="30" t="s">
        <v>4093</v>
      </c>
    </row>
    <row r="2316" s="25" customFormat="1" spans="1:16">
      <c r="A2316" s="27" t="s">
        <v>4092</v>
      </c>
      <c r="B2316" s="27" t="s">
        <v>4076</v>
      </c>
      <c r="C2316" s="27" t="s">
        <v>129</v>
      </c>
      <c r="D2316" s="27" t="s">
        <v>3573</v>
      </c>
      <c r="E2316" s="27" t="s">
        <v>35</v>
      </c>
      <c r="F2316" s="27" t="s">
        <v>51</v>
      </c>
      <c r="G2316" s="27" t="s">
        <v>612</v>
      </c>
      <c r="H2316" s="27" t="s">
        <v>112</v>
      </c>
      <c r="I2316" s="29" t="s">
        <v>39</v>
      </c>
      <c r="J2316" s="27" t="s">
        <v>137</v>
      </c>
      <c r="K2316" s="29" t="s">
        <v>4094</v>
      </c>
      <c r="L2316" s="27" t="s">
        <v>3732</v>
      </c>
      <c r="M2316" s="27" t="s">
        <v>614</v>
      </c>
      <c r="N2316" s="29" t="s">
        <v>4080</v>
      </c>
      <c r="O2316" s="27" t="s">
        <v>59</v>
      </c>
      <c r="P2316" s="30" t="s">
        <v>4095</v>
      </c>
    </row>
    <row r="2317" s="25" customFormat="1" spans="1:16">
      <c r="A2317" s="27" t="s">
        <v>4094</v>
      </c>
      <c r="B2317" s="27" t="s">
        <v>4076</v>
      </c>
      <c r="C2317" s="27" t="s">
        <v>129</v>
      </c>
      <c r="D2317" s="27" t="s">
        <v>3573</v>
      </c>
      <c r="E2317" s="27" t="s">
        <v>35</v>
      </c>
      <c r="F2317" s="27" t="s">
        <v>51</v>
      </c>
      <c r="G2317" s="27" t="s">
        <v>612</v>
      </c>
      <c r="H2317" s="27" t="s">
        <v>112</v>
      </c>
      <c r="I2317" s="29" t="s">
        <v>39</v>
      </c>
      <c r="J2317" s="27" t="s">
        <v>141</v>
      </c>
      <c r="K2317" s="29" t="s">
        <v>4096</v>
      </c>
      <c r="L2317" s="27" t="s">
        <v>3735</v>
      </c>
      <c r="M2317" s="27" t="s">
        <v>614</v>
      </c>
      <c r="N2317" s="29" t="s">
        <v>4080</v>
      </c>
      <c r="O2317" s="27" t="s">
        <v>59</v>
      </c>
      <c r="P2317" s="30" t="s">
        <v>4097</v>
      </c>
    </row>
    <row r="2318" s="25" customFormat="1" spans="1:16">
      <c r="A2318" s="27" t="s">
        <v>4096</v>
      </c>
      <c r="B2318" s="27" t="s">
        <v>4076</v>
      </c>
      <c r="C2318" s="27" t="s">
        <v>129</v>
      </c>
      <c r="D2318" s="27" t="s">
        <v>3573</v>
      </c>
      <c r="E2318" s="27" t="s">
        <v>35</v>
      </c>
      <c r="F2318" s="27" t="s">
        <v>51</v>
      </c>
      <c r="G2318" s="27" t="s">
        <v>612</v>
      </c>
      <c r="H2318" s="27" t="s">
        <v>112</v>
      </c>
      <c r="I2318" s="29" t="s">
        <v>39</v>
      </c>
      <c r="J2318" s="27" t="s">
        <v>145</v>
      </c>
      <c r="K2318" s="29" t="s">
        <v>4098</v>
      </c>
      <c r="L2318" s="27" t="s">
        <v>3737</v>
      </c>
      <c r="M2318" s="27" t="s">
        <v>614</v>
      </c>
      <c r="N2318" s="29" t="s">
        <v>4080</v>
      </c>
      <c r="O2318" s="27" t="s">
        <v>59</v>
      </c>
      <c r="P2318" s="30" t="s">
        <v>4099</v>
      </c>
    </row>
    <row r="2319" s="25" customFormat="1" spans="1:16">
      <c r="A2319" s="27" t="s">
        <v>4098</v>
      </c>
      <c r="B2319" s="27" t="s">
        <v>4076</v>
      </c>
      <c r="C2319" s="27" t="s">
        <v>129</v>
      </c>
      <c r="D2319" s="27" t="s">
        <v>3573</v>
      </c>
      <c r="E2319" s="27" t="s">
        <v>35</v>
      </c>
      <c r="F2319" s="27" t="s">
        <v>51</v>
      </c>
      <c r="G2319" s="27" t="s">
        <v>612</v>
      </c>
      <c r="H2319" s="27" t="s">
        <v>112</v>
      </c>
      <c r="I2319" s="29" t="s">
        <v>39</v>
      </c>
      <c r="J2319" s="27" t="s">
        <v>408</v>
      </c>
      <c r="K2319" s="29" t="s">
        <v>4100</v>
      </c>
      <c r="L2319" s="27" t="s">
        <v>3998</v>
      </c>
      <c r="M2319" s="27" t="s">
        <v>614</v>
      </c>
      <c r="N2319" s="29" t="s">
        <v>4080</v>
      </c>
      <c r="O2319" s="27" t="s">
        <v>59</v>
      </c>
      <c r="P2319" s="30" t="s">
        <v>4101</v>
      </c>
    </row>
    <row r="2320" s="25" customFormat="1" spans="1:16">
      <c r="A2320" s="27" t="s">
        <v>4100</v>
      </c>
      <c r="B2320" s="27" t="s">
        <v>4076</v>
      </c>
      <c r="C2320" s="27" t="s">
        <v>129</v>
      </c>
      <c r="D2320" s="27" t="s">
        <v>3573</v>
      </c>
      <c r="E2320" s="27" t="s">
        <v>35</v>
      </c>
      <c r="F2320" s="27" t="s">
        <v>51</v>
      </c>
      <c r="G2320" s="27" t="s">
        <v>612</v>
      </c>
      <c r="H2320" s="27" t="s">
        <v>112</v>
      </c>
      <c r="I2320" s="29" t="s">
        <v>39</v>
      </c>
      <c r="J2320" s="27" t="s">
        <v>412</v>
      </c>
      <c r="K2320" s="29" t="s">
        <v>4102</v>
      </c>
      <c r="L2320" s="27" t="s">
        <v>4001</v>
      </c>
      <c r="M2320" s="27" t="s">
        <v>614</v>
      </c>
      <c r="N2320" s="29" t="s">
        <v>4080</v>
      </c>
      <c r="O2320" s="27" t="s">
        <v>59</v>
      </c>
      <c r="P2320" s="30" t="s">
        <v>4103</v>
      </c>
    </row>
    <row r="2321" s="25" customFormat="1" spans="1:16">
      <c r="A2321" s="27" t="s">
        <v>4102</v>
      </c>
      <c r="B2321" s="27" t="s">
        <v>4076</v>
      </c>
      <c r="C2321" s="27" t="s">
        <v>129</v>
      </c>
      <c r="D2321" s="27" t="s">
        <v>3573</v>
      </c>
      <c r="E2321" s="27" t="s">
        <v>35</v>
      </c>
      <c r="F2321" s="27" t="s">
        <v>51</v>
      </c>
      <c r="G2321" s="27" t="s">
        <v>612</v>
      </c>
      <c r="H2321" s="27" t="s">
        <v>112</v>
      </c>
      <c r="I2321" s="29" t="s">
        <v>39</v>
      </c>
      <c r="J2321" s="27" t="s">
        <v>416</v>
      </c>
      <c r="K2321" s="29" t="s">
        <v>4104</v>
      </c>
      <c r="L2321" s="27" t="s">
        <v>4028</v>
      </c>
      <c r="M2321" s="27" t="s">
        <v>614</v>
      </c>
      <c r="N2321" s="29" t="s">
        <v>4080</v>
      </c>
      <c r="O2321" s="27" t="s">
        <v>59</v>
      </c>
      <c r="P2321" s="30" t="s">
        <v>4105</v>
      </c>
    </row>
    <row r="2322" s="25" customFormat="1" spans="1:16">
      <c r="A2322" s="27" t="s">
        <v>4104</v>
      </c>
      <c r="B2322" s="27" t="s">
        <v>4076</v>
      </c>
      <c r="C2322" s="27" t="s">
        <v>129</v>
      </c>
      <c r="D2322" s="27" t="s">
        <v>3573</v>
      </c>
      <c r="E2322" s="27" t="s">
        <v>35</v>
      </c>
      <c r="F2322" s="27" t="s">
        <v>51</v>
      </c>
      <c r="G2322" s="27" t="s">
        <v>612</v>
      </c>
      <c r="H2322" s="27" t="s">
        <v>112</v>
      </c>
      <c r="I2322" s="29" t="s">
        <v>39</v>
      </c>
      <c r="J2322" s="27" t="s">
        <v>420</v>
      </c>
      <c r="K2322" s="29" t="s">
        <v>4106</v>
      </c>
      <c r="L2322" s="27" t="s">
        <v>4031</v>
      </c>
      <c r="M2322" s="27" t="s">
        <v>614</v>
      </c>
      <c r="N2322" s="29" t="s">
        <v>4080</v>
      </c>
      <c r="O2322" s="27" t="s">
        <v>59</v>
      </c>
      <c r="P2322" s="30" t="s">
        <v>4107</v>
      </c>
    </row>
    <row r="2323" s="25" customFormat="1" spans="1:16">
      <c r="A2323" s="27" t="s">
        <v>4106</v>
      </c>
      <c r="B2323" s="27" t="s">
        <v>4076</v>
      </c>
      <c r="C2323" s="27" t="s">
        <v>129</v>
      </c>
      <c r="D2323" s="27" t="s">
        <v>3573</v>
      </c>
      <c r="E2323" s="27" t="s">
        <v>35</v>
      </c>
      <c r="F2323" s="27" t="s">
        <v>51</v>
      </c>
      <c r="G2323" s="27" t="s">
        <v>612</v>
      </c>
      <c r="H2323" s="27" t="s">
        <v>112</v>
      </c>
      <c r="I2323" s="29" t="s">
        <v>39</v>
      </c>
      <c r="J2323" s="27" t="s">
        <v>424</v>
      </c>
      <c r="K2323" s="29" t="s">
        <v>4108</v>
      </c>
      <c r="L2323" s="27" t="s">
        <v>4109</v>
      </c>
      <c r="M2323" s="27" t="s">
        <v>614</v>
      </c>
      <c r="N2323" s="29" t="s">
        <v>4080</v>
      </c>
      <c r="O2323" s="27" t="s">
        <v>59</v>
      </c>
      <c r="P2323" s="30" t="s">
        <v>4110</v>
      </c>
    </row>
    <row r="2324" s="25" customFormat="1" spans="1:16">
      <c r="A2324" s="27" t="s">
        <v>4108</v>
      </c>
      <c r="B2324" s="27" t="s">
        <v>4076</v>
      </c>
      <c r="C2324" s="27" t="s">
        <v>129</v>
      </c>
      <c r="D2324" s="27" t="s">
        <v>3573</v>
      </c>
      <c r="E2324" s="27" t="s">
        <v>35</v>
      </c>
      <c r="F2324" s="27" t="s">
        <v>51</v>
      </c>
      <c r="G2324" s="27" t="s">
        <v>612</v>
      </c>
      <c r="H2324" s="27" t="s">
        <v>112</v>
      </c>
      <c r="I2324" s="29" t="s">
        <v>39</v>
      </c>
      <c r="J2324" s="27" t="s">
        <v>631</v>
      </c>
      <c r="K2324" s="29" t="s">
        <v>4111</v>
      </c>
      <c r="L2324" s="27" t="s">
        <v>4112</v>
      </c>
      <c r="M2324" s="27" t="s">
        <v>614</v>
      </c>
      <c r="N2324" s="29" t="s">
        <v>4080</v>
      </c>
      <c r="O2324" s="27" t="s">
        <v>59</v>
      </c>
      <c r="P2324" s="30" t="s">
        <v>4113</v>
      </c>
    </row>
    <row r="2325" s="25" customFormat="1" spans="1:16">
      <c r="A2325" s="27" t="s">
        <v>4111</v>
      </c>
      <c r="B2325" s="27" t="s">
        <v>4076</v>
      </c>
      <c r="C2325" s="27" t="s">
        <v>129</v>
      </c>
      <c r="D2325" s="27" t="s">
        <v>3573</v>
      </c>
      <c r="E2325" s="27" t="s">
        <v>35</v>
      </c>
      <c r="F2325" s="27" t="s">
        <v>51</v>
      </c>
      <c r="G2325" s="27" t="s">
        <v>612</v>
      </c>
      <c r="H2325" s="27" t="s">
        <v>112</v>
      </c>
      <c r="I2325" s="29" t="s">
        <v>39</v>
      </c>
      <c r="J2325" s="27" t="s">
        <v>635</v>
      </c>
      <c r="K2325" s="29" t="s">
        <v>4114</v>
      </c>
      <c r="L2325" s="27" t="s">
        <v>4115</v>
      </c>
      <c r="M2325" s="27" t="s">
        <v>614</v>
      </c>
      <c r="N2325" s="29" t="s">
        <v>4080</v>
      </c>
      <c r="O2325" s="27" t="s">
        <v>59</v>
      </c>
      <c r="P2325" s="30" t="s">
        <v>4116</v>
      </c>
    </row>
    <row r="2326" s="25" customFormat="1" spans="1:16">
      <c r="A2326" s="27" t="s">
        <v>4114</v>
      </c>
      <c r="B2326" s="27" t="s">
        <v>4076</v>
      </c>
      <c r="C2326" s="27" t="s">
        <v>129</v>
      </c>
      <c r="D2326" s="27" t="s">
        <v>3573</v>
      </c>
      <c r="E2326" s="27" t="s">
        <v>35</v>
      </c>
      <c r="F2326" s="27" t="s">
        <v>51</v>
      </c>
      <c r="G2326" s="27" t="s">
        <v>612</v>
      </c>
      <c r="H2326" s="27" t="s">
        <v>112</v>
      </c>
      <c r="I2326" s="29" t="s">
        <v>39</v>
      </c>
      <c r="J2326" s="27" t="s">
        <v>639</v>
      </c>
      <c r="K2326" s="29" t="s">
        <v>4117</v>
      </c>
      <c r="L2326" s="27" t="s">
        <v>4118</v>
      </c>
      <c r="M2326" s="27" t="s">
        <v>614</v>
      </c>
      <c r="N2326" s="29" t="s">
        <v>4080</v>
      </c>
      <c r="O2326" s="27" t="s">
        <v>59</v>
      </c>
      <c r="P2326" s="30" t="s">
        <v>4119</v>
      </c>
    </row>
    <row r="2327" s="25" customFormat="1" spans="1:16">
      <c r="A2327" s="27" t="s">
        <v>4117</v>
      </c>
      <c r="B2327" s="27" t="s">
        <v>4076</v>
      </c>
      <c r="C2327" s="27" t="s">
        <v>129</v>
      </c>
      <c r="D2327" s="27" t="s">
        <v>3573</v>
      </c>
      <c r="E2327" s="27" t="s">
        <v>35</v>
      </c>
      <c r="F2327" s="27" t="s">
        <v>51</v>
      </c>
      <c r="G2327" s="27" t="s">
        <v>612</v>
      </c>
      <c r="H2327" s="27" t="s">
        <v>112</v>
      </c>
      <c r="I2327" s="29" t="s">
        <v>39</v>
      </c>
      <c r="J2327" s="27" t="s">
        <v>643</v>
      </c>
      <c r="K2327" s="29" t="s">
        <v>4120</v>
      </c>
      <c r="L2327" s="27" t="s">
        <v>4121</v>
      </c>
      <c r="M2327" s="27" t="s">
        <v>614</v>
      </c>
      <c r="N2327" s="29" t="s">
        <v>4080</v>
      </c>
      <c r="O2327" s="27" t="s">
        <v>59</v>
      </c>
      <c r="P2327" s="30" t="s">
        <v>4122</v>
      </c>
    </row>
    <row r="2328" s="25" customFormat="1" spans="1:16">
      <c r="A2328" s="27" t="s">
        <v>4120</v>
      </c>
      <c r="B2328" s="27" t="s">
        <v>4076</v>
      </c>
      <c r="C2328" s="27" t="s">
        <v>129</v>
      </c>
      <c r="D2328" s="27" t="s">
        <v>3573</v>
      </c>
      <c r="E2328" s="27" t="s">
        <v>35</v>
      </c>
      <c r="F2328" s="27" t="s">
        <v>51</v>
      </c>
      <c r="G2328" s="27" t="s">
        <v>612</v>
      </c>
      <c r="H2328" s="27" t="s">
        <v>112</v>
      </c>
      <c r="I2328" s="29" t="s">
        <v>39</v>
      </c>
      <c r="J2328" s="27" t="s">
        <v>647</v>
      </c>
      <c r="K2328" s="29" t="s">
        <v>39</v>
      </c>
      <c r="L2328" s="27" t="s">
        <v>39</v>
      </c>
      <c r="M2328" s="27" t="s">
        <v>39</v>
      </c>
      <c r="N2328" s="29" t="s">
        <v>4080</v>
      </c>
      <c r="O2328" s="27" t="s">
        <v>59</v>
      </c>
      <c r="P2328" s="30" t="s">
        <v>4123</v>
      </c>
    </row>
    <row r="2329" s="25" customFormat="1" spans="1:16">
      <c r="A2329" s="27" t="s">
        <v>4124</v>
      </c>
      <c r="B2329" s="27" t="s">
        <v>4124</v>
      </c>
      <c r="C2329" s="27" t="s">
        <v>129</v>
      </c>
      <c r="D2329" s="27" t="s">
        <v>3573</v>
      </c>
      <c r="E2329" s="27" t="s">
        <v>35</v>
      </c>
      <c r="F2329" s="27" t="s">
        <v>51</v>
      </c>
      <c r="G2329" s="27" t="s">
        <v>650</v>
      </c>
      <c r="H2329" s="27" t="s">
        <v>149</v>
      </c>
      <c r="I2329" s="29" t="s">
        <v>39</v>
      </c>
      <c r="J2329" s="27" t="s">
        <v>39</v>
      </c>
      <c r="K2329" s="29" t="s">
        <v>4125</v>
      </c>
      <c r="L2329" s="27" t="s">
        <v>3706</v>
      </c>
      <c r="M2329" s="27" t="s">
        <v>652</v>
      </c>
      <c r="N2329" s="29" t="s">
        <v>3613</v>
      </c>
      <c r="O2329" s="27" t="s">
        <v>129</v>
      </c>
      <c r="P2329" s="30" t="s">
        <v>4078</v>
      </c>
    </row>
    <row r="2330" s="25" customFormat="1" spans="1:16">
      <c r="A2330" s="27" t="s">
        <v>4125</v>
      </c>
      <c r="B2330" s="27" t="s">
        <v>4124</v>
      </c>
      <c r="C2330" s="27" t="s">
        <v>129</v>
      </c>
      <c r="D2330" s="27" t="s">
        <v>3573</v>
      </c>
      <c r="E2330" s="27" t="s">
        <v>35</v>
      </c>
      <c r="F2330" s="27" t="s">
        <v>51</v>
      </c>
      <c r="G2330" s="27" t="s">
        <v>650</v>
      </c>
      <c r="H2330" s="27" t="s">
        <v>149</v>
      </c>
      <c r="I2330" s="29" t="s">
        <v>39</v>
      </c>
      <c r="J2330" s="27" t="s">
        <v>35</v>
      </c>
      <c r="K2330" s="29" t="s">
        <v>4126</v>
      </c>
      <c r="L2330" s="27" t="s">
        <v>3710</v>
      </c>
      <c r="M2330" s="27" t="s">
        <v>652</v>
      </c>
      <c r="N2330" s="29" t="s">
        <v>4080</v>
      </c>
      <c r="O2330" s="27" t="s">
        <v>129</v>
      </c>
      <c r="P2330" s="30" t="s">
        <v>4081</v>
      </c>
    </row>
    <row r="2331" s="25" customFormat="1" spans="1:16">
      <c r="A2331" s="27" t="s">
        <v>4126</v>
      </c>
      <c r="B2331" s="27" t="s">
        <v>4124</v>
      </c>
      <c r="C2331" s="27" t="s">
        <v>129</v>
      </c>
      <c r="D2331" s="27" t="s">
        <v>3573</v>
      </c>
      <c r="E2331" s="27" t="s">
        <v>35</v>
      </c>
      <c r="F2331" s="27" t="s">
        <v>51</v>
      </c>
      <c r="G2331" s="27" t="s">
        <v>650</v>
      </c>
      <c r="H2331" s="27" t="s">
        <v>149</v>
      </c>
      <c r="I2331" s="29" t="s">
        <v>39</v>
      </c>
      <c r="J2331" s="27" t="s">
        <v>47</v>
      </c>
      <c r="K2331" s="29" t="s">
        <v>4127</v>
      </c>
      <c r="L2331" s="27" t="s">
        <v>3714</v>
      </c>
      <c r="M2331" s="27" t="s">
        <v>652</v>
      </c>
      <c r="N2331" s="29" t="s">
        <v>4080</v>
      </c>
      <c r="O2331" s="27" t="s">
        <v>129</v>
      </c>
      <c r="P2331" s="30" t="s">
        <v>4083</v>
      </c>
    </row>
    <row r="2332" s="25" customFormat="1" spans="1:16">
      <c r="A2332" s="27" t="s">
        <v>4127</v>
      </c>
      <c r="B2332" s="27" t="s">
        <v>4124</v>
      </c>
      <c r="C2332" s="27" t="s">
        <v>129</v>
      </c>
      <c r="D2332" s="27" t="s">
        <v>3573</v>
      </c>
      <c r="E2332" s="27" t="s">
        <v>35</v>
      </c>
      <c r="F2332" s="27" t="s">
        <v>51</v>
      </c>
      <c r="G2332" s="27" t="s">
        <v>650</v>
      </c>
      <c r="H2332" s="27" t="s">
        <v>149</v>
      </c>
      <c r="I2332" s="29" t="s">
        <v>39</v>
      </c>
      <c r="J2332" s="27" t="s">
        <v>51</v>
      </c>
      <c r="K2332" s="29" t="s">
        <v>4128</v>
      </c>
      <c r="L2332" s="27" t="s">
        <v>3717</v>
      </c>
      <c r="M2332" s="27" t="s">
        <v>652</v>
      </c>
      <c r="N2332" s="29" t="s">
        <v>4080</v>
      </c>
      <c r="O2332" s="27" t="s">
        <v>129</v>
      </c>
      <c r="P2332" s="30" t="s">
        <v>4085</v>
      </c>
    </row>
    <row r="2333" s="25" customFormat="1" spans="1:16">
      <c r="A2333" s="27" t="s">
        <v>4128</v>
      </c>
      <c r="B2333" s="27" t="s">
        <v>4124</v>
      </c>
      <c r="C2333" s="27" t="s">
        <v>129</v>
      </c>
      <c r="D2333" s="27" t="s">
        <v>3573</v>
      </c>
      <c r="E2333" s="27" t="s">
        <v>35</v>
      </c>
      <c r="F2333" s="27" t="s">
        <v>51</v>
      </c>
      <c r="G2333" s="27" t="s">
        <v>650</v>
      </c>
      <c r="H2333" s="27" t="s">
        <v>149</v>
      </c>
      <c r="I2333" s="29" t="s">
        <v>39</v>
      </c>
      <c r="J2333" s="27" t="s">
        <v>55</v>
      </c>
      <c r="K2333" s="29" t="s">
        <v>4129</v>
      </c>
      <c r="L2333" s="27" t="s">
        <v>3720</v>
      </c>
      <c r="M2333" s="27" t="s">
        <v>652</v>
      </c>
      <c r="N2333" s="29" t="s">
        <v>4080</v>
      </c>
      <c r="O2333" s="27" t="s">
        <v>129</v>
      </c>
      <c r="P2333" s="30" t="s">
        <v>4087</v>
      </c>
    </row>
    <row r="2334" s="25" customFormat="1" spans="1:16">
      <c r="A2334" s="27" t="s">
        <v>4129</v>
      </c>
      <c r="B2334" s="27" t="s">
        <v>4124</v>
      </c>
      <c r="C2334" s="27" t="s">
        <v>129</v>
      </c>
      <c r="D2334" s="27" t="s">
        <v>3573</v>
      </c>
      <c r="E2334" s="27" t="s">
        <v>35</v>
      </c>
      <c r="F2334" s="27" t="s">
        <v>51</v>
      </c>
      <c r="G2334" s="27" t="s">
        <v>650</v>
      </c>
      <c r="H2334" s="27" t="s">
        <v>149</v>
      </c>
      <c r="I2334" s="29" t="s">
        <v>39</v>
      </c>
      <c r="J2334" s="27" t="s">
        <v>59</v>
      </c>
      <c r="K2334" s="29" t="s">
        <v>4130</v>
      </c>
      <c r="L2334" s="27" t="s">
        <v>3723</v>
      </c>
      <c r="M2334" s="27" t="s">
        <v>652</v>
      </c>
      <c r="N2334" s="29" t="s">
        <v>4080</v>
      </c>
      <c r="O2334" s="27" t="s">
        <v>129</v>
      </c>
      <c r="P2334" s="30" t="s">
        <v>4089</v>
      </c>
    </row>
    <row r="2335" s="25" customFormat="1" spans="1:16">
      <c r="A2335" s="27" t="s">
        <v>4130</v>
      </c>
      <c r="B2335" s="27" t="s">
        <v>4124</v>
      </c>
      <c r="C2335" s="27" t="s">
        <v>129</v>
      </c>
      <c r="D2335" s="27" t="s">
        <v>3573</v>
      </c>
      <c r="E2335" s="27" t="s">
        <v>35</v>
      </c>
      <c r="F2335" s="27" t="s">
        <v>51</v>
      </c>
      <c r="G2335" s="27" t="s">
        <v>650</v>
      </c>
      <c r="H2335" s="27" t="s">
        <v>149</v>
      </c>
      <c r="I2335" s="29" t="s">
        <v>39</v>
      </c>
      <c r="J2335" s="27" t="s">
        <v>129</v>
      </c>
      <c r="K2335" s="29" t="s">
        <v>4131</v>
      </c>
      <c r="L2335" s="27" t="s">
        <v>3726</v>
      </c>
      <c r="M2335" s="27" t="s">
        <v>652</v>
      </c>
      <c r="N2335" s="29" t="s">
        <v>4080</v>
      </c>
      <c r="O2335" s="27" t="s">
        <v>129</v>
      </c>
      <c r="P2335" s="30" t="s">
        <v>4091</v>
      </c>
    </row>
    <row r="2336" s="25" customFormat="1" spans="1:16">
      <c r="A2336" s="27" t="s">
        <v>4131</v>
      </c>
      <c r="B2336" s="27" t="s">
        <v>4124</v>
      </c>
      <c r="C2336" s="27" t="s">
        <v>129</v>
      </c>
      <c r="D2336" s="27" t="s">
        <v>3573</v>
      </c>
      <c r="E2336" s="27" t="s">
        <v>35</v>
      </c>
      <c r="F2336" s="27" t="s">
        <v>51</v>
      </c>
      <c r="G2336" s="27" t="s">
        <v>650</v>
      </c>
      <c r="H2336" s="27" t="s">
        <v>149</v>
      </c>
      <c r="I2336" s="29" t="s">
        <v>39</v>
      </c>
      <c r="J2336" s="27" t="s">
        <v>133</v>
      </c>
      <c r="K2336" s="29" t="s">
        <v>4132</v>
      </c>
      <c r="L2336" s="27" t="s">
        <v>3729</v>
      </c>
      <c r="M2336" s="27" t="s">
        <v>652</v>
      </c>
      <c r="N2336" s="29" t="s">
        <v>4080</v>
      </c>
      <c r="O2336" s="27" t="s">
        <v>129</v>
      </c>
      <c r="P2336" s="30" t="s">
        <v>4093</v>
      </c>
    </row>
    <row r="2337" s="25" customFormat="1" spans="1:16">
      <c r="A2337" s="27" t="s">
        <v>4132</v>
      </c>
      <c r="B2337" s="27" t="s">
        <v>4124</v>
      </c>
      <c r="C2337" s="27" t="s">
        <v>129</v>
      </c>
      <c r="D2337" s="27" t="s">
        <v>3573</v>
      </c>
      <c r="E2337" s="27" t="s">
        <v>35</v>
      </c>
      <c r="F2337" s="27" t="s">
        <v>51</v>
      </c>
      <c r="G2337" s="27" t="s">
        <v>650</v>
      </c>
      <c r="H2337" s="27" t="s">
        <v>149</v>
      </c>
      <c r="I2337" s="29" t="s">
        <v>39</v>
      </c>
      <c r="J2337" s="27" t="s">
        <v>137</v>
      </c>
      <c r="K2337" s="29" t="s">
        <v>4133</v>
      </c>
      <c r="L2337" s="27" t="s">
        <v>3732</v>
      </c>
      <c r="M2337" s="27" t="s">
        <v>652</v>
      </c>
      <c r="N2337" s="29" t="s">
        <v>4080</v>
      </c>
      <c r="O2337" s="27" t="s">
        <v>129</v>
      </c>
      <c r="P2337" s="30" t="s">
        <v>4095</v>
      </c>
    </row>
    <row r="2338" s="25" customFormat="1" spans="1:16">
      <c r="A2338" s="27" t="s">
        <v>4133</v>
      </c>
      <c r="B2338" s="27" t="s">
        <v>4124</v>
      </c>
      <c r="C2338" s="27" t="s">
        <v>129</v>
      </c>
      <c r="D2338" s="27" t="s">
        <v>3573</v>
      </c>
      <c r="E2338" s="27" t="s">
        <v>35</v>
      </c>
      <c r="F2338" s="27" t="s">
        <v>51</v>
      </c>
      <c r="G2338" s="27" t="s">
        <v>650</v>
      </c>
      <c r="H2338" s="27" t="s">
        <v>149</v>
      </c>
      <c r="I2338" s="29" t="s">
        <v>39</v>
      </c>
      <c r="J2338" s="27" t="s">
        <v>141</v>
      </c>
      <c r="K2338" s="29" t="s">
        <v>4134</v>
      </c>
      <c r="L2338" s="27" t="s">
        <v>3735</v>
      </c>
      <c r="M2338" s="27" t="s">
        <v>652</v>
      </c>
      <c r="N2338" s="29" t="s">
        <v>4080</v>
      </c>
      <c r="O2338" s="27" t="s">
        <v>129</v>
      </c>
      <c r="P2338" s="30" t="s">
        <v>4097</v>
      </c>
    </row>
    <row r="2339" s="25" customFormat="1" spans="1:16">
      <c r="A2339" s="27" t="s">
        <v>4134</v>
      </c>
      <c r="B2339" s="27" t="s">
        <v>4124</v>
      </c>
      <c r="C2339" s="27" t="s">
        <v>129</v>
      </c>
      <c r="D2339" s="27" t="s">
        <v>3573</v>
      </c>
      <c r="E2339" s="27" t="s">
        <v>35</v>
      </c>
      <c r="F2339" s="27" t="s">
        <v>51</v>
      </c>
      <c r="G2339" s="27" t="s">
        <v>650</v>
      </c>
      <c r="H2339" s="27" t="s">
        <v>149</v>
      </c>
      <c r="I2339" s="29" t="s">
        <v>39</v>
      </c>
      <c r="J2339" s="27" t="s">
        <v>145</v>
      </c>
      <c r="K2339" s="29" t="s">
        <v>4135</v>
      </c>
      <c r="L2339" s="27" t="s">
        <v>3737</v>
      </c>
      <c r="M2339" s="27" t="s">
        <v>652</v>
      </c>
      <c r="N2339" s="29" t="s">
        <v>4080</v>
      </c>
      <c r="O2339" s="27" t="s">
        <v>129</v>
      </c>
      <c r="P2339" s="30" t="s">
        <v>4099</v>
      </c>
    </row>
    <row r="2340" s="25" customFormat="1" spans="1:16">
      <c r="A2340" s="27" t="s">
        <v>4135</v>
      </c>
      <c r="B2340" s="27" t="s">
        <v>4124</v>
      </c>
      <c r="C2340" s="27" t="s">
        <v>129</v>
      </c>
      <c r="D2340" s="27" t="s">
        <v>3573</v>
      </c>
      <c r="E2340" s="27" t="s">
        <v>35</v>
      </c>
      <c r="F2340" s="27" t="s">
        <v>51</v>
      </c>
      <c r="G2340" s="27" t="s">
        <v>650</v>
      </c>
      <c r="H2340" s="27" t="s">
        <v>149</v>
      </c>
      <c r="I2340" s="29" t="s">
        <v>39</v>
      </c>
      <c r="J2340" s="27" t="s">
        <v>408</v>
      </c>
      <c r="K2340" s="29" t="s">
        <v>4136</v>
      </c>
      <c r="L2340" s="27" t="s">
        <v>3998</v>
      </c>
      <c r="M2340" s="27" t="s">
        <v>652</v>
      </c>
      <c r="N2340" s="29" t="s">
        <v>4080</v>
      </c>
      <c r="O2340" s="27" t="s">
        <v>129</v>
      </c>
      <c r="P2340" s="30" t="s">
        <v>4101</v>
      </c>
    </row>
    <row r="2341" s="25" customFormat="1" spans="1:16">
      <c r="A2341" s="27" t="s">
        <v>4136</v>
      </c>
      <c r="B2341" s="27" t="s">
        <v>4124</v>
      </c>
      <c r="C2341" s="27" t="s">
        <v>129</v>
      </c>
      <c r="D2341" s="27" t="s">
        <v>3573</v>
      </c>
      <c r="E2341" s="27" t="s">
        <v>35</v>
      </c>
      <c r="F2341" s="27" t="s">
        <v>51</v>
      </c>
      <c r="G2341" s="27" t="s">
        <v>650</v>
      </c>
      <c r="H2341" s="27" t="s">
        <v>149</v>
      </c>
      <c r="I2341" s="29" t="s">
        <v>39</v>
      </c>
      <c r="J2341" s="27" t="s">
        <v>412</v>
      </c>
      <c r="K2341" s="29" t="s">
        <v>4137</v>
      </c>
      <c r="L2341" s="27" t="s">
        <v>4001</v>
      </c>
      <c r="M2341" s="27" t="s">
        <v>652</v>
      </c>
      <c r="N2341" s="29" t="s">
        <v>4080</v>
      </c>
      <c r="O2341" s="27" t="s">
        <v>129</v>
      </c>
      <c r="P2341" s="30" t="s">
        <v>4103</v>
      </c>
    </row>
    <row r="2342" s="25" customFormat="1" spans="1:16">
      <c r="A2342" s="27" t="s">
        <v>4137</v>
      </c>
      <c r="B2342" s="27" t="s">
        <v>4124</v>
      </c>
      <c r="C2342" s="27" t="s">
        <v>129</v>
      </c>
      <c r="D2342" s="27" t="s">
        <v>3573</v>
      </c>
      <c r="E2342" s="27" t="s">
        <v>35</v>
      </c>
      <c r="F2342" s="27" t="s">
        <v>51</v>
      </c>
      <c r="G2342" s="27" t="s">
        <v>650</v>
      </c>
      <c r="H2342" s="27" t="s">
        <v>149</v>
      </c>
      <c r="I2342" s="29" t="s">
        <v>39</v>
      </c>
      <c r="J2342" s="27" t="s">
        <v>416</v>
      </c>
      <c r="K2342" s="29" t="s">
        <v>4138</v>
      </c>
      <c r="L2342" s="27" t="s">
        <v>4028</v>
      </c>
      <c r="M2342" s="27" t="s">
        <v>652</v>
      </c>
      <c r="N2342" s="29" t="s">
        <v>4080</v>
      </c>
      <c r="O2342" s="27" t="s">
        <v>129</v>
      </c>
      <c r="P2342" s="30" t="s">
        <v>4105</v>
      </c>
    </row>
    <row r="2343" s="25" customFormat="1" spans="1:16">
      <c r="A2343" s="27" t="s">
        <v>4138</v>
      </c>
      <c r="B2343" s="27" t="s">
        <v>4124</v>
      </c>
      <c r="C2343" s="27" t="s">
        <v>129</v>
      </c>
      <c r="D2343" s="27" t="s">
        <v>3573</v>
      </c>
      <c r="E2343" s="27" t="s">
        <v>35</v>
      </c>
      <c r="F2343" s="27" t="s">
        <v>51</v>
      </c>
      <c r="G2343" s="27" t="s">
        <v>650</v>
      </c>
      <c r="H2343" s="27" t="s">
        <v>149</v>
      </c>
      <c r="I2343" s="29" t="s">
        <v>39</v>
      </c>
      <c r="J2343" s="27" t="s">
        <v>420</v>
      </c>
      <c r="K2343" s="29" t="s">
        <v>4139</v>
      </c>
      <c r="L2343" s="27" t="s">
        <v>4031</v>
      </c>
      <c r="M2343" s="27" t="s">
        <v>652</v>
      </c>
      <c r="N2343" s="29" t="s">
        <v>4080</v>
      </c>
      <c r="O2343" s="27" t="s">
        <v>129</v>
      </c>
      <c r="P2343" s="30" t="s">
        <v>4107</v>
      </c>
    </row>
    <row r="2344" s="25" customFormat="1" spans="1:16">
      <c r="A2344" s="27" t="s">
        <v>4139</v>
      </c>
      <c r="B2344" s="27" t="s">
        <v>4124</v>
      </c>
      <c r="C2344" s="27" t="s">
        <v>129</v>
      </c>
      <c r="D2344" s="27" t="s">
        <v>3573</v>
      </c>
      <c r="E2344" s="27" t="s">
        <v>35</v>
      </c>
      <c r="F2344" s="27" t="s">
        <v>51</v>
      </c>
      <c r="G2344" s="27" t="s">
        <v>650</v>
      </c>
      <c r="H2344" s="27" t="s">
        <v>149</v>
      </c>
      <c r="I2344" s="29" t="s">
        <v>39</v>
      </c>
      <c r="J2344" s="27" t="s">
        <v>424</v>
      </c>
      <c r="K2344" s="29" t="s">
        <v>4140</v>
      </c>
      <c r="L2344" s="27" t="s">
        <v>4109</v>
      </c>
      <c r="M2344" s="27" t="s">
        <v>652</v>
      </c>
      <c r="N2344" s="29" t="s">
        <v>4080</v>
      </c>
      <c r="O2344" s="27" t="s">
        <v>129</v>
      </c>
      <c r="P2344" s="30" t="s">
        <v>4110</v>
      </c>
    </row>
    <row r="2345" s="25" customFormat="1" spans="1:16">
      <c r="A2345" s="27" t="s">
        <v>4140</v>
      </c>
      <c r="B2345" s="27" t="s">
        <v>4124</v>
      </c>
      <c r="C2345" s="27" t="s">
        <v>129</v>
      </c>
      <c r="D2345" s="27" t="s">
        <v>3573</v>
      </c>
      <c r="E2345" s="27" t="s">
        <v>35</v>
      </c>
      <c r="F2345" s="27" t="s">
        <v>51</v>
      </c>
      <c r="G2345" s="27" t="s">
        <v>650</v>
      </c>
      <c r="H2345" s="27" t="s">
        <v>149</v>
      </c>
      <c r="I2345" s="29" t="s">
        <v>39</v>
      </c>
      <c r="J2345" s="27" t="s">
        <v>631</v>
      </c>
      <c r="K2345" s="29" t="s">
        <v>4141</v>
      </c>
      <c r="L2345" s="27" t="s">
        <v>4112</v>
      </c>
      <c r="M2345" s="27" t="s">
        <v>652</v>
      </c>
      <c r="N2345" s="29" t="s">
        <v>4080</v>
      </c>
      <c r="O2345" s="27" t="s">
        <v>129</v>
      </c>
      <c r="P2345" s="30" t="s">
        <v>4113</v>
      </c>
    </row>
    <row r="2346" s="25" customFormat="1" spans="1:16">
      <c r="A2346" s="27" t="s">
        <v>4141</v>
      </c>
      <c r="B2346" s="27" t="s">
        <v>4124</v>
      </c>
      <c r="C2346" s="27" t="s">
        <v>129</v>
      </c>
      <c r="D2346" s="27" t="s">
        <v>3573</v>
      </c>
      <c r="E2346" s="27" t="s">
        <v>35</v>
      </c>
      <c r="F2346" s="27" t="s">
        <v>51</v>
      </c>
      <c r="G2346" s="27" t="s">
        <v>650</v>
      </c>
      <c r="H2346" s="27" t="s">
        <v>149</v>
      </c>
      <c r="I2346" s="29" t="s">
        <v>39</v>
      </c>
      <c r="J2346" s="27" t="s">
        <v>635</v>
      </c>
      <c r="K2346" s="29" t="s">
        <v>4142</v>
      </c>
      <c r="L2346" s="27" t="s">
        <v>4115</v>
      </c>
      <c r="M2346" s="27" t="s">
        <v>652</v>
      </c>
      <c r="N2346" s="29" t="s">
        <v>4080</v>
      </c>
      <c r="O2346" s="27" t="s">
        <v>129</v>
      </c>
      <c r="P2346" s="30" t="s">
        <v>4116</v>
      </c>
    </row>
    <row r="2347" s="25" customFormat="1" spans="1:16">
      <c r="A2347" s="27" t="s">
        <v>4142</v>
      </c>
      <c r="B2347" s="27" t="s">
        <v>4124</v>
      </c>
      <c r="C2347" s="27" t="s">
        <v>129</v>
      </c>
      <c r="D2347" s="27" t="s">
        <v>3573</v>
      </c>
      <c r="E2347" s="27" t="s">
        <v>35</v>
      </c>
      <c r="F2347" s="27" t="s">
        <v>51</v>
      </c>
      <c r="G2347" s="27" t="s">
        <v>650</v>
      </c>
      <c r="H2347" s="27" t="s">
        <v>149</v>
      </c>
      <c r="I2347" s="29" t="s">
        <v>39</v>
      </c>
      <c r="J2347" s="27" t="s">
        <v>639</v>
      </c>
      <c r="K2347" s="29" t="s">
        <v>4143</v>
      </c>
      <c r="L2347" s="27" t="s">
        <v>4118</v>
      </c>
      <c r="M2347" s="27" t="s">
        <v>652</v>
      </c>
      <c r="N2347" s="29" t="s">
        <v>4080</v>
      </c>
      <c r="O2347" s="27" t="s">
        <v>129</v>
      </c>
      <c r="P2347" s="30" t="s">
        <v>4119</v>
      </c>
    </row>
    <row r="2348" s="25" customFormat="1" spans="1:16">
      <c r="A2348" s="27" t="s">
        <v>4143</v>
      </c>
      <c r="B2348" s="27" t="s">
        <v>4124</v>
      </c>
      <c r="C2348" s="27" t="s">
        <v>129</v>
      </c>
      <c r="D2348" s="27" t="s">
        <v>3573</v>
      </c>
      <c r="E2348" s="27" t="s">
        <v>35</v>
      </c>
      <c r="F2348" s="27" t="s">
        <v>51</v>
      </c>
      <c r="G2348" s="27" t="s">
        <v>650</v>
      </c>
      <c r="H2348" s="27" t="s">
        <v>149</v>
      </c>
      <c r="I2348" s="29" t="s">
        <v>39</v>
      </c>
      <c r="J2348" s="27" t="s">
        <v>643</v>
      </c>
      <c r="K2348" s="29" t="s">
        <v>4144</v>
      </c>
      <c r="L2348" s="27" t="s">
        <v>4121</v>
      </c>
      <c r="M2348" s="27" t="s">
        <v>652</v>
      </c>
      <c r="N2348" s="29" t="s">
        <v>4080</v>
      </c>
      <c r="O2348" s="27" t="s">
        <v>129</v>
      </c>
      <c r="P2348" s="30" t="s">
        <v>4122</v>
      </c>
    </row>
    <row r="2349" s="25" customFormat="1" spans="1:16">
      <c r="A2349" s="27" t="s">
        <v>4144</v>
      </c>
      <c r="B2349" s="27" t="s">
        <v>4124</v>
      </c>
      <c r="C2349" s="27" t="s">
        <v>129</v>
      </c>
      <c r="D2349" s="27" t="s">
        <v>3573</v>
      </c>
      <c r="E2349" s="27" t="s">
        <v>35</v>
      </c>
      <c r="F2349" s="27" t="s">
        <v>51</v>
      </c>
      <c r="G2349" s="27" t="s">
        <v>650</v>
      </c>
      <c r="H2349" s="27" t="s">
        <v>149</v>
      </c>
      <c r="I2349" s="29" t="s">
        <v>39</v>
      </c>
      <c r="J2349" s="27" t="s">
        <v>647</v>
      </c>
      <c r="K2349" s="29" t="s">
        <v>39</v>
      </c>
      <c r="L2349" s="27" t="s">
        <v>39</v>
      </c>
      <c r="M2349" s="27" t="s">
        <v>39</v>
      </c>
      <c r="N2349" s="29" t="s">
        <v>4080</v>
      </c>
      <c r="O2349" s="27" t="s">
        <v>129</v>
      </c>
      <c r="P2349" s="30" t="s">
        <v>4123</v>
      </c>
    </row>
    <row r="2350" s="25" customFormat="1" spans="1:16">
      <c r="A2350" s="27" t="s">
        <v>4145</v>
      </c>
      <c r="B2350" s="27" t="s">
        <v>4145</v>
      </c>
      <c r="C2350" s="27" t="s">
        <v>129</v>
      </c>
      <c r="D2350" s="27" t="s">
        <v>3573</v>
      </c>
      <c r="E2350" s="27" t="s">
        <v>35</v>
      </c>
      <c r="F2350" s="27" t="s">
        <v>51</v>
      </c>
      <c r="G2350" s="27" t="s">
        <v>678</v>
      </c>
      <c r="H2350" s="27" t="s">
        <v>176</v>
      </c>
      <c r="I2350" s="29" t="s">
        <v>39</v>
      </c>
      <c r="J2350" s="27" t="s">
        <v>39</v>
      </c>
      <c r="K2350" s="29" t="s">
        <v>4146</v>
      </c>
      <c r="L2350" s="27" t="s">
        <v>3706</v>
      </c>
      <c r="M2350" s="27" t="s">
        <v>680</v>
      </c>
      <c r="N2350" s="29" t="s">
        <v>3613</v>
      </c>
      <c r="O2350" s="27" t="s">
        <v>133</v>
      </c>
      <c r="P2350" s="30" t="s">
        <v>4078</v>
      </c>
    </row>
    <row r="2351" s="25" customFormat="1" spans="1:16">
      <c r="A2351" s="27" t="s">
        <v>4146</v>
      </c>
      <c r="B2351" s="27" t="s">
        <v>4145</v>
      </c>
      <c r="C2351" s="27" t="s">
        <v>129</v>
      </c>
      <c r="D2351" s="27" t="s">
        <v>3573</v>
      </c>
      <c r="E2351" s="27" t="s">
        <v>35</v>
      </c>
      <c r="F2351" s="27" t="s">
        <v>51</v>
      </c>
      <c r="G2351" s="27" t="s">
        <v>678</v>
      </c>
      <c r="H2351" s="27" t="s">
        <v>176</v>
      </c>
      <c r="I2351" s="29" t="s">
        <v>39</v>
      </c>
      <c r="J2351" s="27" t="s">
        <v>35</v>
      </c>
      <c r="K2351" s="29" t="s">
        <v>4147</v>
      </c>
      <c r="L2351" s="27" t="s">
        <v>3710</v>
      </c>
      <c r="M2351" s="27" t="s">
        <v>680</v>
      </c>
      <c r="N2351" s="29" t="s">
        <v>4080</v>
      </c>
      <c r="O2351" s="27" t="s">
        <v>133</v>
      </c>
      <c r="P2351" s="30" t="s">
        <v>4081</v>
      </c>
    </row>
    <row r="2352" s="25" customFormat="1" spans="1:16">
      <c r="A2352" s="27" t="s">
        <v>4147</v>
      </c>
      <c r="B2352" s="27" t="s">
        <v>4145</v>
      </c>
      <c r="C2352" s="27" t="s">
        <v>129</v>
      </c>
      <c r="D2352" s="27" t="s">
        <v>3573</v>
      </c>
      <c r="E2352" s="27" t="s">
        <v>35</v>
      </c>
      <c r="F2352" s="27" t="s">
        <v>51</v>
      </c>
      <c r="G2352" s="27" t="s">
        <v>678</v>
      </c>
      <c r="H2352" s="27" t="s">
        <v>176</v>
      </c>
      <c r="I2352" s="29" t="s">
        <v>39</v>
      </c>
      <c r="J2352" s="27" t="s">
        <v>47</v>
      </c>
      <c r="K2352" s="29" t="s">
        <v>4148</v>
      </c>
      <c r="L2352" s="27" t="s">
        <v>3714</v>
      </c>
      <c r="M2352" s="27" t="s">
        <v>680</v>
      </c>
      <c r="N2352" s="29" t="s">
        <v>4080</v>
      </c>
      <c r="O2352" s="27" t="s">
        <v>133</v>
      </c>
      <c r="P2352" s="30" t="s">
        <v>4083</v>
      </c>
    </row>
    <row r="2353" s="25" customFormat="1" spans="1:16">
      <c r="A2353" s="27" t="s">
        <v>4148</v>
      </c>
      <c r="B2353" s="27" t="s">
        <v>4145</v>
      </c>
      <c r="C2353" s="27" t="s">
        <v>129</v>
      </c>
      <c r="D2353" s="27" t="s">
        <v>3573</v>
      </c>
      <c r="E2353" s="27" t="s">
        <v>35</v>
      </c>
      <c r="F2353" s="27" t="s">
        <v>51</v>
      </c>
      <c r="G2353" s="27" t="s">
        <v>678</v>
      </c>
      <c r="H2353" s="27" t="s">
        <v>176</v>
      </c>
      <c r="I2353" s="29" t="s">
        <v>39</v>
      </c>
      <c r="J2353" s="27" t="s">
        <v>51</v>
      </c>
      <c r="K2353" s="29" t="s">
        <v>4149</v>
      </c>
      <c r="L2353" s="27" t="s">
        <v>3717</v>
      </c>
      <c r="M2353" s="27" t="s">
        <v>680</v>
      </c>
      <c r="N2353" s="29" t="s">
        <v>4080</v>
      </c>
      <c r="O2353" s="27" t="s">
        <v>133</v>
      </c>
      <c r="P2353" s="30" t="s">
        <v>4085</v>
      </c>
    </row>
    <row r="2354" s="25" customFormat="1" spans="1:16">
      <c r="A2354" s="27" t="s">
        <v>4149</v>
      </c>
      <c r="B2354" s="27" t="s">
        <v>4145</v>
      </c>
      <c r="C2354" s="27" t="s">
        <v>129</v>
      </c>
      <c r="D2354" s="27" t="s">
        <v>3573</v>
      </c>
      <c r="E2354" s="27" t="s">
        <v>35</v>
      </c>
      <c r="F2354" s="27" t="s">
        <v>51</v>
      </c>
      <c r="G2354" s="27" t="s">
        <v>678</v>
      </c>
      <c r="H2354" s="27" t="s">
        <v>176</v>
      </c>
      <c r="I2354" s="29" t="s">
        <v>39</v>
      </c>
      <c r="J2354" s="27" t="s">
        <v>55</v>
      </c>
      <c r="K2354" s="29" t="s">
        <v>4150</v>
      </c>
      <c r="L2354" s="27" t="s">
        <v>3720</v>
      </c>
      <c r="M2354" s="27" t="s">
        <v>680</v>
      </c>
      <c r="N2354" s="29" t="s">
        <v>4080</v>
      </c>
      <c r="O2354" s="27" t="s">
        <v>133</v>
      </c>
      <c r="P2354" s="30" t="s">
        <v>4087</v>
      </c>
    </row>
    <row r="2355" s="25" customFormat="1" spans="1:16">
      <c r="A2355" s="27" t="s">
        <v>4150</v>
      </c>
      <c r="B2355" s="27" t="s">
        <v>4145</v>
      </c>
      <c r="C2355" s="27" t="s">
        <v>129</v>
      </c>
      <c r="D2355" s="27" t="s">
        <v>3573</v>
      </c>
      <c r="E2355" s="27" t="s">
        <v>35</v>
      </c>
      <c r="F2355" s="27" t="s">
        <v>51</v>
      </c>
      <c r="G2355" s="27" t="s">
        <v>678</v>
      </c>
      <c r="H2355" s="27" t="s">
        <v>176</v>
      </c>
      <c r="I2355" s="29" t="s">
        <v>39</v>
      </c>
      <c r="J2355" s="27" t="s">
        <v>59</v>
      </c>
      <c r="K2355" s="29" t="s">
        <v>4151</v>
      </c>
      <c r="L2355" s="27" t="s">
        <v>3723</v>
      </c>
      <c r="M2355" s="27" t="s">
        <v>680</v>
      </c>
      <c r="N2355" s="29" t="s">
        <v>4080</v>
      </c>
      <c r="O2355" s="27" t="s">
        <v>133</v>
      </c>
      <c r="P2355" s="30" t="s">
        <v>4089</v>
      </c>
    </row>
    <row r="2356" s="25" customFormat="1" spans="1:16">
      <c r="A2356" s="27" t="s">
        <v>4151</v>
      </c>
      <c r="B2356" s="27" t="s">
        <v>4145</v>
      </c>
      <c r="C2356" s="27" t="s">
        <v>129</v>
      </c>
      <c r="D2356" s="27" t="s">
        <v>3573</v>
      </c>
      <c r="E2356" s="27" t="s">
        <v>35</v>
      </c>
      <c r="F2356" s="27" t="s">
        <v>51</v>
      </c>
      <c r="G2356" s="27" t="s">
        <v>678</v>
      </c>
      <c r="H2356" s="27" t="s">
        <v>176</v>
      </c>
      <c r="I2356" s="29" t="s">
        <v>39</v>
      </c>
      <c r="J2356" s="27" t="s">
        <v>129</v>
      </c>
      <c r="K2356" s="29" t="s">
        <v>4152</v>
      </c>
      <c r="L2356" s="27" t="s">
        <v>3726</v>
      </c>
      <c r="M2356" s="27" t="s">
        <v>680</v>
      </c>
      <c r="N2356" s="29" t="s">
        <v>4080</v>
      </c>
      <c r="O2356" s="27" t="s">
        <v>133</v>
      </c>
      <c r="P2356" s="30" t="s">
        <v>4091</v>
      </c>
    </row>
    <row r="2357" s="25" customFormat="1" spans="1:16">
      <c r="A2357" s="27" t="s">
        <v>4152</v>
      </c>
      <c r="B2357" s="27" t="s">
        <v>4145</v>
      </c>
      <c r="C2357" s="27" t="s">
        <v>129</v>
      </c>
      <c r="D2357" s="27" t="s">
        <v>3573</v>
      </c>
      <c r="E2357" s="27" t="s">
        <v>35</v>
      </c>
      <c r="F2357" s="27" t="s">
        <v>51</v>
      </c>
      <c r="G2357" s="27" t="s">
        <v>678</v>
      </c>
      <c r="H2357" s="27" t="s">
        <v>176</v>
      </c>
      <c r="I2357" s="29" t="s">
        <v>39</v>
      </c>
      <c r="J2357" s="27" t="s">
        <v>133</v>
      </c>
      <c r="K2357" s="29" t="s">
        <v>4153</v>
      </c>
      <c r="L2357" s="27" t="s">
        <v>3729</v>
      </c>
      <c r="M2357" s="27" t="s">
        <v>680</v>
      </c>
      <c r="N2357" s="29" t="s">
        <v>4080</v>
      </c>
      <c r="O2357" s="27" t="s">
        <v>133</v>
      </c>
      <c r="P2357" s="30" t="s">
        <v>4093</v>
      </c>
    </row>
    <row r="2358" s="25" customFormat="1" spans="1:16">
      <c r="A2358" s="27" t="s">
        <v>4153</v>
      </c>
      <c r="B2358" s="27" t="s">
        <v>4145</v>
      </c>
      <c r="C2358" s="27" t="s">
        <v>129</v>
      </c>
      <c r="D2358" s="27" t="s">
        <v>3573</v>
      </c>
      <c r="E2358" s="27" t="s">
        <v>35</v>
      </c>
      <c r="F2358" s="27" t="s">
        <v>51</v>
      </c>
      <c r="G2358" s="27" t="s">
        <v>678</v>
      </c>
      <c r="H2358" s="27" t="s">
        <v>176</v>
      </c>
      <c r="I2358" s="29" t="s">
        <v>39</v>
      </c>
      <c r="J2358" s="27" t="s">
        <v>137</v>
      </c>
      <c r="K2358" s="29" t="s">
        <v>4154</v>
      </c>
      <c r="L2358" s="27" t="s">
        <v>3732</v>
      </c>
      <c r="M2358" s="27" t="s">
        <v>680</v>
      </c>
      <c r="N2358" s="29" t="s">
        <v>4080</v>
      </c>
      <c r="O2358" s="27" t="s">
        <v>133</v>
      </c>
      <c r="P2358" s="30" t="s">
        <v>4095</v>
      </c>
    </row>
    <row r="2359" s="25" customFormat="1" spans="1:16">
      <c r="A2359" s="27" t="s">
        <v>4154</v>
      </c>
      <c r="B2359" s="27" t="s">
        <v>4145</v>
      </c>
      <c r="C2359" s="27" t="s">
        <v>129</v>
      </c>
      <c r="D2359" s="27" t="s">
        <v>3573</v>
      </c>
      <c r="E2359" s="27" t="s">
        <v>35</v>
      </c>
      <c r="F2359" s="27" t="s">
        <v>51</v>
      </c>
      <c r="G2359" s="27" t="s">
        <v>678</v>
      </c>
      <c r="H2359" s="27" t="s">
        <v>176</v>
      </c>
      <c r="I2359" s="29" t="s">
        <v>39</v>
      </c>
      <c r="J2359" s="27" t="s">
        <v>141</v>
      </c>
      <c r="K2359" s="29" t="s">
        <v>4155</v>
      </c>
      <c r="L2359" s="27" t="s">
        <v>3735</v>
      </c>
      <c r="M2359" s="27" t="s">
        <v>680</v>
      </c>
      <c r="N2359" s="29" t="s">
        <v>4080</v>
      </c>
      <c r="O2359" s="27" t="s">
        <v>133</v>
      </c>
      <c r="P2359" s="30" t="s">
        <v>4097</v>
      </c>
    </row>
    <row r="2360" s="25" customFormat="1" spans="1:16">
      <c r="A2360" s="27" t="s">
        <v>4155</v>
      </c>
      <c r="B2360" s="27" t="s">
        <v>4145</v>
      </c>
      <c r="C2360" s="27" t="s">
        <v>129</v>
      </c>
      <c r="D2360" s="27" t="s">
        <v>3573</v>
      </c>
      <c r="E2360" s="27" t="s">
        <v>35</v>
      </c>
      <c r="F2360" s="27" t="s">
        <v>51</v>
      </c>
      <c r="G2360" s="27" t="s">
        <v>678</v>
      </c>
      <c r="H2360" s="27" t="s">
        <v>176</v>
      </c>
      <c r="I2360" s="29" t="s">
        <v>39</v>
      </c>
      <c r="J2360" s="27" t="s">
        <v>145</v>
      </c>
      <c r="K2360" s="29" t="s">
        <v>4156</v>
      </c>
      <c r="L2360" s="27" t="s">
        <v>3737</v>
      </c>
      <c r="M2360" s="27" t="s">
        <v>680</v>
      </c>
      <c r="N2360" s="29" t="s">
        <v>4080</v>
      </c>
      <c r="O2360" s="27" t="s">
        <v>133</v>
      </c>
      <c r="P2360" s="30" t="s">
        <v>4099</v>
      </c>
    </row>
    <row r="2361" s="25" customFormat="1" spans="1:16">
      <c r="A2361" s="27" t="s">
        <v>4156</v>
      </c>
      <c r="B2361" s="27" t="s">
        <v>4145</v>
      </c>
      <c r="C2361" s="27" t="s">
        <v>129</v>
      </c>
      <c r="D2361" s="27" t="s">
        <v>3573</v>
      </c>
      <c r="E2361" s="27" t="s">
        <v>35</v>
      </c>
      <c r="F2361" s="27" t="s">
        <v>51</v>
      </c>
      <c r="G2361" s="27" t="s">
        <v>678</v>
      </c>
      <c r="H2361" s="27" t="s">
        <v>176</v>
      </c>
      <c r="I2361" s="29" t="s">
        <v>39</v>
      </c>
      <c r="J2361" s="27" t="s">
        <v>408</v>
      </c>
      <c r="K2361" s="29" t="s">
        <v>4157</v>
      </c>
      <c r="L2361" s="27" t="s">
        <v>3998</v>
      </c>
      <c r="M2361" s="27" t="s">
        <v>680</v>
      </c>
      <c r="N2361" s="29" t="s">
        <v>4080</v>
      </c>
      <c r="O2361" s="27" t="s">
        <v>133</v>
      </c>
      <c r="P2361" s="30" t="s">
        <v>4101</v>
      </c>
    </row>
    <row r="2362" s="25" customFormat="1" spans="1:16">
      <c r="A2362" s="27" t="s">
        <v>4157</v>
      </c>
      <c r="B2362" s="27" t="s">
        <v>4145</v>
      </c>
      <c r="C2362" s="27" t="s">
        <v>129</v>
      </c>
      <c r="D2362" s="27" t="s">
        <v>3573</v>
      </c>
      <c r="E2362" s="27" t="s">
        <v>35</v>
      </c>
      <c r="F2362" s="27" t="s">
        <v>51</v>
      </c>
      <c r="G2362" s="27" t="s">
        <v>678</v>
      </c>
      <c r="H2362" s="27" t="s">
        <v>176</v>
      </c>
      <c r="I2362" s="29" t="s">
        <v>39</v>
      </c>
      <c r="J2362" s="27" t="s">
        <v>412</v>
      </c>
      <c r="K2362" s="29" t="s">
        <v>4158</v>
      </c>
      <c r="L2362" s="27" t="s">
        <v>4001</v>
      </c>
      <c r="M2362" s="27" t="s">
        <v>680</v>
      </c>
      <c r="N2362" s="29" t="s">
        <v>4080</v>
      </c>
      <c r="O2362" s="27" t="s">
        <v>133</v>
      </c>
      <c r="P2362" s="30" t="s">
        <v>4103</v>
      </c>
    </row>
    <row r="2363" s="25" customFormat="1" spans="1:16">
      <c r="A2363" s="27" t="s">
        <v>4158</v>
      </c>
      <c r="B2363" s="27" t="s">
        <v>4145</v>
      </c>
      <c r="C2363" s="27" t="s">
        <v>129</v>
      </c>
      <c r="D2363" s="27" t="s">
        <v>3573</v>
      </c>
      <c r="E2363" s="27" t="s">
        <v>35</v>
      </c>
      <c r="F2363" s="27" t="s">
        <v>51</v>
      </c>
      <c r="G2363" s="27" t="s">
        <v>678</v>
      </c>
      <c r="H2363" s="27" t="s">
        <v>176</v>
      </c>
      <c r="I2363" s="29" t="s">
        <v>39</v>
      </c>
      <c r="J2363" s="27" t="s">
        <v>416</v>
      </c>
      <c r="K2363" s="29" t="s">
        <v>4159</v>
      </c>
      <c r="L2363" s="27" t="s">
        <v>4028</v>
      </c>
      <c r="M2363" s="27" t="s">
        <v>680</v>
      </c>
      <c r="N2363" s="29" t="s">
        <v>4080</v>
      </c>
      <c r="O2363" s="27" t="s">
        <v>133</v>
      </c>
      <c r="P2363" s="30" t="s">
        <v>4105</v>
      </c>
    </row>
    <row r="2364" s="25" customFormat="1" spans="1:16">
      <c r="A2364" s="27" t="s">
        <v>4159</v>
      </c>
      <c r="B2364" s="27" t="s">
        <v>4145</v>
      </c>
      <c r="C2364" s="27" t="s">
        <v>129</v>
      </c>
      <c r="D2364" s="27" t="s">
        <v>3573</v>
      </c>
      <c r="E2364" s="27" t="s">
        <v>35</v>
      </c>
      <c r="F2364" s="27" t="s">
        <v>51</v>
      </c>
      <c r="G2364" s="27" t="s">
        <v>678</v>
      </c>
      <c r="H2364" s="27" t="s">
        <v>176</v>
      </c>
      <c r="I2364" s="29" t="s">
        <v>39</v>
      </c>
      <c r="J2364" s="27" t="s">
        <v>420</v>
      </c>
      <c r="K2364" s="29" t="s">
        <v>4160</v>
      </c>
      <c r="L2364" s="27" t="s">
        <v>4031</v>
      </c>
      <c r="M2364" s="27" t="s">
        <v>680</v>
      </c>
      <c r="N2364" s="29" t="s">
        <v>4080</v>
      </c>
      <c r="O2364" s="27" t="s">
        <v>133</v>
      </c>
      <c r="P2364" s="30" t="s">
        <v>4107</v>
      </c>
    </row>
    <row r="2365" s="25" customFormat="1" spans="1:16">
      <c r="A2365" s="27" t="s">
        <v>4160</v>
      </c>
      <c r="B2365" s="27" t="s">
        <v>4145</v>
      </c>
      <c r="C2365" s="27" t="s">
        <v>129</v>
      </c>
      <c r="D2365" s="27" t="s">
        <v>3573</v>
      </c>
      <c r="E2365" s="27" t="s">
        <v>35</v>
      </c>
      <c r="F2365" s="27" t="s">
        <v>51</v>
      </c>
      <c r="G2365" s="27" t="s">
        <v>678</v>
      </c>
      <c r="H2365" s="27" t="s">
        <v>176</v>
      </c>
      <c r="I2365" s="29" t="s">
        <v>39</v>
      </c>
      <c r="J2365" s="27" t="s">
        <v>424</v>
      </c>
      <c r="K2365" s="29" t="s">
        <v>4161</v>
      </c>
      <c r="L2365" s="27" t="s">
        <v>4109</v>
      </c>
      <c r="M2365" s="27" t="s">
        <v>680</v>
      </c>
      <c r="N2365" s="29" t="s">
        <v>4080</v>
      </c>
      <c r="O2365" s="27" t="s">
        <v>133</v>
      </c>
      <c r="P2365" s="30" t="s">
        <v>4110</v>
      </c>
    </row>
    <row r="2366" s="25" customFormat="1" spans="1:16">
      <c r="A2366" s="27" t="s">
        <v>4161</v>
      </c>
      <c r="B2366" s="27" t="s">
        <v>4145</v>
      </c>
      <c r="C2366" s="27" t="s">
        <v>129</v>
      </c>
      <c r="D2366" s="27" t="s">
        <v>3573</v>
      </c>
      <c r="E2366" s="27" t="s">
        <v>35</v>
      </c>
      <c r="F2366" s="27" t="s">
        <v>51</v>
      </c>
      <c r="G2366" s="27" t="s">
        <v>678</v>
      </c>
      <c r="H2366" s="27" t="s">
        <v>176</v>
      </c>
      <c r="I2366" s="29" t="s">
        <v>39</v>
      </c>
      <c r="J2366" s="27" t="s">
        <v>631</v>
      </c>
      <c r="K2366" s="29" t="s">
        <v>4162</v>
      </c>
      <c r="L2366" s="27" t="s">
        <v>4112</v>
      </c>
      <c r="M2366" s="27" t="s">
        <v>680</v>
      </c>
      <c r="N2366" s="29" t="s">
        <v>4080</v>
      </c>
      <c r="O2366" s="27" t="s">
        <v>133</v>
      </c>
      <c r="P2366" s="30" t="s">
        <v>4113</v>
      </c>
    </row>
    <row r="2367" s="25" customFormat="1" spans="1:16">
      <c r="A2367" s="27" t="s">
        <v>4162</v>
      </c>
      <c r="B2367" s="27" t="s">
        <v>4145</v>
      </c>
      <c r="C2367" s="27" t="s">
        <v>129</v>
      </c>
      <c r="D2367" s="27" t="s">
        <v>3573</v>
      </c>
      <c r="E2367" s="27" t="s">
        <v>35</v>
      </c>
      <c r="F2367" s="27" t="s">
        <v>51</v>
      </c>
      <c r="G2367" s="27" t="s">
        <v>678</v>
      </c>
      <c r="H2367" s="27" t="s">
        <v>176</v>
      </c>
      <c r="I2367" s="29" t="s">
        <v>39</v>
      </c>
      <c r="J2367" s="27" t="s">
        <v>635</v>
      </c>
      <c r="K2367" s="29" t="s">
        <v>4163</v>
      </c>
      <c r="L2367" s="27" t="s">
        <v>4115</v>
      </c>
      <c r="M2367" s="27" t="s">
        <v>680</v>
      </c>
      <c r="N2367" s="29" t="s">
        <v>4080</v>
      </c>
      <c r="O2367" s="27" t="s">
        <v>133</v>
      </c>
      <c r="P2367" s="30" t="s">
        <v>4116</v>
      </c>
    </row>
    <row r="2368" s="25" customFormat="1" spans="1:16">
      <c r="A2368" s="27" t="s">
        <v>4163</v>
      </c>
      <c r="B2368" s="27" t="s">
        <v>4145</v>
      </c>
      <c r="C2368" s="27" t="s">
        <v>129</v>
      </c>
      <c r="D2368" s="27" t="s">
        <v>3573</v>
      </c>
      <c r="E2368" s="27" t="s">
        <v>35</v>
      </c>
      <c r="F2368" s="27" t="s">
        <v>51</v>
      </c>
      <c r="G2368" s="27" t="s">
        <v>678</v>
      </c>
      <c r="H2368" s="27" t="s">
        <v>176</v>
      </c>
      <c r="I2368" s="29" t="s">
        <v>39</v>
      </c>
      <c r="J2368" s="27" t="s">
        <v>639</v>
      </c>
      <c r="K2368" s="29" t="s">
        <v>4164</v>
      </c>
      <c r="L2368" s="27" t="s">
        <v>4118</v>
      </c>
      <c r="M2368" s="27" t="s">
        <v>680</v>
      </c>
      <c r="N2368" s="29" t="s">
        <v>4080</v>
      </c>
      <c r="O2368" s="27" t="s">
        <v>133</v>
      </c>
      <c r="P2368" s="30" t="s">
        <v>4119</v>
      </c>
    </row>
    <row r="2369" s="25" customFormat="1" spans="1:16">
      <c r="A2369" s="27" t="s">
        <v>4164</v>
      </c>
      <c r="B2369" s="27" t="s">
        <v>4145</v>
      </c>
      <c r="C2369" s="27" t="s">
        <v>129</v>
      </c>
      <c r="D2369" s="27" t="s">
        <v>3573</v>
      </c>
      <c r="E2369" s="27" t="s">
        <v>35</v>
      </c>
      <c r="F2369" s="27" t="s">
        <v>51</v>
      </c>
      <c r="G2369" s="27" t="s">
        <v>678</v>
      </c>
      <c r="H2369" s="27" t="s">
        <v>176</v>
      </c>
      <c r="I2369" s="29" t="s">
        <v>39</v>
      </c>
      <c r="J2369" s="27" t="s">
        <v>643</v>
      </c>
      <c r="K2369" s="29" t="s">
        <v>4165</v>
      </c>
      <c r="L2369" s="27" t="s">
        <v>4121</v>
      </c>
      <c r="M2369" s="27" t="s">
        <v>680</v>
      </c>
      <c r="N2369" s="29" t="s">
        <v>4080</v>
      </c>
      <c r="O2369" s="27" t="s">
        <v>133</v>
      </c>
      <c r="P2369" s="30" t="s">
        <v>4122</v>
      </c>
    </row>
    <row r="2370" s="25" customFormat="1" spans="1:16">
      <c r="A2370" s="27" t="s">
        <v>4165</v>
      </c>
      <c r="B2370" s="27" t="s">
        <v>4145</v>
      </c>
      <c r="C2370" s="27" t="s">
        <v>129</v>
      </c>
      <c r="D2370" s="27" t="s">
        <v>3573</v>
      </c>
      <c r="E2370" s="27" t="s">
        <v>35</v>
      </c>
      <c r="F2370" s="27" t="s">
        <v>51</v>
      </c>
      <c r="G2370" s="27" t="s">
        <v>678</v>
      </c>
      <c r="H2370" s="27" t="s">
        <v>176</v>
      </c>
      <c r="I2370" s="29" t="s">
        <v>39</v>
      </c>
      <c r="J2370" s="27" t="s">
        <v>647</v>
      </c>
      <c r="K2370" s="29" t="s">
        <v>39</v>
      </c>
      <c r="L2370" s="27" t="s">
        <v>39</v>
      </c>
      <c r="M2370" s="27" t="s">
        <v>39</v>
      </c>
      <c r="N2370" s="29" t="s">
        <v>4080</v>
      </c>
      <c r="O2370" s="27" t="s">
        <v>133</v>
      </c>
      <c r="P2370" s="30" t="s">
        <v>4123</v>
      </c>
    </row>
    <row r="2371" s="25" customFormat="1" spans="1:16">
      <c r="A2371" s="27" t="s">
        <v>4166</v>
      </c>
      <c r="B2371" s="27" t="s">
        <v>4166</v>
      </c>
      <c r="C2371" s="27" t="s">
        <v>129</v>
      </c>
      <c r="D2371" s="27" t="s">
        <v>3573</v>
      </c>
      <c r="E2371" s="27" t="s">
        <v>47</v>
      </c>
      <c r="F2371" s="27" t="s">
        <v>51</v>
      </c>
      <c r="G2371" s="27" t="s">
        <v>3703</v>
      </c>
      <c r="H2371" s="29" t="s">
        <v>3704</v>
      </c>
      <c r="I2371" s="29" t="s">
        <v>204</v>
      </c>
      <c r="J2371" s="27" t="s">
        <v>39</v>
      </c>
      <c r="K2371" s="29" t="s">
        <v>4167</v>
      </c>
      <c r="L2371" s="27" t="s">
        <v>3706</v>
      </c>
      <c r="M2371" s="27" t="s">
        <v>709</v>
      </c>
      <c r="N2371" s="29" t="s">
        <v>3707</v>
      </c>
      <c r="O2371" s="27" t="s">
        <v>137</v>
      </c>
      <c r="P2371" s="30" t="s">
        <v>3708</v>
      </c>
    </row>
    <row r="2372" s="25" customFormat="1" spans="1:16">
      <c r="A2372" s="27" t="s">
        <v>4167</v>
      </c>
      <c r="B2372" s="27" t="s">
        <v>4166</v>
      </c>
      <c r="C2372" s="27" t="s">
        <v>129</v>
      </c>
      <c r="D2372" s="27" t="s">
        <v>3573</v>
      </c>
      <c r="E2372" s="27" t="s">
        <v>47</v>
      </c>
      <c r="F2372" s="27" t="s">
        <v>51</v>
      </c>
      <c r="G2372" s="27" t="s">
        <v>3703</v>
      </c>
      <c r="H2372" s="29" t="s">
        <v>3704</v>
      </c>
      <c r="I2372" s="29" t="s">
        <v>204</v>
      </c>
      <c r="J2372" s="27" t="s">
        <v>35</v>
      </c>
      <c r="K2372" s="29" t="s">
        <v>4168</v>
      </c>
      <c r="L2372" s="27" t="s">
        <v>3710</v>
      </c>
      <c r="M2372" s="27" t="s">
        <v>709</v>
      </c>
      <c r="N2372" s="29" t="s">
        <v>3711</v>
      </c>
      <c r="O2372" s="27" t="s">
        <v>137</v>
      </c>
      <c r="P2372" s="30" t="s">
        <v>3712</v>
      </c>
    </row>
    <row r="2373" s="25" customFormat="1" spans="1:16">
      <c r="A2373" s="27" t="s">
        <v>4168</v>
      </c>
      <c r="B2373" s="27" t="s">
        <v>4166</v>
      </c>
      <c r="C2373" s="27" t="s">
        <v>129</v>
      </c>
      <c r="D2373" s="27" t="s">
        <v>3573</v>
      </c>
      <c r="E2373" s="27" t="s">
        <v>47</v>
      </c>
      <c r="F2373" s="27" t="s">
        <v>51</v>
      </c>
      <c r="G2373" s="27" t="s">
        <v>3703</v>
      </c>
      <c r="H2373" s="29" t="s">
        <v>3704</v>
      </c>
      <c r="I2373" s="29" t="s">
        <v>204</v>
      </c>
      <c r="J2373" s="27" t="s">
        <v>47</v>
      </c>
      <c r="K2373" s="29" t="s">
        <v>4169</v>
      </c>
      <c r="L2373" s="27" t="s">
        <v>3714</v>
      </c>
      <c r="M2373" s="27" t="s">
        <v>709</v>
      </c>
      <c r="N2373" s="29" t="s">
        <v>3711</v>
      </c>
      <c r="O2373" s="27" t="s">
        <v>137</v>
      </c>
      <c r="P2373" s="30" t="s">
        <v>3715</v>
      </c>
    </row>
    <row r="2374" s="25" customFormat="1" spans="1:16">
      <c r="A2374" s="27" t="s">
        <v>4169</v>
      </c>
      <c r="B2374" s="27" t="s">
        <v>4166</v>
      </c>
      <c r="C2374" s="27" t="s">
        <v>129</v>
      </c>
      <c r="D2374" s="27" t="s">
        <v>3573</v>
      </c>
      <c r="E2374" s="27" t="s">
        <v>47</v>
      </c>
      <c r="F2374" s="27" t="s">
        <v>51</v>
      </c>
      <c r="G2374" s="27" t="s">
        <v>3703</v>
      </c>
      <c r="H2374" s="29" t="s">
        <v>3704</v>
      </c>
      <c r="I2374" s="29" t="s">
        <v>204</v>
      </c>
      <c r="J2374" s="27" t="s">
        <v>51</v>
      </c>
      <c r="K2374" s="29" t="s">
        <v>4170</v>
      </c>
      <c r="L2374" s="27" t="s">
        <v>3717</v>
      </c>
      <c r="M2374" s="27" t="s">
        <v>709</v>
      </c>
      <c r="N2374" s="29" t="s">
        <v>3711</v>
      </c>
      <c r="O2374" s="27" t="s">
        <v>137</v>
      </c>
      <c r="P2374" s="30" t="s">
        <v>3718</v>
      </c>
    </row>
    <row r="2375" s="25" customFormat="1" spans="1:16">
      <c r="A2375" s="27" t="s">
        <v>4170</v>
      </c>
      <c r="B2375" s="27" t="s">
        <v>4166</v>
      </c>
      <c r="C2375" s="27" t="s">
        <v>129</v>
      </c>
      <c r="D2375" s="27" t="s">
        <v>3573</v>
      </c>
      <c r="E2375" s="27" t="s">
        <v>47</v>
      </c>
      <c r="F2375" s="27" t="s">
        <v>51</v>
      </c>
      <c r="G2375" s="27" t="s">
        <v>3703</v>
      </c>
      <c r="H2375" s="29" t="s">
        <v>3704</v>
      </c>
      <c r="I2375" s="29" t="s">
        <v>204</v>
      </c>
      <c r="J2375" s="27" t="s">
        <v>55</v>
      </c>
      <c r="K2375" s="29" t="s">
        <v>4171</v>
      </c>
      <c r="L2375" s="27" t="s">
        <v>3720</v>
      </c>
      <c r="M2375" s="27" t="s">
        <v>709</v>
      </c>
      <c r="N2375" s="29" t="s">
        <v>3711</v>
      </c>
      <c r="O2375" s="27" t="s">
        <v>137</v>
      </c>
      <c r="P2375" s="30" t="s">
        <v>3721</v>
      </c>
    </row>
    <row r="2376" s="25" customFormat="1" spans="1:16">
      <c r="A2376" s="27" t="s">
        <v>4171</v>
      </c>
      <c r="B2376" s="27" t="s">
        <v>4166</v>
      </c>
      <c r="C2376" s="27" t="s">
        <v>129</v>
      </c>
      <c r="D2376" s="27" t="s">
        <v>3573</v>
      </c>
      <c r="E2376" s="27" t="s">
        <v>47</v>
      </c>
      <c r="F2376" s="27" t="s">
        <v>51</v>
      </c>
      <c r="G2376" s="27" t="s">
        <v>3703</v>
      </c>
      <c r="H2376" s="29" t="s">
        <v>3704</v>
      </c>
      <c r="I2376" s="29" t="s">
        <v>204</v>
      </c>
      <c r="J2376" s="27" t="s">
        <v>59</v>
      </c>
      <c r="K2376" s="29" t="s">
        <v>4172</v>
      </c>
      <c r="L2376" s="27" t="s">
        <v>3723</v>
      </c>
      <c r="M2376" s="27" t="s">
        <v>709</v>
      </c>
      <c r="N2376" s="29" t="s">
        <v>3711</v>
      </c>
      <c r="O2376" s="27" t="s">
        <v>137</v>
      </c>
      <c r="P2376" s="30" t="s">
        <v>3724</v>
      </c>
    </row>
    <row r="2377" s="25" customFormat="1" spans="1:16">
      <c r="A2377" s="27" t="s">
        <v>4172</v>
      </c>
      <c r="B2377" s="27" t="s">
        <v>4166</v>
      </c>
      <c r="C2377" s="27" t="s">
        <v>129</v>
      </c>
      <c r="D2377" s="27" t="s">
        <v>3573</v>
      </c>
      <c r="E2377" s="27" t="s">
        <v>47</v>
      </c>
      <c r="F2377" s="27" t="s">
        <v>51</v>
      </c>
      <c r="G2377" s="27" t="s">
        <v>3703</v>
      </c>
      <c r="H2377" s="29" t="s">
        <v>3704</v>
      </c>
      <c r="I2377" s="29" t="s">
        <v>204</v>
      </c>
      <c r="J2377" s="27" t="s">
        <v>129</v>
      </c>
      <c r="K2377" s="29" t="s">
        <v>4173</v>
      </c>
      <c r="L2377" s="27" t="s">
        <v>3726</v>
      </c>
      <c r="M2377" s="27" t="s">
        <v>709</v>
      </c>
      <c r="N2377" s="29" t="s">
        <v>3711</v>
      </c>
      <c r="O2377" s="27" t="s">
        <v>137</v>
      </c>
      <c r="P2377" s="30" t="s">
        <v>3727</v>
      </c>
    </row>
    <row r="2378" s="25" customFormat="1" spans="1:16">
      <c r="A2378" s="27" t="s">
        <v>4173</v>
      </c>
      <c r="B2378" s="27" t="s">
        <v>4166</v>
      </c>
      <c r="C2378" s="27" t="s">
        <v>129</v>
      </c>
      <c r="D2378" s="27" t="s">
        <v>3573</v>
      </c>
      <c r="E2378" s="27" t="s">
        <v>47</v>
      </c>
      <c r="F2378" s="27" t="s">
        <v>51</v>
      </c>
      <c r="G2378" s="27" t="s">
        <v>3703</v>
      </c>
      <c r="H2378" s="29" t="s">
        <v>3704</v>
      </c>
      <c r="I2378" s="29" t="s">
        <v>204</v>
      </c>
      <c r="J2378" s="27" t="s">
        <v>133</v>
      </c>
      <c r="K2378" s="29" t="s">
        <v>4174</v>
      </c>
      <c r="L2378" s="27" t="s">
        <v>3729</v>
      </c>
      <c r="M2378" s="27" t="s">
        <v>709</v>
      </c>
      <c r="N2378" s="29" t="s">
        <v>3711</v>
      </c>
      <c r="O2378" s="27" t="s">
        <v>137</v>
      </c>
      <c r="P2378" s="30" t="s">
        <v>3730</v>
      </c>
    </row>
    <row r="2379" s="25" customFormat="1" spans="1:16">
      <c r="A2379" s="27" t="s">
        <v>4174</v>
      </c>
      <c r="B2379" s="27" t="s">
        <v>4166</v>
      </c>
      <c r="C2379" s="27" t="s">
        <v>129</v>
      </c>
      <c r="D2379" s="27" t="s">
        <v>3573</v>
      </c>
      <c r="E2379" s="27" t="s">
        <v>47</v>
      </c>
      <c r="F2379" s="27" t="s">
        <v>51</v>
      </c>
      <c r="G2379" s="27" t="s">
        <v>3703</v>
      </c>
      <c r="H2379" s="29" t="s">
        <v>3704</v>
      </c>
      <c r="I2379" s="29" t="s">
        <v>204</v>
      </c>
      <c r="J2379" s="27" t="s">
        <v>137</v>
      </c>
      <c r="K2379" s="29" t="s">
        <v>4175</v>
      </c>
      <c r="L2379" s="27" t="s">
        <v>3732</v>
      </c>
      <c r="M2379" s="27" t="s">
        <v>709</v>
      </c>
      <c r="N2379" s="29" t="s">
        <v>3711</v>
      </c>
      <c r="O2379" s="27" t="s">
        <v>137</v>
      </c>
      <c r="P2379" s="30" t="s">
        <v>3733</v>
      </c>
    </row>
    <row r="2380" s="25" customFormat="1" spans="1:16">
      <c r="A2380" s="27" t="s">
        <v>4175</v>
      </c>
      <c r="B2380" s="27" t="s">
        <v>4166</v>
      </c>
      <c r="C2380" s="27" t="s">
        <v>129</v>
      </c>
      <c r="D2380" s="27" t="s">
        <v>3573</v>
      </c>
      <c r="E2380" s="27" t="s">
        <v>47</v>
      </c>
      <c r="F2380" s="27" t="s">
        <v>51</v>
      </c>
      <c r="G2380" s="27" t="s">
        <v>3703</v>
      </c>
      <c r="H2380" s="29" t="s">
        <v>3704</v>
      </c>
      <c r="I2380" s="29" t="s">
        <v>204</v>
      </c>
      <c r="J2380" s="27" t="s">
        <v>141</v>
      </c>
      <c r="K2380" s="29" t="s">
        <v>4176</v>
      </c>
      <c r="L2380" s="27" t="s">
        <v>3735</v>
      </c>
      <c r="M2380" s="27" t="s">
        <v>709</v>
      </c>
      <c r="N2380" s="29" t="s">
        <v>3711</v>
      </c>
      <c r="O2380" s="27" t="s">
        <v>137</v>
      </c>
      <c r="P2380" s="30" t="s">
        <v>3736</v>
      </c>
    </row>
    <row r="2381" s="25" customFormat="1" spans="1:16">
      <c r="A2381" s="27" t="s">
        <v>4176</v>
      </c>
      <c r="B2381" s="27" t="s">
        <v>4166</v>
      </c>
      <c r="C2381" s="27" t="s">
        <v>129</v>
      </c>
      <c r="D2381" s="27" t="s">
        <v>3573</v>
      </c>
      <c r="E2381" s="27" t="s">
        <v>47</v>
      </c>
      <c r="F2381" s="27" t="s">
        <v>51</v>
      </c>
      <c r="G2381" s="27" t="s">
        <v>3703</v>
      </c>
      <c r="H2381" s="29" t="s">
        <v>3704</v>
      </c>
      <c r="I2381" s="29" t="s">
        <v>204</v>
      </c>
      <c r="J2381" s="27" t="s">
        <v>145</v>
      </c>
      <c r="K2381" s="29" t="s">
        <v>4177</v>
      </c>
      <c r="L2381" s="27" t="s">
        <v>3737</v>
      </c>
      <c r="M2381" s="27" t="s">
        <v>709</v>
      </c>
      <c r="N2381" s="29" t="s">
        <v>3711</v>
      </c>
      <c r="O2381" s="27" t="s">
        <v>137</v>
      </c>
      <c r="P2381" s="30" t="s">
        <v>3738</v>
      </c>
    </row>
    <row r="2382" s="25" customFormat="1" spans="1:16">
      <c r="A2382" s="27" t="s">
        <v>4177</v>
      </c>
      <c r="B2382" s="27" t="s">
        <v>4166</v>
      </c>
      <c r="C2382" s="27" t="s">
        <v>129</v>
      </c>
      <c r="D2382" s="27" t="s">
        <v>3573</v>
      </c>
      <c r="E2382" s="27" t="s">
        <v>47</v>
      </c>
      <c r="F2382" s="27" t="s">
        <v>51</v>
      </c>
      <c r="G2382" s="27" t="s">
        <v>3703</v>
      </c>
      <c r="H2382" s="29" t="s">
        <v>3704</v>
      </c>
      <c r="I2382" s="29" t="s">
        <v>204</v>
      </c>
      <c r="J2382" s="27" t="s">
        <v>408</v>
      </c>
      <c r="K2382" s="29" t="s">
        <v>4178</v>
      </c>
      <c r="L2382" s="27" t="s">
        <v>3998</v>
      </c>
      <c r="M2382" s="27" t="s">
        <v>709</v>
      </c>
      <c r="N2382" s="29" t="s">
        <v>3711</v>
      </c>
      <c r="O2382" s="27" t="s">
        <v>137</v>
      </c>
      <c r="P2382" s="30" t="s">
        <v>4179</v>
      </c>
    </row>
    <row r="2383" s="25" customFormat="1" spans="1:16">
      <c r="A2383" s="27" t="s">
        <v>4178</v>
      </c>
      <c r="B2383" s="27" t="s">
        <v>4166</v>
      </c>
      <c r="C2383" s="27" t="s">
        <v>129</v>
      </c>
      <c r="D2383" s="27" t="s">
        <v>3573</v>
      </c>
      <c r="E2383" s="27" t="s">
        <v>47</v>
      </c>
      <c r="F2383" s="27" t="s">
        <v>51</v>
      </c>
      <c r="G2383" s="27" t="s">
        <v>3703</v>
      </c>
      <c r="H2383" s="29" t="s">
        <v>3704</v>
      </c>
      <c r="I2383" s="29" t="s">
        <v>204</v>
      </c>
      <c r="J2383" s="27" t="s">
        <v>412</v>
      </c>
      <c r="K2383" s="29" t="s">
        <v>4180</v>
      </c>
      <c r="L2383" s="27" t="s">
        <v>4001</v>
      </c>
      <c r="M2383" s="27" t="s">
        <v>709</v>
      </c>
      <c r="N2383" s="29" t="s">
        <v>3711</v>
      </c>
      <c r="O2383" s="27" t="s">
        <v>137</v>
      </c>
      <c r="P2383" s="30" t="s">
        <v>4181</v>
      </c>
    </row>
    <row r="2384" s="25" customFormat="1" spans="1:16">
      <c r="A2384" s="27" t="s">
        <v>4180</v>
      </c>
      <c r="B2384" s="27" t="s">
        <v>4166</v>
      </c>
      <c r="C2384" s="27" t="s">
        <v>129</v>
      </c>
      <c r="D2384" s="27" t="s">
        <v>3573</v>
      </c>
      <c r="E2384" s="27" t="s">
        <v>47</v>
      </c>
      <c r="F2384" s="27" t="s">
        <v>51</v>
      </c>
      <c r="G2384" s="27" t="s">
        <v>3703</v>
      </c>
      <c r="H2384" s="29" t="s">
        <v>3704</v>
      </c>
      <c r="I2384" s="29" t="s">
        <v>204</v>
      </c>
      <c r="J2384" s="27" t="s">
        <v>416</v>
      </c>
      <c r="K2384" s="29" t="s">
        <v>4182</v>
      </c>
      <c r="L2384" s="27" t="s">
        <v>4028</v>
      </c>
      <c r="M2384" s="27" t="s">
        <v>709</v>
      </c>
      <c r="N2384" s="29" t="s">
        <v>3711</v>
      </c>
      <c r="O2384" s="27" t="s">
        <v>137</v>
      </c>
      <c r="P2384" s="30" t="s">
        <v>4183</v>
      </c>
    </row>
    <row r="2385" s="25" customFormat="1" spans="1:16">
      <c r="A2385" s="27" t="s">
        <v>4182</v>
      </c>
      <c r="B2385" s="27" t="s">
        <v>4166</v>
      </c>
      <c r="C2385" s="27" t="s">
        <v>129</v>
      </c>
      <c r="D2385" s="27" t="s">
        <v>3573</v>
      </c>
      <c r="E2385" s="27" t="s">
        <v>47</v>
      </c>
      <c r="F2385" s="27" t="s">
        <v>51</v>
      </c>
      <c r="G2385" s="27" t="s">
        <v>3703</v>
      </c>
      <c r="H2385" s="29" t="s">
        <v>3704</v>
      </c>
      <c r="I2385" s="29" t="s">
        <v>204</v>
      </c>
      <c r="J2385" s="27" t="s">
        <v>420</v>
      </c>
      <c r="K2385" s="29" t="s">
        <v>4184</v>
      </c>
      <c r="L2385" s="27" t="s">
        <v>4031</v>
      </c>
      <c r="M2385" s="27" t="s">
        <v>709</v>
      </c>
      <c r="N2385" s="29" t="s">
        <v>3711</v>
      </c>
      <c r="O2385" s="27" t="s">
        <v>137</v>
      </c>
      <c r="P2385" s="30" t="s">
        <v>4185</v>
      </c>
    </row>
    <row r="2386" s="25" customFormat="1" spans="1:16">
      <c r="A2386" s="27" t="s">
        <v>4184</v>
      </c>
      <c r="B2386" s="27" t="s">
        <v>4166</v>
      </c>
      <c r="C2386" s="27" t="s">
        <v>129</v>
      </c>
      <c r="D2386" s="27" t="s">
        <v>3573</v>
      </c>
      <c r="E2386" s="27" t="s">
        <v>47</v>
      </c>
      <c r="F2386" s="27" t="s">
        <v>51</v>
      </c>
      <c r="G2386" s="27" t="s">
        <v>3703</v>
      </c>
      <c r="H2386" s="29" t="s">
        <v>3704</v>
      </c>
      <c r="I2386" s="29" t="s">
        <v>204</v>
      </c>
      <c r="J2386" s="27" t="s">
        <v>424</v>
      </c>
      <c r="K2386" s="29" t="s">
        <v>4186</v>
      </c>
      <c r="L2386" s="27" t="s">
        <v>4109</v>
      </c>
      <c r="M2386" s="27" t="s">
        <v>709</v>
      </c>
      <c r="N2386" s="29" t="s">
        <v>3711</v>
      </c>
      <c r="O2386" s="27" t="s">
        <v>137</v>
      </c>
      <c r="P2386" s="30" t="s">
        <v>4187</v>
      </c>
    </row>
    <row r="2387" s="25" customFormat="1" spans="1:16">
      <c r="A2387" s="27" t="s">
        <v>4186</v>
      </c>
      <c r="B2387" s="27" t="s">
        <v>4166</v>
      </c>
      <c r="C2387" s="27" t="s">
        <v>129</v>
      </c>
      <c r="D2387" s="27" t="s">
        <v>3573</v>
      </c>
      <c r="E2387" s="27" t="s">
        <v>47</v>
      </c>
      <c r="F2387" s="27" t="s">
        <v>51</v>
      </c>
      <c r="G2387" s="27" t="s">
        <v>3703</v>
      </c>
      <c r="H2387" s="29" t="s">
        <v>3704</v>
      </c>
      <c r="I2387" s="29" t="s">
        <v>204</v>
      </c>
      <c r="J2387" s="27" t="s">
        <v>631</v>
      </c>
      <c r="K2387" s="29" t="s">
        <v>4188</v>
      </c>
      <c r="L2387" s="27" t="s">
        <v>4112</v>
      </c>
      <c r="M2387" s="27" t="s">
        <v>709</v>
      </c>
      <c r="N2387" s="29" t="s">
        <v>3711</v>
      </c>
      <c r="O2387" s="27" t="s">
        <v>137</v>
      </c>
      <c r="P2387" s="30" t="s">
        <v>4189</v>
      </c>
    </row>
    <row r="2388" s="25" customFormat="1" spans="1:16">
      <c r="A2388" s="27" t="s">
        <v>4188</v>
      </c>
      <c r="B2388" s="27" t="s">
        <v>4166</v>
      </c>
      <c r="C2388" s="27" t="s">
        <v>129</v>
      </c>
      <c r="D2388" s="27" t="s">
        <v>3573</v>
      </c>
      <c r="E2388" s="27" t="s">
        <v>47</v>
      </c>
      <c r="F2388" s="27" t="s">
        <v>51</v>
      </c>
      <c r="G2388" s="27" t="s">
        <v>3703</v>
      </c>
      <c r="H2388" s="29" t="s">
        <v>3704</v>
      </c>
      <c r="I2388" s="29" t="s">
        <v>204</v>
      </c>
      <c r="J2388" s="27" t="s">
        <v>635</v>
      </c>
      <c r="K2388" s="29" t="s">
        <v>4190</v>
      </c>
      <c r="L2388" s="27" t="s">
        <v>4115</v>
      </c>
      <c r="M2388" s="27" t="s">
        <v>709</v>
      </c>
      <c r="N2388" s="29" t="s">
        <v>3711</v>
      </c>
      <c r="O2388" s="27" t="s">
        <v>137</v>
      </c>
      <c r="P2388" s="30" t="s">
        <v>4191</v>
      </c>
    </row>
    <row r="2389" s="25" customFormat="1" spans="1:16">
      <c r="A2389" s="27" t="s">
        <v>4190</v>
      </c>
      <c r="B2389" s="27" t="s">
        <v>4166</v>
      </c>
      <c r="C2389" s="27" t="s">
        <v>129</v>
      </c>
      <c r="D2389" s="27" t="s">
        <v>3573</v>
      </c>
      <c r="E2389" s="27" t="s">
        <v>47</v>
      </c>
      <c r="F2389" s="27" t="s">
        <v>51</v>
      </c>
      <c r="G2389" s="27" t="s">
        <v>3703</v>
      </c>
      <c r="H2389" s="29" t="s">
        <v>3704</v>
      </c>
      <c r="I2389" s="29" t="s">
        <v>204</v>
      </c>
      <c r="J2389" s="27" t="s">
        <v>639</v>
      </c>
      <c r="K2389" s="29" t="s">
        <v>4192</v>
      </c>
      <c r="L2389" s="27" t="s">
        <v>4118</v>
      </c>
      <c r="M2389" s="27" t="s">
        <v>709</v>
      </c>
      <c r="N2389" s="29" t="s">
        <v>3711</v>
      </c>
      <c r="O2389" s="27" t="s">
        <v>137</v>
      </c>
      <c r="P2389" s="30" t="s">
        <v>4193</v>
      </c>
    </row>
    <row r="2390" s="25" customFormat="1" spans="1:16">
      <c r="A2390" s="27" t="s">
        <v>4192</v>
      </c>
      <c r="B2390" s="27" t="s">
        <v>4166</v>
      </c>
      <c r="C2390" s="27" t="s">
        <v>129</v>
      </c>
      <c r="D2390" s="27" t="s">
        <v>3573</v>
      </c>
      <c r="E2390" s="27" t="s">
        <v>47</v>
      </c>
      <c r="F2390" s="27" t="s">
        <v>51</v>
      </c>
      <c r="G2390" s="27" t="s">
        <v>3703</v>
      </c>
      <c r="H2390" s="29" t="s">
        <v>3704</v>
      </c>
      <c r="I2390" s="29" t="s">
        <v>204</v>
      </c>
      <c r="J2390" s="27" t="s">
        <v>643</v>
      </c>
      <c r="K2390" s="29" t="s">
        <v>4194</v>
      </c>
      <c r="L2390" s="27" t="s">
        <v>4121</v>
      </c>
      <c r="M2390" s="27" t="s">
        <v>709</v>
      </c>
      <c r="N2390" s="29" t="s">
        <v>3711</v>
      </c>
      <c r="O2390" s="27" t="s">
        <v>137</v>
      </c>
      <c r="P2390" s="30" t="s">
        <v>4195</v>
      </c>
    </row>
    <row r="2391" s="25" customFormat="1" spans="1:16">
      <c r="A2391" s="27" t="s">
        <v>4194</v>
      </c>
      <c r="B2391" s="27" t="s">
        <v>4166</v>
      </c>
      <c r="C2391" s="27" t="s">
        <v>129</v>
      </c>
      <c r="D2391" s="27" t="s">
        <v>3573</v>
      </c>
      <c r="E2391" s="27" t="s">
        <v>47</v>
      </c>
      <c r="F2391" s="27" t="s">
        <v>51</v>
      </c>
      <c r="G2391" s="27" t="s">
        <v>3703</v>
      </c>
      <c r="H2391" s="29" t="s">
        <v>3704</v>
      </c>
      <c r="I2391" s="29" t="s">
        <v>204</v>
      </c>
      <c r="J2391" s="27" t="s">
        <v>647</v>
      </c>
      <c r="K2391" s="29" t="s">
        <v>39</v>
      </c>
      <c r="L2391" s="27" t="s">
        <v>39</v>
      </c>
      <c r="M2391" s="27" t="s">
        <v>39</v>
      </c>
      <c r="N2391" s="29" t="s">
        <v>3711</v>
      </c>
      <c r="O2391" s="27" t="s">
        <v>137</v>
      </c>
      <c r="P2391" s="30" t="s">
        <v>4196</v>
      </c>
    </row>
    <row r="2392" s="25" customFormat="1" spans="1:16">
      <c r="A2392" s="27" t="s">
        <v>4197</v>
      </c>
      <c r="B2392" s="27" t="s">
        <v>4197</v>
      </c>
      <c r="C2392" s="27" t="s">
        <v>129</v>
      </c>
      <c r="D2392" s="27" t="s">
        <v>3573</v>
      </c>
      <c r="E2392" s="27" t="s">
        <v>47</v>
      </c>
      <c r="F2392" s="27" t="s">
        <v>51</v>
      </c>
      <c r="G2392" s="27" t="s">
        <v>3740</v>
      </c>
      <c r="H2392" s="29" t="s">
        <v>3741</v>
      </c>
      <c r="I2392" s="29" t="s">
        <v>204</v>
      </c>
      <c r="J2392" s="27" t="s">
        <v>39</v>
      </c>
      <c r="K2392" s="29" t="s">
        <v>4198</v>
      </c>
      <c r="L2392" s="27" t="s">
        <v>3706</v>
      </c>
      <c r="M2392" s="27" t="s">
        <v>741</v>
      </c>
      <c r="N2392" s="29" t="s">
        <v>3743</v>
      </c>
      <c r="O2392" s="27" t="s">
        <v>141</v>
      </c>
      <c r="P2392" s="30" t="s">
        <v>3744</v>
      </c>
    </row>
    <row r="2393" s="25" customFormat="1" spans="1:16">
      <c r="A2393" s="27" t="s">
        <v>4198</v>
      </c>
      <c r="B2393" s="27" t="s">
        <v>4197</v>
      </c>
      <c r="C2393" s="27" t="s">
        <v>129</v>
      </c>
      <c r="D2393" s="27" t="s">
        <v>3573</v>
      </c>
      <c r="E2393" s="27" t="s">
        <v>47</v>
      </c>
      <c r="F2393" s="27" t="s">
        <v>51</v>
      </c>
      <c r="G2393" s="27" t="s">
        <v>3740</v>
      </c>
      <c r="H2393" s="29" t="s">
        <v>3741</v>
      </c>
      <c r="I2393" s="29" t="s">
        <v>204</v>
      </c>
      <c r="J2393" s="27" t="s">
        <v>35</v>
      </c>
      <c r="K2393" s="29" t="s">
        <v>4199</v>
      </c>
      <c r="L2393" s="27" t="s">
        <v>3710</v>
      </c>
      <c r="M2393" s="27" t="s">
        <v>741</v>
      </c>
      <c r="N2393" s="29" t="s">
        <v>3746</v>
      </c>
      <c r="O2393" s="27" t="s">
        <v>141</v>
      </c>
      <c r="P2393" s="30" t="s">
        <v>3747</v>
      </c>
    </row>
    <row r="2394" s="25" customFormat="1" spans="1:16">
      <c r="A2394" s="27" t="s">
        <v>4199</v>
      </c>
      <c r="B2394" s="27" t="s">
        <v>4197</v>
      </c>
      <c r="C2394" s="27" t="s">
        <v>129</v>
      </c>
      <c r="D2394" s="27" t="s">
        <v>3573</v>
      </c>
      <c r="E2394" s="27" t="s">
        <v>47</v>
      </c>
      <c r="F2394" s="27" t="s">
        <v>51</v>
      </c>
      <c r="G2394" s="27" t="s">
        <v>3740</v>
      </c>
      <c r="H2394" s="29" t="s">
        <v>3741</v>
      </c>
      <c r="I2394" s="29" t="s">
        <v>204</v>
      </c>
      <c r="J2394" s="27" t="s">
        <v>47</v>
      </c>
      <c r="K2394" s="29" t="s">
        <v>4200</v>
      </c>
      <c r="L2394" s="27" t="s">
        <v>3714</v>
      </c>
      <c r="M2394" s="27" t="s">
        <v>741</v>
      </c>
      <c r="N2394" s="29" t="s">
        <v>3746</v>
      </c>
      <c r="O2394" s="27" t="s">
        <v>141</v>
      </c>
      <c r="P2394" s="30" t="s">
        <v>3749</v>
      </c>
    </row>
    <row r="2395" s="25" customFormat="1" spans="1:16">
      <c r="A2395" s="27" t="s">
        <v>4200</v>
      </c>
      <c r="B2395" s="27" t="s">
        <v>4197</v>
      </c>
      <c r="C2395" s="27" t="s">
        <v>129</v>
      </c>
      <c r="D2395" s="27" t="s">
        <v>3573</v>
      </c>
      <c r="E2395" s="27" t="s">
        <v>47</v>
      </c>
      <c r="F2395" s="27" t="s">
        <v>51</v>
      </c>
      <c r="G2395" s="27" t="s">
        <v>3740</v>
      </c>
      <c r="H2395" s="29" t="s">
        <v>3741</v>
      </c>
      <c r="I2395" s="29" t="s">
        <v>204</v>
      </c>
      <c r="J2395" s="27" t="s">
        <v>51</v>
      </c>
      <c r="K2395" s="29" t="s">
        <v>4201</v>
      </c>
      <c r="L2395" s="27" t="s">
        <v>3717</v>
      </c>
      <c r="M2395" s="27" t="s">
        <v>741</v>
      </c>
      <c r="N2395" s="29" t="s">
        <v>3746</v>
      </c>
      <c r="O2395" s="27" t="s">
        <v>141</v>
      </c>
      <c r="P2395" s="30" t="s">
        <v>3751</v>
      </c>
    </row>
    <row r="2396" s="25" customFormat="1" spans="1:16">
      <c r="A2396" s="27" t="s">
        <v>4201</v>
      </c>
      <c r="B2396" s="27" t="s">
        <v>4197</v>
      </c>
      <c r="C2396" s="27" t="s">
        <v>129</v>
      </c>
      <c r="D2396" s="27" t="s">
        <v>3573</v>
      </c>
      <c r="E2396" s="27" t="s">
        <v>47</v>
      </c>
      <c r="F2396" s="27" t="s">
        <v>51</v>
      </c>
      <c r="G2396" s="27" t="s">
        <v>3740</v>
      </c>
      <c r="H2396" s="29" t="s">
        <v>3741</v>
      </c>
      <c r="I2396" s="29" t="s">
        <v>204</v>
      </c>
      <c r="J2396" s="27" t="s">
        <v>55</v>
      </c>
      <c r="K2396" s="29" t="s">
        <v>4202</v>
      </c>
      <c r="L2396" s="27" t="s">
        <v>3720</v>
      </c>
      <c r="M2396" s="27" t="s">
        <v>741</v>
      </c>
      <c r="N2396" s="29" t="s">
        <v>3746</v>
      </c>
      <c r="O2396" s="27" t="s">
        <v>141</v>
      </c>
      <c r="P2396" s="30" t="s">
        <v>3753</v>
      </c>
    </row>
    <row r="2397" s="25" customFormat="1" spans="1:16">
      <c r="A2397" s="27" t="s">
        <v>4202</v>
      </c>
      <c r="B2397" s="27" t="s">
        <v>4197</v>
      </c>
      <c r="C2397" s="27" t="s">
        <v>129</v>
      </c>
      <c r="D2397" s="27" t="s">
        <v>3573</v>
      </c>
      <c r="E2397" s="27" t="s">
        <v>47</v>
      </c>
      <c r="F2397" s="27" t="s">
        <v>51</v>
      </c>
      <c r="G2397" s="27" t="s">
        <v>3740</v>
      </c>
      <c r="H2397" s="29" t="s">
        <v>3741</v>
      </c>
      <c r="I2397" s="29" t="s">
        <v>204</v>
      </c>
      <c r="J2397" s="27" t="s">
        <v>59</v>
      </c>
      <c r="K2397" s="29" t="s">
        <v>4203</v>
      </c>
      <c r="L2397" s="27" t="s">
        <v>3723</v>
      </c>
      <c r="M2397" s="27" t="s">
        <v>741</v>
      </c>
      <c r="N2397" s="29" t="s">
        <v>3746</v>
      </c>
      <c r="O2397" s="27" t="s">
        <v>141</v>
      </c>
      <c r="P2397" s="30" t="s">
        <v>3755</v>
      </c>
    </row>
    <row r="2398" s="25" customFormat="1" spans="1:16">
      <c r="A2398" s="27" t="s">
        <v>4203</v>
      </c>
      <c r="B2398" s="27" t="s">
        <v>4197</v>
      </c>
      <c r="C2398" s="27" t="s">
        <v>129</v>
      </c>
      <c r="D2398" s="27" t="s">
        <v>3573</v>
      </c>
      <c r="E2398" s="27" t="s">
        <v>47</v>
      </c>
      <c r="F2398" s="27" t="s">
        <v>51</v>
      </c>
      <c r="G2398" s="27" t="s">
        <v>3740</v>
      </c>
      <c r="H2398" s="29" t="s">
        <v>3741</v>
      </c>
      <c r="I2398" s="29" t="s">
        <v>204</v>
      </c>
      <c r="J2398" s="27" t="s">
        <v>129</v>
      </c>
      <c r="K2398" s="29" t="s">
        <v>4204</v>
      </c>
      <c r="L2398" s="27" t="s">
        <v>3726</v>
      </c>
      <c r="M2398" s="27" t="s">
        <v>741</v>
      </c>
      <c r="N2398" s="29" t="s">
        <v>3746</v>
      </c>
      <c r="O2398" s="27" t="s">
        <v>141</v>
      </c>
      <c r="P2398" s="30" t="s">
        <v>3757</v>
      </c>
    </row>
    <row r="2399" s="25" customFormat="1" spans="1:16">
      <c r="A2399" s="27" t="s">
        <v>4204</v>
      </c>
      <c r="B2399" s="27" t="s">
        <v>4197</v>
      </c>
      <c r="C2399" s="27" t="s">
        <v>129</v>
      </c>
      <c r="D2399" s="27" t="s">
        <v>3573</v>
      </c>
      <c r="E2399" s="27" t="s">
        <v>47</v>
      </c>
      <c r="F2399" s="27" t="s">
        <v>51</v>
      </c>
      <c r="G2399" s="27" t="s">
        <v>3740</v>
      </c>
      <c r="H2399" s="29" t="s">
        <v>3741</v>
      </c>
      <c r="I2399" s="29" t="s">
        <v>204</v>
      </c>
      <c r="J2399" s="27" t="s">
        <v>133</v>
      </c>
      <c r="K2399" s="29" t="s">
        <v>4205</v>
      </c>
      <c r="L2399" s="27" t="s">
        <v>3729</v>
      </c>
      <c r="M2399" s="27" t="s">
        <v>741</v>
      </c>
      <c r="N2399" s="29" t="s">
        <v>3746</v>
      </c>
      <c r="O2399" s="27" t="s">
        <v>141</v>
      </c>
      <c r="P2399" s="30" t="s">
        <v>3759</v>
      </c>
    </row>
    <row r="2400" s="25" customFormat="1" spans="1:16">
      <c r="A2400" s="27" t="s">
        <v>4205</v>
      </c>
      <c r="B2400" s="27" t="s">
        <v>4197</v>
      </c>
      <c r="C2400" s="27" t="s">
        <v>129</v>
      </c>
      <c r="D2400" s="27" t="s">
        <v>3573</v>
      </c>
      <c r="E2400" s="27" t="s">
        <v>47</v>
      </c>
      <c r="F2400" s="27" t="s">
        <v>51</v>
      </c>
      <c r="G2400" s="27" t="s">
        <v>3740</v>
      </c>
      <c r="H2400" s="29" t="s">
        <v>3741</v>
      </c>
      <c r="I2400" s="29" t="s">
        <v>204</v>
      </c>
      <c r="J2400" s="27" t="s">
        <v>137</v>
      </c>
      <c r="K2400" s="29" t="s">
        <v>4206</v>
      </c>
      <c r="L2400" s="27" t="s">
        <v>3732</v>
      </c>
      <c r="M2400" s="27" t="s">
        <v>741</v>
      </c>
      <c r="N2400" s="29" t="s">
        <v>3746</v>
      </c>
      <c r="O2400" s="27" t="s">
        <v>141</v>
      </c>
      <c r="P2400" s="30" t="s">
        <v>3761</v>
      </c>
    </row>
    <row r="2401" s="25" customFormat="1" spans="1:16">
      <c r="A2401" s="27" t="s">
        <v>4206</v>
      </c>
      <c r="B2401" s="27" t="s">
        <v>4197</v>
      </c>
      <c r="C2401" s="27" t="s">
        <v>129</v>
      </c>
      <c r="D2401" s="27" t="s">
        <v>3573</v>
      </c>
      <c r="E2401" s="27" t="s">
        <v>47</v>
      </c>
      <c r="F2401" s="27" t="s">
        <v>51</v>
      </c>
      <c r="G2401" s="27" t="s">
        <v>3740</v>
      </c>
      <c r="H2401" s="29" t="s">
        <v>3741</v>
      </c>
      <c r="I2401" s="29" t="s">
        <v>204</v>
      </c>
      <c r="J2401" s="27" t="s">
        <v>141</v>
      </c>
      <c r="K2401" s="29" t="s">
        <v>4207</v>
      </c>
      <c r="L2401" s="27" t="s">
        <v>3735</v>
      </c>
      <c r="M2401" s="27" t="s">
        <v>741</v>
      </c>
      <c r="N2401" s="29" t="s">
        <v>3746</v>
      </c>
      <c r="O2401" s="27" t="s">
        <v>141</v>
      </c>
      <c r="P2401" s="30" t="s">
        <v>3763</v>
      </c>
    </row>
    <row r="2402" s="25" customFormat="1" spans="1:16">
      <c r="A2402" s="27" t="s">
        <v>4207</v>
      </c>
      <c r="B2402" s="27" t="s">
        <v>4197</v>
      </c>
      <c r="C2402" s="27" t="s">
        <v>129</v>
      </c>
      <c r="D2402" s="27" t="s">
        <v>3573</v>
      </c>
      <c r="E2402" s="27" t="s">
        <v>47</v>
      </c>
      <c r="F2402" s="27" t="s">
        <v>51</v>
      </c>
      <c r="G2402" s="27" t="s">
        <v>3740</v>
      </c>
      <c r="H2402" s="29" t="s">
        <v>3741</v>
      </c>
      <c r="I2402" s="29" t="s">
        <v>204</v>
      </c>
      <c r="J2402" s="27" t="s">
        <v>145</v>
      </c>
      <c r="K2402" s="29" t="s">
        <v>4208</v>
      </c>
      <c r="L2402" s="27" t="s">
        <v>3737</v>
      </c>
      <c r="M2402" s="27" t="s">
        <v>741</v>
      </c>
      <c r="N2402" s="29" t="s">
        <v>3746</v>
      </c>
      <c r="O2402" s="27" t="s">
        <v>141</v>
      </c>
      <c r="P2402" s="30" t="s">
        <v>3764</v>
      </c>
    </row>
    <row r="2403" s="25" customFormat="1" spans="1:16">
      <c r="A2403" s="27" t="s">
        <v>4208</v>
      </c>
      <c r="B2403" s="27" t="s">
        <v>4197</v>
      </c>
      <c r="C2403" s="27" t="s">
        <v>129</v>
      </c>
      <c r="D2403" s="27" t="s">
        <v>3573</v>
      </c>
      <c r="E2403" s="27" t="s">
        <v>47</v>
      </c>
      <c r="F2403" s="27" t="s">
        <v>51</v>
      </c>
      <c r="G2403" s="27" t="s">
        <v>3740</v>
      </c>
      <c r="H2403" s="29" t="s">
        <v>3741</v>
      </c>
      <c r="I2403" s="29" t="s">
        <v>204</v>
      </c>
      <c r="J2403" s="27" t="s">
        <v>408</v>
      </c>
      <c r="K2403" s="29" t="s">
        <v>4209</v>
      </c>
      <c r="L2403" s="27" t="s">
        <v>3998</v>
      </c>
      <c r="M2403" s="27" t="s">
        <v>741</v>
      </c>
      <c r="N2403" s="29" t="s">
        <v>3746</v>
      </c>
      <c r="O2403" s="27" t="s">
        <v>141</v>
      </c>
      <c r="P2403" s="30" t="s">
        <v>4210</v>
      </c>
    </row>
    <row r="2404" s="25" customFormat="1" spans="1:16">
      <c r="A2404" s="27" t="s">
        <v>4209</v>
      </c>
      <c r="B2404" s="27" t="s">
        <v>4197</v>
      </c>
      <c r="C2404" s="27" t="s">
        <v>129</v>
      </c>
      <c r="D2404" s="27" t="s">
        <v>3573</v>
      </c>
      <c r="E2404" s="27" t="s">
        <v>47</v>
      </c>
      <c r="F2404" s="27" t="s">
        <v>51</v>
      </c>
      <c r="G2404" s="27" t="s">
        <v>3740</v>
      </c>
      <c r="H2404" s="29" t="s">
        <v>3741</v>
      </c>
      <c r="I2404" s="29" t="s">
        <v>204</v>
      </c>
      <c r="J2404" s="27" t="s">
        <v>412</v>
      </c>
      <c r="K2404" s="29" t="s">
        <v>4211</v>
      </c>
      <c r="L2404" s="27" t="s">
        <v>4001</v>
      </c>
      <c r="M2404" s="27" t="s">
        <v>741</v>
      </c>
      <c r="N2404" s="29" t="s">
        <v>3746</v>
      </c>
      <c r="O2404" s="27" t="s">
        <v>141</v>
      </c>
      <c r="P2404" s="30" t="s">
        <v>4212</v>
      </c>
    </row>
    <row r="2405" s="25" customFormat="1" spans="1:16">
      <c r="A2405" s="27" t="s">
        <v>4211</v>
      </c>
      <c r="B2405" s="27" t="s">
        <v>4197</v>
      </c>
      <c r="C2405" s="27" t="s">
        <v>129</v>
      </c>
      <c r="D2405" s="27" t="s">
        <v>3573</v>
      </c>
      <c r="E2405" s="27" t="s">
        <v>47</v>
      </c>
      <c r="F2405" s="27" t="s">
        <v>51</v>
      </c>
      <c r="G2405" s="27" t="s">
        <v>3740</v>
      </c>
      <c r="H2405" s="29" t="s">
        <v>3741</v>
      </c>
      <c r="I2405" s="29" t="s">
        <v>204</v>
      </c>
      <c r="J2405" s="27" t="s">
        <v>416</v>
      </c>
      <c r="K2405" s="29" t="s">
        <v>4213</v>
      </c>
      <c r="L2405" s="27" t="s">
        <v>4028</v>
      </c>
      <c r="M2405" s="27" t="s">
        <v>741</v>
      </c>
      <c r="N2405" s="29" t="s">
        <v>3746</v>
      </c>
      <c r="O2405" s="27" t="s">
        <v>141</v>
      </c>
      <c r="P2405" s="30" t="s">
        <v>4214</v>
      </c>
    </row>
    <row r="2406" s="25" customFormat="1" spans="1:16">
      <c r="A2406" s="27" t="s">
        <v>4213</v>
      </c>
      <c r="B2406" s="27" t="s">
        <v>4197</v>
      </c>
      <c r="C2406" s="27" t="s">
        <v>129</v>
      </c>
      <c r="D2406" s="27" t="s">
        <v>3573</v>
      </c>
      <c r="E2406" s="27" t="s">
        <v>47</v>
      </c>
      <c r="F2406" s="27" t="s">
        <v>51</v>
      </c>
      <c r="G2406" s="27" t="s">
        <v>3740</v>
      </c>
      <c r="H2406" s="29" t="s">
        <v>3741</v>
      </c>
      <c r="I2406" s="29" t="s">
        <v>204</v>
      </c>
      <c r="J2406" s="27" t="s">
        <v>420</v>
      </c>
      <c r="K2406" s="29" t="s">
        <v>4215</v>
      </c>
      <c r="L2406" s="27" t="s">
        <v>4031</v>
      </c>
      <c r="M2406" s="27" t="s">
        <v>741</v>
      </c>
      <c r="N2406" s="29" t="s">
        <v>3746</v>
      </c>
      <c r="O2406" s="27" t="s">
        <v>141</v>
      </c>
      <c r="P2406" s="30" t="s">
        <v>4216</v>
      </c>
    </row>
    <row r="2407" s="25" customFormat="1" spans="1:16">
      <c r="A2407" s="27" t="s">
        <v>4215</v>
      </c>
      <c r="B2407" s="27" t="s">
        <v>4197</v>
      </c>
      <c r="C2407" s="27" t="s">
        <v>129</v>
      </c>
      <c r="D2407" s="27" t="s">
        <v>3573</v>
      </c>
      <c r="E2407" s="27" t="s">
        <v>47</v>
      </c>
      <c r="F2407" s="27" t="s">
        <v>51</v>
      </c>
      <c r="G2407" s="27" t="s">
        <v>3740</v>
      </c>
      <c r="H2407" s="29" t="s">
        <v>3741</v>
      </c>
      <c r="I2407" s="29" t="s">
        <v>204</v>
      </c>
      <c r="J2407" s="27" t="s">
        <v>424</v>
      </c>
      <c r="K2407" s="29" t="s">
        <v>4217</v>
      </c>
      <c r="L2407" s="27" t="s">
        <v>4109</v>
      </c>
      <c r="M2407" s="27" t="s">
        <v>741</v>
      </c>
      <c r="N2407" s="29" t="s">
        <v>3746</v>
      </c>
      <c r="O2407" s="27" t="s">
        <v>141</v>
      </c>
      <c r="P2407" s="30" t="s">
        <v>4218</v>
      </c>
    </row>
    <row r="2408" s="25" customFormat="1" spans="1:16">
      <c r="A2408" s="27" t="s">
        <v>4217</v>
      </c>
      <c r="B2408" s="27" t="s">
        <v>4197</v>
      </c>
      <c r="C2408" s="27" t="s">
        <v>129</v>
      </c>
      <c r="D2408" s="27" t="s">
        <v>3573</v>
      </c>
      <c r="E2408" s="27" t="s">
        <v>47</v>
      </c>
      <c r="F2408" s="27" t="s">
        <v>51</v>
      </c>
      <c r="G2408" s="27" t="s">
        <v>3740</v>
      </c>
      <c r="H2408" s="29" t="s">
        <v>3741</v>
      </c>
      <c r="I2408" s="29" t="s">
        <v>204</v>
      </c>
      <c r="J2408" s="27" t="s">
        <v>631</v>
      </c>
      <c r="K2408" s="29" t="s">
        <v>4219</v>
      </c>
      <c r="L2408" s="27" t="s">
        <v>4112</v>
      </c>
      <c r="M2408" s="27" t="s">
        <v>741</v>
      </c>
      <c r="N2408" s="29" t="s">
        <v>3746</v>
      </c>
      <c r="O2408" s="27" t="s">
        <v>141</v>
      </c>
      <c r="P2408" s="30" t="s">
        <v>4220</v>
      </c>
    </row>
    <row r="2409" s="25" customFormat="1" spans="1:16">
      <c r="A2409" s="27" t="s">
        <v>4219</v>
      </c>
      <c r="B2409" s="27" t="s">
        <v>4197</v>
      </c>
      <c r="C2409" s="27" t="s">
        <v>129</v>
      </c>
      <c r="D2409" s="27" t="s">
        <v>3573</v>
      </c>
      <c r="E2409" s="27" t="s">
        <v>47</v>
      </c>
      <c r="F2409" s="27" t="s">
        <v>51</v>
      </c>
      <c r="G2409" s="27" t="s">
        <v>3740</v>
      </c>
      <c r="H2409" s="29" t="s">
        <v>3741</v>
      </c>
      <c r="I2409" s="29" t="s">
        <v>204</v>
      </c>
      <c r="J2409" s="27" t="s">
        <v>635</v>
      </c>
      <c r="K2409" s="29" t="s">
        <v>4221</v>
      </c>
      <c r="L2409" s="27" t="s">
        <v>4115</v>
      </c>
      <c r="M2409" s="27" t="s">
        <v>741</v>
      </c>
      <c r="N2409" s="29" t="s">
        <v>3746</v>
      </c>
      <c r="O2409" s="27" t="s">
        <v>141</v>
      </c>
      <c r="P2409" s="30" t="s">
        <v>4222</v>
      </c>
    </row>
    <row r="2410" s="25" customFormat="1" spans="1:16">
      <c r="A2410" s="27" t="s">
        <v>4221</v>
      </c>
      <c r="B2410" s="27" t="s">
        <v>4197</v>
      </c>
      <c r="C2410" s="27" t="s">
        <v>129</v>
      </c>
      <c r="D2410" s="27" t="s">
        <v>3573</v>
      </c>
      <c r="E2410" s="27" t="s">
        <v>47</v>
      </c>
      <c r="F2410" s="27" t="s">
        <v>51</v>
      </c>
      <c r="G2410" s="27" t="s">
        <v>3740</v>
      </c>
      <c r="H2410" s="29" t="s">
        <v>3741</v>
      </c>
      <c r="I2410" s="29" t="s">
        <v>204</v>
      </c>
      <c r="J2410" s="27" t="s">
        <v>639</v>
      </c>
      <c r="K2410" s="29" t="s">
        <v>4223</v>
      </c>
      <c r="L2410" s="27" t="s">
        <v>4118</v>
      </c>
      <c r="M2410" s="27" t="s">
        <v>741</v>
      </c>
      <c r="N2410" s="29" t="s">
        <v>3746</v>
      </c>
      <c r="O2410" s="27" t="s">
        <v>141</v>
      </c>
      <c r="P2410" s="30" t="s">
        <v>4224</v>
      </c>
    </row>
    <row r="2411" s="25" customFormat="1" spans="1:16">
      <c r="A2411" s="27" t="s">
        <v>4223</v>
      </c>
      <c r="B2411" s="27" t="s">
        <v>4197</v>
      </c>
      <c r="C2411" s="27" t="s">
        <v>129</v>
      </c>
      <c r="D2411" s="27" t="s">
        <v>3573</v>
      </c>
      <c r="E2411" s="27" t="s">
        <v>47</v>
      </c>
      <c r="F2411" s="27" t="s">
        <v>51</v>
      </c>
      <c r="G2411" s="27" t="s">
        <v>3740</v>
      </c>
      <c r="H2411" s="29" t="s">
        <v>3741</v>
      </c>
      <c r="I2411" s="29" t="s">
        <v>204</v>
      </c>
      <c r="J2411" s="27" t="s">
        <v>643</v>
      </c>
      <c r="K2411" s="29" t="s">
        <v>4225</v>
      </c>
      <c r="L2411" s="27" t="s">
        <v>4121</v>
      </c>
      <c r="M2411" s="27" t="s">
        <v>741</v>
      </c>
      <c r="N2411" s="29" t="s">
        <v>3746</v>
      </c>
      <c r="O2411" s="27" t="s">
        <v>141</v>
      </c>
      <c r="P2411" s="30" t="s">
        <v>4226</v>
      </c>
    </row>
    <row r="2412" s="25" customFormat="1" spans="1:16">
      <c r="A2412" s="27" t="s">
        <v>4225</v>
      </c>
      <c r="B2412" s="27" t="s">
        <v>4197</v>
      </c>
      <c r="C2412" s="27" t="s">
        <v>129</v>
      </c>
      <c r="D2412" s="27" t="s">
        <v>3573</v>
      </c>
      <c r="E2412" s="27" t="s">
        <v>47</v>
      </c>
      <c r="F2412" s="27" t="s">
        <v>51</v>
      </c>
      <c r="G2412" s="27" t="s">
        <v>3740</v>
      </c>
      <c r="H2412" s="29" t="s">
        <v>3741</v>
      </c>
      <c r="I2412" s="29" t="s">
        <v>204</v>
      </c>
      <c r="J2412" s="27" t="s">
        <v>647</v>
      </c>
      <c r="K2412" s="29" t="s">
        <v>39</v>
      </c>
      <c r="L2412" s="27" t="s">
        <v>39</v>
      </c>
      <c r="M2412" s="27" t="s">
        <v>39</v>
      </c>
      <c r="N2412" s="29" t="s">
        <v>3746</v>
      </c>
      <c r="O2412" s="27" t="s">
        <v>141</v>
      </c>
      <c r="P2412" s="30" t="s">
        <v>4227</v>
      </c>
    </row>
    <row r="2413" s="25" customFormat="1" spans="1:16">
      <c r="A2413" s="27" t="s">
        <v>4228</v>
      </c>
      <c r="B2413" s="27" t="s">
        <v>4228</v>
      </c>
      <c r="C2413" s="27" t="s">
        <v>129</v>
      </c>
      <c r="D2413" s="27" t="s">
        <v>3573</v>
      </c>
      <c r="E2413" s="27" t="s">
        <v>47</v>
      </c>
      <c r="F2413" s="27" t="s">
        <v>51</v>
      </c>
      <c r="G2413" s="27" t="s">
        <v>3766</v>
      </c>
      <c r="H2413" s="29" t="s">
        <v>3767</v>
      </c>
      <c r="I2413" s="29" t="s">
        <v>204</v>
      </c>
      <c r="J2413" s="27" t="s">
        <v>39</v>
      </c>
      <c r="K2413" s="29" t="s">
        <v>4229</v>
      </c>
      <c r="L2413" s="27" t="s">
        <v>3706</v>
      </c>
      <c r="M2413" s="27" t="s">
        <v>773</v>
      </c>
      <c r="N2413" s="29" t="s">
        <v>3769</v>
      </c>
      <c r="O2413" s="27" t="s">
        <v>145</v>
      </c>
      <c r="P2413" s="30" t="s">
        <v>3770</v>
      </c>
    </row>
    <row r="2414" s="25" customFormat="1" spans="1:16">
      <c r="A2414" s="27" t="s">
        <v>4229</v>
      </c>
      <c r="B2414" s="27" t="s">
        <v>4228</v>
      </c>
      <c r="C2414" s="27" t="s">
        <v>129</v>
      </c>
      <c r="D2414" s="27" t="s">
        <v>3573</v>
      </c>
      <c r="E2414" s="27" t="s">
        <v>47</v>
      </c>
      <c r="F2414" s="27" t="s">
        <v>51</v>
      </c>
      <c r="G2414" s="27" t="s">
        <v>3766</v>
      </c>
      <c r="H2414" s="29" t="s">
        <v>3767</v>
      </c>
      <c r="I2414" s="29" t="s">
        <v>204</v>
      </c>
      <c r="J2414" s="27" t="s">
        <v>35</v>
      </c>
      <c r="K2414" s="29" t="s">
        <v>4230</v>
      </c>
      <c r="L2414" s="27" t="s">
        <v>3710</v>
      </c>
      <c r="M2414" s="27" t="s">
        <v>773</v>
      </c>
      <c r="N2414" s="29" t="s">
        <v>3772</v>
      </c>
      <c r="O2414" s="27" t="s">
        <v>145</v>
      </c>
      <c r="P2414" s="30" t="s">
        <v>3773</v>
      </c>
    </row>
    <row r="2415" s="25" customFormat="1" spans="1:16">
      <c r="A2415" s="27" t="s">
        <v>4230</v>
      </c>
      <c r="B2415" s="27" t="s">
        <v>4228</v>
      </c>
      <c r="C2415" s="27" t="s">
        <v>129</v>
      </c>
      <c r="D2415" s="27" t="s">
        <v>3573</v>
      </c>
      <c r="E2415" s="27" t="s">
        <v>47</v>
      </c>
      <c r="F2415" s="27" t="s">
        <v>51</v>
      </c>
      <c r="G2415" s="27" t="s">
        <v>3766</v>
      </c>
      <c r="H2415" s="29" t="s">
        <v>3767</v>
      </c>
      <c r="I2415" s="29" t="s">
        <v>204</v>
      </c>
      <c r="J2415" s="27" t="s">
        <v>47</v>
      </c>
      <c r="K2415" s="29" t="s">
        <v>4231</v>
      </c>
      <c r="L2415" s="27" t="s">
        <v>3714</v>
      </c>
      <c r="M2415" s="27" t="s">
        <v>773</v>
      </c>
      <c r="N2415" s="29" t="s">
        <v>3772</v>
      </c>
      <c r="O2415" s="27" t="s">
        <v>145</v>
      </c>
      <c r="P2415" s="30" t="s">
        <v>3775</v>
      </c>
    </row>
    <row r="2416" s="25" customFormat="1" spans="1:16">
      <c r="A2416" s="27" t="s">
        <v>4231</v>
      </c>
      <c r="B2416" s="27" t="s">
        <v>4228</v>
      </c>
      <c r="C2416" s="27" t="s">
        <v>129</v>
      </c>
      <c r="D2416" s="27" t="s">
        <v>3573</v>
      </c>
      <c r="E2416" s="27" t="s">
        <v>47</v>
      </c>
      <c r="F2416" s="27" t="s">
        <v>51</v>
      </c>
      <c r="G2416" s="27" t="s">
        <v>3766</v>
      </c>
      <c r="H2416" s="29" t="s">
        <v>3767</v>
      </c>
      <c r="I2416" s="29" t="s">
        <v>204</v>
      </c>
      <c r="J2416" s="27" t="s">
        <v>51</v>
      </c>
      <c r="K2416" s="29" t="s">
        <v>4232</v>
      </c>
      <c r="L2416" s="27" t="s">
        <v>3717</v>
      </c>
      <c r="M2416" s="27" t="s">
        <v>773</v>
      </c>
      <c r="N2416" s="29" t="s">
        <v>3772</v>
      </c>
      <c r="O2416" s="27" t="s">
        <v>145</v>
      </c>
      <c r="P2416" s="30" t="s">
        <v>3777</v>
      </c>
    </row>
    <row r="2417" s="25" customFormat="1" spans="1:16">
      <c r="A2417" s="27" t="s">
        <v>4232</v>
      </c>
      <c r="B2417" s="27" t="s">
        <v>4228</v>
      </c>
      <c r="C2417" s="27" t="s">
        <v>129</v>
      </c>
      <c r="D2417" s="27" t="s">
        <v>3573</v>
      </c>
      <c r="E2417" s="27" t="s">
        <v>47</v>
      </c>
      <c r="F2417" s="27" t="s">
        <v>51</v>
      </c>
      <c r="G2417" s="27" t="s">
        <v>3766</v>
      </c>
      <c r="H2417" s="29" t="s">
        <v>3767</v>
      </c>
      <c r="I2417" s="29" t="s">
        <v>204</v>
      </c>
      <c r="J2417" s="27" t="s">
        <v>55</v>
      </c>
      <c r="K2417" s="29" t="s">
        <v>4233</v>
      </c>
      <c r="L2417" s="27" t="s">
        <v>3720</v>
      </c>
      <c r="M2417" s="27" t="s">
        <v>773</v>
      </c>
      <c r="N2417" s="29" t="s">
        <v>3772</v>
      </c>
      <c r="O2417" s="27" t="s">
        <v>145</v>
      </c>
      <c r="P2417" s="30" t="s">
        <v>3779</v>
      </c>
    </row>
    <row r="2418" s="25" customFormat="1" spans="1:16">
      <c r="A2418" s="27" t="s">
        <v>4233</v>
      </c>
      <c r="B2418" s="27" t="s">
        <v>4228</v>
      </c>
      <c r="C2418" s="27" t="s">
        <v>129</v>
      </c>
      <c r="D2418" s="27" t="s">
        <v>3573</v>
      </c>
      <c r="E2418" s="27" t="s">
        <v>47</v>
      </c>
      <c r="F2418" s="27" t="s">
        <v>51</v>
      </c>
      <c r="G2418" s="27" t="s">
        <v>3766</v>
      </c>
      <c r="H2418" s="29" t="s">
        <v>3767</v>
      </c>
      <c r="I2418" s="29" t="s">
        <v>204</v>
      </c>
      <c r="J2418" s="27" t="s">
        <v>59</v>
      </c>
      <c r="K2418" s="29" t="s">
        <v>4234</v>
      </c>
      <c r="L2418" s="27" t="s">
        <v>3723</v>
      </c>
      <c r="M2418" s="27" t="s">
        <v>773</v>
      </c>
      <c r="N2418" s="29" t="s">
        <v>3772</v>
      </c>
      <c r="O2418" s="27" t="s">
        <v>145</v>
      </c>
      <c r="P2418" s="30" t="s">
        <v>3781</v>
      </c>
    </row>
    <row r="2419" s="25" customFormat="1" spans="1:16">
      <c r="A2419" s="27" t="s">
        <v>4234</v>
      </c>
      <c r="B2419" s="27" t="s">
        <v>4228</v>
      </c>
      <c r="C2419" s="27" t="s">
        <v>129</v>
      </c>
      <c r="D2419" s="27" t="s">
        <v>3573</v>
      </c>
      <c r="E2419" s="27" t="s">
        <v>47</v>
      </c>
      <c r="F2419" s="27" t="s">
        <v>51</v>
      </c>
      <c r="G2419" s="27" t="s">
        <v>3766</v>
      </c>
      <c r="H2419" s="29" t="s">
        <v>3767</v>
      </c>
      <c r="I2419" s="29" t="s">
        <v>204</v>
      </c>
      <c r="J2419" s="27" t="s">
        <v>129</v>
      </c>
      <c r="K2419" s="29" t="s">
        <v>4235</v>
      </c>
      <c r="L2419" s="27" t="s">
        <v>3726</v>
      </c>
      <c r="M2419" s="27" t="s">
        <v>773</v>
      </c>
      <c r="N2419" s="29" t="s">
        <v>3772</v>
      </c>
      <c r="O2419" s="27" t="s">
        <v>145</v>
      </c>
      <c r="P2419" s="30" t="s">
        <v>3783</v>
      </c>
    </row>
    <row r="2420" s="25" customFormat="1" spans="1:16">
      <c r="A2420" s="27" t="s">
        <v>4235</v>
      </c>
      <c r="B2420" s="27" t="s">
        <v>4228</v>
      </c>
      <c r="C2420" s="27" t="s">
        <v>129</v>
      </c>
      <c r="D2420" s="27" t="s">
        <v>3573</v>
      </c>
      <c r="E2420" s="27" t="s">
        <v>47</v>
      </c>
      <c r="F2420" s="27" t="s">
        <v>51</v>
      </c>
      <c r="G2420" s="27" t="s">
        <v>3766</v>
      </c>
      <c r="H2420" s="29" t="s">
        <v>3767</v>
      </c>
      <c r="I2420" s="29" t="s">
        <v>204</v>
      </c>
      <c r="J2420" s="27" t="s">
        <v>133</v>
      </c>
      <c r="K2420" s="29" t="s">
        <v>4236</v>
      </c>
      <c r="L2420" s="27" t="s">
        <v>3729</v>
      </c>
      <c r="M2420" s="27" t="s">
        <v>773</v>
      </c>
      <c r="N2420" s="29" t="s">
        <v>3772</v>
      </c>
      <c r="O2420" s="27" t="s">
        <v>145</v>
      </c>
      <c r="P2420" s="30" t="s">
        <v>3785</v>
      </c>
    </row>
    <row r="2421" s="25" customFormat="1" spans="1:16">
      <c r="A2421" s="27" t="s">
        <v>4236</v>
      </c>
      <c r="B2421" s="27" t="s">
        <v>4228</v>
      </c>
      <c r="C2421" s="27" t="s">
        <v>129</v>
      </c>
      <c r="D2421" s="27" t="s">
        <v>3573</v>
      </c>
      <c r="E2421" s="27" t="s">
        <v>47</v>
      </c>
      <c r="F2421" s="27" t="s">
        <v>51</v>
      </c>
      <c r="G2421" s="27" t="s">
        <v>3766</v>
      </c>
      <c r="H2421" s="29" t="s">
        <v>3767</v>
      </c>
      <c r="I2421" s="29" t="s">
        <v>204</v>
      </c>
      <c r="J2421" s="27" t="s">
        <v>137</v>
      </c>
      <c r="K2421" s="29" t="s">
        <v>4237</v>
      </c>
      <c r="L2421" s="27" t="s">
        <v>3732</v>
      </c>
      <c r="M2421" s="27" t="s">
        <v>773</v>
      </c>
      <c r="N2421" s="29" t="s">
        <v>3772</v>
      </c>
      <c r="O2421" s="27" t="s">
        <v>145</v>
      </c>
      <c r="P2421" s="30" t="s">
        <v>3787</v>
      </c>
    </row>
    <row r="2422" s="25" customFormat="1" spans="1:16">
      <c r="A2422" s="27" t="s">
        <v>4237</v>
      </c>
      <c r="B2422" s="27" t="s">
        <v>4228</v>
      </c>
      <c r="C2422" s="27" t="s">
        <v>129</v>
      </c>
      <c r="D2422" s="27" t="s">
        <v>3573</v>
      </c>
      <c r="E2422" s="27" t="s">
        <v>47</v>
      </c>
      <c r="F2422" s="27" t="s">
        <v>51</v>
      </c>
      <c r="G2422" s="27" t="s">
        <v>3766</v>
      </c>
      <c r="H2422" s="29" t="s">
        <v>3767</v>
      </c>
      <c r="I2422" s="29" t="s">
        <v>204</v>
      </c>
      <c r="J2422" s="27" t="s">
        <v>141</v>
      </c>
      <c r="K2422" s="29" t="s">
        <v>4238</v>
      </c>
      <c r="L2422" s="27" t="s">
        <v>3735</v>
      </c>
      <c r="M2422" s="27" t="s">
        <v>773</v>
      </c>
      <c r="N2422" s="29" t="s">
        <v>3772</v>
      </c>
      <c r="O2422" s="27" t="s">
        <v>145</v>
      </c>
      <c r="P2422" s="30" t="s">
        <v>3789</v>
      </c>
    </row>
    <row r="2423" s="25" customFormat="1" spans="1:16">
      <c r="A2423" s="27" t="s">
        <v>4238</v>
      </c>
      <c r="B2423" s="27" t="s">
        <v>4228</v>
      </c>
      <c r="C2423" s="27" t="s">
        <v>129</v>
      </c>
      <c r="D2423" s="27" t="s">
        <v>3573</v>
      </c>
      <c r="E2423" s="27" t="s">
        <v>47</v>
      </c>
      <c r="F2423" s="27" t="s">
        <v>51</v>
      </c>
      <c r="G2423" s="27" t="s">
        <v>3766</v>
      </c>
      <c r="H2423" s="29" t="s">
        <v>3767</v>
      </c>
      <c r="I2423" s="29" t="s">
        <v>204</v>
      </c>
      <c r="J2423" s="27" t="s">
        <v>145</v>
      </c>
      <c r="K2423" s="29" t="s">
        <v>4239</v>
      </c>
      <c r="L2423" s="27" t="s">
        <v>3737</v>
      </c>
      <c r="M2423" s="27" t="s">
        <v>773</v>
      </c>
      <c r="N2423" s="29" t="s">
        <v>3772</v>
      </c>
      <c r="O2423" s="27" t="s">
        <v>145</v>
      </c>
      <c r="P2423" s="30" t="s">
        <v>3790</v>
      </c>
    </row>
    <row r="2424" s="25" customFormat="1" spans="1:16">
      <c r="A2424" s="27" t="s">
        <v>4239</v>
      </c>
      <c r="B2424" s="27" t="s">
        <v>4228</v>
      </c>
      <c r="C2424" s="27" t="s">
        <v>129</v>
      </c>
      <c r="D2424" s="27" t="s">
        <v>3573</v>
      </c>
      <c r="E2424" s="27" t="s">
        <v>47</v>
      </c>
      <c r="F2424" s="27" t="s">
        <v>51</v>
      </c>
      <c r="G2424" s="27" t="s">
        <v>3766</v>
      </c>
      <c r="H2424" s="29" t="s">
        <v>3767</v>
      </c>
      <c r="I2424" s="29" t="s">
        <v>204</v>
      </c>
      <c r="J2424" s="27" t="s">
        <v>408</v>
      </c>
      <c r="K2424" s="29" t="s">
        <v>4240</v>
      </c>
      <c r="L2424" s="27" t="s">
        <v>3998</v>
      </c>
      <c r="M2424" s="27" t="s">
        <v>773</v>
      </c>
      <c r="N2424" s="29" t="s">
        <v>3772</v>
      </c>
      <c r="O2424" s="27" t="s">
        <v>145</v>
      </c>
      <c r="P2424" s="30" t="s">
        <v>4241</v>
      </c>
    </row>
    <row r="2425" s="25" customFormat="1" spans="1:16">
      <c r="A2425" s="27" t="s">
        <v>4240</v>
      </c>
      <c r="B2425" s="27" t="s">
        <v>4228</v>
      </c>
      <c r="C2425" s="27" t="s">
        <v>129</v>
      </c>
      <c r="D2425" s="27" t="s">
        <v>3573</v>
      </c>
      <c r="E2425" s="27" t="s">
        <v>47</v>
      </c>
      <c r="F2425" s="27" t="s">
        <v>51</v>
      </c>
      <c r="G2425" s="27" t="s">
        <v>3766</v>
      </c>
      <c r="H2425" s="29" t="s">
        <v>3767</v>
      </c>
      <c r="I2425" s="29" t="s">
        <v>204</v>
      </c>
      <c r="J2425" s="27" t="s">
        <v>412</v>
      </c>
      <c r="K2425" s="29" t="s">
        <v>4242</v>
      </c>
      <c r="L2425" s="27" t="s">
        <v>4001</v>
      </c>
      <c r="M2425" s="27" t="s">
        <v>773</v>
      </c>
      <c r="N2425" s="29" t="s">
        <v>3772</v>
      </c>
      <c r="O2425" s="27" t="s">
        <v>145</v>
      </c>
      <c r="P2425" s="30" t="s">
        <v>4243</v>
      </c>
    </row>
    <row r="2426" s="25" customFormat="1" spans="1:16">
      <c r="A2426" s="27" t="s">
        <v>4242</v>
      </c>
      <c r="B2426" s="27" t="s">
        <v>4228</v>
      </c>
      <c r="C2426" s="27" t="s">
        <v>129</v>
      </c>
      <c r="D2426" s="27" t="s">
        <v>3573</v>
      </c>
      <c r="E2426" s="27" t="s">
        <v>47</v>
      </c>
      <c r="F2426" s="27" t="s">
        <v>51</v>
      </c>
      <c r="G2426" s="27" t="s">
        <v>3766</v>
      </c>
      <c r="H2426" s="29" t="s">
        <v>3767</v>
      </c>
      <c r="I2426" s="29" t="s">
        <v>204</v>
      </c>
      <c r="J2426" s="27" t="s">
        <v>416</v>
      </c>
      <c r="K2426" s="29" t="s">
        <v>4244</v>
      </c>
      <c r="L2426" s="27" t="s">
        <v>4028</v>
      </c>
      <c r="M2426" s="27" t="s">
        <v>773</v>
      </c>
      <c r="N2426" s="29" t="s">
        <v>3772</v>
      </c>
      <c r="O2426" s="27" t="s">
        <v>145</v>
      </c>
      <c r="P2426" s="30" t="s">
        <v>4245</v>
      </c>
    </row>
    <row r="2427" s="25" customFormat="1" spans="1:16">
      <c r="A2427" s="27" t="s">
        <v>4244</v>
      </c>
      <c r="B2427" s="27" t="s">
        <v>4228</v>
      </c>
      <c r="C2427" s="27" t="s">
        <v>129</v>
      </c>
      <c r="D2427" s="27" t="s">
        <v>3573</v>
      </c>
      <c r="E2427" s="27" t="s">
        <v>47</v>
      </c>
      <c r="F2427" s="27" t="s">
        <v>51</v>
      </c>
      <c r="G2427" s="27" t="s">
        <v>3766</v>
      </c>
      <c r="H2427" s="29" t="s">
        <v>3767</v>
      </c>
      <c r="I2427" s="29" t="s">
        <v>204</v>
      </c>
      <c r="J2427" s="27" t="s">
        <v>420</v>
      </c>
      <c r="K2427" s="29" t="s">
        <v>4246</v>
      </c>
      <c r="L2427" s="27" t="s">
        <v>4031</v>
      </c>
      <c r="M2427" s="27" t="s">
        <v>773</v>
      </c>
      <c r="N2427" s="29" t="s">
        <v>3772</v>
      </c>
      <c r="O2427" s="27" t="s">
        <v>145</v>
      </c>
      <c r="P2427" s="30" t="s">
        <v>4247</v>
      </c>
    </row>
    <row r="2428" s="25" customFormat="1" spans="1:16">
      <c r="A2428" s="27" t="s">
        <v>4246</v>
      </c>
      <c r="B2428" s="27" t="s">
        <v>4228</v>
      </c>
      <c r="C2428" s="27" t="s">
        <v>129</v>
      </c>
      <c r="D2428" s="27" t="s">
        <v>3573</v>
      </c>
      <c r="E2428" s="27" t="s">
        <v>47</v>
      </c>
      <c r="F2428" s="27" t="s">
        <v>51</v>
      </c>
      <c r="G2428" s="27" t="s">
        <v>3766</v>
      </c>
      <c r="H2428" s="29" t="s">
        <v>3767</v>
      </c>
      <c r="I2428" s="29" t="s">
        <v>204</v>
      </c>
      <c r="J2428" s="27" t="s">
        <v>424</v>
      </c>
      <c r="K2428" s="29" t="s">
        <v>4248</v>
      </c>
      <c r="L2428" s="27" t="s">
        <v>4109</v>
      </c>
      <c r="M2428" s="27" t="s">
        <v>773</v>
      </c>
      <c r="N2428" s="29" t="s">
        <v>3772</v>
      </c>
      <c r="O2428" s="27" t="s">
        <v>145</v>
      </c>
      <c r="P2428" s="30" t="s">
        <v>4249</v>
      </c>
    </row>
    <row r="2429" s="25" customFormat="1" spans="1:16">
      <c r="A2429" s="27" t="s">
        <v>4248</v>
      </c>
      <c r="B2429" s="27" t="s">
        <v>4228</v>
      </c>
      <c r="C2429" s="27" t="s">
        <v>129</v>
      </c>
      <c r="D2429" s="27" t="s">
        <v>3573</v>
      </c>
      <c r="E2429" s="27" t="s">
        <v>47</v>
      </c>
      <c r="F2429" s="27" t="s">
        <v>51</v>
      </c>
      <c r="G2429" s="27" t="s">
        <v>3766</v>
      </c>
      <c r="H2429" s="29" t="s">
        <v>3767</v>
      </c>
      <c r="I2429" s="29" t="s">
        <v>204</v>
      </c>
      <c r="J2429" s="27" t="s">
        <v>631</v>
      </c>
      <c r="K2429" s="29" t="s">
        <v>4250</v>
      </c>
      <c r="L2429" s="27" t="s">
        <v>4112</v>
      </c>
      <c r="M2429" s="27" t="s">
        <v>773</v>
      </c>
      <c r="N2429" s="29" t="s">
        <v>3772</v>
      </c>
      <c r="O2429" s="27" t="s">
        <v>145</v>
      </c>
      <c r="P2429" s="30" t="s">
        <v>4251</v>
      </c>
    </row>
    <row r="2430" s="25" customFormat="1" spans="1:16">
      <c r="A2430" s="27" t="s">
        <v>4250</v>
      </c>
      <c r="B2430" s="27" t="s">
        <v>4228</v>
      </c>
      <c r="C2430" s="27" t="s">
        <v>129</v>
      </c>
      <c r="D2430" s="27" t="s">
        <v>3573</v>
      </c>
      <c r="E2430" s="27" t="s">
        <v>47</v>
      </c>
      <c r="F2430" s="27" t="s">
        <v>51</v>
      </c>
      <c r="G2430" s="27" t="s">
        <v>3766</v>
      </c>
      <c r="H2430" s="29" t="s">
        <v>3767</v>
      </c>
      <c r="I2430" s="29" t="s">
        <v>204</v>
      </c>
      <c r="J2430" s="27" t="s">
        <v>635</v>
      </c>
      <c r="K2430" s="29" t="s">
        <v>4252</v>
      </c>
      <c r="L2430" s="27" t="s">
        <v>4115</v>
      </c>
      <c r="M2430" s="27" t="s">
        <v>773</v>
      </c>
      <c r="N2430" s="29" t="s">
        <v>3772</v>
      </c>
      <c r="O2430" s="27" t="s">
        <v>145</v>
      </c>
      <c r="P2430" s="30" t="s">
        <v>4253</v>
      </c>
    </row>
    <row r="2431" s="25" customFormat="1" spans="1:16">
      <c r="A2431" s="27" t="s">
        <v>4252</v>
      </c>
      <c r="B2431" s="27" t="s">
        <v>4228</v>
      </c>
      <c r="C2431" s="27" t="s">
        <v>129</v>
      </c>
      <c r="D2431" s="27" t="s">
        <v>3573</v>
      </c>
      <c r="E2431" s="27" t="s">
        <v>47</v>
      </c>
      <c r="F2431" s="27" t="s">
        <v>51</v>
      </c>
      <c r="G2431" s="27" t="s">
        <v>3766</v>
      </c>
      <c r="H2431" s="29" t="s">
        <v>3767</v>
      </c>
      <c r="I2431" s="29" t="s">
        <v>204</v>
      </c>
      <c r="J2431" s="27" t="s">
        <v>639</v>
      </c>
      <c r="K2431" s="29" t="s">
        <v>4254</v>
      </c>
      <c r="L2431" s="27" t="s">
        <v>4118</v>
      </c>
      <c r="M2431" s="27" t="s">
        <v>773</v>
      </c>
      <c r="N2431" s="29" t="s">
        <v>3772</v>
      </c>
      <c r="O2431" s="27" t="s">
        <v>145</v>
      </c>
      <c r="P2431" s="30" t="s">
        <v>4255</v>
      </c>
    </row>
    <row r="2432" s="25" customFormat="1" spans="1:16">
      <c r="A2432" s="27" t="s">
        <v>4254</v>
      </c>
      <c r="B2432" s="27" t="s">
        <v>4228</v>
      </c>
      <c r="C2432" s="27" t="s">
        <v>129</v>
      </c>
      <c r="D2432" s="27" t="s">
        <v>3573</v>
      </c>
      <c r="E2432" s="27" t="s">
        <v>47</v>
      </c>
      <c r="F2432" s="27" t="s">
        <v>51</v>
      </c>
      <c r="G2432" s="27" t="s">
        <v>3766</v>
      </c>
      <c r="H2432" s="29" t="s">
        <v>3767</v>
      </c>
      <c r="I2432" s="29" t="s">
        <v>204</v>
      </c>
      <c r="J2432" s="27" t="s">
        <v>643</v>
      </c>
      <c r="K2432" s="29" t="s">
        <v>4256</v>
      </c>
      <c r="L2432" s="27" t="s">
        <v>4121</v>
      </c>
      <c r="M2432" s="27" t="s">
        <v>773</v>
      </c>
      <c r="N2432" s="29" t="s">
        <v>3772</v>
      </c>
      <c r="O2432" s="27" t="s">
        <v>145</v>
      </c>
      <c r="P2432" s="30" t="s">
        <v>4257</v>
      </c>
    </row>
    <row r="2433" s="25" customFormat="1" spans="1:16">
      <c r="A2433" s="27" t="s">
        <v>4256</v>
      </c>
      <c r="B2433" s="27" t="s">
        <v>4228</v>
      </c>
      <c r="C2433" s="27" t="s">
        <v>129</v>
      </c>
      <c r="D2433" s="27" t="s">
        <v>3573</v>
      </c>
      <c r="E2433" s="27" t="s">
        <v>47</v>
      </c>
      <c r="F2433" s="27" t="s">
        <v>51</v>
      </c>
      <c r="G2433" s="27" t="s">
        <v>3766</v>
      </c>
      <c r="H2433" s="29" t="s">
        <v>3767</v>
      </c>
      <c r="I2433" s="29" t="s">
        <v>204</v>
      </c>
      <c r="J2433" s="27" t="s">
        <v>647</v>
      </c>
      <c r="K2433" s="29" t="s">
        <v>39</v>
      </c>
      <c r="L2433" s="27" t="s">
        <v>39</v>
      </c>
      <c r="M2433" s="27" t="s">
        <v>39</v>
      </c>
      <c r="N2433" s="29" t="s">
        <v>3772</v>
      </c>
      <c r="O2433" s="27" t="s">
        <v>145</v>
      </c>
      <c r="P2433" s="30" t="s">
        <v>4258</v>
      </c>
    </row>
  </sheetData>
  <autoFilter ref="A3:O2433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793"/>
  <sheetViews>
    <sheetView workbookViewId="0">
      <pane ySplit="3" topLeftCell="A2762" activePane="bottomLeft" state="frozen"/>
      <selection/>
      <selection pane="bottomLeft" activeCell="N4" sqref="N4:N2793"/>
    </sheetView>
  </sheetViews>
  <sheetFormatPr defaultColWidth="9" defaultRowHeight="13.5"/>
  <cols>
    <col min="1" max="2" width="8.125" customWidth="1"/>
    <col min="3" max="6" width="7.25" customWidth="1"/>
    <col min="7" max="7" width="14" customWidth="1"/>
    <col min="8" max="8" width="12.625" customWidth="1"/>
    <col min="9" max="9" width="17.75" customWidth="1"/>
    <col min="10" max="11" width="7.875" hidden="1" customWidth="1"/>
    <col min="12" max="12" width="35.25" hidden="1" customWidth="1"/>
    <col min="13" max="13" width="14.875" hidden="1" customWidth="1"/>
    <col min="14" max="14" width="14.875" style="16" customWidth="1"/>
    <col min="15" max="15" width="8.75" customWidth="1"/>
    <col min="16" max="16" width="12.75" customWidth="1"/>
    <col min="17" max="17" width="12.875" customWidth="1"/>
    <col min="22" max="22" width="18.875" customWidth="1"/>
    <col min="23" max="23" width="21" customWidth="1"/>
  </cols>
  <sheetData>
    <row r="1" customFormat="1" ht="16.5" spans="1:1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9" t="s">
        <v>13</v>
      </c>
      <c r="O1" s="17" t="s">
        <v>14</v>
      </c>
      <c r="P1" s="17" t="s">
        <v>15</v>
      </c>
      <c r="Q1" t="s">
        <v>4259</v>
      </c>
      <c r="R1" t="s">
        <v>4260</v>
      </c>
      <c r="S1" t="s">
        <v>4261</v>
      </c>
    </row>
    <row r="2" customFormat="1" ht="16.5" spans="1:23">
      <c r="A2" s="17" t="s">
        <v>16</v>
      </c>
      <c r="B2" s="17" t="s">
        <v>16</v>
      </c>
      <c r="C2" s="17" t="s">
        <v>16</v>
      </c>
      <c r="D2" s="17" t="s">
        <v>16</v>
      </c>
      <c r="E2" s="17" t="s">
        <v>16</v>
      </c>
      <c r="F2" s="17" t="s">
        <v>16</v>
      </c>
      <c r="G2" s="17" t="s">
        <v>17</v>
      </c>
      <c r="H2" s="17" t="s">
        <v>17</v>
      </c>
      <c r="I2" s="17" t="s">
        <v>17</v>
      </c>
      <c r="J2" s="17" t="s">
        <v>16</v>
      </c>
      <c r="K2" s="17" t="s">
        <v>16</v>
      </c>
      <c r="L2" s="17" t="s">
        <v>17</v>
      </c>
      <c r="M2" s="17" t="s">
        <v>17</v>
      </c>
      <c r="N2" s="19" t="s">
        <v>17</v>
      </c>
      <c r="O2" s="17" t="s">
        <v>16</v>
      </c>
      <c r="P2" s="17" t="s">
        <v>17</v>
      </c>
      <c r="Q2" s="17"/>
      <c r="R2" t="s">
        <v>4262</v>
      </c>
      <c r="S2" t="s">
        <v>4263</v>
      </c>
      <c r="W2" t="s">
        <v>4264</v>
      </c>
    </row>
    <row r="3" customFormat="1" ht="16.5" spans="1:23">
      <c r="A3" s="17" t="s">
        <v>18</v>
      </c>
      <c r="B3" s="17" t="s">
        <v>19</v>
      </c>
      <c r="C3" s="17" t="s">
        <v>20</v>
      </c>
      <c r="D3" s="17" t="s">
        <v>4265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  <c r="N3" s="19" t="s">
        <v>31</v>
      </c>
      <c r="O3" s="17" t="s">
        <v>32</v>
      </c>
      <c r="P3" s="17" t="s">
        <v>33</v>
      </c>
      <c r="Q3" s="17"/>
      <c r="R3" t="s">
        <v>4266</v>
      </c>
      <c r="S3" t="s">
        <v>4267</v>
      </c>
      <c r="V3" t="s">
        <v>4268</v>
      </c>
      <c r="W3" t="s">
        <v>4269</v>
      </c>
    </row>
    <row r="4" customFormat="1" ht="16.5" spans="1:24">
      <c r="A4" s="18">
        <v>10000</v>
      </c>
      <c r="B4" s="18">
        <f t="shared" ref="B4:B27" si="0">ROUND(A4,-2)</f>
        <v>10000</v>
      </c>
      <c r="C4" s="18" t="str">
        <f t="shared" ref="C4:C27" si="1">LEFT(A4,1)</f>
        <v>1</v>
      </c>
      <c r="D4" s="12">
        <f>$A$4+F4</f>
        <v>10001</v>
      </c>
      <c r="E4" s="17">
        <v>1</v>
      </c>
      <c r="F4" s="18">
        <f t="shared" ref="F4:F27" si="2">MID(B4,2,1)+1</f>
        <v>1</v>
      </c>
      <c r="G4" s="18" t="s">
        <v>37</v>
      </c>
      <c r="H4" s="18" t="s">
        <v>38</v>
      </c>
      <c r="I4" s="20">
        <v>0</v>
      </c>
      <c r="J4" s="18">
        <v>0</v>
      </c>
      <c r="K4" s="18">
        <f>A5</f>
        <v>10001</v>
      </c>
      <c r="L4" s="18" t="s">
        <v>40</v>
      </c>
      <c r="M4" s="18">
        <v>0</v>
      </c>
      <c r="N4" s="16" t="str">
        <f>W4&amp;$W$2&amp;X4</f>
        <v>101:1</v>
      </c>
      <c r="O4" s="18">
        <f t="shared" ref="O4:O27" si="3">MID(A4,3,1)+1</f>
        <v>1</v>
      </c>
      <c r="P4" s="21" t="str">
        <f>$R$1&amp;R4&amp;$Q$1&amp;T4</f>
        <v>所有步兵生命增加0</v>
      </c>
      <c r="Q4" s="21"/>
      <c r="R4" t="s">
        <v>4270</v>
      </c>
      <c r="T4">
        <f>加成属性!L5</f>
        <v>0</v>
      </c>
      <c r="U4" t="str">
        <f>MID(P4,3,2)</f>
        <v>步兵</v>
      </c>
      <c r="V4" t="s">
        <v>4271</v>
      </c>
      <c r="W4">
        <f>属性类型!G4</f>
        <v>101</v>
      </c>
      <c r="X4">
        <v>1</v>
      </c>
    </row>
    <row r="5" customFormat="1" ht="16.5" spans="1:24">
      <c r="A5" s="17">
        <f>A4+1</f>
        <v>10001</v>
      </c>
      <c r="B5" s="17">
        <f t="shared" si="0"/>
        <v>10000</v>
      </c>
      <c r="C5" s="17" t="str">
        <f t="shared" si="1"/>
        <v>1</v>
      </c>
      <c r="D5" s="12">
        <f t="shared" ref="D5:D68" si="4">$A$4+F5</f>
        <v>10001</v>
      </c>
      <c r="E5" s="17">
        <v>1</v>
      </c>
      <c r="F5" s="17">
        <f t="shared" si="2"/>
        <v>1</v>
      </c>
      <c r="G5" s="17" t="str">
        <f>G4</f>
        <v>初级生命</v>
      </c>
      <c r="H5" s="17" t="str">
        <f>H4</f>
        <v>icon_01</v>
      </c>
      <c r="I5" s="20">
        <v>0</v>
      </c>
      <c r="J5" s="17">
        <v>1</v>
      </c>
      <c r="K5" s="17">
        <f>A6</f>
        <v>10002</v>
      </c>
      <c r="L5" s="17" t="s">
        <v>44</v>
      </c>
      <c r="M5" s="17">
        <f t="shared" ref="M5:M14" si="5">M4</f>
        <v>0</v>
      </c>
      <c r="N5" s="16" t="str">
        <f>W5&amp;$W$2&amp;X5</f>
        <v>101:1</v>
      </c>
      <c r="O5" s="17">
        <f t="shared" si="3"/>
        <v>1</v>
      </c>
      <c r="P5" s="21" t="str">
        <f>$R$1&amp;R5&amp;$Q$1&amp;T5</f>
        <v>所有步兵生命增加0</v>
      </c>
      <c r="Q5" s="21"/>
      <c r="R5" t="str">
        <f>R4</f>
        <v>生命</v>
      </c>
      <c r="T5">
        <f>加成属性!L6</f>
        <v>0</v>
      </c>
      <c r="U5" t="str">
        <f t="shared" ref="U5:U68" si="6">MID(P5,3,2)</f>
        <v>步兵</v>
      </c>
      <c r="V5" t="s">
        <v>4271</v>
      </c>
      <c r="W5">
        <f>属性类型!G5</f>
        <v>101</v>
      </c>
      <c r="X5">
        <v>1</v>
      </c>
    </row>
    <row r="6" customFormat="1" ht="16.5" spans="1:24">
      <c r="A6" s="17">
        <f t="shared" ref="A6:A11" si="7">A5+1</f>
        <v>10002</v>
      </c>
      <c r="B6" s="17">
        <f t="shared" si="0"/>
        <v>10000</v>
      </c>
      <c r="C6" s="17" t="str">
        <f t="shared" si="1"/>
        <v>1</v>
      </c>
      <c r="D6" s="12">
        <f t="shared" si="4"/>
        <v>10001</v>
      </c>
      <c r="E6" s="17">
        <v>1</v>
      </c>
      <c r="F6" s="17">
        <f t="shared" si="2"/>
        <v>1</v>
      </c>
      <c r="G6" s="17" t="str">
        <f>G5</f>
        <v>初级生命</v>
      </c>
      <c r="H6" s="17" t="str">
        <f>H5</f>
        <v>icon_01</v>
      </c>
      <c r="I6" s="20">
        <v>0</v>
      </c>
      <c r="J6" s="17">
        <v>2</v>
      </c>
      <c r="K6" s="17">
        <f>A7</f>
        <v>10003</v>
      </c>
      <c r="L6" s="17" t="s">
        <v>49</v>
      </c>
      <c r="M6" s="17">
        <f t="shared" si="5"/>
        <v>0</v>
      </c>
      <c r="N6" s="16" t="str">
        <f>W6&amp;$W$2&amp;X6</f>
        <v>101:1</v>
      </c>
      <c r="O6" s="17">
        <f t="shared" si="3"/>
        <v>1</v>
      </c>
      <c r="P6" s="21" t="str">
        <f>$R$1&amp;R6&amp;$Q$1&amp;T6</f>
        <v>所有步兵生命增加0</v>
      </c>
      <c r="Q6" s="21"/>
      <c r="R6" t="str">
        <f>R5</f>
        <v>生命</v>
      </c>
      <c r="T6">
        <f>加成属性!L7</f>
        <v>0</v>
      </c>
      <c r="U6" t="str">
        <f t="shared" si="6"/>
        <v>步兵</v>
      </c>
      <c r="V6" t="s">
        <v>4271</v>
      </c>
      <c r="W6">
        <f>属性类型!G6</f>
        <v>101</v>
      </c>
      <c r="X6">
        <v>1</v>
      </c>
    </row>
    <row r="7" customFormat="1" ht="16.5" spans="1:24">
      <c r="A7" s="17">
        <f t="shared" si="7"/>
        <v>10003</v>
      </c>
      <c r="B7" s="17">
        <f t="shared" si="0"/>
        <v>10000</v>
      </c>
      <c r="C7" s="17" t="str">
        <f t="shared" si="1"/>
        <v>1</v>
      </c>
      <c r="D7" s="12">
        <f t="shared" si="4"/>
        <v>10001</v>
      </c>
      <c r="E7" s="17">
        <v>1</v>
      </c>
      <c r="F7" s="17">
        <f t="shared" si="2"/>
        <v>1</v>
      </c>
      <c r="G7" s="17" t="str">
        <f>G6</f>
        <v>初级生命</v>
      </c>
      <c r="H7" s="17" t="str">
        <f>H6</f>
        <v>icon_01</v>
      </c>
      <c r="I7" s="20">
        <v>0</v>
      </c>
      <c r="J7" s="17">
        <v>3</v>
      </c>
      <c r="K7" s="17">
        <f>A8</f>
        <v>10004</v>
      </c>
      <c r="L7" s="17" t="s">
        <v>53</v>
      </c>
      <c r="M7" s="17">
        <f t="shared" si="5"/>
        <v>0</v>
      </c>
      <c r="N7" s="16" t="str">
        <f>W7&amp;$W$2&amp;X7</f>
        <v>101:1</v>
      </c>
      <c r="O7" s="17">
        <f t="shared" si="3"/>
        <v>1</v>
      </c>
      <c r="P7" s="21" t="str">
        <f>$R$1&amp;R7&amp;$Q$1&amp;T7</f>
        <v>所有步兵生命增加0</v>
      </c>
      <c r="Q7" s="21"/>
      <c r="R7" t="str">
        <f>R6</f>
        <v>生命</v>
      </c>
      <c r="T7">
        <f>加成属性!L8</f>
        <v>0</v>
      </c>
      <c r="U7" t="str">
        <f t="shared" si="6"/>
        <v>步兵</v>
      </c>
      <c r="V7" t="s">
        <v>4271</v>
      </c>
      <c r="W7">
        <f>属性类型!G7</f>
        <v>101</v>
      </c>
      <c r="X7">
        <v>1</v>
      </c>
    </row>
    <row r="8" customFormat="1" ht="16.5" spans="1:24">
      <c r="A8" s="17">
        <f t="shared" si="7"/>
        <v>10004</v>
      </c>
      <c r="B8" s="17">
        <f t="shared" si="0"/>
        <v>10000</v>
      </c>
      <c r="C8" s="17" t="str">
        <f t="shared" si="1"/>
        <v>1</v>
      </c>
      <c r="D8" s="12">
        <f t="shared" si="4"/>
        <v>10001</v>
      </c>
      <c r="E8" s="17">
        <v>1</v>
      </c>
      <c r="F8" s="17">
        <f t="shared" si="2"/>
        <v>1</v>
      </c>
      <c r="G8" s="17" t="str">
        <f>G7</f>
        <v>初级生命</v>
      </c>
      <c r="H8" s="17" t="str">
        <f>H7</f>
        <v>icon_01</v>
      </c>
      <c r="I8" s="20">
        <v>0</v>
      </c>
      <c r="J8" s="17">
        <v>4</v>
      </c>
      <c r="K8" s="17">
        <f>A9</f>
        <v>10005</v>
      </c>
      <c r="L8" s="17" t="s">
        <v>57</v>
      </c>
      <c r="M8" s="17">
        <f t="shared" si="5"/>
        <v>0</v>
      </c>
      <c r="N8" s="16" t="str">
        <f>W8&amp;$W$2&amp;X8</f>
        <v>101:1</v>
      </c>
      <c r="O8" s="17">
        <f t="shared" si="3"/>
        <v>1</v>
      </c>
      <c r="P8" s="21" t="str">
        <f>$R$1&amp;R8&amp;$Q$1&amp;T8</f>
        <v>所有步兵生命增加0</v>
      </c>
      <c r="Q8" s="21"/>
      <c r="R8" t="str">
        <f>R7</f>
        <v>生命</v>
      </c>
      <c r="T8">
        <f>加成属性!L9</f>
        <v>0</v>
      </c>
      <c r="U8" t="str">
        <f t="shared" si="6"/>
        <v>步兵</v>
      </c>
      <c r="V8" t="s">
        <v>4271</v>
      </c>
      <c r="W8">
        <f>属性类型!G8</f>
        <v>101</v>
      </c>
      <c r="X8">
        <v>1</v>
      </c>
    </row>
    <row r="9" customFormat="1" ht="16.5" spans="1:24">
      <c r="A9" s="17">
        <f t="shared" si="7"/>
        <v>10005</v>
      </c>
      <c r="B9" s="17">
        <f t="shared" si="0"/>
        <v>10000</v>
      </c>
      <c r="C9" s="17" t="str">
        <f t="shared" si="1"/>
        <v>1</v>
      </c>
      <c r="D9" s="12">
        <f t="shared" si="4"/>
        <v>10001</v>
      </c>
      <c r="E9" s="17">
        <v>1</v>
      </c>
      <c r="F9" s="17">
        <f t="shared" si="2"/>
        <v>1</v>
      </c>
      <c r="G9" s="17" t="str">
        <f>G8</f>
        <v>初级生命</v>
      </c>
      <c r="H9" s="17" t="str">
        <f>H8</f>
        <v>icon_01</v>
      </c>
      <c r="I9" s="20">
        <v>0</v>
      </c>
      <c r="J9" s="17">
        <v>5</v>
      </c>
      <c r="K9" s="17">
        <v>0</v>
      </c>
      <c r="L9" s="17">
        <v>0</v>
      </c>
      <c r="M9" s="17">
        <f t="shared" si="5"/>
        <v>0</v>
      </c>
      <c r="N9" s="16" t="str">
        <f>W9&amp;$W$2&amp;X9</f>
        <v>101:1</v>
      </c>
      <c r="O9" s="17">
        <f t="shared" si="3"/>
        <v>1</v>
      </c>
      <c r="P9" s="21" t="str">
        <f>$R$1&amp;R9&amp;$Q$1&amp;T9</f>
        <v>所有步兵生命增加</v>
      </c>
      <c r="Q9" s="21"/>
      <c r="R9" t="str">
        <f>R8</f>
        <v>生命</v>
      </c>
      <c r="U9" t="str">
        <f t="shared" si="6"/>
        <v>步兵</v>
      </c>
      <c r="V9" t="s">
        <v>4271</v>
      </c>
      <c r="W9">
        <f>属性类型!G9</f>
        <v>101</v>
      </c>
      <c r="X9">
        <v>1</v>
      </c>
    </row>
    <row r="10" customFormat="1" ht="16.5" spans="1:24">
      <c r="A10" s="18">
        <f>A4+100</f>
        <v>10100</v>
      </c>
      <c r="B10" s="18">
        <f t="shared" si="0"/>
        <v>10100</v>
      </c>
      <c r="C10" s="18" t="str">
        <f t="shared" si="1"/>
        <v>1</v>
      </c>
      <c r="D10" s="12">
        <f t="shared" si="4"/>
        <v>10001</v>
      </c>
      <c r="E10" s="17">
        <v>1</v>
      </c>
      <c r="F10" s="18">
        <f t="shared" si="2"/>
        <v>1</v>
      </c>
      <c r="G10" s="18" t="s">
        <v>62</v>
      </c>
      <c r="H10" s="18" t="s">
        <v>63</v>
      </c>
      <c r="I10" s="20">
        <v>0</v>
      </c>
      <c r="J10" s="18">
        <v>0</v>
      </c>
      <c r="K10" s="18">
        <f>A11</f>
        <v>10101</v>
      </c>
      <c r="L10" s="18" t="s">
        <v>40</v>
      </c>
      <c r="M10" s="18" t="s">
        <v>65</v>
      </c>
      <c r="N10" s="16" t="str">
        <f>W10&amp;$W$2&amp;X10</f>
        <v>103:1</v>
      </c>
      <c r="O10" s="18">
        <f t="shared" si="3"/>
        <v>2</v>
      </c>
      <c r="P10" s="21" t="str">
        <f>$R$1&amp;R10&amp;$Q$1&amp;T10</f>
        <v>所有步兵防御增加:1</v>
      </c>
      <c r="Q10" s="21"/>
      <c r="R10" t="s">
        <v>4272</v>
      </c>
      <c r="T10" t="str">
        <f t="shared" ref="T4:T15" si="8">RIGHT(N10,2)</f>
        <v>:1</v>
      </c>
      <c r="U10" t="str">
        <f t="shared" si="6"/>
        <v>步兵</v>
      </c>
      <c r="V10" t="s">
        <v>4273</v>
      </c>
      <c r="W10">
        <f>属性类型!G10</f>
        <v>103</v>
      </c>
      <c r="X10">
        <v>1</v>
      </c>
    </row>
    <row r="11" customFormat="1" ht="16.5" spans="1:24">
      <c r="A11" s="17">
        <f t="shared" si="7"/>
        <v>10101</v>
      </c>
      <c r="B11" s="17">
        <f t="shared" si="0"/>
        <v>10100</v>
      </c>
      <c r="C11" s="17" t="str">
        <f t="shared" si="1"/>
        <v>1</v>
      </c>
      <c r="D11" s="12">
        <f t="shared" si="4"/>
        <v>10001</v>
      </c>
      <c r="E11" s="17">
        <v>1</v>
      </c>
      <c r="F11" s="17">
        <f t="shared" si="2"/>
        <v>1</v>
      </c>
      <c r="G11" s="17" t="str">
        <f>G10</f>
        <v>初级防御</v>
      </c>
      <c r="H11" s="17" t="str">
        <f>H10</f>
        <v>icon_02</v>
      </c>
      <c r="I11" s="20">
        <v>0</v>
      </c>
      <c r="J11" s="17">
        <v>1</v>
      </c>
      <c r="K11" s="17">
        <f>A12</f>
        <v>10102</v>
      </c>
      <c r="L11" s="17" t="s">
        <v>44</v>
      </c>
      <c r="M11" s="17" t="str">
        <f>M10</f>
        <v>1:10000:1</v>
      </c>
      <c r="N11" s="16" t="str">
        <f t="shared" ref="N11:N74" si="9">W11&amp;$W$2&amp;X11</f>
        <v>103:1</v>
      </c>
      <c r="O11" s="17">
        <f t="shared" si="3"/>
        <v>2</v>
      </c>
      <c r="P11" s="21" t="str">
        <f>$R$1&amp;R11&amp;$Q$1&amp;T11</f>
        <v>所有步兵防御增加:1</v>
      </c>
      <c r="Q11" s="21"/>
      <c r="R11" t="str">
        <f>R10</f>
        <v>防御</v>
      </c>
      <c r="T11" t="str">
        <f t="shared" si="8"/>
        <v>:1</v>
      </c>
      <c r="U11" t="str">
        <f t="shared" si="6"/>
        <v>步兵</v>
      </c>
      <c r="V11" t="s">
        <v>4273</v>
      </c>
      <c r="W11">
        <f>属性类型!G11</f>
        <v>103</v>
      </c>
      <c r="X11">
        <v>1</v>
      </c>
    </row>
    <row r="12" customFormat="1" ht="16.5" spans="1:24">
      <c r="A12" s="17">
        <f t="shared" ref="A12:A17" si="10">A11+1</f>
        <v>10102</v>
      </c>
      <c r="B12" s="17">
        <f t="shared" si="0"/>
        <v>10100</v>
      </c>
      <c r="C12" s="17" t="str">
        <f t="shared" si="1"/>
        <v>1</v>
      </c>
      <c r="D12" s="12">
        <f t="shared" si="4"/>
        <v>10001</v>
      </c>
      <c r="E12" s="17">
        <v>1</v>
      </c>
      <c r="F12" s="17">
        <f t="shared" si="2"/>
        <v>1</v>
      </c>
      <c r="G12" s="17" t="str">
        <f>G11</f>
        <v>初级防御</v>
      </c>
      <c r="H12" s="17" t="str">
        <f>H11</f>
        <v>icon_02</v>
      </c>
      <c r="I12" s="20">
        <v>0</v>
      </c>
      <c r="J12" s="17">
        <v>2</v>
      </c>
      <c r="K12" s="17">
        <f>A13</f>
        <v>10103</v>
      </c>
      <c r="L12" s="17" t="s">
        <v>49</v>
      </c>
      <c r="M12" s="17" t="str">
        <f>M11</f>
        <v>1:10000:1</v>
      </c>
      <c r="N12" s="16" t="str">
        <f t="shared" si="9"/>
        <v>103:1</v>
      </c>
      <c r="O12" s="17">
        <f t="shared" si="3"/>
        <v>2</v>
      </c>
      <c r="P12" s="21" t="str">
        <f>$R$1&amp;R12&amp;$Q$1&amp;T12</f>
        <v>所有步兵防御增加:1</v>
      </c>
      <c r="Q12" s="21"/>
      <c r="R12" t="str">
        <f t="shared" ref="R12:R75" si="11">R11</f>
        <v>防御</v>
      </c>
      <c r="T12" t="str">
        <f t="shared" si="8"/>
        <v>:1</v>
      </c>
      <c r="U12" t="str">
        <f t="shared" si="6"/>
        <v>步兵</v>
      </c>
      <c r="V12" t="s">
        <v>4273</v>
      </c>
      <c r="W12">
        <f>属性类型!G12</f>
        <v>103</v>
      </c>
      <c r="X12">
        <v>1</v>
      </c>
    </row>
    <row r="13" customFormat="1" ht="16.5" spans="1:24">
      <c r="A13" s="17">
        <f t="shared" si="10"/>
        <v>10103</v>
      </c>
      <c r="B13" s="17">
        <f t="shared" si="0"/>
        <v>10100</v>
      </c>
      <c r="C13" s="17" t="str">
        <f t="shared" si="1"/>
        <v>1</v>
      </c>
      <c r="D13" s="12">
        <f t="shared" si="4"/>
        <v>10001</v>
      </c>
      <c r="E13" s="17">
        <v>1</v>
      </c>
      <c r="F13" s="17">
        <f t="shared" si="2"/>
        <v>1</v>
      </c>
      <c r="G13" s="17" t="str">
        <f>G12</f>
        <v>初级防御</v>
      </c>
      <c r="H13" s="17" t="str">
        <f>H12</f>
        <v>icon_02</v>
      </c>
      <c r="I13" s="20">
        <v>0</v>
      </c>
      <c r="J13" s="17">
        <v>3</v>
      </c>
      <c r="K13" s="17">
        <f>A14</f>
        <v>10104</v>
      </c>
      <c r="L13" s="17" t="s">
        <v>53</v>
      </c>
      <c r="M13" s="17" t="str">
        <f>M12</f>
        <v>1:10000:1</v>
      </c>
      <c r="N13" s="16" t="str">
        <f t="shared" si="9"/>
        <v>103:1</v>
      </c>
      <c r="O13" s="17">
        <f t="shared" si="3"/>
        <v>2</v>
      </c>
      <c r="P13" s="21" t="str">
        <f>$R$1&amp;R13&amp;$Q$1&amp;T13</f>
        <v>所有步兵防御增加:1</v>
      </c>
      <c r="Q13" s="21"/>
      <c r="R13" t="str">
        <f t="shared" si="11"/>
        <v>防御</v>
      </c>
      <c r="T13" t="str">
        <f t="shared" si="8"/>
        <v>:1</v>
      </c>
      <c r="U13" t="str">
        <f t="shared" si="6"/>
        <v>步兵</v>
      </c>
      <c r="V13" t="s">
        <v>4273</v>
      </c>
      <c r="W13">
        <f>属性类型!G13</f>
        <v>103</v>
      </c>
      <c r="X13">
        <v>1</v>
      </c>
    </row>
    <row r="14" customFormat="1" ht="16.5" spans="1:24">
      <c r="A14" s="17">
        <f t="shared" si="10"/>
        <v>10104</v>
      </c>
      <c r="B14" s="17">
        <f t="shared" si="0"/>
        <v>10100</v>
      </c>
      <c r="C14" s="17" t="str">
        <f t="shared" si="1"/>
        <v>1</v>
      </c>
      <c r="D14" s="12">
        <f t="shared" si="4"/>
        <v>10001</v>
      </c>
      <c r="E14" s="17">
        <v>1</v>
      </c>
      <c r="F14" s="17">
        <f t="shared" si="2"/>
        <v>1</v>
      </c>
      <c r="G14" s="17" t="str">
        <f>G13</f>
        <v>初级防御</v>
      </c>
      <c r="H14" s="17" t="str">
        <f>H13</f>
        <v>icon_02</v>
      </c>
      <c r="I14" s="20">
        <v>0</v>
      </c>
      <c r="J14" s="17">
        <v>4</v>
      </c>
      <c r="K14" s="17">
        <f>A15</f>
        <v>10105</v>
      </c>
      <c r="L14" s="17" t="s">
        <v>57</v>
      </c>
      <c r="M14" s="17" t="str">
        <f>M13</f>
        <v>1:10000:1</v>
      </c>
      <c r="N14" s="16" t="str">
        <f t="shared" si="9"/>
        <v>103:1</v>
      </c>
      <c r="O14" s="17">
        <f t="shared" si="3"/>
        <v>2</v>
      </c>
      <c r="P14" s="21" t="str">
        <f>$R$1&amp;R14&amp;$Q$1&amp;T14</f>
        <v>所有步兵防御增加:1</v>
      </c>
      <c r="Q14" s="21"/>
      <c r="R14" t="str">
        <f t="shared" si="11"/>
        <v>防御</v>
      </c>
      <c r="T14" t="str">
        <f t="shared" si="8"/>
        <v>:1</v>
      </c>
      <c r="U14" t="str">
        <f t="shared" si="6"/>
        <v>步兵</v>
      </c>
      <c r="V14" t="s">
        <v>4273</v>
      </c>
      <c r="W14">
        <f>属性类型!G14</f>
        <v>103</v>
      </c>
      <c r="X14">
        <v>1</v>
      </c>
    </row>
    <row r="15" customFormat="1" ht="16.5" spans="1:24">
      <c r="A15" s="17">
        <f t="shared" si="10"/>
        <v>10105</v>
      </c>
      <c r="B15" s="17">
        <f t="shared" si="0"/>
        <v>10100</v>
      </c>
      <c r="C15" s="17" t="str">
        <f t="shared" si="1"/>
        <v>1</v>
      </c>
      <c r="D15" s="12">
        <f t="shared" si="4"/>
        <v>10001</v>
      </c>
      <c r="E15" s="17">
        <v>1</v>
      </c>
      <c r="F15" s="17">
        <f t="shared" si="2"/>
        <v>1</v>
      </c>
      <c r="G15" s="17" t="str">
        <f>G14</f>
        <v>初级防御</v>
      </c>
      <c r="H15" s="17" t="str">
        <f>H14</f>
        <v>icon_02</v>
      </c>
      <c r="I15" s="20">
        <v>0</v>
      </c>
      <c r="J15" s="17">
        <v>5</v>
      </c>
      <c r="K15" s="17">
        <v>0</v>
      </c>
      <c r="L15" s="17">
        <v>0</v>
      </c>
      <c r="M15" s="17" t="str">
        <f>M14</f>
        <v>1:10000:1</v>
      </c>
      <c r="N15" s="16" t="str">
        <f t="shared" si="9"/>
        <v>103:1</v>
      </c>
      <c r="O15" s="17">
        <f t="shared" si="3"/>
        <v>2</v>
      </c>
      <c r="P15" s="21" t="str">
        <f>$R$1&amp;R15&amp;$Q$1&amp;T15</f>
        <v>所有步兵防御增加:1</v>
      </c>
      <c r="Q15" s="21"/>
      <c r="R15" t="str">
        <f t="shared" si="11"/>
        <v>防御</v>
      </c>
      <c r="T15" t="str">
        <f t="shared" si="8"/>
        <v>:1</v>
      </c>
      <c r="U15" t="str">
        <f t="shared" si="6"/>
        <v>步兵</v>
      </c>
      <c r="V15" t="s">
        <v>4273</v>
      </c>
      <c r="W15">
        <f>属性类型!G15</f>
        <v>103</v>
      </c>
      <c r="X15">
        <v>1</v>
      </c>
    </row>
    <row r="16" customFormat="1" ht="16.5" spans="1:24">
      <c r="A16" s="18">
        <f>A10+100</f>
        <v>10200</v>
      </c>
      <c r="B16" s="18">
        <f t="shared" si="0"/>
        <v>10200</v>
      </c>
      <c r="C16" s="18" t="str">
        <f t="shared" si="1"/>
        <v>1</v>
      </c>
      <c r="D16" s="12">
        <f t="shared" si="4"/>
        <v>10001</v>
      </c>
      <c r="E16" s="17">
        <v>1</v>
      </c>
      <c r="F16" s="18">
        <f t="shared" si="2"/>
        <v>1</v>
      </c>
      <c r="G16" s="18" t="s">
        <v>79</v>
      </c>
      <c r="H16" s="18" t="s">
        <v>80</v>
      </c>
      <c r="I16" s="20">
        <v>0</v>
      </c>
      <c r="J16" s="18">
        <v>0</v>
      </c>
      <c r="K16" s="18">
        <f>A17</f>
        <v>10201</v>
      </c>
      <c r="L16" s="18" t="s">
        <v>40</v>
      </c>
      <c r="M16" s="18" t="s">
        <v>65</v>
      </c>
      <c r="N16" s="16" t="str">
        <f t="shared" si="9"/>
        <v>102:1</v>
      </c>
      <c r="O16" s="18">
        <f t="shared" si="3"/>
        <v>3</v>
      </c>
      <c r="P16" s="21" t="str">
        <f>$R$1&amp;R16&amp;$Q$1&amp;T16</f>
        <v>所有步兵攻击增加:1</v>
      </c>
      <c r="Q16" s="21"/>
      <c r="R16" t="s">
        <v>4274</v>
      </c>
      <c r="T16" t="str">
        <f t="shared" ref="T16:T32" si="12">RIGHT(N16,2)</f>
        <v>:1</v>
      </c>
      <c r="U16" t="str">
        <f t="shared" si="6"/>
        <v>步兵</v>
      </c>
      <c r="V16" t="s">
        <v>4275</v>
      </c>
      <c r="W16">
        <f>属性类型!G16</f>
        <v>102</v>
      </c>
      <c r="X16">
        <v>1</v>
      </c>
    </row>
    <row r="17" customFormat="1" ht="16.5" spans="1:24">
      <c r="A17" s="17">
        <f t="shared" si="10"/>
        <v>10201</v>
      </c>
      <c r="B17" s="17">
        <f t="shared" si="0"/>
        <v>10200</v>
      </c>
      <c r="C17" s="17" t="str">
        <f t="shared" si="1"/>
        <v>1</v>
      </c>
      <c r="D17" s="12">
        <f t="shared" si="4"/>
        <v>10001</v>
      </c>
      <c r="E17" s="17">
        <v>1</v>
      </c>
      <c r="F17" s="17">
        <f t="shared" si="2"/>
        <v>1</v>
      </c>
      <c r="G17" s="17" t="str">
        <f>G16</f>
        <v>初级攻击</v>
      </c>
      <c r="H17" s="17" t="str">
        <f>H16</f>
        <v>icon_03</v>
      </c>
      <c r="I17" s="20">
        <v>0</v>
      </c>
      <c r="J17" s="17">
        <v>1</v>
      </c>
      <c r="K17" s="17">
        <f>A18</f>
        <v>10202</v>
      </c>
      <c r="L17" s="17" t="s">
        <v>44</v>
      </c>
      <c r="M17" s="17" t="str">
        <f>M16</f>
        <v>1:10000:1</v>
      </c>
      <c r="N17" s="16" t="str">
        <f t="shared" si="9"/>
        <v>102:1</v>
      </c>
      <c r="O17" s="17">
        <f t="shared" si="3"/>
        <v>3</v>
      </c>
      <c r="P17" s="21" t="str">
        <f>$R$1&amp;R17&amp;$Q$1&amp;T17</f>
        <v>所有步兵攻击增加:1</v>
      </c>
      <c r="Q17" s="21"/>
      <c r="R17" t="str">
        <f t="shared" si="11"/>
        <v>攻击</v>
      </c>
      <c r="T17" t="str">
        <f t="shared" si="12"/>
        <v>:1</v>
      </c>
      <c r="U17" t="str">
        <f t="shared" si="6"/>
        <v>步兵</v>
      </c>
      <c r="V17" t="s">
        <v>4275</v>
      </c>
      <c r="W17">
        <f>属性类型!G17</f>
        <v>102</v>
      </c>
      <c r="X17">
        <v>1</v>
      </c>
    </row>
    <row r="18" customFormat="1" ht="16.5" spans="1:24">
      <c r="A18" s="17">
        <f t="shared" ref="A18:A23" si="13">A17+1</f>
        <v>10202</v>
      </c>
      <c r="B18" s="17">
        <f t="shared" si="0"/>
        <v>10200</v>
      </c>
      <c r="C18" s="17" t="str">
        <f t="shared" si="1"/>
        <v>1</v>
      </c>
      <c r="D18" s="12">
        <f t="shared" si="4"/>
        <v>10001</v>
      </c>
      <c r="E18" s="17">
        <v>1</v>
      </c>
      <c r="F18" s="17">
        <f t="shared" si="2"/>
        <v>1</v>
      </c>
      <c r="G18" s="17" t="str">
        <f>G17</f>
        <v>初级攻击</v>
      </c>
      <c r="H18" s="17" t="str">
        <f>H17</f>
        <v>icon_03</v>
      </c>
      <c r="I18" s="20">
        <v>0</v>
      </c>
      <c r="J18" s="17">
        <v>2</v>
      </c>
      <c r="K18" s="17">
        <f>A19</f>
        <v>10203</v>
      </c>
      <c r="L18" s="17" t="s">
        <v>49</v>
      </c>
      <c r="M18" s="17" t="str">
        <f>M17</f>
        <v>1:10000:1</v>
      </c>
      <c r="N18" s="16" t="str">
        <f t="shared" si="9"/>
        <v>102:1</v>
      </c>
      <c r="O18" s="17">
        <f t="shared" si="3"/>
        <v>3</v>
      </c>
      <c r="P18" s="21" t="str">
        <f>$R$1&amp;R18&amp;$Q$1&amp;T18</f>
        <v>所有步兵攻击增加:1</v>
      </c>
      <c r="Q18" s="21"/>
      <c r="R18" t="str">
        <f t="shared" si="11"/>
        <v>攻击</v>
      </c>
      <c r="T18" t="str">
        <f t="shared" si="12"/>
        <v>:1</v>
      </c>
      <c r="U18" t="str">
        <f t="shared" si="6"/>
        <v>步兵</v>
      </c>
      <c r="V18" t="s">
        <v>4275</v>
      </c>
      <c r="W18">
        <f>属性类型!G18</f>
        <v>102</v>
      </c>
      <c r="X18">
        <v>1</v>
      </c>
    </row>
    <row r="19" customFormat="1" ht="16.5" spans="1:24">
      <c r="A19" s="17">
        <f t="shared" si="13"/>
        <v>10203</v>
      </c>
      <c r="B19" s="17">
        <f t="shared" si="0"/>
        <v>10200</v>
      </c>
      <c r="C19" s="17" t="str">
        <f t="shared" si="1"/>
        <v>1</v>
      </c>
      <c r="D19" s="12">
        <f t="shared" si="4"/>
        <v>10001</v>
      </c>
      <c r="E19" s="17">
        <v>1</v>
      </c>
      <c r="F19" s="17">
        <f t="shared" si="2"/>
        <v>1</v>
      </c>
      <c r="G19" s="17" t="str">
        <f>G18</f>
        <v>初级攻击</v>
      </c>
      <c r="H19" s="17" t="str">
        <f>H18</f>
        <v>icon_03</v>
      </c>
      <c r="I19" s="20">
        <v>0</v>
      </c>
      <c r="J19" s="17">
        <v>3</v>
      </c>
      <c r="K19" s="17">
        <f>A20</f>
        <v>10204</v>
      </c>
      <c r="L19" s="17" t="s">
        <v>53</v>
      </c>
      <c r="M19" s="17" t="str">
        <f>M18</f>
        <v>1:10000:1</v>
      </c>
      <c r="N19" s="16" t="str">
        <f t="shared" si="9"/>
        <v>102:1</v>
      </c>
      <c r="O19" s="17">
        <f t="shared" si="3"/>
        <v>3</v>
      </c>
      <c r="P19" s="21" t="str">
        <f>$R$1&amp;R19&amp;$Q$1&amp;T19</f>
        <v>所有步兵攻击增加:1</v>
      </c>
      <c r="Q19" s="21"/>
      <c r="R19" t="str">
        <f t="shared" si="11"/>
        <v>攻击</v>
      </c>
      <c r="T19" t="str">
        <f t="shared" si="12"/>
        <v>:1</v>
      </c>
      <c r="U19" t="str">
        <f t="shared" si="6"/>
        <v>步兵</v>
      </c>
      <c r="V19" t="s">
        <v>4275</v>
      </c>
      <c r="W19">
        <f>属性类型!G19</f>
        <v>102</v>
      </c>
      <c r="X19">
        <v>1</v>
      </c>
    </row>
    <row r="20" customFormat="1" ht="16.5" spans="1:24">
      <c r="A20" s="17">
        <f t="shared" si="13"/>
        <v>10204</v>
      </c>
      <c r="B20" s="17">
        <f t="shared" si="0"/>
        <v>10200</v>
      </c>
      <c r="C20" s="17" t="str">
        <f t="shared" si="1"/>
        <v>1</v>
      </c>
      <c r="D20" s="12">
        <f t="shared" si="4"/>
        <v>10001</v>
      </c>
      <c r="E20" s="17">
        <v>1</v>
      </c>
      <c r="F20" s="17">
        <f t="shared" si="2"/>
        <v>1</v>
      </c>
      <c r="G20" s="17" t="str">
        <f>G19</f>
        <v>初级攻击</v>
      </c>
      <c r="H20" s="17" t="str">
        <f>H19</f>
        <v>icon_03</v>
      </c>
      <c r="I20" s="20">
        <v>0</v>
      </c>
      <c r="J20" s="17">
        <v>4</v>
      </c>
      <c r="K20" s="17">
        <f>A21</f>
        <v>10205</v>
      </c>
      <c r="L20" s="17" t="s">
        <v>57</v>
      </c>
      <c r="M20" s="17" t="str">
        <f>M19</f>
        <v>1:10000:1</v>
      </c>
      <c r="N20" s="16" t="str">
        <f t="shared" si="9"/>
        <v>102:1</v>
      </c>
      <c r="O20" s="17">
        <f t="shared" si="3"/>
        <v>3</v>
      </c>
      <c r="P20" s="21" t="str">
        <f>$R$1&amp;R20&amp;$Q$1&amp;T20</f>
        <v>所有步兵攻击增加:1</v>
      </c>
      <c r="Q20" s="21"/>
      <c r="R20" t="str">
        <f t="shared" si="11"/>
        <v>攻击</v>
      </c>
      <c r="T20" t="str">
        <f t="shared" si="12"/>
        <v>:1</v>
      </c>
      <c r="U20" t="str">
        <f t="shared" si="6"/>
        <v>步兵</v>
      </c>
      <c r="V20" t="s">
        <v>4275</v>
      </c>
      <c r="W20">
        <f>属性类型!G20</f>
        <v>102</v>
      </c>
      <c r="X20">
        <v>1</v>
      </c>
    </row>
    <row r="21" customFormat="1" ht="16.5" spans="1:24">
      <c r="A21" s="17">
        <f t="shared" si="13"/>
        <v>10205</v>
      </c>
      <c r="B21" s="17">
        <f t="shared" si="0"/>
        <v>10200</v>
      </c>
      <c r="C21" s="17" t="str">
        <f t="shared" si="1"/>
        <v>1</v>
      </c>
      <c r="D21" s="12">
        <f t="shared" si="4"/>
        <v>10001</v>
      </c>
      <c r="E21" s="17">
        <v>1</v>
      </c>
      <c r="F21" s="17">
        <f t="shared" si="2"/>
        <v>1</v>
      </c>
      <c r="G21" s="17" t="str">
        <f>G20</f>
        <v>初级攻击</v>
      </c>
      <c r="H21" s="17" t="str">
        <f>H20</f>
        <v>icon_03</v>
      </c>
      <c r="I21" s="20">
        <v>0</v>
      </c>
      <c r="J21" s="17">
        <v>5</v>
      </c>
      <c r="K21" s="17">
        <v>0</v>
      </c>
      <c r="L21" s="17">
        <v>0</v>
      </c>
      <c r="M21" s="17" t="str">
        <f>M20</f>
        <v>1:10000:1</v>
      </c>
      <c r="N21" s="16" t="str">
        <f t="shared" si="9"/>
        <v>102:1</v>
      </c>
      <c r="O21" s="17">
        <f t="shared" si="3"/>
        <v>3</v>
      </c>
      <c r="P21" s="21" t="str">
        <f>$R$1&amp;R21&amp;$Q$1&amp;T21</f>
        <v>所有步兵攻击增加:1</v>
      </c>
      <c r="Q21" s="21"/>
      <c r="R21" t="str">
        <f t="shared" si="11"/>
        <v>攻击</v>
      </c>
      <c r="T21" t="str">
        <f t="shared" si="12"/>
        <v>:1</v>
      </c>
      <c r="U21" t="str">
        <f t="shared" si="6"/>
        <v>步兵</v>
      </c>
      <c r="V21" t="s">
        <v>4275</v>
      </c>
      <c r="W21">
        <f>属性类型!G21</f>
        <v>102</v>
      </c>
      <c r="X21">
        <v>1</v>
      </c>
    </row>
    <row r="22" customFormat="1" ht="16.5" spans="1:24">
      <c r="A22" s="18">
        <f>A16+100</f>
        <v>10300</v>
      </c>
      <c r="B22" s="18">
        <f t="shared" si="0"/>
        <v>10300</v>
      </c>
      <c r="C22" s="18" t="str">
        <f t="shared" si="1"/>
        <v>1</v>
      </c>
      <c r="D22" s="12">
        <f t="shared" si="4"/>
        <v>10001</v>
      </c>
      <c r="E22" s="17">
        <v>1</v>
      </c>
      <c r="F22" s="18">
        <f t="shared" si="2"/>
        <v>1</v>
      </c>
      <c r="G22" s="18" t="s">
        <v>95</v>
      </c>
      <c r="H22" s="18" t="s">
        <v>96</v>
      </c>
      <c r="I22" s="20">
        <v>0</v>
      </c>
      <c r="J22" s="18">
        <v>0</v>
      </c>
      <c r="K22" s="18">
        <f>A23</f>
        <v>10301</v>
      </c>
      <c r="L22" s="18" t="s">
        <v>40</v>
      </c>
      <c r="M22" s="18" t="s">
        <v>65</v>
      </c>
      <c r="N22" s="16" t="str">
        <f t="shared" si="9"/>
        <v>104:1</v>
      </c>
      <c r="O22" s="18">
        <f t="shared" si="3"/>
        <v>4</v>
      </c>
      <c r="P22" s="21" t="str">
        <f>$R$1&amp;R22&amp;$Q$1&amp;T22</f>
        <v>所有步兵魔防增加:1</v>
      </c>
      <c r="Q22" s="21"/>
      <c r="R22" t="s">
        <v>4276</v>
      </c>
      <c r="T22" t="str">
        <f t="shared" si="12"/>
        <v>:1</v>
      </c>
      <c r="U22" t="str">
        <f t="shared" si="6"/>
        <v>步兵</v>
      </c>
      <c r="V22" t="s">
        <v>4277</v>
      </c>
      <c r="W22">
        <f>属性类型!G22</f>
        <v>104</v>
      </c>
      <c r="X22">
        <v>1</v>
      </c>
    </row>
    <row r="23" customFormat="1" ht="16.5" spans="1:24">
      <c r="A23" s="17">
        <f t="shared" si="13"/>
        <v>10301</v>
      </c>
      <c r="B23" s="17">
        <f t="shared" si="0"/>
        <v>10300</v>
      </c>
      <c r="C23" s="17" t="str">
        <f t="shared" si="1"/>
        <v>1</v>
      </c>
      <c r="D23" s="12">
        <f t="shared" si="4"/>
        <v>10001</v>
      </c>
      <c r="E23" s="17">
        <v>1</v>
      </c>
      <c r="F23" s="17">
        <f t="shared" si="2"/>
        <v>1</v>
      </c>
      <c r="G23" s="17" t="str">
        <f>G22</f>
        <v>初级魔防</v>
      </c>
      <c r="H23" s="17" t="str">
        <f>H22</f>
        <v>icon_04</v>
      </c>
      <c r="I23" s="20">
        <v>0</v>
      </c>
      <c r="J23" s="17">
        <v>1</v>
      </c>
      <c r="K23" s="17">
        <f>A24</f>
        <v>10302</v>
      </c>
      <c r="L23" s="17" t="s">
        <v>44</v>
      </c>
      <c r="M23" s="17" t="str">
        <f>M22</f>
        <v>1:10000:1</v>
      </c>
      <c r="N23" s="16" t="str">
        <f t="shared" si="9"/>
        <v>104:1</v>
      </c>
      <c r="O23" s="17">
        <f t="shared" si="3"/>
        <v>4</v>
      </c>
      <c r="P23" s="21" t="str">
        <f>$R$1&amp;R23&amp;$Q$1&amp;T23</f>
        <v>所有步兵魔防增加:1</v>
      </c>
      <c r="Q23" s="21"/>
      <c r="R23" t="str">
        <f t="shared" si="11"/>
        <v>魔防</v>
      </c>
      <c r="T23" t="str">
        <f t="shared" si="12"/>
        <v>:1</v>
      </c>
      <c r="U23" t="str">
        <f t="shared" si="6"/>
        <v>步兵</v>
      </c>
      <c r="V23" t="s">
        <v>4277</v>
      </c>
      <c r="W23">
        <f>属性类型!G23</f>
        <v>104</v>
      </c>
      <c r="X23">
        <v>1</v>
      </c>
    </row>
    <row r="24" customFormat="1" ht="16.5" spans="1:24">
      <c r="A24" s="17">
        <f t="shared" ref="A24:A34" si="14">A23+1</f>
        <v>10302</v>
      </c>
      <c r="B24" s="17">
        <f t="shared" si="0"/>
        <v>10300</v>
      </c>
      <c r="C24" s="17" t="str">
        <f t="shared" si="1"/>
        <v>1</v>
      </c>
      <c r="D24" s="12">
        <f t="shared" si="4"/>
        <v>10001</v>
      </c>
      <c r="E24" s="17">
        <v>1</v>
      </c>
      <c r="F24" s="17">
        <f t="shared" si="2"/>
        <v>1</v>
      </c>
      <c r="G24" s="17" t="str">
        <f>G23</f>
        <v>初级魔防</v>
      </c>
      <c r="H24" s="17" t="str">
        <f>H23</f>
        <v>icon_04</v>
      </c>
      <c r="I24" s="20">
        <v>0</v>
      </c>
      <c r="J24" s="17">
        <v>2</v>
      </c>
      <c r="K24" s="17">
        <f>A25</f>
        <v>10303</v>
      </c>
      <c r="L24" s="17" t="s">
        <v>49</v>
      </c>
      <c r="M24" s="17" t="str">
        <f>M23</f>
        <v>1:10000:1</v>
      </c>
      <c r="N24" s="16" t="str">
        <f t="shared" si="9"/>
        <v>104:1</v>
      </c>
      <c r="O24" s="17">
        <f t="shared" si="3"/>
        <v>4</v>
      </c>
      <c r="P24" s="21" t="str">
        <f>$R$1&amp;R24&amp;$Q$1&amp;T24</f>
        <v>所有步兵魔防增加:1</v>
      </c>
      <c r="Q24" s="21"/>
      <c r="R24" t="str">
        <f t="shared" si="11"/>
        <v>魔防</v>
      </c>
      <c r="T24" t="str">
        <f t="shared" si="12"/>
        <v>:1</v>
      </c>
      <c r="U24" t="str">
        <f t="shared" si="6"/>
        <v>步兵</v>
      </c>
      <c r="V24" t="s">
        <v>4277</v>
      </c>
      <c r="W24">
        <f>属性类型!G24</f>
        <v>104</v>
      </c>
      <c r="X24">
        <v>1</v>
      </c>
    </row>
    <row r="25" customFormat="1" ht="16.5" spans="1:24">
      <c r="A25" s="17">
        <f t="shared" si="14"/>
        <v>10303</v>
      </c>
      <c r="B25" s="17">
        <f t="shared" si="0"/>
        <v>10300</v>
      </c>
      <c r="C25" s="17" t="str">
        <f t="shared" si="1"/>
        <v>1</v>
      </c>
      <c r="D25" s="12">
        <f t="shared" si="4"/>
        <v>10001</v>
      </c>
      <c r="E25" s="17">
        <v>1</v>
      </c>
      <c r="F25" s="17">
        <f t="shared" si="2"/>
        <v>1</v>
      </c>
      <c r="G25" s="17" t="str">
        <f>G24</f>
        <v>初级魔防</v>
      </c>
      <c r="H25" s="17" t="str">
        <f>H24</f>
        <v>icon_04</v>
      </c>
      <c r="I25" s="20">
        <v>0</v>
      </c>
      <c r="J25" s="17">
        <v>3</v>
      </c>
      <c r="K25" s="17">
        <f>A26</f>
        <v>10304</v>
      </c>
      <c r="L25" s="17" t="s">
        <v>53</v>
      </c>
      <c r="M25" s="17" t="str">
        <f>M24</f>
        <v>1:10000:1</v>
      </c>
      <c r="N25" s="16" t="str">
        <f t="shared" si="9"/>
        <v>104:1</v>
      </c>
      <c r="O25" s="17">
        <f t="shared" si="3"/>
        <v>4</v>
      </c>
      <c r="P25" s="21" t="str">
        <f>$R$1&amp;R25&amp;$Q$1&amp;T25</f>
        <v>所有步兵魔防增加:1</v>
      </c>
      <c r="Q25" s="21"/>
      <c r="R25" t="str">
        <f t="shared" si="11"/>
        <v>魔防</v>
      </c>
      <c r="T25" t="str">
        <f t="shared" si="12"/>
        <v>:1</v>
      </c>
      <c r="U25" t="str">
        <f t="shared" si="6"/>
        <v>步兵</v>
      </c>
      <c r="V25" t="s">
        <v>4277</v>
      </c>
      <c r="W25">
        <f>属性类型!G25</f>
        <v>104</v>
      </c>
      <c r="X25">
        <v>1</v>
      </c>
    </row>
    <row r="26" customFormat="1" ht="16.5" spans="1:24">
      <c r="A26" s="17">
        <f t="shared" si="14"/>
        <v>10304</v>
      </c>
      <c r="B26" s="17">
        <f t="shared" si="0"/>
        <v>10300</v>
      </c>
      <c r="C26" s="17" t="str">
        <f t="shared" si="1"/>
        <v>1</v>
      </c>
      <c r="D26" s="12">
        <f t="shared" si="4"/>
        <v>10001</v>
      </c>
      <c r="E26" s="17">
        <v>1</v>
      </c>
      <c r="F26" s="17">
        <f t="shared" si="2"/>
        <v>1</v>
      </c>
      <c r="G26" s="17" t="str">
        <f>G25</f>
        <v>初级魔防</v>
      </c>
      <c r="H26" s="17" t="str">
        <f>H25</f>
        <v>icon_04</v>
      </c>
      <c r="I26" s="20">
        <v>0</v>
      </c>
      <c r="J26" s="17">
        <v>4</v>
      </c>
      <c r="K26" s="17">
        <f>A27</f>
        <v>10305</v>
      </c>
      <c r="L26" s="17" t="s">
        <v>57</v>
      </c>
      <c r="M26" s="17" t="str">
        <f>M25</f>
        <v>1:10000:1</v>
      </c>
      <c r="N26" s="16" t="str">
        <f t="shared" si="9"/>
        <v>104:1</v>
      </c>
      <c r="O26" s="17">
        <f t="shared" si="3"/>
        <v>4</v>
      </c>
      <c r="P26" s="21" t="str">
        <f>$R$1&amp;R26&amp;$Q$1&amp;T26</f>
        <v>所有步兵魔防增加:1</v>
      </c>
      <c r="Q26" s="21"/>
      <c r="R26" t="str">
        <f t="shared" si="11"/>
        <v>魔防</v>
      </c>
      <c r="T26" t="str">
        <f t="shared" si="12"/>
        <v>:1</v>
      </c>
      <c r="U26" t="str">
        <f t="shared" si="6"/>
        <v>步兵</v>
      </c>
      <c r="V26" t="s">
        <v>4277</v>
      </c>
      <c r="W26">
        <f>属性类型!G26</f>
        <v>104</v>
      </c>
      <c r="X26">
        <v>1</v>
      </c>
    </row>
    <row r="27" customFormat="1" ht="16.5" spans="1:24">
      <c r="A27" s="17">
        <f t="shared" si="14"/>
        <v>10305</v>
      </c>
      <c r="B27" s="17">
        <f t="shared" si="0"/>
        <v>10300</v>
      </c>
      <c r="C27" s="17" t="str">
        <f t="shared" si="1"/>
        <v>1</v>
      </c>
      <c r="D27" s="12">
        <f t="shared" si="4"/>
        <v>10001</v>
      </c>
      <c r="E27" s="17">
        <v>1</v>
      </c>
      <c r="F27" s="17">
        <f t="shared" si="2"/>
        <v>1</v>
      </c>
      <c r="G27" s="17" t="str">
        <f>G26</f>
        <v>初级魔防</v>
      </c>
      <c r="H27" s="17" t="str">
        <f>H26</f>
        <v>icon_04</v>
      </c>
      <c r="I27" s="20">
        <v>0</v>
      </c>
      <c r="J27" s="17">
        <v>5</v>
      </c>
      <c r="K27" s="17">
        <v>0</v>
      </c>
      <c r="L27" s="17">
        <v>0</v>
      </c>
      <c r="M27" s="17" t="str">
        <f>M26</f>
        <v>1:10000:1</v>
      </c>
      <c r="N27" s="16" t="str">
        <f t="shared" si="9"/>
        <v>104:1</v>
      </c>
      <c r="O27" s="17">
        <f t="shared" si="3"/>
        <v>4</v>
      </c>
      <c r="P27" s="21" t="str">
        <f>$R$1&amp;R27&amp;$Q$1&amp;T27</f>
        <v>所有步兵魔防增加:1</v>
      </c>
      <c r="Q27" s="21"/>
      <c r="R27" t="str">
        <f t="shared" si="11"/>
        <v>魔防</v>
      </c>
      <c r="T27" t="str">
        <f t="shared" si="12"/>
        <v>:1</v>
      </c>
      <c r="U27" t="str">
        <f t="shared" si="6"/>
        <v>步兵</v>
      </c>
      <c r="V27" t="s">
        <v>4277</v>
      </c>
      <c r="W27">
        <f>属性类型!G27</f>
        <v>104</v>
      </c>
      <c r="X27">
        <v>1</v>
      </c>
    </row>
    <row r="28" customFormat="1" ht="16.5" spans="1:24">
      <c r="A28" s="18">
        <f>A22+100</f>
        <v>10400</v>
      </c>
      <c r="B28" s="18">
        <f t="shared" ref="B28:B71" si="15">ROUND(A28,-2)</f>
        <v>10400</v>
      </c>
      <c r="C28" s="18" t="str">
        <f t="shared" ref="C28:C71" si="16">LEFT(A28,1)</f>
        <v>1</v>
      </c>
      <c r="D28" s="12">
        <f t="shared" si="4"/>
        <v>10001</v>
      </c>
      <c r="E28" s="17">
        <v>1</v>
      </c>
      <c r="F28" s="18">
        <f t="shared" ref="F28:F71" si="17">MID(B28,2,1)+1</f>
        <v>1</v>
      </c>
      <c r="G28" s="18" t="s">
        <v>111</v>
      </c>
      <c r="H28" s="18" t="s">
        <v>112</v>
      </c>
      <c r="I28" s="20">
        <v>0</v>
      </c>
      <c r="J28" s="18">
        <v>0</v>
      </c>
      <c r="K28" s="18">
        <f t="shared" ref="K28:K37" si="18">A29</f>
        <v>10401</v>
      </c>
      <c r="L28" s="18" t="s">
        <v>40</v>
      </c>
      <c r="M28" s="18" t="s">
        <v>114</v>
      </c>
      <c r="N28" s="16" t="str">
        <f t="shared" si="9"/>
        <v>108:1</v>
      </c>
      <c r="O28" s="18">
        <f t="shared" ref="O28:O71" si="19">MID(A28,3,1)+1</f>
        <v>5</v>
      </c>
      <c r="P28" s="21" t="str">
        <f t="shared" ref="P28:P48" si="20">$R$1&amp;R28&amp;$Q$1&amp;T28</f>
        <v>所有步兵防御百分比增加1</v>
      </c>
      <c r="Q28" s="21"/>
      <c r="R28" t="s">
        <v>4278</v>
      </c>
      <c r="T28" t="str">
        <f>RIGHT(N28,1)</f>
        <v>1</v>
      </c>
      <c r="U28" t="str">
        <f t="shared" si="6"/>
        <v>步兵</v>
      </c>
      <c r="V28" t="s">
        <v>4279</v>
      </c>
      <c r="W28">
        <f>属性类型!G28</f>
        <v>108</v>
      </c>
      <c r="X28">
        <v>1</v>
      </c>
    </row>
    <row r="29" customFormat="1" ht="16.5" spans="1:24">
      <c r="A29" s="17">
        <f t="shared" si="14"/>
        <v>10401</v>
      </c>
      <c r="B29" s="17">
        <f t="shared" si="15"/>
        <v>10400</v>
      </c>
      <c r="C29" s="17" t="str">
        <f t="shared" si="16"/>
        <v>1</v>
      </c>
      <c r="D29" s="12">
        <f t="shared" si="4"/>
        <v>10001</v>
      </c>
      <c r="E29" s="17">
        <v>1</v>
      </c>
      <c r="F29" s="17">
        <f t="shared" si="17"/>
        <v>1</v>
      </c>
      <c r="G29" s="17" t="str">
        <f t="shared" ref="G29:G38" si="21">G28</f>
        <v>初级防御百分比</v>
      </c>
      <c r="H29" s="17" t="str">
        <f t="shared" ref="H29:H38" si="22">H28</f>
        <v>icon_05</v>
      </c>
      <c r="I29" s="20">
        <v>0</v>
      </c>
      <c r="J29" s="17">
        <v>1</v>
      </c>
      <c r="K29" s="17">
        <f t="shared" si="18"/>
        <v>10402</v>
      </c>
      <c r="L29" s="17" t="s">
        <v>44</v>
      </c>
      <c r="M29" s="17" t="str">
        <f t="shared" ref="M29:M38" si="23">M28</f>
        <v>1:10100:5</v>
      </c>
      <c r="N29" s="16" t="str">
        <f t="shared" si="9"/>
        <v>108:1</v>
      </c>
      <c r="O29" s="17">
        <f t="shared" si="19"/>
        <v>5</v>
      </c>
      <c r="P29" s="21" t="str">
        <f t="shared" si="20"/>
        <v>所有步兵防御百分比增加:1</v>
      </c>
      <c r="Q29" s="21"/>
      <c r="R29" t="str">
        <f t="shared" si="11"/>
        <v>防御百分比</v>
      </c>
      <c r="T29" t="str">
        <f t="shared" ref="T28:T54" si="24">RIGHT(N29,2)</f>
        <v>:1</v>
      </c>
      <c r="U29" t="str">
        <f t="shared" si="6"/>
        <v>步兵</v>
      </c>
      <c r="V29" t="s">
        <v>4279</v>
      </c>
      <c r="W29">
        <f>属性类型!G29</f>
        <v>108</v>
      </c>
      <c r="X29">
        <v>1</v>
      </c>
    </row>
    <row r="30" customFormat="1" ht="16.5" spans="1:24">
      <c r="A30" s="17">
        <f t="shared" si="14"/>
        <v>10402</v>
      </c>
      <c r="B30" s="17">
        <f t="shared" si="15"/>
        <v>10400</v>
      </c>
      <c r="C30" s="17" t="str">
        <f t="shared" si="16"/>
        <v>1</v>
      </c>
      <c r="D30" s="12">
        <f t="shared" si="4"/>
        <v>10001</v>
      </c>
      <c r="E30" s="17">
        <v>1</v>
      </c>
      <c r="F30" s="17">
        <f t="shared" si="17"/>
        <v>1</v>
      </c>
      <c r="G30" s="17" t="str">
        <f t="shared" si="21"/>
        <v>初级防御百分比</v>
      </c>
      <c r="H30" s="17" t="str">
        <f t="shared" si="22"/>
        <v>icon_05</v>
      </c>
      <c r="I30" s="20">
        <v>0</v>
      </c>
      <c r="J30" s="17">
        <v>2</v>
      </c>
      <c r="K30" s="17">
        <f t="shared" si="18"/>
        <v>10403</v>
      </c>
      <c r="L30" s="17" t="s">
        <v>49</v>
      </c>
      <c r="M30" s="17" t="str">
        <f t="shared" si="23"/>
        <v>1:10100:5</v>
      </c>
      <c r="N30" s="16" t="str">
        <f t="shared" si="9"/>
        <v>108:1</v>
      </c>
      <c r="O30" s="17">
        <f t="shared" si="19"/>
        <v>5</v>
      </c>
      <c r="P30" s="21" t="str">
        <f t="shared" si="20"/>
        <v>所有步兵防御百分比增加:1</v>
      </c>
      <c r="Q30" s="21"/>
      <c r="R30" t="str">
        <f t="shared" si="11"/>
        <v>防御百分比</v>
      </c>
      <c r="T30" t="str">
        <f t="shared" si="24"/>
        <v>:1</v>
      </c>
      <c r="U30" t="str">
        <f t="shared" si="6"/>
        <v>步兵</v>
      </c>
      <c r="V30" t="s">
        <v>4279</v>
      </c>
      <c r="W30">
        <f>属性类型!G30</f>
        <v>108</v>
      </c>
      <c r="X30">
        <v>1</v>
      </c>
    </row>
    <row r="31" customFormat="1" ht="16.5" spans="1:24">
      <c r="A31" s="17">
        <f t="shared" si="14"/>
        <v>10403</v>
      </c>
      <c r="B31" s="17">
        <f t="shared" si="15"/>
        <v>10400</v>
      </c>
      <c r="C31" s="17" t="str">
        <f t="shared" si="16"/>
        <v>1</v>
      </c>
      <c r="D31" s="12">
        <f t="shared" si="4"/>
        <v>10001</v>
      </c>
      <c r="E31" s="17">
        <v>1</v>
      </c>
      <c r="F31" s="17">
        <f t="shared" si="17"/>
        <v>1</v>
      </c>
      <c r="G31" s="17" t="str">
        <f t="shared" si="21"/>
        <v>初级防御百分比</v>
      </c>
      <c r="H31" s="17" t="str">
        <f t="shared" si="22"/>
        <v>icon_05</v>
      </c>
      <c r="I31" s="20">
        <v>0</v>
      </c>
      <c r="J31" s="17">
        <v>3</v>
      </c>
      <c r="K31" s="17">
        <f t="shared" si="18"/>
        <v>10404</v>
      </c>
      <c r="L31" s="17" t="s">
        <v>53</v>
      </c>
      <c r="M31" s="17" t="str">
        <f t="shared" si="23"/>
        <v>1:10100:5</v>
      </c>
      <c r="N31" s="16" t="str">
        <f t="shared" si="9"/>
        <v>108:1</v>
      </c>
      <c r="O31" s="17">
        <f t="shared" si="19"/>
        <v>5</v>
      </c>
      <c r="P31" s="21" t="str">
        <f t="shared" si="20"/>
        <v>所有步兵防御百分比增加:1</v>
      </c>
      <c r="Q31" s="21"/>
      <c r="R31" t="str">
        <f t="shared" si="11"/>
        <v>防御百分比</v>
      </c>
      <c r="T31" t="str">
        <f t="shared" si="24"/>
        <v>:1</v>
      </c>
      <c r="U31" t="str">
        <f t="shared" si="6"/>
        <v>步兵</v>
      </c>
      <c r="V31" t="s">
        <v>4279</v>
      </c>
      <c r="W31">
        <f>属性类型!G31</f>
        <v>108</v>
      </c>
      <c r="X31">
        <v>1</v>
      </c>
    </row>
    <row r="32" customFormat="1" ht="16.5" spans="1:24">
      <c r="A32" s="17">
        <f t="shared" si="14"/>
        <v>10404</v>
      </c>
      <c r="B32" s="17">
        <f t="shared" si="15"/>
        <v>10400</v>
      </c>
      <c r="C32" s="17" t="str">
        <f t="shared" si="16"/>
        <v>1</v>
      </c>
      <c r="D32" s="12">
        <f t="shared" si="4"/>
        <v>10001</v>
      </c>
      <c r="E32" s="17">
        <v>1</v>
      </c>
      <c r="F32" s="17">
        <f t="shared" si="17"/>
        <v>1</v>
      </c>
      <c r="G32" s="17" t="str">
        <f t="shared" si="21"/>
        <v>初级防御百分比</v>
      </c>
      <c r="H32" s="17" t="str">
        <f t="shared" si="22"/>
        <v>icon_05</v>
      </c>
      <c r="I32" s="20">
        <v>0</v>
      </c>
      <c r="J32" s="17">
        <v>4</v>
      </c>
      <c r="K32" s="17">
        <f t="shared" si="18"/>
        <v>10405</v>
      </c>
      <c r="L32" s="17" t="s">
        <v>57</v>
      </c>
      <c r="M32" s="17" t="str">
        <f t="shared" si="23"/>
        <v>1:10100:5</v>
      </c>
      <c r="N32" s="16" t="str">
        <f t="shared" si="9"/>
        <v>108:1</v>
      </c>
      <c r="O32" s="17">
        <f t="shared" si="19"/>
        <v>5</v>
      </c>
      <c r="P32" s="21" t="str">
        <f t="shared" si="20"/>
        <v>所有步兵防御百分比增加:1</v>
      </c>
      <c r="Q32" s="21"/>
      <c r="R32" t="str">
        <f t="shared" si="11"/>
        <v>防御百分比</v>
      </c>
      <c r="T32" t="str">
        <f t="shared" si="24"/>
        <v>:1</v>
      </c>
      <c r="U32" t="str">
        <f t="shared" si="6"/>
        <v>步兵</v>
      </c>
      <c r="V32" t="s">
        <v>4279</v>
      </c>
      <c r="W32">
        <f>属性类型!G32</f>
        <v>108</v>
      </c>
      <c r="X32">
        <v>1</v>
      </c>
    </row>
    <row r="33" customFormat="1" ht="16.5" spans="1:24">
      <c r="A33" s="17">
        <f t="shared" si="14"/>
        <v>10405</v>
      </c>
      <c r="B33" s="17">
        <f t="shared" si="15"/>
        <v>10400</v>
      </c>
      <c r="C33" s="17" t="str">
        <f t="shared" si="16"/>
        <v>1</v>
      </c>
      <c r="D33" s="12">
        <f t="shared" si="4"/>
        <v>10001</v>
      </c>
      <c r="E33" s="17">
        <v>1</v>
      </c>
      <c r="F33" s="17">
        <f t="shared" si="17"/>
        <v>1</v>
      </c>
      <c r="G33" s="17" t="str">
        <f t="shared" si="21"/>
        <v>初级防御百分比</v>
      </c>
      <c r="H33" s="17" t="str">
        <f t="shared" si="22"/>
        <v>icon_05</v>
      </c>
      <c r="I33" s="20">
        <v>0</v>
      </c>
      <c r="J33" s="17">
        <v>5</v>
      </c>
      <c r="K33" s="17">
        <f t="shared" si="18"/>
        <v>10406</v>
      </c>
      <c r="L33" s="17" t="s">
        <v>127</v>
      </c>
      <c r="M33" s="17" t="str">
        <f t="shared" si="23"/>
        <v>1:10100:5</v>
      </c>
      <c r="N33" s="16" t="str">
        <f t="shared" si="9"/>
        <v>108:1</v>
      </c>
      <c r="O33" s="17">
        <f t="shared" si="19"/>
        <v>5</v>
      </c>
      <c r="P33" s="21" t="str">
        <f t="shared" si="20"/>
        <v>所有步兵防御百分比增加:1</v>
      </c>
      <c r="Q33" s="21"/>
      <c r="R33" t="str">
        <f t="shared" si="11"/>
        <v>防御百分比</v>
      </c>
      <c r="T33" t="str">
        <f t="shared" si="24"/>
        <v>:1</v>
      </c>
      <c r="U33" t="str">
        <f t="shared" si="6"/>
        <v>步兵</v>
      </c>
      <c r="V33" t="s">
        <v>4279</v>
      </c>
      <c r="W33">
        <f>属性类型!G33</f>
        <v>108</v>
      </c>
      <c r="X33">
        <v>1</v>
      </c>
    </row>
    <row r="34" customFormat="1" ht="16.5" spans="1:24">
      <c r="A34" s="17">
        <f t="shared" si="14"/>
        <v>10406</v>
      </c>
      <c r="B34" s="17">
        <f t="shared" si="15"/>
        <v>10400</v>
      </c>
      <c r="C34" s="17" t="str">
        <f t="shared" si="16"/>
        <v>1</v>
      </c>
      <c r="D34" s="12">
        <f t="shared" si="4"/>
        <v>10001</v>
      </c>
      <c r="E34" s="17">
        <v>1</v>
      </c>
      <c r="F34" s="17">
        <f t="shared" si="17"/>
        <v>1</v>
      </c>
      <c r="G34" s="17" t="str">
        <f t="shared" si="21"/>
        <v>初级防御百分比</v>
      </c>
      <c r="H34" s="17" t="str">
        <f t="shared" si="22"/>
        <v>icon_05</v>
      </c>
      <c r="I34" s="20">
        <v>0</v>
      </c>
      <c r="J34" s="17">
        <v>6</v>
      </c>
      <c r="K34" s="17">
        <f t="shared" si="18"/>
        <v>10407</v>
      </c>
      <c r="L34" s="17" t="s">
        <v>131</v>
      </c>
      <c r="M34" s="17" t="str">
        <f t="shared" si="23"/>
        <v>1:10100:5</v>
      </c>
      <c r="N34" s="16" t="str">
        <f t="shared" si="9"/>
        <v>108:1</v>
      </c>
      <c r="O34" s="17">
        <f t="shared" si="19"/>
        <v>5</v>
      </c>
      <c r="P34" s="21" t="str">
        <f t="shared" si="20"/>
        <v>所有步兵防御百分比增加:1</v>
      </c>
      <c r="Q34" s="21"/>
      <c r="R34" t="str">
        <f t="shared" si="11"/>
        <v>防御百分比</v>
      </c>
      <c r="T34" t="str">
        <f t="shared" si="24"/>
        <v>:1</v>
      </c>
      <c r="U34" t="str">
        <f t="shared" si="6"/>
        <v>步兵</v>
      </c>
      <c r="V34" t="s">
        <v>4279</v>
      </c>
      <c r="W34">
        <f>属性类型!G34</f>
        <v>108</v>
      </c>
      <c r="X34">
        <v>1</v>
      </c>
    </row>
    <row r="35" customFormat="1" ht="16.5" spans="1:24">
      <c r="A35" s="17">
        <f t="shared" ref="A35:A49" si="25">A34+1</f>
        <v>10407</v>
      </c>
      <c r="B35" s="17">
        <f t="shared" si="15"/>
        <v>10400</v>
      </c>
      <c r="C35" s="17" t="str">
        <f t="shared" si="16"/>
        <v>1</v>
      </c>
      <c r="D35" s="12">
        <f t="shared" si="4"/>
        <v>10001</v>
      </c>
      <c r="E35" s="17">
        <v>1</v>
      </c>
      <c r="F35" s="17">
        <f t="shared" si="17"/>
        <v>1</v>
      </c>
      <c r="G35" s="17" t="str">
        <f t="shared" si="21"/>
        <v>初级防御百分比</v>
      </c>
      <c r="H35" s="17" t="str">
        <f t="shared" si="22"/>
        <v>icon_05</v>
      </c>
      <c r="I35" s="20">
        <v>0</v>
      </c>
      <c r="J35" s="17">
        <v>7</v>
      </c>
      <c r="K35" s="17">
        <f t="shared" si="18"/>
        <v>10408</v>
      </c>
      <c r="L35" s="17" t="s">
        <v>135</v>
      </c>
      <c r="M35" s="17" t="str">
        <f t="shared" si="23"/>
        <v>1:10100:5</v>
      </c>
      <c r="N35" s="16" t="str">
        <f t="shared" si="9"/>
        <v>108:1</v>
      </c>
      <c r="O35" s="17">
        <f t="shared" si="19"/>
        <v>5</v>
      </c>
      <c r="P35" s="21" t="str">
        <f t="shared" si="20"/>
        <v>所有步兵防御百分比增加:1</v>
      </c>
      <c r="Q35" s="21"/>
      <c r="R35" t="str">
        <f t="shared" si="11"/>
        <v>防御百分比</v>
      </c>
      <c r="T35" t="str">
        <f t="shared" si="24"/>
        <v>:1</v>
      </c>
      <c r="U35" t="str">
        <f t="shared" si="6"/>
        <v>步兵</v>
      </c>
      <c r="V35" t="s">
        <v>4279</v>
      </c>
      <c r="W35">
        <f>属性类型!G35</f>
        <v>108</v>
      </c>
      <c r="X35">
        <v>1</v>
      </c>
    </row>
    <row r="36" customFormat="1" ht="16.5" spans="1:24">
      <c r="A36" s="17">
        <f t="shared" si="25"/>
        <v>10408</v>
      </c>
      <c r="B36" s="17">
        <f t="shared" si="15"/>
        <v>10400</v>
      </c>
      <c r="C36" s="17" t="str">
        <f t="shared" si="16"/>
        <v>1</v>
      </c>
      <c r="D36" s="12">
        <f t="shared" si="4"/>
        <v>10001</v>
      </c>
      <c r="E36" s="17">
        <v>1</v>
      </c>
      <c r="F36" s="17">
        <f t="shared" si="17"/>
        <v>1</v>
      </c>
      <c r="G36" s="17" t="str">
        <f t="shared" si="21"/>
        <v>初级防御百分比</v>
      </c>
      <c r="H36" s="17" t="str">
        <f t="shared" si="22"/>
        <v>icon_05</v>
      </c>
      <c r="I36" s="20">
        <v>0</v>
      </c>
      <c r="J36" s="17">
        <v>8</v>
      </c>
      <c r="K36" s="17">
        <f t="shared" si="18"/>
        <v>10409</v>
      </c>
      <c r="L36" s="17" t="s">
        <v>139</v>
      </c>
      <c r="M36" s="17" t="str">
        <f t="shared" si="23"/>
        <v>1:10100:5</v>
      </c>
      <c r="N36" s="16" t="str">
        <f t="shared" si="9"/>
        <v>108:1</v>
      </c>
      <c r="O36" s="17">
        <f t="shared" si="19"/>
        <v>5</v>
      </c>
      <c r="P36" s="21" t="str">
        <f t="shared" si="20"/>
        <v>所有步兵防御百分比增加:1</v>
      </c>
      <c r="Q36" s="21"/>
      <c r="R36" t="str">
        <f t="shared" si="11"/>
        <v>防御百分比</v>
      </c>
      <c r="T36" t="str">
        <f t="shared" si="24"/>
        <v>:1</v>
      </c>
      <c r="U36" t="str">
        <f t="shared" si="6"/>
        <v>步兵</v>
      </c>
      <c r="V36" t="s">
        <v>4279</v>
      </c>
      <c r="W36">
        <f>属性类型!G36</f>
        <v>108</v>
      </c>
      <c r="X36">
        <v>1</v>
      </c>
    </row>
    <row r="37" customFormat="1" ht="16.5" spans="1:24">
      <c r="A37" s="17">
        <f t="shared" si="25"/>
        <v>10409</v>
      </c>
      <c r="B37" s="17">
        <f t="shared" si="15"/>
        <v>10400</v>
      </c>
      <c r="C37" s="17" t="str">
        <f t="shared" si="16"/>
        <v>1</v>
      </c>
      <c r="D37" s="12">
        <f t="shared" si="4"/>
        <v>10001</v>
      </c>
      <c r="E37" s="17">
        <v>1</v>
      </c>
      <c r="F37" s="17">
        <f t="shared" si="17"/>
        <v>1</v>
      </c>
      <c r="G37" s="17" t="str">
        <f t="shared" si="21"/>
        <v>初级防御百分比</v>
      </c>
      <c r="H37" s="17" t="str">
        <f t="shared" si="22"/>
        <v>icon_05</v>
      </c>
      <c r="I37" s="20">
        <v>0</v>
      </c>
      <c r="J37" s="17">
        <v>9</v>
      </c>
      <c r="K37" s="17">
        <f t="shared" si="18"/>
        <v>10410</v>
      </c>
      <c r="L37" s="17" t="s">
        <v>143</v>
      </c>
      <c r="M37" s="17" t="str">
        <f t="shared" si="23"/>
        <v>1:10100:5</v>
      </c>
      <c r="N37" s="16" t="str">
        <f t="shared" si="9"/>
        <v>108:1</v>
      </c>
      <c r="O37" s="17">
        <f t="shared" si="19"/>
        <v>5</v>
      </c>
      <c r="P37" s="21" t="str">
        <f t="shared" si="20"/>
        <v>所有步兵防御百分比增加:1</v>
      </c>
      <c r="Q37" s="21"/>
      <c r="R37" t="str">
        <f t="shared" si="11"/>
        <v>防御百分比</v>
      </c>
      <c r="T37" t="str">
        <f t="shared" si="24"/>
        <v>:1</v>
      </c>
      <c r="U37" t="str">
        <f t="shared" si="6"/>
        <v>步兵</v>
      </c>
      <c r="V37" t="s">
        <v>4279</v>
      </c>
      <c r="W37">
        <f>属性类型!G37</f>
        <v>108</v>
      </c>
      <c r="X37">
        <v>1</v>
      </c>
    </row>
    <row r="38" customFormat="1" ht="16.5" spans="1:24">
      <c r="A38" s="17">
        <f t="shared" si="25"/>
        <v>10410</v>
      </c>
      <c r="B38" s="17">
        <f t="shared" si="15"/>
        <v>10400</v>
      </c>
      <c r="C38" s="17" t="str">
        <f t="shared" si="16"/>
        <v>1</v>
      </c>
      <c r="D38" s="12">
        <f t="shared" si="4"/>
        <v>10001</v>
      </c>
      <c r="E38" s="17">
        <v>1</v>
      </c>
      <c r="F38" s="17">
        <f t="shared" si="17"/>
        <v>1</v>
      </c>
      <c r="G38" s="17" t="str">
        <f t="shared" si="21"/>
        <v>初级防御百分比</v>
      </c>
      <c r="H38" s="17" t="str">
        <f t="shared" si="22"/>
        <v>icon_05</v>
      </c>
      <c r="I38" s="20">
        <v>0</v>
      </c>
      <c r="J38" s="17">
        <v>10</v>
      </c>
      <c r="K38" s="17">
        <v>0</v>
      </c>
      <c r="L38" s="17">
        <v>0</v>
      </c>
      <c r="M38" s="17" t="str">
        <f t="shared" si="23"/>
        <v>1:10100:5</v>
      </c>
      <c r="N38" s="16" t="str">
        <f t="shared" si="9"/>
        <v>108:1</v>
      </c>
      <c r="O38" s="17">
        <f t="shared" si="19"/>
        <v>5</v>
      </c>
      <c r="P38" s="21" t="str">
        <f t="shared" si="20"/>
        <v>所有步兵防御百分比增加:1</v>
      </c>
      <c r="Q38" s="21"/>
      <c r="R38" t="str">
        <f t="shared" si="11"/>
        <v>防御百分比</v>
      </c>
      <c r="T38" t="str">
        <f t="shared" si="24"/>
        <v>:1</v>
      </c>
      <c r="U38" t="str">
        <f t="shared" si="6"/>
        <v>步兵</v>
      </c>
      <c r="V38" t="s">
        <v>4279</v>
      </c>
      <c r="W38">
        <f>属性类型!G38</f>
        <v>108</v>
      </c>
      <c r="X38">
        <v>1</v>
      </c>
    </row>
    <row r="39" customFormat="1" ht="16.5" spans="1:24">
      <c r="A39" s="18">
        <f>A28+100</f>
        <v>10500</v>
      </c>
      <c r="B39" s="18">
        <f t="shared" si="15"/>
        <v>10500</v>
      </c>
      <c r="C39" s="18" t="str">
        <f t="shared" si="16"/>
        <v>1</v>
      </c>
      <c r="D39" s="12">
        <f t="shared" si="4"/>
        <v>10001</v>
      </c>
      <c r="E39" s="17">
        <v>1</v>
      </c>
      <c r="F39" s="18">
        <f t="shared" si="17"/>
        <v>1</v>
      </c>
      <c r="G39" s="18" t="s">
        <v>148</v>
      </c>
      <c r="H39" s="18" t="s">
        <v>149</v>
      </c>
      <c r="I39" s="20">
        <v>0</v>
      </c>
      <c r="J39" s="18">
        <v>0</v>
      </c>
      <c r="K39" s="18">
        <f t="shared" ref="K39:K48" si="26">A40</f>
        <v>10501</v>
      </c>
      <c r="L39" s="18" t="s">
        <v>40</v>
      </c>
      <c r="M39" s="18" t="s">
        <v>151</v>
      </c>
      <c r="N39" s="16" t="str">
        <f t="shared" si="9"/>
        <v>107:1</v>
      </c>
      <c r="O39" s="18">
        <f t="shared" si="19"/>
        <v>6</v>
      </c>
      <c r="P39" s="21" t="str">
        <f t="shared" si="20"/>
        <v>所有步兵攻击百分比增加1</v>
      </c>
      <c r="Q39" s="21"/>
      <c r="R39" t="s">
        <v>4280</v>
      </c>
      <c r="T39" t="str">
        <f>RIGHT(N39,1)</f>
        <v>1</v>
      </c>
      <c r="U39" t="str">
        <f t="shared" si="6"/>
        <v>步兵</v>
      </c>
      <c r="V39" t="s">
        <v>4281</v>
      </c>
      <c r="W39">
        <f>属性类型!G39</f>
        <v>107</v>
      </c>
      <c r="X39">
        <v>1</v>
      </c>
    </row>
    <row r="40" customFormat="1" ht="16.5" spans="1:24">
      <c r="A40" s="17">
        <f t="shared" si="25"/>
        <v>10501</v>
      </c>
      <c r="B40" s="17">
        <f t="shared" si="15"/>
        <v>10500</v>
      </c>
      <c r="C40" s="17" t="str">
        <f t="shared" si="16"/>
        <v>1</v>
      </c>
      <c r="D40" s="12">
        <f t="shared" si="4"/>
        <v>10001</v>
      </c>
      <c r="E40" s="17">
        <v>1</v>
      </c>
      <c r="F40" s="17">
        <f t="shared" si="17"/>
        <v>1</v>
      </c>
      <c r="G40" s="17" t="str">
        <f t="shared" ref="G40:G49" si="27">G39</f>
        <v>初级攻击百分比</v>
      </c>
      <c r="H40" s="17" t="str">
        <f t="shared" ref="H40:H49" si="28">H39</f>
        <v>icon_06</v>
      </c>
      <c r="I40" s="20">
        <v>0</v>
      </c>
      <c r="J40" s="17">
        <v>1</v>
      </c>
      <c r="K40" s="17">
        <f t="shared" si="26"/>
        <v>10502</v>
      </c>
      <c r="L40" s="17" t="s">
        <v>44</v>
      </c>
      <c r="M40" s="17" t="str">
        <f t="shared" ref="M40:M49" si="29">M39</f>
        <v>1:10200:5</v>
      </c>
      <c r="N40" s="16" t="str">
        <f t="shared" si="9"/>
        <v>107:1</v>
      </c>
      <c r="O40" s="17">
        <f t="shared" si="19"/>
        <v>6</v>
      </c>
      <c r="P40" s="21" t="str">
        <f t="shared" si="20"/>
        <v>所有步兵攻击百分比增加:1</v>
      </c>
      <c r="Q40" s="21"/>
      <c r="R40" t="str">
        <f t="shared" si="11"/>
        <v>攻击百分比</v>
      </c>
      <c r="T40" t="str">
        <f t="shared" si="24"/>
        <v>:1</v>
      </c>
      <c r="U40" t="str">
        <f t="shared" si="6"/>
        <v>步兵</v>
      </c>
      <c r="V40" t="s">
        <v>4281</v>
      </c>
      <c r="W40">
        <f>属性类型!G40</f>
        <v>107</v>
      </c>
      <c r="X40">
        <v>1</v>
      </c>
    </row>
    <row r="41" customFormat="1" ht="16.5" spans="1:24">
      <c r="A41" s="17">
        <f t="shared" si="25"/>
        <v>10502</v>
      </c>
      <c r="B41" s="17">
        <f t="shared" si="15"/>
        <v>10500</v>
      </c>
      <c r="C41" s="17" t="str">
        <f t="shared" si="16"/>
        <v>1</v>
      </c>
      <c r="D41" s="12">
        <f t="shared" si="4"/>
        <v>10001</v>
      </c>
      <c r="E41" s="17">
        <v>1</v>
      </c>
      <c r="F41" s="17">
        <f t="shared" si="17"/>
        <v>1</v>
      </c>
      <c r="G41" s="17" t="str">
        <f t="shared" si="27"/>
        <v>初级攻击百分比</v>
      </c>
      <c r="H41" s="17" t="str">
        <f t="shared" si="28"/>
        <v>icon_06</v>
      </c>
      <c r="I41" s="20">
        <v>0</v>
      </c>
      <c r="J41" s="17">
        <v>2</v>
      </c>
      <c r="K41" s="17">
        <f t="shared" si="26"/>
        <v>10503</v>
      </c>
      <c r="L41" s="17" t="s">
        <v>49</v>
      </c>
      <c r="M41" s="17" t="str">
        <f t="shared" si="29"/>
        <v>1:10200:5</v>
      </c>
      <c r="N41" s="16" t="str">
        <f t="shared" si="9"/>
        <v>107:1</v>
      </c>
      <c r="O41" s="17">
        <f t="shared" si="19"/>
        <v>6</v>
      </c>
      <c r="P41" s="21" t="str">
        <f t="shared" si="20"/>
        <v>所有步兵攻击百分比增加:1</v>
      </c>
      <c r="Q41" s="21"/>
      <c r="R41" t="str">
        <f t="shared" si="11"/>
        <v>攻击百分比</v>
      </c>
      <c r="T41" t="str">
        <f t="shared" si="24"/>
        <v>:1</v>
      </c>
      <c r="U41" t="str">
        <f t="shared" si="6"/>
        <v>步兵</v>
      </c>
      <c r="V41" t="s">
        <v>4281</v>
      </c>
      <c r="W41">
        <f>属性类型!G41</f>
        <v>107</v>
      </c>
      <c r="X41">
        <v>1</v>
      </c>
    </row>
    <row r="42" customFormat="1" ht="16.5" spans="1:24">
      <c r="A42" s="17">
        <f t="shared" si="25"/>
        <v>10503</v>
      </c>
      <c r="B42" s="17">
        <f t="shared" si="15"/>
        <v>10500</v>
      </c>
      <c r="C42" s="17" t="str">
        <f t="shared" si="16"/>
        <v>1</v>
      </c>
      <c r="D42" s="12">
        <f t="shared" si="4"/>
        <v>10001</v>
      </c>
      <c r="E42" s="17">
        <v>1</v>
      </c>
      <c r="F42" s="17">
        <f t="shared" si="17"/>
        <v>1</v>
      </c>
      <c r="G42" s="17" t="str">
        <f t="shared" si="27"/>
        <v>初级攻击百分比</v>
      </c>
      <c r="H42" s="17" t="str">
        <f t="shared" si="28"/>
        <v>icon_06</v>
      </c>
      <c r="I42" s="20">
        <v>0</v>
      </c>
      <c r="J42" s="17">
        <v>3</v>
      </c>
      <c r="K42" s="17">
        <f t="shared" si="26"/>
        <v>10504</v>
      </c>
      <c r="L42" s="17" t="s">
        <v>53</v>
      </c>
      <c r="M42" s="17" t="str">
        <f t="shared" si="29"/>
        <v>1:10200:5</v>
      </c>
      <c r="N42" s="16" t="str">
        <f t="shared" si="9"/>
        <v>107:1</v>
      </c>
      <c r="O42" s="17">
        <f t="shared" si="19"/>
        <v>6</v>
      </c>
      <c r="P42" s="21" t="str">
        <f t="shared" si="20"/>
        <v>所有步兵攻击百分比增加:1</v>
      </c>
      <c r="Q42" s="21"/>
      <c r="R42" t="str">
        <f t="shared" si="11"/>
        <v>攻击百分比</v>
      </c>
      <c r="T42" t="str">
        <f t="shared" si="24"/>
        <v>:1</v>
      </c>
      <c r="U42" t="str">
        <f t="shared" si="6"/>
        <v>步兵</v>
      </c>
      <c r="V42" t="s">
        <v>4281</v>
      </c>
      <c r="W42">
        <f>属性类型!G42</f>
        <v>107</v>
      </c>
      <c r="X42">
        <v>1</v>
      </c>
    </row>
    <row r="43" customFormat="1" ht="16.5" spans="1:24">
      <c r="A43" s="17">
        <f t="shared" si="25"/>
        <v>10504</v>
      </c>
      <c r="B43" s="17">
        <f t="shared" si="15"/>
        <v>10500</v>
      </c>
      <c r="C43" s="17" t="str">
        <f t="shared" si="16"/>
        <v>1</v>
      </c>
      <c r="D43" s="12">
        <f t="shared" si="4"/>
        <v>10001</v>
      </c>
      <c r="E43" s="17">
        <v>1</v>
      </c>
      <c r="F43" s="17">
        <f t="shared" si="17"/>
        <v>1</v>
      </c>
      <c r="G43" s="17" t="str">
        <f t="shared" si="27"/>
        <v>初级攻击百分比</v>
      </c>
      <c r="H43" s="17" t="str">
        <f t="shared" si="28"/>
        <v>icon_06</v>
      </c>
      <c r="I43" s="20">
        <v>0</v>
      </c>
      <c r="J43" s="17">
        <v>4</v>
      </c>
      <c r="K43" s="17">
        <f t="shared" si="26"/>
        <v>10505</v>
      </c>
      <c r="L43" s="17" t="s">
        <v>57</v>
      </c>
      <c r="M43" s="17" t="str">
        <f t="shared" si="29"/>
        <v>1:10200:5</v>
      </c>
      <c r="N43" s="16" t="str">
        <f t="shared" si="9"/>
        <v>107:1</v>
      </c>
      <c r="O43" s="17">
        <f t="shared" si="19"/>
        <v>6</v>
      </c>
      <c r="P43" s="21" t="str">
        <f t="shared" si="20"/>
        <v>所有步兵攻击百分比增加:1</v>
      </c>
      <c r="Q43" s="21"/>
      <c r="R43" t="str">
        <f t="shared" si="11"/>
        <v>攻击百分比</v>
      </c>
      <c r="T43" t="str">
        <f t="shared" si="24"/>
        <v>:1</v>
      </c>
      <c r="U43" t="str">
        <f t="shared" si="6"/>
        <v>步兵</v>
      </c>
      <c r="V43" t="s">
        <v>4281</v>
      </c>
      <c r="W43">
        <f>属性类型!G43</f>
        <v>107</v>
      </c>
      <c r="X43">
        <v>1</v>
      </c>
    </row>
    <row r="44" customFormat="1" ht="16.5" spans="1:24">
      <c r="A44" s="17">
        <f t="shared" si="25"/>
        <v>10505</v>
      </c>
      <c r="B44" s="17">
        <f t="shared" si="15"/>
        <v>10500</v>
      </c>
      <c r="C44" s="17" t="str">
        <f t="shared" si="16"/>
        <v>1</v>
      </c>
      <c r="D44" s="12">
        <f t="shared" si="4"/>
        <v>10001</v>
      </c>
      <c r="E44" s="17">
        <v>1</v>
      </c>
      <c r="F44" s="17">
        <f t="shared" si="17"/>
        <v>1</v>
      </c>
      <c r="G44" s="17" t="str">
        <f t="shared" si="27"/>
        <v>初级攻击百分比</v>
      </c>
      <c r="H44" s="17" t="str">
        <f t="shared" si="28"/>
        <v>icon_06</v>
      </c>
      <c r="I44" s="20">
        <v>0</v>
      </c>
      <c r="J44" s="17">
        <v>5</v>
      </c>
      <c r="K44" s="17">
        <f t="shared" si="26"/>
        <v>10506</v>
      </c>
      <c r="L44" s="17" t="s">
        <v>127</v>
      </c>
      <c r="M44" s="17" t="str">
        <f t="shared" si="29"/>
        <v>1:10200:5</v>
      </c>
      <c r="N44" s="16" t="str">
        <f t="shared" si="9"/>
        <v>107:1</v>
      </c>
      <c r="O44" s="17">
        <f t="shared" si="19"/>
        <v>6</v>
      </c>
      <c r="P44" s="21" t="str">
        <f t="shared" si="20"/>
        <v>所有步兵攻击百分比增加:1</v>
      </c>
      <c r="Q44" s="21"/>
      <c r="R44" t="str">
        <f t="shared" si="11"/>
        <v>攻击百分比</v>
      </c>
      <c r="T44" t="str">
        <f t="shared" si="24"/>
        <v>:1</v>
      </c>
      <c r="U44" t="str">
        <f t="shared" si="6"/>
        <v>步兵</v>
      </c>
      <c r="V44" t="s">
        <v>4281</v>
      </c>
      <c r="W44">
        <f>属性类型!G44</f>
        <v>107</v>
      </c>
      <c r="X44">
        <v>1</v>
      </c>
    </row>
    <row r="45" customFormat="1" ht="16.5" spans="1:24">
      <c r="A45" s="17">
        <f t="shared" si="25"/>
        <v>10506</v>
      </c>
      <c r="B45" s="17">
        <f t="shared" si="15"/>
        <v>10500</v>
      </c>
      <c r="C45" s="17" t="str">
        <f t="shared" si="16"/>
        <v>1</v>
      </c>
      <c r="D45" s="12">
        <f t="shared" si="4"/>
        <v>10001</v>
      </c>
      <c r="E45" s="17">
        <v>1</v>
      </c>
      <c r="F45" s="17">
        <f t="shared" si="17"/>
        <v>1</v>
      </c>
      <c r="G45" s="17" t="str">
        <f t="shared" si="27"/>
        <v>初级攻击百分比</v>
      </c>
      <c r="H45" s="17" t="str">
        <f t="shared" si="28"/>
        <v>icon_06</v>
      </c>
      <c r="I45" s="20">
        <v>0</v>
      </c>
      <c r="J45" s="17">
        <v>6</v>
      </c>
      <c r="K45" s="17">
        <f t="shared" si="26"/>
        <v>10507</v>
      </c>
      <c r="L45" s="17" t="s">
        <v>131</v>
      </c>
      <c r="M45" s="17" t="str">
        <f t="shared" si="29"/>
        <v>1:10200:5</v>
      </c>
      <c r="N45" s="16" t="str">
        <f t="shared" si="9"/>
        <v>107:1</v>
      </c>
      <c r="O45" s="17">
        <f t="shared" si="19"/>
        <v>6</v>
      </c>
      <c r="P45" s="21" t="str">
        <f t="shared" si="20"/>
        <v>所有步兵攻击百分比增加:1</v>
      </c>
      <c r="Q45" s="21"/>
      <c r="R45" t="str">
        <f t="shared" si="11"/>
        <v>攻击百分比</v>
      </c>
      <c r="T45" t="str">
        <f t="shared" si="24"/>
        <v>:1</v>
      </c>
      <c r="U45" t="str">
        <f t="shared" si="6"/>
        <v>步兵</v>
      </c>
      <c r="V45" t="s">
        <v>4281</v>
      </c>
      <c r="W45">
        <f>属性类型!G45</f>
        <v>107</v>
      </c>
      <c r="X45">
        <v>1</v>
      </c>
    </row>
    <row r="46" customFormat="1" ht="16.5" spans="1:24">
      <c r="A46" s="17">
        <f t="shared" si="25"/>
        <v>10507</v>
      </c>
      <c r="B46" s="17">
        <f t="shared" si="15"/>
        <v>10500</v>
      </c>
      <c r="C46" s="17" t="str">
        <f t="shared" si="16"/>
        <v>1</v>
      </c>
      <c r="D46" s="12">
        <f t="shared" si="4"/>
        <v>10001</v>
      </c>
      <c r="E46" s="17">
        <v>1</v>
      </c>
      <c r="F46" s="17">
        <f t="shared" si="17"/>
        <v>1</v>
      </c>
      <c r="G46" s="17" t="str">
        <f t="shared" si="27"/>
        <v>初级攻击百分比</v>
      </c>
      <c r="H46" s="17" t="str">
        <f t="shared" si="28"/>
        <v>icon_06</v>
      </c>
      <c r="I46" s="20">
        <v>0</v>
      </c>
      <c r="J46" s="17">
        <v>7</v>
      </c>
      <c r="K46" s="17">
        <f t="shared" si="26"/>
        <v>10508</v>
      </c>
      <c r="L46" s="17" t="s">
        <v>135</v>
      </c>
      <c r="M46" s="17" t="str">
        <f t="shared" si="29"/>
        <v>1:10200:5</v>
      </c>
      <c r="N46" s="16" t="str">
        <f t="shared" si="9"/>
        <v>107:1</v>
      </c>
      <c r="O46" s="17">
        <f t="shared" si="19"/>
        <v>6</v>
      </c>
      <c r="P46" s="21" t="str">
        <f t="shared" si="20"/>
        <v>所有步兵攻击百分比增加:1</v>
      </c>
      <c r="Q46" s="21"/>
      <c r="R46" t="str">
        <f t="shared" si="11"/>
        <v>攻击百分比</v>
      </c>
      <c r="T46" t="str">
        <f t="shared" si="24"/>
        <v>:1</v>
      </c>
      <c r="U46" t="str">
        <f t="shared" si="6"/>
        <v>步兵</v>
      </c>
      <c r="V46" t="s">
        <v>4281</v>
      </c>
      <c r="W46">
        <f>属性类型!G46</f>
        <v>107</v>
      </c>
      <c r="X46">
        <v>1</v>
      </c>
    </row>
    <row r="47" customFormat="1" ht="16.5" spans="1:24">
      <c r="A47" s="17">
        <f t="shared" si="25"/>
        <v>10508</v>
      </c>
      <c r="B47" s="17">
        <f t="shared" si="15"/>
        <v>10500</v>
      </c>
      <c r="C47" s="17" t="str">
        <f t="shared" si="16"/>
        <v>1</v>
      </c>
      <c r="D47" s="12">
        <f t="shared" si="4"/>
        <v>10001</v>
      </c>
      <c r="E47" s="17">
        <v>1</v>
      </c>
      <c r="F47" s="17">
        <f t="shared" si="17"/>
        <v>1</v>
      </c>
      <c r="G47" s="17" t="str">
        <f t="shared" si="27"/>
        <v>初级攻击百分比</v>
      </c>
      <c r="H47" s="17" t="str">
        <f t="shared" si="28"/>
        <v>icon_06</v>
      </c>
      <c r="I47" s="20">
        <v>0</v>
      </c>
      <c r="J47" s="17">
        <v>8</v>
      </c>
      <c r="K47" s="17">
        <f t="shared" si="26"/>
        <v>10509</v>
      </c>
      <c r="L47" s="17" t="s">
        <v>139</v>
      </c>
      <c r="M47" s="17" t="str">
        <f t="shared" si="29"/>
        <v>1:10200:5</v>
      </c>
      <c r="N47" s="16" t="str">
        <f t="shared" si="9"/>
        <v>107:1</v>
      </c>
      <c r="O47" s="17">
        <f t="shared" si="19"/>
        <v>6</v>
      </c>
      <c r="P47" s="21" t="str">
        <f t="shared" si="20"/>
        <v>所有步兵攻击百分比增加:1</v>
      </c>
      <c r="Q47" s="21"/>
      <c r="R47" t="str">
        <f t="shared" si="11"/>
        <v>攻击百分比</v>
      </c>
      <c r="T47" t="str">
        <f t="shared" si="24"/>
        <v>:1</v>
      </c>
      <c r="U47" t="str">
        <f t="shared" si="6"/>
        <v>步兵</v>
      </c>
      <c r="V47" t="s">
        <v>4281</v>
      </c>
      <c r="W47">
        <f>属性类型!G47</f>
        <v>107</v>
      </c>
      <c r="X47">
        <v>1</v>
      </c>
    </row>
    <row r="48" customFormat="1" ht="16.5" spans="1:24">
      <c r="A48" s="17">
        <f t="shared" si="25"/>
        <v>10509</v>
      </c>
      <c r="B48" s="17">
        <f t="shared" si="15"/>
        <v>10500</v>
      </c>
      <c r="C48" s="17" t="str">
        <f t="shared" si="16"/>
        <v>1</v>
      </c>
      <c r="D48" s="12">
        <f t="shared" si="4"/>
        <v>10001</v>
      </c>
      <c r="E48" s="17">
        <v>1</v>
      </c>
      <c r="F48" s="17">
        <f t="shared" si="17"/>
        <v>1</v>
      </c>
      <c r="G48" s="17" t="str">
        <f t="shared" si="27"/>
        <v>初级攻击百分比</v>
      </c>
      <c r="H48" s="17" t="str">
        <f t="shared" si="28"/>
        <v>icon_06</v>
      </c>
      <c r="I48" s="20">
        <v>0</v>
      </c>
      <c r="J48" s="17">
        <v>9</v>
      </c>
      <c r="K48" s="17">
        <f t="shared" si="26"/>
        <v>10510</v>
      </c>
      <c r="L48" s="17" t="s">
        <v>143</v>
      </c>
      <c r="M48" s="17" t="str">
        <f t="shared" si="29"/>
        <v>1:10200:5</v>
      </c>
      <c r="N48" s="16" t="str">
        <f t="shared" si="9"/>
        <v>107:1</v>
      </c>
      <c r="O48" s="17">
        <f t="shared" si="19"/>
        <v>6</v>
      </c>
      <c r="P48" s="21" t="str">
        <f t="shared" si="20"/>
        <v>所有步兵攻击百分比增加:1</v>
      </c>
      <c r="Q48" s="21"/>
      <c r="R48" t="str">
        <f t="shared" si="11"/>
        <v>攻击百分比</v>
      </c>
      <c r="T48" t="str">
        <f t="shared" si="24"/>
        <v>:1</v>
      </c>
      <c r="U48" t="str">
        <f t="shared" si="6"/>
        <v>步兵</v>
      </c>
      <c r="V48" t="s">
        <v>4281</v>
      </c>
      <c r="W48">
        <f>属性类型!G48</f>
        <v>107</v>
      </c>
      <c r="X48">
        <v>1</v>
      </c>
    </row>
    <row r="49" customFormat="1" ht="16.5" spans="1:24">
      <c r="A49" s="17">
        <f t="shared" si="25"/>
        <v>10510</v>
      </c>
      <c r="B49" s="17">
        <f t="shared" si="15"/>
        <v>10500</v>
      </c>
      <c r="C49" s="17" t="str">
        <f t="shared" si="16"/>
        <v>1</v>
      </c>
      <c r="D49" s="12">
        <f t="shared" si="4"/>
        <v>10001</v>
      </c>
      <c r="E49" s="17">
        <v>1</v>
      </c>
      <c r="F49" s="17">
        <f t="shared" si="17"/>
        <v>1</v>
      </c>
      <c r="G49" s="17" t="str">
        <f t="shared" si="27"/>
        <v>初级攻击百分比</v>
      </c>
      <c r="H49" s="17" t="str">
        <f t="shared" si="28"/>
        <v>icon_06</v>
      </c>
      <c r="I49" s="20">
        <v>0</v>
      </c>
      <c r="J49" s="17">
        <v>10</v>
      </c>
      <c r="K49" s="17">
        <v>0</v>
      </c>
      <c r="L49" s="17">
        <v>0</v>
      </c>
      <c r="M49" s="17" t="str">
        <f t="shared" si="29"/>
        <v>1:10200:5</v>
      </c>
      <c r="N49" s="16" t="str">
        <f t="shared" si="9"/>
        <v>107:1</v>
      </c>
      <c r="O49" s="17">
        <f t="shared" si="19"/>
        <v>6</v>
      </c>
      <c r="P49" s="21" t="str">
        <f>$R$1&amp;R49&amp;$Q$1&amp;T49</f>
        <v>所有步兵攻击百分比增加:1</v>
      </c>
      <c r="Q49" s="21"/>
      <c r="R49" t="str">
        <f t="shared" si="11"/>
        <v>攻击百分比</v>
      </c>
      <c r="T49" t="str">
        <f t="shared" si="24"/>
        <v>:1</v>
      </c>
      <c r="U49" t="str">
        <f t="shared" si="6"/>
        <v>步兵</v>
      </c>
      <c r="V49" t="s">
        <v>4281</v>
      </c>
      <c r="W49">
        <f>属性类型!G49</f>
        <v>107</v>
      </c>
      <c r="X49">
        <v>1</v>
      </c>
    </row>
    <row r="50" customFormat="1" ht="16.5" spans="1:24">
      <c r="A50" s="18">
        <f>A39+100</f>
        <v>10600</v>
      </c>
      <c r="B50" s="18">
        <f t="shared" si="15"/>
        <v>10600</v>
      </c>
      <c r="C50" s="18" t="str">
        <f t="shared" si="16"/>
        <v>1</v>
      </c>
      <c r="D50" s="12">
        <f t="shared" si="4"/>
        <v>10001</v>
      </c>
      <c r="E50" s="17">
        <v>1</v>
      </c>
      <c r="F50" s="18">
        <f t="shared" si="17"/>
        <v>1</v>
      </c>
      <c r="G50" s="18" t="s">
        <v>175</v>
      </c>
      <c r="H50" s="18" t="s">
        <v>176</v>
      </c>
      <c r="I50" s="20">
        <v>0</v>
      </c>
      <c r="J50" s="18">
        <v>0</v>
      </c>
      <c r="K50" s="18">
        <f t="shared" ref="K50:K59" si="30">A51</f>
        <v>10601</v>
      </c>
      <c r="L50" s="18" t="s">
        <v>40</v>
      </c>
      <c r="M50" s="18" t="s">
        <v>178</v>
      </c>
      <c r="N50" s="16" t="str">
        <f t="shared" si="9"/>
        <v>109:1</v>
      </c>
      <c r="O50" s="18">
        <f t="shared" si="19"/>
        <v>7</v>
      </c>
      <c r="P50" s="21" t="str">
        <f>$R$1&amp;R50&amp;$Q$1&amp;T50</f>
        <v>所有步兵魔防百分比增加1</v>
      </c>
      <c r="Q50" s="21"/>
      <c r="R50" t="s">
        <v>4282</v>
      </c>
      <c r="T50" t="str">
        <f>RIGHT(N50,1)</f>
        <v>1</v>
      </c>
      <c r="U50" t="str">
        <f t="shared" si="6"/>
        <v>步兵</v>
      </c>
      <c r="V50" t="s">
        <v>4283</v>
      </c>
      <c r="W50">
        <f>属性类型!G50</f>
        <v>109</v>
      </c>
      <c r="X50">
        <v>1</v>
      </c>
    </row>
    <row r="51" customFormat="1" ht="16.5" spans="1:24">
      <c r="A51" s="17">
        <f t="shared" ref="A51:A60" si="31">A50+1</f>
        <v>10601</v>
      </c>
      <c r="B51" s="17">
        <f t="shared" si="15"/>
        <v>10600</v>
      </c>
      <c r="C51" s="17" t="str">
        <f t="shared" si="16"/>
        <v>1</v>
      </c>
      <c r="D51" s="12">
        <f t="shared" si="4"/>
        <v>10001</v>
      </c>
      <c r="E51" s="17">
        <v>1</v>
      </c>
      <c r="F51" s="17">
        <f t="shared" si="17"/>
        <v>1</v>
      </c>
      <c r="G51" s="17" t="str">
        <f t="shared" ref="G51:G60" si="32">G50</f>
        <v>初级魔防百分比</v>
      </c>
      <c r="H51" s="17" t="str">
        <f t="shared" ref="H51:H60" si="33">H50</f>
        <v>icon_07</v>
      </c>
      <c r="I51" s="20">
        <v>0</v>
      </c>
      <c r="J51" s="17">
        <v>1</v>
      </c>
      <c r="K51" s="17">
        <f t="shared" si="30"/>
        <v>10602</v>
      </c>
      <c r="L51" s="17" t="s">
        <v>44</v>
      </c>
      <c r="M51" s="17" t="str">
        <f t="shared" ref="M51:M60" si="34">M50</f>
        <v>1:10300:5</v>
      </c>
      <c r="N51" s="16" t="str">
        <f t="shared" si="9"/>
        <v>109:1</v>
      </c>
      <c r="O51" s="17">
        <f t="shared" si="19"/>
        <v>7</v>
      </c>
      <c r="P51" s="21" t="str">
        <f>$R$1&amp;R51&amp;$Q$1&amp;T51</f>
        <v>所有步兵魔防百分比增加:1</v>
      </c>
      <c r="Q51" s="21"/>
      <c r="R51" t="str">
        <f t="shared" si="11"/>
        <v>魔防百分比</v>
      </c>
      <c r="T51" t="str">
        <f t="shared" si="24"/>
        <v>:1</v>
      </c>
      <c r="U51" t="str">
        <f t="shared" si="6"/>
        <v>步兵</v>
      </c>
      <c r="V51" t="s">
        <v>4283</v>
      </c>
      <c r="W51">
        <f>属性类型!G51</f>
        <v>109</v>
      </c>
      <c r="X51">
        <v>1</v>
      </c>
    </row>
    <row r="52" customFormat="1" ht="16.5" spans="1:24">
      <c r="A52" s="17">
        <f t="shared" si="31"/>
        <v>10602</v>
      </c>
      <c r="B52" s="17">
        <f t="shared" si="15"/>
        <v>10600</v>
      </c>
      <c r="C52" s="17" t="str">
        <f t="shared" si="16"/>
        <v>1</v>
      </c>
      <c r="D52" s="12">
        <f t="shared" si="4"/>
        <v>10001</v>
      </c>
      <c r="E52" s="17">
        <v>1</v>
      </c>
      <c r="F52" s="17">
        <f t="shared" si="17"/>
        <v>1</v>
      </c>
      <c r="G52" s="17" t="str">
        <f t="shared" si="32"/>
        <v>初级魔防百分比</v>
      </c>
      <c r="H52" s="17" t="str">
        <f t="shared" si="33"/>
        <v>icon_07</v>
      </c>
      <c r="I52" s="20">
        <v>0</v>
      </c>
      <c r="J52" s="17">
        <v>2</v>
      </c>
      <c r="K52" s="17">
        <f t="shared" si="30"/>
        <v>10603</v>
      </c>
      <c r="L52" s="17" t="s">
        <v>49</v>
      </c>
      <c r="M52" s="17" t="str">
        <f t="shared" si="34"/>
        <v>1:10300:5</v>
      </c>
      <c r="N52" s="16" t="str">
        <f t="shared" si="9"/>
        <v>109:1</v>
      </c>
      <c r="O52" s="17">
        <f t="shared" si="19"/>
        <v>7</v>
      </c>
      <c r="P52" s="21" t="str">
        <f>$R$1&amp;R52&amp;$Q$1&amp;T52</f>
        <v>所有步兵魔防百分比增加:1</v>
      </c>
      <c r="Q52" s="21"/>
      <c r="R52" t="str">
        <f t="shared" si="11"/>
        <v>魔防百分比</v>
      </c>
      <c r="T52" t="str">
        <f t="shared" si="24"/>
        <v>:1</v>
      </c>
      <c r="U52" t="str">
        <f t="shared" si="6"/>
        <v>步兵</v>
      </c>
      <c r="V52" t="s">
        <v>4283</v>
      </c>
      <c r="W52">
        <f>属性类型!G52</f>
        <v>109</v>
      </c>
      <c r="X52">
        <v>1</v>
      </c>
    </row>
    <row r="53" customFormat="1" ht="16.5" spans="1:24">
      <c r="A53" s="17">
        <f t="shared" si="31"/>
        <v>10603</v>
      </c>
      <c r="B53" s="17">
        <f t="shared" si="15"/>
        <v>10600</v>
      </c>
      <c r="C53" s="17" t="str">
        <f t="shared" si="16"/>
        <v>1</v>
      </c>
      <c r="D53" s="12">
        <f t="shared" si="4"/>
        <v>10001</v>
      </c>
      <c r="E53" s="17">
        <v>1</v>
      </c>
      <c r="F53" s="17">
        <f t="shared" si="17"/>
        <v>1</v>
      </c>
      <c r="G53" s="17" t="str">
        <f t="shared" si="32"/>
        <v>初级魔防百分比</v>
      </c>
      <c r="H53" s="17" t="str">
        <f t="shared" si="33"/>
        <v>icon_07</v>
      </c>
      <c r="I53" s="20">
        <v>0</v>
      </c>
      <c r="J53" s="17">
        <v>3</v>
      </c>
      <c r="K53" s="17">
        <f t="shared" si="30"/>
        <v>10604</v>
      </c>
      <c r="L53" s="17" t="s">
        <v>53</v>
      </c>
      <c r="M53" s="17" t="str">
        <f t="shared" si="34"/>
        <v>1:10300:5</v>
      </c>
      <c r="N53" s="16" t="str">
        <f t="shared" si="9"/>
        <v>109:1</v>
      </c>
      <c r="O53" s="17">
        <f t="shared" si="19"/>
        <v>7</v>
      </c>
      <c r="P53" s="21" t="str">
        <f>$R$1&amp;R53&amp;$Q$1&amp;T53</f>
        <v>所有步兵魔防百分比增加:1</v>
      </c>
      <c r="Q53" s="21"/>
      <c r="R53" t="str">
        <f t="shared" si="11"/>
        <v>魔防百分比</v>
      </c>
      <c r="T53" t="str">
        <f t="shared" si="24"/>
        <v>:1</v>
      </c>
      <c r="U53" t="str">
        <f t="shared" si="6"/>
        <v>步兵</v>
      </c>
      <c r="V53" t="s">
        <v>4283</v>
      </c>
      <c r="W53">
        <f>属性类型!G53</f>
        <v>109</v>
      </c>
      <c r="X53">
        <v>1</v>
      </c>
    </row>
    <row r="54" customFormat="1" ht="16.5" spans="1:24">
      <c r="A54" s="17">
        <f t="shared" si="31"/>
        <v>10604</v>
      </c>
      <c r="B54" s="17">
        <f t="shared" si="15"/>
        <v>10600</v>
      </c>
      <c r="C54" s="17" t="str">
        <f t="shared" si="16"/>
        <v>1</v>
      </c>
      <c r="D54" s="12">
        <f t="shared" si="4"/>
        <v>10001</v>
      </c>
      <c r="E54" s="17">
        <v>1</v>
      </c>
      <c r="F54" s="17">
        <f t="shared" si="17"/>
        <v>1</v>
      </c>
      <c r="G54" s="17" t="str">
        <f t="shared" si="32"/>
        <v>初级魔防百分比</v>
      </c>
      <c r="H54" s="17" t="str">
        <f t="shared" si="33"/>
        <v>icon_07</v>
      </c>
      <c r="I54" s="20">
        <v>0</v>
      </c>
      <c r="J54" s="17">
        <v>4</v>
      </c>
      <c r="K54" s="17">
        <f t="shared" si="30"/>
        <v>10605</v>
      </c>
      <c r="L54" s="17" t="s">
        <v>57</v>
      </c>
      <c r="M54" s="17" t="str">
        <f t="shared" si="34"/>
        <v>1:10300:5</v>
      </c>
      <c r="N54" s="16" t="str">
        <f t="shared" si="9"/>
        <v>109:1</v>
      </c>
      <c r="O54" s="17">
        <f t="shared" si="19"/>
        <v>7</v>
      </c>
      <c r="P54" s="21" t="str">
        <f>$R$1&amp;R54&amp;$Q$1&amp;T54</f>
        <v>所有步兵魔防百分比增加:1</v>
      </c>
      <c r="Q54" s="21"/>
      <c r="R54" t="str">
        <f t="shared" si="11"/>
        <v>魔防百分比</v>
      </c>
      <c r="T54" t="str">
        <f t="shared" si="24"/>
        <v>:1</v>
      </c>
      <c r="U54" t="str">
        <f t="shared" si="6"/>
        <v>步兵</v>
      </c>
      <c r="V54" t="s">
        <v>4283</v>
      </c>
      <c r="W54">
        <f>属性类型!G54</f>
        <v>109</v>
      </c>
      <c r="X54">
        <v>1</v>
      </c>
    </row>
    <row r="55" customFormat="1" ht="16.5" spans="1:24">
      <c r="A55" s="17">
        <f t="shared" si="31"/>
        <v>10605</v>
      </c>
      <c r="B55" s="17">
        <f t="shared" si="15"/>
        <v>10600</v>
      </c>
      <c r="C55" s="17" t="str">
        <f t="shared" si="16"/>
        <v>1</v>
      </c>
      <c r="D55" s="12">
        <f t="shared" si="4"/>
        <v>10001</v>
      </c>
      <c r="E55" s="17">
        <v>1</v>
      </c>
      <c r="F55" s="17">
        <f t="shared" si="17"/>
        <v>1</v>
      </c>
      <c r="G55" s="17" t="str">
        <f t="shared" si="32"/>
        <v>初级魔防百分比</v>
      </c>
      <c r="H55" s="17" t="str">
        <f t="shared" si="33"/>
        <v>icon_07</v>
      </c>
      <c r="I55" s="20">
        <v>0</v>
      </c>
      <c r="J55" s="17">
        <v>5</v>
      </c>
      <c r="K55" s="17">
        <f t="shared" si="30"/>
        <v>10606</v>
      </c>
      <c r="L55" s="17" t="s">
        <v>127</v>
      </c>
      <c r="M55" s="17" t="str">
        <f t="shared" si="34"/>
        <v>1:10300:5</v>
      </c>
      <c r="N55" s="16" t="str">
        <f t="shared" si="9"/>
        <v>109:1</v>
      </c>
      <c r="O55" s="17">
        <f t="shared" si="19"/>
        <v>7</v>
      </c>
      <c r="P55" s="21" t="str">
        <f>$R$1&amp;R55&amp;$Q$1&amp;T55</f>
        <v>所有步兵魔防百分比增加:1</v>
      </c>
      <c r="Q55" s="21"/>
      <c r="R55" t="str">
        <f t="shared" si="11"/>
        <v>魔防百分比</v>
      </c>
      <c r="T55" t="str">
        <f t="shared" ref="T55:T86" si="35">RIGHT(N55,2)</f>
        <v>:1</v>
      </c>
      <c r="U55" t="str">
        <f t="shared" si="6"/>
        <v>步兵</v>
      </c>
      <c r="V55" t="s">
        <v>4283</v>
      </c>
      <c r="W55">
        <f>属性类型!G55</f>
        <v>109</v>
      </c>
      <c r="X55">
        <v>1</v>
      </c>
    </row>
    <row r="56" customFormat="1" ht="16.5" spans="1:24">
      <c r="A56" s="17">
        <f t="shared" si="31"/>
        <v>10606</v>
      </c>
      <c r="B56" s="17">
        <f t="shared" si="15"/>
        <v>10600</v>
      </c>
      <c r="C56" s="17" t="str">
        <f t="shared" si="16"/>
        <v>1</v>
      </c>
      <c r="D56" s="12">
        <f t="shared" si="4"/>
        <v>10001</v>
      </c>
      <c r="E56" s="17">
        <v>1</v>
      </c>
      <c r="F56" s="17">
        <f t="shared" si="17"/>
        <v>1</v>
      </c>
      <c r="G56" s="17" t="str">
        <f t="shared" si="32"/>
        <v>初级魔防百分比</v>
      </c>
      <c r="H56" s="17" t="str">
        <f t="shared" si="33"/>
        <v>icon_07</v>
      </c>
      <c r="I56" s="20">
        <v>0</v>
      </c>
      <c r="J56" s="17">
        <v>6</v>
      </c>
      <c r="K56" s="17">
        <f t="shared" si="30"/>
        <v>10607</v>
      </c>
      <c r="L56" s="17" t="s">
        <v>131</v>
      </c>
      <c r="M56" s="17" t="str">
        <f t="shared" si="34"/>
        <v>1:10300:5</v>
      </c>
      <c r="N56" s="16" t="str">
        <f t="shared" si="9"/>
        <v>109:1</v>
      </c>
      <c r="O56" s="17">
        <f t="shared" si="19"/>
        <v>7</v>
      </c>
      <c r="P56" s="21" t="str">
        <f>$R$1&amp;R56&amp;$Q$1&amp;T56</f>
        <v>所有步兵魔防百分比增加:1</v>
      </c>
      <c r="Q56" s="21"/>
      <c r="R56" t="str">
        <f t="shared" si="11"/>
        <v>魔防百分比</v>
      </c>
      <c r="T56" t="str">
        <f t="shared" si="35"/>
        <v>:1</v>
      </c>
      <c r="U56" t="str">
        <f t="shared" si="6"/>
        <v>步兵</v>
      </c>
      <c r="V56" t="s">
        <v>4283</v>
      </c>
      <c r="W56">
        <f>属性类型!G56</f>
        <v>109</v>
      </c>
      <c r="X56">
        <v>1</v>
      </c>
    </row>
    <row r="57" customFormat="1" ht="16.5" spans="1:24">
      <c r="A57" s="17">
        <f t="shared" si="31"/>
        <v>10607</v>
      </c>
      <c r="B57" s="17">
        <f t="shared" si="15"/>
        <v>10600</v>
      </c>
      <c r="C57" s="17" t="str">
        <f t="shared" si="16"/>
        <v>1</v>
      </c>
      <c r="D57" s="12">
        <f t="shared" si="4"/>
        <v>10001</v>
      </c>
      <c r="E57" s="17">
        <v>1</v>
      </c>
      <c r="F57" s="17">
        <f t="shared" si="17"/>
        <v>1</v>
      </c>
      <c r="G57" s="17" t="str">
        <f t="shared" si="32"/>
        <v>初级魔防百分比</v>
      </c>
      <c r="H57" s="17" t="str">
        <f t="shared" si="33"/>
        <v>icon_07</v>
      </c>
      <c r="I57" s="20">
        <v>0</v>
      </c>
      <c r="J57" s="17">
        <v>7</v>
      </c>
      <c r="K57" s="17">
        <f t="shared" si="30"/>
        <v>10608</v>
      </c>
      <c r="L57" s="17" t="s">
        <v>135</v>
      </c>
      <c r="M57" s="17" t="str">
        <f t="shared" si="34"/>
        <v>1:10300:5</v>
      </c>
      <c r="N57" s="16" t="str">
        <f t="shared" si="9"/>
        <v>109:1</v>
      </c>
      <c r="O57" s="17">
        <f t="shared" si="19"/>
        <v>7</v>
      </c>
      <c r="P57" s="21" t="str">
        <f>$R$1&amp;R57&amp;$Q$1&amp;T57</f>
        <v>所有步兵魔防百分比增加:1</v>
      </c>
      <c r="Q57" s="21"/>
      <c r="R57" t="str">
        <f t="shared" si="11"/>
        <v>魔防百分比</v>
      </c>
      <c r="T57" t="str">
        <f t="shared" si="35"/>
        <v>:1</v>
      </c>
      <c r="U57" t="str">
        <f t="shared" si="6"/>
        <v>步兵</v>
      </c>
      <c r="V57" t="s">
        <v>4283</v>
      </c>
      <c r="W57">
        <f>属性类型!G57</f>
        <v>109</v>
      </c>
      <c r="X57">
        <v>1</v>
      </c>
    </row>
    <row r="58" customFormat="1" ht="16.5" spans="1:24">
      <c r="A58" s="17">
        <f t="shared" si="31"/>
        <v>10608</v>
      </c>
      <c r="B58" s="17">
        <f t="shared" si="15"/>
        <v>10600</v>
      </c>
      <c r="C58" s="17" t="str">
        <f t="shared" si="16"/>
        <v>1</v>
      </c>
      <c r="D58" s="12">
        <f t="shared" si="4"/>
        <v>10001</v>
      </c>
      <c r="E58" s="17">
        <v>1</v>
      </c>
      <c r="F58" s="17">
        <f t="shared" si="17"/>
        <v>1</v>
      </c>
      <c r="G58" s="17" t="str">
        <f t="shared" si="32"/>
        <v>初级魔防百分比</v>
      </c>
      <c r="H58" s="17" t="str">
        <f t="shared" si="33"/>
        <v>icon_07</v>
      </c>
      <c r="I58" s="20">
        <v>0</v>
      </c>
      <c r="J58" s="17">
        <v>8</v>
      </c>
      <c r="K58" s="17">
        <f t="shared" si="30"/>
        <v>10609</v>
      </c>
      <c r="L58" s="17" t="s">
        <v>139</v>
      </c>
      <c r="M58" s="17" t="str">
        <f t="shared" si="34"/>
        <v>1:10300:5</v>
      </c>
      <c r="N58" s="16" t="str">
        <f t="shared" si="9"/>
        <v>109:1</v>
      </c>
      <c r="O58" s="17">
        <f t="shared" si="19"/>
        <v>7</v>
      </c>
      <c r="P58" s="21" t="str">
        <f>$R$1&amp;R58&amp;$Q$1&amp;T58</f>
        <v>所有步兵魔防百分比增加:1</v>
      </c>
      <c r="Q58" s="21"/>
      <c r="R58" t="str">
        <f t="shared" si="11"/>
        <v>魔防百分比</v>
      </c>
      <c r="T58" t="str">
        <f t="shared" si="35"/>
        <v>:1</v>
      </c>
      <c r="U58" t="str">
        <f t="shared" si="6"/>
        <v>步兵</v>
      </c>
      <c r="V58" t="s">
        <v>4283</v>
      </c>
      <c r="W58">
        <f>属性类型!G58</f>
        <v>109</v>
      </c>
      <c r="X58">
        <v>1</v>
      </c>
    </row>
    <row r="59" customFormat="1" ht="16.5" spans="1:24">
      <c r="A59" s="17">
        <f t="shared" si="31"/>
        <v>10609</v>
      </c>
      <c r="B59" s="17">
        <f t="shared" si="15"/>
        <v>10600</v>
      </c>
      <c r="C59" s="17" t="str">
        <f t="shared" si="16"/>
        <v>1</v>
      </c>
      <c r="D59" s="12">
        <f t="shared" si="4"/>
        <v>10001</v>
      </c>
      <c r="E59" s="17">
        <v>1</v>
      </c>
      <c r="F59" s="17">
        <f t="shared" si="17"/>
        <v>1</v>
      </c>
      <c r="G59" s="17" t="str">
        <f t="shared" si="32"/>
        <v>初级魔防百分比</v>
      </c>
      <c r="H59" s="17" t="str">
        <f t="shared" si="33"/>
        <v>icon_07</v>
      </c>
      <c r="I59" s="20">
        <v>0</v>
      </c>
      <c r="J59" s="17">
        <v>9</v>
      </c>
      <c r="K59" s="17">
        <f t="shared" si="30"/>
        <v>10610</v>
      </c>
      <c r="L59" s="17" t="s">
        <v>143</v>
      </c>
      <c r="M59" s="17" t="str">
        <f t="shared" si="34"/>
        <v>1:10300:5</v>
      </c>
      <c r="N59" s="16" t="str">
        <f t="shared" si="9"/>
        <v>109:1</v>
      </c>
      <c r="O59" s="17">
        <f t="shared" si="19"/>
        <v>7</v>
      </c>
      <c r="P59" s="21" t="str">
        <f>$R$1&amp;R59&amp;$Q$1&amp;T59</f>
        <v>所有步兵魔防百分比增加:1</v>
      </c>
      <c r="Q59" s="21"/>
      <c r="R59" t="str">
        <f t="shared" si="11"/>
        <v>魔防百分比</v>
      </c>
      <c r="T59" t="str">
        <f t="shared" si="35"/>
        <v>:1</v>
      </c>
      <c r="U59" t="str">
        <f t="shared" si="6"/>
        <v>步兵</v>
      </c>
      <c r="V59" t="s">
        <v>4283</v>
      </c>
      <c r="W59">
        <f>属性类型!G59</f>
        <v>109</v>
      </c>
      <c r="X59">
        <v>1</v>
      </c>
    </row>
    <row r="60" customFormat="1" ht="16.5" spans="1:24">
      <c r="A60" s="17">
        <f t="shared" si="31"/>
        <v>10610</v>
      </c>
      <c r="B60" s="17">
        <f t="shared" si="15"/>
        <v>10600</v>
      </c>
      <c r="C60" s="17" t="str">
        <f t="shared" si="16"/>
        <v>1</v>
      </c>
      <c r="D60" s="12">
        <f t="shared" si="4"/>
        <v>10001</v>
      </c>
      <c r="E60" s="17">
        <v>1</v>
      </c>
      <c r="F60" s="17">
        <f t="shared" si="17"/>
        <v>1</v>
      </c>
      <c r="G60" s="17" t="str">
        <f t="shared" si="32"/>
        <v>初级魔防百分比</v>
      </c>
      <c r="H60" s="17" t="str">
        <f t="shared" si="33"/>
        <v>icon_07</v>
      </c>
      <c r="I60" s="20">
        <v>0</v>
      </c>
      <c r="J60" s="17">
        <v>10</v>
      </c>
      <c r="K60" s="17">
        <v>0</v>
      </c>
      <c r="L60" s="17">
        <v>0</v>
      </c>
      <c r="M60" s="17" t="str">
        <f t="shared" si="34"/>
        <v>1:10300:5</v>
      </c>
      <c r="N60" s="16" t="str">
        <f t="shared" si="9"/>
        <v>109:1</v>
      </c>
      <c r="O60" s="17">
        <f t="shared" si="19"/>
        <v>7</v>
      </c>
      <c r="P60" s="21" t="str">
        <f>$R$1&amp;R60&amp;$Q$1&amp;T60</f>
        <v>所有步兵魔防百分比增加:1</v>
      </c>
      <c r="Q60" s="21"/>
      <c r="R60" t="str">
        <f t="shared" si="11"/>
        <v>魔防百分比</v>
      </c>
      <c r="T60" t="str">
        <f t="shared" si="35"/>
        <v>:1</v>
      </c>
      <c r="U60" t="str">
        <f t="shared" si="6"/>
        <v>步兵</v>
      </c>
      <c r="V60" t="s">
        <v>4283</v>
      </c>
      <c r="W60">
        <f>属性类型!G60</f>
        <v>109</v>
      </c>
      <c r="X60">
        <v>1</v>
      </c>
    </row>
    <row r="61" customFormat="1" ht="16.5" spans="1:24">
      <c r="A61" s="18">
        <f>A50+100</f>
        <v>10700</v>
      </c>
      <c r="B61" s="18">
        <f t="shared" si="15"/>
        <v>10700</v>
      </c>
      <c r="C61" s="18" t="str">
        <f t="shared" si="16"/>
        <v>1</v>
      </c>
      <c r="D61" s="12">
        <f t="shared" si="4"/>
        <v>10001</v>
      </c>
      <c r="E61" s="17">
        <v>2</v>
      </c>
      <c r="F61" s="18">
        <f t="shared" si="17"/>
        <v>1</v>
      </c>
      <c r="G61" s="18" t="s">
        <v>4284</v>
      </c>
      <c r="H61" s="18" t="s">
        <v>203</v>
      </c>
      <c r="I61" s="20">
        <v>1.5</v>
      </c>
      <c r="J61" s="18">
        <v>0</v>
      </c>
      <c r="K61" s="18">
        <f t="shared" ref="K61:K70" si="36">A62</f>
        <v>10701</v>
      </c>
      <c r="L61" s="18" t="s">
        <v>206</v>
      </c>
      <c r="M61" s="18" t="s">
        <v>207</v>
      </c>
      <c r="N61" s="16" t="str">
        <f t="shared" si="9"/>
        <v>10001:1</v>
      </c>
      <c r="O61" s="18">
        <f t="shared" si="19"/>
        <v>8</v>
      </c>
      <c r="P61" s="21" t="s">
        <v>4285</v>
      </c>
      <c r="Q61" s="21"/>
      <c r="R61" t="s">
        <v>4286</v>
      </c>
      <c r="T61" t="str">
        <f>RIGHT(N61,1)</f>
        <v>1</v>
      </c>
      <c r="U61" t="str">
        <f t="shared" si="6"/>
        <v>禁卫</v>
      </c>
      <c r="V61" t="s">
        <v>4284</v>
      </c>
      <c r="W61">
        <f>属性类型!G61</f>
        <v>10001</v>
      </c>
      <c r="X61">
        <v>1</v>
      </c>
    </row>
    <row r="62" customFormat="1" ht="16.5" spans="1:24">
      <c r="A62" s="17">
        <f t="shared" ref="A62:A71" si="37">A61+1</f>
        <v>10701</v>
      </c>
      <c r="B62" s="17">
        <f t="shared" si="15"/>
        <v>10700</v>
      </c>
      <c r="C62" s="17" t="str">
        <f t="shared" si="16"/>
        <v>1</v>
      </c>
      <c r="D62" s="12">
        <f t="shared" si="4"/>
        <v>10001</v>
      </c>
      <c r="E62" s="17">
        <f>E61</f>
        <v>2</v>
      </c>
      <c r="F62" s="17">
        <f t="shared" si="17"/>
        <v>1</v>
      </c>
      <c r="G62" s="17" t="str">
        <f t="shared" ref="G62:G71" si="38">G61</f>
        <v>皇室禁卫防御百分比</v>
      </c>
      <c r="H62" s="17" t="str">
        <f t="shared" ref="H62:H71" si="39">H61</f>
        <v>bubing01_Lv3</v>
      </c>
      <c r="I62" s="20">
        <v>1.5</v>
      </c>
      <c r="J62" s="17">
        <v>1</v>
      </c>
      <c r="K62" s="17">
        <f t="shared" si="36"/>
        <v>10702</v>
      </c>
      <c r="L62" s="17" t="s">
        <v>211</v>
      </c>
      <c r="M62" s="17" t="str">
        <f t="shared" ref="M62:M71" si="40">M61</f>
        <v>1:10400:5</v>
      </c>
      <c r="N62" s="16" t="str">
        <f t="shared" si="9"/>
        <v>10001:1</v>
      </c>
      <c r="O62" s="17">
        <f t="shared" si="19"/>
        <v>8</v>
      </c>
      <c r="P62" s="21" t="s">
        <v>4287</v>
      </c>
      <c r="Q62" s="21"/>
      <c r="R62" t="s">
        <v>4286</v>
      </c>
      <c r="T62" t="str">
        <f t="shared" si="35"/>
        <v>:1</v>
      </c>
      <c r="U62" t="str">
        <f t="shared" si="6"/>
        <v>禁卫</v>
      </c>
      <c r="V62" t="s">
        <v>4284</v>
      </c>
      <c r="W62">
        <f>属性类型!G62</f>
        <v>10001</v>
      </c>
      <c r="X62">
        <v>1</v>
      </c>
    </row>
    <row r="63" customFormat="1" ht="16.5" spans="1:24">
      <c r="A63" s="17">
        <f t="shared" si="37"/>
        <v>10702</v>
      </c>
      <c r="B63" s="17">
        <f t="shared" si="15"/>
        <v>10700</v>
      </c>
      <c r="C63" s="17" t="str">
        <f t="shared" si="16"/>
        <v>1</v>
      </c>
      <c r="D63" s="12">
        <f t="shared" si="4"/>
        <v>10001</v>
      </c>
      <c r="E63" s="17">
        <f t="shared" ref="E63:E71" si="41">E62</f>
        <v>2</v>
      </c>
      <c r="F63" s="17">
        <f t="shared" si="17"/>
        <v>1</v>
      </c>
      <c r="G63" s="17" t="str">
        <f t="shared" si="38"/>
        <v>皇室禁卫防御百分比</v>
      </c>
      <c r="H63" s="17" t="str">
        <f t="shared" si="39"/>
        <v>bubing01_Lv3</v>
      </c>
      <c r="I63" s="20">
        <v>1.5</v>
      </c>
      <c r="J63" s="17">
        <v>2</v>
      </c>
      <c r="K63" s="17">
        <f t="shared" si="36"/>
        <v>10703</v>
      </c>
      <c r="L63" s="17" t="s">
        <v>215</v>
      </c>
      <c r="M63" s="17" t="str">
        <f t="shared" si="40"/>
        <v>1:10400:5</v>
      </c>
      <c r="N63" s="16" t="str">
        <f t="shared" si="9"/>
        <v>10001:1</v>
      </c>
      <c r="O63" s="17">
        <f t="shared" si="19"/>
        <v>8</v>
      </c>
      <c r="P63" s="21" t="s">
        <v>4288</v>
      </c>
      <c r="Q63" s="21"/>
      <c r="R63" t="s">
        <v>4286</v>
      </c>
      <c r="T63" t="str">
        <f t="shared" si="35"/>
        <v>:1</v>
      </c>
      <c r="U63" t="str">
        <f t="shared" si="6"/>
        <v>禁卫</v>
      </c>
      <c r="V63" t="s">
        <v>4284</v>
      </c>
      <c r="W63">
        <f>属性类型!G63</f>
        <v>10001</v>
      </c>
      <c r="X63">
        <v>1</v>
      </c>
    </row>
    <row r="64" customFormat="1" ht="16.5" spans="1:24">
      <c r="A64" s="17">
        <f t="shared" si="37"/>
        <v>10703</v>
      </c>
      <c r="B64" s="17">
        <f t="shared" si="15"/>
        <v>10700</v>
      </c>
      <c r="C64" s="17" t="str">
        <f t="shared" si="16"/>
        <v>1</v>
      </c>
      <c r="D64" s="12">
        <f t="shared" si="4"/>
        <v>10001</v>
      </c>
      <c r="E64" s="17">
        <f t="shared" si="41"/>
        <v>2</v>
      </c>
      <c r="F64" s="17">
        <f t="shared" si="17"/>
        <v>1</v>
      </c>
      <c r="G64" s="17" t="str">
        <f t="shared" si="38"/>
        <v>皇室禁卫防御百分比</v>
      </c>
      <c r="H64" s="17" t="str">
        <f t="shared" si="39"/>
        <v>bubing01_Lv3</v>
      </c>
      <c r="I64" s="20">
        <v>1.5</v>
      </c>
      <c r="J64" s="17">
        <v>3</v>
      </c>
      <c r="K64" s="17">
        <f t="shared" si="36"/>
        <v>10704</v>
      </c>
      <c r="L64" s="17" t="s">
        <v>218</v>
      </c>
      <c r="M64" s="17" t="str">
        <f t="shared" si="40"/>
        <v>1:10400:5</v>
      </c>
      <c r="N64" s="16" t="str">
        <f t="shared" si="9"/>
        <v>10001:1</v>
      </c>
      <c r="O64" s="17">
        <f t="shared" si="19"/>
        <v>8</v>
      </c>
      <c r="P64" s="21" t="s">
        <v>4289</v>
      </c>
      <c r="Q64" s="21"/>
      <c r="R64" t="s">
        <v>4286</v>
      </c>
      <c r="T64" t="str">
        <f t="shared" si="35"/>
        <v>:1</v>
      </c>
      <c r="U64" t="str">
        <f t="shared" si="6"/>
        <v>禁卫</v>
      </c>
      <c r="V64" t="s">
        <v>4284</v>
      </c>
      <c r="W64">
        <f>属性类型!G64</f>
        <v>10001</v>
      </c>
      <c r="X64">
        <v>1</v>
      </c>
    </row>
    <row r="65" customFormat="1" ht="16.5" spans="1:24">
      <c r="A65" s="17">
        <f t="shared" si="37"/>
        <v>10704</v>
      </c>
      <c r="B65" s="17">
        <f t="shared" si="15"/>
        <v>10700</v>
      </c>
      <c r="C65" s="17" t="str">
        <f t="shared" si="16"/>
        <v>1</v>
      </c>
      <c r="D65" s="12">
        <f t="shared" si="4"/>
        <v>10001</v>
      </c>
      <c r="E65" s="17">
        <f t="shared" si="41"/>
        <v>2</v>
      </c>
      <c r="F65" s="17">
        <f t="shared" si="17"/>
        <v>1</v>
      </c>
      <c r="G65" s="17" t="str">
        <f t="shared" si="38"/>
        <v>皇室禁卫防御百分比</v>
      </c>
      <c r="H65" s="17" t="str">
        <f t="shared" si="39"/>
        <v>bubing01_Lv3</v>
      </c>
      <c r="I65" s="20">
        <v>1.5</v>
      </c>
      <c r="J65" s="17">
        <v>4</v>
      </c>
      <c r="K65" s="17">
        <f t="shared" si="36"/>
        <v>10705</v>
      </c>
      <c r="L65" s="17" t="s">
        <v>221</v>
      </c>
      <c r="M65" s="17" t="str">
        <f t="shared" si="40"/>
        <v>1:10400:5</v>
      </c>
      <c r="N65" s="16" t="str">
        <f t="shared" si="9"/>
        <v>10001:1</v>
      </c>
      <c r="O65" s="17">
        <f t="shared" si="19"/>
        <v>8</v>
      </c>
      <c r="P65" s="21" t="s">
        <v>4290</v>
      </c>
      <c r="Q65" s="21"/>
      <c r="R65" t="s">
        <v>4286</v>
      </c>
      <c r="T65" t="str">
        <f t="shared" si="35"/>
        <v>:1</v>
      </c>
      <c r="U65" t="str">
        <f t="shared" si="6"/>
        <v>禁卫</v>
      </c>
      <c r="V65" t="s">
        <v>4284</v>
      </c>
      <c r="W65">
        <f>属性类型!G65</f>
        <v>10001</v>
      </c>
      <c r="X65">
        <v>1</v>
      </c>
    </row>
    <row r="66" customFormat="1" ht="16.5" spans="1:24">
      <c r="A66" s="17">
        <f t="shared" si="37"/>
        <v>10705</v>
      </c>
      <c r="B66" s="17">
        <f t="shared" si="15"/>
        <v>10700</v>
      </c>
      <c r="C66" s="17" t="str">
        <f t="shared" si="16"/>
        <v>1</v>
      </c>
      <c r="D66" s="12">
        <f t="shared" si="4"/>
        <v>10001</v>
      </c>
      <c r="E66" s="17">
        <f t="shared" si="41"/>
        <v>2</v>
      </c>
      <c r="F66" s="17">
        <f t="shared" si="17"/>
        <v>1</v>
      </c>
      <c r="G66" s="17" t="str">
        <f t="shared" si="38"/>
        <v>皇室禁卫防御百分比</v>
      </c>
      <c r="H66" s="17" t="str">
        <f t="shared" si="39"/>
        <v>bubing01_Lv3</v>
      </c>
      <c r="I66" s="20">
        <v>1.5</v>
      </c>
      <c r="J66" s="17">
        <v>5</v>
      </c>
      <c r="K66" s="17">
        <f t="shared" si="36"/>
        <v>10706</v>
      </c>
      <c r="L66" s="17" t="s">
        <v>224</v>
      </c>
      <c r="M66" s="17" t="str">
        <f t="shared" si="40"/>
        <v>1:10400:5</v>
      </c>
      <c r="N66" s="16" t="str">
        <f t="shared" si="9"/>
        <v>10001:1</v>
      </c>
      <c r="O66" s="17">
        <f t="shared" si="19"/>
        <v>8</v>
      </c>
      <c r="P66" s="21" t="s">
        <v>4291</v>
      </c>
      <c r="Q66" s="21"/>
      <c r="R66" t="s">
        <v>4286</v>
      </c>
      <c r="T66" t="str">
        <f t="shared" si="35"/>
        <v>:1</v>
      </c>
      <c r="U66" t="str">
        <f t="shared" si="6"/>
        <v>禁卫</v>
      </c>
      <c r="V66" t="s">
        <v>4284</v>
      </c>
      <c r="W66">
        <f>属性类型!G66</f>
        <v>10001</v>
      </c>
      <c r="X66">
        <v>1</v>
      </c>
    </row>
    <row r="67" customFormat="1" ht="16.5" spans="1:24">
      <c r="A67" s="17">
        <f t="shared" si="37"/>
        <v>10706</v>
      </c>
      <c r="B67" s="17">
        <f t="shared" si="15"/>
        <v>10700</v>
      </c>
      <c r="C67" s="17" t="str">
        <f t="shared" si="16"/>
        <v>1</v>
      </c>
      <c r="D67" s="12">
        <f t="shared" si="4"/>
        <v>10001</v>
      </c>
      <c r="E67" s="17">
        <f t="shared" si="41"/>
        <v>2</v>
      </c>
      <c r="F67" s="17">
        <f t="shared" si="17"/>
        <v>1</v>
      </c>
      <c r="G67" s="17" t="str">
        <f t="shared" si="38"/>
        <v>皇室禁卫防御百分比</v>
      </c>
      <c r="H67" s="17" t="str">
        <f t="shared" si="39"/>
        <v>bubing01_Lv3</v>
      </c>
      <c r="I67" s="20">
        <v>1.5</v>
      </c>
      <c r="J67" s="17">
        <v>6</v>
      </c>
      <c r="K67" s="17">
        <f t="shared" si="36"/>
        <v>10707</v>
      </c>
      <c r="L67" s="17" t="s">
        <v>227</v>
      </c>
      <c r="M67" s="17" t="str">
        <f t="shared" si="40"/>
        <v>1:10400:5</v>
      </c>
      <c r="N67" s="16" t="str">
        <f t="shared" si="9"/>
        <v>10001:1</v>
      </c>
      <c r="O67" s="17">
        <f t="shared" si="19"/>
        <v>8</v>
      </c>
      <c r="P67" s="21" t="s">
        <v>4292</v>
      </c>
      <c r="Q67" s="21"/>
      <c r="R67" t="s">
        <v>4286</v>
      </c>
      <c r="T67" t="str">
        <f t="shared" si="35"/>
        <v>:1</v>
      </c>
      <c r="U67" t="str">
        <f t="shared" si="6"/>
        <v>禁卫</v>
      </c>
      <c r="V67" t="s">
        <v>4284</v>
      </c>
      <c r="W67">
        <f>属性类型!G67</f>
        <v>10001</v>
      </c>
      <c r="X67">
        <v>1</v>
      </c>
    </row>
    <row r="68" customFormat="1" ht="16.5" spans="1:24">
      <c r="A68" s="17">
        <f t="shared" si="37"/>
        <v>10707</v>
      </c>
      <c r="B68" s="17">
        <f t="shared" si="15"/>
        <v>10700</v>
      </c>
      <c r="C68" s="17" t="str">
        <f t="shared" si="16"/>
        <v>1</v>
      </c>
      <c r="D68" s="12">
        <f t="shared" si="4"/>
        <v>10001</v>
      </c>
      <c r="E68" s="17">
        <f t="shared" si="41"/>
        <v>2</v>
      </c>
      <c r="F68" s="17">
        <f t="shared" si="17"/>
        <v>1</v>
      </c>
      <c r="G68" s="17" t="str">
        <f t="shared" si="38"/>
        <v>皇室禁卫防御百分比</v>
      </c>
      <c r="H68" s="17" t="str">
        <f t="shared" si="39"/>
        <v>bubing01_Lv3</v>
      </c>
      <c r="I68" s="20">
        <v>1.5</v>
      </c>
      <c r="J68" s="17">
        <v>7</v>
      </c>
      <c r="K68" s="17">
        <f t="shared" si="36"/>
        <v>10708</v>
      </c>
      <c r="L68" s="17" t="s">
        <v>230</v>
      </c>
      <c r="M68" s="17" t="str">
        <f t="shared" si="40"/>
        <v>1:10400:5</v>
      </c>
      <c r="N68" s="16" t="str">
        <f t="shared" si="9"/>
        <v>10001:1</v>
      </c>
      <c r="O68" s="17">
        <f t="shared" si="19"/>
        <v>8</v>
      </c>
      <c r="P68" s="21" t="s">
        <v>4293</v>
      </c>
      <c r="Q68" s="21"/>
      <c r="R68" t="s">
        <v>4286</v>
      </c>
      <c r="T68" t="str">
        <f t="shared" si="35"/>
        <v>:1</v>
      </c>
      <c r="U68" t="str">
        <f t="shared" si="6"/>
        <v>禁卫</v>
      </c>
      <c r="V68" t="s">
        <v>4284</v>
      </c>
      <c r="W68">
        <f>属性类型!G68</f>
        <v>10001</v>
      </c>
      <c r="X68">
        <v>1</v>
      </c>
    </row>
    <row r="69" customFormat="1" ht="16.5" spans="1:24">
      <c r="A69" s="17">
        <f t="shared" si="37"/>
        <v>10708</v>
      </c>
      <c r="B69" s="17">
        <f t="shared" si="15"/>
        <v>10700</v>
      </c>
      <c r="C69" s="17" t="str">
        <f t="shared" si="16"/>
        <v>1</v>
      </c>
      <c r="D69" s="12">
        <f>$A$4+F69</f>
        <v>10001</v>
      </c>
      <c r="E69" s="17">
        <f t="shared" si="41"/>
        <v>2</v>
      </c>
      <c r="F69" s="17">
        <f t="shared" si="17"/>
        <v>1</v>
      </c>
      <c r="G69" s="17" t="str">
        <f t="shared" si="38"/>
        <v>皇室禁卫防御百分比</v>
      </c>
      <c r="H69" s="17" t="str">
        <f t="shared" si="39"/>
        <v>bubing01_Lv3</v>
      </c>
      <c r="I69" s="20">
        <v>1.5</v>
      </c>
      <c r="J69" s="17">
        <v>8</v>
      </c>
      <c r="K69" s="17">
        <f t="shared" ref="K69:K81" si="42">A70</f>
        <v>10709</v>
      </c>
      <c r="L69" s="17" t="s">
        <v>233</v>
      </c>
      <c r="M69" s="17" t="str">
        <f t="shared" si="40"/>
        <v>1:10400:5</v>
      </c>
      <c r="N69" s="16" t="str">
        <f t="shared" si="9"/>
        <v>10001:1</v>
      </c>
      <c r="O69" s="17">
        <f t="shared" si="19"/>
        <v>8</v>
      </c>
      <c r="P69" s="21" t="s">
        <v>4294</v>
      </c>
      <c r="Q69" s="21"/>
      <c r="R69" t="s">
        <v>4286</v>
      </c>
      <c r="T69" t="str">
        <f t="shared" si="35"/>
        <v>:1</v>
      </c>
      <c r="U69" t="str">
        <f t="shared" ref="U69:U132" si="43">MID(P69,3,2)</f>
        <v>禁卫</v>
      </c>
      <c r="V69" t="s">
        <v>4284</v>
      </c>
      <c r="W69">
        <f>属性类型!G69</f>
        <v>10001</v>
      </c>
      <c r="X69">
        <v>1</v>
      </c>
    </row>
    <row r="70" customFormat="1" ht="16.5" spans="1:24">
      <c r="A70" s="17">
        <f t="shared" si="37"/>
        <v>10709</v>
      </c>
      <c r="B70" s="17">
        <f t="shared" si="15"/>
        <v>10700</v>
      </c>
      <c r="C70" s="17" t="str">
        <f t="shared" si="16"/>
        <v>1</v>
      </c>
      <c r="D70" s="12">
        <f>$A$4+F70</f>
        <v>10001</v>
      </c>
      <c r="E70" s="17">
        <f t="shared" si="41"/>
        <v>2</v>
      </c>
      <c r="F70" s="17">
        <f t="shared" si="17"/>
        <v>1</v>
      </c>
      <c r="G70" s="17" t="str">
        <f t="shared" si="38"/>
        <v>皇室禁卫防御百分比</v>
      </c>
      <c r="H70" s="17" t="str">
        <f t="shared" si="39"/>
        <v>bubing01_Lv3</v>
      </c>
      <c r="I70" s="20">
        <v>1.5</v>
      </c>
      <c r="J70" s="17">
        <v>9</v>
      </c>
      <c r="K70" s="17">
        <f t="shared" si="42"/>
        <v>10710</v>
      </c>
      <c r="L70" s="17" t="s">
        <v>236</v>
      </c>
      <c r="M70" s="17" t="str">
        <f t="shared" si="40"/>
        <v>1:10400:5</v>
      </c>
      <c r="N70" s="16" t="str">
        <f t="shared" si="9"/>
        <v>10001:1</v>
      </c>
      <c r="O70" s="17">
        <f t="shared" si="19"/>
        <v>8</v>
      </c>
      <c r="P70" s="21" t="s">
        <v>4295</v>
      </c>
      <c r="Q70" s="21"/>
      <c r="R70" t="s">
        <v>4286</v>
      </c>
      <c r="T70" t="str">
        <f t="shared" si="35"/>
        <v>:1</v>
      </c>
      <c r="U70" t="str">
        <f t="shared" si="43"/>
        <v>禁卫</v>
      </c>
      <c r="V70" t="s">
        <v>4284</v>
      </c>
      <c r="W70">
        <f>属性类型!G70</f>
        <v>10001</v>
      </c>
      <c r="X70">
        <v>1</v>
      </c>
    </row>
    <row r="71" customFormat="1" ht="16.5" spans="1:24">
      <c r="A71" s="17">
        <f t="shared" si="37"/>
        <v>10710</v>
      </c>
      <c r="B71" s="17">
        <f t="shared" si="15"/>
        <v>10700</v>
      </c>
      <c r="C71" s="17" t="str">
        <f t="shared" si="16"/>
        <v>1</v>
      </c>
      <c r="D71" s="12">
        <f>$A$4+F71</f>
        <v>10001</v>
      </c>
      <c r="E71" s="17">
        <f t="shared" si="41"/>
        <v>2</v>
      </c>
      <c r="F71" s="17">
        <f t="shared" si="17"/>
        <v>1</v>
      </c>
      <c r="G71" s="17" t="str">
        <f t="shared" si="38"/>
        <v>皇室禁卫防御百分比</v>
      </c>
      <c r="H71" s="17" t="str">
        <f t="shared" si="39"/>
        <v>bubing01_Lv3</v>
      </c>
      <c r="I71" s="20">
        <v>1.5</v>
      </c>
      <c r="J71" s="17">
        <v>10</v>
      </c>
      <c r="K71" s="17">
        <f t="shared" si="42"/>
        <v>10711</v>
      </c>
      <c r="L71" s="17" t="s">
        <v>238</v>
      </c>
      <c r="M71" s="17" t="str">
        <f t="shared" si="40"/>
        <v>1:10400:5</v>
      </c>
      <c r="N71" s="16" t="str">
        <f t="shared" si="9"/>
        <v>10001:1</v>
      </c>
      <c r="O71" s="17">
        <f t="shared" si="19"/>
        <v>8</v>
      </c>
      <c r="P71" s="21" t="s">
        <v>4296</v>
      </c>
      <c r="Q71" s="21"/>
      <c r="R71" t="s">
        <v>4286</v>
      </c>
      <c r="T71" t="str">
        <f t="shared" si="35"/>
        <v>:1</v>
      </c>
      <c r="U71" t="str">
        <f t="shared" si="43"/>
        <v>禁卫</v>
      </c>
      <c r="V71" t="s">
        <v>4284</v>
      </c>
      <c r="W71">
        <f>属性类型!G71</f>
        <v>10001</v>
      </c>
      <c r="X71">
        <v>1</v>
      </c>
    </row>
    <row r="72" customFormat="1" ht="16.5" spans="1:24">
      <c r="A72" s="17">
        <f t="shared" ref="A72:A82" si="44">A71+1</f>
        <v>10711</v>
      </c>
      <c r="B72" s="17">
        <f t="shared" ref="B72:B92" si="45">ROUND(A72,-2)</f>
        <v>10700</v>
      </c>
      <c r="C72" s="17" t="str">
        <f t="shared" ref="C72:C92" si="46">LEFT(A72,1)</f>
        <v>1</v>
      </c>
      <c r="D72" s="12">
        <f t="shared" ref="D72:D92" si="47">$A$4+F72</f>
        <v>10001</v>
      </c>
      <c r="E72" s="17">
        <f t="shared" ref="E72:E81" si="48">E71</f>
        <v>2</v>
      </c>
      <c r="F72" s="17">
        <f t="shared" ref="F72:F92" si="49">MID(B72,2,1)+1</f>
        <v>1</v>
      </c>
      <c r="G72" s="17" t="str">
        <f t="shared" ref="G72:G81" si="50">G71</f>
        <v>皇室禁卫防御百分比</v>
      </c>
      <c r="H72" s="17" t="str">
        <f t="shared" ref="H72:H81" si="51">H71</f>
        <v>bubing01_Lv3</v>
      </c>
      <c r="I72" s="20">
        <v>1.5</v>
      </c>
      <c r="J72" s="17">
        <v>11</v>
      </c>
      <c r="K72" s="17">
        <f t="shared" si="42"/>
        <v>10712</v>
      </c>
      <c r="L72" s="17" t="s">
        <v>529</v>
      </c>
      <c r="M72" s="17" t="str">
        <f t="shared" ref="M72:M81" si="52">M71</f>
        <v>1:10400:5</v>
      </c>
      <c r="N72" s="16" t="str">
        <f t="shared" si="9"/>
        <v>10001:1</v>
      </c>
      <c r="O72" s="17">
        <f t="shared" ref="O72:O92" si="53">MID(A72,3,1)+1</f>
        <v>8</v>
      </c>
      <c r="P72" s="21" t="s">
        <v>4297</v>
      </c>
      <c r="Q72" s="21"/>
      <c r="R72" t="s">
        <v>4286</v>
      </c>
      <c r="U72" t="str">
        <f t="shared" si="43"/>
        <v>禁卫</v>
      </c>
      <c r="V72" t="s">
        <v>4284</v>
      </c>
      <c r="W72">
        <f>属性类型!G72</f>
        <v>10001</v>
      </c>
      <c r="X72">
        <v>1</v>
      </c>
    </row>
    <row r="73" customFormat="1" ht="16.5" spans="1:24">
      <c r="A73" s="17">
        <f t="shared" si="44"/>
        <v>10712</v>
      </c>
      <c r="B73" s="17">
        <f t="shared" si="45"/>
        <v>10700</v>
      </c>
      <c r="C73" s="17" t="str">
        <f t="shared" si="46"/>
        <v>1</v>
      </c>
      <c r="D73" s="12">
        <f t="shared" si="47"/>
        <v>10001</v>
      </c>
      <c r="E73" s="17">
        <f t="shared" si="48"/>
        <v>2</v>
      </c>
      <c r="F73" s="17">
        <f t="shared" si="49"/>
        <v>1</v>
      </c>
      <c r="G73" s="17" t="str">
        <f t="shared" si="50"/>
        <v>皇室禁卫防御百分比</v>
      </c>
      <c r="H73" s="17" t="str">
        <f t="shared" si="51"/>
        <v>bubing01_Lv3</v>
      </c>
      <c r="I73" s="20">
        <v>1.5</v>
      </c>
      <c r="J73" s="17">
        <v>12</v>
      </c>
      <c r="K73" s="17">
        <f t="shared" si="42"/>
        <v>10713</v>
      </c>
      <c r="L73" s="17" t="s">
        <v>532</v>
      </c>
      <c r="M73" s="17" t="str">
        <f t="shared" si="52"/>
        <v>1:10400:5</v>
      </c>
      <c r="N73" s="16" t="str">
        <f t="shared" si="9"/>
        <v>10001:1</v>
      </c>
      <c r="O73" s="17">
        <f t="shared" si="53"/>
        <v>8</v>
      </c>
      <c r="P73" s="21" t="s">
        <v>4298</v>
      </c>
      <c r="Q73" s="21"/>
      <c r="R73" t="s">
        <v>4286</v>
      </c>
      <c r="U73" t="str">
        <f t="shared" si="43"/>
        <v>禁卫</v>
      </c>
      <c r="V73" t="s">
        <v>4284</v>
      </c>
      <c r="W73">
        <f>属性类型!G73</f>
        <v>10001</v>
      </c>
      <c r="X73">
        <v>1</v>
      </c>
    </row>
    <row r="74" customFormat="1" ht="16.5" spans="1:24">
      <c r="A74" s="17">
        <f t="shared" si="44"/>
        <v>10713</v>
      </c>
      <c r="B74" s="17">
        <f t="shared" si="45"/>
        <v>10700</v>
      </c>
      <c r="C74" s="17" t="str">
        <f t="shared" si="46"/>
        <v>1</v>
      </c>
      <c r="D74" s="12">
        <f t="shared" si="47"/>
        <v>10001</v>
      </c>
      <c r="E74" s="17">
        <f t="shared" si="48"/>
        <v>2</v>
      </c>
      <c r="F74" s="17">
        <f t="shared" si="49"/>
        <v>1</v>
      </c>
      <c r="G74" s="17" t="str">
        <f t="shared" si="50"/>
        <v>皇室禁卫防御百分比</v>
      </c>
      <c r="H74" s="17" t="str">
        <f t="shared" si="51"/>
        <v>bubing01_Lv3</v>
      </c>
      <c r="I74" s="20">
        <v>1.5</v>
      </c>
      <c r="J74" s="17">
        <v>13</v>
      </c>
      <c r="K74" s="17">
        <f t="shared" si="42"/>
        <v>10714</v>
      </c>
      <c r="L74" s="17" t="s">
        <v>561</v>
      </c>
      <c r="M74" s="17" t="str">
        <f t="shared" si="52"/>
        <v>1:10400:5</v>
      </c>
      <c r="N74" s="16" t="str">
        <f t="shared" si="9"/>
        <v>10001:1</v>
      </c>
      <c r="O74" s="17">
        <f t="shared" si="53"/>
        <v>8</v>
      </c>
      <c r="P74" s="21" t="s">
        <v>4299</v>
      </c>
      <c r="Q74" s="21"/>
      <c r="R74" t="s">
        <v>4286</v>
      </c>
      <c r="U74" t="str">
        <f t="shared" si="43"/>
        <v>禁卫</v>
      </c>
      <c r="V74" t="s">
        <v>4284</v>
      </c>
      <c r="W74">
        <f>属性类型!G74</f>
        <v>10001</v>
      </c>
      <c r="X74">
        <v>1</v>
      </c>
    </row>
    <row r="75" customFormat="1" ht="16.5" spans="1:24">
      <c r="A75" s="17">
        <f t="shared" si="44"/>
        <v>10714</v>
      </c>
      <c r="B75" s="17">
        <f t="shared" si="45"/>
        <v>10700</v>
      </c>
      <c r="C75" s="17" t="str">
        <f t="shared" si="46"/>
        <v>1</v>
      </c>
      <c r="D75" s="12">
        <f t="shared" si="47"/>
        <v>10001</v>
      </c>
      <c r="E75" s="17">
        <f t="shared" si="48"/>
        <v>2</v>
      </c>
      <c r="F75" s="17">
        <f t="shared" si="49"/>
        <v>1</v>
      </c>
      <c r="G75" s="17" t="str">
        <f t="shared" si="50"/>
        <v>皇室禁卫防御百分比</v>
      </c>
      <c r="H75" s="17" t="str">
        <f t="shared" si="51"/>
        <v>bubing01_Lv3</v>
      </c>
      <c r="I75" s="20">
        <v>1.5</v>
      </c>
      <c r="J75" s="17">
        <v>14</v>
      </c>
      <c r="K75" s="17">
        <f t="shared" si="42"/>
        <v>10715</v>
      </c>
      <c r="L75" s="17" t="s">
        <v>564</v>
      </c>
      <c r="M75" s="17" t="str">
        <f t="shared" si="52"/>
        <v>1:10400:5</v>
      </c>
      <c r="N75" s="16" t="str">
        <f t="shared" ref="N75:N138" si="54">W75&amp;$W$2&amp;X75</f>
        <v>10001:1</v>
      </c>
      <c r="O75" s="17">
        <f t="shared" si="53"/>
        <v>8</v>
      </c>
      <c r="P75" s="21" t="s">
        <v>4300</v>
      </c>
      <c r="Q75" s="21"/>
      <c r="R75" t="s">
        <v>4286</v>
      </c>
      <c r="U75" t="str">
        <f t="shared" si="43"/>
        <v>禁卫</v>
      </c>
      <c r="V75" t="s">
        <v>4284</v>
      </c>
      <c r="W75">
        <f>属性类型!G75</f>
        <v>10001</v>
      </c>
      <c r="X75">
        <v>1</v>
      </c>
    </row>
    <row r="76" customFormat="1" ht="16.5" spans="1:24">
      <c r="A76" s="17">
        <f t="shared" si="44"/>
        <v>10715</v>
      </c>
      <c r="B76" s="17">
        <f t="shared" si="45"/>
        <v>10700</v>
      </c>
      <c r="C76" s="17" t="str">
        <f t="shared" si="46"/>
        <v>1</v>
      </c>
      <c r="D76" s="12">
        <f t="shared" si="47"/>
        <v>10001</v>
      </c>
      <c r="E76" s="17">
        <f t="shared" si="48"/>
        <v>2</v>
      </c>
      <c r="F76" s="17">
        <f t="shared" si="49"/>
        <v>1</v>
      </c>
      <c r="G76" s="17" t="str">
        <f t="shared" si="50"/>
        <v>皇室禁卫防御百分比</v>
      </c>
      <c r="H76" s="17" t="str">
        <f t="shared" si="51"/>
        <v>bubing01_Lv3</v>
      </c>
      <c r="I76" s="20">
        <v>1.5</v>
      </c>
      <c r="J76" s="17">
        <v>15</v>
      </c>
      <c r="K76" s="17">
        <f t="shared" si="42"/>
        <v>10716</v>
      </c>
      <c r="L76" s="17" t="s">
        <v>630</v>
      </c>
      <c r="M76" s="17" t="str">
        <f t="shared" si="52"/>
        <v>1:10400:5</v>
      </c>
      <c r="N76" s="16" t="str">
        <f t="shared" si="54"/>
        <v>10001:1</v>
      </c>
      <c r="O76" s="17">
        <f t="shared" si="53"/>
        <v>8</v>
      </c>
      <c r="P76" s="21" t="s">
        <v>4301</v>
      </c>
      <c r="Q76" s="21"/>
      <c r="R76" t="s">
        <v>4286</v>
      </c>
      <c r="U76" t="str">
        <f t="shared" si="43"/>
        <v>禁卫</v>
      </c>
      <c r="V76" t="s">
        <v>4284</v>
      </c>
      <c r="W76">
        <f>属性类型!G76</f>
        <v>10001</v>
      </c>
      <c r="X76">
        <v>1</v>
      </c>
    </row>
    <row r="77" customFormat="1" ht="16.5" spans="1:24">
      <c r="A77" s="17">
        <f t="shared" si="44"/>
        <v>10716</v>
      </c>
      <c r="B77" s="17">
        <f t="shared" si="45"/>
        <v>10700</v>
      </c>
      <c r="C77" s="17" t="str">
        <f t="shared" si="46"/>
        <v>1</v>
      </c>
      <c r="D77" s="12">
        <f t="shared" si="47"/>
        <v>10001</v>
      </c>
      <c r="E77" s="17">
        <f t="shared" si="48"/>
        <v>2</v>
      </c>
      <c r="F77" s="17">
        <f t="shared" si="49"/>
        <v>1</v>
      </c>
      <c r="G77" s="17" t="str">
        <f t="shared" si="50"/>
        <v>皇室禁卫防御百分比</v>
      </c>
      <c r="H77" s="17" t="str">
        <f t="shared" si="51"/>
        <v>bubing01_Lv3</v>
      </c>
      <c r="I77" s="20">
        <v>1.5</v>
      </c>
      <c r="J77" s="17">
        <v>16</v>
      </c>
      <c r="K77" s="17">
        <f t="shared" si="42"/>
        <v>10717</v>
      </c>
      <c r="L77" s="17" t="s">
        <v>633</v>
      </c>
      <c r="M77" s="17" t="str">
        <f t="shared" si="52"/>
        <v>1:10400:5</v>
      </c>
      <c r="N77" s="16" t="str">
        <f t="shared" si="54"/>
        <v>10001:1</v>
      </c>
      <c r="O77" s="17">
        <f t="shared" si="53"/>
        <v>8</v>
      </c>
      <c r="P77" s="21" t="s">
        <v>4302</v>
      </c>
      <c r="Q77" s="21"/>
      <c r="R77" t="s">
        <v>4286</v>
      </c>
      <c r="U77" t="str">
        <f t="shared" si="43"/>
        <v>禁卫</v>
      </c>
      <c r="V77" t="s">
        <v>4284</v>
      </c>
      <c r="W77">
        <f>属性类型!G77</f>
        <v>10001</v>
      </c>
      <c r="X77">
        <v>1</v>
      </c>
    </row>
    <row r="78" customFormat="1" ht="16.5" spans="1:24">
      <c r="A78" s="17">
        <f t="shared" si="44"/>
        <v>10717</v>
      </c>
      <c r="B78" s="17">
        <f t="shared" si="45"/>
        <v>10700</v>
      </c>
      <c r="C78" s="17" t="str">
        <f t="shared" si="46"/>
        <v>1</v>
      </c>
      <c r="D78" s="12">
        <f t="shared" si="47"/>
        <v>10001</v>
      </c>
      <c r="E78" s="17">
        <f t="shared" si="48"/>
        <v>2</v>
      </c>
      <c r="F78" s="17">
        <f t="shared" si="49"/>
        <v>1</v>
      </c>
      <c r="G78" s="17" t="str">
        <f t="shared" si="50"/>
        <v>皇室禁卫防御百分比</v>
      </c>
      <c r="H78" s="17" t="str">
        <f t="shared" si="51"/>
        <v>bubing01_Lv3</v>
      </c>
      <c r="I78" s="20">
        <v>1.5</v>
      </c>
      <c r="J78" s="17">
        <v>17</v>
      </c>
      <c r="K78" s="17">
        <f t="shared" si="42"/>
        <v>10718</v>
      </c>
      <c r="L78" s="17" t="s">
        <v>637</v>
      </c>
      <c r="M78" s="17" t="str">
        <f t="shared" si="52"/>
        <v>1:10400:5</v>
      </c>
      <c r="N78" s="16" t="str">
        <f t="shared" si="54"/>
        <v>10001:1</v>
      </c>
      <c r="O78" s="17">
        <f t="shared" si="53"/>
        <v>8</v>
      </c>
      <c r="P78" s="21" t="s">
        <v>4303</v>
      </c>
      <c r="Q78" s="21"/>
      <c r="R78" t="s">
        <v>4286</v>
      </c>
      <c r="U78" t="str">
        <f t="shared" si="43"/>
        <v>禁卫</v>
      </c>
      <c r="V78" t="s">
        <v>4284</v>
      </c>
      <c r="W78">
        <f>属性类型!G78</f>
        <v>10001</v>
      </c>
      <c r="X78">
        <v>1</v>
      </c>
    </row>
    <row r="79" customFormat="1" ht="16.5" spans="1:24">
      <c r="A79" s="17">
        <f t="shared" si="44"/>
        <v>10718</v>
      </c>
      <c r="B79" s="17">
        <f t="shared" si="45"/>
        <v>10700</v>
      </c>
      <c r="C79" s="17" t="str">
        <f t="shared" si="46"/>
        <v>1</v>
      </c>
      <c r="D79" s="12">
        <f t="shared" si="47"/>
        <v>10001</v>
      </c>
      <c r="E79" s="17">
        <f t="shared" si="48"/>
        <v>2</v>
      </c>
      <c r="F79" s="17">
        <f t="shared" si="49"/>
        <v>1</v>
      </c>
      <c r="G79" s="17" t="str">
        <f t="shared" si="50"/>
        <v>皇室禁卫防御百分比</v>
      </c>
      <c r="H79" s="17" t="str">
        <f t="shared" si="51"/>
        <v>bubing01_Lv3</v>
      </c>
      <c r="I79" s="20">
        <v>1.5</v>
      </c>
      <c r="J79" s="17">
        <v>18</v>
      </c>
      <c r="K79" s="17">
        <f t="shared" si="42"/>
        <v>10719</v>
      </c>
      <c r="L79" s="17" t="s">
        <v>641</v>
      </c>
      <c r="M79" s="17" t="str">
        <f t="shared" si="52"/>
        <v>1:10400:5</v>
      </c>
      <c r="N79" s="16" t="str">
        <f t="shared" si="54"/>
        <v>10001:1</v>
      </c>
      <c r="O79" s="17">
        <f t="shared" si="53"/>
        <v>8</v>
      </c>
      <c r="P79" s="21" t="s">
        <v>4304</v>
      </c>
      <c r="Q79" s="21"/>
      <c r="R79" t="s">
        <v>4286</v>
      </c>
      <c r="U79" t="str">
        <f t="shared" si="43"/>
        <v>禁卫</v>
      </c>
      <c r="V79" t="s">
        <v>4284</v>
      </c>
      <c r="W79">
        <f>属性类型!G79</f>
        <v>10001</v>
      </c>
      <c r="X79">
        <v>1</v>
      </c>
    </row>
    <row r="80" customFormat="1" ht="16.5" spans="1:24">
      <c r="A80" s="17">
        <f t="shared" si="44"/>
        <v>10719</v>
      </c>
      <c r="B80" s="17">
        <f t="shared" si="45"/>
        <v>10700</v>
      </c>
      <c r="C80" s="17" t="str">
        <f t="shared" si="46"/>
        <v>1</v>
      </c>
      <c r="D80" s="12">
        <f t="shared" si="47"/>
        <v>10001</v>
      </c>
      <c r="E80" s="17">
        <f t="shared" si="48"/>
        <v>2</v>
      </c>
      <c r="F80" s="17">
        <f t="shared" si="49"/>
        <v>1</v>
      </c>
      <c r="G80" s="17" t="str">
        <f t="shared" si="50"/>
        <v>皇室禁卫防御百分比</v>
      </c>
      <c r="H80" s="17" t="str">
        <f t="shared" si="51"/>
        <v>bubing01_Lv3</v>
      </c>
      <c r="I80" s="20">
        <v>1.5</v>
      </c>
      <c r="J80" s="17">
        <v>19</v>
      </c>
      <c r="K80" s="17">
        <f t="shared" si="42"/>
        <v>10720</v>
      </c>
      <c r="L80" s="17" t="s">
        <v>645</v>
      </c>
      <c r="M80" s="17" t="str">
        <f t="shared" si="52"/>
        <v>1:10400:5</v>
      </c>
      <c r="N80" s="16" t="str">
        <f t="shared" si="54"/>
        <v>10001:1</v>
      </c>
      <c r="O80" s="17">
        <f t="shared" si="53"/>
        <v>8</v>
      </c>
      <c r="P80" s="21" t="s">
        <v>4305</v>
      </c>
      <c r="Q80" s="21"/>
      <c r="R80" t="s">
        <v>4286</v>
      </c>
      <c r="U80" t="str">
        <f t="shared" si="43"/>
        <v>禁卫</v>
      </c>
      <c r="V80" t="s">
        <v>4284</v>
      </c>
      <c r="W80">
        <f>属性类型!G80</f>
        <v>10001</v>
      </c>
      <c r="X80">
        <v>1</v>
      </c>
    </row>
    <row r="81" customFormat="1" ht="16.5" spans="1:24">
      <c r="A81" s="17">
        <f t="shared" si="44"/>
        <v>10720</v>
      </c>
      <c r="B81" s="17">
        <f t="shared" si="45"/>
        <v>10700</v>
      </c>
      <c r="C81" s="17" t="str">
        <f t="shared" si="46"/>
        <v>1</v>
      </c>
      <c r="D81" s="12">
        <f t="shared" si="47"/>
        <v>10001</v>
      </c>
      <c r="E81" s="17">
        <f t="shared" si="48"/>
        <v>2</v>
      </c>
      <c r="F81" s="17">
        <f t="shared" si="49"/>
        <v>1</v>
      </c>
      <c r="G81" s="17" t="str">
        <f t="shared" si="50"/>
        <v>皇室禁卫防御百分比</v>
      </c>
      <c r="H81" s="17" t="str">
        <f t="shared" si="51"/>
        <v>bubing01_Lv3</v>
      </c>
      <c r="I81" s="20">
        <v>1.5</v>
      </c>
      <c r="J81" s="17">
        <v>20</v>
      </c>
      <c r="K81" s="17">
        <v>0</v>
      </c>
      <c r="L81" s="17">
        <v>0</v>
      </c>
      <c r="M81" s="17" t="str">
        <f t="shared" si="52"/>
        <v>1:10400:5</v>
      </c>
      <c r="N81" s="16" t="str">
        <f t="shared" si="54"/>
        <v>10001:1</v>
      </c>
      <c r="O81" s="17">
        <f t="shared" si="53"/>
        <v>8</v>
      </c>
      <c r="P81" s="21" t="s">
        <v>4305</v>
      </c>
      <c r="Q81" s="21"/>
      <c r="R81" t="s">
        <v>4286</v>
      </c>
      <c r="U81" t="str">
        <f t="shared" si="43"/>
        <v>禁卫</v>
      </c>
      <c r="V81" t="s">
        <v>4284</v>
      </c>
      <c r="W81">
        <f>属性类型!G81</f>
        <v>10001</v>
      </c>
      <c r="X81">
        <v>1</v>
      </c>
    </row>
    <row r="82" customFormat="1" ht="16.5" spans="1:24">
      <c r="A82" s="18">
        <f>A61+100</f>
        <v>10800</v>
      </c>
      <c r="B82" s="18">
        <f t="shared" si="45"/>
        <v>10800</v>
      </c>
      <c r="C82" s="18" t="str">
        <f t="shared" si="46"/>
        <v>1</v>
      </c>
      <c r="D82" s="12">
        <f t="shared" si="47"/>
        <v>10001</v>
      </c>
      <c r="E82" s="17">
        <v>2</v>
      </c>
      <c r="F82" s="18">
        <f t="shared" si="49"/>
        <v>1</v>
      </c>
      <c r="G82" s="18" t="s">
        <v>4306</v>
      </c>
      <c r="H82" s="18" t="s">
        <v>203</v>
      </c>
      <c r="I82" s="20">
        <v>1.5</v>
      </c>
      <c r="J82" s="18">
        <v>0</v>
      </c>
      <c r="K82" s="18">
        <f t="shared" ref="K82:K91" si="55">A83</f>
        <v>10801</v>
      </c>
      <c r="L82" s="18" t="s">
        <v>206</v>
      </c>
      <c r="M82" s="18" t="s">
        <v>244</v>
      </c>
      <c r="N82" s="16" t="str">
        <f t="shared" si="54"/>
        <v>10002:1</v>
      </c>
      <c r="O82" s="18">
        <f t="shared" si="53"/>
        <v>9</v>
      </c>
      <c r="P82" s="21" t="s">
        <v>4307</v>
      </c>
      <c r="Q82" s="21"/>
      <c r="R82" t="s">
        <v>4286</v>
      </c>
      <c r="T82" t="str">
        <f>RIGHT(N82,1)</f>
        <v>1</v>
      </c>
      <c r="U82" t="str">
        <f t="shared" si="43"/>
        <v>禁卫</v>
      </c>
      <c r="V82" t="s">
        <v>4306</v>
      </c>
      <c r="W82">
        <f>属性类型!G82</f>
        <v>10002</v>
      </c>
      <c r="X82">
        <v>1</v>
      </c>
    </row>
    <row r="83" customFormat="1" ht="16.5" spans="1:24">
      <c r="A83" s="17">
        <f t="shared" ref="A83:A92" si="56">A82+1</f>
        <v>10801</v>
      </c>
      <c r="B83" s="17">
        <f t="shared" si="45"/>
        <v>10800</v>
      </c>
      <c r="C83" s="17" t="str">
        <f t="shared" si="46"/>
        <v>1</v>
      </c>
      <c r="D83" s="12">
        <f t="shared" si="47"/>
        <v>10001</v>
      </c>
      <c r="E83" s="17">
        <f>E82</f>
        <v>2</v>
      </c>
      <c r="F83" s="17">
        <f t="shared" si="49"/>
        <v>1</v>
      </c>
      <c r="G83" s="17" t="str">
        <f t="shared" ref="G83:G92" si="57">G82</f>
        <v>皇室禁卫攻击百分比</v>
      </c>
      <c r="H83" s="17" t="str">
        <f t="shared" ref="H83:H92" si="58">H82</f>
        <v>bubing01_Lv3</v>
      </c>
      <c r="I83" s="20">
        <v>1.5</v>
      </c>
      <c r="J83" s="17">
        <v>1</v>
      </c>
      <c r="K83" s="17">
        <f t="shared" si="55"/>
        <v>10802</v>
      </c>
      <c r="L83" s="17" t="s">
        <v>211</v>
      </c>
      <c r="M83" s="17" t="str">
        <f t="shared" ref="M83:M92" si="59">M82</f>
        <v>1:10500:5</v>
      </c>
      <c r="N83" s="16" t="str">
        <f t="shared" si="54"/>
        <v>10002:1</v>
      </c>
      <c r="O83" s="17">
        <f t="shared" si="53"/>
        <v>9</v>
      </c>
      <c r="P83" s="21" t="s">
        <v>4308</v>
      </c>
      <c r="Q83" s="21"/>
      <c r="R83" t="s">
        <v>4286</v>
      </c>
      <c r="T83" t="str">
        <f t="shared" ref="T83:T92" si="60">RIGHT(N83,2)</f>
        <v>:1</v>
      </c>
      <c r="U83" t="str">
        <f t="shared" si="43"/>
        <v>禁卫</v>
      </c>
      <c r="V83" t="s">
        <v>4306</v>
      </c>
      <c r="W83">
        <f>属性类型!G83</f>
        <v>10002</v>
      </c>
      <c r="X83">
        <v>1</v>
      </c>
    </row>
    <row r="84" customFormat="1" ht="16.5" spans="1:24">
      <c r="A84" s="17">
        <f t="shared" si="56"/>
        <v>10802</v>
      </c>
      <c r="B84" s="17">
        <f t="shared" si="45"/>
        <v>10800</v>
      </c>
      <c r="C84" s="17" t="str">
        <f t="shared" si="46"/>
        <v>1</v>
      </c>
      <c r="D84" s="12">
        <f t="shared" si="47"/>
        <v>10001</v>
      </c>
      <c r="E84" s="17">
        <f t="shared" ref="E84:E92" si="61">E83</f>
        <v>2</v>
      </c>
      <c r="F84" s="17">
        <f t="shared" si="49"/>
        <v>1</v>
      </c>
      <c r="G84" s="17" t="str">
        <f t="shared" si="57"/>
        <v>皇室禁卫攻击百分比</v>
      </c>
      <c r="H84" s="17" t="str">
        <f t="shared" si="58"/>
        <v>bubing01_Lv3</v>
      </c>
      <c r="I84" s="20">
        <v>1.5</v>
      </c>
      <c r="J84" s="17">
        <v>2</v>
      </c>
      <c r="K84" s="17">
        <f t="shared" si="55"/>
        <v>10803</v>
      </c>
      <c r="L84" s="17" t="s">
        <v>215</v>
      </c>
      <c r="M84" s="17" t="str">
        <f t="shared" si="59"/>
        <v>1:10500:5</v>
      </c>
      <c r="N84" s="16" t="str">
        <f t="shared" si="54"/>
        <v>10002:1</v>
      </c>
      <c r="O84" s="17">
        <f t="shared" si="53"/>
        <v>9</v>
      </c>
      <c r="P84" s="21" t="s">
        <v>4309</v>
      </c>
      <c r="Q84" s="21"/>
      <c r="R84" t="s">
        <v>4286</v>
      </c>
      <c r="T84" t="str">
        <f t="shared" si="60"/>
        <v>:1</v>
      </c>
      <c r="U84" t="str">
        <f t="shared" si="43"/>
        <v>禁卫</v>
      </c>
      <c r="V84" t="s">
        <v>4306</v>
      </c>
      <c r="W84">
        <f>属性类型!G84</f>
        <v>10002</v>
      </c>
      <c r="X84">
        <v>1</v>
      </c>
    </row>
    <row r="85" customFormat="1" ht="16.5" spans="1:24">
      <c r="A85" s="17">
        <f t="shared" si="56"/>
        <v>10803</v>
      </c>
      <c r="B85" s="17">
        <f t="shared" si="45"/>
        <v>10800</v>
      </c>
      <c r="C85" s="17" t="str">
        <f t="shared" si="46"/>
        <v>1</v>
      </c>
      <c r="D85" s="12">
        <f t="shared" si="47"/>
        <v>10001</v>
      </c>
      <c r="E85" s="17">
        <f t="shared" si="61"/>
        <v>2</v>
      </c>
      <c r="F85" s="17">
        <f t="shared" si="49"/>
        <v>1</v>
      </c>
      <c r="G85" s="17" t="str">
        <f t="shared" si="57"/>
        <v>皇室禁卫攻击百分比</v>
      </c>
      <c r="H85" s="17" t="str">
        <f t="shared" si="58"/>
        <v>bubing01_Lv3</v>
      </c>
      <c r="I85" s="20">
        <v>1.5</v>
      </c>
      <c r="J85" s="17">
        <v>3</v>
      </c>
      <c r="K85" s="17">
        <f t="shared" si="55"/>
        <v>10804</v>
      </c>
      <c r="L85" s="17" t="s">
        <v>218</v>
      </c>
      <c r="M85" s="17" t="str">
        <f t="shared" si="59"/>
        <v>1:10500:5</v>
      </c>
      <c r="N85" s="16" t="str">
        <f t="shared" si="54"/>
        <v>10002:1</v>
      </c>
      <c r="O85" s="17">
        <f t="shared" si="53"/>
        <v>9</v>
      </c>
      <c r="P85" s="21" t="s">
        <v>4310</v>
      </c>
      <c r="Q85" s="21"/>
      <c r="R85" t="s">
        <v>4286</v>
      </c>
      <c r="T85" t="str">
        <f t="shared" si="60"/>
        <v>:1</v>
      </c>
      <c r="U85" t="str">
        <f t="shared" si="43"/>
        <v>禁卫</v>
      </c>
      <c r="V85" t="s">
        <v>4306</v>
      </c>
      <c r="W85">
        <f>属性类型!G85</f>
        <v>10002</v>
      </c>
      <c r="X85">
        <v>1</v>
      </c>
    </row>
    <row r="86" customFormat="1" ht="16.5" spans="1:24">
      <c r="A86" s="17">
        <f t="shared" si="56"/>
        <v>10804</v>
      </c>
      <c r="B86" s="17">
        <f t="shared" si="45"/>
        <v>10800</v>
      </c>
      <c r="C86" s="17" t="str">
        <f t="shared" si="46"/>
        <v>1</v>
      </c>
      <c r="D86" s="12">
        <f t="shared" si="47"/>
        <v>10001</v>
      </c>
      <c r="E86" s="17">
        <f t="shared" si="61"/>
        <v>2</v>
      </c>
      <c r="F86" s="17">
        <f t="shared" si="49"/>
        <v>1</v>
      </c>
      <c r="G86" s="17" t="str">
        <f t="shared" si="57"/>
        <v>皇室禁卫攻击百分比</v>
      </c>
      <c r="H86" s="17" t="str">
        <f t="shared" si="58"/>
        <v>bubing01_Lv3</v>
      </c>
      <c r="I86" s="20">
        <v>1.5</v>
      </c>
      <c r="J86" s="17">
        <v>4</v>
      </c>
      <c r="K86" s="17">
        <f t="shared" si="55"/>
        <v>10805</v>
      </c>
      <c r="L86" s="17" t="s">
        <v>221</v>
      </c>
      <c r="M86" s="17" t="str">
        <f t="shared" si="59"/>
        <v>1:10500:5</v>
      </c>
      <c r="N86" s="16" t="str">
        <f t="shared" si="54"/>
        <v>10002:1</v>
      </c>
      <c r="O86" s="17">
        <f t="shared" si="53"/>
        <v>9</v>
      </c>
      <c r="P86" s="21" t="s">
        <v>4311</v>
      </c>
      <c r="Q86" s="21"/>
      <c r="R86" t="s">
        <v>4286</v>
      </c>
      <c r="T86" t="str">
        <f t="shared" si="60"/>
        <v>:1</v>
      </c>
      <c r="U86" t="str">
        <f t="shared" si="43"/>
        <v>禁卫</v>
      </c>
      <c r="V86" t="s">
        <v>4306</v>
      </c>
      <c r="W86">
        <f>属性类型!G86</f>
        <v>10002</v>
      </c>
      <c r="X86">
        <v>1</v>
      </c>
    </row>
    <row r="87" customFormat="1" ht="16.5" spans="1:24">
      <c r="A87" s="17">
        <f t="shared" si="56"/>
        <v>10805</v>
      </c>
      <c r="B87" s="17">
        <f t="shared" si="45"/>
        <v>10800</v>
      </c>
      <c r="C87" s="17" t="str">
        <f t="shared" si="46"/>
        <v>1</v>
      </c>
      <c r="D87" s="12">
        <f t="shared" si="47"/>
        <v>10001</v>
      </c>
      <c r="E87" s="17">
        <f t="shared" si="61"/>
        <v>2</v>
      </c>
      <c r="F87" s="17">
        <f t="shared" si="49"/>
        <v>1</v>
      </c>
      <c r="G87" s="17" t="str">
        <f t="shared" si="57"/>
        <v>皇室禁卫攻击百分比</v>
      </c>
      <c r="H87" s="17" t="str">
        <f t="shared" si="58"/>
        <v>bubing01_Lv3</v>
      </c>
      <c r="I87" s="20">
        <v>1.5</v>
      </c>
      <c r="J87" s="17">
        <v>5</v>
      </c>
      <c r="K87" s="17">
        <f t="shared" si="55"/>
        <v>10806</v>
      </c>
      <c r="L87" s="17" t="s">
        <v>224</v>
      </c>
      <c r="M87" s="17" t="str">
        <f t="shared" si="59"/>
        <v>1:10500:5</v>
      </c>
      <c r="N87" s="16" t="str">
        <f t="shared" si="54"/>
        <v>10002:1</v>
      </c>
      <c r="O87" s="17">
        <f t="shared" si="53"/>
        <v>9</v>
      </c>
      <c r="P87" s="21" t="s">
        <v>4312</v>
      </c>
      <c r="Q87" s="21"/>
      <c r="R87" t="s">
        <v>4286</v>
      </c>
      <c r="T87" t="str">
        <f t="shared" si="60"/>
        <v>:1</v>
      </c>
      <c r="U87" t="str">
        <f t="shared" si="43"/>
        <v>禁卫</v>
      </c>
      <c r="V87" t="s">
        <v>4306</v>
      </c>
      <c r="W87">
        <f>属性类型!G87</f>
        <v>10002</v>
      </c>
      <c r="X87">
        <v>1</v>
      </c>
    </row>
    <row r="88" customFormat="1" ht="16.5" spans="1:24">
      <c r="A88" s="17">
        <f t="shared" si="56"/>
        <v>10806</v>
      </c>
      <c r="B88" s="17">
        <f t="shared" si="45"/>
        <v>10800</v>
      </c>
      <c r="C88" s="17" t="str">
        <f t="shared" si="46"/>
        <v>1</v>
      </c>
      <c r="D88" s="12">
        <f t="shared" si="47"/>
        <v>10001</v>
      </c>
      <c r="E88" s="17">
        <f t="shared" si="61"/>
        <v>2</v>
      </c>
      <c r="F88" s="17">
        <f t="shared" si="49"/>
        <v>1</v>
      </c>
      <c r="G88" s="17" t="str">
        <f t="shared" si="57"/>
        <v>皇室禁卫攻击百分比</v>
      </c>
      <c r="H88" s="17" t="str">
        <f t="shared" si="58"/>
        <v>bubing01_Lv3</v>
      </c>
      <c r="I88" s="20">
        <v>1.5</v>
      </c>
      <c r="J88" s="17">
        <v>6</v>
      </c>
      <c r="K88" s="17">
        <f t="shared" si="55"/>
        <v>10807</v>
      </c>
      <c r="L88" s="17" t="s">
        <v>227</v>
      </c>
      <c r="M88" s="17" t="str">
        <f t="shared" si="59"/>
        <v>1:10500:5</v>
      </c>
      <c r="N88" s="16" t="str">
        <f t="shared" si="54"/>
        <v>10002:1</v>
      </c>
      <c r="O88" s="17">
        <f t="shared" si="53"/>
        <v>9</v>
      </c>
      <c r="P88" s="21" t="s">
        <v>4313</v>
      </c>
      <c r="Q88" s="21"/>
      <c r="R88" t="s">
        <v>4286</v>
      </c>
      <c r="T88" t="str">
        <f t="shared" si="60"/>
        <v>:1</v>
      </c>
      <c r="U88" t="str">
        <f t="shared" si="43"/>
        <v>禁卫</v>
      </c>
      <c r="V88" t="s">
        <v>4306</v>
      </c>
      <c r="W88">
        <f>属性类型!G88</f>
        <v>10002</v>
      </c>
      <c r="X88">
        <v>1</v>
      </c>
    </row>
    <row r="89" customFormat="1" ht="16.5" spans="1:24">
      <c r="A89" s="17">
        <f t="shared" si="56"/>
        <v>10807</v>
      </c>
      <c r="B89" s="17">
        <f t="shared" si="45"/>
        <v>10800</v>
      </c>
      <c r="C89" s="17" t="str">
        <f t="shared" si="46"/>
        <v>1</v>
      </c>
      <c r="D89" s="12">
        <f t="shared" si="47"/>
        <v>10001</v>
      </c>
      <c r="E89" s="17">
        <f t="shared" si="61"/>
        <v>2</v>
      </c>
      <c r="F89" s="17">
        <f t="shared" si="49"/>
        <v>1</v>
      </c>
      <c r="G89" s="17" t="str">
        <f t="shared" si="57"/>
        <v>皇室禁卫攻击百分比</v>
      </c>
      <c r="H89" s="17" t="str">
        <f t="shared" si="58"/>
        <v>bubing01_Lv3</v>
      </c>
      <c r="I89" s="20">
        <v>1.5</v>
      </c>
      <c r="J89" s="17">
        <v>7</v>
      </c>
      <c r="K89" s="17">
        <f t="shared" si="55"/>
        <v>10808</v>
      </c>
      <c r="L89" s="17" t="s">
        <v>230</v>
      </c>
      <c r="M89" s="17" t="str">
        <f t="shared" si="59"/>
        <v>1:10500:5</v>
      </c>
      <c r="N89" s="16" t="str">
        <f t="shared" si="54"/>
        <v>10002:1</v>
      </c>
      <c r="O89" s="17">
        <f t="shared" si="53"/>
        <v>9</v>
      </c>
      <c r="P89" s="21" t="s">
        <v>4314</v>
      </c>
      <c r="Q89" s="21"/>
      <c r="R89" t="s">
        <v>4286</v>
      </c>
      <c r="T89" t="str">
        <f t="shared" si="60"/>
        <v>:1</v>
      </c>
      <c r="U89" t="str">
        <f t="shared" si="43"/>
        <v>禁卫</v>
      </c>
      <c r="V89" t="s">
        <v>4306</v>
      </c>
      <c r="W89">
        <f>属性类型!G89</f>
        <v>10002</v>
      </c>
      <c r="X89">
        <v>1</v>
      </c>
    </row>
    <row r="90" customFormat="1" ht="16.5" spans="1:24">
      <c r="A90" s="17">
        <f t="shared" si="56"/>
        <v>10808</v>
      </c>
      <c r="B90" s="17">
        <f t="shared" si="45"/>
        <v>10800</v>
      </c>
      <c r="C90" s="17" t="str">
        <f t="shared" si="46"/>
        <v>1</v>
      </c>
      <c r="D90" s="12">
        <f t="shared" si="47"/>
        <v>10001</v>
      </c>
      <c r="E90" s="17">
        <f t="shared" si="61"/>
        <v>2</v>
      </c>
      <c r="F90" s="17">
        <f t="shared" si="49"/>
        <v>1</v>
      </c>
      <c r="G90" s="17" t="str">
        <f t="shared" si="57"/>
        <v>皇室禁卫攻击百分比</v>
      </c>
      <c r="H90" s="17" t="str">
        <f t="shared" si="58"/>
        <v>bubing01_Lv3</v>
      </c>
      <c r="I90" s="20">
        <v>1.5</v>
      </c>
      <c r="J90" s="17">
        <v>8</v>
      </c>
      <c r="K90" s="17">
        <f t="shared" si="55"/>
        <v>10809</v>
      </c>
      <c r="L90" s="17" t="s">
        <v>233</v>
      </c>
      <c r="M90" s="17" t="str">
        <f t="shared" si="59"/>
        <v>1:10500:5</v>
      </c>
      <c r="N90" s="16" t="str">
        <f t="shared" si="54"/>
        <v>10002:1</v>
      </c>
      <c r="O90" s="17">
        <f t="shared" si="53"/>
        <v>9</v>
      </c>
      <c r="P90" s="21" t="s">
        <v>4315</v>
      </c>
      <c r="Q90" s="21"/>
      <c r="R90" t="s">
        <v>4286</v>
      </c>
      <c r="T90" t="str">
        <f t="shared" si="60"/>
        <v>:1</v>
      </c>
      <c r="U90" t="str">
        <f t="shared" si="43"/>
        <v>禁卫</v>
      </c>
      <c r="V90" t="s">
        <v>4306</v>
      </c>
      <c r="W90">
        <f>属性类型!G90</f>
        <v>10002</v>
      </c>
      <c r="X90">
        <v>1</v>
      </c>
    </row>
    <row r="91" customFormat="1" ht="16.5" spans="1:24">
      <c r="A91" s="17">
        <f t="shared" si="56"/>
        <v>10809</v>
      </c>
      <c r="B91" s="17">
        <f t="shared" si="45"/>
        <v>10800</v>
      </c>
      <c r="C91" s="17" t="str">
        <f t="shared" si="46"/>
        <v>1</v>
      </c>
      <c r="D91" s="12">
        <f t="shared" si="47"/>
        <v>10001</v>
      </c>
      <c r="E91" s="17">
        <f t="shared" si="61"/>
        <v>2</v>
      </c>
      <c r="F91" s="17">
        <f t="shared" si="49"/>
        <v>1</v>
      </c>
      <c r="G91" s="17" t="str">
        <f t="shared" si="57"/>
        <v>皇室禁卫攻击百分比</v>
      </c>
      <c r="H91" s="17" t="str">
        <f t="shared" si="58"/>
        <v>bubing01_Lv3</v>
      </c>
      <c r="I91" s="20">
        <v>1.5</v>
      </c>
      <c r="J91" s="17">
        <v>9</v>
      </c>
      <c r="K91" s="17">
        <f t="shared" ref="K91:K102" si="62">A92</f>
        <v>10810</v>
      </c>
      <c r="L91" s="17" t="s">
        <v>236</v>
      </c>
      <c r="M91" s="17" t="str">
        <f t="shared" si="59"/>
        <v>1:10500:5</v>
      </c>
      <c r="N91" s="16" t="str">
        <f t="shared" si="54"/>
        <v>10002:1</v>
      </c>
      <c r="O91" s="17">
        <f t="shared" si="53"/>
        <v>9</v>
      </c>
      <c r="P91" s="21" t="s">
        <v>4316</v>
      </c>
      <c r="Q91" s="21"/>
      <c r="R91" t="s">
        <v>4286</v>
      </c>
      <c r="T91" t="str">
        <f t="shared" si="60"/>
        <v>:1</v>
      </c>
      <c r="U91" t="str">
        <f t="shared" si="43"/>
        <v>禁卫</v>
      </c>
      <c r="V91" t="s">
        <v>4306</v>
      </c>
      <c r="W91">
        <f>属性类型!G91</f>
        <v>10002</v>
      </c>
      <c r="X91">
        <v>1</v>
      </c>
    </row>
    <row r="92" customFormat="1" ht="16.5" spans="1:24">
      <c r="A92" s="17">
        <f t="shared" si="56"/>
        <v>10810</v>
      </c>
      <c r="B92" s="17">
        <f t="shared" si="45"/>
        <v>10800</v>
      </c>
      <c r="C92" s="17" t="str">
        <f t="shared" si="46"/>
        <v>1</v>
      </c>
      <c r="D92" s="12">
        <f t="shared" si="47"/>
        <v>10001</v>
      </c>
      <c r="E92" s="17">
        <f t="shared" si="61"/>
        <v>2</v>
      </c>
      <c r="F92" s="17">
        <f t="shared" si="49"/>
        <v>1</v>
      </c>
      <c r="G92" s="17" t="str">
        <f t="shared" si="57"/>
        <v>皇室禁卫攻击百分比</v>
      </c>
      <c r="H92" s="17" t="str">
        <f t="shared" si="58"/>
        <v>bubing01_Lv3</v>
      </c>
      <c r="I92" s="20">
        <v>1.5</v>
      </c>
      <c r="J92" s="17">
        <v>10</v>
      </c>
      <c r="K92" s="17">
        <f t="shared" si="62"/>
        <v>10811</v>
      </c>
      <c r="L92" s="17" t="s">
        <v>238</v>
      </c>
      <c r="M92" s="17" t="str">
        <f t="shared" si="59"/>
        <v>1:10500:5</v>
      </c>
      <c r="N92" s="16" t="str">
        <f t="shared" si="54"/>
        <v>10002:1</v>
      </c>
      <c r="O92" s="17">
        <f t="shared" si="53"/>
        <v>9</v>
      </c>
      <c r="P92" s="21" t="s">
        <v>4317</v>
      </c>
      <c r="Q92" s="21"/>
      <c r="R92" t="s">
        <v>4286</v>
      </c>
      <c r="T92" t="str">
        <f t="shared" si="60"/>
        <v>:1</v>
      </c>
      <c r="U92" t="str">
        <f t="shared" si="43"/>
        <v>禁卫</v>
      </c>
      <c r="V92" t="s">
        <v>4306</v>
      </c>
      <c r="W92">
        <f>属性类型!G92</f>
        <v>10002</v>
      </c>
      <c r="X92">
        <v>1</v>
      </c>
    </row>
    <row r="93" customFormat="1" ht="16.5" spans="1:24">
      <c r="A93" s="17">
        <f t="shared" ref="A93:A104" si="63">A92+1</f>
        <v>10811</v>
      </c>
      <c r="B93" s="17">
        <f t="shared" ref="B93:B113" si="64">ROUND(A93,-2)</f>
        <v>10800</v>
      </c>
      <c r="C93" s="17" t="str">
        <f t="shared" ref="C93:C113" si="65">LEFT(A93,1)</f>
        <v>1</v>
      </c>
      <c r="D93" s="12">
        <f t="shared" ref="D93:D113" si="66">$A$4+F93</f>
        <v>10001</v>
      </c>
      <c r="E93" s="17">
        <f t="shared" ref="E93:E104" si="67">E92</f>
        <v>2</v>
      </c>
      <c r="F93" s="17">
        <f t="shared" ref="F93:F113" si="68">MID(B93,2,1)+1</f>
        <v>1</v>
      </c>
      <c r="G93" s="17" t="str">
        <f t="shared" ref="G93:G104" si="69">G92</f>
        <v>皇室禁卫攻击百分比</v>
      </c>
      <c r="H93" s="17" t="str">
        <f t="shared" ref="H93:H104" si="70">H92</f>
        <v>bubing01_Lv3</v>
      </c>
      <c r="I93" s="20">
        <v>1.5</v>
      </c>
      <c r="J93" s="17">
        <v>11</v>
      </c>
      <c r="K93" s="17">
        <f t="shared" si="62"/>
        <v>10812</v>
      </c>
      <c r="L93" s="17" t="s">
        <v>529</v>
      </c>
      <c r="M93" s="17" t="str">
        <f t="shared" ref="M93:M104" si="71">M92</f>
        <v>1:10500:5</v>
      </c>
      <c r="N93" s="16" t="str">
        <f t="shared" si="54"/>
        <v>10002:1</v>
      </c>
      <c r="O93" s="17">
        <f t="shared" ref="O93:O113" si="72">MID(A93,3,1)+1</f>
        <v>9</v>
      </c>
      <c r="P93" s="21" t="s">
        <v>4318</v>
      </c>
      <c r="Q93" s="21"/>
      <c r="R93" t="s">
        <v>4286</v>
      </c>
      <c r="U93" t="str">
        <f t="shared" si="43"/>
        <v>禁卫</v>
      </c>
      <c r="V93" t="s">
        <v>4306</v>
      </c>
      <c r="W93">
        <f>属性类型!G93</f>
        <v>10002</v>
      </c>
      <c r="X93">
        <v>1</v>
      </c>
    </row>
    <row r="94" customFormat="1" ht="16.5" spans="1:24">
      <c r="A94" s="17">
        <f t="shared" si="63"/>
        <v>10812</v>
      </c>
      <c r="B94" s="17">
        <f t="shared" si="64"/>
        <v>10800</v>
      </c>
      <c r="C94" s="17" t="str">
        <f t="shared" si="65"/>
        <v>1</v>
      </c>
      <c r="D94" s="12">
        <f t="shared" si="66"/>
        <v>10001</v>
      </c>
      <c r="E94" s="17">
        <f t="shared" si="67"/>
        <v>2</v>
      </c>
      <c r="F94" s="17">
        <f t="shared" si="68"/>
        <v>1</v>
      </c>
      <c r="G94" s="17" t="str">
        <f t="shared" si="69"/>
        <v>皇室禁卫攻击百分比</v>
      </c>
      <c r="H94" s="17" t="str">
        <f t="shared" si="70"/>
        <v>bubing01_Lv3</v>
      </c>
      <c r="I94" s="20">
        <v>1.5</v>
      </c>
      <c r="J94" s="17">
        <v>12</v>
      </c>
      <c r="K94" s="17">
        <f t="shared" si="62"/>
        <v>10813</v>
      </c>
      <c r="L94" s="17" t="s">
        <v>532</v>
      </c>
      <c r="M94" s="17" t="str">
        <f t="shared" si="71"/>
        <v>1:10500:5</v>
      </c>
      <c r="N94" s="16" t="str">
        <f t="shared" si="54"/>
        <v>10002:1</v>
      </c>
      <c r="O94" s="17">
        <f t="shared" si="72"/>
        <v>9</v>
      </c>
      <c r="P94" s="21" t="s">
        <v>4319</v>
      </c>
      <c r="Q94" s="21"/>
      <c r="R94" t="s">
        <v>4286</v>
      </c>
      <c r="U94" t="str">
        <f t="shared" si="43"/>
        <v>禁卫</v>
      </c>
      <c r="V94" t="s">
        <v>4306</v>
      </c>
      <c r="W94">
        <f>属性类型!G94</f>
        <v>10002</v>
      </c>
      <c r="X94">
        <v>1</v>
      </c>
    </row>
    <row r="95" customFormat="1" ht="16.5" spans="1:24">
      <c r="A95" s="17">
        <f t="shared" si="63"/>
        <v>10813</v>
      </c>
      <c r="B95" s="17">
        <f t="shared" si="64"/>
        <v>10800</v>
      </c>
      <c r="C95" s="17" t="str">
        <f t="shared" si="65"/>
        <v>1</v>
      </c>
      <c r="D95" s="12">
        <f t="shared" si="66"/>
        <v>10001</v>
      </c>
      <c r="E95" s="17">
        <f t="shared" si="67"/>
        <v>2</v>
      </c>
      <c r="F95" s="17">
        <f t="shared" si="68"/>
        <v>1</v>
      </c>
      <c r="G95" s="17" t="str">
        <f t="shared" si="69"/>
        <v>皇室禁卫攻击百分比</v>
      </c>
      <c r="H95" s="17" t="str">
        <f t="shared" si="70"/>
        <v>bubing01_Lv3</v>
      </c>
      <c r="I95" s="20">
        <v>1.5</v>
      </c>
      <c r="J95" s="17">
        <v>13</v>
      </c>
      <c r="K95" s="17">
        <f t="shared" si="62"/>
        <v>10814</v>
      </c>
      <c r="L95" s="17" t="s">
        <v>561</v>
      </c>
      <c r="M95" s="17" t="str">
        <f t="shared" si="71"/>
        <v>1:10500:5</v>
      </c>
      <c r="N95" s="16" t="str">
        <f t="shared" si="54"/>
        <v>10002:1</v>
      </c>
      <c r="O95" s="17">
        <f t="shared" si="72"/>
        <v>9</v>
      </c>
      <c r="P95" s="21" t="s">
        <v>4320</v>
      </c>
      <c r="Q95" s="21"/>
      <c r="R95" t="s">
        <v>4286</v>
      </c>
      <c r="U95" t="str">
        <f t="shared" si="43"/>
        <v>禁卫</v>
      </c>
      <c r="V95" t="s">
        <v>4306</v>
      </c>
      <c r="W95">
        <f>属性类型!G95</f>
        <v>10002</v>
      </c>
      <c r="X95">
        <v>1</v>
      </c>
    </row>
    <row r="96" customFormat="1" ht="16.5" spans="1:24">
      <c r="A96" s="17">
        <f t="shared" si="63"/>
        <v>10814</v>
      </c>
      <c r="B96" s="17">
        <f t="shared" si="64"/>
        <v>10800</v>
      </c>
      <c r="C96" s="17" t="str">
        <f t="shared" si="65"/>
        <v>1</v>
      </c>
      <c r="D96" s="12">
        <f t="shared" si="66"/>
        <v>10001</v>
      </c>
      <c r="E96" s="17">
        <f t="shared" si="67"/>
        <v>2</v>
      </c>
      <c r="F96" s="17">
        <f t="shared" si="68"/>
        <v>1</v>
      </c>
      <c r="G96" s="17" t="str">
        <f t="shared" si="69"/>
        <v>皇室禁卫攻击百分比</v>
      </c>
      <c r="H96" s="17" t="str">
        <f t="shared" si="70"/>
        <v>bubing01_Lv3</v>
      </c>
      <c r="I96" s="20">
        <v>1.5</v>
      </c>
      <c r="J96" s="17">
        <v>14</v>
      </c>
      <c r="K96" s="17">
        <f t="shared" si="62"/>
        <v>10815</v>
      </c>
      <c r="L96" s="17" t="s">
        <v>564</v>
      </c>
      <c r="M96" s="17" t="str">
        <f t="shared" si="71"/>
        <v>1:10500:5</v>
      </c>
      <c r="N96" s="16" t="str">
        <f t="shared" si="54"/>
        <v>10002:1</v>
      </c>
      <c r="O96" s="17">
        <f t="shared" si="72"/>
        <v>9</v>
      </c>
      <c r="P96" s="21" t="s">
        <v>4321</v>
      </c>
      <c r="Q96" s="21"/>
      <c r="R96" t="s">
        <v>4286</v>
      </c>
      <c r="U96" t="str">
        <f t="shared" si="43"/>
        <v>禁卫</v>
      </c>
      <c r="V96" t="s">
        <v>4306</v>
      </c>
      <c r="W96">
        <f>属性类型!G96</f>
        <v>10002</v>
      </c>
      <c r="X96">
        <v>1</v>
      </c>
    </row>
    <row r="97" customFormat="1" ht="16.5" spans="1:24">
      <c r="A97" s="17">
        <f t="shared" si="63"/>
        <v>10815</v>
      </c>
      <c r="B97" s="17">
        <f t="shared" si="64"/>
        <v>10800</v>
      </c>
      <c r="C97" s="17" t="str">
        <f t="shared" si="65"/>
        <v>1</v>
      </c>
      <c r="D97" s="12">
        <f t="shared" si="66"/>
        <v>10001</v>
      </c>
      <c r="E97" s="17">
        <f t="shared" si="67"/>
        <v>2</v>
      </c>
      <c r="F97" s="17">
        <f t="shared" si="68"/>
        <v>1</v>
      </c>
      <c r="G97" s="17" t="str">
        <f t="shared" si="69"/>
        <v>皇室禁卫攻击百分比</v>
      </c>
      <c r="H97" s="17" t="str">
        <f t="shared" si="70"/>
        <v>bubing01_Lv3</v>
      </c>
      <c r="I97" s="20">
        <v>1.5</v>
      </c>
      <c r="J97" s="17">
        <v>15</v>
      </c>
      <c r="K97" s="17">
        <f t="shared" si="62"/>
        <v>10816</v>
      </c>
      <c r="L97" s="17" t="s">
        <v>630</v>
      </c>
      <c r="M97" s="17" t="str">
        <f t="shared" si="71"/>
        <v>1:10500:5</v>
      </c>
      <c r="N97" s="16" t="str">
        <f t="shared" si="54"/>
        <v>10002:1</v>
      </c>
      <c r="O97" s="17">
        <f t="shared" si="72"/>
        <v>9</v>
      </c>
      <c r="P97" s="21" t="s">
        <v>4322</v>
      </c>
      <c r="Q97" s="21"/>
      <c r="R97" t="s">
        <v>4286</v>
      </c>
      <c r="U97" t="str">
        <f t="shared" si="43"/>
        <v>禁卫</v>
      </c>
      <c r="V97" t="s">
        <v>4306</v>
      </c>
      <c r="W97">
        <f>属性类型!G97</f>
        <v>10002</v>
      </c>
      <c r="X97">
        <v>1</v>
      </c>
    </row>
    <row r="98" customFormat="1" ht="16.5" spans="1:24">
      <c r="A98" s="17">
        <f t="shared" si="63"/>
        <v>10816</v>
      </c>
      <c r="B98" s="17">
        <f t="shared" si="64"/>
        <v>10800</v>
      </c>
      <c r="C98" s="17" t="str">
        <f t="shared" si="65"/>
        <v>1</v>
      </c>
      <c r="D98" s="12">
        <f t="shared" si="66"/>
        <v>10001</v>
      </c>
      <c r="E98" s="17">
        <f t="shared" si="67"/>
        <v>2</v>
      </c>
      <c r="F98" s="17">
        <f t="shared" si="68"/>
        <v>1</v>
      </c>
      <c r="G98" s="17" t="str">
        <f t="shared" si="69"/>
        <v>皇室禁卫攻击百分比</v>
      </c>
      <c r="H98" s="17" t="str">
        <f t="shared" si="70"/>
        <v>bubing01_Lv3</v>
      </c>
      <c r="I98" s="20">
        <v>1.5</v>
      </c>
      <c r="J98" s="17">
        <v>16</v>
      </c>
      <c r="K98" s="17">
        <f t="shared" si="62"/>
        <v>10817</v>
      </c>
      <c r="L98" s="17" t="s">
        <v>633</v>
      </c>
      <c r="M98" s="17" t="str">
        <f t="shared" si="71"/>
        <v>1:10500:5</v>
      </c>
      <c r="N98" s="16" t="str">
        <f t="shared" si="54"/>
        <v>10002:1</v>
      </c>
      <c r="O98" s="17">
        <f t="shared" si="72"/>
        <v>9</v>
      </c>
      <c r="P98" s="21" t="s">
        <v>4323</v>
      </c>
      <c r="Q98" s="21"/>
      <c r="R98" t="s">
        <v>4286</v>
      </c>
      <c r="U98" t="str">
        <f t="shared" si="43"/>
        <v>禁卫</v>
      </c>
      <c r="V98" t="s">
        <v>4306</v>
      </c>
      <c r="W98">
        <f>属性类型!G98</f>
        <v>10002</v>
      </c>
      <c r="X98">
        <v>1</v>
      </c>
    </row>
    <row r="99" customFormat="1" ht="16.5" spans="1:24">
      <c r="A99" s="17">
        <f t="shared" si="63"/>
        <v>10817</v>
      </c>
      <c r="B99" s="17">
        <f t="shared" si="64"/>
        <v>10800</v>
      </c>
      <c r="C99" s="17" t="str">
        <f t="shared" si="65"/>
        <v>1</v>
      </c>
      <c r="D99" s="12">
        <f t="shared" si="66"/>
        <v>10001</v>
      </c>
      <c r="E99" s="17">
        <f t="shared" si="67"/>
        <v>2</v>
      </c>
      <c r="F99" s="17">
        <f t="shared" si="68"/>
        <v>1</v>
      </c>
      <c r="G99" s="17" t="str">
        <f t="shared" si="69"/>
        <v>皇室禁卫攻击百分比</v>
      </c>
      <c r="H99" s="17" t="str">
        <f t="shared" si="70"/>
        <v>bubing01_Lv3</v>
      </c>
      <c r="I99" s="20">
        <v>1.5</v>
      </c>
      <c r="J99" s="17">
        <v>17</v>
      </c>
      <c r="K99" s="17">
        <f t="shared" si="62"/>
        <v>10818</v>
      </c>
      <c r="L99" s="17" t="s">
        <v>637</v>
      </c>
      <c r="M99" s="17" t="str">
        <f t="shared" si="71"/>
        <v>1:10500:5</v>
      </c>
      <c r="N99" s="16" t="str">
        <f t="shared" si="54"/>
        <v>10002:1</v>
      </c>
      <c r="O99" s="17">
        <f t="shared" si="72"/>
        <v>9</v>
      </c>
      <c r="P99" s="21" t="s">
        <v>4324</v>
      </c>
      <c r="Q99" s="21"/>
      <c r="R99" t="s">
        <v>4286</v>
      </c>
      <c r="U99" t="str">
        <f t="shared" si="43"/>
        <v>禁卫</v>
      </c>
      <c r="V99" t="s">
        <v>4306</v>
      </c>
      <c r="W99">
        <f>属性类型!G99</f>
        <v>10002</v>
      </c>
      <c r="X99">
        <v>1</v>
      </c>
    </row>
    <row r="100" customFormat="1" ht="16.5" spans="1:24">
      <c r="A100" s="17">
        <f t="shared" si="63"/>
        <v>10818</v>
      </c>
      <c r="B100" s="17">
        <f t="shared" si="64"/>
        <v>10800</v>
      </c>
      <c r="C100" s="17" t="str">
        <f t="shared" si="65"/>
        <v>1</v>
      </c>
      <c r="D100" s="12">
        <f t="shared" si="66"/>
        <v>10001</v>
      </c>
      <c r="E100" s="17">
        <f t="shared" si="67"/>
        <v>2</v>
      </c>
      <c r="F100" s="17">
        <f t="shared" si="68"/>
        <v>1</v>
      </c>
      <c r="G100" s="17" t="str">
        <f t="shared" si="69"/>
        <v>皇室禁卫攻击百分比</v>
      </c>
      <c r="H100" s="17" t="str">
        <f t="shared" si="70"/>
        <v>bubing01_Lv3</v>
      </c>
      <c r="I100" s="20">
        <v>1.5</v>
      </c>
      <c r="J100" s="17">
        <v>18</v>
      </c>
      <c r="K100" s="17">
        <f t="shared" si="62"/>
        <v>10819</v>
      </c>
      <c r="L100" s="17" t="s">
        <v>641</v>
      </c>
      <c r="M100" s="17" t="str">
        <f t="shared" si="71"/>
        <v>1:10500:5</v>
      </c>
      <c r="N100" s="16" t="str">
        <f t="shared" si="54"/>
        <v>10002:1</v>
      </c>
      <c r="O100" s="17">
        <f t="shared" si="72"/>
        <v>9</v>
      </c>
      <c r="P100" s="21" t="s">
        <v>4325</v>
      </c>
      <c r="Q100" s="21"/>
      <c r="R100" t="s">
        <v>4286</v>
      </c>
      <c r="U100" t="str">
        <f t="shared" si="43"/>
        <v>禁卫</v>
      </c>
      <c r="V100" t="s">
        <v>4306</v>
      </c>
      <c r="W100">
        <f>属性类型!G100</f>
        <v>10002</v>
      </c>
      <c r="X100">
        <v>1</v>
      </c>
    </row>
    <row r="101" customFormat="1" ht="16.5" spans="1:24">
      <c r="A101" s="17">
        <f t="shared" si="63"/>
        <v>10819</v>
      </c>
      <c r="B101" s="17">
        <f t="shared" si="64"/>
        <v>10800</v>
      </c>
      <c r="C101" s="17" t="str">
        <f t="shared" si="65"/>
        <v>1</v>
      </c>
      <c r="D101" s="12">
        <f t="shared" si="66"/>
        <v>10001</v>
      </c>
      <c r="E101" s="17">
        <f t="shared" si="67"/>
        <v>2</v>
      </c>
      <c r="F101" s="17">
        <f t="shared" si="68"/>
        <v>1</v>
      </c>
      <c r="G101" s="17" t="str">
        <f t="shared" si="69"/>
        <v>皇室禁卫攻击百分比</v>
      </c>
      <c r="H101" s="17" t="str">
        <f t="shared" si="70"/>
        <v>bubing01_Lv3</v>
      </c>
      <c r="I101" s="20">
        <v>1.5</v>
      </c>
      <c r="J101" s="17">
        <v>19</v>
      </c>
      <c r="K101" s="17">
        <f t="shared" si="62"/>
        <v>10820</v>
      </c>
      <c r="L101" s="17" t="s">
        <v>645</v>
      </c>
      <c r="M101" s="17" t="str">
        <f t="shared" si="71"/>
        <v>1:10500:5</v>
      </c>
      <c r="N101" s="16" t="str">
        <f t="shared" si="54"/>
        <v>10002:1</v>
      </c>
      <c r="O101" s="17">
        <f t="shared" si="72"/>
        <v>9</v>
      </c>
      <c r="P101" s="21" t="s">
        <v>4326</v>
      </c>
      <c r="Q101" s="21"/>
      <c r="R101" t="s">
        <v>4286</v>
      </c>
      <c r="U101" t="str">
        <f t="shared" si="43"/>
        <v>禁卫</v>
      </c>
      <c r="V101" t="s">
        <v>4306</v>
      </c>
      <c r="W101">
        <f>属性类型!G101</f>
        <v>10002</v>
      </c>
      <c r="X101">
        <v>1</v>
      </c>
    </row>
    <row r="102" customFormat="1" ht="16.5" spans="1:24">
      <c r="A102" s="17">
        <f t="shared" si="63"/>
        <v>10820</v>
      </c>
      <c r="B102" s="17">
        <f t="shared" si="64"/>
        <v>10800</v>
      </c>
      <c r="C102" s="17" t="str">
        <f t="shared" si="65"/>
        <v>1</v>
      </c>
      <c r="D102" s="12">
        <f t="shared" si="66"/>
        <v>10001</v>
      </c>
      <c r="E102" s="17">
        <f t="shared" si="67"/>
        <v>2</v>
      </c>
      <c r="F102" s="17">
        <f t="shared" si="68"/>
        <v>1</v>
      </c>
      <c r="G102" s="17" t="str">
        <f t="shared" si="69"/>
        <v>皇室禁卫攻击百分比</v>
      </c>
      <c r="H102" s="17" t="str">
        <f t="shared" si="70"/>
        <v>bubing01_Lv3</v>
      </c>
      <c r="I102" s="20">
        <v>1.5</v>
      </c>
      <c r="J102" s="17">
        <v>20</v>
      </c>
      <c r="K102" s="17">
        <v>0</v>
      </c>
      <c r="L102" s="17">
        <v>0</v>
      </c>
      <c r="M102" s="17" t="str">
        <f t="shared" si="71"/>
        <v>1:10500:5</v>
      </c>
      <c r="N102" s="16" t="str">
        <f t="shared" si="54"/>
        <v>10002:1</v>
      </c>
      <c r="O102" s="17">
        <f t="shared" si="72"/>
        <v>9</v>
      </c>
      <c r="P102" s="21" t="s">
        <v>4326</v>
      </c>
      <c r="Q102" s="21"/>
      <c r="R102" t="s">
        <v>4286</v>
      </c>
      <c r="U102" t="str">
        <f t="shared" si="43"/>
        <v>禁卫</v>
      </c>
      <c r="V102" t="s">
        <v>4306</v>
      </c>
      <c r="W102">
        <f>属性类型!G102</f>
        <v>10002</v>
      </c>
      <c r="X102">
        <v>1</v>
      </c>
    </row>
    <row r="103" customFormat="1" ht="16.5" spans="1:24">
      <c r="A103" s="18">
        <f>A82+100</f>
        <v>10900</v>
      </c>
      <c r="B103" s="18">
        <f t="shared" si="64"/>
        <v>10900</v>
      </c>
      <c r="C103" s="18" t="str">
        <f t="shared" si="65"/>
        <v>1</v>
      </c>
      <c r="D103" s="12">
        <f t="shared" si="66"/>
        <v>10001</v>
      </c>
      <c r="E103" s="17">
        <v>2</v>
      </c>
      <c r="F103" s="18">
        <f t="shared" si="68"/>
        <v>1</v>
      </c>
      <c r="G103" s="18" t="s">
        <v>4327</v>
      </c>
      <c r="H103" s="18" t="s">
        <v>203</v>
      </c>
      <c r="I103" s="20">
        <v>1.5</v>
      </c>
      <c r="J103" s="18">
        <v>0</v>
      </c>
      <c r="K103" s="18">
        <f t="shared" ref="K103:K112" si="73">A104</f>
        <v>10901</v>
      </c>
      <c r="L103" s="18" t="s">
        <v>206</v>
      </c>
      <c r="M103" s="18" t="s">
        <v>271</v>
      </c>
      <c r="N103" s="16" t="str">
        <f t="shared" si="54"/>
        <v>10003:1</v>
      </c>
      <c r="O103" s="18">
        <f t="shared" si="72"/>
        <v>10</v>
      </c>
      <c r="P103" s="21" t="s">
        <v>4328</v>
      </c>
      <c r="Q103" s="21"/>
      <c r="R103" t="s">
        <v>4286</v>
      </c>
      <c r="T103" t="str">
        <f>RIGHT(N103,1)</f>
        <v>1</v>
      </c>
      <c r="U103" t="str">
        <f t="shared" si="43"/>
        <v>禁卫</v>
      </c>
      <c r="V103" t="s">
        <v>4327</v>
      </c>
      <c r="W103">
        <f>属性类型!G103</f>
        <v>10003</v>
      </c>
      <c r="X103">
        <v>1</v>
      </c>
    </row>
    <row r="104" customFormat="1" ht="16.5" spans="1:24">
      <c r="A104" s="17">
        <f t="shared" ref="A104:A113" si="74">A103+1</f>
        <v>10901</v>
      </c>
      <c r="B104" s="17">
        <f t="shared" si="64"/>
        <v>10900</v>
      </c>
      <c r="C104" s="17" t="str">
        <f t="shared" si="65"/>
        <v>1</v>
      </c>
      <c r="D104" s="12">
        <f t="shared" si="66"/>
        <v>10001</v>
      </c>
      <c r="E104" s="17">
        <f>E103</f>
        <v>2</v>
      </c>
      <c r="F104" s="17">
        <f t="shared" si="68"/>
        <v>1</v>
      </c>
      <c r="G104" s="17" t="str">
        <f t="shared" ref="G104:G113" si="75">G103</f>
        <v>皇室禁卫魔防百分比</v>
      </c>
      <c r="H104" s="17" t="str">
        <f t="shared" ref="H104:H113" si="76">H103</f>
        <v>bubing01_Lv3</v>
      </c>
      <c r="I104" s="20">
        <v>1.5</v>
      </c>
      <c r="J104" s="17">
        <v>1</v>
      </c>
      <c r="K104" s="17">
        <f t="shared" si="73"/>
        <v>10902</v>
      </c>
      <c r="L104" s="17" t="s">
        <v>211</v>
      </c>
      <c r="M104" s="17" t="str">
        <f t="shared" ref="M104:M113" si="77">M103</f>
        <v>1:10600:5</v>
      </c>
      <c r="N104" s="16" t="str">
        <f t="shared" si="54"/>
        <v>10003:1</v>
      </c>
      <c r="O104" s="17">
        <f t="shared" si="72"/>
        <v>10</v>
      </c>
      <c r="P104" s="21" t="s">
        <v>4329</v>
      </c>
      <c r="Q104" s="21"/>
      <c r="R104" t="s">
        <v>4286</v>
      </c>
      <c r="T104" t="str">
        <f t="shared" ref="T104:T113" si="78">RIGHT(N104,2)</f>
        <v>:1</v>
      </c>
      <c r="U104" t="str">
        <f t="shared" si="43"/>
        <v>禁卫</v>
      </c>
      <c r="V104" t="s">
        <v>4327</v>
      </c>
      <c r="W104">
        <f>属性类型!G104</f>
        <v>10003</v>
      </c>
      <c r="X104">
        <v>1</v>
      </c>
    </row>
    <row r="105" customFormat="1" ht="16.5" spans="1:24">
      <c r="A105" s="17">
        <f t="shared" si="74"/>
        <v>10902</v>
      </c>
      <c r="B105" s="17">
        <f t="shared" si="64"/>
        <v>10900</v>
      </c>
      <c r="C105" s="17" t="str">
        <f t="shared" si="65"/>
        <v>1</v>
      </c>
      <c r="D105" s="12">
        <f t="shared" si="66"/>
        <v>10001</v>
      </c>
      <c r="E105" s="17">
        <f t="shared" ref="E105:E113" si="79">E104</f>
        <v>2</v>
      </c>
      <c r="F105" s="17">
        <f t="shared" si="68"/>
        <v>1</v>
      </c>
      <c r="G105" s="17" t="str">
        <f t="shared" si="75"/>
        <v>皇室禁卫魔防百分比</v>
      </c>
      <c r="H105" s="17" t="str">
        <f t="shared" si="76"/>
        <v>bubing01_Lv3</v>
      </c>
      <c r="I105" s="20">
        <v>1.5</v>
      </c>
      <c r="J105" s="17">
        <v>2</v>
      </c>
      <c r="K105" s="17">
        <f t="shared" si="73"/>
        <v>10903</v>
      </c>
      <c r="L105" s="17" t="s">
        <v>215</v>
      </c>
      <c r="M105" s="17" t="str">
        <f t="shared" si="77"/>
        <v>1:10600:5</v>
      </c>
      <c r="N105" s="16" t="str">
        <f t="shared" si="54"/>
        <v>10003:1</v>
      </c>
      <c r="O105" s="17">
        <f t="shared" si="72"/>
        <v>10</v>
      </c>
      <c r="P105" s="21" t="s">
        <v>4330</v>
      </c>
      <c r="Q105" s="21"/>
      <c r="R105" t="s">
        <v>4286</v>
      </c>
      <c r="T105" t="str">
        <f t="shared" si="78"/>
        <v>:1</v>
      </c>
      <c r="U105" t="str">
        <f t="shared" si="43"/>
        <v>禁卫</v>
      </c>
      <c r="V105" t="s">
        <v>4327</v>
      </c>
      <c r="W105">
        <f>属性类型!G105</f>
        <v>10003</v>
      </c>
      <c r="X105">
        <v>1</v>
      </c>
    </row>
    <row r="106" customFormat="1" ht="16.5" spans="1:24">
      <c r="A106" s="17">
        <f t="shared" si="74"/>
        <v>10903</v>
      </c>
      <c r="B106" s="17">
        <f t="shared" si="64"/>
        <v>10900</v>
      </c>
      <c r="C106" s="17" t="str">
        <f t="shared" si="65"/>
        <v>1</v>
      </c>
      <c r="D106" s="12">
        <f t="shared" si="66"/>
        <v>10001</v>
      </c>
      <c r="E106" s="17">
        <f t="shared" si="79"/>
        <v>2</v>
      </c>
      <c r="F106" s="17">
        <f t="shared" si="68"/>
        <v>1</v>
      </c>
      <c r="G106" s="17" t="str">
        <f t="shared" si="75"/>
        <v>皇室禁卫魔防百分比</v>
      </c>
      <c r="H106" s="17" t="str">
        <f t="shared" si="76"/>
        <v>bubing01_Lv3</v>
      </c>
      <c r="I106" s="20">
        <v>1.5</v>
      </c>
      <c r="J106" s="17">
        <v>3</v>
      </c>
      <c r="K106" s="17">
        <f t="shared" si="73"/>
        <v>10904</v>
      </c>
      <c r="L106" s="17" t="s">
        <v>218</v>
      </c>
      <c r="M106" s="17" t="str">
        <f t="shared" si="77"/>
        <v>1:10600:5</v>
      </c>
      <c r="N106" s="16" t="str">
        <f t="shared" si="54"/>
        <v>10003:1</v>
      </c>
      <c r="O106" s="17">
        <f t="shared" si="72"/>
        <v>10</v>
      </c>
      <c r="P106" s="21" t="s">
        <v>4331</v>
      </c>
      <c r="Q106" s="21"/>
      <c r="R106" t="s">
        <v>4286</v>
      </c>
      <c r="T106" t="str">
        <f t="shared" si="78"/>
        <v>:1</v>
      </c>
      <c r="U106" t="str">
        <f t="shared" si="43"/>
        <v>禁卫</v>
      </c>
      <c r="V106" t="s">
        <v>4327</v>
      </c>
      <c r="W106">
        <f>属性类型!G106</f>
        <v>10003</v>
      </c>
      <c r="X106">
        <v>1</v>
      </c>
    </row>
    <row r="107" customFormat="1" ht="16.5" spans="1:24">
      <c r="A107" s="17">
        <f t="shared" si="74"/>
        <v>10904</v>
      </c>
      <c r="B107" s="17">
        <f t="shared" si="64"/>
        <v>10900</v>
      </c>
      <c r="C107" s="17" t="str">
        <f t="shared" si="65"/>
        <v>1</v>
      </c>
      <c r="D107" s="12">
        <f t="shared" si="66"/>
        <v>10001</v>
      </c>
      <c r="E107" s="17">
        <f t="shared" si="79"/>
        <v>2</v>
      </c>
      <c r="F107" s="17">
        <f t="shared" si="68"/>
        <v>1</v>
      </c>
      <c r="G107" s="17" t="str">
        <f t="shared" si="75"/>
        <v>皇室禁卫魔防百分比</v>
      </c>
      <c r="H107" s="17" t="str">
        <f t="shared" si="76"/>
        <v>bubing01_Lv3</v>
      </c>
      <c r="I107" s="20">
        <v>1.5</v>
      </c>
      <c r="J107" s="17">
        <v>4</v>
      </c>
      <c r="K107" s="17">
        <f t="shared" si="73"/>
        <v>10905</v>
      </c>
      <c r="L107" s="17" t="s">
        <v>221</v>
      </c>
      <c r="M107" s="17" t="str">
        <f t="shared" si="77"/>
        <v>1:10600:5</v>
      </c>
      <c r="N107" s="16" t="str">
        <f t="shared" si="54"/>
        <v>10003:1</v>
      </c>
      <c r="O107" s="17">
        <f t="shared" si="72"/>
        <v>10</v>
      </c>
      <c r="P107" s="21" t="s">
        <v>4332</v>
      </c>
      <c r="Q107" s="21"/>
      <c r="R107" t="s">
        <v>4286</v>
      </c>
      <c r="T107" t="str">
        <f t="shared" si="78"/>
        <v>:1</v>
      </c>
      <c r="U107" t="str">
        <f t="shared" si="43"/>
        <v>禁卫</v>
      </c>
      <c r="V107" t="s">
        <v>4327</v>
      </c>
      <c r="W107">
        <f>属性类型!G107</f>
        <v>10003</v>
      </c>
      <c r="X107">
        <v>1</v>
      </c>
    </row>
    <row r="108" customFormat="1" ht="16.5" spans="1:24">
      <c r="A108" s="17">
        <f t="shared" si="74"/>
        <v>10905</v>
      </c>
      <c r="B108" s="17">
        <f t="shared" si="64"/>
        <v>10900</v>
      </c>
      <c r="C108" s="17" t="str">
        <f t="shared" si="65"/>
        <v>1</v>
      </c>
      <c r="D108" s="12">
        <f t="shared" si="66"/>
        <v>10001</v>
      </c>
      <c r="E108" s="17">
        <f t="shared" si="79"/>
        <v>2</v>
      </c>
      <c r="F108" s="17">
        <f t="shared" si="68"/>
        <v>1</v>
      </c>
      <c r="G108" s="17" t="str">
        <f t="shared" si="75"/>
        <v>皇室禁卫魔防百分比</v>
      </c>
      <c r="H108" s="17" t="str">
        <f t="shared" si="76"/>
        <v>bubing01_Lv3</v>
      </c>
      <c r="I108" s="20">
        <v>1.5</v>
      </c>
      <c r="J108" s="17">
        <v>5</v>
      </c>
      <c r="K108" s="17">
        <f t="shared" si="73"/>
        <v>10906</v>
      </c>
      <c r="L108" s="17" t="s">
        <v>224</v>
      </c>
      <c r="M108" s="17" t="str">
        <f t="shared" si="77"/>
        <v>1:10600:5</v>
      </c>
      <c r="N108" s="16" t="str">
        <f t="shared" si="54"/>
        <v>10003:1</v>
      </c>
      <c r="O108" s="17">
        <f t="shared" si="72"/>
        <v>10</v>
      </c>
      <c r="P108" s="21" t="s">
        <v>4333</v>
      </c>
      <c r="Q108" s="21"/>
      <c r="R108" t="s">
        <v>4286</v>
      </c>
      <c r="T108" t="str">
        <f t="shared" si="78"/>
        <v>:1</v>
      </c>
      <c r="U108" t="str">
        <f t="shared" si="43"/>
        <v>禁卫</v>
      </c>
      <c r="V108" t="s">
        <v>4327</v>
      </c>
      <c r="W108">
        <f>属性类型!G108</f>
        <v>10003</v>
      </c>
      <c r="X108">
        <v>1</v>
      </c>
    </row>
    <row r="109" customFormat="1" ht="16.5" spans="1:24">
      <c r="A109" s="17">
        <f t="shared" si="74"/>
        <v>10906</v>
      </c>
      <c r="B109" s="17">
        <f t="shared" si="64"/>
        <v>10900</v>
      </c>
      <c r="C109" s="17" t="str">
        <f t="shared" si="65"/>
        <v>1</v>
      </c>
      <c r="D109" s="12">
        <f t="shared" si="66"/>
        <v>10001</v>
      </c>
      <c r="E109" s="17">
        <f t="shared" si="79"/>
        <v>2</v>
      </c>
      <c r="F109" s="17">
        <f t="shared" si="68"/>
        <v>1</v>
      </c>
      <c r="G109" s="17" t="str">
        <f t="shared" si="75"/>
        <v>皇室禁卫魔防百分比</v>
      </c>
      <c r="H109" s="17" t="str">
        <f t="shared" si="76"/>
        <v>bubing01_Lv3</v>
      </c>
      <c r="I109" s="20">
        <v>1.5</v>
      </c>
      <c r="J109" s="17">
        <v>6</v>
      </c>
      <c r="K109" s="17">
        <f t="shared" si="73"/>
        <v>10907</v>
      </c>
      <c r="L109" s="17" t="s">
        <v>227</v>
      </c>
      <c r="M109" s="17" t="str">
        <f t="shared" si="77"/>
        <v>1:10600:5</v>
      </c>
      <c r="N109" s="16" t="str">
        <f t="shared" si="54"/>
        <v>10003:1</v>
      </c>
      <c r="O109" s="17">
        <f t="shared" si="72"/>
        <v>10</v>
      </c>
      <c r="P109" s="21" t="s">
        <v>4334</v>
      </c>
      <c r="Q109" s="21"/>
      <c r="R109" t="s">
        <v>4286</v>
      </c>
      <c r="T109" t="str">
        <f t="shared" si="78"/>
        <v>:1</v>
      </c>
      <c r="U109" t="str">
        <f t="shared" si="43"/>
        <v>禁卫</v>
      </c>
      <c r="V109" t="s">
        <v>4327</v>
      </c>
      <c r="W109">
        <f>属性类型!G109</f>
        <v>10003</v>
      </c>
      <c r="X109">
        <v>1</v>
      </c>
    </row>
    <row r="110" customFormat="1" ht="16.5" spans="1:24">
      <c r="A110" s="17">
        <f t="shared" si="74"/>
        <v>10907</v>
      </c>
      <c r="B110" s="17">
        <f t="shared" si="64"/>
        <v>10900</v>
      </c>
      <c r="C110" s="17" t="str">
        <f t="shared" si="65"/>
        <v>1</v>
      </c>
      <c r="D110" s="12">
        <f t="shared" si="66"/>
        <v>10001</v>
      </c>
      <c r="E110" s="17">
        <f t="shared" si="79"/>
        <v>2</v>
      </c>
      <c r="F110" s="17">
        <f t="shared" si="68"/>
        <v>1</v>
      </c>
      <c r="G110" s="17" t="str">
        <f t="shared" si="75"/>
        <v>皇室禁卫魔防百分比</v>
      </c>
      <c r="H110" s="17" t="str">
        <f t="shared" si="76"/>
        <v>bubing01_Lv3</v>
      </c>
      <c r="I110" s="20">
        <v>1.5</v>
      </c>
      <c r="J110" s="17">
        <v>7</v>
      </c>
      <c r="K110" s="17">
        <f t="shared" si="73"/>
        <v>10908</v>
      </c>
      <c r="L110" s="17" t="s">
        <v>230</v>
      </c>
      <c r="M110" s="17" t="str">
        <f t="shared" si="77"/>
        <v>1:10600:5</v>
      </c>
      <c r="N110" s="16" t="str">
        <f t="shared" si="54"/>
        <v>10003:1</v>
      </c>
      <c r="O110" s="17">
        <f t="shared" si="72"/>
        <v>10</v>
      </c>
      <c r="P110" s="21" t="s">
        <v>4335</v>
      </c>
      <c r="Q110" s="21"/>
      <c r="R110" t="s">
        <v>4286</v>
      </c>
      <c r="T110" t="str">
        <f t="shared" si="78"/>
        <v>:1</v>
      </c>
      <c r="U110" t="str">
        <f t="shared" si="43"/>
        <v>禁卫</v>
      </c>
      <c r="V110" t="s">
        <v>4327</v>
      </c>
      <c r="W110">
        <f>属性类型!G110</f>
        <v>10003</v>
      </c>
      <c r="X110">
        <v>1</v>
      </c>
    </row>
    <row r="111" customFormat="1" ht="16.5" spans="1:24">
      <c r="A111" s="17">
        <f t="shared" si="74"/>
        <v>10908</v>
      </c>
      <c r="B111" s="17">
        <f t="shared" si="64"/>
        <v>10900</v>
      </c>
      <c r="C111" s="17" t="str">
        <f t="shared" si="65"/>
        <v>1</v>
      </c>
      <c r="D111" s="12">
        <f t="shared" si="66"/>
        <v>10001</v>
      </c>
      <c r="E111" s="17">
        <f t="shared" si="79"/>
        <v>2</v>
      </c>
      <c r="F111" s="17">
        <f t="shared" si="68"/>
        <v>1</v>
      </c>
      <c r="G111" s="17" t="str">
        <f t="shared" si="75"/>
        <v>皇室禁卫魔防百分比</v>
      </c>
      <c r="H111" s="17" t="str">
        <f t="shared" si="76"/>
        <v>bubing01_Lv3</v>
      </c>
      <c r="I111" s="20">
        <v>1.5</v>
      </c>
      <c r="J111" s="17">
        <v>8</v>
      </c>
      <c r="K111" s="17">
        <f t="shared" si="73"/>
        <v>10909</v>
      </c>
      <c r="L111" s="17" t="s">
        <v>233</v>
      </c>
      <c r="M111" s="17" t="str">
        <f t="shared" si="77"/>
        <v>1:10600:5</v>
      </c>
      <c r="N111" s="16" t="str">
        <f t="shared" si="54"/>
        <v>10003:1</v>
      </c>
      <c r="O111" s="17">
        <f t="shared" si="72"/>
        <v>10</v>
      </c>
      <c r="P111" s="21" t="s">
        <v>4336</v>
      </c>
      <c r="Q111" s="21"/>
      <c r="R111" t="s">
        <v>4286</v>
      </c>
      <c r="T111" t="str">
        <f t="shared" si="78"/>
        <v>:1</v>
      </c>
      <c r="U111" t="str">
        <f t="shared" si="43"/>
        <v>禁卫</v>
      </c>
      <c r="V111" t="s">
        <v>4327</v>
      </c>
      <c r="W111">
        <f>属性类型!G111</f>
        <v>10003</v>
      </c>
      <c r="X111">
        <v>1</v>
      </c>
    </row>
    <row r="112" customFormat="1" ht="16.5" spans="1:24">
      <c r="A112" s="17">
        <f t="shared" si="74"/>
        <v>10909</v>
      </c>
      <c r="B112" s="17">
        <f t="shared" si="64"/>
        <v>10900</v>
      </c>
      <c r="C112" s="17" t="str">
        <f t="shared" si="65"/>
        <v>1</v>
      </c>
      <c r="D112" s="12">
        <f t="shared" si="66"/>
        <v>10001</v>
      </c>
      <c r="E112" s="17">
        <f t="shared" si="79"/>
        <v>2</v>
      </c>
      <c r="F112" s="17">
        <f t="shared" si="68"/>
        <v>1</v>
      </c>
      <c r="G112" s="17" t="str">
        <f t="shared" si="75"/>
        <v>皇室禁卫魔防百分比</v>
      </c>
      <c r="H112" s="17" t="str">
        <f t="shared" si="76"/>
        <v>bubing01_Lv3</v>
      </c>
      <c r="I112" s="20">
        <v>1.5</v>
      </c>
      <c r="J112" s="17">
        <v>9</v>
      </c>
      <c r="K112" s="17">
        <f t="shared" ref="K112:K123" si="80">A113</f>
        <v>10910</v>
      </c>
      <c r="L112" s="17" t="s">
        <v>236</v>
      </c>
      <c r="M112" s="17" t="str">
        <f t="shared" si="77"/>
        <v>1:10600:5</v>
      </c>
      <c r="N112" s="16" t="str">
        <f t="shared" si="54"/>
        <v>10003:1</v>
      </c>
      <c r="O112" s="17">
        <f t="shared" si="72"/>
        <v>10</v>
      </c>
      <c r="P112" s="21" t="s">
        <v>4337</v>
      </c>
      <c r="Q112" s="21"/>
      <c r="R112" t="s">
        <v>4286</v>
      </c>
      <c r="T112" t="str">
        <f t="shared" si="78"/>
        <v>:1</v>
      </c>
      <c r="U112" t="str">
        <f t="shared" si="43"/>
        <v>禁卫</v>
      </c>
      <c r="V112" t="s">
        <v>4327</v>
      </c>
      <c r="W112">
        <f>属性类型!G112</f>
        <v>10003</v>
      </c>
      <c r="X112">
        <v>1</v>
      </c>
    </row>
    <row r="113" customFormat="1" ht="16.5" spans="1:24">
      <c r="A113" s="17">
        <f t="shared" si="74"/>
        <v>10910</v>
      </c>
      <c r="B113" s="17">
        <f t="shared" si="64"/>
        <v>10900</v>
      </c>
      <c r="C113" s="17" t="str">
        <f t="shared" si="65"/>
        <v>1</v>
      </c>
      <c r="D113" s="12">
        <f t="shared" si="66"/>
        <v>10001</v>
      </c>
      <c r="E113" s="17">
        <f t="shared" si="79"/>
        <v>2</v>
      </c>
      <c r="F113" s="17">
        <f t="shared" si="68"/>
        <v>1</v>
      </c>
      <c r="G113" s="17" t="str">
        <f t="shared" si="75"/>
        <v>皇室禁卫魔防百分比</v>
      </c>
      <c r="H113" s="17" t="str">
        <f t="shared" si="76"/>
        <v>bubing01_Lv3</v>
      </c>
      <c r="I113" s="20">
        <v>1.5</v>
      </c>
      <c r="J113" s="17">
        <v>10</v>
      </c>
      <c r="K113" s="17">
        <f t="shared" si="80"/>
        <v>10911</v>
      </c>
      <c r="L113" s="17" t="s">
        <v>238</v>
      </c>
      <c r="M113" s="17" t="str">
        <f t="shared" si="77"/>
        <v>1:10600:5</v>
      </c>
      <c r="N113" s="16" t="str">
        <f t="shared" si="54"/>
        <v>10003:1</v>
      </c>
      <c r="O113" s="17">
        <f t="shared" si="72"/>
        <v>10</v>
      </c>
      <c r="P113" s="21" t="s">
        <v>4338</v>
      </c>
      <c r="Q113" s="21"/>
      <c r="R113" t="s">
        <v>4286</v>
      </c>
      <c r="T113" t="str">
        <f t="shared" si="78"/>
        <v>:1</v>
      </c>
      <c r="U113" t="str">
        <f t="shared" si="43"/>
        <v>禁卫</v>
      </c>
      <c r="V113" t="s">
        <v>4327</v>
      </c>
      <c r="W113">
        <f>属性类型!G113</f>
        <v>10003</v>
      </c>
      <c r="X113">
        <v>1</v>
      </c>
    </row>
    <row r="114" customFormat="1" ht="16.5" spans="1:24">
      <c r="A114" s="17">
        <f t="shared" ref="A114:A124" si="81">A113+1</f>
        <v>10911</v>
      </c>
      <c r="B114" s="17">
        <f t="shared" ref="B114:B124" si="82">ROUND(A114,-2)</f>
        <v>10900</v>
      </c>
      <c r="C114" s="17" t="str">
        <f t="shared" ref="C114:C124" si="83">LEFT(A114,1)</f>
        <v>1</v>
      </c>
      <c r="D114" s="12">
        <f t="shared" ref="D114:D124" si="84">$A$4+F114</f>
        <v>10001</v>
      </c>
      <c r="E114" s="17">
        <f t="shared" ref="E114:E124" si="85">E113</f>
        <v>2</v>
      </c>
      <c r="F114" s="17">
        <f t="shared" ref="F114:F124" si="86">MID(B114,2,1)+1</f>
        <v>1</v>
      </c>
      <c r="G114" s="17" t="str">
        <f t="shared" ref="G114:G124" si="87">G113</f>
        <v>皇室禁卫魔防百分比</v>
      </c>
      <c r="H114" s="17" t="str">
        <f t="shared" ref="H114:H124" si="88">H113</f>
        <v>bubing01_Lv3</v>
      </c>
      <c r="I114" s="20">
        <v>1.5</v>
      </c>
      <c r="J114" s="17">
        <v>11</v>
      </c>
      <c r="K114" s="17">
        <f t="shared" si="80"/>
        <v>10912</v>
      </c>
      <c r="L114" s="17" t="s">
        <v>529</v>
      </c>
      <c r="M114" s="17" t="str">
        <f t="shared" ref="M114:M124" si="89">M113</f>
        <v>1:10600:5</v>
      </c>
      <c r="N114" s="16" t="str">
        <f t="shared" si="54"/>
        <v>10003:1</v>
      </c>
      <c r="O114" s="17">
        <f t="shared" ref="O114:O124" si="90">MID(A114,3,1)+1</f>
        <v>10</v>
      </c>
      <c r="P114" s="21" t="s">
        <v>4339</v>
      </c>
      <c r="Q114" s="21"/>
      <c r="R114" t="s">
        <v>4286</v>
      </c>
      <c r="U114" t="str">
        <f t="shared" si="43"/>
        <v>禁卫</v>
      </c>
      <c r="V114" t="s">
        <v>4327</v>
      </c>
      <c r="W114">
        <f>属性类型!G114</f>
        <v>10003</v>
      </c>
      <c r="X114">
        <v>1</v>
      </c>
    </row>
    <row r="115" customFormat="1" ht="16.5" spans="1:24">
      <c r="A115" s="17">
        <f t="shared" si="81"/>
        <v>10912</v>
      </c>
      <c r="B115" s="17">
        <f t="shared" si="82"/>
        <v>10900</v>
      </c>
      <c r="C115" s="17" t="str">
        <f t="shared" si="83"/>
        <v>1</v>
      </c>
      <c r="D115" s="12">
        <f t="shared" si="84"/>
        <v>10001</v>
      </c>
      <c r="E115" s="17">
        <f t="shared" si="85"/>
        <v>2</v>
      </c>
      <c r="F115" s="17">
        <f t="shared" si="86"/>
        <v>1</v>
      </c>
      <c r="G115" s="17" t="str">
        <f t="shared" si="87"/>
        <v>皇室禁卫魔防百分比</v>
      </c>
      <c r="H115" s="17" t="str">
        <f t="shared" si="88"/>
        <v>bubing01_Lv3</v>
      </c>
      <c r="I115" s="20">
        <v>1.5</v>
      </c>
      <c r="J115" s="17">
        <v>12</v>
      </c>
      <c r="K115" s="17">
        <f t="shared" si="80"/>
        <v>10913</v>
      </c>
      <c r="L115" s="17" t="s">
        <v>532</v>
      </c>
      <c r="M115" s="17" t="str">
        <f t="shared" si="89"/>
        <v>1:10600:5</v>
      </c>
      <c r="N115" s="16" t="str">
        <f t="shared" si="54"/>
        <v>10003:1</v>
      </c>
      <c r="O115" s="17">
        <f t="shared" si="90"/>
        <v>10</v>
      </c>
      <c r="P115" s="21" t="s">
        <v>4340</v>
      </c>
      <c r="Q115" s="21"/>
      <c r="R115" t="s">
        <v>4286</v>
      </c>
      <c r="U115" t="str">
        <f t="shared" si="43"/>
        <v>禁卫</v>
      </c>
      <c r="V115" t="s">
        <v>4327</v>
      </c>
      <c r="W115">
        <f>属性类型!G115</f>
        <v>10003</v>
      </c>
      <c r="X115">
        <v>1</v>
      </c>
    </row>
    <row r="116" customFormat="1" ht="16.5" spans="1:24">
      <c r="A116" s="17">
        <f t="shared" si="81"/>
        <v>10913</v>
      </c>
      <c r="B116" s="17">
        <f t="shared" si="82"/>
        <v>10900</v>
      </c>
      <c r="C116" s="17" t="str">
        <f t="shared" si="83"/>
        <v>1</v>
      </c>
      <c r="D116" s="12">
        <f t="shared" si="84"/>
        <v>10001</v>
      </c>
      <c r="E116" s="17">
        <f t="shared" si="85"/>
        <v>2</v>
      </c>
      <c r="F116" s="17">
        <f t="shared" si="86"/>
        <v>1</v>
      </c>
      <c r="G116" s="17" t="str">
        <f t="shared" si="87"/>
        <v>皇室禁卫魔防百分比</v>
      </c>
      <c r="H116" s="17" t="str">
        <f t="shared" si="88"/>
        <v>bubing01_Lv3</v>
      </c>
      <c r="I116" s="20">
        <v>1.5</v>
      </c>
      <c r="J116" s="17">
        <v>13</v>
      </c>
      <c r="K116" s="17">
        <f t="shared" si="80"/>
        <v>10914</v>
      </c>
      <c r="L116" s="17" t="s">
        <v>561</v>
      </c>
      <c r="M116" s="17" t="str">
        <f t="shared" si="89"/>
        <v>1:10600:5</v>
      </c>
      <c r="N116" s="16" t="str">
        <f t="shared" si="54"/>
        <v>10003:1</v>
      </c>
      <c r="O116" s="17">
        <f t="shared" si="90"/>
        <v>10</v>
      </c>
      <c r="P116" s="21" t="s">
        <v>4341</v>
      </c>
      <c r="Q116" s="21"/>
      <c r="R116" t="s">
        <v>4286</v>
      </c>
      <c r="U116" t="str">
        <f t="shared" si="43"/>
        <v>禁卫</v>
      </c>
      <c r="V116" t="s">
        <v>4327</v>
      </c>
      <c r="W116">
        <f>属性类型!G116</f>
        <v>10003</v>
      </c>
      <c r="X116">
        <v>1</v>
      </c>
    </row>
    <row r="117" customFormat="1" ht="16.5" spans="1:24">
      <c r="A117" s="17">
        <f t="shared" si="81"/>
        <v>10914</v>
      </c>
      <c r="B117" s="17">
        <f t="shared" si="82"/>
        <v>10900</v>
      </c>
      <c r="C117" s="17" t="str">
        <f t="shared" si="83"/>
        <v>1</v>
      </c>
      <c r="D117" s="12">
        <f t="shared" si="84"/>
        <v>10001</v>
      </c>
      <c r="E117" s="17">
        <f t="shared" si="85"/>
        <v>2</v>
      </c>
      <c r="F117" s="17">
        <f t="shared" si="86"/>
        <v>1</v>
      </c>
      <c r="G117" s="17" t="str">
        <f t="shared" si="87"/>
        <v>皇室禁卫魔防百分比</v>
      </c>
      <c r="H117" s="17" t="str">
        <f t="shared" si="88"/>
        <v>bubing01_Lv3</v>
      </c>
      <c r="I117" s="20">
        <v>1.5</v>
      </c>
      <c r="J117" s="17">
        <v>14</v>
      </c>
      <c r="K117" s="17">
        <f t="shared" si="80"/>
        <v>10915</v>
      </c>
      <c r="L117" s="17" t="s">
        <v>564</v>
      </c>
      <c r="M117" s="17" t="str">
        <f t="shared" si="89"/>
        <v>1:10600:5</v>
      </c>
      <c r="N117" s="16" t="str">
        <f t="shared" si="54"/>
        <v>10003:1</v>
      </c>
      <c r="O117" s="17">
        <f t="shared" si="90"/>
        <v>10</v>
      </c>
      <c r="P117" s="21" t="s">
        <v>4342</v>
      </c>
      <c r="Q117" s="21"/>
      <c r="R117" t="s">
        <v>4286</v>
      </c>
      <c r="U117" t="str">
        <f t="shared" si="43"/>
        <v>禁卫</v>
      </c>
      <c r="V117" t="s">
        <v>4327</v>
      </c>
      <c r="W117">
        <f>属性类型!G117</f>
        <v>10003</v>
      </c>
      <c r="X117">
        <v>1</v>
      </c>
    </row>
    <row r="118" customFormat="1" ht="16.5" spans="1:24">
      <c r="A118" s="17">
        <f t="shared" si="81"/>
        <v>10915</v>
      </c>
      <c r="B118" s="17">
        <f t="shared" si="82"/>
        <v>10900</v>
      </c>
      <c r="C118" s="17" t="str">
        <f t="shared" si="83"/>
        <v>1</v>
      </c>
      <c r="D118" s="12">
        <f t="shared" si="84"/>
        <v>10001</v>
      </c>
      <c r="E118" s="17">
        <f t="shared" si="85"/>
        <v>2</v>
      </c>
      <c r="F118" s="17">
        <f t="shared" si="86"/>
        <v>1</v>
      </c>
      <c r="G118" s="17" t="str">
        <f t="shared" si="87"/>
        <v>皇室禁卫魔防百分比</v>
      </c>
      <c r="H118" s="17" t="str">
        <f t="shared" si="88"/>
        <v>bubing01_Lv3</v>
      </c>
      <c r="I118" s="20">
        <v>1.5</v>
      </c>
      <c r="J118" s="17">
        <v>15</v>
      </c>
      <c r="K118" s="17">
        <f t="shared" si="80"/>
        <v>10916</v>
      </c>
      <c r="L118" s="17" t="s">
        <v>630</v>
      </c>
      <c r="M118" s="17" t="str">
        <f t="shared" si="89"/>
        <v>1:10600:5</v>
      </c>
      <c r="N118" s="16" t="str">
        <f t="shared" si="54"/>
        <v>10003:1</v>
      </c>
      <c r="O118" s="17">
        <f t="shared" si="90"/>
        <v>10</v>
      </c>
      <c r="P118" s="21" t="s">
        <v>4343</v>
      </c>
      <c r="Q118" s="21"/>
      <c r="R118" t="s">
        <v>4286</v>
      </c>
      <c r="U118" t="str">
        <f t="shared" si="43"/>
        <v>禁卫</v>
      </c>
      <c r="V118" t="s">
        <v>4327</v>
      </c>
      <c r="W118">
        <f>属性类型!G118</f>
        <v>10003</v>
      </c>
      <c r="X118">
        <v>1</v>
      </c>
    </row>
    <row r="119" customFormat="1" ht="16.5" spans="1:24">
      <c r="A119" s="17">
        <f t="shared" si="81"/>
        <v>10916</v>
      </c>
      <c r="B119" s="17">
        <f t="shared" si="82"/>
        <v>10900</v>
      </c>
      <c r="C119" s="17" t="str">
        <f t="shared" si="83"/>
        <v>1</v>
      </c>
      <c r="D119" s="12">
        <f t="shared" si="84"/>
        <v>10001</v>
      </c>
      <c r="E119" s="17">
        <f t="shared" si="85"/>
        <v>2</v>
      </c>
      <c r="F119" s="17">
        <f t="shared" si="86"/>
        <v>1</v>
      </c>
      <c r="G119" s="17" t="str">
        <f t="shared" si="87"/>
        <v>皇室禁卫魔防百分比</v>
      </c>
      <c r="H119" s="17" t="str">
        <f t="shared" si="88"/>
        <v>bubing01_Lv3</v>
      </c>
      <c r="I119" s="20">
        <v>1.5</v>
      </c>
      <c r="J119" s="17">
        <v>16</v>
      </c>
      <c r="K119" s="17">
        <f t="shared" si="80"/>
        <v>10917</v>
      </c>
      <c r="L119" s="17" t="s">
        <v>633</v>
      </c>
      <c r="M119" s="17" t="str">
        <f t="shared" si="89"/>
        <v>1:10600:5</v>
      </c>
      <c r="N119" s="16" t="str">
        <f t="shared" si="54"/>
        <v>10003:1</v>
      </c>
      <c r="O119" s="17">
        <f t="shared" si="90"/>
        <v>10</v>
      </c>
      <c r="P119" s="21" t="s">
        <v>4344</v>
      </c>
      <c r="Q119" s="21"/>
      <c r="R119" t="s">
        <v>4286</v>
      </c>
      <c r="U119" t="str">
        <f t="shared" si="43"/>
        <v>禁卫</v>
      </c>
      <c r="V119" t="s">
        <v>4327</v>
      </c>
      <c r="W119">
        <f>属性类型!G119</f>
        <v>10003</v>
      </c>
      <c r="X119">
        <v>1</v>
      </c>
    </row>
    <row r="120" customFormat="1" ht="16.5" spans="1:24">
      <c r="A120" s="17">
        <f t="shared" si="81"/>
        <v>10917</v>
      </c>
      <c r="B120" s="17">
        <f t="shared" si="82"/>
        <v>10900</v>
      </c>
      <c r="C120" s="17" t="str">
        <f t="shared" si="83"/>
        <v>1</v>
      </c>
      <c r="D120" s="12">
        <f t="shared" si="84"/>
        <v>10001</v>
      </c>
      <c r="E120" s="17">
        <f t="shared" si="85"/>
        <v>2</v>
      </c>
      <c r="F120" s="17">
        <f t="shared" si="86"/>
        <v>1</v>
      </c>
      <c r="G120" s="17" t="str">
        <f t="shared" si="87"/>
        <v>皇室禁卫魔防百分比</v>
      </c>
      <c r="H120" s="17" t="str">
        <f t="shared" si="88"/>
        <v>bubing01_Lv3</v>
      </c>
      <c r="I120" s="20">
        <v>1.5</v>
      </c>
      <c r="J120" s="17">
        <v>17</v>
      </c>
      <c r="K120" s="17">
        <f t="shared" si="80"/>
        <v>10918</v>
      </c>
      <c r="L120" s="17" t="s">
        <v>637</v>
      </c>
      <c r="M120" s="17" t="str">
        <f t="shared" si="89"/>
        <v>1:10600:5</v>
      </c>
      <c r="N120" s="16" t="str">
        <f t="shared" si="54"/>
        <v>10003:1</v>
      </c>
      <c r="O120" s="17">
        <f t="shared" si="90"/>
        <v>10</v>
      </c>
      <c r="P120" s="21" t="s">
        <v>4345</v>
      </c>
      <c r="Q120" s="21"/>
      <c r="R120" t="s">
        <v>4286</v>
      </c>
      <c r="U120" t="str">
        <f t="shared" si="43"/>
        <v>禁卫</v>
      </c>
      <c r="V120" t="s">
        <v>4327</v>
      </c>
      <c r="W120">
        <f>属性类型!G120</f>
        <v>10003</v>
      </c>
      <c r="X120">
        <v>1</v>
      </c>
    </row>
    <row r="121" customFormat="1" ht="16.5" spans="1:24">
      <c r="A121" s="17">
        <f t="shared" si="81"/>
        <v>10918</v>
      </c>
      <c r="B121" s="17">
        <f t="shared" si="82"/>
        <v>10900</v>
      </c>
      <c r="C121" s="17" t="str">
        <f t="shared" si="83"/>
        <v>1</v>
      </c>
      <c r="D121" s="12">
        <f t="shared" si="84"/>
        <v>10001</v>
      </c>
      <c r="E121" s="17">
        <f t="shared" si="85"/>
        <v>2</v>
      </c>
      <c r="F121" s="17">
        <f t="shared" si="86"/>
        <v>1</v>
      </c>
      <c r="G121" s="17" t="str">
        <f t="shared" si="87"/>
        <v>皇室禁卫魔防百分比</v>
      </c>
      <c r="H121" s="17" t="str">
        <f t="shared" si="88"/>
        <v>bubing01_Lv3</v>
      </c>
      <c r="I121" s="20">
        <v>1.5</v>
      </c>
      <c r="J121" s="17">
        <v>18</v>
      </c>
      <c r="K121" s="17">
        <f t="shared" si="80"/>
        <v>10919</v>
      </c>
      <c r="L121" s="17" t="s">
        <v>641</v>
      </c>
      <c r="M121" s="17" t="str">
        <f t="shared" si="89"/>
        <v>1:10600:5</v>
      </c>
      <c r="N121" s="16" t="str">
        <f t="shared" si="54"/>
        <v>10003:1</v>
      </c>
      <c r="O121" s="17">
        <f t="shared" si="90"/>
        <v>10</v>
      </c>
      <c r="P121" s="21" t="s">
        <v>4346</v>
      </c>
      <c r="Q121" s="21"/>
      <c r="R121" t="s">
        <v>4286</v>
      </c>
      <c r="U121" t="str">
        <f t="shared" si="43"/>
        <v>禁卫</v>
      </c>
      <c r="V121" t="s">
        <v>4327</v>
      </c>
      <c r="W121">
        <f>属性类型!G121</f>
        <v>10003</v>
      </c>
      <c r="X121">
        <v>1</v>
      </c>
    </row>
    <row r="122" customFormat="1" ht="16.5" spans="1:24">
      <c r="A122" s="17">
        <f t="shared" si="81"/>
        <v>10919</v>
      </c>
      <c r="B122" s="17">
        <f t="shared" si="82"/>
        <v>10900</v>
      </c>
      <c r="C122" s="17" t="str">
        <f t="shared" si="83"/>
        <v>1</v>
      </c>
      <c r="D122" s="12">
        <f t="shared" si="84"/>
        <v>10001</v>
      </c>
      <c r="E122" s="17">
        <f t="shared" si="85"/>
        <v>2</v>
      </c>
      <c r="F122" s="17">
        <f t="shared" si="86"/>
        <v>1</v>
      </c>
      <c r="G122" s="17" t="str">
        <f t="shared" si="87"/>
        <v>皇室禁卫魔防百分比</v>
      </c>
      <c r="H122" s="17" t="str">
        <f t="shared" si="88"/>
        <v>bubing01_Lv3</v>
      </c>
      <c r="I122" s="20">
        <v>1.5</v>
      </c>
      <c r="J122" s="17">
        <v>19</v>
      </c>
      <c r="K122" s="17">
        <f t="shared" si="80"/>
        <v>10920</v>
      </c>
      <c r="L122" s="17" t="s">
        <v>645</v>
      </c>
      <c r="M122" s="17" t="str">
        <f t="shared" si="89"/>
        <v>1:10600:5</v>
      </c>
      <c r="N122" s="16" t="str">
        <f t="shared" si="54"/>
        <v>10003:1</v>
      </c>
      <c r="O122" s="17">
        <f t="shared" si="90"/>
        <v>10</v>
      </c>
      <c r="P122" s="21" t="s">
        <v>4347</v>
      </c>
      <c r="Q122" s="21"/>
      <c r="R122" t="s">
        <v>4286</v>
      </c>
      <c r="U122" t="str">
        <f t="shared" si="43"/>
        <v>禁卫</v>
      </c>
      <c r="V122" t="s">
        <v>4327</v>
      </c>
      <c r="W122">
        <f>属性类型!G122</f>
        <v>10003</v>
      </c>
      <c r="X122">
        <v>1</v>
      </c>
    </row>
    <row r="123" customFormat="1" ht="16.5" spans="1:24">
      <c r="A123" s="17">
        <f t="shared" si="81"/>
        <v>10920</v>
      </c>
      <c r="B123" s="17">
        <f t="shared" si="82"/>
        <v>10900</v>
      </c>
      <c r="C123" s="17" t="str">
        <f t="shared" si="83"/>
        <v>1</v>
      </c>
      <c r="D123" s="12">
        <f t="shared" si="84"/>
        <v>10001</v>
      </c>
      <c r="E123" s="17">
        <f t="shared" si="85"/>
        <v>2</v>
      </c>
      <c r="F123" s="17">
        <f t="shared" si="86"/>
        <v>1</v>
      </c>
      <c r="G123" s="17" t="str">
        <f t="shared" si="87"/>
        <v>皇室禁卫魔防百分比</v>
      </c>
      <c r="H123" s="17" t="str">
        <f t="shared" si="88"/>
        <v>bubing01_Lv3</v>
      </c>
      <c r="I123" s="20">
        <v>1.5</v>
      </c>
      <c r="J123" s="17">
        <v>20</v>
      </c>
      <c r="K123" s="17">
        <v>0</v>
      </c>
      <c r="L123" s="17">
        <v>0</v>
      </c>
      <c r="M123" s="17" t="str">
        <f t="shared" si="89"/>
        <v>1:10600:5</v>
      </c>
      <c r="N123" s="16" t="str">
        <f t="shared" si="54"/>
        <v>10003:1</v>
      </c>
      <c r="O123" s="17">
        <f t="shared" si="90"/>
        <v>10</v>
      </c>
      <c r="P123" s="21" t="s">
        <v>4347</v>
      </c>
      <c r="Q123" s="21"/>
      <c r="R123" t="s">
        <v>4286</v>
      </c>
      <c r="U123" t="str">
        <f t="shared" si="43"/>
        <v>禁卫</v>
      </c>
      <c r="V123" t="s">
        <v>4327</v>
      </c>
      <c r="W123">
        <f>属性类型!G123</f>
        <v>10003</v>
      </c>
      <c r="X123">
        <v>1</v>
      </c>
    </row>
    <row r="124" s="14" customFormat="1" ht="16.5" spans="1:24">
      <c r="A124" s="18">
        <f>A103+100</f>
        <v>11000</v>
      </c>
      <c r="B124" s="18">
        <f t="shared" ref="B124:B141" si="91">ROUND(A124,-2)</f>
        <v>11000</v>
      </c>
      <c r="C124" s="18" t="str">
        <f t="shared" ref="C124:C141" si="92">LEFT(A124,1)</f>
        <v>1</v>
      </c>
      <c r="D124" s="12">
        <f t="shared" ref="D124:D162" si="93">$A$4+F124</f>
        <v>10002</v>
      </c>
      <c r="E124" s="18">
        <v>1</v>
      </c>
      <c r="F124" s="18">
        <f t="shared" ref="F124:F141" si="94">MID(B124,2,1)+1</f>
        <v>2</v>
      </c>
      <c r="G124" s="18" t="s">
        <v>295</v>
      </c>
      <c r="H124" s="18" t="s">
        <v>38</v>
      </c>
      <c r="I124" s="20">
        <v>0</v>
      </c>
      <c r="J124" s="18">
        <v>0</v>
      </c>
      <c r="K124" s="18">
        <f t="shared" ref="K124:K133" si="95">A125</f>
        <v>11001</v>
      </c>
      <c r="L124" s="18" t="s">
        <v>297</v>
      </c>
      <c r="M124" s="18" t="s">
        <v>298</v>
      </c>
      <c r="N124" s="16" t="str">
        <f t="shared" si="54"/>
        <v>101:1</v>
      </c>
      <c r="O124" s="18">
        <f t="shared" ref="O124:O141" si="96">MID(A124,3,1)+1</f>
        <v>1</v>
      </c>
      <c r="P124" s="22" t="str">
        <f t="shared" ref="P124:P142" si="97">$R$1&amp;R124&amp;$Q$1&amp;T124</f>
        <v>所有步兵生命增加1</v>
      </c>
      <c r="Q124" s="22"/>
      <c r="R124" t="s">
        <v>4270</v>
      </c>
      <c r="T124" t="str">
        <f>RIGHT(N124,1)</f>
        <v>1</v>
      </c>
      <c r="U124" t="str">
        <f t="shared" si="43"/>
        <v>步兵</v>
      </c>
      <c r="V124" t="s">
        <v>4271</v>
      </c>
      <c r="W124">
        <f>属性类型!G124</f>
        <v>101</v>
      </c>
      <c r="X124">
        <v>1</v>
      </c>
    </row>
    <row r="125" customFormat="1" ht="16.5" spans="1:24">
      <c r="A125" s="17">
        <f t="shared" ref="A125:A134" si="98">A124+1</f>
        <v>11001</v>
      </c>
      <c r="B125" s="17">
        <f t="shared" si="91"/>
        <v>11000</v>
      </c>
      <c r="C125" s="17" t="str">
        <f t="shared" si="92"/>
        <v>1</v>
      </c>
      <c r="D125" s="12">
        <f t="shared" si="93"/>
        <v>10002</v>
      </c>
      <c r="E125" s="17">
        <v>1</v>
      </c>
      <c r="F125" s="17">
        <f t="shared" si="94"/>
        <v>2</v>
      </c>
      <c r="G125" s="17" t="str">
        <f t="shared" ref="G125:G134" si="99">G124</f>
        <v>中级生命</v>
      </c>
      <c r="H125" s="17" t="str">
        <f t="shared" ref="H125:H134" si="100">H124</f>
        <v>icon_01</v>
      </c>
      <c r="I125" s="20">
        <v>0</v>
      </c>
      <c r="J125" s="17">
        <v>1</v>
      </c>
      <c r="K125" s="17">
        <f t="shared" si="95"/>
        <v>11002</v>
      </c>
      <c r="L125" s="17" t="s">
        <v>300</v>
      </c>
      <c r="M125" s="17" t="str">
        <f t="shared" ref="M125:M134" si="101">M124</f>
        <v>2:10001:30</v>
      </c>
      <c r="N125" s="16" t="str">
        <f t="shared" si="54"/>
        <v>101:1</v>
      </c>
      <c r="O125" s="17">
        <f t="shared" si="96"/>
        <v>1</v>
      </c>
      <c r="P125" s="21" t="str">
        <f t="shared" si="97"/>
        <v>所有步兵生命增加:1</v>
      </c>
      <c r="Q125" s="21"/>
      <c r="R125" t="str">
        <f t="shared" ref="R124:R169" si="102">R124</f>
        <v>生命</v>
      </c>
      <c r="T125" t="str">
        <f t="shared" ref="T124:T148" si="103">RIGHT(N125,2)</f>
        <v>:1</v>
      </c>
      <c r="U125" t="str">
        <f t="shared" si="43"/>
        <v>步兵</v>
      </c>
      <c r="V125" t="s">
        <v>4271</v>
      </c>
      <c r="W125">
        <f>属性类型!G125</f>
        <v>101</v>
      </c>
      <c r="X125">
        <v>1</v>
      </c>
    </row>
    <row r="126" customFormat="1" ht="16.5" spans="1:24">
      <c r="A126" s="17">
        <f t="shared" si="98"/>
        <v>11002</v>
      </c>
      <c r="B126" s="17">
        <f t="shared" si="91"/>
        <v>11000</v>
      </c>
      <c r="C126" s="17" t="str">
        <f t="shared" si="92"/>
        <v>1</v>
      </c>
      <c r="D126" s="12">
        <f t="shared" si="93"/>
        <v>10002</v>
      </c>
      <c r="E126" s="17">
        <v>1</v>
      </c>
      <c r="F126" s="17">
        <f t="shared" si="94"/>
        <v>2</v>
      </c>
      <c r="G126" s="17" t="str">
        <f t="shared" si="99"/>
        <v>中级生命</v>
      </c>
      <c r="H126" s="17" t="str">
        <f t="shared" si="100"/>
        <v>icon_01</v>
      </c>
      <c r="I126" s="20">
        <v>0</v>
      </c>
      <c r="J126" s="17">
        <v>2</v>
      </c>
      <c r="K126" s="17">
        <f t="shared" si="95"/>
        <v>11003</v>
      </c>
      <c r="L126" s="17" t="s">
        <v>304</v>
      </c>
      <c r="M126" s="17" t="str">
        <f t="shared" si="101"/>
        <v>2:10001:30</v>
      </c>
      <c r="N126" s="16" t="str">
        <f t="shared" si="54"/>
        <v>101:1</v>
      </c>
      <c r="O126" s="17">
        <f t="shared" si="96"/>
        <v>1</v>
      </c>
      <c r="P126" s="21" t="str">
        <f t="shared" si="97"/>
        <v>所有步兵生命增加:1</v>
      </c>
      <c r="Q126" s="21"/>
      <c r="R126" t="str">
        <f t="shared" si="102"/>
        <v>生命</v>
      </c>
      <c r="T126" t="str">
        <f t="shared" si="103"/>
        <v>:1</v>
      </c>
      <c r="U126" t="str">
        <f t="shared" si="43"/>
        <v>步兵</v>
      </c>
      <c r="V126" t="s">
        <v>4271</v>
      </c>
      <c r="W126">
        <f>属性类型!G126</f>
        <v>101</v>
      </c>
      <c r="X126">
        <v>1</v>
      </c>
    </row>
    <row r="127" customFormat="1" ht="16.5" spans="1:24">
      <c r="A127" s="17">
        <f t="shared" si="98"/>
        <v>11003</v>
      </c>
      <c r="B127" s="17">
        <f t="shared" si="91"/>
        <v>11000</v>
      </c>
      <c r="C127" s="17" t="str">
        <f t="shared" si="92"/>
        <v>1</v>
      </c>
      <c r="D127" s="12">
        <f t="shared" si="93"/>
        <v>10002</v>
      </c>
      <c r="E127" s="17">
        <v>1</v>
      </c>
      <c r="F127" s="17">
        <f t="shared" si="94"/>
        <v>2</v>
      </c>
      <c r="G127" s="17" t="str">
        <f t="shared" si="99"/>
        <v>中级生命</v>
      </c>
      <c r="H127" s="17" t="str">
        <f t="shared" si="100"/>
        <v>icon_01</v>
      </c>
      <c r="I127" s="20">
        <v>0</v>
      </c>
      <c r="J127" s="17">
        <v>3</v>
      </c>
      <c r="K127" s="17">
        <f t="shared" si="95"/>
        <v>11004</v>
      </c>
      <c r="L127" s="17" t="s">
        <v>307</v>
      </c>
      <c r="M127" s="17" t="str">
        <f t="shared" si="101"/>
        <v>2:10001:30</v>
      </c>
      <c r="N127" s="16" t="str">
        <f t="shared" si="54"/>
        <v>101:1</v>
      </c>
      <c r="O127" s="17">
        <f t="shared" si="96"/>
        <v>1</v>
      </c>
      <c r="P127" s="21" t="str">
        <f t="shared" si="97"/>
        <v>所有步兵生命增加:1</v>
      </c>
      <c r="Q127" s="21"/>
      <c r="R127" t="str">
        <f t="shared" si="102"/>
        <v>生命</v>
      </c>
      <c r="T127" t="str">
        <f t="shared" si="103"/>
        <v>:1</v>
      </c>
      <c r="U127" t="str">
        <f t="shared" si="43"/>
        <v>步兵</v>
      </c>
      <c r="V127" t="s">
        <v>4271</v>
      </c>
      <c r="W127">
        <f>属性类型!G127</f>
        <v>101</v>
      </c>
      <c r="X127">
        <v>1</v>
      </c>
    </row>
    <row r="128" customFormat="1" ht="16.5" spans="1:24">
      <c r="A128" s="17">
        <f t="shared" si="98"/>
        <v>11004</v>
      </c>
      <c r="B128" s="17">
        <f t="shared" si="91"/>
        <v>11000</v>
      </c>
      <c r="C128" s="17" t="str">
        <f t="shared" si="92"/>
        <v>1</v>
      </c>
      <c r="D128" s="12">
        <f t="shared" si="93"/>
        <v>10002</v>
      </c>
      <c r="E128" s="17">
        <v>1</v>
      </c>
      <c r="F128" s="17">
        <f t="shared" si="94"/>
        <v>2</v>
      </c>
      <c r="G128" s="17" t="str">
        <f t="shared" si="99"/>
        <v>中级生命</v>
      </c>
      <c r="H128" s="17" t="str">
        <f t="shared" si="100"/>
        <v>icon_01</v>
      </c>
      <c r="I128" s="20">
        <v>0</v>
      </c>
      <c r="J128" s="17">
        <v>4</v>
      </c>
      <c r="K128" s="17">
        <f t="shared" si="95"/>
        <v>11005</v>
      </c>
      <c r="L128" s="17" t="s">
        <v>309</v>
      </c>
      <c r="M128" s="17" t="str">
        <f t="shared" si="101"/>
        <v>2:10001:30</v>
      </c>
      <c r="N128" s="16" t="str">
        <f t="shared" si="54"/>
        <v>101:1</v>
      </c>
      <c r="O128" s="17">
        <f t="shared" si="96"/>
        <v>1</v>
      </c>
      <c r="P128" s="21" t="str">
        <f t="shared" si="97"/>
        <v>所有步兵生命增加:1</v>
      </c>
      <c r="Q128" s="21"/>
      <c r="R128" t="str">
        <f t="shared" si="102"/>
        <v>生命</v>
      </c>
      <c r="T128" t="str">
        <f t="shared" si="103"/>
        <v>:1</v>
      </c>
      <c r="U128" t="str">
        <f t="shared" si="43"/>
        <v>步兵</v>
      </c>
      <c r="V128" t="s">
        <v>4271</v>
      </c>
      <c r="W128">
        <f>属性类型!G128</f>
        <v>101</v>
      </c>
      <c r="X128">
        <v>1</v>
      </c>
    </row>
    <row r="129" customFormat="1" ht="16.5" spans="1:24">
      <c r="A129" s="17">
        <f t="shared" si="98"/>
        <v>11005</v>
      </c>
      <c r="B129" s="17">
        <f t="shared" si="91"/>
        <v>11000</v>
      </c>
      <c r="C129" s="17" t="str">
        <f t="shared" si="92"/>
        <v>1</v>
      </c>
      <c r="D129" s="12">
        <f t="shared" si="93"/>
        <v>10002</v>
      </c>
      <c r="E129" s="17">
        <v>1</v>
      </c>
      <c r="F129" s="17">
        <f t="shared" si="94"/>
        <v>2</v>
      </c>
      <c r="G129" s="17" t="str">
        <f t="shared" si="99"/>
        <v>中级生命</v>
      </c>
      <c r="H129" s="17" t="str">
        <f t="shared" si="100"/>
        <v>icon_01</v>
      </c>
      <c r="I129" s="20">
        <v>0</v>
      </c>
      <c r="J129" s="17">
        <v>5</v>
      </c>
      <c r="K129" s="17">
        <f t="shared" si="95"/>
        <v>0</v>
      </c>
      <c r="L129" s="17" t="s">
        <v>312</v>
      </c>
      <c r="M129" s="17" t="str">
        <f t="shared" si="101"/>
        <v>2:10001:30</v>
      </c>
      <c r="N129" s="16" t="str">
        <f t="shared" si="54"/>
        <v>101:1</v>
      </c>
      <c r="O129" s="17">
        <f t="shared" si="96"/>
        <v>1</v>
      </c>
      <c r="P129" s="21" t="str">
        <f t="shared" si="97"/>
        <v>所有步兵生命增加:1</v>
      </c>
      <c r="Q129" s="21"/>
      <c r="R129" t="str">
        <f t="shared" si="102"/>
        <v>生命</v>
      </c>
      <c r="T129" t="str">
        <f t="shared" si="103"/>
        <v>:1</v>
      </c>
      <c r="U129" t="str">
        <f t="shared" si="43"/>
        <v>步兵</v>
      </c>
      <c r="V129" t="s">
        <v>4271</v>
      </c>
      <c r="W129">
        <f>属性类型!G129</f>
        <v>101</v>
      </c>
      <c r="X129">
        <v>1</v>
      </c>
    </row>
    <row r="130" customFormat="1" ht="16.5" spans="1:24">
      <c r="A130" s="17">
        <f t="shared" si="98"/>
        <v>11006</v>
      </c>
      <c r="B130" s="17">
        <f t="shared" si="91"/>
        <v>11000</v>
      </c>
      <c r="C130" s="17" t="str">
        <f t="shared" si="92"/>
        <v>1</v>
      </c>
      <c r="D130" s="12">
        <f t="shared" si="93"/>
        <v>10002</v>
      </c>
      <c r="E130" s="17">
        <v>1</v>
      </c>
      <c r="F130" s="17">
        <f t="shared" si="94"/>
        <v>2</v>
      </c>
      <c r="G130" s="17" t="str">
        <f t="shared" si="99"/>
        <v>中级生命</v>
      </c>
      <c r="H130" s="17" t="str">
        <f t="shared" si="100"/>
        <v>icon_01</v>
      </c>
      <c r="I130" s="20">
        <v>0</v>
      </c>
      <c r="J130" s="17">
        <v>6</v>
      </c>
      <c r="K130" s="17">
        <f t="shared" si="95"/>
        <v>11007</v>
      </c>
      <c r="L130" s="17" t="s">
        <v>315</v>
      </c>
      <c r="M130" s="17" t="str">
        <f t="shared" si="101"/>
        <v>2:10001:30</v>
      </c>
      <c r="N130" s="16" t="str">
        <f t="shared" si="54"/>
        <v>101:1</v>
      </c>
      <c r="O130" s="17">
        <f t="shared" si="96"/>
        <v>1</v>
      </c>
      <c r="P130" s="21" t="str">
        <f t="shared" si="97"/>
        <v>所有步兵生命增加:1</v>
      </c>
      <c r="Q130" s="21"/>
      <c r="R130" t="str">
        <f t="shared" si="102"/>
        <v>生命</v>
      </c>
      <c r="T130" t="str">
        <f t="shared" si="103"/>
        <v>:1</v>
      </c>
      <c r="U130" t="str">
        <f t="shared" si="43"/>
        <v>步兵</v>
      </c>
      <c r="V130" t="s">
        <v>4271</v>
      </c>
      <c r="W130">
        <f>属性类型!G130</f>
        <v>101</v>
      </c>
      <c r="X130">
        <v>1</v>
      </c>
    </row>
    <row r="131" customFormat="1" ht="16.5" spans="1:24">
      <c r="A131" s="17">
        <f t="shared" si="98"/>
        <v>11007</v>
      </c>
      <c r="B131" s="17">
        <f t="shared" si="91"/>
        <v>11000</v>
      </c>
      <c r="C131" s="17" t="str">
        <f t="shared" si="92"/>
        <v>1</v>
      </c>
      <c r="D131" s="12">
        <f t="shared" si="93"/>
        <v>10002</v>
      </c>
      <c r="E131" s="17">
        <v>1</v>
      </c>
      <c r="F131" s="17">
        <f t="shared" si="94"/>
        <v>2</v>
      </c>
      <c r="G131" s="17" t="str">
        <f t="shared" si="99"/>
        <v>中级生命</v>
      </c>
      <c r="H131" s="17" t="str">
        <f t="shared" si="100"/>
        <v>icon_01</v>
      </c>
      <c r="I131" s="20">
        <v>0</v>
      </c>
      <c r="J131" s="17">
        <v>7</v>
      </c>
      <c r="K131" s="17">
        <f t="shared" si="95"/>
        <v>11008</v>
      </c>
      <c r="L131" s="17" t="s">
        <v>317</v>
      </c>
      <c r="M131" s="17" t="str">
        <f t="shared" si="101"/>
        <v>2:10001:30</v>
      </c>
      <c r="N131" s="16" t="str">
        <f t="shared" si="54"/>
        <v>101:1</v>
      </c>
      <c r="O131" s="17">
        <f t="shared" si="96"/>
        <v>1</v>
      </c>
      <c r="P131" s="21" t="str">
        <f t="shared" si="97"/>
        <v>所有步兵生命增加:1</v>
      </c>
      <c r="Q131" s="21"/>
      <c r="R131" t="str">
        <f t="shared" si="102"/>
        <v>生命</v>
      </c>
      <c r="T131" t="str">
        <f t="shared" si="103"/>
        <v>:1</v>
      </c>
      <c r="U131" t="str">
        <f t="shared" si="43"/>
        <v>步兵</v>
      </c>
      <c r="V131" t="s">
        <v>4271</v>
      </c>
      <c r="W131">
        <f>属性类型!G131</f>
        <v>101</v>
      </c>
      <c r="X131">
        <v>1</v>
      </c>
    </row>
    <row r="132" customFormat="1" ht="16.5" spans="1:24">
      <c r="A132" s="17">
        <f t="shared" si="98"/>
        <v>11008</v>
      </c>
      <c r="B132" s="17">
        <f t="shared" si="91"/>
        <v>11000</v>
      </c>
      <c r="C132" s="17" t="str">
        <f t="shared" si="92"/>
        <v>1</v>
      </c>
      <c r="D132" s="12">
        <f t="shared" si="93"/>
        <v>10002</v>
      </c>
      <c r="E132" s="17">
        <v>1</v>
      </c>
      <c r="F132" s="17">
        <f t="shared" si="94"/>
        <v>2</v>
      </c>
      <c r="G132" s="17" t="str">
        <f t="shared" si="99"/>
        <v>中级生命</v>
      </c>
      <c r="H132" s="17" t="str">
        <f t="shared" si="100"/>
        <v>icon_01</v>
      </c>
      <c r="I132" s="20">
        <v>0</v>
      </c>
      <c r="J132" s="17">
        <v>8</v>
      </c>
      <c r="K132" s="17">
        <f t="shared" si="95"/>
        <v>11009</v>
      </c>
      <c r="L132" s="17" t="s">
        <v>320</v>
      </c>
      <c r="M132" s="17" t="str">
        <f t="shared" si="101"/>
        <v>2:10001:30</v>
      </c>
      <c r="N132" s="16" t="str">
        <f t="shared" si="54"/>
        <v>101:1</v>
      </c>
      <c r="O132" s="17">
        <f t="shared" si="96"/>
        <v>1</v>
      </c>
      <c r="P132" s="21" t="str">
        <f t="shared" si="97"/>
        <v>所有步兵生命增加:1</v>
      </c>
      <c r="Q132" s="21"/>
      <c r="R132" t="str">
        <f t="shared" si="102"/>
        <v>生命</v>
      </c>
      <c r="T132" t="str">
        <f t="shared" si="103"/>
        <v>:1</v>
      </c>
      <c r="U132" t="str">
        <f t="shared" si="43"/>
        <v>步兵</v>
      </c>
      <c r="V132" t="s">
        <v>4271</v>
      </c>
      <c r="W132">
        <f>属性类型!G132</f>
        <v>101</v>
      </c>
      <c r="X132">
        <v>1</v>
      </c>
    </row>
    <row r="133" customFormat="1" ht="16.5" spans="1:24">
      <c r="A133" s="17">
        <f t="shared" si="98"/>
        <v>11009</v>
      </c>
      <c r="B133" s="17">
        <f t="shared" si="91"/>
        <v>11000</v>
      </c>
      <c r="C133" s="17" t="str">
        <f t="shared" si="92"/>
        <v>1</v>
      </c>
      <c r="D133" s="12">
        <f t="shared" si="93"/>
        <v>10002</v>
      </c>
      <c r="E133" s="17">
        <v>1</v>
      </c>
      <c r="F133" s="17">
        <f t="shared" si="94"/>
        <v>2</v>
      </c>
      <c r="G133" s="17" t="str">
        <f t="shared" si="99"/>
        <v>中级生命</v>
      </c>
      <c r="H133" s="17" t="str">
        <f t="shared" si="100"/>
        <v>icon_01</v>
      </c>
      <c r="I133" s="20">
        <v>0</v>
      </c>
      <c r="J133" s="17">
        <v>9</v>
      </c>
      <c r="K133" s="17">
        <f t="shared" si="95"/>
        <v>11010</v>
      </c>
      <c r="L133" s="17" t="s">
        <v>323</v>
      </c>
      <c r="M133" s="17" t="str">
        <f t="shared" si="101"/>
        <v>2:10001:30</v>
      </c>
      <c r="N133" s="16" t="str">
        <f t="shared" si="54"/>
        <v>101:1</v>
      </c>
      <c r="O133" s="17">
        <f t="shared" si="96"/>
        <v>1</v>
      </c>
      <c r="P133" s="21" t="str">
        <f t="shared" si="97"/>
        <v>所有步兵生命增加:1</v>
      </c>
      <c r="Q133" s="21"/>
      <c r="R133" t="str">
        <f t="shared" si="102"/>
        <v>生命</v>
      </c>
      <c r="T133" t="str">
        <f t="shared" si="103"/>
        <v>:1</v>
      </c>
      <c r="U133" t="str">
        <f t="shared" ref="U133:U196" si="104">MID(P133,3,2)</f>
        <v>步兵</v>
      </c>
      <c r="V133" t="s">
        <v>4271</v>
      </c>
      <c r="W133">
        <f>属性类型!G133</f>
        <v>101</v>
      </c>
      <c r="X133">
        <v>1</v>
      </c>
    </row>
    <row r="134" customFormat="1" ht="16.5" spans="1:24">
      <c r="A134" s="17">
        <f t="shared" si="98"/>
        <v>11010</v>
      </c>
      <c r="B134" s="17">
        <f t="shared" si="91"/>
        <v>11000</v>
      </c>
      <c r="C134" s="17" t="str">
        <f t="shared" si="92"/>
        <v>1</v>
      </c>
      <c r="D134" s="12">
        <f t="shared" si="93"/>
        <v>10002</v>
      </c>
      <c r="E134" s="17">
        <v>1</v>
      </c>
      <c r="F134" s="17">
        <f t="shared" si="94"/>
        <v>2</v>
      </c>
      <c r="G134" s="17" t="str">
        <f t="shared" si="99"/>
        <v>中级生命</v>
      </c>
      <c r="H134" s="17" t="str">
        <f t="shared" si="100"/>
        <v>icon_01</v>
      </c>
      <c r="I134" s="20">
        <v>0</v>
      </c>
      <c r="J134" s="17">
        <v>10</v>
      </c>
      <c r="K134" s="17">
        <v>0</v>
      </c>
      <c r="L134" s="17">
        <v>0</v>
      </c>
      <c r="M134" s="17" t="str">
        <f t="shared" si="101"/>
        <v>2:10001:30</v>
      </c>
      <c r="N134" s="16" t="str">
        <f t="shared" si="54"/>
        <v>101:1</v>
      </c>
      <c r="O134" s="17">
        <f t="shared" si="96"/>
        <v>1</v>
      </c>
      <c r="P134" s="21" t="str">
        <f t="shared" si="97"/>
        <v>所有步兵生命增加:1</v>
      </c>
      <c r="Q134" s="21"/>
      <c r="R134" t="str">
        <f t="shared" si="102"/>
        <v>生命</v>
      </c>
      <c r="T134" t="str">
        <f t="shared" si="103"/>
        <v>:1</v>
      </c>
      <c r="U134" t="str">
        <f t="shared" si="104"/>
        <v>步兵</v>
      </c>
      <c r="V134" t="s">
        <v>4271</v>
      </c>
      <c r="W134">
        <f>属性类型!G134</f>
        <v>101</v>
      </c>
      <c r="X134">
        <v>1</v>
      </c>
    </row>
    <row r="135" customFormat="1" ht="16.5" spans="1:24">
      <c r="A135" s="18">
        <f>A124+100</f>
        <v>11100</v>
      </c>
      <c r="B135" s="18">
        <f t="shared" si="91"/>
        <v>11100</v>
      </c>
      <c r="C135" s="18" t="str">
        <f t="shared" si="92"/>
        <v>1</v>
      </c>
      <c r="D135" s="12">
        <f t="shared" si="93"/>
        <v>10002</v>
      </c>
      <c r="E135" s="17">
        <v>1</v>
      </c>
      <c r="F135" s="18">
        <f t="shared" si="94"/>
        <v>2</v>
      </c>
      <c r="G135" s="18" t="s">
        <v>327</v>
      </c>
      <c r="H135" s="18" t="s">
        <v>63</v>
      </c>
      <c r="I135" s="20">
        <v>0</v>
      </c>
      <c r="J135" s="18">
        <v>0</v>
      </c>
      <c r="K135" s="18">
        <f t="shared" ref="K135:K144" si="105">A136</f>
        <v>0</v>
      </c>
      <c r="L135" s="18" t="s">
        <v>297</v>
      </c>
      <c r="M135" s="18" t="s">
        <v>329</v>
      </c>
      <c r="N135" s="16" t="str">
        <f t="shared" si="54"/>
        <v>103:1</v>
      </c>
      <c r="O135" s="18">
        <f t="shared" si="96"/>
        <v>2</v>
      </c>
      <c r="P135" s="21" t="str">
        <f t="shared" si="97"/>
        <v>所有步兵防御增加1</v>
      </c>
      <c r="Q135" s="21"/>
      <c r="R135" t="s">
        <v>4272</v>
      </c>
      <c r="T135" t="str">
        <f>RIGHT(N135,1)</f>
        <v>1</v>
      </c>
      <c r="U135" t="str">
        <f t="shared" si="104"/>
        <v>步兵</v>
      </c>
      <c r="V135" t="s">
        <v>4273</v>
      </c>
      <c r="W135">
        <f>属性类型!G135</f>
        <v>103</v>
      </c>
      <c r="X135">
        <v>1</v>
      </c>
    </row>
    <row r="136" customFormat="1" ht="16.5" spans="1:24">
      <c r="A136" s="17">
        <f t="shared" ref="A136:A145" si="106">A135+1</f>
        <v>11101</v>
      </c>
      <c r="B136" s="17">
        <v>11100</v>
      </c>
      <c r="C136" s="17" t="str">
        <f t="shared" si="92"/>
        <v>1</v>
      </c>
      <c r="D136" s="12">
        <f t="shared" si="93"/>
        <v>10002</v>
      </c>
      <c r="E136" s="17">
        <v>1</v>
      </c>
      <c r="F136" s="17">
        <f t="shared" si="94"/>
        <v>2</v>
      </c>
      <c r="G136" s="17" t="str">
        <f t="shared" ref="G136:G145" si="107">G135</f>
        <v>中级防御</v>
      </c>
      <c r="H136" s="17" t="str">
        <f t="shared" ref="H136:H145" si="108">H135</f>
        <v>icon_02</v>
      </c>
      <c r="I136" s="20">
        <v>0</v>
      </c>
      <c r="J136" s="17">
        <v>1</v>
      </c>
      <c r="K136" s="17">
        <f t="shared" si="105"/>
        <v>11102</v>
      </c>
      <c r="L136" s="17" t="s">
        <v>300</v>
      </c>
      <c r="M136" s="17" t="str">
        <f t="shared" ref="M136:M145" si="109">M135</f>
        <v>1:11000:5</v>
      </c>
      <c r="N136" s="16" t="str">
        <f t="shared" si="54"/>
        <v>103:1</v>
      </c>
      <c r="O136" s="17">
        <f t="shared" si="96"/>
        <v>2</v>
      </c>
      <c r="P136" s="21" t="str">
        <f t="shared" si="97"/>
        <v>所有步兵防御增加:1</v>
      </c>
      <c r="Q136" s="21"/>
      <c r="R136" t="str">
        <f t="shared" si="102"/>
        <v>防御</v>
      </c>
      <c r="T136" t="str">
        <f t="shared" si="103"/>
        <v>:1</v>
      </c>
      <c r="U136" t="str">
        <f t="shared" si="104"/>
        <v>步兵</v>
      </c>
      <c r="V136" t="s">
        <v>4273</v>
      </c>
      <c r="W136">
        <f>属性类型!G136</f>
        <v>103</v>
      </c>
      <c r="X136">
        <v>1</v>
      </c>
    </row>
    <row r="137" customFormat="1" ht="16.5" spans="1:24">
      <c r="A137" s="17">
        <f t="shared" si="106"/>
        <v>11102</v>
      </c>
      <c r="B137" s="17">
        <v>11100</v>
      </c>
      <c r="C137" s="17" t="str">
        <f t="shared" si="92"/>
        <v>1</v>
      </c>
      <c r="D137" s="12">
        <f t="shared" si="93"/>
        <v>10002</v>
      </c>
      <c r="E137" s="17">
        <v>1</v>
      </c>
      <c r="F137" s="17">
        <f t="shared" si="94"/>
        <v>2</v>
      </c>
      <c r="G137" s="17" t="str">
        <f t="shared" si="107"/>
        <v>中级防御</v>
      </c>
      <c r="H137" s="17" t="str">
        <f t="shared" si="108"/>
        <v>icon_02</v>
      </c>
      <c r="I137" s="20">
        <v>0</v>
      </c>
      <c r="J137" s="17">
        <v>2</v>
      </c>
      <c r="K137" s="17">
        <f t="shared" si="105"/>
        <v>11103</v>
      </c>
      <c r="L137" s="17" t="s">
        <v>304</v>
      </c>
      <c r="M137" s="17" t="str">
        <f t="shared" si="109"/>
        <v>1:11000:5</v>
      </c>
      <c r="N137" s="16" t="str">
        <f t="shared" si="54"/>
        <v>103:1</v>
      </c>
      <c r="O137" s="17">
        <f t="shared" si="96"/>
        <v>2</v>
      </c>
      <c r="P137" s="21" t="str">
        <f t="shared" si="97"/>
        <v>所有步兵防御增加:1</v>
      </c>
      <c r="Q137" s="21"/>
      <c r="R137" t="str">
        <f t="shared" si="102"/>
        <v>防御</v>
      </c>
      <c r="T137" t="str">
        <f t="shared" si="103"/>
        <v>:1</v>
      </c>
      <c r="U137" t="str">
        <f t="shared" si="104"/>
        <v>步兵</v>
      </c>
      <c r="V137" t="s">
        <v>4273</v>
      </c>
      <c r="W137">
        <f>属性类型!G137</f>
        <v>103</v>
      </c>
      <c r="X137">
        <v>1</v>
      </c>
    </row>
    <row r="138" customFormat="1" ht="16.5" spans="1:24">
      <c r="A138" s="17">
        <f t="shared" si="106"/>
        <v>11103</v>
      </c>
      <c r="B138" s="17">
        <v>11100</v>
      </c>
      <c r="C138" s="17" t="str">
        <f t="shared" si="92"/>
        <v>1</v>
      </c>
      <c r="D138" s="12">
        <f t="shared" si="93"/>
        <v>10002</v>
      </c>
      <c r="E138" s="17">
        <v>1</v>
      </c>
      <c r="F138" s="17">
        <f t="shared" si="94"/>
        <v>2</v>
      </c>
      <c r="G138" s="17" t="str">
        <f t="shared" si="107"/>
        <v>中级防御</v>
      </c>
      <c r="H138" s="17" t="str">
        <f t="shared" si="108"/>
        <v>icon_02</v>
      </c>
      <c r="I138" s="20">
        <v>0</v>
      </c>
      <c r="J138" s="17">
        <v>3</v>
      </c>
      <c r="K138" s="17">
        <f t="shared" si="105"/>
        <v>11104</v>
      </c>
      <c r="L138" s="17" t="s">
        <v>307</v>
      </c>
      <c r="M138" s="17" t="str">
        <f t="shared" si="109"/>
        <v>1:11000:5</v>
      </c>
      <c r="N138" s="16" t="str">
        <f t="shared" si="54"/>
        <v>103:1</v>
      </c>
      <c r="O138" s="17">
        <f t="shared" si="96"/>
        <v>2</v>
      </c>
      <c r="P138" s="21" t="str">
        <f t="shared" si="97"/>
        <v>所有步兵防御增加:1</v>
      </c>
      <c r="Q138" s="21"/>
      <c r="R138" t="str">
        <f t="shared" si="102"/>
        <v>防御</v>
      </c>
      <c r="T138" t="str">
        <f t="shared" si="103"/>
        <v>:1</v>
      </c>
      <c r="U138" t="str">
        <f t="shared" si="104"/>
        <v>步兵</v>
      </c>
      <c r="V138" t="s">
        <v>4273</v>
      </c>
      <c r="W138">
        <f>属性类型!G138</f>
        <v>103</v>
      </c>
      <c r="X138">
        <v>1</v>
      </c>
    </row>
    <row r="139" customFormat="1" ht="16.5" spans="1:24">
      <c r="A139" s="17">
        <f t="shared" si="106"/>
        <v>11104</v>
      </c>
      <c r="B139" s="17">
        <v>11100</v>
      </c>
      <c r="C139" s="17" t="str">
        <f t="shared" si="92"/>
        <v>1</v>
      </c>
      <c r="D139" s="12">
        <f t="shared" si="93"/>
        <v>10002</v>
      </c>
      <c r="E139" s="17">
        <v>1</v>
      </c>
      <c r="F139" s="17">
        <f t="shared" si="94"/>
        <v>2</v>
      </c>
      <c r="G139" s="17" t="str">
        <f t="shared" si="107"/>
        <v>中级防御</v>
      </c>
      <c r="H139" s="17" t="str">
        <f t="shared" si="108"/>
        <v>icon_02</v>
      </c>
      <c r="I139" s="20">
        <v>0</v>
      </c>
      <c r="J139" s="17">
        <v>4</v>
      </c>
      <c r="K139" s="17">
        <f t="shared" si="105"/>
        <v>11105</v>
      </c>
      <c r="L139" s="17" t="s">
        <v>309</v>
      </c>
      <c r="M139" s="17" t="str">
        <f t="shared" si="109"/>
        <v>1:11000:5</v>
      </c>
      <c r="N139" s="16" t="str">
        <f t="shared" ref="N139:N202" si="110">W139&amp;$W$2&amp;X139</f>
        <v>103:1</v>
      </c>
      <c r="O139" s="17">
        <f t="shared" si="96"/>
        <v>2</v>
      </c>
      <c r="P139" s="21" t="str">
        <f t="shared" si="97"/>
        <v>所有步兵防御增加:1</v>
      </c>
      <c r="Q139" s="21"/>
      <c r="R139" t="str">
        <f t="shared" si="102"/>
        <v>防御</v>
      </c>
      <c r="T139" t="str">
        <f t="shared" si="103"/>
        <v>:1</v>
      </c>
      <c r="U139" t="str">
        <f t="shared" si="104"/>
        <v>步兵</v>
      </c>
      <c r="V139" t="s">
        <v>4273</v>
      </c>
      <c r="W139">
        <f>属性类型!G139</f>
        <v>103</v>
      </c>
      <c r="X139">
        <v>1</v>
      </c>
    </row>
    <row r="140" customFormat="1" ht="16.5" spans="1:24">
      <c r="A140" s="17">
        <f t="shared" si="106"/>
        <v>11105</v>
      </c>
      <c r="B140" s="17">
        <v>11100</v>
      </c>
      <c r="C140" s="17" t="str">
        <f t="shared" si="92"/>
        <v>1</v>
      </c>
      <c r="D140" s="12">
        <f t="shared" si="93"/>
        <v>10002</v>
      </c>
      <c r="E140" s="17">
        <v>1</v>
      </c>
      <c r="F140" s="17">
        <f t="shared" si="94"/>
        <v>2</v>
      </c>
      <c r="G140" s="17" t="str">
        <f t="shared" si="107"/>
        <v>中级防御</v>
      </c>
      <c r="H140" s="17" t="str">
        <f t="shared" si="108"/>
        <v>icon_02</v>
      </c>
      <c r="I140" s="20">
        <v>0</v>
      </c>
      <c r="J140" s="17">
        <v>5</v>
      </c>
      <c r="K140" s="17">
        <f t="shared" si="105"/>
        <v>11106</v>
      </c>
      <c r="L140" s="17" t="s">
        <v>312</v>
      </c>
      <c r="M140" s="17" t="str">
        <f t="shared" si="109"/>
        <v>1:11000:5</v>
      </c>
      <c r="N140" s="16" t="str">
        <f t="shared" si="110"/>
        <v>103:1</v>
      </c>
      <c r="O140" s="17">
        <f t="shared" si="96"/>
        <v>2</v>
      </c>
      <c r="P140" s="21" t="str">
        <f t="shared" si="97"/>
        <v>所有步兵防御增加:1</v>
      </c>
      <c r="Q140" s="21"/>
      <c r="R140" t="str">
        <f t="shared" si="102"/>
        <v>防御</v>
      </c>
      <c r="T140" t="str">
        <f t="shared" si="103"/>
        <v>:1</v>
      </c>
      <c r="U140" t="str">
        <f t="shared" si="104"/>
        <v>步兵</v>
      </c>
      <c r="V140" t="s">
        <v>4273</v>
      </c>
      <c r="W140">
        <f>属性类型!G140</f>
        <v>103</v>
      </c>
      <c r="X140">
        <v>1</v>
      </c>
    </row>
    <row r="141" customFormat="1" ht="16.5" spans="1:24">
      <c r="A141" s="17">
        <f t="shared" si="106"/>
        <v>11106</v>
      </c>
      <c r="B141" s="17">
        <v>11100</v>
      </c>
      <c r="C141" s="17" t="str">
        <f t="shared" si="92"/>
        <v>1</v>
      </c>
      <c r="D141" s="12">
        <f t="shared" si="93"/>
        <v>10002</v>
      </c>
      <c r="E141" s="17">
        <v>1</v>
      </c>
      <c r="F141" s="17">
        <f t="shared" si="94"/>
        <v>2</v>
      </c>
      <c r="G141" s="17" t="str">
        <f t="shared" si="107"/>
        <v>中级防御</v>
      </c>
      <c r="H141" s="17" t="str">
        <f t="shared" si="108"/>
        <v>icon_02</v>
      </c>
      <c r="I141" s="20">
        <v>0</v>
      </c>
      <c r="J141" s="17">
        <v>6</v>
      </c>
      <c r="K141" s="17">
        <f t="shared" si="105"/>
        <v>0</v>
      </c>
      <c r="L141" s="17" t="s">
        <v>315</v>
      </c>
      <c r="M141" s="17" t="str">
        <f t="shared" si="109"/>
        <v>1:11000:5</v>
      </c>
      <c r="N141" s="16" t="str">
        <f t="shared" si="110"/>
        <v>103:1</v>
      </c>
      <c r="O141" s="17">
        <f t="shared" si="96"/>
        <v>2</v>
      </c>
      <c r="P141" s="21" t="str">
        <f t="shared" si="97"/>
        <v>所有步兵防御增加:1</v>
      </c>
      <c r="Q141" s="21"/>
      <c r="R141" t="str">
        <f t="shared" si="102"/>
        <v>防御</v>
      </c>
      <c r="T141" t="str">
        <f t="shared" si="103"/>
        <v>:1</v>
      </c>
      <c r="U141" t="str">
        <f t="shared" si="104"/>
        <v>步兵</v>
      </c>
      <c r="V141" t="s">
        <v>4273</v>
      </c>
      <c r="W141">
        <f>属性类型!G141</f>
        <v>103</v>
      </c>
      <c r="X141">
        <v>1</v>
      </c>
    </row>
    <row r="142" customFormat="1" ht="16.5" spans="1:24">
      <c r="A142" s="17">
        <f t="shared" si="106"/>
        <v>11107</v>
      </c>
      <c r="B142" s="17">
        <v>11100</v>
      </c>
      <c r="C142" s="17" t="str">
        <f t="shared" ref="C142:C205" si="111">LEFT(A142,1)</f>
        <v>1</v>
      </c>
      <c r="D142" s="12">
        <f t="shared" si="93"/>
        <v>10002</v>
      </c>
      <c r="E142" s="17">
        <v>1</v>
      </c>
      <c r="F142" s="17">
        <f t="shared" ref="F142:F205" si="112">MID(B142,2,1)+1</f>
        <v>2</v>
      </c>
      <c r="G142" s="17" t="str">
        <f t="shared" si="107"/>
        <v>中级防御</v>
      </c>
      <c r="H142" s="17" t="str">
        <f t="shared" si="108"/>
        <v>icon_02</v>
      </c>
      <c r="I142" s="20">
        <v>0</v>
      </c>
      <c r="J142" s="17">
        <v>7</v>
      </c>
      <c r="K142" s="17">
        <f t="shared" si="105"/>
        <v>11108</v>
      </c>
      <c r="L142" s="17" t="s">
        <v>317</v>
      </c>
      <c r="M142" s="17" t="str">
        <f t="shared" si="109"/>
        <v>1:11000:5</v>
      </c>
      <c r="N142" s="16" t="str">
        <f t="shared" si="110"/>
        <v>103:1</v>
      </c>
      <c r="O142" s="17">
        <f t="shared" ref="O142:O205" si="113">MID(A142,3,1)+1</f>
        <v>2</v>
      </c>
      <c r="P142" s="21" t="str">
        <f t="shared" si="97"/>
        <v>所有步兵防御增加:1</v>
      </c>
      <c r="Q142" s="21"/>
      <c r="R142" t="str">
        <f t="shared" si="102"/>
        <v>防御</v>
      </c>
      <c r="T142" t="str">
        <f t="shared" si="103"/>
        <v>:1</v>
      </c>
      <c r="U142" t="str">
        <f t="shared" si="104"/>
        <v>步兵</v>
      </c>
      <c r="V142" t="s">
        <v>4273</v>
      </c>
      <c r="W142">
        <f>属性类型!G142</f>
        <v>103</v>
      </c>
      <c r="X142">
        <v>1</v>
      </c>
    </row>
    <row r="143" customFormat="1" ht="16.5" spans="1:24">
      <c r="A143" s="17">
        <f t="shared" si="106"/>
        <v>11108</v>
      </c>
      <c r="B143" s="17">
        <v>11100</v>
      </c>
      <c r="C143" s="17" t="str">
        <f t="shared" si="111"/>
        <v>1</v>
      </c>
      <c r="D143" s="12">
        <f t="shared" si="93"/>
        <v>10002</v>
      </c>
      <c r="E143" s="17">
        <v>1</v>
      </c>
      <c r="F143" s="17">
        <f t="shared" si="112"/>
        <v>2</v>
      </c>
      <c r="G143" s="17" t="str">
        <f t="shared" si="107"/>
        <v>中级防御</v>
      </c>
      <c r="H143" s="17" t="str">
        <f t="shared" si="108"/>
        <v>icon_02</v>
      </c>
      <c r="I143" s="20">
        <v>0</v>
      </c>
      <c r="J143" s="17">
        <v>8</v>
      </c>
      <c r="K143" s="17">
        <f t="shared" si="105"/>
        <v>11109</v>
      </c>
      <c r="L143" s="17" t="s">
        <v>320</v>
      </c>
      <c r="M143" s="17" t="str">
        <f t="shared" si="109"/>
        <v>1:11000:5</v>
      </c>
      <c r="N143" s="16" t="str">
        <f t="shared" si="110"/>
        <v>103:1</v>
      </c>
      <c r="O143" s="17">
        <f t="shared" si="113"/>
        <v>2</v>
      </c>
      <c r="P143" s="21" t="str">
        <f t="shared" ref="P143:P206" si="114">$R$1&amp;R143&amp;$Q$1&amp;T143</f>
        <v>所有步兵防御增加:1</v>
      </c>
      <c r="Q143" s="21"/>
      <c r="R143" t="str">
        <f t="shared" si="102"/>
        <v>防御</v>
      </c>
      <c r="T143" t="str">
        <f t="shared" si="103"/>
        <v>:1</v>
      </c>
      <c r="U143" t="str">
        <f t="shared" si="104"/>
        <v>步兵</v>
      </c>
      <c r="V143" t="s">
        <v>4273</v>
      </c>
      <c r="W143">
        <f>属性类型!G143</f>
        <v>103</v>
      </c>
      <c r="X143">
        <v>1</v>
      </c>
    </row>
    <row r="144" customFormat="1" ht="16.5" spans="1:24">
      <c r="A144" s="17">
        <f t="shared" si="106"/>
        <v>11109</v>
      </c>
      <c r="B144" s="17">
        <v>11100</v>
      </c>
      <c r="C144" s="17" t="str">
        <f t="shared" si="111"/>
        <v>1</v>
      </c>
      <c r="D144" s="12">
        <f t="shared" si="93"/>
        <v>10002</v>
      </c>
      <c r="E144" s="17">
        <v>1</v>
      </c>
      <c r="F144" s="17">
        <f t="shared" si="112"/>
        <v>2</v>
      </c>
      <c r="G144" s="17" t="str">
        <f t="shared" si="107"/>
        <v>中级防御</v>
      </c>
      <c r="H144" s="17" t="str">
        <f t="shared" si="108"/>
        <v>icon_02</v>
      </c>
      <c r="I144" s="20">
        <v>0</v>
      </c>
      <c r="J144" s="17">
        <v>9</v>
      </c>
      <c r="K144" s="17">
        <f t="shared" si="105"/>
        <v>11110</v>
      </c>
      <c r="L144" s="17" t="s">
        <v>323</v>
      </c>
      <c r="M144" s="17" t="str">
        <f t="shared" si="109"/>
        <v>1:11000:5</v>
      </c>
      <c r="N144" s="16" t="str">
        <f t="shared" si="110"/>
        <v>103:1</v>
      </c>
      <c r="O144" s="17">
        <f t="shared" si="113"/>
        <v>2</v>
      </c>
      <c r="P144" s="21" t="str">
        <f t="shared" si="114"/>
        <v>所有步兵防御增加:1</v>
      </c>
      <c r="Q144" s="21"/>
      <c r="R144" t="str">
        <f t="shared" si="102"/>
        <v>防御</v>
      </c>
      <c r="T144" t="str">
        <f t="shared" si="103"/>
        <v>:1</v>
      </c>
      <c r="U144" t="str">
        <f t="shared" si="104"/>
        <v>步兵</v>
      </c>
      <c r="V144" t="s">
        <v>4273</v>
      </c>
      <c r="W144">
        <f>属性类型!G144</f>
        <v>103</v>
      </c>
      <c r="X144">
        <v>1</v>
      </c>
    </row>
    <row r="145" customFormat="1" ht="16.5" spans="1:24">
      <c r="A145" s="17">
        <f t="shared" si="106"/>
        <v>11110</v>
      </c>
      <c r="B145" s="17">
        <v>11100</v>
      </c>
      <c r="C145" s="17" t="str">
        <f t="shared" si="111"/>
        <v>1</v>
      </c>
      <c r="D145" s="12">
        <f t="shared" si="93"/>
        <v>10002</v>
      </c>
      <c r="E145" s="17">
        <v>1</v>
      </c>
      <c r="F145" s="17">
        <f t="shared" si="112"/>
        <v>2</v>
      </c>
      <c r="G145" s="17" t="str">
        <f t="shared" si="107"/>
        <v>中级防御</v>
      </c>
      <c r="H145" s="17" t="str">
        <f t="shared" si="108"/>
        <v>icon_02</v>
      </c>
      <c r="I145" s="20">
        <v>0</v>
      </c>
      <c r="J145" s="17">
        <v>10</v>
      </c>
      <c r="K145" s="17">
        <v>0</v>
      </c>
      <c r="L145" s="17">
        <v>0</v>
      </c>
      <c r="M145" s="17" t="str">
        <f t="shared" si="109"/>
        <v>1:11000:5</v>
      </c>
      <c r="N145" s="16" t="str">
        <f t="shared" si="110"/>
        <v>103:1</v>
      </c>
      <c r="O145" s="17">
        <f t="shared" si="113"/>
        <v>2</v>
      </c>
      <c r="P145" s="21" t="str">
        <f t="shared" si="114"/>
        <v>所有步兵防御增加:1</v>
      </c>
      <c r="Q145" s="21"/>
      <c r="R145" t="str">
        <f t="shared" si="102"/>
        <v>防御</v>
      </c>
      <c r="T145" t="str">
        <f t="shared" si="103"/>
        <v>:1</v>
      </c>
      <c r="U145" t="str">
        <f t="shared" si="104"/>
        <v>步兵</v>
      </c>
      <c r="V145" t="s">
        <v>4273</v>
      </c>
      <c r="W145">
        <f>属性类型!G145</f>
        <v>103</v>
      </c>
      <c r="X145">
        <v>1</v>
      </c>
    </row>
    <row r="146" customFormat="1" ht="16.5" spans="1:24">
      <c r="A146" s="18">
        <f>A135+100</f>
        <v>11200</v>
      </c>
      <c r="B146" s="18">
        <f>ROUND(A146,-2)</f>
        <v>11200</v>
      </c>
      <c r="C146" s="18" t="str">
        <f t="shared" si="111"/>
        <v>1</v>
      </c>
      <c r="D146" s="12">
        <f t="shared" si="93"/>
        <v>10002</v>
      </c>
      <c r="E146" s="17">
        <v>1</v>
      </c>
      <c r="F146" s="18">
        <f t="shared" si="112"/>
        <v>2</v>
      </c>
      <c r="G146" s="18" t="s">
        <v>350</v>
      </c>
      <c r="H146" s="18" t="s">
        <v>80</v>
      </c>
      <c r="I146" s="20">
        <v>0</v>
      </c>
      <c r="J146" s="18">
        <v>0</v>
      </c>
      <c r="K146" s="18">
        <f t="shared" ref="K146:K155" si="115">A147</f>
        <v>11201</v>
      </c>
      <c r="L146" s="18" t="s">
        <v>297</v>
      </c>
      <c r="M146" s="18" t="s">
        <v>329</v>
      </c>
      <c r="N146" s="16" t="str">
        <f t="shared" si="110"/>
        <v>102:1</v>
      </c>
      <c r="O146" s="18">
        <f t="shared" si="113"/>
        <v>3</v>
      </c>
      <c r="P146" s="21" t="str">
        <f t="shared" si="114"/>
        <v>所有步兵攻击增加1</v>
      </c>
      <c r="Q146" s="21"/>
      <c r="R146" t="s">
        <v>4274</v>
      </c>
      <c r="T146" t="str">
        <f>RIGHT(N146,1)</f>
        <v>1</v>
      </c>
      <c r="U146" t="str">
        <f t="shared" si="104"/>
        <v>步兵</v>
      </c>
      <c r="V146" t="s">
        <v>4275</v>
      </c>
      <c r="W146">
        <f>属性类型!G146</f>
        <v>102</v>
      </c>
      <c r="X146">
        <v>1</v>
      </c>
    </row>
    <row r="147" customFormat="1" ht="16.5" spans="1:24">
      <c r="A147" s="17">
        <f t="shared" ref="A147:A156" si="116">A146+1</f>
        <v>11201</v>
      </c>
      <c r="B147" s="17">
        <v>11200</v>
      </c>
      <c r="C147" s="17" t="str">
        <f t="shared" si="111"/>
        <v>1</v>
      </c>
      <c r="D147" s="12">
        <f t="shared" si="93"/>
        <v>10002</v>
      </c>
      <c r="E147" s="17">
        <v>1</v>
      </c>
      <c r="F147" s="17">
        <f t="shared" si="112"/>
        <v>2</v>
      </c>
      <c r="G147" s="17" t="str">
        <f t="shared" ref="G147:G156" si="117">G146</f>
        <v>中级攻击</v>
      </c>
      <c r="H147" s="17" t="str">
        <f t="shared" ref="H147:H156" si="118">H146</f>
        <v>icon_03</v>
      </c>
      <c r="I147" s="20">
        <v>0</v>
      </c>
      <c r="J147" s="17">
        <v>1</v>
      </c>
      <c r="K147" s="17">
        <f t="shared" si="115"/>
        <v>0</v>
      </c>
      <c r="L147" s="17" t="s">
        <v>300</v>
      </c>
      <c r="M147" s="17" t="str">
        <f t="shared" ref="M147:M156" si="119">M146</f>
        <v>1:11000:5</v>
      </c>
      <c r="N147" s="16" t="str">
        <f t="shared" si="110"/>
        <v>102:1</v>
      </c>
      <c r="O147" s="17">
        <f t="shared" si="113"/>
        <v>3</v>
      </c>
      <c r="P147" s="21" t="str">
        <f t="shared" si="114"/>
        <v>所有步兵攻击增加:1</v>
      </c>
      <c r="Q147" s="21"/>
      <c r="R147" t="str">
        <f t="shared" si="102"/>
        <v>攻击</v>
      </c>
      <c r="T147" t="str">
        <f t="shared" si="103"/>
        <v>:1</v>
      </c>
      <c r="U147" t="str">
        <f t="shared" si="104"/>
        <v>步兵</v>
      </c>
      <c r="V147" t="s">
        <v>4275</v>
      </c>
      <c r="W147">
        <f>属性类型!G147</f>
        <v>102</v>
      </c>
      <c r="X147">
        <v>1</v>
      </c>
    </row>
    <row r="148" customFormat="1" ht="16.5" spans="1:24">
      <c r="A148" s="17">
        <f t="shared" si="116"/>
        <v>11202</v>
      </c>
      <c r="B148" s="17">
        <v>11200</v>
      </c>
      <c r="C148" s="17" t="str">
        <f t="shared" si="111"/>
        <v>1</v>
      </c>
      <c r="D148" s="12">
        <f t="shared" si="93"/>
        <v>10002</v>
      </c>
      <c r="E148" s="17">
        <v>1</v>
      </c>
      <c r="F148" s="17">
        <f t="shared" si="112"/>
        <v>2</v>
      </c>
      <c r="G148" s="17" t="str">
        <f t="shared" si="117"/>
        <v>中级攻击</v>
      </c>
      <c r="H148" s="17" t="str">
        <f t="shared" si="118"/>
        <v>icon_03</v>
      </c>
      <c r="I148" s="20">
        <v>0</v>
      </c>
      <c r="J148" s="17">
        <v>2</v>
      </c>
      <c r="K148" s="17">
        <f t="shared" si="115"/>
        <v>11203</v>
      </c>
      <c r="L148" s="17" t="s">
        <v>304</v>
      </c>
      <c r="M148" s="17" t="str">
        <f t="shared" si="119"/>
        <v>1:11000:5</v>
      </c>
      <c r="N148" s="16" t="str">
        <f t="shared" si="110"/>
        <v>102:1</v>
      </c>
      <c r="O148" s="17">
        <f t="shared" si="113"/>
        <v>3</v>
      </c>
      <c r="P148" s="21" t="str">
        <f t="shared" si="114"/>
        <v>所有步兵攻击增加:1</v>
      </c>
      <c r="Q148" s="21"/>
      <c r="R148" t="str">
        <f t="shared" si="102"/>
        <v>攻击</v>
      </c>
      <c r="T148" t="str">
        <f t="shared" si="103"/>
        <v>:1</v>
      </c>
      <c r="U148" t="str">
        <f t="shared" si="104"/>
        <v>步兵</v>
      </c>
      <c r="V148" t="s">
        <v>4275</v>
      </c>
      <c r="W148">
        <f>属性类型!G148</f>
        <v>102</v>
      </c>
      <c r="X148">
        <v>1</v>
      </c>
    </row>
    <row r="149" customFormat="1" ht="16.5" spans="1:24">
      <c r="A149" s="17">
        <f t="shared" si="116"/>
        <v>11203</v>
      </c>
      <c r="B149" s="17">
        <v>11200</v>
      </c>
      <c r="C149" s="17" t="str">
        <f t="shared" si="111"/>
        <v>1</v>
      </c>
      <c r="D149" s="12">
        <f t="shared" si="93"/>
        <v>10002</v>
      </c>
      <c r="E149" s="17">
        <v>1</v>
      </c>
      <c r="F149" s="17">
        <f t="shared" si="112"/>
        <v>2</v>
      </c>
      <c r="G149" s="17" t="str">
        <f t="shared" si="117"/>
        <v>中级攻击</v>
      </c>
      <c r="H149" s="17" t="str">
        <f t="shared" si="118"/>
        <v>icon_03</v>
      </c>
      <c r="I149" s="20">
        <v>0</v>
      </c>
      <c r="J149" s="17">
        <v>3</v>
      </c>
      <c r="K149" s="17">
        <f t="shared" si="115"/>
        <v>11204</v>
      </c>
      <c r="L149" s="17" t="s">
        <v>307</v>
      </c>
      <c r="M149" s="17" t="str">
        <f t="shared" si="119"/>
        <v>1:11000:5</v>
      </c>
      <c r="N149" s="16" t="str">
        <f t="shared" si="110"/>
        <v>102:1</v>
      </c>
      <c r="O149" s="17">
        <f t="shared" si="113"/>
        <v>3</v>
      </c>
      <c r="P149" s="21" t="str">
        <f t="shared" si="114"/>
        <v>所有步兵攻击增加:1</v>
      </c>
      <c r="Q149" s="21"/>
      <c r="R149" t="str">
        <f t="shared" si="102"/>
        <v>攻击</v>
      </c>
      <c r="T149" t="str">
        <f t="shared" ref="T149:T199" si="120">RIGHT(N149,2)</f>
        <v>:1</v>
      </c>
      <c r="U149" t="str">
        <f t="shared" si="104"/>
        <v>步兵</v>
      </c>
      <c r="V149" t="s">
        <v>4275</v>
      </c>
      <c r="W149">
        <f>属性类型!G149</f>
        <v>102</v>
      </c>
      <c r="X149">
        <v>1</v>
      </c>
    </row>
    <row r="150" customFormat="1" ht="16.5" spans="1:24">
      <c r="A150" s="17">
        <f t="shared" si="116"/>
        <v>11204</v>
      </c>
      <c r="B150" s="17">
        <v>11200</v>
      </c>
      <c r="C150" s="17" t="str">
        <f t="shared" si="111"/>
        <v>1</v>
      </c>
      <c r="D150" s="12">
        <f t="shared" si="93"/>
        <v>10002</v>
      </c>
      <c r="E150" s="17">
        <v>1</v>
      </c>
      <c r="F150" s="17">
        <f t="shared" si="112"/>
        <v>2</v>
      </c>
      <c r="G150" s="17" t="str">
        <f t="shared" si="117"/>
        <v>中级攻击</v>
      </c>
      <c r="H150" s="17" t="str">
        <f t="shared" si="118"/>
        <v>icon_03</v>
      </c>
      <c r="I150" s="20">
        <v>0</v>
      </c>
      <c r="J150" s="17">
        <v>4</v>
      </c>
      <c r="K150" s="17">
        <f t="shared" si="115"/>
        <v>11205</v>
      </c>
      <c r="L150" s="17" t="s">
        <v>309</v>
      </c>
      <c r="M150" s="17" t="str">
        <f t="shared" si="119"/>
        <v>1:11000:5</v>
      </c>
      <c r="N150" s="16" t="str">
        <f t="shared" si="110"/>
        <v>102:1</v>
      </c>
      <c r="O150" s="17">
        <f t="shared" si="113"/>
        <v>3</v>
      </c>
      <c r="P150" s="21" t="str">
        <f t="shared" si="114"/>
        <v>所有步兵攻击增加:1</v>
      </c>
      <c r="Q150" s="21"/>
      <c r="R150" t="str">
        <f t="shared" si="102"/>
        <v>攻击</v>
      </c>
      <c r="T150" t="str">
        <f t="shared" si="120"/>
        <v>:1</v>
      </c>
      <c r="U150" t="str">
        <f t="shared" si="104"/>
        <v>步兵</v>
      </c>
      <c r="V150" t="s">
        <v>4275</v>
      </c>
      <c r="W150">
        <f>属性类型!G150</f>
        <v>102</v>
      </c>
      <c r="X150">
        <v>1</v>
      </c>
    </row>
    <row r="151" customFormat="1" ht="16.5" spans="1:24">
      <c r="A151" s="17">
        <f t="shared" si="116"/>
        <v>11205</v>
      </c>
      <c r="B151" s="17">
        <v>11200</v>
      </c>
      <c r="C151" s="17" t="str">
        <f t="shared" si="111"/>
        <v>1</v>
      </c>
      <c r="D151" s="12">
        <f t="shared" si="93"/>
        <v>10002</v>
      </c>
      <c r="E151" s="17">
        <v>1</v>
      </c>
      <c r="F151" s="17">
        <f t="shared" si="112"/>
        <v>2</v>
      </c>
      <c r="G151" s="17" t="str">
        <f t="shared" si="117"/>
        <v>中级攻击</v>
      </c>
      <c r="H151" s="17" t="str">
        <f t="shared" si="118"/>
        <v>icon_03</v>
      </c>
      <c r="I151" s="20">
        <v>0</v>
      </c>
      <c r="J151" s="17">
        <v>5</v>
      </c>
      <c r="K151" s="17">
        <f t="shared" si="115"/>
        <v>11206</v>
      </c>
      <c r="L151" s="17" t="s">
        <v>312</v>
      </c>
      <c r="M151" s="17" t="str">
        <f t="shared" si="119"/>
        <v>1:11000:5</v>
      </c>
      <c r="N151" s="16" t="str">
        <f t="shared" si="110"/>
        <v>102:1</v>
      </c>
      <c r="O151" s="17">
        <f t="shared" si="113"/>
        <v>3</v>
      </c>
      <c r="P151" s="21" t="str">
        <f t="shared" si="114"/>
        <v>所有步兵攻击增加:1</v>
      </c>
      <c r="Q151" s="21"/>
      <c r="R151" t="str">
        <f t="shared" si="102"/>
        <v>攻击</v>
      </c>
      <c r="T151" t="str">
        <f t="shared" si="120"/>
        <v>:1</v>
      </c>
      <c r="U151" t="str">
        <f t="shared" si="104"/>
        <v>步兵</v>
      </c>
      <c r="V151" t="s">
        <v>4275</v>
      </c>
      <c r="W151">
        <f>属性类型!G151</f>
        <v>102</v>
      </c>
      <c r="X151">
        <v>1</v>
      </c>
    </row>
    <row r="152" customFormat="1" ht="16.5" spans="1:24">
      <c r="A152" s="17">
        <f t="shared" si="116"/>
        <v>11206</v>
      </c>
      <c r="B152" s="17">
        <v>11200</v>
      </c>
      <c r="C152" s="17" t="str">
        <f t="shared" si="111"/>
        <v>1</v>
      </c>
      <c r="D152" s="12">
        <f t="shared" si="93"/>
        <v>10002</v>
      </c>
      <c r="E152" s="17">
        <v>1</v>
      </c>
      <c r="F152" s="17">
        <f t="shared" si="112"/>
        <v>2</v>
      </c>
      <c r="G152" s="17" t="str">
        <f t="shared" si="117"/>
        <v>中级攻击</v>
      </c>
      <c r="H152" s="17" t="str">
        <f t="shared" si="118"/>
        <v>icon_03</v>
      </c>
      <c r="I152" s="20">
        <v>0</v>
      </c>
      <c r="J152" s="17">
        <v>6</v>
      </c>
      <c r="K152" s="17">
        <f t="shared" si="115"/>
        <v>11207</v>
      </c>
      <c r="L152" s="17" t="s">
        <v>315</v>
      </c>
      <c r="M152" s="17" t="str">
        <f t="shared" si="119"/>
        <v>1:11000:5</v>
      </c>
      <c r="N152" s="16" t="str">
        <f t="shared" si="110"/>
        <v>102:1</v>
      </c>
      <c r="O152" s="17">
        <f t="shared" si="113"/>
        <v>3</v>
      </c>
      <c r="P152" s="21" t="str">
        <f t="shared" si="114"/>
        <v>所有步兵攻击增加:1</v>
      </c>
      <c r="Q152" s="21"/>
      <c r="R152" t="str">
        <f t="shared" si="102"/>
        <v>攻击</v>
      </c>
      <c r="T152" t="str">
        <f t="shared" si="120"/>
        <v>:1</v>
      </c>
      <c r="U152" t="str">
        <f t="shared" si="104"/>
        <v>步兵</v>
      </c>
      <c r="V152" t="s">
        <v>4275</v>
      </c>
      <c r="W152">
        <f>属性类型!G152</f>
        <v>102</v>
      </c>
      <c r="X152">
        <v>1</v>
      </c>
    </row>
    <row r="153" customFormat="1" ht="16.5" spans="1:24">
      <c r="A153" s="17">
        <f t="shared" si="116"/>
        <v>11207</v>
      </c>
      <c r="B153" s="17">
        <v>11200</v>
      </c>
      <c r="C153" s="17" t="str">
        <f t="shared" si="111"/>
        <v>1</v>
      </c>
      <c r="D153" s="12">
        <f t="shared" si="93"/>
        <v>10002</v>
      </c>
      <c r="E153" s="17">
        <v>1</v>
      </c>
      <c r="F153" s="17">
        <f t="shared" si="112"/>
        <v>2</v>
      </c>
      <c r="G153" s="17" t="str">
        <f t="shared" si="117"/>
        <v>中级攻击</v>
      </c>
      <c r="H153" s="17" t="str">
        <f t="shared" si="118"/>
        <v>icon_03</v>
      </c>
      <c r="I153" s="20">
        <v>0</v>
      </c>
      <c r="J153" s="17">
        <v>7</v>
      </c>
      <c r="K153" s="17">
        <f t="shared" si="115"/>
        <v>11208</v>
      </c>
      <c r="L153" s="17" t="s">
        <v>317</v>
      </c>
      <c r="M153" s="17" t="str">
        <f t="shared" si="119"/>
        <v>1:11000:5</v>
      </c>
      <c r="N153" s="16" t="str">
        <f t="shared" si="110"/>
        <v>102:1</v>
      </c>
      <c r="O153" s="17">
        <f t="shared" si="113"/>
        <v>3</v>
      </c>
      <c r="P153" s="21" t="str">
        <f t="shared" si="114"/>
        <v>所有步兵攻击增加:1</v>
      </c>
      <c r="Q153" s="21"/>
      <c r="R153" t="str">
        <f t="shared" si="102"/>
        <v>攻击</v>
      </c>
      <c r="T153" t="str">
        <f t="shared" si="120"/>
        <v>:1</v>
      </c>
      <c r="U153" t="str">
        <f t="shared" si="104"/>
        <v>步兵</v>
      </c>
      <c r="V153" t="s">
        <v>4275</v>
      </c>
      <c r="W153">
        <f>属性类型!G153</f>
        <v>102</v>
      </c>
      <c r="X153">
        <v>1</v>
      </c>
    </row>
    <row r="154" customFormat="1" ht="16.5" spans="1:24">
      <c r="A154" s="17">
        <f t="shared" si="116"/>
        <v>11208</v>
      </c>
      <c r="B154" s="17">
        <v>11200</v>
      </c>
      <c r="C154" s="17" t="str">
        <f t="shared" si="111"/>
        <v>1</v>
      </c>
      <c r="D154" s="12">
        <f t="shared" si="93"/>
        <v>10002</v>
      </c>
      <c r="E154" s="17">
        <v>1</v>
      </c>
      <c r="F154" s="17">
        <f t="shared" si="112"/>
        <v>2</v>
      </c>
      <c r="G154" s="17" t="str">
        <f t="shared" si="117"/>
        <v>中级攻击</v>
      </c>
      <c r="H154" s="17" t="str">
        <f t="shared" si="118"/>
        <v>icon_03</v>
      </c>
      <c r="I154" s="20">
        <v>0</v>
      </c>
      <c r="J154" s="17">
        <v>8</v>
      </c>
      <c r="K154" s="17">
        <f t="shared" si="115"/>
        <v>11209</v>
      </c>
      <c r="L154" s="17" t="s">
        <v>320</v>
      </c>
      <c r="M154" s="17" t="str">
        <f t="shared" si="119"/>
        <v>1:11000:5</v>
      </c>
      <c r="N154" s="16" t="str">
        <f t="shared" si="110"/>
        <v>102:1</v>
      </c>
      <c r="O154" s="17">
        <f t="shared" si="113"/>
        <v>3</v>
      </c>
      <c r="P154" s="21" t="str">
        <f t="shared" si="114"/>
        <v>所有步兵攻击增加:1</v>
      </c>
      <c r="Q154" s="21"/>
      <c r="R154" t="str">
        <f t="shared" si="102"/>
        <v>攻击</v>
      </c>
      <c r="T154" t="str">
        <f t="shared" si="120"/>
        <v>:1</v>
      </c>
      <c r="U154" t="str">
        <f t="shared" si="104"/>
        <v>步兵</v>
      </c>
      <c r="V154" t="s">
        <v>4275</v>
      </c>
      <c r="W154">
        <f>属性类型!G154</f>
        <v>102</v>
      </c>
      <c r="X154">
        <v>1</v>
      </c>
    </row>
    <row r="155" customFormat="1" ht="16.5" spans="1:24">
      <c r="A155" s="17">
        <f t="shared" si="116"/>
        <v>11209</v>
      </c>
      <c r="B155" s="17">
        <v>11200</v>
      </c>
      <c r="C155" s="17" t="str">
        <f t="shared" si="111"/>
        <v>1</v>
      </c>
      <c r="D155" s="12">
        <f t="shared" si="93"/>
        <v>10002</v>
      </c>
      <c r="E155" s="17">
        <v>1</v>
      </c>
      <c r="F155" s="17">
        <f t="shared" si="112"/>
        <v>2</v>
      </c>
      <c r="G155" s="17" t="str">
        <f t="shared" si="117"/>
        <v>中级攻击</v>
      </c>
      <c r="H155" s="17" t="str">
        <f t="shared" si="118"/>
        <v>icon_03</v>
      </c>
      <c r="I155" s="20">
        <v>0</v>
      </c>
      <c r="J155" s="17">
        <v>9</v>
      </c>
      <c r="K155" s="17">
        <f t="shared" si="115"/>
        <v>11210</v>
      </c>
      <c r="L155" s="17" t="s">
        <v>323</v>
      </c>
      <c r="M155" s="17" t="str">
        <f t="shared" si="119"/>
        <v>1:11000:5</v>
      </c>
      <c r="N155" s="16" t="str">
        <f t="shared" si="110"/>
        <v>102:1</v>
      </c>
      <c r="O155" s="17">
        <f t="shared" si="113"/>
        <v>3</v>
      </c>
      <c r="P155" s="21" t="str">
        <f t="shared" si="114"/>
        <v>所有步兵攻击增加:1</v>
      </c>
      <c r="Q155" s="21"/>
      <c r="R155" t="str">
        <f t="shared" si="102"/>
        <v>攻击</v>
      </c>
      <c r="T155" t="str">
        <f t="shared" si="120"/>
        <v>:1</v>
      </c>
      <c r="U155" t="str">
        <f t="shared" si="104"/>
        <v>步兵</v>
      </c>
      <c r="V155" t="s">
        <v>4275</v>
      </c>
      <c r="W155">
        <f>属性类型!G155</f>
        <v>102</v>
      </c>
      <c r="X155">
        <v>1</v>
      </c>
    </row>
    <row r="156" customFormat="1" ht="16.5" spans="1:24">
      <c r="A156" s="17">
        <f t="shared" si="116"/>
        <v>11210</v>
      </c>
      <c r="B156" s="17">
        <v>11200</v>
      </c>
      <c r="C156" s="17" t="str">
        <f t="shared" si="111"/>
        <v>1</v>
      </c>
      <c r="D156" s="12">
        <f t="shared" si="93"/>
        <v>10002</v>
      </c>
      <c r="E156" s="17">
        <v>1</v>
      </c>
      <c r="F156" s="17">
        <f t="shared" si="112"/>
        <v>2</v>
      </c>
      <c r="G156" s="17" t="str">
        <f t="shared" si="117"/>
        <v>中级攻击</v>
      </c>
      <c r="H156" s="17" t="str">
        <f t="shared" si="118"/>
        <v>icon_03</v>
      </c>
      <c r="I156" s="20">
        <v>0</v>
      </c>
      <c r="J156" s="17">
        <v>10</v>
      </c>
      <c r="K156" s="17">
        <v>0</v>
      </c>
      <c r="L156" s="17">
        <v>0</v>
      </c>
      <c r="M156" s="17" t="str">
        <f t="shared" si="119"/>
        <v>1:11000:5</v>
      </c>
      <c r="N156" s="16" t="str">
        <f t="shared" si="110"/>
        <v>102:1</v>
      </c>
      <c r="O156" s="17">
        <f t="shared" si="113"/>
        <v>3</v>
      </c>
      <c r="P156" s="21" t="str">
        <f t="shared" si="114"/>
        <v>所有步兵攻击增加:1</v>
      </c>
      <c r="Q156" s="21"/>
      <c r="R156" t="str">
        <f t="shared" si="102"/>
        <v>攻击</v>
      </c>
      <c r="T156" t="str">
        <f t="shared" si="120"/>
        <v>:1</v>
      </c>
      <c r="U156" t="str">
        <f t="shared" si="104"/>
        <v>步兵</v>
      </c>
      <c r="V156" t="s">
        <v>4275</v>
      </c>
      <c r="W156">
        <f>属性类型!G156</f>
        <v>102</v>
      </c>
      <c r="X156">
        <v>1</v>
      </c>
    </row>
    <row r="157" customFormat="1" ht="16.5" spans="1:24">
      <c r="A157" s="18">
        <f>A146+100</f>
        <v>11300</v>
      </c>
      <c r="B157" s="18">
        <f>ROUND(A157,-2)</f>
        <v>11300</v>
      </c>
      <c r="C157" s="18" t="str">
        <f t="shared" si="111"/>
        <v>1</v>
      </c>
      <c r="D157" s="12">
        <f t="shared" si="93"/>
        <v>10002</v>
      </c>
      <c r="E157" s="17">
        <v>1</v>
      </c>
      <c r="F157" s="18">
        <f t="shared" si="112"/>
        <v>2</v>
      </c>
      <c r="G157" s="18" t="s">
        <v>372</v>
      </c>
      <c r="H157" s="18" t="s">
        <v>96</v>
      </c>
      <c r="I157" s="20">
        <v>0</v>
      </c>
      <c r="J157" s="18">
        <v>0</v>
      </c>
      <c r="K157" s="18">
        <f t="shared" ref="K157:K166" si="121">A158</f>
        <v>11301</v>
      </c>
      <c r="L157" s="18" t="s">
        <v>297</v>
      </c>
      <c r="M157" s="18" t="s">
        <v>329</v>
      </c>
      <c r="N157" s="16" t="str">
        <f t="shared" si="110"/>
        <v>104:1</v>
      </c>
      <c r="O157" s="18">
        <f t="shared" si="113"/>
        <v>4</v>
      </c>
      <c r="P157" s="21" t="str">
        <f t="shared" si="114"/>
        <v>所有步兵魔防增加1</v>
      </c>
      <c r="Q157" s="21"/>
      <c r="R157" t="s">
        <v>4276</v>
      </c>
      <c r="T157" t="str">
        <f>RIGHT(N157,1)</f>
        <v>1</v>
      </c>
      <c r="U157" t="str">
        <f t="shared" si="104"/>
        <v>步兵</v>
      </c>
      <c r="V157" t="s">
        <v>4277</v>
      </c>
      <c r="W157">
        <f>属性类型!G157</f>
        <v>104</v>
      </c>
      <c r="X157">
        <v>1</v>
      </c>
    </row>
    <row r="158" customFormat="1" ht="16.5" spans="1:24">
      <c r="A158" s="17">
        <f t="shared" ref="A158:A167" si="122">A157+1</f>
        <v>11301</v>
      </c>
      <c r="B158" s="17">
        <v>11300</v>
      </c>
      <c r="C158" s="17" t="str">
        <f t="shared" si="111"/>
        <v>1</v>
      </c>
      <c r="D158" s="12">
        <f t="shared" si="93"/>
        <v>10002</v>
      </c>
      <c r="E158" s="17">
        <v>1</v>
      </c>
      <c r="F158" s="17">
        <f t="shared" si="112"/>
        <v>2</v>
      </c>
      <c r="G158" s="17" t="str">
        <f t="shared" ref="G158:G167" si="123">G157</f>
        <v>中级魔防</v>
      </c>
      <c r="H158" s="17" t="str">
        <f t="shared" ref="H158:H167" si="124">H157</f>
        <v>icon_04</v>
      </c>
      <c r="I158" s="20">
        <v>0</v>
      </c>
      <c r="J158" s="17">
        <v>1</v>
      </c>
      <c r="K158" s="17">
        <f t="shared" si="121"/>
        <v>0</v>
      </c>
      <c r="L158" s="17" t="s">
        <v>300</v>
      </c>
      <c r="M158" s="17" t="str">
        <f t="shared" ref="M158:M167" si="125">M157</f>
        <v>1:11000:5</v>
      </c>
      <c r="N158" s="16" t="str">
        <f t="shared" si="110"/>
        <v>104:1</v>
      </c>
      <c r="O158" s="17">
        <f t="shared" si="113"/>
        <v>4</v>
      </c>
      <c r="P158" s="21" t="str">
        <f t="shared" si="114"/>
        <v>所有步兵魔防增加:1</v>
      </c>
      <c r="Q158" s="21"/>
      <c r="R158" t="str">
        <f t="shared" si="102"/>
        <v>魔防</v>
      </c>
      <c r="T158" t="str">
        <f t="shared" si="120"/>
        <v>:1</v>
      </c>
      <c r="U158" t="str">
        <f t="shared" si="104"/>
        <v>步兵</v>
      </c>
      <c r="V158" t="s">
        <v>4277</v>
      </c>
      <c r="W158">
        <f>属性类型!G158</f>
        <v>104</v>
      </c>
      <c r="X158">
        <v>1</v>
      </c>
    </row>
    <row r="159" customFormat="1" ht="16.5" spans="1:24">
      <c r="A159" s="17">
        <f t="shared" si="122"/>
        <v>11302</v>
      </c>
      <c r="B159" s="17">
        <v>11300</v>
      </c>
      <c r="C159" s="17" t="str">
        <f t="shared" si="111"/>
        <v>1</v>
      </c>
      <c r="D159" s="12">
        <f t="shared" si="93"/>
        <v>10002</v>
      </c>
      <c r="E159" s="17">
        <v>1</v>
      </c>
      <c r="F159" s="17">
        <f t="shared" si="112"/>
        <v>2</v>
      </c>
      <c r="G159" s="17" t="str">
        <f t="shared" si="123"/>
        <v>中级魔防</v>
      </c>
      <c r="H159" s="17" t="str">
        <f t="shared" si="124"/>
        <v>icon_04</v>
      </c>
      <c r="I159" s="20">
        <v>0</v>
      </c>
      <c r="J159" s="17">
        <v>2</v>
      </c>
      <c r="K159" s="17">
        <f t="shared" si="121"/>
        <v>11303</v>
      </c>
      <c r="L159" s="17" t="s">
        <v>304</v>
      </c>
      <c r="M159" s="17" t="str">
        <f t="shared" si="125"/>
        <v>1:11000:5</v>
      </c>
      <c r="N159" s="16" t="str">
        <f t="shared" si="110"/>
        <v>104:1</v>
      </c>
      <c r="O159" s="17">
        <f t="shared" si="113"/>
        <v>4</v>
      </c>
      <c r="P159" s="21" t="str">
        <f t="shared" si="114"/>
        <v>所有步兵魔防增加:1</v>
      </c>
      <c r="Q159" s="21"/>
      <c r="R159" t="str">
        <f t="shared" si="102"/>
        <v>魔防</v>
      </c>
      <c r="T159" t="str">
        <f t="shared" si="120"/>
        <v>:1</v>
      </c>
      <c r="U159" t="str">
        <f t="shared" si="104"/>
        <v>步兵</v>
      </c>
      <c r="V159" t="s">
        <v>4277</v>
      </c>
      <c r="W159">
        <f>属性类型!G159</f>
        <v>104</v>
      </c>
      <c r="X159">
        <v>1</v>
      </c>
    </row>
    <row r="160" customFormat="1" ht="16.5" spans="1:24">
      <c r="A160" s="17">
        <f t="shared" si="122"/>
        <v>11303</v>
      </c>
      <c r="B160" s="17">
        <v>11300</v>
      </c>
      <c r="C160" s="17" t="str">
        <f t="shared" si="111"/>
        <v>1</v>
      </c>
      <c r="D160" s="12">
        <f t="shared" si="93"/>
        <v>10002</v>
      </c>
      <c r="E160" s="17">
        <v>1</v>
      </c>
      <c r="F160" s="17">
        <f t="shared" si="112"/>
        <v>2</v>
      </c>
      <c r="G160" s="17" t="str">
        <f t="shared" si="123"/>
        <v>中级魔防</v>
      </c>
      <c r="H160" s="17" t="str">
        <f t="shared" si="124"/>
        <v>icon_04</v>
      </c>
      <c r="I160" s="20">
        <v>0</v>
      </c>
      <c r="J160" s="17">
        <v>3</v>
      </c>
      <c r="K160" s="17">
        <f t="shared" si="121"/>
        <v>11304</v>
      </c>
      <c r="L160" s="17" t="s">
        <v>307</v>
      </c>
      <c r="M160" s="17" t="str">
        <f t="shared" si="125"/>
        <v>1:11000:5</v>
      </c>
      <c r="N160" s="16" t="str">
        <f t="shared" si="110"/>
        <v>104:1</v>
      </c>
      <c r="O160" s="17">
        <f t="shared" si="113"/>
        <v>4</v>
      </c>
      <c r="P160" s="21" t="str">
        <f t="shared" si="114"/>
        <v>所有步兵魔防增加:1</v>
      </c>
      <c r="Q160" s="21"/>
      <c r="R160" t="str">
        <f t="shared" si="102"/>
        <v>魔防</v>
      </c>
      <c r="T160" t="str">
        <f t="shared" si="120"/>
        <v>:1</v>
      </c>
      <c r="U160" t="str">
        <f t="shared" si="104"/>
        <v>步兵</v>
      </c>
      <c r="V160" t="s">
        <v>4277</v>
      </c>
      <c r="W160">
        <f>属性类型!G160</f>
        <v>104</v>
      </c>
      <c r="X160">
        <v>1</v>
      </c>
    </row>
    <row r="161" customFormat="1" ht="16.5" spans="1:24">
      <c r="A161" s="17">
        <f t="shared" si="122"/>
        <v>11304</v>
      </c>
      <c r="B161" s="17">
        <v>11300</v>
      </c>
      <c r="C161" s="17" t="str">
        <f t="shared" si="111"/>
        <v>1</v>
      </c>
      <c r="D161" s="12">
        <f t="shared" si="93"/>
        <v>10002</v>
      </c>
      <c r="E161" s="17">
        <v>1</v>
      </c>
      <c r="F161" s="17">
        <f t="shared" si="112"/>
        <v>2</v>
      </c>
      <c r="G161" s="17" t="str">
        <f t="shared" si="123"/>
        <v>中级魔防</v>
      </c>
      <c r="H161" s="17" t="str">
        <f t="shared" si="124"/>
        <v>icon_04</v>
      </c>
      <c r="I161" s="20">
        <v>0</v>
      </c>
      <c r="J161" s="17">
        <v>4</v>
      </c>
      <c r="K161" s="17">
        <f t="shared" si="121"/>
        <v>11305</v>
      </c>
      <c r="L161" s="17" t="s">
        <v>309</v>
      </c>
      <c r="M161" s="17" t="str">
        <f t="shared" si="125"/>
        <v>1:11000:5</v>
      </c>
      <c r="N161" s="16" t="str">
        <f t="shared" si="110"/>
        <v>104:1</v>
      </c>
      <c r="O161" s="17">
        <f t="shared" si="113"/>
        <v>4</v>
      </c>
      <c r="P161" s="21" t="str">
        <f t="shared" si="114"/>
        <v>所有步兵魔防增加:1</v>
      </c>
      <c r="Q161" s="21"/>
      <c r="R161" t="str">
        <f t="shared" si="102"/>
        <v>魔防</v>
      </c>
      <c r="T161" t="str">
        <f t="shared" si="120"/>
        <v>:1</v>
      </c>
      <c r="U161" t="str">
        <f t="shared" si="104"/>
        <v>步兵</v>
      </c>
      <c r="V161" t="s">
        <v>4277</v>
      </c>
      <c r="W161">
        <f>属性类型!G161</f>
        <v>104</v>
      </c>
      <c r="X161">
        <v>1</v>
      </c>
    </row>
    <row r="162" customFormat="1" ht="16.5" spans="1:24">
      <c r="A162" s="17">
        <f t="shared" si="122"/>
        <v>11305</v>
      </c>
      <c r="B162" s="17">
        <v>11300</v>
      </c>
      <c r="C162" s="17" t="str">
        <f t="shared" si="111"/>
        <v>1</v>
      </c>
      <c r="D162" s="12">
        <f t="shared" si="93"/>
        <v>10002</v>
      </c>
      <c r="E162" s="17">
        <v>1</v>
      </c>
      <c r="F162" s="17">
        <f t="shared" si="112"/>
        <v>2</v>
      </c>
      <c r="G162" s="17" t="str">
        <f t="shared" si="123"/>
        <v>中级魔防</v>
      </c>
      <c r="H162" s="17" t="str">
        <f t="shared" si="124"/>
        <v>icon_04</v>
      </c>
      <c r="I162" s="20">
        <v>0</v>
      </c>
      <c r="J162" s="17">
        <v>5</v>
      </c>
      <c r="K162" s="17">
        <f t="shared" si="121"/>
        <v>11306</v>
      </c>
      <c r="L162" s="17" t="s">
        <v>312</v>
      </c>
      <c r="M162" s="17" t="str">
        <f t="shared" si="125"/>
        <v>1:11000:5</v>
      </c>
      <c r="N162" s="16" t="str">
        <f t="shared" si="110"/>
        <v>104:1</v>
      </c>
      <c r="O162" s="17">
        <f t="shared" si="113"/>
        <v>4</v>
      </c>
      <c r="P162" s="21" t="str">
        <f t="shared" si="114"/>
        <v>所有步兵魔防增加:1</v>
      </c>
      <c r="Q162" s="21"/>
      <c r="R162" t="str">
        <f t="shared" si="102"/>
        <v>魔防</v>
      </c>
      <c r="T162" t="str">
        <f t="shared" si="120"/>
        <v>:1</v>
      </c>
      <c r="U162" t="str">
        <f t="shared" si="104"/>
        <v>步兵</v>
      </c>
      <c r="V162" t="s">
        <v>4277</v>
      </c>
      <c r="W162">
        <f>属性类型!G162</f>
        <v>104</v>
      </c>
      <c r="X162">
        <v>1</v>
      </c>
    </row>
    <row r="163" customFormat="1" ht="16.5" spans="1:24">
      <c r="A163" s="17">
        <f t="shared" si="122"/>
        <v>11306</v>
      </c>
      <c r="B163" s="17">
        <v>11300</v>
      </c>
      <c r="C163" s="17" t="str">
        <f t="shared" si="111"/>
        <v>1</v>
      </c>
      <c r="D163" s="12">
        <f t="shared" ref="D163:D226" si="126">$A$4+F163</f>
        <v>10002</v>
      </c>
      <c r="E163" s="17">
        <v>1</v>
      </c>
      <c r="F163" s="17">
        <f t="shared" si="112"/>
        <v>2</v>
      </c>
      <c r="G163" s="17" t="str">
        <f t="shared" si="123"/>
        <v>中级魔防</v>
      </c>
      <c r="H163" s="17" t="str">
        <f t="shared" si="124"/>
        <v>icon_04</v>
      </c>
      <c r="I163" s="20">
        <v>0</v>
      </c>
      <c r="J163" s="17">
        <v>6</v>
      </c>
      <c r="K163" s="17">
        <f t="shared" si="121"/>
        <v>11307</v>
      </c>
      <c r="L163" s="17" t="s">
        <v>315</v>
      </c>
      <c r="M163" s="17" t="str">
        <f t="shared" si="125"/>
        <v>1:11000:5</v>
      </c>
      <c r="N163" s="16" t="str">
        <f t="shared" si="110"/>
        <v>104:1</v>
      </c>
      <c r="O163" s="17">
        <f t="shared" si="113"/>
        <v>4</v>
      </c>
      <c r="P163" s="21" t="str">
        <f t="shared" si="114"/>
        <v>所有步兵魔防增加:1</v>
      </c>
      <c r="Q163" s="21"/>
      <c r="R163" t="str">
        <f t="shared" si="102"/>
        <v>魔防</v>
      </c>
      <c r="T163" t="str">
        <f t="shared" si="120"/>
        <v>:1</v>
      </c>
      <c r="U163" t="str">
        <f t="shared" si="104"/>
        <v>步兵</v>
      </c>
      <c r="V163" t="s">
        <v>4277</v>
      </c>
      <c r="W163">
        <f>属性类型!G163</f>
        <v>104</v>
      </c>
      <c r="X163">
        <v>1</v>
      </c>
    </row>
    <row r="164" customFormat="1" ht="16.5" spans="1:24">
      <c r="A164" s="17">
        <f t="shared" si="122"/>
        <v>11307</v>
      </c>
      <c r="B164" s="17">
        <v>11300</v>
      </c>
      <c r="C164" s="17" t="str">
        <f t="shared" si="111"/>
        <v>1</v>
      </c>
      <c r="D164" s="12">
        <f t="shared" si="126"/>
        <v>10002</v>
      </c>
      <c r="E164" s="17">
        <v>1</v>
      </c>
      <c r="F164" s="17">
        <f t="shared" si="112"/>
        <v>2</v>
      </c>
      <c r="G164" s="17" t="str">
        <f t="shared" si="123"/>
        <v>中级魔防</v>
      </c>
      <c r="H164" s="17" t="str">
        <f t="shared" si="124"/>
        <v>icon_04</v>
      </c>
      <c r="I164" s="20">
        <v>0</v>
      </c>
      <c r="J164" s="17">
        <v>7</v>
      </c>
      <c r="K164" s="17">
        <f t="shared" si="121"/>
        <v>11308</v>
      </c>
      <c r="L164" s="17" t="s">
        <v>317</v>
      </c>
      <c r="M164" s="17" t="str">
        <f t="shared" si="125"/>
        <v>1:11000:5</v>
      </c>
      <c r="N164" s="16" t="str">
        <f t="shared" si="110"/>
        <v>104:1</v>
      </c>
      <c r="O164" s="17">
        <f t="shared" si="113"/>
        <v>4</v>
      </c>
      <c r="P164" s="21" t="str">
        <f t="shared" si="114"/>
        <v>所有步兵魔防增加:1</v>
      </c>
      <c r="Q164" s="21"/>
      <c r="R164" t="str">
        <f t="shared" si="102"/>
        <v>魔防</v>
      </c>
      <c r="T164" t="str">
        <f t="shared" si="120"/>
        <v>:1</v>
      </c>
      <c r="U164" t="str">
        <f t="shared" si="104"/>
        <v>步兵</v>
      </c>
      <c r="V164" t="s">
        <v>4277</v>
      </c>
      <c r="W164">
        <f>属性类型!G164</f>
        <v>104</v>
      </c>
      <c r="X164">
        <v>1</v>
      </c>
    </row>
    <row r="165" customFormat="1" ht="16.5" spans="1:24">
      <c r="A165" s="17">
        <f t="shared" si="122"/>
        <v>11308</v>
      </c>
      <c r="B165" s="17">
        <v>11300</v>
      </c>
      <c r="C165" s="17" t="str">
        <f t="shared" si="111"/>
        <v>1</v>
      </c>
      <c r="D165" s="12">
        <f t="shared" si="126"/>
        <v>10002</v>
      </c>
      <c r="E165" s="17">
        <v>1</v>
      </c>
      <c r="F165" s="17">
        <f t="shared" si="112"/>
        <v>2</v>
      </c>
      <c r="G165" s="17" t="str">
        <f t="shared" si="123"/>
        <v>中级魔防</v>
      </c>
      <c r="H165" s="17" t="str">
        <f t="shared" si="124"/>
        <v>icon_04</v>
      </c>
      <c r="I165" s="20">
        <v>0</v>
      </c>
      <c r="J165" s="17">
        <v>8</v>
      </c>
      <c r="K165" s="17">
        <f t="shared" si="121"/>
        <v>11309</v>
      </c>
      <c r="L165" s="17" t="s">
        <v>320</v>
      </c>
      <c r="M165" s="17" t="str">
        <f t="shared" si="125"/>
        <v>1:11000:5</v>
      </c>
      <c r="N165" s="16" t="str">
        <f t="shared" si="110"/>
        <v>104:1</v>
      </c>
      <c r="O165" s="17">
        <f t="shared" si="113"/>
        <v>4</v>
      </c>
      <c r="P165" s="21" t="str">
        <f t="shared" si="114"/>
        <v>所有步兵魔防增加:1</v>
      </c>
      <c r="Q165" s="21"/>
      <c r="R165" t="str">
        <f t="shared" si="102"/>
        <v>魔防</v>
      </c>
      <c r="T165" t="str">
        <f t="shared" si="120"/>
        <v>:1</v>
      </c>
      <c r="U165" t="str">
        <f t="shared" si="104"/>
        <v>步兵</v>
      </c>
      <c r="V165" t="s">
        <v>4277</v>
      </c>
      <c r="W165">
        <f>属性类型!G165</f>
        <v>104</v>
      </c>
      <c r="X165">
        <v>1</v>
      </c>
    </row>
    <row r="166" customFormat="1" ht="16.5" spans="1:24">
      <c r="A166" s="17">
        <f t="shared" si="122"/>
        <v>11309</v>
      </c>
      <c r="B166" s="17">
        <v>11300</v>
      </c>
      <c r="C166" s="17" t="str">
        <f t="shared" si="111"/>
        <v>1</v>
      </c>
      <c r="D166" s="12">
        <f t="shared" si="126"/>
        <v>10002</v>
      </c>
      <c r="E166" s="17">
        <v>1</v>
      </c>
      <c r="F166" s="17">
        <f t="shared" si="112"/>
        <v>2</v>
      </c>
      <c r="G166" s="17" t="str">
        <f t="shared" si="123"/>
        <v>中级魔防</v>
      </c>
      <c r="H166" s="17" t="str">
        <f t="shared" si="124"/>
        <v>icon_04</v>
      </c>
      <c r="I166" s="20">
        <v>0</v>
      </c>
      <c r="J166" s="17">
        <v>9</v>
      </c>
      <c r="K166" s="17">
        <f t="shared" si="121"/>
        <v>11310</v>
      </c>
      <c r="L166" s="17" t="s">
        <v>323</v>
      </c>
      <c r="M166" s="17" t="str">
        <f t="shared" si="125"/>
        <v>1:11000:5</v>
      </c>
      <c r="N166" s="16" t="str">
        <f t="shared" si="110"/>
        <v>104:1</v>
      </c>
      <c r="O166" s="17">
        <f t="shared" si="113"/>
        <v>4</v>
      </c>
      <c r="P166" s="21" t="str">
        <f t="shared" si="114"/>
        <v>所有步兵魔防增加:1</v>
      </c>
      <c r="Q166" s="21"/>
      <c r="R166" t="str">
        <f t="shared" si="102"/>
        <v>魔防</v>
      </c>
      <c r="T166" t="str">
        <f t="shared" si="120"/>
        <v>:1</v>
      </c>
      <c r="U166" t="str">
        <f t="shared" si="104"/>
        <v>步兵</v>
      </c>
      <c r="V166" t="s">
        <v>4277</v>
      </c>
      <c r="W166">
        <f>属性类型!G166</f>
        <v>104</v>
      </c>
      <c r="X166">
        <v>1</v>
      </c>
    </row>
    <row r="167" customFormat="1" ht="16.5" spans="1:24">
      <c r="A167" s="17">
        <f t="shared" si="122"/>
        <v>11310</v>
      </c>
      <c r="B167" s="17">
        <v>11300</v>
      </c>
      <c r="C167" s="17" t="str">
        <f t="shared" si="111"/>
        <v>1</v>
      </c>
      <c r="D167" s="12">
        <f t="shared" si="126"/>
        <v>10002</v>
      </c>
      <c r="E167" s="17">
        <v>1</v>
      </c>
      <c r="F167" s="17">
        <f t="shared" si="112"/>
        <v>2</v>
      </c>
      <c r="G167" s="17" t="str">
        <f t="shared" si="123"/>
        <v>中级魔防</v>
      </c>
      <c r="H167" s="17" t="str">
        <f t="shared" si="124"/>
        <v>icon_04</v>
      </c>
      <c r="I167" s="20">
        <v>0</v>
      </c>
      <c r="J167" s="17">
        <v>10</v>
      </c>
      <c r="K167" s="17">
        <v>0</v>
      </c>
      <c r="L167" s="17">
        <v>0</v>
      </c>
      <c r="M167" s="17" t="str">
        <f t="shared" si="125"/>
        <v>1:11000:5</v>
      </c>
      <c r="N167" s="16" t="str">
        <f t="shared" si="110"/>
        <v>104:1</v>
      </c>
      <c r="O167" s="17">
        <f t="shared" si="113"/>
        <v>4</v>
      </c>
      <c r="P167" s="21" t="str">
        <f t="shared" si="114"/>
        <v>所有步兵魔防增加:1</v>
      </c>
      <c r="Q167" s="21"/>
      <c r="R167" t="str">
        <f t="shared" si="102"/>
        <v>魔防</v>
      </c>
      <c r="T167" t="str">
        <f t="shared" si="120"/>
        <v>:1</v>
      </c>
      <c r="U167" t="str">
        <f t="shared" si="104"/>
        <v>步兵</v>
      </c>
      <c r="V167" t="s">
        <v>4277</v>
      </c>
      <c r="W167">
        <f>属性类型!G167</f>
        <v>104</v>
      </c>
      <c r="X167">
        <v>1</v>
      </c>
    </row>
    <row r="168" customFormat="1" ht="16.5" spans="1:24">
      <c r="A168" s="18">
        <f>A157+100</f>
        <v>11400</v>
      </c>
      <c r="B168" s="18">
        <f>ROUND(A168,-2)</f>
        <v>11400</v>
      </c>
      <c r="C168" s="18" t="str">
        <f t="shared" si="111"/>
        <v>1</v>
      </c>
      <c r="D168" s="12">
        <f t="shared" si="126"/>
        <v>10002</v>
      </c>
      <c r="E168" s="17">
        <v>1</v>
      </c>
      <c r="F168" s="18">
        <f t="shared" si="112"/>
        <v>2</v>
      </c>
      <c r="G168" s="18" t="s">
        <v>4348</v>
      </c>
      <c r="H168" s="18" t="s">
        <v>112</v>
      </c>
      <c r="I168" s="20">
        <v>0</v>
      </c>
      <c r="J168" s="18">
        <v>0</v>
      </c>
      <c r="K168" s="18">
        <f t="shared" ref="K168:K182" si="127">A169</f>
        <v>11401</v>
      </c>
      <c r="L168" s="18" t="s">
        <v>297</v>
      </c>
      <c r="M168" s="18" t="s">
        <v>396</v>
      </c>
      <c r="N168" s="16" t="str">
        <f t="shared" si="110"/>
        <v>108:1</v>
      </c>
      <c r="O168" s="18">
        <f t="shared" si="113"/>
        <v>5</v>
      </c>
      <c r="P168" s="21" t="str">
        <f t="shared" si="114"/>
        <v>所有步兵防御百分比增加1</v>
      </c>
      <c r="Q168" s="21"/>
      <c r="R168" t="s">
        <v>4278</v>
      </c>
      <c r="T168" t="str">
        <f>RIGHT(N168,1)</f>
        <v>1</v>
      </c>
      <c r="U168" t="str">
        <f t="shared" si="104"/>
        <v>步兵</v>
      </c>
      <c r="V168" t="s">
        <v>4279</v>
      </c>
      <c r="W168">
        <f>属性类型!G168</f>
        <v>108</v>
      </c>
      <c r="X168">
        <v>1</v>
      </c>
    </row>
    <row r="169" customFormat="1" ht="16.5" spans="1:24">
      <c r="A169" s="17">
        <f t="shared" ref="A169:A179" si="128">A168+1</f>
        <v>11401</v>
      </c>
      <c r="B169" s="17">
        <v>11400</v>
      </c>
      <c r="C169" s="17" t="str">
        <f t="shared" si="111"/>
        <v>1</v>
      </c>
      <c r="D169" s="12">
        <f t="shared" si="126"/>
        <v>10002</v>
      </c>
      <c r="E169" s="17">
        <v>1</v>
      </c>
      <c r="F169" s="17">
        <f t="shared" si="112"/>
        <v>2</v>
      </c>
      <c r="G169" s="17" t="str">
        <f t="shared" ref="G169:G183" si="129">G168</f>
        <v>中级生命百分比</v>
      </c>
      <c r="H169" s="17" t="str">
        <f t="shared" ref="H169:H183" si="130">H168</f>
        <v>icon_05</v>
      </c>
      <c r="I169" s="20">
        <v>0</v>
      </c>
      <c r="J169" s="17">
        <v>1</v>
      </c>
      <c r="K169" s="17">
        <f t="shared" si="127"/>
        <v>0</v>
      </c>
      <c r="L169" s="17" t="s">
        <v>300</v>
      </c>
      <c r="M169" s="17" t="str">
        <f t="shared" ref="M169:M183" si="131">M168</f>
        <v>1:11100:5</v>
      </c>
      <c r="N169" s="16" t="str">
        <f t="shared" si="110"/>
        <v>108:1</v>
      </c>
      <c r="O169" s="17">
        <f t="shared" si="113"/>
        <v>5</v>
      </c>
      <c r="P169" s="21" t="str">
        <f t="shared" si="114"/>
        <v>所有步兵防御百分比增加:1</v>
      </c>
      <c r="Q169" s="21"/>
      <c r="R169" t="str">
        <f t="shared" si="102"/>
        <v>防御百分比</v>
      </c>
      <c r="T169" t="str">
        <f t="shared" si="120"/>
        <v>:1</v>
      </c>
      <c r="U169" t="str">
        <f t="shared" si="104"/>
        <v>步兵</v>
      </c>
      <c r="V169" t="s">
        <v>4279</v>
      </c>
      <c r="W169">
        <f>属性类型!G169</f>
        <v>108</v>
      </c>
      <c r="X169">
        <v>1</v>
      </c>
    </row>
    <row r="170" customFormat="1" ht="16.5" spans="1:24">
      <c r="A170" s="17">
        <f t="shared" si="128"/>
        <v>11402</v>
      </c>
      <c r="B170" s="17">
        <v>11400</v>
      </c>
      <c r="C170" s="17" t="str">
        <f t="shared" si="111"/>
        <v>1</v>
      </c>
      <c r="D170" s="12">
        <f t="shared" si="126"/>
        <v>10002</v>
      </c>
      <c r="E170" s="17">
        <v>1</v>
      </c>
      <c r="F170" s="17">
        <f t="shared" si="112"/>
        <v>2</v>
      </c>
      <c r="G170" s="17" t="str">
        <f t="shared" si="129"/>
        <v>中级生命百分比</v>
      </c>
      <c r="H170" s="17" t="str">
        <f t="shared" si="130"/>
        <v>icon_05</v>
      </c>
      <c r="I170" s="20">
        <v>0</v>
      </c>
      <c r="J170" s="17">
        <v>2</v>
      </c>
      <c r="K170" s="17">
        <f t="shared" si="127"/>
        <v>11403</v>
      </c>
      <c r="L170" s="17" t="s">
        <v>304</v>
      </c>
      <c r="M170" s="17" t="str">
        <f t="shared" si="131"/>
        <v>1:11100:5</v>
      </c>
      <c r="N170" s="16" t="str">
        <f t="shared" si="110"/>
        <v>108:1</v>
      </c>
      <c r="O170" s="17">
        <f t="shared" si="113"/>
        <v>5</v>
      </c>
      <c r="P170" s="21" t="str">
        <f t="shared" si="114"/>
        <v>所有步兵防御百分比增加:1</v>
      </c>
      <c r="Q170" s="21"/>
      <c r="R170" t="str">
        <f t="shared" ref="R170:R233" si="132">R169</f>
        <v>防御百分比</v>
      </c>
      <c r="T170" t="str">
        <f t="shared" si="120"/>
        <v>:1</v>
      </c>
      <c r="U170" t="str">
        <f t="shared" si="104"/>
        <v>步兵</v>
      </c>
      <c r="V170" t="s">
        <v>4279</v>
      </c>
      <c r="W170">
        <f>属性类型!G170</f>
        <v>108</v>
      </c>
      <c r="X170">
        <v>1</v>
      </c>
    </row>
    <row r="171" customFormat="1" ht="16.5" spans="1:24">
      <c r="A171" s="17">
        <f t="shared" si="128"/>
        <v>11403</v>
      </c>
      <c r="B171" s="17">
        <v>11400</v>
      </c>
      <c r="C171" s="17" t="str">
        <f t="shared" si="111"/>
        <v>1</v>
      </c>
      <c r="D171" s="12">
        <f t="shared" si="126"/>
        <v>10002</v>
      </c>
      <c r="E171" s="17">
        <v>1</v>
      </c>
      <c r="F171" s="17">
        <f t="shared" si="112"/>
        <v>2</v>
      </c>
      <c r="G171" s="17" t="str">
        <f t="shared" si="129"/>
        <v>中级生命百分比</v>
      </c>
      <c r="H171" s="17" t="str">
        <f t="shared" si="130"/>
        <v>icon_05</v>
      </c>
      <c r="I171" s="20">
        <v>0</v>
      </c>
      <c r="J171" s="17">
        <v>3</v>
      </c>
      <c r="K171" s="17">
        <f t="shared" si="127"/>
        <v>11404</v>
      </c>
      <c r="L171" s="17" t="s">
        <v>307</v>
      </c>
      <c r="M171" s="17" t="str">
        <f t="shared" si="131"/>
        <v>1:11100:5</v>
      </c>
      <c r="N171" s="16" t="str">
        <f t="shared" si="110"/>
        <v>108:1</v>
      </c>
      <c r="O171" s="17">
        <f t="shared" si="113"/>
        <v>5</v>
      </c>
      <c r="P171" s="21" t="str">
        <f t="shared" si="114"/>
        <v>所有步兵防御百分比增加:1</v>
      </c>
      <c r="Q171" s="21"/>
      <c r="R171" t="str">
        <f t="shared" si="132"/>
        <v>防御百分比</v>
      </c>
      <c r="T171" t="str">
        <f t="shared" si="120"/>
        <v>:1</v>
      </c>
      <c r="U171" t="str">
        <f t="shared" si="104"/>
        <v>步兵</v>
      </c>
      <c r="V171" t="s">
        <v>4279</v>
      </c>
      <c r="W171">
        <f>属性类型!G171</f>
        <v>108</v>
      </c>
      <c r="X171">
        <v>1</v>
      </c>
    </row>
    <row r="172" customFormat="1" ht="16.5" spans="1:24">
      <c r="A172" s="17">
        <f t="shared" si="128"/>
        <v>11404</v>
      </c>
      <c r="B172" s="17">
        <v>11400</v>
      </c>
      <c r="C172" s="17" t="str">
        <f t="shared" si="111"/>
        <v>1</v>
      </c>
      <c r="D172" s="12">
        <f t="shared" si="126"/>
        <v>10002</v>
      </c>
      <c r="E172" s="17">
        <v>1</v>
      </c>
      <c r="F172" s="17">
        <f t="shared" si="112"/>
        <v>2</v>
      </c>
      <c r="G172" s="17" t="str">
        <f t="shared" si="129"/>
        <v>中级生命百分比</v>
      </c>
      <c r="H172" s="17" t="str">
        <f t="shared" si="130"/>
        <v>icon_05</v>
      </c>
      <c r="I172" s="20">
        <v>0</v>
      </c>
      <c r="J172" s="17">
        <v>4</v>
      </c>
      <c r="K172" s="17">
        <f t="shared" si="127"/>
        <v>11405</v>
      </c>
      <c r="L172" s="17" t="s">
        <v>309</v>
      </c>
      <c r="M172" s="17" t="str">
        <f t="shared" si="131"/>
        <v>1:11100:5</v>
      </c>
      <c r="N172" s="16" t="str">
        <f t="shared" si="110"/>
        <v>108:1</v>
      </c>
      <c r="O172" s="17">
        <f t="shared" si="113"/>
        <v>5</v>
      </c>
      <c r="P172" s="21" t="str">
        <f t="shared" si="114"/>
        <v>所有步兵防御百分比增加:1</v>
      </c>
      <c r="Q172" s="21"/>
      <c r="R172" t="str">
        <f t="shared" si="132"/>
        <v>防御百分比</v>
      </c>
      <c r="T172" t="str">
        <f t="shared" si="120"/>
        <v>:1</v>
      </c>
      <c r="U172" t="str">
        <f t="shared" si="104"/>
        <v>步兵</v>
      </c>
      <c r="V172" t="s">
        <v>4279</v>
      </c>
      <c r="W172">
        <f>属性类型!G172</f>
        <v>108</v>
      </c>
      <c r="X172">
        <v>1</v>
      </c>
    </row>
    <row r="173" customFormat="1" ht="16.5" spans="1:24">
      <c r="A173" s="17">
        <f t="shared" si="128"/>
        <v>11405</v>
      </c>
      <c r="B173" s="17">
        <v>11400</v>
      </c>
      <c r="C173" s="17" t="str">
        <f t="shared" si="111"/>
        <v>1</v>
      </c>
      <c r="D173" s="12">
        <f t="shared" si="126"/>
        <v>10002</v>
      </c>
      <c r="E173" s="17">
        <v>1</v>
      </c>
      <c r="F173" s="17">
        <f t="shared" si="112"/>
        <v>2</v>
      </c>
      <c r="G173" s="17" t="str">
        <f t="shared" si="129"/>
        <v>中级生命百分比</v>
      </c>
      <c r="H173" s="17" t="str">
        <f t="shared" si="130"/>
        <v>icon_05</v>
      </c>
      <c r="I173" s="20">
        <v>0</v>
      </c>
      <c r="J173" s="17">
        <v>5</v>
      </c>
      <c r="K173" s="17">
        <f t="shared" si="127"/>
        <v>11406</v>
      </c>
      <c r="L173" s="17" t="s">
        <v>312</v>
      </c>
      <c r="M173" s="17" t="str">
        <f t="shared" si="131"/>
        <v>1:11100:5</v>
      </c>
      <c r="N173" s="16" t="str">
        <f t="shared" si="110"/>
        <v>108:1</v>
      </c>
      <c r="O173" s="17">
        <f t="shared" si="113"/>
        <v>5</v>
      </c>
      <c r="P173" s="21" t="str">
        <f t="shared" si="114"/>
        <v>所有步兵防御百分比增加:1</v>
      </c>
      <c r="Q173" s="21"/>
      <c r="R173" t="str">
        <f t="shared" si="132"/>
        <v>防御百分比</v>
      </c>
      <c r="T173" t="str">
        <f t="shared" si="120"/>
        <v>:1</v>
      </c>
      <c r="U173" t="str">
        <f t="shared" si="104"/>
        <v>步兵</v>
      </c>
      <c r="V173" t="s">
        <v>4279</v>
      </c>
      <c r="W173">
        <f>属性类型!G173</f>
        <v>108</v>
      </c>
      <c r="X173">
        <v>1</v>
      </c>
    </row>
    <row r="174" customFormat="1" ht="16.5" spans="1:24">
      <c r="A174" s="17">
        <f t="shared" si="128"/>
        <v>11406</v>
      </c>
      <c r="B174" s="17">
        <v>11400</v>
      </c>
      <c r="C174" s="17" t="str">
        <f t="shared" si="111"/>
        <v>1</v>
      </c>
      <c r="D174" s="12">
        <f t="shared" si="126"/>
        <v>10002</v>
      </c>
      <c r="E174" s="17">
        <v>1</v>
      </c>
      <c r="F174" s="17">
        <f t="shared" si="112"/>
        <v>2</v>
      </c>
      <c r="G174" s="17" t="str">
        <f t="shared" si="129"/>
        <v>中级生命百分比</v>
      </c>
      <c r="H174" s="17" t="str">
        <f t="shared" si="130"/>
        <v>icon_05</v>
      </c>
      <c r="I174" s="20">
        <v>0</v>
      </c>
      <c r="J174" s="17">
        <v>6</v>
      </c>
      <c r="K174" s="17">
        <f t="shared" si="127"/>
        <v>11407</v>
      </c>
      <c r="L174" s="17" t="s">
        <v>315</v>
      </c>
      <c r="M174" s="17" t="str">
        <f t="shared" si="131"/>
        <v>1:11100:5</v>
      </c>
      <c r="N174" s="16" t="str">
        <f t="shared" si="110"/>
        <v>108:1</v>
      </c>
      <c r="O174" s="17">
        <f t="shared" si="113"/>
        <v>5</v>
      </c>
      <c r="P174" s="21" t="str">
        <f t="shared" si="114"/>
        <v>所有步兵防御百分比增加:1</v>
      </c>
      <c r="Q174" s="21"/>
      <c r="R174" t="str">
        <f t="shared" si="132"/>
        <v>防御百分比</v>
      </c>
      <c r="T174" t="str">
        <f t="shared" si="120"/>
        <v>:1</v>
      </c>
      <c r="U174" t="str">
        <f t="shared" si="104"/>
        <v>步兵</v>
      </c>
      <c r="V174" t="s">
        <v>4279</v>
      </c>
      <c r="W174">
        <f>属性类型!G174</f>
        <v>108</v>
      </c>
      <c r="X174">
        <v>1</v>
      </c>
    </row>
    <row r="175" customFormat="1" ht="16.5" spans="1:24">
      <c r="A175" s="17">
        <f t="shared" si="128"/>
        <v>11407</v>
      </c>
      <c r="B175" s="17">
        <v>11400</v>
      </c>
      <c r="C175" s="17" t="str">
        <f t="shared" si="111"/>
        <v>1</v>
      </c>
      <c r="D175" s="12">
        <f t="shared" si="126"/>
        <v>10002</v>
      </c>
      <c r="E175" s="17">
        <v>1</v>
      </c>
      <c r="F175" s="17">
        <f t="shared" si="112"/>
        <v>2</v>
      </c>
      <c r="G175" s="17" t="str">
        <f t="shared" si="129"/>
        <v>中级生命百分比</v>
      </c>
      <c r="H175" s="17" t="str">
        <f t="shared" si="130"/>
        <v>icon_05</v>
      </c>
      <c r="I175" s="20">
        <v>0</v>
      </c>
      <c r="J175" s="17">
        <v>7</v>
      </c>
      <c r="K175" s="17">
        <f t="shared" si="127"/>
        <v>11408</v>
      </c>
      <c r="L175" s="17" t="s">
        <v>317</v>
      </c>
      <c r="M175" s="17" t="str">
        <f t="shared" si="131"/>
        <v>1:11100:5</v>
      </c>
      <c r="N175" s="16" t="str">
        <f t="shared" si="110"/>
        <v>108:1</v>
      </c>
      <c r="O175" s="17">
        <f t="shared" si="113"/>
        <v>5</v>
      </c>
      <c r="P175" s="21" t="str">
        <f t="shared" si="114"/>
        <v>所有步兵防御百分比增加:1</v>
      </c>
      <c r="Q175" s="21"/>
      <c r="R175" t="str">
        <f t="shared" si="132"/>
        <v>防御百分比</v>
      </c>
      <c r="T175" t="str">
        <f t="shared" si="120"/>
        <v>:1</v>
      </c>
      <c r="U175" t="str">
        <f t="shared" si="104"/>
        <v>步兵</v>
      </c>
      <c r="V175" t="s">
        <v>4279</v>
      </c>
      <c r="W175">
        <f>属性类型!G175</f>
        <v>108</v>
      </c>
      <c r="X175">
        <v>1</v>
      </c>
    </row>
    <row r="176" customFormat="1" ht="16.5" spans="1:24">
      <c r="A176" s="17">
        <f t="shared" si="128"/>
        <v>11408</v>
      </c>
      <c r="B176" s="17">
        <v>11400</v>
      </c>
      <c r="C176" s="17" t="str">
        <f t="shared" si="111"/>
        <v>1</v>
      </c>
      <c r="D176" s="12">
        <f t="shared" si="126"/>
        <v>10002</v>
      </c>
      <c r="E176" s="17">
        <v>1</v>
      </c>
      <c r="F176" s="17">
        <f t="shared" si="112"/>
        <v>2</v>
      </c>
      <c r="G176" s="17" t="str">
        <f t="shared" si="129"/>
        <v>中级生命百分比</v>
      </c>
      <c r="H176" s="17" t="str">
        <f t="shared" si="130"/>
        <v>icon_05</v>
      </c>
      <c r="I176" s="20">
        <v>0</v>
      </c>
      <c r="J176" s="17">
        <v>8</v>
      </c>
      <c r="K176" s="17">
        <f t="shared" si="127"/>
        <v>11409</v>
      </c>
      <c r="L176" s="17" t="s">
        <v>320</v>
      </c>
      <c r="M176" s="17" t="str">
        <f t="shared" si="131"/>
        <v>1:11100:5</v>
      </c>
      <c r="N176" s="16" t="str">
        <f t="shared" si="110"/>
        <v>108:1</v>
      </c>
      <c r="O176" s="17">
        <f t="shared" si="113"/>
        <v>5</v>
      </c>
      <c r="P176" s="21" t="str">
        <f t="shared" si="114"/>
        <v>所有步兵防御百分比增加:1</v>
      </c>
      <c r="Q176" s="21"/>
      <c r="R176" t="str">
        <f t="shared" si="132"/>
        <v>防御百分比</v>
      </c>
      <c r="T176" t="str">
        <f t="shared" si="120"/>
        <v>:1</v>
      </c>
      <c r="U176" t="str">
        <f t="shared" si="104"/>
        <v>步兵</v>
      </c>
      <c r="V176" t="s">
        <v>4279</v>
      </c>
      <c r="W176">
        <f>属性类型!G176</f>
        <v>108</v>
      </c>
      <c r="X176">
        <v>1</v>
      </c>
    </row>
    <row r="177" customFormat="1" ht="16.5" spans="1:24">
      <c r="A177" s="17">
        <f t="shared" si="128"/>
        <v>11409</v>
      </c>
      <c r="B177" s="17">
        <v>11400</v>
      </c>
      <c r="C177" s="17" t="str">
        <f t="shared" si="111"/>
        <v>1</v>
      </c>
      <c r="D177" s="12">
        <f t="shared" si="126"/>
        <v>10002</v>
      </c>
      <c r="E177" s="17">
        <v>1</v>
      </c>
      <c r="F177" s="17">
        <f t="shared" si="112"/>
        <v>2</v>
      </c>
      <c r="G177" s="17" t="str">
        <f t="shared" si="129"/>
        <v>中级生命百分比</v>
      </c>
      <c r="H177" s="17" t="str">
        <f t="shared" si="130"/>
        <v>icon_05</v>
      </c>
      <c r="I177" s="20">
        <v>0</v>
      </c>
      <c r="J177" s="17">
        <v>9</v>
      </c>
      <c r="K177" s="17">
        <f t="shared" si="127"/>
        <v>11410</v>
      </c>
      <c r="L177" s="17" t="s">
        <v>323</v>
      </c>
      <c r="M177" s="17" t="str">
        <f t="shared" si="131"/>
        <v>1:11100:5</v>
      </c>
      <c r="N177" s="16" t="str">
        <f t="shared" si="110"/>
        <v>108:1</v>
      </c>
      <c r="O177" s="17">
        <f t="shared" si="113"/>
        <v>5</v>
      </c>
      <c r="P177" s="21" t="str">
        <f t="shared" si="114"/>
        <v>所有步兵防御百分比增加:1</v>
      </c>
      <c r="Q177" s="21"/>
      <c r="R177" t="str">
        <f t="shared" si="132"/>
        <v>防御百分比</v>
      </c>
      <c r="T177" t="str">
        <f t="shared" si="120"/>
        <v>:1</v>
      </c>
      <c r="U177" t="str">
        <f t="shared" si="104"/>
        <v>步兵</v>
      </c>
      <c r="V177" t="s">
        <v>4279</v>
      </c>
      <c r="W177">
        <f>属性类型!G177</f>
        <v>108</v>
      </c>
      <c r="X177">
        <v>1</v>
      </c>
    </row>
    <row r="178" customFormat="1" ht="16.5" spans="1:24">
      <c r="A178" s="17">
        <f t="shared" si="128"/>
        <v>11410</v>
      </c>
      <c r="B178" s="17">
        <v>11400</v>
      </c>
      <c r="C178" s="17" t="str">
        <f t="shared" si="111"/>
        <v>1</v>
      </c>
      <c r="D178" s="12">
        <f t="shared" si="126"/>
        <v>10002</v>
      </c>
      <c r="E178" s="17">
        <v>1</v>
      </c>
      <c r="F178" s="17">
        <f t="shared" si="112"/>
        <v>2</v>
      </c>
      <c r="G178" s="17" t="str">
        <f t="shared" si="129"/>
        <v>中级生命百分比</v>
      </c>
      <c r="H178" s="17" t="str">
        <f t="shared" si="130"/>
        <v>icon_05</v>
      </c>
      <c r="I178" s="20">
        <v>0</v>
      </c>
      <c r="J178" s="17">
        <v>10</v>
      </c>
      <c r="K178" s="17">
        <f t="shared" si="127"/>
        <v>11411</v>
      </c>
      <c r="L178" s="17" t="s">
        <v>407</v>
      </c>
      <c r="M178" s="17" t="str">
        <f t="shared" si="131"/>
        <v>1:11100:5</v>
      </c>
      <c r="N178" s="16" t="str">
        <f t="shared" si="110"/>
        <v>108:1</v>
      </c>
      <c r="O178" s="17">
        <f t="shared" si="113"/>
        <v>5</v>
      </c>
      <c r="P178" s="21" t="str">
        <f>$R$1&amp;R178&amp;$Q$1&amp;T178</f>
        <v>所有步兵防御百分比增加:1</v>
      </c>
      <c r="Q178" s="21"/>
      <c r="R178" t="str">
        <f t="shared" si="132"/>
        <v>防御百分比</v>
      </c>
      <c r="T178" t="str">
        <f t="shared" si="120"/>
        <v>:1</v>
      </c>
      <c r="U178" t="str">
        <f t="shared" si="104"/>
        <v>步兵</v>
      </c>
      <c r="V178" t="s">
        <v>4279</v>
      </c>
      <c r="W178">
        <f>属性类型!G178</f>
        <v>108</v>
      </c>
      <c r="X178">
        <v>1</v>
      </c>
    </row>
    <row r="179" customFormat="1" ht="16.5" spans="1:24">
      <c r="A179" s="17">
        <f t="shared" si="128"/>
        <v>11411</v>
      </c>
      <c r="B179" s="17">
        <v>11400</v>
      </c>
      <c r="C179" s="17" t="str">
        <f t="shared" si="111"/>
        <v>1</v>
      </c>
      <c r="D179" s="12">
        <f t="shared" si="126"/>
        <v>10002</v>
      </c>
      <c r="E179" s="17">
        <v>1</v>
      </c>
      <c r="F179" s="17">
        <f t="shared" si="112"/>
        <v>2</v>
      </c>
      <c r="G179" s="17" t="str">
        <f t="shared" si="129"/>
        <v>中级生命百分比</v>
      </c>
      <c r="H179" s="17" t="str">
        <f t="shared" si="130"/>
        <v>icon_05</v>
      </c>
      <c r="I179" s="20">
        <v>0</v>
      </c>
      <c r="J179" s="17">
        <v>11</v>
      </c>
      <c r="K179" s="17">
        <f t="shared" si="127"/>
        <v>11412</v>
      </c>
      <c r="L179" s="17" t="s">
        <v>410</v>
      </c>
      <c r="M179" s="17" t="str">
        <f t="shared" si="131"/>
        <v>1:11100:5</v>
      </c>
      <c r="N179" s="16" t="str">
        <f t="shared" si="110"/>
        <v>108:1</v>
      </c>
      <c r="O179" s="17">
        <f t="shared" si="113"/>
        <v>5</v>
      </c>
      <c r="P179" s="21" t="str">
        <f>$R$1&amp;R179&amp;$Q$1&amp;T179</f>
        <v>所有步兵防御百分比增加:1</v>
      </c>
      <c r="Q179" s="21"/>
      <c r="R179" t="str">
        <f t="shared" si="132"/>
        <v>防御百分比</v>
      </c>
      <c r="T179" t="str">
        <f t="shared" si="120"/>
        <v>:1</v>
      </c>
      <c r="U179" t="str">
        <f t="shared" si="104"/>
        <v>步兵</v>
      </c>
      <c r="V179" t="s">
        <v>4279</v>
      </c>
      <c r="W179">
        <f>属性类型!G179</f>
        <v>108</v>
      </c>
      <c r="X179">
        <v>1</v>
      </c>
    </row>
    <row r="180" customFormat="1" ht="16.5" spans="1:24">
      <c r="A180" s="17">
        <f t="shared" ref="A180:A199" si="133">A179+1</f>
        <v>11412</v>
      </c>
      <c r="B180" s="17">
        <v>11400</v>
      </c>
      <c r="C180" s="17" t="str">
        <f t="shared" si="111"/>
        <v>1</v>
      </c>
      <c r="D180" s="12">
        <f t="shared" si="126"/>
        <v>10002</v>
      </c>
      <c r="E180" s="17">
        <v>1</v>
      </c>
      <c r="F180" s="17">
        <f t="shared" si="112"/>
        <v>2</v>
      </c>
      <c r="G180" s="17" t="str">
        <f t="shared" si="129"/>
        <v>中级生命百分比</v>
      </c>
      <c r="H180" s="17" t="str">
        <f t="shared" si="130"/>
        <v>icon_05</v>
      </c>
      <c r="I180" s="20">
        <v>0</v>
      </c>
      <c r="J180" s="17">
        <v>12</v>
      </c>
      <c r="K180" s="17">
        <f t="shared" si="127"/>
        <v>0</v>
      </c>
      <c r="L180" s="17" t="s">
        <v>414</v>
      </c>
      <c r="M180" s="17" t="str">
        <f t="shared" si="131"/>
        <v>1:11100:5</v>
      </c>
      <c r="N180" s="16" t="str">
        <f t="shared" si="110"/>
        <v>108:1</v>
      </c>
      <c r="O180" s="17">
        <f t="shared" si="113"/>
        <v>5</v>
      </c>
      <c r="P180" s="21" t="str">
        <f>$R$1&amp;R180&amp;$Q$1&amp;T180</f>
        <v>所有步兵防御百分比增加:1</v>
      </c>
      <c r="Q180" s="21"/>
      <c r="R180" t="str">
        <f t="shared" si="132"/>
        <v>防御百分比</v>
      </c>
      <c r="T180" t="str">
        <f t="shared" si="120"/>
        <v>:1</v>
      </c>
      <c r="U180" t="str">
        <f t="shared" si="104"/>
        <v>步兵</v>
      </c>
      <c r="V180" t="s">
        <v>4279</v>
      </c>
      <c r="W180">
        <f>属性类型!G180</f>
        <v>108</v>
      </c>
      <c r="X180">
        <v>1</v>
      </c>
    </row>
    <row r="181" customFormat="1" ht="16.5" spans="1:24">
      <c r="A181" s="17">
        <f t="shared" si="133"/>
        <v>11413</v>
      </c>
      <c r="B181" s="17">
        <v>11400</v>
      </c>
      <c r="C181" s="17" t="str">
        <f t="shared" si="111"/>
        <v>1</v>
      </c>
      <c r="D181" s="12">
        <f t="shared" si="126"/>
        <v>10002</v>
      </c>
      <c r="E181" s="17">
        <v>1</v>
      </c>
      <c r="F181" s="17">
        <f t="shared" si="112"/>
        <v>2</v>
      </c>
      <c r="G181" s="17" t="str">
        <f t="shared" si="129"/>
        <v>中级生命百分比</v>
      </c>
      <c r="H181" s="17" t="str">
        <f t="shared" si="130"/>
        <v>icon_05</v>
      </c>
      <c r="I181" s="20">
        <v>0</v>
      </c>
      <c r="J181" s="17">
        <v>13</v>
      </c>
      <c r="K181" s="17">
        <f t="shared" si="127"/>
        <v>11414</v>
      </c>
      <c r="L181" s="17" t="s">
        <v>418</v>
      </c>
      <c r="M181" s="17" t="str">
        <f t="shared" si="131"/>
        <v>1:11100:5</v>
      </c>
      <c r="N181" s="16" t="str">
        <f t="shared" si="110"/>
        <v>108:1</v>
      </c>
      <c r="O181" s="17">
        <f t="shared" si="113"/>
        <v>5</v>
      </c>
      <c r="P181" s="21" t="str">
        <f>$R$1&amp;R181&amp;$Q$1&amp;T181</f>
        <v>所有步兵防御百分比增加:1</v>
      </c>
      <c r="Q181" s="21"/>
      <c r="R181" t="str">
        <f t="shared" si="132"/>
        <v>防御百分比</v>
      </c>
      <c r="T181" t="str">
        <f t="shared" si="120"/>
        <v>:1</v>
      </c>
      <c r="U181" t="str">
        <f t="shared" si="104"/>
        <v>步兵</v>
      </c>
      <c r="V181" t="s">
        <v>4279</v>
      </c>
      <c r="W181">
        <f>属性类型!G181</f>
        <v>108</v>
      </c>
      <c r="X181">
        <v>1</v>
      </c>
    </row>
    <row r="182" customFormat="1" ht="16.5" spans="1:24">
      <c r="A182" s="17">
        <f t="shared" si="133"/>
        <v>11414</v>
      </c>
      <c r="B182" s="17">
        <v>11400</v>
      </c>
      <c r="C182" s="17" t="str">
        <f t="shared" si="111"/>
        <v>1</v>
      </c>
      <c r="D182" s="12">
        <f t="shared" si="126"/>
        <v>10002</v>
      </c>
      <c r="E182" s="17">
        <v>1</v>
      </c>
      <c r="F182" s="17">
        <f t="shared" si="112"/>
        <v>2</v>
      </c>
      <c r="G182" s="17" t="str">
        <f t="shared" si="129"/>
        <v>中级生命百分比</v>
      </c>
      <c r="H182" s="17" t="str">
        <f t="shared" si="130"/>
        <v>icon_05</v>
      </c>
      <c r="I182" s="20">
        <v>0</v>
      </c>
      <c r="J182" s="17">
        <v>14</v>
      </c>
      <c r="K182" s="17">
        <f t="shared" si="127"/>
        <v>11415</v>
      </c>
      <c r="L182" s="17" t="s">
        <v>422</v>
      </c>
      <c r="M182" s="17" t="str">
        <f t="shared" si="131"/>
        <v>1:11100:5</v>
      </c>
      <c r="N182" s="16" t="str">
        <f t="shared" si="110"/>
        <v>108:1</v>
      </c>
      <c r="O182" s="17">
        <f t="shared" si="113"/>
        <v>5</v>
      </c>
      <c r="P182" s="21" t="str">
        <f>$R$1&amp;R182&amp;$Q$1&amp;T182</f>
        <v>所有步兵防御百分比增加:1</v>
      </c>
      <c r="Q182" s="21"/>
      <c r="R182" t="str">
        <f t="shared" si="132"/>
        <v>防御百分比</v>
      </c>
      <c r="T182" t="str">
        <f t="shared" si="120"/>
        <v>:1</v>
      </c>
      <c r="U182" t="str">
        <f t="shared" si="104"/>
        <v>步兵</v>
      </c>
      <c r="V182" t="s">
        <v>4279</v>
      </c>
      <c r="W182">
        <f>属性类型!G182</f>
        <v>108</v>
      </c>
      <c r="X182">
        <v>1</v>
      </c>
    </row>
    <row r="183" customFormat="1" ht="16.5" spans="1:24">
      <c r="A183" s="17">
        <f t="shared" si="133"/>
        <v>11415</v>
      </c>
      <c r="B183" s="17">
        <v>11400</v>
      </c>
      <c r="C183" s="17" t="str">
        <f t="shared" si="111"/>
        <v>1</v>
      </c>
      <c r="D183" s="12">
        <f t="shared" si="126"/>
        <v>10002</v>
      </c>
      <c r="E183" s="17">
        <v>1</v>
      </c>
      <c r="F183" s="17">
        <f t="shared" si="112"/>
        <v>2</v>
      </c>
      <c r="G183" s="17" t="str">
        <f t="shared" si="129"/>
        <v>中级生命百分比</v>
      </c>
      <c r="H183" s="17" t="str">
        <f t="shared" si="130"/>
        <v>icon_05</v>
      </c>
      <c r="I183" s="20">
        <v>0</v>
      </c>
      <c r="J183" s="17">
        <v>15</v>
      </c>
      <c r="K183" s="17">
        <v>0</v>
      </c>
      <c r="L183" s="17">
        <v>0</v>
      </c>
      <c r="M183" s="17" t="str">
        <f t="shared" si="131"/>
        <v>1:11100:5</v>
      </c>
      <c r="N183" s="16" t="str">
        <f t="shared" si="110"/>
        <v>108:1</v>
      </c>
      <c r="O183" s="17">
        <f t="shared" si="113"/>
        <v>5</v>
      </c>
      <c r="P183" s="21" t="str">
        <f>$R$1&amp;R183&amp;$Q$1&amp;T183</f>
        <v>所有步兵防御百分比增加:1</v>
      </c>
      <c r="Q183" s="21"/>
      <c r="R183" t="str">
        <f t="shared" si="132"/>
        <v>防御百分比</v>
      </c>
      <c r="T183" t="str">
        <f t="shared" si="120"/>
        <v>:1</v>
      </c>
      <c r="U183" t="str">
        <f t="shared" si="104"/>
        <v>步兵</v>
      </c>
      <c r="V183" t="s">
        <v>4279</v>
      </c>
      <c r="W183">
        <f>属性类型!G183</f>
        <v>108</v>
      </c>
      <c r="X183">
        <v>1</v>
      </c>
    </row>
    <row r="184" customFormat="1" ht="16.5" spans="1:24">
      <c r="A184" s="18">
        <f>A168+100</f>
        <v>11500</v>
      </c>
      <c r="B184" s="18">
        <f>ROUND(A184,-2)</f>
        <v>11500</v>
      </c>
      <c r="C184" s="18" t="str">
        <f t="shared" si="111"/>
        <v>1</v>
      </c>
      <c r="D184" s="12">
        <f t="shared" si="126"/>
        <v>10002</v>
      </c>
      <c r="E184" s="17">
        <v>1</v>
      </c>
      <c r="F184" s="18">
        <f t="shared" si="112"/>
        <v>2</v>
      </c>
      <c r="G184" s="18" t="s">
        <v>427</v>
      </c>
      <c r="H184" s="18" t="s">
        <v>149</v>
      </c>
      <c r="I184" s="20">
        <v>0</v>
      </c>
      <c r="J184" s="18">
        <v>0</v>
      </c>
      <c r="K184" s="18">
        <f t="shared" ref="K184:K198" si="134">A185</f>
        <v>11501</v>
      </c>
      <c r="L184" s="18" t="s">
        <v>297</v>
      </c>
      <c r="M184" s="18" t="s">
        <v>429</v>
      </c>
      <c r="N184" s="16" t="str">
        <f t="shared" si="110"/>
        <v>107:1</v>
      </c>
      <c r="O184" s="18">
        <f t="shared" si="113"/>
        <v>6</v>
      </c>
      <c r="P184" s="21" t="str">
        <f>$R$1&amp;R184&amp;$Q$1&amp;T184</f>
        <v>所有步兵攻击百分比增加1</v>
      </c>
      <c r="Q184" s="21"/>
      <c r="R184" t="s">
        <v>4280</v>
      </c>
      <c r="T184" t="str">
        <f>RIGHT(N184,1)</f>
        <v>1</v>
      </c>
      <c r="U184" t="str">
        <f t="shared" si="104"/>
        <v>步兵</v>
      </c>
      <c r="V184" t="s">
        <v>4281</v>
      </c>
      <c r="W184">
        <f>属性类型!G184</f>
        <v>107</v>
      </c>
      <c r="X184">
        <v>1</v>
      </c>
    </row>
    <row r="185" customFormat="1" ht="16.5" spans="1:24">
      <c r="A185" s="17">
        <f t="shared" si="133"/>
        <v>11501</v>
      </c>
      <c r="B185" s="17">
        <v>11500</v>
      </c>
      <c r="C185" s="17" t="str">
        <f t="shared" si="111"/>
        <v>1</v>
      </c>
      <c r="D185" s="12">
        <f t="shared" si="126"/>
        <v>10002</v>
      </c>
      <c r="E185" s="17">
        <v>1</v>
      </c>
      <c r="F185" s="17">
        <f t="shared" si="112"/>
        <v>2</v>
      </c>
      <c r="G185" s="17" t="str">
        <f t="shared" ref="G185:G199" si="135">G184</f>
        <v>中级攻击百分比</v>
      </c>
      <c r="H185" s="17" t="str">
        <f t="shared" ref="H185:H199" si="136">H184</f>
        <v>icon_06</v>
      </c>
      <c r="I185" s="20">
        <v>0</v>
      </c>
      <c r="J185" s="17">
        <v>1</v>
      </c>
      <c r="K185" s="17">
        <f t="shared" si="134"/>
        <v>11502</v>
      </c>
      <c r="L185" s="17" t="s">
        <v>300</v>
      </c>
      <c r="M185" s="17" t="str">
        <f t="shared" ref="M185:M199" si="137">M184</f>
        <v>1:11200:5</v>
      </c>
      <c r="N185" s="16" t="str">
        <f t="shared" si="110"/>
        <v>107:1</v>
      </c>
      <c r="O185" s="17">
        <f t="shared" si="113"/>
        <v>6</v>
      </c>
      <c r="P185" s="21" t="str">
        <f>$R$1&amp;R185&amp;$Q$1&amp;T185</f>
        <v>所有步兵攻击百分比增加:1</v>
      </c>
      <c r="Q185" s="21"/>
      <c r="R185" t="str">
        <f t="shared" si="132"/>
        <v>攻击百分比</v>
      </c>
      <c r="T185" t="str">
        <f t="shared" si="120"/>
        <v>:1</v>
      </c>
      <c r="U185" t="str">
        <f t="shared" si="104"/>
        <v>步兵</v>
      </c>
      <c r="V185" t="s">
        <v>4281</v>
      </c>
      <c r="W185">
        <f>属性类型!G185</f>
        <v>107</v>
      </c>
      <c r="X185">
        <v>1</v>
      </c>
    </row>
    <row r="186" customFormat="1" ht="16.5" spans="1:24">
      <c r="A186" s="17">
        <f t="shared" si="133"/>
        <v>11502</v>
      </c>
      <c r="B186" s="17">
        <v>11500</v>
      </c>
      <c r="C186" s="17" t="str">
        <f t="shared" si="111"/>
        <v>1</v>
      </c>
      <c r="D186" s="12">
        <f t="shared" si="126"/>
        <v>10002</v>
      </c>
      <c r="E186" s="17">
        <v>1</v>
      </c>
      <c r="F186" s="17">
        <f t="shared" si="112"/>
        <v>2</v>
      </c>
      <c r="G186" s="17" t="str">
        <f t="shared" si="135"/>
        <v>中级攻击百分比</v>
      </c>
      <c r="H186" s="17" t="str">
        <f t="shared" si="136"/>
        <v>icon_06</v>
      </c>
      <c r="I186" s="20">
        <v>0</v>
      </c>
      <c r="J186" s="17">
        <v>2</v>
      </c>
      <c r="K186" s="17">
        <f t="shared" si="134"/>
        <v>11503</v>
      </c>
      <c r="L186" s="17" t="s">
        <v>304</v>
      </c>
      <c r="M186" s="17" t="str">
        <f t="shared" si="137"/>
        <v>1:11200:5</v>
      </c>
      <c r="N186" s="16" t="str">
        <f t="shared" si="110"/>
        <v>107:1</v>
      </c>
      <c r="O186" s="17">
        <f t="shared" si="113"/>
        <v>6</v>
      </c>
      <c r="P186" s="21" t="str">
        <f>$R$1&amp;R186&amp;$Q$1&amp;T186</f>
        <v>所有步兵攻击百分比增加:1</v>
      </c>
      <c r="Q186" s="21"/>
      <c r="R186" t="str">
        <f t="shared" si="132"/>
        <v>攻击百分比</v>
      </c>
      <c r="T186" t="str">
        <f t="shared" si="120"/>
        <v>:1</v>
      </c>
      <c r="U186" t="str">
        <f t="shared" si="104"/>
        <v>步兵</v>
      </c>
      <c r="V186" t="s">
        <v>4281</v>
      </c>
      <c r="W186">
        <f>属性类型!G186</f>
        <v>107</v>
      </c>
      <c r="X186">
        <v>1</v>
      </c>
    </row>
    <row r="187" customFormat="1" ht="16.5" spans="1:24">
      <c r="A187" s="17">
        <f t="shared" si="133"/>
        <v>11503</v>
      </c>
      <c r="B187" s="17">
        <v>11500</v>
      </c>
      <c r="C187" s="17" t="str">
        <f t="shared" si="111"/>
        <v>1</v>
      </c>
      <c r="D187" s="12">
        <f t="shared" si="126"/>
        <v>10002</v>
      </c>
      <c r="E187" s="17">
        <v>1</v>
      </c>
      <c r="F187" s="17">
        <f t="shared" si="112"/>
        <v>2</v>
      </c>
      <c r="G187" s="17" t="str">
        <f t="shared" si="135"/>
        <v>中级攻击百分比</v>
      </c>
      <c r="H187" s="17" t="str">
        <f t="shared" si="136"/>
        <v>icon_06</v>
      </c>
      <c r="I187" s="20">
        <v>0</v>
      </c>
      <c r="J187" s="17">
        <v>3</v>
      </c>
      <c r="K187" s="17">
        <f t="shared" si="134"/>
        <v>11504</v>
      </c>
      <c r="L187" s="17" t="s">
        <v>307</v>
      </c>
      <c r="M187" s="17" t="str">
        <f t="shared" si="137"/>
        <v>1:11200:5</v>
      </c>
      <c r="N187" s="16" t="str">
        <f t="shared" si="110"/>
        <v>107:1</v>
      </c>
      <c r="O187" s="17">
        <f t="shared" si="113"/>
        <v>6</v>
      </c>
      <c r="P187" s="21" t="str">
        <f>$R$1&amp;R187&amp;$Q$1&amp;T187</f>
        <v>所有步兵攻击百分比增加:1</v>
      </c>
      <c r="Q187" s="21"/>
      <c r="R187" t="str">
        <f t="shared" si="132"/>
        <v>攻击百分比</v>
      </c>
      <c r="T187" t="str">
        <f t="shared" si="120"/>
        <v>:1</v>
      </c>
      <c r="U187" t="str">
        <f t="shared" si="104"/>
        <v>步兵</v>
      </c>
      <c r="V187" t="s">
        <v>4281</v>
      </c>
      <c r="W187">
        <f>属性类型!G187</f>
        <v>107</v>
      </c>
      <c r="X187">
        <v>1</v>
      </c>
    </row>
    <row r="188" customFormat="1" ht="16.5" spans="1:24">
      <c r="A188" s="17">
        <f t="shared" si="133"/>
        <v>11504</v>
      </c>
      <c r="B188" s="17">
        <v>11500</v>
      </c>
      <c r="C188" s="17" t="str">
        <f t="shared" si="111"/>
        <v>1</v>
      </c>
      <c r="D188" s="12">
        <f t="shared" si="126"/>
        <v>10002</v>
      </c>
      <c r="E188" s="17">
        <v>1</v>
      </c>
      <c r="F188" s="17">
        <f t="shared" si="112"/>
        <v>2</v>
      </c>
      <c r="G188" s="17" t="str">
        <f t="shared" si="135"/>
        <v>中级攻击百分比</v>
      </c>
      <c r="H188" s="17" t="str">
        <f t="shared" si="136"/>
        <v>icon_06</v>
      </c>
      <c r="I188" s="20">
        <v>0</v>
      </c>
      <c r="J188" s="17">
        <v>4</v>
      </c>
      <c r="K188" s="17">
        <f t="shared" si="134"/>
        <v>11505</v>
      </c>
      <c r="L188" s="17" t="s">
        <v>309</v>
      </c>
      <c r="M188" s="17" t="str">
        <f t="shared" si="137"/>
        <v>1:11200:5</v>
      </c>
      <c r="N188" s="16" t="str">
        <f t="shared" si="110"/>
        <v>107:1</v>
      </c>
      <c r="O188" s="17">
        <f t="shared" si="113"/>
        <v>6</v>
      </c>
      <c r="P188" s="21" t="str">
        <f>$R$1&amp;R188&amp;$Q$1&amp;T188</f>
        <v>所有步兵攻击百分比增加:1</v>
      </c>
      <c r="Q188" s="21"/>
      <c r="R188" t="str">
        <f t="shared" si="132"/>
        <v>攻击百分比</v>
      </c>
      <c r="T188" t="str">
        <f t="shared" si="120"/>
        <v>:1</v>
      </c>
      <c r="U188" t="str">
        <f t="shared" si="104"/>
        <v>步兵</v>
      </c>
      <c r="V188" t="s">
        <v>4281</v>
      </c>
      <c r="W188">
        <f>属性类型!G188</f>
        <v>107</v>
      </c>
      <c r="X188">
        <v>1</v>
      </c>
    </row>
    <row r="189" customFormat="1" ht="16.5" spans="1:24">
      <c r="A189" s="17">
        <f t="shared" si="133"/>
        <v>11505</v>
      </c>
      <c r="B189" s="17">
        <v>11500</v>
      </c>
      <c r="C189" s="17" t="str">
        <f t="shared" si="111"/>
        <v>1</v>
      </c>
      <c r="D189" s="12">
        <f t="shared" si="126"/>
        <v>10002</v>
      </c>
      <c r="E189" s="17">
        <v>1</v>
      </c>
      <c r="F189" s="17">
        <f t="shared" si="112"/>
        <v>2</v>
      </c>
      <c r="G189" s="17" t="str">
        <f t="shared" si="135"/>
        <v>中级攻击百分比</v>
      </c>
      <c r="H189" s="17" t="str">
        <f t="shared" si="136"/>
        <v>icon_06</v>
      </c>
      <c r="I189" s="20">
        <v>0</v>
      </c>
      <c r="J189" s="17">
        <v>5</v>
      </c>
      <c r="K189" s="17">
        <f t="shared" si="134"/>
        <v>11506</v>
      </c>
      <c r="L189" s="17" t="s">
        <v>312</v>
      </c>
      <c r="M189" s="17" t="str">
        <f t="shared" si="137"/>
        <v>1:11200:5</v>
      </c>
      <c r="N189" s="16" t="str">
        <f t="shared" si="110"/>
        <v>107:1</v>
      </c>
      <c r="O189" s="17">
        <f t="shared" si="113"/>
        <v>6</v>
      </c>
      <c r="P189" s="21" t="str">
        <f>$R$1&amp;R189&amp;$Q$1&amp;T189</f>
        <v>所有步兵攻击百分比增加:1</v>
      </c>
      <c r="Q189" s="21"/>
      <c r="R189" t="str">
        <f t="shared" si="132"/>
        <v>攻击百分比</v>
      </c>
      <c r="T189" t="str">
        <f t="shared" si="120"/>
        <v>:1</v>
      </c>
      <c r="U189" t="str">
        <f t="shared" si="104"/>
        <v>步兵</v>
      </c>
      <c r="V189" t="s">
        <v>4281</v>
      </c>
      <c r="W189">
        <f>属性类型!G189</f>
        <v>107</v>
      </c>
      <c r="X189">
        <v>1</v>
      </c>
    </row>
    <row r="190" customFormat="1" ht="16.5" spans="1:24">
      <c r="A190" s="17">
        <f t="shared" si="133"/>
        <v>11506</v>
      </c>
      <c r="B190" s="17">
        <v>11500</v>
      </c>
      <c r="C190" s="17" t="str">
        <f t="shared" si="111"/>
        <v>1</v>
      </c>
      <c r="D190" s="12">
        <f t="shared" si="126"/>
        <v>10002</v>
      </c>
      <c r="E190" s="17">
        <v>1</v>
      </c>
      <c r="F190" s="17">
        <f t="shared" si="112"/>
        <v>2</v>
      </c>
      <c r="G190" s="17" t="str">
        <f t="shared" si="135"/>
        <v>中级攻击百分比</v>
      </c>
      <c r="H190" s="17" t="str">
        <f t="shared" si="136"/>
        <v>icon_06</v>
      </c>
      <c r="I190" s="20">
        <v>0</v>
      </c>
      <c r="J190" s="17">
        <v>6</v>
      </c>
      <c r="K190" s="17">
        <f t="shared" si="134"/>
        <v>11507</v>
      </c>
      <c r="L190" s="17" t="s">
        <v>315</v>
      </c>
      <c r="M190" s="17" t="str">
        <f t="shared" si="137"/>
        <v>1:11200:5</v>
      </c>
      <c r="N190" s="16" t="str">
        <f t="shared" si="110"/>
        <v>107:1</v>
      </c>
      <c r="O190" s="17">
        <f t="shared" si="113"/>
        <v>6</v>
      </c>
      <c r="P190" s="21" t="str">
        <f>$R$1&amp;R190&amp;$Q$1&amp;T190</f>
        <v>所有步兵攻击百分比增加:1</v>
      </c>
      <c r="Q190" s="21"/>
      <c r="R190" t="str">
        <f t="shared" si="132"/>
        <v>攻击百分比</v>
      </c>
      <c r="T190" t="str">
        <f t="shared" si="120"/>
        <v>:1</v>
      </c>
      <c r="U190" t="str">
        <f t="shared" si="104"/>
        <v>步兵</v>
      </c>
      <c r="V190" t="s">
        <v>4281</v>
      </c>
      <c r="W190">
        <f>属性类型!G190</f>
        <v>107</v>
      </c>
      <c r="X190">
        <v>1</v>
      </c>
    </row>
    <row r="191" customFormat="1" ht="16.5" spans="1:24">
      <c r="A191" s="17">
        <f t="shared" si="133"/>
        <v>11507</v>
      </c>
      <c r="B191" s="17">
        <v>11500</v>
      </c>
      <c r="C191" s="17" t="str">
        <f t="shared" si="111"/>
        <v>1</v>
      </c>
      <c r="D191" s="12">
        <f t="shared" si="126"/>
        <v>10002</v>
      </c>
      <c r="E191" s="17">
        <v>1</v>
      </c>
      <c r="F191" s="17">
        <f t="shared" si="112"/>
        <v>2</v>
      </c>
      <c r="G191" s="17" t="str">
        <f t="shared" si="135"/>
        <v>中级攻击百分比</v>
      </c>
      <c r="H191" s="17" t="str">
        <f t="shared" si="136"/>
        <v>icon_06</v>
      </c>
      <c r="I191" s="20">
        <v>0</v>
      </c>
      <c r="J191" s="17">
        <v>7</v>
      </c>
      <c r="K191" s="17">
        <f t="shared" si="134"/>
        <v>11508</v>
      </c>
      <c r="L191" s="17" t="s">
        <v>317</v>
      </c>
      <c r="M191" s="17" t="str">
        <f t="shared" si="137"/>
        <v>1:11200:5</v>
      </c>
      <c r="N191" s="16" t="str">
        <f t="shared" si="110"/>
        <v>107:1</v>
      </c>
      <c r="O191" s="17">
        <f t="shared" si="113"/>
        <v>6</v>
      </c>
      <c r="P191" s="21" t="str">
        <f>$R$1&amp;R191&amp;$Q$1&amp;T191</f>
        <v>所有步兵攻击百分比增加:1</v>
      </c>
      <c r="Q191" s="21"/>
      <c r="R191" t="str">
        <f t="shared" si="132"/>
        <v>攻击百分比</v>
      </c>
      <c r="T191" t="str">
        <f t="shared" si="120"/>
        <v>:1</v>
      </c>
      <c r="U191" t="str">
        <f t="shared" si="104"/>
        <v>步兵</v>
      </c>
      <c r="V191" t="s">
        <v>4281</v>
      </c>
      <c r="W191">
        <f>属性类型!G191</f>
        <v>107</v>
      </c>
      <c r="X191">
        <v>1</v>
      </c>
    </row>
    <row r="192" customFormat="1" ht="16.5" spans="1:24">
      <c r="A192" s="17">
        <f t="shared" si="133"/>
        <v>11508</v>
      </c>
      <c r="B192" s="17">
        <v>11500</v>
      </c>
      <c r="C192" s="17" t="str">
        <f t="shared" si="111"/>
        <v>1</v>
      </c>
      <c r="D192" s="12">
        <f t="shared" si="126"/>
        <v>10002</v>
      </c>
      <c r="E192" s="17">
        <v>1</v>
      </c>
      <c r="F192" s="17">
        <f t="shared" si="112"/>
        <v>2</v>
      </c>
      <c r="G192" s="17" t="str">
        <f t="shared" si="135"/>
        <v>中级攻击百分比</v>
      </c>
      <c r="H192" s="17" t="str">
        <f t="shared" si="136"/>
        <v>icon_06</v>
      </c>
      <c r="I192" s="20">
        <v>0</v>
      </c>
      <c r="J192" s="17">
        <v>8</v>
      </c>
      <c r="K192" s="17">
        <f t="shared" si="134"/>
        <v>11509</v>
      </c>
      <c r="L192" s="17" t="s">
        <v>320</v>
      </c>
      <c r="M192" s="17" t="str">
        <f t="shared" si="137"/>
        <v>1:11200:5</v>
      </c>
      <c r="N192" s="16" t="str">
        <f t="shared" si="110"/>
        <v>107:1</v>
      </c>
      <c r="O192" s="17">
        <f t="shared" si="113"/>
        <v>6</v>
      </c>
      <c r="P192" s="21" t="str">
        <f>$R$1&amp;R192&amp;$Q$1&amp;T192</f>
        <v>所有步兵攻击百分比增加:1</v>
      </c>
      <c r="Q192" s="21"/>
      <c r="R192" t="str">
        <f t="shared" si="132"/>
        <v>攻击百分比</v>
      </c>
      <c r="T192" t="str">
        <f t="shared" si="120"/>
        <v>:1</v>
      </c>
      <c r="U192" t="str">
        <f t="shared" si="104"/>
        <v>步兵</v>
      </c>
      <c r="V192" t="s">
        <v>4281</v>
      </c>
      <c r="W192">
        <f>属性类型!G192</f>
        <v>107</v>
      </c>
      <c r="X192">
        <v>1</v>
      </c>
    </row>
    <row r="193" customFormat="1" ht="16.5" spans="1:24">
      <c r="A193" s="17">
        <f t="shared" si="133"/>
        <v>11509</v>
      </c>
      <c r="B193" s="17">
        <v>11500</v>
      </c>
      <c r="C193" s="17" t="str">
        <f t="shared" si="111"/>
        <v>1</v>
      </c>
      <c r="D193" s="12">
        <f t="shared" si="126"/>
        <v>10002</v>
      </c>
      <c r="E193" s="17">
        <v>1</v>
      </c>
      <c r="F193" s="17">
        <f t="shared" si="112"/>
        <v>2</v>
      </c>
      <c r="G193" s="17" t="str">
        <f t="shared" si="135"/>
        <v>中级攻击百分比</v>
      </c>
      <c r="H193" s="17" t="str">
        <f t="shared" si="136"/>
        <v>icon_06</v>
      </c>
      <c r="I193" s="20">
        <v>0</v>
      </c>
      <c r="J193" s="17">
        <v>9</v>
      </c>
      <c r="K193" s="17">
        <f t="shared" si="134"/>
        <v>11510</v>
      </c>
      <c r="L193" s="17" t="s">
        <v>323</v>
      </c>
      <c r="M193" s="17" t="str">
        <f t="shared" si="137"/>
        <v>1:11200:5</v>
      </c>
      <c r="N193" s="16" t="str">
        <f t="shared" si="110"/>
        <v>107:1</v>
      </c>
      <c r="O193" s="17">
        <f t="shared" si="113"/>
        <v>6</v>
      </c>
      <c r="P193" s="21" t="str">
        <f>$R$1&amp;R193&amp;$Q$1&amp;T193</f>
        <v>所有步兵攻击百分比增加:1</v>
      </c>
      <c r="Q193" s="21"/>
      <c r="R193" t="str">
        <f t="shared" si="132"/>
        <v>攻击百分比</v>
      </c>
      <c r="T193" t="str">
        <f t="shared" si="120"/>
        <v>:1</v>
      </c>
      <c r="U193" t="str">
        <f t="shared" si="104"/>
        <v>步兵</v>
      </c>
      <c r="V193" t="s">
        <v>4281</v>
      </c>
      <c r="W193">
        <f>属性类型!G193</f>
        <v>107</v>
      </c>
      <c r="X193">
        <v>1</v>
      </c>
    </row>
    <row r="194" customFormat="1" ht="16.5" spans="1:24">
      <c r="A194" s="17">
        <f t="shared" si="133"/>
        <v>11510</v>
      </c>
      <c r="B194" s="17">
        <v>11500</v>
      </c>
      <c r="C194" s="17" t="str">
        <f t="shared" si="111"/>
        <v>1</v>
      </c>
      <c r="D194" s="12">
        <f t="shared" si="126"/>
        <v>10002</v>
      </c>
      <c r="E194" s="17">
        <v>1</v>
      </c>
      <c r="F194" s="17">
        <f t="shared" si="112"/>
        <v>2</v>
      </c>
      <c r="G194" s="17" t="str">
        <f t="shared" si="135"/>
        <v>中级攻击百分比</v>
      </c>
      <c r="H194" s="17" t="str">
        <f t="shared" si="136"/>
        <v>icon_06</v>
      </c>
      <c r="I194" s="20">
        <v>0</v>
      </c>
      <c r="J194" s="17">
        <v>10</v>
      </c>
      <c r="K194" s="17">
        <f t="shared" si="134"/>
        <v>11511</v>
      </c>
      <c r="L194" s="17" t="s">
        <v>407</v>
      </c>
      <c r="M194" s="17" t="str">
        <f t="shared" si="137"/>
        <v>1:11200:5</v>
      </c>
      <c r="N194" s="16" t="str">
        <f t="shared" si="110"/>
        <v>107:1</v>
      </c>
      <c r="O194" s="17">
        <f t="shared" si="113"/>
        <v>6</v>
      </c>
      <c r="P194" s="21" t="str">
        <f>$R$1&amp;R194&amp;$Q$1&amp;T194</f>
        <v>所有步兵攻击百分比增加:1</v>
      </c>
      <c r="Q194" s="21"/>
      <c r="R194" t="str">
        <f t="shared" si="132"/>
        <v>攻击百分比</v>
      </c>
      <c r="T194" t="str">
        <f t="shared" si="120"/>
        <v>:1</v>
      </c>
      <c r="U194" t="str">
        <f t="shared" si="104"/>
        <v>步兵</v>
      </c>
      <c r="V194" t="s">
        <v>4281</v>
      </c>
      <c r="W194">
        <f>属性类型!G194</f>
        <v>107</v>
      </c>
      <c r="X194">
        <v>1</v>
      </c>
    </row>
    <row r="195" customFormat="1" ht="16.5" spans="1:24">
      <c r="A195" s="17">
        <f t="shared" si="133"/>
        <v>11511</v>
      </c>
      <c r="B195" s="17">
        <v>11500</v>
      </c>
      <c r="C195" s="17" t="str">
        <f t="shared" si="111"/>
        <v>1</v>
      </c>
      <c r="D195" s="12">
        <f t="shared" si="126"/>
        <v>10002</v>
      </c>
      <c r="E195" s="17">
        <v>1</v>
      </c>
      <c r="F195" s="17">
        <f t="shared" si="112"/>
        <v>2</v>
      </c>
      <c r="G195" s="17" t="str">
        <f t="shared" si="135"/>
        <v>中级攻击百分比</v>
      </c>
      <c r="H195" s="17" t="str">
        <f t="shared" si="136"/>
        <v>icon_06</v>
      </c>
      <c r="I195" s="20">
        <v>0</v>
      </c>
      <c r="J195" s="17">
        <v>11</v>
      </c>
      <c r="K195" s="17">
        <f t="shared" si="134"/>
        <v>11512</v>
      </c>
      <c r="L195" s="17" t="s">
        <v>410</v>
      </c>
      <c r="M195" s="17" t="str">
        <f t="shared" si="137"/>
        <v>1:11200:5</v>
      </c>
      <c r="N195" s="16" t="str">
        <f t="shared" si="110"/>
        <v>107:1</v>
      </c>
      <c r="O195" s="17">
        <f t="shared" si="113"/>
        <v>6</v>
      </c>
      <c r="P195" s="21" t="str">
        <f>$R$1&amp;R195&amp;$Q$1&amp;T195</f>
        <v>所有步兵攻击百分比增加:1</v>
      </c>
      <c r="Q195" s="21"/>
      <c r="R195" t="str">
        <f t="shared" si="132"/>
        <v>攻击百分比</v>
      </c>
      <c r="T195" t="str">
        <f t="shared" si="120"/>
        <v>:1</v>
      </c>
      <c r="U195" t="str">
        <f t="shared" si="104"/>
        <v>步兵</v>
      </c>
      <c r="V195" t="s">
        <v>4281</v>
      </c>
      <c r="W195">
        <f>属性类型!G195</f>
        <v>107</v>
      </c>
      <c r="X195">
        <v>1</v>
      </c>
    </row>
    <row r="196" customFormat="1" ht="16.5" spans="1:24">
      <c r="A196" s="17">
        <f t="shared" si="133"/>
        <v>11512</v>
      </c>
      <c r="B196" s="17">
        <v>11500</v>
      </c>
      <c r="C196" s="17" t="str">
        <f t="shared" si="111"/>
        <v>1</v>
      </c>
      <c r="D196" s="12">
        <f t="shared" si="126"/>
        <v>10002</v>
      </c>
      <c r="E196" s="17">
        <v>1</v>
      </c>
      <c r="F196" s="17">
        <f t="shared" si="112"/>
        <v>2</v>
      </c>
      <c r="G196" s="17" t="str">
        <f t="shared" si="135"/>
        <v>中级攻击百分比</v>
      </c>
      <c r="H196" s="17" t="str">
        <f t="shared" si="136"/>
        <v>icon_06</v>
      </c>
      <c r="I196" s="20">
        <v>0</v>
      </c>
      <c r="J196" s="17">
        <v>12</v>
      </c>
      <c r="K196" s="17">
        <f t="shared" si="134"/>
        <v>11513</v>
      </c>
      <c r="L196" s="17" t="s">
        <v>414</v>
      </c>
      <c r="M196" s="17" t="str">
        <f t="shared" si="137"/>
        <v>1:11200:5</v>
      </c>
      <c r="N196" s="16" t="str">
        <f t="shared" si="110"/>
        <v>107:1</v>
      </c>
      <c r="O196" s="17">
        <f t="shared" si="113"/>
        <v>6</v>
      </c>
      <c r="P196" s="21" t="str">
        <f>$R$1&amp;R196&amp;$Q$1&amp;T196</f>
        <v>所有步兵攻击百分比增加:1</v>
      </c>
      <c r="Q196" s="21"/>
      <c r="R196" t="str">
        <f t="shared" si="132"/>
        <v>攻击百分比</v>
      </c>
      <c r="T196" t="str">
        <f t="shared" si="120"/>
        <v>:1</v>
      </c>
      <c r="U196" t="str">
        <f t="shared" si="104"/>
        <v>步兵</v>
      </c>
      <c r="V196" t="s">
        <v>4281</v>
      </c>
      <c r="W196">
        <f>属性类型!G196</f>
        <v>107</v>
      </c>
      <c r="X196">
        <v>1</v>
      </c>
    </row>
    <row r="197" customFormat="1" ht="16.5" spans="1:24">
      <c r="A197" s="17">
        <f t="shared" si="133"/>
        <v>11513</v>
      </c>
      <c r="B197" s="17">
        <v>11500</v>
      </c>
      <c r="C197" s="17" t="str">
        <f t="shared" si="111"/>
        <v>1</v>
      </c>
      <c r="D197" s="12">
        <f t="shared" si="126"/>
        <v>10002</v>
      </c>
      <c r="E197" s="17">
        <v>1</v>
      </c>
      <c r="F197" s="17">
        <f t="shared" si="112"/>
        <v>2</v>
      </c>
      <c r="G197" s="17" t="str">
        <f t="shared" si="135"/>
        <v>中级攻击百分比</v>
      </c>
      <c r="H197" s="17" t="str">
        <f t="shared" si="136"/>
        <v>icon_06</v>
      </c>
      <c r="I197" s="20">
        <v>0</v>
      </c>
      <c r="J197" s="17">
        <v>13</v>
      </c>
      <c r="K197" s="17">
        <f t="shared" si="134"/>
        <v>11514</v>
      </c>
      <c r="L197" s="17" t="s">
        <v>418</v>
      </c>
      <c r="M197" s="17" t="str">
        <f t="shared" si="137"/>
        <v>1:11200:5</v>
      </c>
      <c r="N197" s="16" t="str">
        <f t="shared" si="110"/>
        <v>107:1</v>
      </c>
      <c r="O197" s="17">
        <f t="shared" si="113"/>
        <v>6</v>
      </c>
      <c r="P197" s="21" t="str">
        <f>$R$1&amp;R197&amp;$Q$1&amp;T197</f>
        <v>所有步兵攻击百分比增加:1</v>
      </c>
      <c r="Q197" s="21"/>
      <c r="R197" t="str">
        <f t="shared" si="132"/>
        <v>攻击百分比</v>
      </c>
      <c r="T197" t="str">
        <f t="shared" si="120"/>
        <v>:1</v>
      </c>
      <c r="U197" t="str">
        <f t="shared" ref="U197:U260" si="138">MID(P197,3,2)</f>
        <v>步兵</v>
      </c>
      <c r="V197" t="s">
        <v>4281</v>
      </c>
      <c r="W197">
        <f>属性类型!G197</f>
        <v>107</v>
      </c>
      <c r="X197">
        <v>1</v>
      </c>
    </row>
    <row r="198" customFormat="1" ht="16.5" spans="1:24">
      <c r="A198" s="17">
        <f t="shared" si="133"/>
        <v>11514</v>
      </c>
      <c r="B198" s="17">
        <v>11500</v>
      </c>
      <c r="C198" s="17" t="str">
        <f t="shared" si="111"/>
        <v>1</v>
      </c>
      <c r="D198" s="12">
        <f t="shared" si="126"/>
        <v>10002</v>
      </c>
      <c r="E198" s="17">
        <v>1</v>
      </c>
      <c r="F198" s="17">
        <f t="shared" si="112"/>
        <v>2</v>
      </c>
      <c r="G198" s="17" t="str">
        <f t="shared" si="135"/>
        <v>中级攻击百分比</v>
      </c>
      <c r="H198" s="17" t="str">
        <f t="shared" si="136"/>
        <v>icon_06</v>
      </c>
      <c r="I198" s="20">
        <v>0</v>
      </c>
      <c r="J198" s="17">
        <v>14</v>
      </c>
      <c r="K198" s="17">
        <f t="shared" si="134"/>
        <v>11515</v>
      </c>
      <c r="L198" s="17" t="s">
        <v>422</v>
      </c>
      <c r="M198" s="17" t="str">
        <f t="shared" si="137"/>
        <v>1:11200:5</v>
      </c>
      <c r="N198" s="16" t="str">
        <f t="shared" si="110"/>
        <v>107:1</v>
      </c>
      <c r="O198" s="17">
        <f t="shared" si="113"/>
        <v>6</v>
      </c>
      <c r="P198" s="21" t="str">
        <f>$R$1&amp;R198&amp;$Q$1&amp;T198</f>
        <v>所有步兵攻击百分比增加:1</v>
      </c>
      <c r="Q198" s="21"/>
      <c r="R198" t="str">
        <f t="shared" si="132"/>
        <v>攻击百分比</v>
      </c>
      <c r="T198" t="str">
        <f t="shared" si="120"/>
        <v>:1</v>
      </c>
      <c r="U198" t="str">
        <f t="shared" si="138"/>
        <v>步兵</v>
      </c>
      <c r="V198" t="s">
        <v>4281</v>
      </c>
      <c r="W198">
        <f>属性类型!G198</f>
        <v>107</v>
      </c>
      <c r="X198">
        <v>1</v>
      </c>
    </row>
    <row r="199" customFormat="1" ht="16.5" spans="1:24">
      <c r="A199" s="17">
        <f t="shared" si="133"/>
        <v>11515</v>
      </c>
      <c r="B199" s="17">
        <v>11500</v>
      </c>
      <c r="C199" s="17" t="str">
        <f t="shared" si="111"/>
        <v>1</v>
      </c>
      <c r="D199" s="12">
        <f t="shared" si="126"/>
        <v>10002</v>
      </c>
      <c r="E199" s="17">
        <v>1</v>
      </c>
      <c r="F199" s="17">
        <f t="shared" si="112"/>
        <v>2</v>
      </c>
      <c r="G199" s="17" t="str">
        <f t="shared" si="135"/>
        <v>中级攻击百分比</v>
      </c>
      <c r="H199" s="17" t="str">
        <f t="shared" si="136"/>
        <v>icon_06</v>
      </c>
      <c r="I199" s="20">
        <v>0</v>
      </c>
      <c r="J199" s="17">
        <v>15</v>
      </c>
      <c r="K199" s="17">
        <v>0</v>
      </c>
      <c r="L199" s="17">
        <v>0</v>
      </c>
      <c r="M199" s="17" t="str">
        <f t="shared" si="137"/>
        <v>1:11200:5</v>
      </c>
      <c r="N199" s="16" t="str">
        <f t="shared" si="110"/>
        <v>107:1</v>
      </c>
      <c r="O199" s="17">
        <f t="shared" si="113"/>
        <v>6</v>
      </c>
      <c r="P199" s="21" t="str">
        <f>$R$1&amp;R199&amp;$Q$1&amp;T199</f>
        <v>所有步兵攻击百分比增加:1</v>
      </c>
      <c r="Q199" s="21"/>
      <c r="R199" t="str">
        <f t="shared" si="132"/>
        <v>攻击百分比</v>
      </c>
      <c r="T199" t="str">
        <f t="shared" si="120"/>
        <v>:1</v>
      </c>
      <c r="U199" t="str">
        <f t="shared" si="138"/>
        <v>步兵</v>
      </c>
      <c r="V199" t="s">
        <v>4281</v>
      </c>
      <c r="W199">
        <f>属性类型!G199</f>
        <v>107</v>
      </c>
      <c r="X199">
        <v>1</v>
      </c>
    </row>
    <row r="200" customFormat="1" ht="16.5" spans="1:24">
      <c r="A200" s="18">
        <f>A184+100</f>
        <v>11600</v>
      </c>
      <c r="B200" s="18">
        <f>ROUND(A200,-2)</f>
        <v>11600</v>
      </c>
      <c r="C200" s="18" t="str">
        <f t="shared" si="111"/>
        <v>1</v>
      </c>
      <c r="D200" s="12">
        <f t="shared" si="126"/>
        <v>10002</v>
      </c>
      <c r="E200" s="17">
        <v>1</v>
      </c>
      <c r="F200" s="18">
        <f t="shared" si="112"/>
        <v>2</v>
      </c>
      <c r="G200" s="18" t="s">
        <v>450</v>
      </c>
      <c r="H200" s="18" t="s">
        <v>176</v>
      </c>
      <c r="I200" s="20">
        <v>0</v>
      </c>
      <c r="J200" s="18">
        <v>0</v>
      </c>
      <c r="K200" s="18">
        <f t="shared" ref="K200:K214" si="139">A201</f>
        <v>11601</v>
      </c>
      <c r="L200" s="18" t="s">
        <v>297</v>
      </c>
      <c r="M200" s="18" t="s">
        <v>452</v>
      </c>
      <c r="N200" s="16" t="str">
        <f t="shared" si="110"/>
        <v>109:1</v>
      </c>
      <c r="O200" s="18">
        <f t="shared" si="113"/>
        <v>7</v>
      </c>
      <c r="P200" s="21" t="str">
        <f>$R$1&amp;R200&amp;$Q$1&amp;T200</f>
        <v>所有步兵魔防百分比增加1</v>
      </c>
      <c r="Q200" s="21"/>
      <c r="R200" t="s">
        <v>4282</v>
      </c>
      <c r="T200" t="str">
        <f>RIGHT(N200,1)</f>
        <v>1</v>
      </c>
      <c r="U200" t="str">
        <f t="shared" si="138"/>
        <v>步兵</v>
      </c>
      <c r="V200" t="s">
        <v>4283</v>
      </c>
      <c r="W200">
        <f>属性类型!G200</f>
        <v>109</v>
      </c>
      <c r="X200">
        <v>1</v>
      </c>
    </row>
    <row r="201" customFormat="1" ht="16.5" spans="1:24">
      <c r="A201" s="17">
        <f t="shared" ref="A201:A215" si="140">A200+1</f>
        <v>11601</v>
      </c>
      <c r="B201" s="17">
        <v>11600</v>
      </c>
      <c r="C201" s="17" t="str">
        <f t="shared" si="111"/>
        <v>1</v>
      </c>
      <c r="D201" s="12">
        <f t="shared" si="126"/>
        <v>10002</v>
      </c>
      <c r="E201" s="17">
        <v>1</v>
      </c>
      <c r="F201" s="17">
        <f t="shared" si="112"/>
        <v>2</v>
      </c>
      <c r="G201" s="17" t="str">
        <f t="shared" ref="G201:G210" si="141">G200</f>
        <v>中级魔防百分比</v>
      </c>
      <c r="H201" s="17" t="str">
        <f t="shared" ref="H201:H210" si="142">H200</f>
        <v>icon_07</v>
      </c>
      <c r="I201" s="20">
        <v>0</v>
      </c>
      <c r="J201" s="17">
        <v>1</v>
      </c>
      <c r="K201" s="17">
        <f t="shared" si="139"/>
        <v>11602</v>
      </c>
      <c r="L201" s="17" t="s">
        <v>300</v>
      </c>
      <c r="M201" s="17" t="str">
        <f t="shared" ref="M201:M210" si="143">M200</f>
        <v>1:11300:5</v>
      </c>
      <c r="N201" s="16" t="str">
        <f t="shared" si="110"/>
        <v>109:1</v>
      </c>
      <c r="O201" s="17">
        <f t="shared" si="113"/>
        <v>7</v>
      </c>
      <c r="P201" s="21" t="str">
        <f>$R$1&amp;R201&amp;$Q$1&amp;T201</f>
        <v>所有步兵魔防百分比增加:1</v>
      </c>
      <c r="Q201" s="21"/>
      <c r="R201" t="str">
        <f t="shared" si="132"/>
        <v>魔防百分比</v>
      </c>
      <c r="T201" t="str">
        <f t="shared" ref="T200:T211" si="144">RIGHT(N201,2)</f>
        <v>:1</v>
      </c>
      <c r="U201" t="str">
        <f t="shared" si="138"/>
        <v>步兵</v>
      </c>
      <c r="V201" t="s">
        <v>4283</v>
      </c>
      <c r="W201">
        <f>属性类型!G201</f>
        <v>109</v>
      </c>
      <c r="X201">
        <v>1</v>
      </c>
    </row>
    <row r="202" customFormat="1" ht="16.5" spans="1:24">
      <c r="A202" s="17">
        <f t="shared" si="140"/>
        <v>11602</v>
      </c>
      <c r="B202" s="17">
        <v>11600</v>
      </c>
      <c r="C202" s="17" t="str">
        <f t="shared" si="111"/>
        <v>1</v>
      </c>
      <c r="D202" s="12">
        <f t="shared" si="126"/>
        <v>10002</v>
      </c>
      <c r="E202" s="17">
        <v>1</v>
      </c>
      <c r="F202" s="17">
        <f t="shared" si="112"/>
        <v>2</v>
      </c>
      <c r="G202" s="17" t="str">
        <f t="shared" si="141"/>
        <v>中级魔防百分比</v>
      </c>
      <c r="H202" s="17" t="str">
        <f t="shared" si="142"/>
        <v>icon_07</v>
      </c>
      <c r="I202" s="20">
        <v>0</v>
      </c>
      <c r="J202" s="17">
        <v>2</v>
      </c>
      <c r="K202" s="17">
        <f t="shared" si="139"/>
        <v>11603</v>
      </c>
      <c r="L202" s="17" t="s">
        <v>304</v>
      </c>
      <c r="M202" s="17" t="str">
        <f t="shared" si="143"/>
        <v>1:11300:5</v>
      </c>
      <c r="N202" s="16" t="str">
        <f t="shared" si="110"/>
        <v>109:1</v>
      </c>
      <c r="O202" s="17">
        <f t="shared" si="113"/>
        <v>7</v>
      </c>
      <c r="P202" s="21" t="str">
        <f>$R$1&amp;R202&amp;$Q$1&amp;T202</f>
        <v>所有步兵魔防百分比增加:1</v>
      </c>
      <c r="Q202" s="21"/>
      <c r="R202" t="str">
        <f t="shared" si="132"/>
        <v>魔防百分比</v>
      </c>
      <c r="T202" t="str">
        <f t="shared" si="144"/>
        <v>:1</v>
      </c>
      <c r="U202" t="str">
        <f t="shared" si="138"/>
        <v>步兵</v>
      </c>
      <c r="V202" t="s">
        <v>4283</v>
      </c>
      <c r="W202">
        <f>属性类型!G202</f>
        <v>109</v>
      </c>
      <c r="X202">
        <v>1</v>
      </c>
    </row>
    <row r="203" customFormat="1" ht="16.5" spans="1:24">
      <c r="A203" s="17">
        <f t="shared" si="140"/>
        <v>11603</v>
      </c>
      <c r="B203" s="17">
        <v>11600</v>
      </c>
      <c r="C203" s="17" t="str">
        <f t="shared" si="111"/>
        <v>1</v>
      </c>
      <c r="D203" s="12">
        <f t="shared" si="126"/>
        <v>10002</v>
      </c>
      <c r="E203" s="17">
        <v>1</v>
      </c>
      <c r="F203" s="17">
        <f t="shared" si="112"/>
        <v>2</v>
      </c>
      <c r="G203" s="17" t="str">
        <f t="shared" si="141"/>
        <v>中级魔防百分比</v>
      </c>
      <c r="H203" s="17" t="str">
        <f t="shared" si="142"/>
        <v>icon_07</v>
      </c>
      <c r="I203" s="20">
        <v>0</v>
      </c>
      <c r="J203" s="17">
        <v>3</v>
      </c>
      <c r="K203" s="17">
        <f t="shared" si="139"/>
        <v>11604</v>
      </c>
      <c r="L203" s="17" t="s">
        <v>307</v>
      </c>
      <c r="M203" s="17" t="str">
        <f t="shared" si="143"/>
        <v>1:11300:5</v>
      </c>
      <c r="N203" s="16" t="str">
        <f t="shared" ref="N203:N266" si="145">W203&amp;$W$2&amp;X203</f>
        <v>109:1</v>
      </c>
      <c r="O203" s="17">
        <f t="shared" si="113"/>
        <v>7</v>
      </c>
      <c r="P203" s="21" t="str">
        <f>$R$1&amp;R203&amp;$Q$1&amp;T203</f>
        <v>所有步兵魔防百分比增加:1</v>
      </c>
      <c r="Q203" s="21"/>
      <c r="R203" t="str">
        <f t="shared" si="132"/>
        <v>魔防百分比</v>
      </c>
      <c r="T203" t="str">
        <f t="shared" si="144"/>
        <v>:1</v>
      </c>
      <c r="U203" t="str">
        <f t="shared" si="138"/>
        <v>步兵</v>
      </c>
      <c r="V203" t="s">
        <v>4283</v>
      </c>
      <c r="W203">
        <f>属性类型!G203</f>
        <v>109</v>
      </c>
      <c r="X203">
        <v>1</v>
      </c>
    </row>
    <row r="204" customFormat="1" ht="16.5" spans="1:24">
      <c r="A204" s="17">
        <f t="shared" si="140"/>
        <v>11604</v>
      </c>
      <c r="B204" s="17">
        <v>11600</v>
      </c>
      <c r="C204" s="17" t="str">
        <f t="shared" si="111"/>
        <v>1</v>
      </c>
      <c r="D204" s="12">
        <f t="shared" si="126"/>
        <v>10002</v>
      </c>
      <c r="E204" s="17">
        <v>1</v>
      </c>
      <c r="F204" s="17">
        <f t="shared" si="112"/>
        <v>2</v>
      </c>
      <c r="G204" s="17" t="str">
        <f t="shared" si="141"/>
        <v>中级魔防百分比</v>
      </c>
      <c r="H204" s="17" t="str">
        <f t="shared" si="142"/>
        <v>icon_07</v>
      </c>
      <c r="I204" s="20">
        <v>0</v>
      </c>
      <c r="J204" s="17">
        <v>4</v>
      </c>
      <c r="K204" s="17">
        <f t="shared" si="139"/>
        <v>11605</v>
      </c>
      <c r="L204" s="17" t="s">
        <v>309</v>
      </c>
      <c r="M204" s="17" t="str">
        <f t="shared" si="143"/>
        <v>1:11300:5</v>
      </c>
      <c r="N204" s="16" t="str">
        <f t="shared" si="145"/>
        <v>109:1</v>
      </c>
      <c r="O204" s="17">
        <f t="shared" si="113"/>
        <v>7</v>
      </c>
      <c r="P204" s="21" t="str">
        <f>$R$1&amp;R204&amp;$Q$1&amp;T204</f>
        <v>所有步兵魔防百分比增加:1</v>
      </c>
      <c r="Q204" s="21"/>
      <c r="R204" t="str">
        <f t="shared" si="132"/>
        <v>魔防百分比</v>
      </c>
      <c r="T204" t="str">
        <f t="shared" si="144"/>
        <v>:1</v>
      </c>
      <c r="U204" t="str">
        <f t="shared" si="138"/>
        <v>步兵</v>
      </c>
      <c r="V204" t="s">
        <v>4283</v>
      </c>
      <c r="W204">
        <f>属性类型!G204</f>
        <v>109</v>
      </c>
      <c r="X204">
        <v>1</v>
      </c>
    </row>
    <row r="205" customFormat="1" ht="16.5" spans="1:24">
      <c r="A205" s="17">
        <f t="shared" si="140"/>
        <v>11605</v>
      </c>
      <c r="B205" s="17">
        <v>11600</v>
      </c>
      <c r="C205" s="17" t="str">
        <f t="shared" si="111"/>
        <v>1</v>
      </c>
      <c r="D205" s="12">
        <f t="shared" si="126"/>
        <v>10002</v>
      </c>
      <c r="E205" s="17">
        <v>1</v>
      </c>
      <c r="F205" s="17">
        <f t="shared" si="112"/>
        <v>2</v>
      </c>
      <c r="G205" s="17" t="str">
        <f t="shared" si="141"/>
        <v>中级魔防百分比</v>
      </c>
      <c r="H205" s="17" t="str">
        <f t="shared" si="142"/>
        <v>icon_07</v>
      </c>
      <c r="I205" s="20">
        <v>0</v>
      </c>
      <c r="J205" s="17">
        <v>5</v>
      </c>
      <c r="K205" s="17">
        <f t="shared" si="139"/>
        <v>11606</v>
      </c>
      <c r="L205" s="17" t="s">
        <v>312</v>
      </c>
      <c r="M205" s="17" t="str">
        <f t="shared" si="143"/>
        <v>1:11300:5</v>
      </c>
      <c r="N205" s="16" t="str">
        <f t="shared" si="145"/>
        <v>109:1</v>
      </c>
      <c r="O205" s="17">
        <f t="shared" si="113"/>
        <v>7</v>
      </c>
      <c r="P205" s="21" t="str">
        <f>$R$1&amp;R205&amp;$Q$1&amp;T205</f>
        <v>所有步兵魔防百分比增加:1</v>
      </c>
      <c r="Q205" s="21"/>
      <c r="R205" t="str">
        <f t="shared" si="132"/>
        <v>魔防百分比</v>
      </c>
      <c r="T205" t="str">
        <f t="shared" si="144"/>
        <v>:1</v>
      </c>
      <c r="U205" t="str">
        <f t="shared" si="138"/>
        <v>步兵</v>
      </c>
      <c r="V205" t="s">
        <v>4283</v>
      </c>
      <c r="W205">
        <f>属性类型!G205</f>
        <v>109</v>
      </c>
      <c r="X205">
        <v>1</v>
      </c>
    </row>
    <row r="206" customFormat="1" ht="16.5" spans="1:24">
      <c r="A206" s="17">
        <f t="shared" si="140"/>
        <v>11606</v>
      </c>
      <c r="B206" s="17">
        <v>11600</v>
      </c>
      <c r="C206" s="17" t="str">
        <f>LEFT(A206,1)</f>
        <v>1</v>
      </c>
      <c r="D206" s="12">
        <f t="shared" si="126"/>
        <v>10002</v>
      </c>
      <c r="E206" s="17">
        <v>1</v>
      </c>
      <c r="F206" s="17">
        <f>MID(B206,2,1)+1</f>
        <v>2</v>
      </c>
      <c r="G206" s="17" t="str">
        <f t="shared" si="141"/>
        <v>中级魔防百分比</v>
      </c>
      <c r="H206" s="17" t="str">
        <f t="shared" si="142"/>
        <v>icon_07</v>
      </c>
      <c r="I206" s="20">
        <v>0</v>
      </c>
      <c r="J206" s="17">
        <v>6</v>
      </c>
      <c r="K206" s="17">
        <f t="shared" si="139"/>
        <v>11607</v>
      </c>
      <c r="L206" s="17" t="s">
        <v>315</v>
      </c>
      <c r="M206" s="17" t="str">
        <f t="shared" si="143"/>
        <v>1:11300:5</v>
      </c>
      <c r="N206" s="16" t="str">
        <f t="shared" si="145"/>
        <v>109:1</v>
      </c>
      <c r="O206" s="17">
        <f>MID(A206,3,1)+1</f>
        <v>7</v>
      </c>
      <c r="P206" s="21" t="str">
        <f>$R$1&amp;R206&amp;$Q$1&amp;T206</f>
        <v>所有步兵魔防百分比增加:1</v>
      </c>
      <c r="Q206" s="21"/>
      <c r="R206" t="str">
        <f t="shared" si="132"/>
        <v>魔防百分比</v>
      </c>
      <c r="T206" t="str">
        <f t="shared" si="144"/>
        <v>:1</v>
      </c>
      <c r="U206" t="str">
        <f t="shared" si="138"/>
        <v>步兵</v>
      </c>
      <c r="V206" t="s">
        <v>4283</v>
      </c>
      <c r="W206">
        <f>属性类型!G206</f>
        <v>109</v>
      </c>
      <c r="X206">
        <v>1</v>
      </c>
    </row>
    <row r="207" customFormat="1" ht="16.5" spans="1:24">
      <c r="A207" s="17">
        <f t="shared" si="140"/>
        <v>11607</v>
      </c>
      <c r="B207" s="17">
        <v>11600</v>
      </c>
      <c r="C207" s="17" t="str">
        <f>LEFT(A207,1)</f>
        <v>1</v>
      </c>
      <c r="D207" s="12">
        <f t="shared" si="126"/>
        <v>10002</v>
      </c>
      <c r="E207" s="17">
        <v>1</v>
      </c>
      <c r="F207" s="17">
        <f>MID(B207,2,1)+1</f>
        <v>2</v>
      </c>
      <c r="G207" s="17" t="str">
        <f t="shared" si="141"/>
        <v>中级魔防百分比</v>
      </c>
      <c r="H207" s="17" t="str">
        <f t="shared" si="142"/>
        <v>icon_07</v>
      </c>
      <c r="I207" s="20">
        <v>0</v>
      </c>
      <c r="J207" s="17">
        <v>7</v>
      </c>
      <c r="K207" s="17">
        <f t="shared" si="139"/>
        <v>11608</v>
      </c>
      <c r="L207" s="17" t="s">
        <v>317</v>
      </c>
      <c r="M207" s="17" t="str">
        <f t="shared" si="143"/>
        <v>1:11300:5</v>
      </c>
      <c r="N207" s="16" t="str">
        <f t="shared" si="145"/>
        <v>109:1</v>
      </c>
      <c r="O207" s="17">
        <f>MID(A207,3,1)+1</f>
        <v>7</v>
      </c>
      <c r="P207" s="21" t="str">
        <f>$R$1&amp;R207&amp;$Q$1&amp;T207</f>
        <v>所有步兵魔防百分比增加:1</v>
      </c>
      <c r="Q207" s="21"/>
      <c r="R207" t="str">
        <f t="shared" si="132"/>
        <v>魔防百分比</v>
      </c>
      <c r="T207" t="str">
        <f t="shared" si="144"/>
        <v>:1</v>
      </c>
      <c r="U207" t="str">
        <f t="shared" si="138"/>
        <v>步兵</v>
      </c>
      <c r="V207" t="s">
        <v>4283</v>
      </c>
      <c r="W207">
        <f>属性类型!G207</f>
        <v>109</v>
      </c>
      <c r="X207">
        <v>1</v>
      </c>
    </row>
    <row r="208" customFormat="1" ht="16.5" spans="1:24">
      <c r="A208" s="17">
        <f t="shared" si="140"/>
        <v>11608</v>
      </c>
      <c r="B208" s="17">
        <v>11600</v>
      </c>
      <c r="C208" s="17" t="str">
        <f>LEFT(A208,1)</f>
        <v>1</v>
      </c>
      <c r="D208" s="12">
        <f t="shared" si="126"/>
        <v>10002</v>
      </c>
      <c r="E208" s="17">
        <v>1</v>
      </c>
      <c r="F208" s="17">
        <f>MID(B208,2,1)+1</f>
        <v>2</v>
      </c>
      <c r="G208" s="17" t="str">
        <f t="shared" si="141"/>
        <v>中级魔防百分比</v>
      </c>
      <c r="H208" s="17" t="str">
        <f t="shared" si="142"/>
        <v>icon_07</v>
      </c>
      <c r="I208" s="20">
        <v>0</v>
      </c>
      <c r="J208" s="17">
        <v>8</v>
      </c>
      <c r="K208" s="17">
        <f t="shared" si="139"/>
        <v>11609</v>
      </c>
      <c r="L208" s="17" t="s">
        <v>320</v>
      </c>
      <c r="M208" s="17" t="str">
        <f t="shared" si="143"/>
        <v>1:11300:5</v>
      </c>
      <c r="N208" s="16" t="str">
        <f t="shared" si="145"/>
        <v>109:1</v>
      </c>
      <c r="O208" s="17">
        <f>MID(A208,3,1)+1</f>
        <v>7</v>
      </c>
      <c r="P208" s="21" t="str">
        <f>$R$1&amp;R208&amp;$Q$1&amp;T208</f>
        <v>所有步兵魔防百分比增加:1</v>
      </c>
      <c r="Q208" s="21"/>
      <c r="R208" t="str">
        <f t="shared" si="132"/>
        <v>魔防百分比</v>
      </c>
      <c r="T208" t="str">
        <f t="shared" si="144"/>
        <v>:1</v>
      </c>
      <c r="U208" t="str">
        <f t="shared" si="138"/>
        <v>步兵</v>
      </c>
      <c r="V208" t="s">
        <v>4283</v>
      </c>
      <c r="W208">
        <f>属性类型!G208</f>
        <v>109</v>
      </c>
      <c r="X208">
        <v>1</v>
      </c>
    </row>
    <row r="209" customFormat="1" ht="16.5" spans="1:24">
      <c r="A209" s="17">
        <f t="shared" si="140"/>
        <v>11609</v>
      </c>
      <c r="B209" s="17">
        <v>11600</v>
      </c>
      <c r="C209" s="17" t="str">
        <f>LEFT(A209,1)</f>
        <v>1</v>
      </c>
      <c r="D209" s="12">
        <f t="shared" si="126"/>
        <v>10002</v>
      </c>
      <c r="E209" s="17">
        <v>1</v>
      </c>
      <c r="F209" s="17">
        <f>MID(B209,2,1)+1</f>
        <v>2</v>
      </c>
      <c r="G209" s="17" t="str">
        <f t="shared" si="141"/>
        <v>中级魔防百分比</v>
      </c>
      <c r="H209" s="17" t="str">
        <f t="shared" si="142"/>
        <v>icon_07</v>
      </c>
      <c r="I209" s="20">
        <v>0</v>
      </c>
      <c r="J209" s="17">
        <v>9</v>
      </c>
      <c r="K209" s="17">
        <f t="shared" si="139"/>
        <v>11610</v>
      </c>
      <c r="L209" s="17" t="s">
        <v>323</v>
      </c>
      <c r="M209" s="17" t="str">
        <f t="shared" si="143"/>
        <v>1:11300:5</v>
      </c>
      <c r="N209" s="16" t="str">
        <f t="shared" si="145"/>
        <v>109:1</v>
      </c>
      <c r="O209" s="17">
        <f>MID(A209,3,1)+1</f>
        <v>7</v>
      </c>
      <c r="P209" s="21" t="str">
        <f>$R$1&amp;R209&amp;$Q$1&amp;T209</f>
        <v>所有步兵魔防百分比增加:1</v>
      </c>
      <c r="Q209" s="21"/>
      <c r="R209" t="str">
        <f t="shared" si="132"/>
        <v>魔防百分比</v>
      </c>
      <c r="T209" t="str">
        <f t="shared" si="144"/>
        <v>:1</v>
      </c>
      <c r="U209" t="str">
        <f t="shared" si="138"/>
        <v>步兵</v>
      </c>
      <c r="V209" t="s">
        <v>4283</v>
      </c>
      <c r="W209">
        <f>属性类型!G209</f>
        <v>109</v>
      </c>
      <c r="X209">
        <v>1</v>
      </c>
    </row>
    <row r="210" customFormat="1" ht="16.5" spans="1:24">
      <c r="A210" s="17">
        <f t="shared" si="140"/>
        <v>11610</v>
      </c>
      <c r="B210" s="17">
        <v>11600</v>
      </c>
      <c r="C210" s="17" t="str">
        <f t="shared" ref="C210:C228" si="146">LEFT(A210,1)</f>
        <v>1</v>
      </c>
      <c r="D210" s="12">
        <f t="shared" si="126"/>
        <v>10002</v>
      </c>
      <c r="E210" s="17">
        <v>1</v>
      </c>
      <c r="F210" s="17">
        <f t="shared" ref="F210:F228" si="147">MID(B210,2,1)+1</f>
        <v>2</v>
      </c>
      <c r="G210" s="17" t="str">
        <f t="shared" ref="G210:G215" si="148">G209</f>
        <v>中级魔防百分比</v>
      </c>
      <c r="H210" s="17" t="str">
        <f t="shared" ref="H210:H215" si="149">H209</f>
        <v>icon_07</v>
      </c>
      <c r="I210" s="20">
        <v>0</v>
      </c>
      <c r="J210" s="17">
        <v>10</v>
      </c>
      <c r="K210" s="17">
        <f t="shared" si="139"/>
        <v>11611</v>
      </c>
      <c r="L210" s="17" t="s">
        <v>407</v>
      </c>
      <c r="M210" s="17" t="str">
        <f t="shared" ref="M210:M215" si="150">M209</f>
        <v>1:11300:5</v>
      </c>
      <c r="N210" s="16" t="str">
        <f t="shared" si="145"/>
        <v>109:1</v>
      </c>
      <c r="O210" s="17">
        <f t="shared" ref="O210:O229" si="151">MID(A210,3,1)+1</f>
        <v>7</v>
      </c>
      <c r="P210" s="21" t="str">
        <f t="shared" ref="P210:P215" si="152">$R$1&amp;R210&amp;$Q$1&amp;T210</f>
        <v>所有步兵魔防百分比增加:1</v>
      </c>
      <c r="Q210" s="21"/>
      <c r="R210" t="str">
        <f t="shared" si="132"/>
        <v>魔防百分比</v>
      </c>
      <c r="T210" t="str">
        <f t="shared" si="144"/>
        <v>:1</v>
      </c>
      <c r="U210" t="str">
        <f t="shared" si="138"/>
        <v>步兵</v>
      </c>
      <c r="V210" t="s">
        <v>4283</v>
      </c>
      <c r="W210">
        <f>属性类型!G210</f>
        <v>109</v>
      </c>
      <c r="X210">
        <v>1</v>
      </c>
    </row>
    <row r="211" customFormat="1" ht="16.5" spans="1:24">
      <c r="A211" s="17">
        <f t="shared" si="140"/>
        <v>11611</v>
      </c>
      <c r="B211" s="17">
        <v>11600</v>
      </c>
      <c r="C211" s="17" t="str">
        <f t="shared" si="146"/>
        <v>1</v>
      </c>
      <c r="D211" s="12">
        <f t="shared" si="126"/>
        <v>10002</v>
      </c>
      <c r="E211" s="17">
        <v>1</v>
      </c>
      <c r="F211" s="17">
        <f t="shared" si="147"/>
        <v>2</v>
      </c>
      <c r="G211" s="17" t="str">
        <f t="shared" si="148"/>
        <v>中级魔防百分比</v>
      </c>
      <c r="H211" s="17" t="str">
        <f t="shared" si="149"/>
        <v>icon_07</v>
      </c>
      <c r="I211" s="20">
        <v>0</v>
      </c>
      <c r="J211" s="17">
        <v>11</v>
      </c>
      <c r="K211" s="17">
        <f t="shared" si="139"/>
        <v>11612</v>
      </c>
      <c r="L211" s="17" t="s">
        <v>410</v>
      </c>
      <c r="M211" s="17" t="str">
        <f t="shared" si="150"/>
        <v>1:11300:5</v>
      </c>
      <c r="N211" s="16" t="str">
        <f t="shared" si="145"/>
        <v>109:1</v>
      </c>
      <c r="O211" s="17">
        <f t="shared" si="151"/>
        <v>7</v>
      </c>
      <c r="P211" s="21" t="str">
        <f t="shared" si="152"/>
        <v>所有步兵魔防百分比增加:1</v>
      </c>
      <c r="Q211" s="21"/>
      <c r="R211" t="str">
        <f t="shared" si="132"/>
        <v>魔防百分比</v>
      </c>
      <c r="T211" t="str">
        <f t="shared" si="144"/>
        <v>:1</v>
      </c>
      <c r="U211" t="str">
        <f t="shared" si="138"/>
        <v>步兵</v>
      </c>
      <c r="V211" t="s">
        <v>4283</v>
      </c>
      <c r="W211">
        <f>属性类型!G211</f>
        <v>109</v>
      </c>
      <c r="X211">
        <v>1</v>
      </c>
    </row>
    <row r="212" customFormat="1" ht="16.5" spans="1:24">
      <c r="A212" s="17">
        <f t="shared" si="140"/>
        <v>11612</v>
      </c>
      <c r="B212" s="17">
        <v>11600</v>
      </c>
      <c r="C212" s="17" t="str">
        <f t="shared" si="146"/>
        <v>1</v>
      </c>
      <c r="D212" s="12">
        <f t="shared" si="126"/>
        <v>10002</v>
      </c>
      <c r="E212" s="17">
        <v>1</v>
      </c>
      <c r="F212" s="17">
        <f t="shared" si="147"/>
        <v>2</v>
      </c>
      <c r="G212" s="17" t="str">
        <f t="shared" si="148"/>
        <v>中级魔防百分比</v>
      </c>
      <c r="H212" s="17" t="str">
        <f t="shared" si="149"/>
        <v>icon_07</v>
      </c>
      <c r="I212" s="20">
        <v>0</v>
      </c>
      <c r="J212" s="17">
        <v>12</v>
      </c>
      <c r="K212" s="17">
        <f t="shared" si="139"/>
        <v>11613</v>
      </c>
      <c r="L212" s="17" t="s">
        <v>414</v>
      </c>
      <c r="M212" s="17" t="str">
        <f t="shared" si="150"/>
        <v>1:11300:5</v>
      </c>
      <c r="N212" s="16" t="str">
        <f t="shared" si="145"/>
        <v>109:1</v>
      </c>
      <c r="O212" s="17">
        <f t="shared" si="151"/>
        <v>7</v>
      </c>
      <c r="P212" s="21" t="str">
        <f t="shared" si="152"/>
        <v>所有步兵魔防百分比增加:1</v>
      </c>
      <c r="Q212" s="21"/>
      <c r="R212" t="str">
        <f t="shared" si="132"/>
        <v>魔防百分比</v>
      </c>
      <c r="T212" t="str">
        <f t="shared" ref="T212:T231" si="153">RIGHT(N212,2)</f>
        <v>:1</v>
      </c>
      <c r="U212" t="str">
        <f t="shared" si="138"/>
        <v>步兵</v>
      </c>
      <c r="V212" t="s">
        <v>4283</v>
      </c>
      <c r="W212">
        <f>属性类型!G212</f>
        <v>109</v>
      </c>
      <c r="X212">
        <v>1</v>
      </c>
    </row>
    <row r="213" customFormat="1" ht="16.5" spans="1:24">
      <c r="A213" s="17">
        <f t="shared" si="140"/>
        <v>11613</v>
      </c>
      <c r="B213" s="17">
        <v>11600</v>
      </c>
      <c r="C213" s="17" t="str">
        <f t="shared" si="146"/>
        <v>1</v>
      </c>
      <c r="D213" s="12">
        <f t="shared" si="126"/>
        <v>10002</v>
      </c>
      <c r="E213" s="17">
        <v>1</v>
      </c>
      <c r="F213" s="17">
        <f t="shared" si="147"/>
        <v>2</v>
      </c>
      <c r="G213" s="17" t="str">
        <f t="shared" si="148"/>
        <v>中级魔防百分比</v>
      </c>
      <c r="H213" s="17" t="str">
        <f t="shared" si="149"/>
        <v>icon_07</v>
      </c>
      <c r="I213" s="20">
        <v>0</v>
      </c>
      <c r="J213" s="17">
        <v>13</v>
      </c>
      <c r="K213" s="17">
        <f t="shared" si="139"/>
        <v>11614</v>
      </c>
      <c r="L213" s="17" t="s">
        <v>418</v>
      </c>
      <c r="M213" s="17" t="str">
        <f t="shared" si="150"/>
        <v>1:11300:5</v>
      </c>
      <c r="N213" s="16" t="str">
        <f t="shared" si="145"/>
        <v>109:1</v>
      </c>
      <c r="O213" s="17">
        <f t="shared" si="151"/>
        <v>7</v>
      </c>
      <c r="P213" s="21" t="str">
        <f t="shared" si="152"/>
        <v>所有步兵魔防百分比增加:1</v>
      </c>
      <c r="Q213" s="21"/>
      <c r="R213" t="str">
        <f t="shared" si="132"/>
        <v>魔防百分比</v>
      </c>
      <c r="T213" t="str">
        <f t="shared" si="153"/>
        <v>:1</v>
      </c>
      <c r="U213" t="str">
        <f t="shared" si="138"/>
        <v>步兵</v>
      </c>
      <c r="V213" t="s">
        <v>4283</v>
      </c>
      <c r="W213">
        <f>属性类型!G213</f>
        <v>109</v>
      </c>
      <c r="X213">
        <v>1</v>
      </c>
    </row>
    <row r="214" customFormat="1" ht="16.5" spans="1:24">
      <c r="A214" s="17">
        <f t="shared" si="140"/>
        <v>11614</v>
      </c>
      <c r="B214" s="17">
        <v>11600</v>
      </c>
      <c r="C214" s="17" t="str">
        <f t="shared" si="146"/>
        <v>1</v>
      </c>
      <c r="D214" s="12">
        <f t="shared" si="126"/>
        <v>10002</v>
      </c>
      <c r="E214" s="17">
        <v>1</v>
      </c>
      <c r="F214" s="17">
        <f t="shared" si="147"/>
        <v>2</v>
      </c>
      <c r="G214" s="17" t="str">
        <f t="shared" si="148"/>
        <v>中级魔防百分比</v>
      </c>
      <c r="H214" s="17" t="str">
        <f t="shared" si="149"/>
        <v>icon_07</v>
      </c>
      <c r="I214" s="20">
        <v>0</v>
      </c>
      <c r="J214" s="17">
        <v>14</v>
      </c>
      <c r="K214" s="17">
        <f t="shared" si="139"/>
        <v>11615</v>
      </c>
      <c r="L214" s="17" t="s">
        <v>422</v>
      </c>
      <c r="M214" s="17" t="str">
        <f t="shared" si="150"/>
        <v>1:11300:5</v>
      </c>
      <c r="N214" s="16" t="str">
        <f t="shared" si="145"/>
        <v>109:1</v>
      </c>
      <c r="O214" s="17">
        <f t="shared" si="151"/>
        <v>7</v>
      </c>
      <c r="P214" s="21" t="str">
        <f t="shared" si="152"/>
        <v>所有步兵魔防百分比增加:1</v>
      </c>
      <c r="Q214" s="21"/>
      <c r="R214" t="str">
        <f t="shared" si="132"/>
        <v>魔防百分比</v>
      </c>
      <c r="T214" t="str">
        <f t="shared" si="153"/>
        <v>:1</v>
      </c>
      <c r="U214" t="str">
        <f t="shared" si="138"/>
        <v>步兵</v>
      </c>
      <c r="V214" t="s">
        <v>4283</v>
      </c>
      <c r="W214">
        <f>属性类型!G214</f>
        <v>109</v>
      </c>
      <c r="X214">
        <v>1</v>
      </c>
    </row>
    <row r="215" customFormat="1" ht="16.5" spans="1:24">
      <c r="A215" s="17">
        <f t="shared" si="140"/>
        <v>11615</v>
      </c>
      <c r="B215" s="17">
        <v>11600</v>
      </c>
      <c r="C215" s="17" t="str">
        <f t="shared" si="146"/>
        <v>1</v>
      </c>
      <c r="D215" s="12">
        <f t="shared" si="126"/>
        <v>10002</v>
      </c>
      <c r="E215" s="17">
        <v>1</v>
      </c>
      <c r="F215" s="17">
        <f t="shared" si="147"/>
        <v>2</v>
      </c>
      <c r="G215" s="17" t="str">
        <f t="shared" si="148"/>
        <v>中级魔防百分比</v>
      </c>
      <c r="H215" s="17" t="str">
        <f t="shared" si="149"/>
        <v>icon_07</v>
      </c>
      <c r="I215" s="20">
        <v>0</v>
      </c>
      <c r="J215" s="17">
        <v>15</v>
      </c>
      <c r="K215" s="17">
        <v>0</v>
      </c>
      <c r="L215" s="17">
        <v>0</v>
      </c>
      <c r="M215" s="17" t="str">
        <f t="shared" si="150"/>
        <v>1:11300:5</v>
      </c>
      <c r="N215" s="16" t="str">
        <f t="shared" si="145"/>
        <v>109:1</v>
      </c>
      <c r="O215" s="17">
        <f t="shared" si="151"/>
        <v>7</v>
      </c>
      <c r="P215" s="21" t="str">
        <f t="shared" si="152"/>
        <v>所有步兵魔防百分比增加:1</v>
      </c>
      <c r="Q215" s="21"/>
      <c r="R215" t="str">
        <f t="shared" si="132"/>
        <v>魔防百分比</v>
      </c>
      <c r="T215" t="str">
        <f t="shared" si="153"/>
        <v>:1</v>
      </c>
      <c r="U215" t="str">
        <f t="shared" si="138"/>
        <v>步兵</v>
      </c>
      <c r="V215" t="s">
        <v>4283</v>
      </c>
      <c r="W215">
        <f>属性类型!G215</f>
        <v>109</v>
      </c>
      <c r="X215">
        <v>1</v>
      </c>
    </row>
    <row r="216" customFormat="1" ht="16.5" spans="1:24">
      <c r="A216" s="18">
        <f>A200+100</f>
        <v>11700</v>
      </c>
      <c r="B216" s="18">
        <f>ROUND(A216,-2)</f>
        <v>11700</v>
      </c>
      <c r="C216" s="18" t="str">
        <f t="shared" si="146"/>
        <v>1</v>
      </c>
      <c r="D216" s="12">
        <f t="shared" si="126"/>
        <v>10002</v>
      </c>
      <c r="E216" s="17">
        <v>2</v>
      </c>
      <c r="F216" s="18">
        <f t="shared" si="147"/>
        <v>2</v>
      </c>
      <c r="G216" s="18" t="s">
        <v>4349</v>
      </c>
      <c r="H216" s="18" t="s">
        <v>242</v>
      </c>
      <c r="I216" s="20">
        <v>1.5</v>
      </c>
      <c r="J216" s="18">
        <v>0</v>
      </c>
      <c r="K216" s="18">
        <f t="shared" ref="K216:K230" si="154">A217</f>
        <v>11701</v>
      </c>
      <c r="L216" s="18" t="s">
        <v>206</v>
      </c>
      <c r="M216" s="18" t="s">
        <v>474</v>
      </c>
      <c r="N216" s="16" t="str">
        <f t="shared" si="145"/>
        <v>10004:1</v>
      </c>
      <c r="O216" s="18">
        <f t="shared" si="151"/>
        <v>8</v>
      </c>
      <c r="P216" s="21" t="s">
        <v>4350</v>
      </c>
      <c r="Q216" s="21"/>
      <c r="R216" t="s">
        <v>4351</v>
      </c>
      <c r="T216" t="str">
        <f>RIGHT(N216,1)</f>
        <v>1</v>
      </c>
      <c r="U216" t="str">
        <f t="shared" si="138"/>
        <v>战士</v>
      </c>
      <c r="V216" t="s">
        <v>4349</v>
      </c>
      <c r="W216">
        <f>属性类型!G216</f>
        <v>10004</v>
      </c>
      <c r="X216">
        <v>1</v>
      </c>
    </row>
    <row r="217" customFormat="1" ht="16.5" spans="1:24">
      <c r="A217" s="17">
        <f t="shared" ref="A217:A231" si="155">A216+1</f>
        <v>11701</v>
      </c>
      <c r="B217" s="17">
        <v>11700</v>
      </c>
      <c r="C217" s="17" t="str">
        <f t="shared" si="146"/>
        <v>1</v>
      </c>
      <c r="D217" s="12">
        <f t="shared" si="126"/>
        <v>10002</v>
      </c>
      <c r="E217" s="17">
        <v>2</v>
      </c>
      <c r="F217" s="17">
        <f t="shared" si="147"/>
        <v>2</v>
      </c>
      <c r="G217" s="17" t="str">
        <f t="shared" ref="G217:G226" si="156">G216</f>
        <v>刀锋战士防御百分比</v>
      </c>
      <c r="H217" s="17" t="str">
        <f t="shared" ref="H217:H226" si="157">H216</f>
        <v>bubing02_Lv3</v>
      </c>
      <c r="I217" s="20">
        <v>1.5</v>
      </c>
      <c r="J217" s="17">
        <v>1</v>
      </c>
      <c r="K217" s="17">
        <f t="shared" si="154"/>
        <v>11702</v>
      </c>
      <c r="L217" s="17" t="s">
        <v>211</v>
      </c>
      <c r="M217" s="17" t="str">
        <f t="shared" ref="M217:M226" si="158">M216</f>
        <v>1:11400:5</v>
      </c>
      <c r="N217" s="16" t="str">
        <f t="shared" si="145"/>
        <v>10004:1</v>
      </c>
      <c r="O217" s="17">
        <f t="shared" si="151"/>
        <v>8</v>
      </c>
      <c r="P217" s="21" t="s">
        <v>4352</v>
      </c>
      <c r="Q217" s="21"/>
      <c r="R217" t="str">
        <f t="shared" ref="R217:R231" si="159">R216</f>
        <v>刀锋战士</v>
      </c>
      <c r="T217" t="str">
        <f t="shared" si="153"/>
        <v>:1</v>
      </c>
      <c r="U217" t="str">
        <f t="shared" si="138"/>
        <v>战士</v>
      </c>
      <c r="V217" t="s">
        <v>4349</v>
      </c>
      <c r="W217">
        <f>属性类型!G217</f>
        <v>10004</v>
      </c>
      <c r="X217">
        <v>1</v>
      </c>
    </row>
    <row r="218" customFormat="1" ht="16.5" spans="1:24">
      <c r="A218" s="17">
        <f t="shared" si="155"/>
        <v>11702</v>
      </c>
      <c r="B218" s="17">
        <v>11700</v>
      </c>
      <c r="C218" s="17" t="str">
        <f t="shared" si="146"/>
        <v>1</v>
      </c>
      <c r="D218" s="12">
        <f t="shared" si="126"/>
        <v>10002</v>
      </c>
      <c r="E218" s="17">
        <v>2</v>
      </c>
      <c r="F218" s="17">
        <f t="shared" si="147"/>
        <v>2</v>
      </c>
      <c r="G218" s="17" t="str">
        <f t="shared" si="156"/>
        <v>刀锋战士防御百分比</v>
      </c>
      <c r="H218" s="17" t="str">
        <f t="shared" si="157"/>
        <v>bubing02_Lv3</v>
      </c>
      <c r="I218" s="20">
        <v>1.5</v>
      </c>
      <c r="J218" s="17">
        <v>2</v>
      </c>
      <c r="K218" s="17">
        <f t="shared" si="154"/>
        <v>11703</v>
      </c>
      <c r="L218" s="17" t="s">
        <v>215</v>
      </c>
      <c r="M218" s="17" t="str">
        <f t="shared" si="158"/>
        <v>1:11400:5</v>
      </c>
      <c r="N218" s="16" t="str">
        <f t="shared" si="145"/>
        <v>10004:1</v>
      </c>
      <c r="O218" s="17">
        <f t="shared" si="151"/>
        <v>8</v>
      </c>
      <c r="P218" s="21" t="s">
        <v>4353</v>
      </c>
      <c r="Q218" s="21"/>
      <c r="R218" t="str">
        <f t="shared" si="159"/>
        <v>刀锋战士</v>
      </c>
      <c r="T218" t="str">
        <f t="shared" si="153"/>
        <v>:1</v>
      </c>
      <c r="U218" t="str">
        <f t="shared" si="138"/>
        <v>战士</v>
      </c>
      <c r="V218" t="s">
        <v>4349</v>
      </c>
      <c r="W218">
        <f>属性类型!G218</f>
        <v>10004</v>
      </c>
      <c r="X218">
        <v>1</v>
      </c>
    </row>
    <row r="219" customFormat="1" ht="16.5" spans="1:24">
      <c r="A219" s="17">
        <f t="shared" si="155"/>
        <v>11703</v>
      </c>
      <c r="B219" s="17">
        <v>11700</v>
      </c>
      <c r="C219" s="17" t="str">
        <f t="shared" si="146"/>
        <v>1</v>
      </c>
      <c r="D219" s="12">
        <f t="shared" si="126"/>
        <v>10002</v>
      </c>
      <c r="E219" s="17">
        <v>2</v>
      </c>
      <c r="F219" s="17">
        <f t="shared" si="147"/>
        <v>2</v>
      </c>
      <c r="G219" s="17" t="str">
        <f t="shared" si="156"/>
        <v>刀锋战士防御百分比</v>
      </c>
      <c r="H219" s="17" t="str">
        <f t="shared" si="157"/>
        <v>bubing02_Lv3</v>
      </c>
      <c r="I219" s="20">
        <v>1.5</v>
      </c>
      <c r="J219" s="17">
        <v>3</v>
      </c>
      <c r="K219" s="17">
        <f t="shared" si="154"/>
        <v>11704</v>
      </c>
      <c r="L219" s="17" t="s">
        <v>218</v>
      </c>
      <c r="M219" s="17" t="str">
        <f t="shared" si="158"/>
        <v>1:11400:5</v>
      </c>
      <c r="N219" s="16" t="str">
        <f t="shared" si="145"/>
        <v>10004:1</v>
      </c>
      <c r="O219" s="17">
        <f t="shared" si="151"/>
        <v>8</v>
      </c>
      <c r="P219" s="21" t="s">
        <v>4354</v>
      </c>
      <c r="Q219" s="21"/>
      <c r="R219" t="str">
        <f t="shared" si="159"/>
        <v>刀锋战士</v>
      </c>
      <c r="T219" t="str">
        <f t="shared" si="153"/>
        <v>:1</v>
      </c>
      <c r="U219" t="str">
        <f t="shared" si="138"/>
        <v>战士</v>
      </c>
      <c r="V219" t="s">
        <v>4349</v>
      </c>
      <c r="W219">
        <f>属性类型!G219</f>
        <v>10004</v>
      </c>
      <c r="X219">
        <v>1</v>
      </c>
    </row>
    <row r="220" customFormat="1" ht="16.5" spans="1:24">
      <c r="A220" s="17">
        <f t="shared" si="155"/>
        <v>11704</v>
      </c>
      <c r="B220" s="17">
        <v>11700</v>
      </c>
      <c r="C220" s="17" t="str">
        <f t="shared" si="146"/>
        <v>1</v>
      </c>
      <c r="D220" s="12">
        <f t="shared" si="126"/>
        <v>10002</v>
      </c>
      <c r="E220" s="17">
        <v>2</v>
      </c>
      <c r="F220" s="17">
        <f t="shared" si="147"/>
        <v>2</v>
      </c>
      <c r="G220" s="17" t="str">
        <f t="shared" si="156"/>
        <v>刀锋战士防御百分比</v>
      </c>
      <c r="H220" s="17" t="str">
        <f t="shared" si="157"/>
        <v>bubing02_Lv3</v>
      </c>
      <c r="I220" s="20">
        <v>1.5</v>
      </c>
      <c r="J220" s="17">
        <v>4</v>
      </c>
      <c r="K220" s="17">
        <f t="shared" si="154"/>
        <v>11705</v>
      </c>
      <c r="L220" s="17" t="s">
        <v>221</v>
      </c>
      <c r="M220" s="17" t="str">
        <f t="shared" si="158"/>
        <v>1:11400:5</v>
      </c>
      <c r="N220" s="16" t="str">
        <f t="shared" si="145"/>
        <v>10004:1</v>
      </c>
      <c r="O220" s="17">
        <f t="shared" si="151"/>
        <v>8</v>
      </c>
      <c r="P220" s="21" t="s">
        <v>4355</v>
      </c>
      <c r="Q220" s="21"/>
      <c r="R220" t="str">
        <f t="shared" si="159"/>
        <v>刀锋战士</v>
      </c>
      <c r="T220" t="str">
        <f t="shared" si="153"/>
        <v>:1</v>
      </c>
      <c r="U220" t="str">
        <f t="shared" si="138"/>
        <v>战士</v>
      </c>
      <c r="V220" t="s">
        <v>4349</v>
      </c>
      <c r="W220">
        <f>属性类型!G220</f>
        <v>10004</v>
      </c>
      <c r="X220">
        <v>1</v>
      </c>
    </row>
    <row r="221" customFormat="1" ht="16.5" spans="1:24">
      <c r="A221" s="17">
        <f t="shared" si="155"/>
        <v>11705</v>
      </c>
      <c r="B221" s="17">
        <v>11700</v>
      </c>
      <c r="C221" s="17" t="str">
        <f t="shared" si="146"/>
        <v>1</v>
      </c>
      <c r="D221" s="12">
        <f t="shared" si="126"/>
        <v>10002</v>
      </c>
      <c r="E221" s="17">
        <v>2</v>
      </c>
      <c r="F221" s="17">
        <f t="shared" si="147"/>
        <v>2</v>
      </c>
      <c r="G221" s="17" t="str">
        <f t="shared" si="156"/>
        <v>刀锋战士防御百分比</v>
      </c>
      <c r="H221" s="17" t="str">
        <f t="shared" si="157"/>
        <v>bubing02_Lv3</v>
      </c>
      <c r="I221" s="20">
        <v>1.5</v>
      </c>
      <c r="J221" s="17">
        <v>5</v>
      </c>
      <c r="K221" s="17">
        <f t="shared" si="154"/>
        <v>11706</v>
      </c>
      <c r="L221" s="17" t="s">
        <v>224</v>
      </c>
      <c r="M221" s="17" t="str">
        <f t="shared" si="158"/>
        <v>1:11400:5</v>
      </c>
      <c r="N221" s="16" t="str">
        <f t="shared" si="145"/>
        <v>10004:1</v>
      </c>
      <c r="O221" s="17">
        <f t="shared" si="151"/>
        <v>8</v>
      </c>
      <c r="P221" s="21" t="s">
        <v>4356</v>
      </c>
      <c r="Q221" s="21"/>
      <c r="R221" t="str">
        <f t="shared" si="159"/>
        <v>刀锋战士</v>
      </c>
      <c r="T221" t="str">
        <f t="shared" si="153"/>
        <v>:1</v>
      </c>
      <c r="U221" t="str">
        <f t="shared" si="138"/>
        <v>战士</v>
      </c>
      <c r="V221" t="s">
        <v>4349</v>
      </c>
      <c r="W221">
        <f>属性类型!G221</f>
        <v>10004</v>
      </c>
      <c r="X221">
        <v>1</v>
      </c>
    </row>
    <row r="222" customFormat="1" ht="16.5" spans="1:24">
      <c r="A222" s="17">
        <f t="shared" si="155"/>
        <v>11706</v>
      </c>
      <c r="B222" s="17">
        <v>11700</v>
      </c>
      <c r="C222" s="17" t="str">
        <f t="shared" si="146"/>
        <v>1</v>
      </c>
      <c r="D222" s="12">
        <f t="shared" si="126"/>
        <v>10002</v>
      </c>
      <c r="E222" s="17">
        <v>2</v>
      </c>
      <c r="F222" s="17">
        <f t="shared" si="147"/>
        <v>2</v>
      </c>
      <c r="G222" s="17" t="str">
        <f t="shared" si="156"/>
        <v>刀锋战士防御百分比</v>
      </c>
      <c r="H222" s="17" t="str">
        <f t="shared" si="157"/>
        <v>bubing02_Lv3</v>
      </c>
      <c r="I222" s="20">
        <v>1.5</v>
      </c>
      <c r="J222" s="17">
        <v>6</v>
      </c>
      <c r="K222" s="17">
        <f t="shared" si="154"/>
        <v>11707</v>
      </c>
      <c r="L222" s="17" t="s">
        <v>227</v>
      </c>
      <c r="M222" s="17" t="str">
        <f t="shared" si="158"/>
        <v>1:11400:5</v>
      </c>
      <c r="N222" s="16" t="str">
        <f t="shared" si="145"/>
        <v>10004:1</v>
      </c>
      <c r="O222" s="17">
        <f t="shared" si="151"/>
        <v>8</v>
      </c>
      <c r="P222" s="21" t="s">
        <v>4357</v>
      </c>
      <c r="Q222" s="21"/>
      <c r="R222" t="str">
        <f t="shared" si="159"/>
        <v>刀锋战士</v>
      </c>
      <c r="T222" t="str">
        <f t="shared" si="153"/>
        <v>:1</v>
      </c>
      <c r="U222" t="str">
        <f t="shared" si="138"/>
        <v>战士</v>
      </c>
      <c r="V222" t="s">
        <v>4349</v>
      </c>
      <c r="W222">
        <f>属性类型!G222</f>
        <v>10004</v>
      </c>
      <c r="X222">
        <v>1</v>
      </c>
    </row>
    <row r="223" customFormat="1" ht="16.5" spans="1:24">
      <c r="A223" s="17">
        <f t="shared" si="155"/>
        <v>11707</v>
      </c>
      <c r="B223" s="17">
        <v>11700</v>
      </c>
      <c r="C223" s="17" t="str">
        <f t="shared" si="146"/>
        <v>1</v>
      </c>
      <c r="D223" s="12">
        <f t="shared" si="126"/>
        <v>10002</v>
      </c>
      <c r="E223" s="17">
        <v>2</v>
      </c>
      <c r="F223" s="17">
        <f t="shared" si="147"/>
        <v>2</v>
      </c>
      <c r="G223" s="17" t="str">
        <f t="shared" si="156"/>
        <v>刀锋战士防御百分比</v>
      </c>
      <c r="H223" s="17" t="str">
        <f t="shared" si="157"/>
        <v>bubing02_Lv3</v>
      </c>
      <c r="I223" s="20">
        <v>1.5</v>
      </c>
      <c r="J223" s="17">
        <v>7</v>
      </c>
      <c r="K223" s="17">
        <f t="shared" si="154"/>
        <v>11708</v>
      </c>
      <c r="L223" s="17" t="s">
        <v>230</v>
      </c>
      <c r="M223" s="17" t="str">
        <f t="shared" si="158"/>
        <v>1:11400:5</v>
      </c>
      <c r="N223" s="16" t="str">
        <f t="shared" si="145"/>
        <v>10004:1</v>
      </c>
      <c r="O223" s="17">
        <f t="shared" si="151"/>
        <v>8</v>
      </c>
      <c r="P223" s="21" t="s">
        <v>4358</v>
      </c>
      <c r="Q223" s="21"/>
      <c r="R223" t="str">
        <f t="shared" si="159"/>
        <v>刀锋战士</v>
      </c>
      <c r="T223" t="str">
        <f t="shared" si="153"/>
        <v>:1</v>
      </c>
      <c r="U223" t="str">
        <f t="shared" si="138"/>
        <v>战士</v>
      </c>
      <c r="V223" t="s">
        <v>4349</v>
      </c>
      <c r="W223">
        <f>属性类型!G223</f>
        <v>10004</v>
      </c>
      <c r="X223">
        <v>1</v>
      </c>
    </row>
    <row r="224" customFormat="1" ht="16.5" spans="1:24">
      <c r="A224" s="17">
        <f t="shared" si="155"/>
        <v>11708</v>
      </c>
      <c r="B224" s="17">
        <v>11700</v>
      </c>
      <c r="C224" s="17" t="str">
        <f t="shared" si="146"/>
        <v>1</v>
      </c>
      <c r="D224" s="12">
        <f t="shared" si="126"/>
        <v>10002</v>
      </c>
      <c r="E224" s="17">
        <v>2</v>
      </c>
      <c r="F224" s="17">
        <f t="shared" si="147"/>
        <v>2</v>
      </c>
      <c r="G224" s="17" t="str">
        <f t="shared" si="156"/>
        <v>刀锋战士防御百分比</v>
      </c>
      <c r="H224" s="17" t="str">
        <f t="shared" si="157"/>
        <v>bubing02_Lv3</v>
      </c>
      <c r="I224" s="20">
        <v>1.5</v>
      </c>
      <c r="J224" s="17">
        <v>8</v>
      </c>
      <c r="K224" s="17">
        <f t="shared" si="154"/>
        <v>11709</v>
      </c>
      <c r="L224" s="17" t="s">
        <v>233</v>
      </c>
      <c r="M224" s="17" t="str">
        <f t="shared" si="158"/>
        <v>1:11400:5</v>
      </c>
      <c r="N224" s="16" t="str">
        <f t="shared" si="145"/>
        <v>10004:1</v>
      </c>
      <c r="O224" s="17">
        <f t="shared" si="151"/>
        <v>8</v>
      </c>
      <c r="P224" s="21" t="s">
        <v>4359</v>
      </c>
      <c r="Q224" s="21"/>
      <c r="R224" t="str">
        <f t="shared" si="159"/>
        <v>刀锋战士</v>
      </c>
      <c r="T224" t="str">
        <f t="shared" si="153"/>
        <v>:1</v>
      </c>
      <c r="U224" t="str">
        <f t="shared" si="138"/>
        <v>战士</v>
      </c>
      <c r="V224" t="s">
        <v>4349</v>
      </c>
      <c r="W224">
        <f>属性类型!G224</f>
        <v>10004</v>
      </c>
      <c r="X224">
        <v>1</v>
      </c>
    </row>
    <row r="225" customFormat="1" ht="16.5" spans="1:24">
      <c r="A225" s="17">
        <f t="shared" si="155"/>
        <v>11709</v>
      </c>
      <c r="B225" s="17">
        <v>11700</v>
      </c>
      <c r="C225" s="17" t="str">
        <f t="shared" si="146"/>
        <v>1</v>
      </c>
      <c r="D225" s="12">
        <f t="shared" si="126"/>
        <v>10002</v>
      </c>
      <c r="E225" s="17">
        <v>2</v>
      </c>
      <c r="F225" s="17">
        <f t="shared" si="147"/>
        <v>2</v>
      </c>
      <c r="G225" s="17" t="str">
        <f t="shared" si="156"/>
        <v>刀锋战士防御百分比</v>
      </c>
      <c r="H225" s="17" t="str">
        <f t="shared" si="157"/>
        <v>bubing02_Lv3</v>
      </c>
      <c r="I225" s="20">
        <v>1.5</v>
      </c>
      <c r="J225" s="17">
        <v>9</v>
      </c>
      <c r="K225" s="17">
        <f t="shared" si="154"/>
        <v>11710</v>
      </c>
      <c r="L225" s="17" t="s">
        <v>236</v>
      </c>
      <c r="M225" s="17" t="str">
        <f t="shared" si="158"/>
        <v>1:11400:5</v>
      </c>
      <c r="N225" s="16" t="str">
        <f t="shared" si="145"/>
        <v>10004:1</v>
      </c>
      <c r="O225" s="17">
        <f t="shared" si="151"/>
        <v>8</v>
      </c>
      <c r="P225" s="21" t="s">
        <v>4360</v>
      </c>
      <c r="Q225" s="21"/>
      <c r="R225" t="str">
        <f t="shared" si="159"/>
        <v>刀锋战士</v>
      </c>
      <c r="T225" t="str">
        <f t="shared" si="153"/>
        <v>:1</v>
      </c>
      <c r="U225" t="str">
        <f t="shared" si="138"/>
        <v>战士</v>
      </c>
      <c r="V225" t="s">
        <v>4349</v>
      </c>
      <c r="W225">
        <f>属性类型!G225</f>
        <v>10004</v>
      </c>
      <c r="X225">
        <v>1</v>
      </c>
    </row>
    <row r="226" customFormat="1" ht="16.5" spans="1:24">
      <c r="A226" s="17">
        <f t="shared" si="155"/>
        <v>11710</v>
      </c>
      <c r="B226" s="17">
        <v>11700</v>
      </c>
      <c r="C226" s="17" t="str">
        <f t="shared" si="146"/>
        <v>1</v>
      </c>
      <c r="D226" s="12">
        <f t="shared" si="126"/>
        <v>10002</v>
      </c>
      <c r="E226" s="17">
        <v>2</v>
      </c>
      <c r="F226" s="17">
        <f t="shared" si="147"/>
        <v>2</v>
      </c>
      <c r="G226" s="17" t="str">
        <f t="shared" ref="G226:G231" si="160">G225</f>
        <v>刀锋战士防御百分比</v>
      </c>
      <c r="H226" s="17" t="str">
        <f t="shared" ref="H226:H231" si="161">H225</f>
        <v>bubing02_Lv3</v>
      </c>
      <c r="I226" s="20">
        <v>1.5</v>
      </c>
      <c r="J226" s="17">
        <v>10</v>
      </c>
      <c r="K226" s="17">
        <f t="shared" si="154"/>
        <v>11711</v>
      </c>
      <c r="L226" s="17" t="s">
        <v>238</v>
      </c>
      <c r="M226" s="17" t="str">
        <f t="shared" ref="M226:M231" si="162">M225</f>
        <v>1:11400:5</v>
      </c>
      <c r="N226" s="16" t="str">
        <f t="shared" si="145"/>
        <v>10004:1</v>
      </c>
      <c r="O226" s="17">
        <f t="shared" si="151"/>
        <v>8</v>
      </c>
      <c r="P226" s="21" t="s">
        <v>4361</v>
      </c>
      <c r="Q226" s="21"/>
      <c r="R226" t="str">
        <f t="shared" si="159"/>
        <v>刀锋战士</v>
      </c>
      <c r="T226" t="str">
        <f t="shared" si="153"/>
        <v>:1</v>
      </c>
      <c r="U226" t="str">
        <f t="shared" si="138"/>
        <v>战士</v>
      </c>
      <c r="V226" t="s">
        <v>4349</v>
      </c>
      <c r="W226">
        <f>属性类型!G226</f>
        <v>10004</v>
      </c>
      <c r="X226">
        <v>1</v>
      </c>
    </row>
    <row r="227" customFormat="1" ht="16.5" spans="1:24">
      <c r="A227" s="17">
        <f t="shared" si="155"/>
        <v>11711</v>
      </c>
      <c r="B227" s="17">
        <v>11700</v>
      </c>
      <c r="C227" s="17" t="str">
        <f t="shared" si="146"/>
        <v>1</v>
      </c>
      <c r="D227" s="12">
        <f>$A$4+F227</f>
        <v>10002</v>
      </c>
      <c r="E227" s="17">
        <v>2</v>
      </c>
      <c r="F227" s="17">
        <f t="shared" si="147"/>
        <v>2</v>
      </c>
      <c r="G227" s="17" t="str">
        <f t="shared" si="160"/>
        <v>刀锋战士防御百分比</v>
      </c>
      <c r="H227" s="17" t="str">
        <f t="shared" si="161"/>
        <v>bubing02_Lv3</v>
      </c>
      <c r="I227" s="20">
        <v>1.5</v>
      </c>
      <c r="J227" s="17">
        <v>11</v>
      </c>
      <c r="K227" s="17">
        <f t="shared" si="154"/>
        <v>11712</v>
      </c>
      <c r="L227" s="17" t="s">
        <v>529</v>
      </c>
      <c r="M227" s="17" t="str">
        <f t="shared" si="162"/>
        <v>1:11400:5</v>
      </c>
      <c r="N227" s="16" t="str">
        <f t="shared" si="145"/>
        <v>10004:1</v>
      </c>
      <c r="O227" s="17">
        <f t="shared" si="151"/>
        <v>8</v>
      </c>
      <c r="P227" s="21" t="s">
        <v>4362</v>
      </c>
      <c r="Q227" s="21"/>
      <c r="R227" t="str">
        <f t="shared" si="159"/>
        <v>刀锋战士</v>
      </c>
      <c r="T227" t="str">
        <f t="shared" si="153"/>
        <v>:1</v>
      </c>
      <c r="U227" t="str">
        <f t="shared" si="138"/>
        <v>战士</v>
      </c>
      <c r="V227" t="s">
        <v>4349</v>
      </c>
      <c r="W227">
        <f>属性类型!G227</f>
        <v>10004</v>
      </c>
      <c r="X227">
        <v>1</v>
      </c>
    </row>
    <row r="228" customFormat="1" ht="16.5" spans="1:24">
      <c r="A228" s="17">
        <f t="shared" si="155"/>
        <v>11712</v>
      </c>
      <c r="B228" s="17">
        <v>11700</v>
      </c>
      <c r="C228" s="17" t="str">
        <f t="shared" si="146"/>
        <v>1</v>
      </c>
      <c r="D228" s="12">
        <f>$A$4+F228</f>
        <v>10002</v>
      </c>
      <c r="E228" s="17">
        <v>2</v>
      </c>
      <c r="F228" s="17">
        <f t="shared" si="147"/>
        <v>2</v>
      </c>
      <c r="G228" s="17" t="str">
        <f t="shared" si="160"/>
        <v>刀锋战士防御百分比</v>
      </c>
      <c r="H228" s="17" t="str">
        <f t="shared" si="161"/>
        <v>bubing02_Lv3</v>
      </c>
      <c r="I228" s="20">
        <v>1.5</v>
      </c>
      <c r="J228" s="17">
        <v>12</v>
      </c>
      <c r="K228" s="17">
        <f t="shared" si="154"/>
        <v>11713</v>
      </c>
      <c r="L228" s="17" t="s">
        <v>532</v>
      </c>
      <c r="M228" s="17" t="str">
        <f t="shared" si="162"/>
        <v>1:11400:5</v>
      </c>
      <c r="N228" s="16" t="str">
        <f t="shared" si="145"/>
        <v>10004:1</v>
      </c>
      <c r="O228" s="17">
        <f t="shared" si="151"/>
        <v>8</v>
      </c>
      <c r="P228" s="21" t="s">
        <v>4363</v>
      </c>
      <c r="Q228" s="21"/>
      <c r="R228" t="str">
        <f t="shared" si="159"/>
        <v>刀锋战士</v>
      </c>
      <c r="T228" t="str">
        <f t="shared" si="153"/>
        <v>:1</v>
      </c>
      <c r="U228" t="str">
        <f t="shared" si="138"/>
        <v>战士</v>
      </c>
      <c r="V228" t="s">
        <v>4349</v>
      </c>
      <c r="W228">
        <f>属性类型!G228</f>
        <v>10004</v>
      </c>
      <c r="X228">
        <v>1</v>
      </c>
    </row>
    <row r="229" customFormat="1" ht="16.5" spans="1:24">
      <c r="A229" s="17">
        <f t="shared" ref="A229:A236" si="163">A228+1</f>
        <v>11713</v>
      </c>
      <c r="B229" s="17">
        <v>11700</v>
      </c>
      <c r="C229" s="17" t="str">
        <f t="shared" ref="C229:C236" si="164">LEFT(A229,1)</f>
        <v>1</v>
      </c>
      <c r="D229" s="12">
        <f t="shared" ref="D229:D250" si="165">$A$4+F229</f>
        <v>10002</v>
      </c>
      <c r="E229" s="17">
        <v>2</v>
      </c>
      <c r="F229" s="17">
        <f t="shared" ref="F229:F236" si="166">MID(B229,2,1)+1</f>
        <v>2</v>
      </c>
      <c r="G229" s="17" t="str">
        <f t="shared" ref="G229:G236" si="167">G228</f>
        <v>刀锋战士防御百分比</v>
      </c>
      <c r="H229" s="17" t="str">
        <f t="shared" ref="H229:H236" si="168">H228</f>
        <v>bubing02_Lv3</v>
      </c>
      <c r="I229" s="20">
        <v>1.5</v>
      </c>
      <c r="J229" s="17">
        <v>13</v>
      </c>
      <c r="K229" s="17">
        <f t="shared" ref="K229:K235" si="169">A230</f>
        <v>11714</v>
      </c>
      <c r="L229" s="17" t="s">
        <v>561</v>
      </c>
      <c r="M229" s="17" t="str">
        <f t="shared" si="162"/>
        <v>1:11400:5</v>
      </c>
      <c r="N229" s="16" t="str">
        <f t="shared" si="145"/>
        <v>10004:1</v>
      </c>
      <c r="O229" s="17">
        <f t="shared" si="151"/>
        <v>8</v>
      </c>
      <c r="P229" s="21" t="s">
        <v>4364</v>
      </c>
      <c r="Q229" s="21"/>
      <c r="R229" t="str">
        <f t="shared" si="159"/>
        <v>刀锋战士</v>
      </c>
      <c r="T229" t="str">
        <f t="shared" si="153"/>
        <v>:1</v>
      </c>
      <c r="U229" t="str">
        <f t="shared" si="138"/>
        <v>战士</v>
      </c>
      <c r="V229" t="s">
        <v>4349</v>
      </c>
      <c r="W229">
        <f>属性类型!G229</f>
        <v>10004</v>
      </c>
      <c r="X229">
        <v>1</v>
      </c>
    </row>
    <row r="230" customFormat="1" ht="16.5" spans="1:24">
      <c r="A230" s="17">
        <f t="shared" si="163"/>
        <v>11714</v>
      </c>
      <c r="B230" s="17">
        <v>11700</v>
      </c>
      <c r="C230" s="17" t="str">
        <f t="shared" si="164"/>
        <v>1</v>
      </c>
      <c r="D230" s="12">
        <f t="shared" si="165"/>
        <v>10002</v>
      </c>
      <c r="E230" s="17">
        <v>2</v>
      </c>
      <c r="F230" s="17">
        <f t="shared" si="166"/>
        <v>2</v>
      </c>
      <c r="G230" s="17" t="str">
        <f t="shared" si="167"/>
        <v>刀锋战士防御百分比</v>
      </c>
      <c r="H230" s="17" t="str">
        <f t="shared" si="168"/>
        <v>bubing02_Lv3</v>
      </c>
      <c r="I230" s="20">
        <v>1.5</v>
      </c>
      <c r="J230" s="17">
        <v>14</v>
      </c>
      <c r="K230" s="17">
        <f t="shared" si="169"/>
        <v>11715</v>
      </c>
      <c r="L230" s="17" t="s">
        <v>564</v>
      </c>
      <c r="M230" s="17" t="str">
        <f t="shared" ref="M230:M236" si="170">M229</f>
        <v>1:11400:5</v>
      </c>
      <c r="N230" s="16" t="str">
        <f t="shared" si="145"/>
        <v>10004:1</v>
      </c>
      <c r="O230" s="17">
        <f t="shared" ref="O230:O236" si="171">MID(A230,3,1)+1</f>
        <v>8</v>
      </c>
      <c r="P230" s="21" t="s">
        <v>4365</v>
      </c>
      <c r="Q230" s="21"/>
      <c r="R230" t="str">
        <f t="shared" ref="R230:R236" si="172">R229</f>
        <v>刀锋战士</v>
      </c>
      <c r="T230" t="str">
        <f t="shared" ref="T230:T236" si="173">RIGHT(N230,2)</f>
        <v>:1</v>
      </c>
      <c r="U230" t="str">
        <f t="shared" si="138"/>
        <v>战士</v>
      </c>
      <c r="V230" t="s">
        <v>4349</v>
      </c>
      <c r="W230">
        <f>属性类型!G230</f>
        <v>10004</v>
      </c>
      <c r="X230">
        <v>1</v>
      </c>
    </row>
    <row r="231" customFormat="1" ht="16.5" spans="1:24">
      <c r="A231" s="17">
        <f t="shared" si="163"/>
        <v>11715</v>
      </c>
      <c r="B231" s="17">
        <v>11700</v>
      </c>
      <c r="C231" s="17" t="str">
        <f t="shared" si="164"/>
        <v>1</v>
      </c>
      <c r="D231" s="12">
        <f t="shared" si="165"/>
        <v>10002</v>
      </c>
      <c r="E231" s="17">
        <v>2</v>
      </c>
      <c r="F231" s="17">
        <f t="shared" si="166"/>
        <v>2</v>
      </c>
      <c r="G231" s="17" t="str">
        <f t="shared" si="167"/>
        <v>刀锋战士防御百分比</v>
      </c>
      <c r="H231" s="17" t="str">
        <f t="shared" si="168"/>
        <v>bubing02_Lv3</v>
      </c>
      <c r="I231" s="20">
        <v>1.5</v>
      </c>
      <c r="J231" s="17">
        <v>15</v>
      </c>
      <c r="K231" s="17">
        <f t="shared" si="169"/>
        <v>11716</v>
      </c>
      <c r="L231" s="17" t="s">
        <v>630</v>
      </c>
      <c r="M231" s="17" t="str">
        <f t="shared" si="170"/>
        <v>1:11400:5</v>
      </c>
      <c r="N231" s="16" t="str">
        <f t="shared" si="145"/>
        <v>10004:1</v>
      </c>
      <c r="O231" s="17">
        <f t="shared" si="171"/>
        <v>8</v>
      </c>
      <c r="P231" s="21" t="s">
        <v>4366</v>
      </c>
      <c r="Q231" s="21"/>
      <c r="R231" t="str">
        <f t="shared" si="172"/>
        <v>刀锋战士</v>
      </c>
      <c r="T231" t="str">
        <f t="shared" si="173"/>
        <v>:1</v>
      </c>
      <c r="U231" t="str">
        <f t="shared" si="138"/>
        <v>战士</v>
      </c>
      <c r="V231" t="s">
        <v>4349</v>
      </c>
      <c r="W231">
        <f>属性类型!G231</f>
        <v>10004</v>
      </c>
      <c r="X231">
        <v>1</v>
      </c>
    </row>
    <row r="232" customFormat="1" ht="16.5" spans="1:24">
      <c r="A232" s="17">
        <f t="shared" si="163"/>
        <v>11716</v>
      </c>
      <c r="B232" s="17">
        <v>11700</v>
      </c>
      <c r="C232" s="17" t="str">
        <f t="shared" si="164"/>
        <v>1</v>
      </c>
      <c r="D232" s="12">
        <f t="shared" si="165"/>
        <v>10002</v>
      </c>
      <c r="E232" s="17">
        <v>2</v>
      </c>
      <c r="F232" s="17">
        <f t="shared" si="166"/>
        <v>2</v>
      </c>
      <c r="G232" s="17" t="str">
        <f t="shared" si="167"/>
        <v>刀锋战士防御百分比</v>
      </c>
      <c r="H232" s="17" t="str">
        <f t="shared" si="168"/>
        <v>bubing02_Lv3</v>
      </c>
      <c r="I232" s="20">
        <v>1.5</v>
      </c>
      <c r="J232" s="17">
        <v>16</v>
      </c>
      <c r="K232" s="17">
        <f t="shared" si="169"/>
        <v>11717</v>
      </c>
      <c r="L232" s="17" t="s">
        <v>633</v>
      </c>
      <c r="M232" s="17" t="str">
        <f t="shared" si="170"/>
        <v>1:11400:5</v>
      </c>
      <c r="N232" s="16" t="str">
        <f t="shared" si="145"/>
        <v>10004:1</v>
      </c>
      <c r="O232" s="17">
        <f t="shared" si="171"/>
        <v>8</v>
      </c>
      <c r="P232" s="21" t="s">
        <v>4367</v>
      </c>
      <c r="Q232" s="21"/>
      <c r="R232" t="str">
        <f t="shared" si="172"/>
        <v>刀锋战士</v>
      </c>
      <c r="T232" t="str">
        <f t="shared" si="173"/>
        <v>:1</v>
      </c>
      <c r="U232" t="str">
        <f t="shared" si="138"/>
        <v>战士</v>
      </c>
      <c r="V232" t="s">
        <v>4349</v>
      </c>
      <c r="W232">
        <f>属性类型!G232</f>
        <v>10004</v>
      </c>
      <c r="X232">
        <v>1</v>
      </c>
    </row>
    <row r="233" customFormat="1" ht="16.5" spans="1:24">
      <c r="A233" s="17">
        <f t="shared" si="163"/>
        <v>11717</v>
      </c>
      <c r="B233" s="17">
        <v>11700</v>
      </c>
      <c r="C233" s="17" t="str">
        <f t="shared" si="164"/>
        <v>1</v>
      </c>
      <c r="D233" s="12">
        <f t="shared" si="165"/>
        <v>10002</v>
      </c>
      <c r="E233" s="17">
        <v>2</v>
      </c>
      <c r="F233" s="17">
        <f t="shared" si="166"/>
        <v>2</v>
      </c>
      <c r="G233" s="17" t="str">
        <f t="shared" si="167"/>
        <v>刀锋战士防御百分比</v>
      </c>
      <c r="H233" s="17" t="str">
        <f t="shared" si="168"/>
        <v>bubing02_Lv3</v>
      </c>
      <c r="I233" s="20">
        <v>1.5</v>
      </c>
      <c r="J233" s="17">
        <v>17</v>
      </c>
      <c r="K233" s="17">
        <f t="shared" si="169"/>
        <v>11718</v>
      </c>
      <c r="L233" s="17" t="s">
        <v>637</v>
      </c>
      <c r="M233" s="17" t="str">
        <f t="shared" si="170"/>
        <v>1:11400:5</v>
      </c>
      <c r="N233" s="16" t="str">
        <f t="shared" si="145"/>
        <v>10004:1</v>
      </c>
      <c r="O233" s="17">
        <f t="shared" si="171"/>
        <v>8</v>
      </c>
      <c r="P233" s="21" t="s">
        <v>4368</v>
      </c>
      <c r="Q233" s="21"/>
      <c r="R233" t="str">
        <f t="shared" si="172"/>
        <v>刀锋战士</v>
      </c>
      <c r="T233" t="str">
        <f t="shared" si="173"/>
        <v>:1</v>
      </c>
      <c r="U233" t="str">
        <f t="shared" si="138"/>
        <v>战士</v>
      </c>
      <c r="V233" t="s">
        <v>4349</v>
      </c>
      <c r="W233">
        <f>属性类型!G233</f>
        <v>10004</v>
      </c>
      <c r="X233">
        <v>1</v>
      </c>
    </row>
    <row r="234" customFormat="1" ht="16.5" spans="1:24">
      <c r="A234" s="17">
        <f t="shared" si="163"/>
        <v>11718</v>
      </c>
      <c r="B234" s="17">
        <v>11700</v>
      </c>
      <c r="C234" s="17" t="str">
        <f t="shared" si="164"/>
        <v>1</v>
      </c>
      <c r="D234" s="12">
        <f t="shared" si="165"/>
        <v>10002</v>
      </c>
      <c r="E234" s="17">
        <v>2</v>
      </c>
      <c r="F234" s="17">
        <f t="shared" si="166"/>
        <v>2</v>
      </c>
      <c r="G234" s="17" t="str">
        <f t="shared" si="167"/>
        <v>刀锋战士防御百分比</v>
      </c>
      <c r="H234" s="17" t="str">
        <f t="shared" si="168"/>
        <v>bubing02_Lv3</v>
      </c>
      <c r="I234" s="20">
        <v>1.5</v>
      </c>
      <c r="J234" s="17">
        <v>18</v>
      </c>
      <c r="K234" s="17">
        <f t="shared" si="169"/>
        <v>11719</v>
      </c>
      <c r="L234" s="17" t="s">
        <v>641</v>
      </c>
      <c r="M234" s="17" t="str">
        <f t="shared" si="170"/>
        <v>1:11400:5</v>
      </c>
      <c r="N234" s="16" t="str">
        <f t="shared" si="145"/>
        <v>10004:1</v>
      </c>
      <c r="O234" s="17">
        <f t="shared" si="171"/>
        <v>8</v>
      </c>
      <c r="P234" s="21" t="s">
        <v>4369</v>
      </c>
      <c r="Q234" s="21"/>
      <c r="R234" t="str">
        <f t="shared" si="172"/>
        <v>刀锋战士</v>
      </c>
      <c r="T234" t="str">
        <f t="shared" si="173"/>
        <v>:1</v>
      </c>
      <c r="U234" t="str">
        <f t="shared" si="138"/>
        <v>战士</v>
      </c>
      <c r="V234" t="s">
        <v>4349</v>
      </c>
      <c r="W234">
        <f>属性类型!G234</f>
        <v>10004</v>
      </c>
      <c r="X234">
        <v>1</v>
      </c>
    </row>
    <row r="235" customFormat="1" ht="16.5" spans="1:24">
      <c r="A235" s="17">
        <f t="shared" si="163"/>
        <v>11719</v>
      </c>
      <c r="B235" s="17">
        <v>11700</v>
      </c>
      <c r="C235" s="17" t="str">
        <f t="shared" si="164"/>
        <v>1</v>
      </c>
      <c r="D235" s="12">
        <f t="shared" si="165"/>
        <v>10002</v>
      </c>
      <c r="E235" s="17">
        <v>2</v>
      </c>
      <c r="F235" s="17">
        <f t="shared" si="166"/>
        <v>2</v>
      </c>
      <c r="G235" s="17" t="str">
        <f t="shared" si="167"/>
        <v>刀锋战士防御百分比</v>
      </c>
      <c r="H235" s="17" t="str">
        <f t="shared" si="168"/>
        <v>bubing02_Lv3</v>
      </c>
      <c r="I235" s="20">
        <v>1.5</v>
      </c>
      <c r="J235" s="17">
        <v>19</v>
      </c>
      <c r="K235" s="17">
        <f t="shared" si="169"/>
        <v>11720</v>
      </c>
      <c r="L235" s="17" t="s">
        <v>645</v>
      </c>
      <c r="M235" s="17" t="str">
        <f t="shared" si="170"/>
        <v>1:11400:5</v>
      </c>
      <c r="N235" s="16" t="str">
        <f t="shared" si="145"/>
        <v>10004:1</v>
      </c>
      <c r="O235" s="17">
        <f t="shared" si="171"/>
        <v>8</v>
      </c>
      <c r="P235" s="21" t="s">
        <v>4370</v>
      </c>
      <c r="Q235" s="21"/>
      <c r="R235" t="str">
        <f t="shared" si="172"/>
        <v>刀锋战士</v>
      </c>
      <c r="T235" t="str">
        <f t="shared" si="173"/>
        <v>:1</v>
      </c>
      <c r="U235" t="str">
        <f t="shared" si="138"/>
        <v>战士</v>
      </c>
      <c r="V235" t="s">
        <v>4349</v>
      </c>
      <c r="W235">
        <f>属性类型!G235</f>
        <v>10004</v>
      </c>
      <c r="X235">
        <v>1</v>
      </c>
    </row>
    <row r="236" customFormat="1" ht="16.5" spans="1:24">
      <c r="A236" s="17">
        <f t="shared" si="163"/>
        <v>11720</v>
      </c>
      <c r="B236" s="17">
        <v>11700</v>
      </c>
      <c r="C236" s="17" t="str">
        <f t="shared" si="164"/>
        <v>1</v>
      </c>
      <c r="D236" s="12">
        <f t="shared" si="165"/>
        <v>10002</v>
      </c>
      <c r="E236" s="17">
        <v>2</v>
      </c>
      <c r="F236" s="17">
        <f t="shared" si="166"/>
        <v>2</v>
      </c>
      <c r="G236" s="17" t="str">
        <f t="shared" si="167"/>
        <v>刀锋战士防御百分比</v>
      </c>
      <c r="H236" s="17" t="str">
        <f t="shared" si="168"/>
        <v>bubing02_Lv3</v>
      </c>
      <c r="I236" s="20">
        <v>1.5</v>
      </c>
      <c r="J236" s="17">
        <v>20</v>
      </c>
      <c r="K236" s="17">
        <v>0</v>
      </c>
      <c r="L236" s="17">
        <v>0</v>
      </c>
      <c r="M236" s="17" t="str">
        <f t="shared" si="170"/>
        <v>1:11400:5</v>
      </c>
      <c r="N236" s="16" t="str">
        <f t="shared" si="145"/>
        <v>10004:1</v>
      </c>
      <c r="O236" s="17">
        <f t="shared" si="171"/>
        <v>8</v>
      </c>
      <c r="P236" s="21" t="s">
        <v>4370</v>
      </c>
      <c r="Q236" s="21"/>
      <c r="R236" t="str">
        <f t="shared" si="172"/>
        <v>刀锋战士</v>
      </c>
      <c r="T236" t="str">
        <f t="shared" si="173"/>
        <v>:1</v>
      </c>
      <c r="U236" t="str">
        <f t="shared" si="138"/>
        <v>战士</v>
      </c>
      <c r="V236" t="s">
        <v>4349</v>
      </c>
      <c r="W236">
        <f>属性类型!G236</f>
        <v>10004</v>
      </c>
      <c r="X236">
        <v>1</v>
      </c>
    </row>
    <row r="237" customFormat="1" ht="16.5" spans="1:24">
      <c r="A237" s="18">
        <f>A216+100</f>
        <v>11800</v>
      </c>
      <c r="B237" s="18">
        <f>ROUND(A237,-2)</f>
        <v>11800</v>
      </c>
      <c r="C237" s="18" t="str">
        <f t="shared" ref="C237:C250" si="174">LEFT(A237,1)</f>
        <v>1</v>
      </c>
      <c r="D237" s="12">
        <f t="shared" si="165"/>
        <v>10002</v>
      </c>
      <c r="E237" s="17">
        <v>2</v>
      </c>
      <c r="F237" s="18">
        <f t="shared" ref="F237:F250" si="175">MID(B237,2,1)+1</f>
        <v>2</v>
      </c>
      <c r="G237" s="18" t="s">
        <v>4371</v>
      </c>
      <c r="H237" s="18" t="s">
        <v>242</v>
      </c>
      <c r="I237" s="20">
        <v>1.5</v>
      </c>
      <c r="J237" s="18">
        <v>0</v>
      </c>
      <c r="K237" s="18">
        <f t="shared" ref="K237:K251" si="176">A238</f>
        <v>11801</v>
      </c>
      <c r="L237" s="18" t="s">
        <v>206</v>
      </c>
      <c r="M237" s="18" t="s">
        <v>488</v>
      </c>
      <c r="N237" s="16" t="str">
        <f t="shared" si="145"/>
        <v>10005:1</v>
      </c>
      <c r="O237" s="18">
        <f t="shared" ref="O237:O251" si="177">MID(A237,3,1)+1</f>
        <v>9</v>
      </c>
      <c r="P237" s="21" t="s">
        <v>4372</v>
      </c>
      <c r="Q237" s="21"/>
      <c r="R237" t="s">
        <v>4351</v>
      </c>
      <c r="T237">
        <v>1</v>
      </c>
      <c r="U237" t="str">
        <f t="shared" si="138"/>
        <v>战士</v>
      </c>
      <c r="V237" t="s">
        <v>4371</v>
      </c>
      <c r="W237">
        <f>属性类型!G237</f>
        <v>10005</v>
      </c>
      <c r="X237">
        <v>1</v>
      </c>
    </row>
    <row r="238" customFormat="1" ht="16.5" spans="1:24">
      <c r="A238" s="17">
        <f t="shared" ref="A238:A252" si="178">A237+1</f>
        <v>11801</v>
      </c>
      <c r="B238" s="17">
        <v>11800</v>
      </c>
      <c r="C238" s="17" t="str">
        <f t="shared" si="174"/>
        <v>1</v>
      </c>
      <c r="D238" s="12">
        <f t="shared" si="165"/>
        <v>10002</v>
      </c>
      <c r="E238" s="17">
        <f>E237</f>
        <v>2</v>
      </c>
      <c r="F238" s="17">
        <f t="shared" si="175"/>
        <v>2</v>
      </c>
      <c r="G238" s="17" t="str">
        <f t="shared" ref="G238:G247" si="179">G237</f>
        <v>刀锋战士攻击百分比</v>
      </c>
      <c r="H238" s="17" t="str">
        <f t="shared" ref="H238:H247" si="180">H237</f>
        <v>bubing02_Lv3</v>
      </c>
      <c r="I238" s="20">
        <v>1.5</v>
      </c>
      <c r="J238" s="17">
        <v>1</v>
      </c>
      <c r="K238" s="17">
        <f t="shared" si="176"/>
        <v>11802</v>
      </c>
      <c r="L238" s="17" t="s">
        <v>211</v>
      </c>
      <c r="M238" s="17" t="str">
        <f t="shared" ref="M238:M247" si="181">M237</f>
        <v>1:11500:5</v>
      </c>
      <c r="N238" s="16" t="str">
        <f t="shared" si="145"/>
        <v>10005:1</v>
      </c>
      <c r="O238" s="17">
        <f t="shared" si="177"/>
        <v>9</v>
      </c>
      <c r="P238" s="21" t="s">
        <v>4373</v>
      </c>
      <c r="Q238" s="21"/>
      <c r="R238" t="s">
        <v>4351</v>
      </c>
      <c r="T238">
        <v>2</v>
      </c>
      <c r="U238" t="str">
        <f t="shared" si="138"/>
        <v>战士</v>
      </c>
      <c r="V238" t="s">
        <v>4371</v>
      </c>
      <c r="W238">
        <f>属性类型!G238</f>
        <v>10005</v>
      </c>
      <c r="X238">
        <v>1</v>
      </c>
    </row>
    <row r="239" customFormat="1" ht="16.5" spans="1:24">
      <c r="A239" s="17">
        <f t="shared" si="178"/>
        <v>11802</v>
      </c>
      <c r="B239" s="17">
        <v>11800</v>
      </c>
      <c r="C239" s="17" t="str">
        <f t="shared" si="174"/>
        <v>1</v>
      </c>
      <c r="D239" s="12">
        <f t="shared" si="165"/>
        <v>10002</v>
      </c>
      <c r="E239" s="17">
        <f t="shared" ref="E239:E252" si="182">E238</f>
        <v>2</v>
      </c>
      <c r="F239" s="17">
        <f t="shared" si="175"/>
        <v>2</v>
      </c>
      <c r="G239" s="17" t="str">
        <f t="shared" si="179"/>
        <v>刀锋战士攻击百分比</v>
      </c>
      <c r="H239" s="17" t="str">
        <f t="shared" si="180"/>
        <v>bubing02_Lv3</v>
      </c>
      <c r="I239" s="20">
        <v>1.5</v>
      </c>
      <c r="J239" s="17">
        <v>2</v>
      </c>
      <c r="K239" s="17">
        <f t="shared" si="176"/>
        <v>11803</v>
      </c>
      <c r="L239" s="17" t="s">
        <v>215</v>
      </c>
      <c r="M239" s="17" t="str">
        <f t="shared" si="181"/>
        <v>1:11500:5</v>
      </c>
      <c r="N239" s="16" t="str">
        <f t="shared" si="145"/>
        <v>10005:1</v>
      </c>
      <c r="O239" s="17">
        <f t="shared" si="177"/>
        <v>9</v>
      </c>
      <c r="P239" s="21" t="s">
        <v>4374</v>
      </c>
      <c r="Q239" s="21"/>
      <c r="R239" t="s">
        <v>4351</v>
      </c>
      <c r="T239">
        <v>3</v>
      </c>
      <c r="U239" t="str">
        <f t="shared" si="138"/>
        <v>战士</v>
      </c>
      <c r="V239" t="s">
        <v>4371</v>
      </c>
      <c r="W239">
        <f>属性类型!G239</f>
        <v>10005</v>
      </c>
      <c r="X239">
        <v>1</v>
      </c>
    </row>
    <row r="240" customFormat="1" ht="16.5" spans="1:24">
      <c r="A240" s="17">
        <f t="shared" si="178"/>
        <v>11803</v>
      </c>
      <c r="B240" s="17">
        <v>11800</v>
      </c>
      <c r="C240" s="17" t="str">
        <f t="shared" si="174"/>
        <v>1</v>
      </c>
      <c r="D240" s="12">
        <f t="shared" si="165"/>
        <v>10002</v>
      </c>
      <c r="E240" s="17">
        <f t="shared" si="182"/>
        <v>2</v>
      </c>
      <c r="F240" s="17">
        <f t="shared" si="175"/>
        <v>2</v>
      </c>
      <c r="G240" s="17" t="str">
        <f t="shared" si="179"/>
        <v>刀锋战士攻击百分比</v>
      </c>
      <c r="H240" s="17" t="str">
        <f t="shared" si="180"/>
        <v>bubing02_Lv3</v>
      </c>
      <c r="I240" s="20">
        <v>1.5</v>
      </c>
      <c r="J240" s="17">
        <v>3</v>
      </c>
      <c r="K240" s="17">
        <f t="shared" si="176"/>
        <v>11804</v>
      </c>
      <c r="L240" s="17" t="s">
        <v>218</v>
      </c>
      <c r="M240" s="17" t="str">
        <f t="shared" si="181"/>
        <v>1:11500:5</v>
      </c>
      <c r="N240" s="16" t="str">
        <f t="shared" si="145"/>
        <v>10005:1</v>
      </c>
      <c r="O240" s="17">
        <f t="shared" si="177"/>
        <v>9</v>
      </c>
      <c r="P240" s="21" t="s">
        <v>4375</v>
      </c>
      <c r="Q240" s="21"/>
      <c r="R240" t="s">
        <v>4351</v>
      </c>
      <c r="T240">
        <v>4</v>
      </c>
      <c r="U240" t="str">
        <f t="shared" si="138"/>
        <v>战士</v>
      </c>
      <c r="V240" t="s">
        <v>4371</v>
      </c>
      <c r="W240">
        <f>属性类型!G240</f>
        <v>10005</v>
      </c>
      <c r="X240">
        <v>1</v>
      </c>
    </row>
    <row r="241" customFormat="1" ht="16.5" spans="1:24">
      <c r="A241" s="17">
        <f t="shared" si="178"/>
        <v>11804</v>
      </c>
      <c r="B241" s="17">
        <v>11800</v>
      </c>
      <c r="C241" s="17" t="str">
        <f t="shared" si="174"/>
        <v>1</v>
      </c>
      <c r="D241" s="12">
        <f t="shared" si="165"/>
        <v>10002</v>
      </c>
      <c r="E241" s="17">
        <f t="shared" si="182"/>
        <v>2</v>
      </c>
      <c r="F241" s="17">
        <f t="shared" si="175"/>
        <v>2</v>
      </c>
      <c r="G241" s="17" t="str">
        <f t="shared" si="179"/>
        <v>刀锋战士攻击百分比</v>
      </c>
      <c r="H241" s="17" t="str">
        <f t="shared" si="180"/>
        <v>bubing02_Lv3</v>
      </c>
      <c r="I241" s="20">
        <v>1.5</v>
      </c>
      <c r="J241" s="17">
        <v>4</v>
      </c>
      <c r="K241" s="17">
        <f t="shared" si="176"/>
        <v>11805</v>
      </c>
      <c r="L241" s="17" t="s">
        <v>221</v>
      </c>
      <c r="M241" s="17" t="str">
        <f t="shared" si="181"/>
        <v>1:11500:5</v>
      </c>
      <c r="N241" s="16" t="str">
        <f t="shared" si="145"/>
        <v>10005:1</v>
      </c>
      <c r="O241" s="17">
        <f t="shared" si="177"/>
        <v>9</v>
      </c>
      <c r="P241" s="21" t="s">
        <v>4376</v>
      </c>
      <c r="Q241" s="21"/>
      <c r="R241" t="s">
        <v>4351</v>
      </c>
      <c r="T241">
        <v>5</v>
      </c>
      <c r="U241" t="str">
        <f t="shared" si="138"/>
        <v>战士</v>
      </c>
      <c r="V241" t="s">
        <v>4371</v>
      </c>
      <c r="W241">
        <f>属性类型!G241</f>
        <v>10005</v>
      </c>
      <c r="X241">
        <v>1</v>
      </c>
    </row>
    <row r="242" customFormat="1" ht="16.5" spans="1:24">
      <c r="A242" s="17">
        <f t="shared" si="178"/>
        <v>11805</v>
      </c>
      <c r="B242" s="17">
        <v>11800</v>
      </c>
      <c r="C242" s="17" t="str">
        <f t="shared" si="174"/>
        <v>1</v>
      </c>
      <c r="D242" s="12">
        <f t="shared" si="165"/>
        <v>10002</v>
      </c>
      <c r="E242" s="17">
        <f t="shared" si="182"/>
        <v>2</v>
      </c>
      <c r="F242" s="17">
        <f t="shared" si="175"/>
        <v>2</v>
      </c>
      <c r="G242" s="17" t="str">
        <f t="shared" si="179"/>
        <v>刀锋战士攻击百分比</v>
      </c>
      <c r="H242" s="17" t="str">
        <f t="shared" si="180"/>
        <v>bubing02_Lv3</v>
      </c>
      <c r="I242" s="20">
        <v>1.5</v>
      </c>
      <c r="J242" s="17">
        <v>5</v>
      </c>
      <c r="K242" s="17">
        <f t="shared" si="176"/>
        <v>11806</v>
      </c>
      <c r="L242" s="17" t="s">
        <v>224</v>
      </c>
      <c r="M242" s="17" t="str">
        <f t="shared" si="181"/>
        <v>1:11500:5</v>
      </c>
      <c r="N242" s="16" t="str">
        <f t="shared" si="145"/>
        <v>10005:1</v>
      </c>
      <c r="O242" s="17">
        <f t="shared" si="177"/>
        <v>9</v>
      </c>
      <c r="P242" s="21" t="s">
        <v>4377</v>
      </c>
      <c r="Q242" s="21"/>
      <c r="R242" t="s">
        <v>4351</v>
      </c>
      <c r="T242">
        <v>6</v>
      </c>
      <c r="U242" t="str">
        <f t="shared" si="138"/>
        <v>战士</v>
      </c>
      <c r="V242" t="s">
        <v>4371</v>
      </c>
      <c r="W242">
        <f>属性类型!G242</f>
        <v>10005</v>
      </c>
      <c r="X242">
        <v>1</v>
      </c>
    </row>
    <row r="243" customFormat="1" ht="16.5" spans="1:24">
      <c r="A243" s="17">
        <f t="shared" si="178"/>
        <v>11806</v>
      </c>
      <c r="B243" s="17">
        <v>11800</v>
      </c>
      <c r="C243" s="17" t="str">
        <f t="shared" si="174"/>
        <v>1</v>
      </c>
      <c r="D243" s="12">
        <f t="shared" si="165"/>
        <v>10002</v>
      </c>
      <c r="E243" s="17">
        <f t="shared" si="182"/>
        <v>2</v>
      </c>
      <c r="F243" s="17">
        <f t="shared" si="175"/>
        <v>2</v>
      </c>
      <c r="G243" s="17" t="str">
        <f t="shared" si="179"/>
        <v>刀锋战士攻击百分比</v>
      </c>
      <c r="H243" s="17" t="str">
        <f t="shared" si="180"/>
        <v>bubing02_Lv3</v>
      </c>
      <c r="I243" s="20">
        <v>1.5</v>
      </c>
      <c r="J243" s="17">
        <v>6</v>
      </c>
      <c r="K243" s="17">
        <f t="shared" si="176"/>
        <v>11807</v>
      </c>
      <c r="L243" s="17" t="s">
        <v>227</v>
      </c>
      <c r="M243" s="17" t="str">
        <f t="shared" si="181"/>
        <v>1:11500:5</v>
      </c>
      <c r="N243" s="16" t="str">
        <f t="shared" si="145"/>
        <v>10005:1</v>
      </c>
      <c r="O243" s="17">
        <f t="shared" si="177"/>
        <v>9</v>
      </c>
      <c r="P243" s="21" t="s">
        <v>4378</v>
      </c>
      <c r="Q243" s="21"/>
      <c r="R243" t="s">
        <v>4351</v>
      </c>
      <c r="T243">
        <v>7</v>
      </c>
      <c r="U243" t="str">
        <f t="shared" si="138"/>
        <v>战士</v>
      </c>
      <c r="V243" t="s">
        <v>4371</v>
      </c>
      <c r="W243">
        <f>属性类型!G243</f>
        <v>10005</v>
      </c>
      <c r="X243">
        <v>1</v>
      </c>
    </row>
    <row r="244" customFormat="1" ht="16.5" spans="1:24">
      <c r="A244" s="17">
        <f t="shared" si="178"/>
        <v>11807</v>
      </c>
      <c r="B244" s="17">
        <v>11800</v>
      </c>
      <c r="C244" s="17" t="str">
        <f t="shared" si="174"/>
        <v>1</v>
      </c>
      <c r="D244" s="12">
        <f t="shared" si="165"/>
        <v>10002</v>
      </c>
      <c r="E244" s="17">
        <f t="shared" si="182"/>
        <v>2</v>
      </c>
      <c r="F244" s="17">
        <f t="shared" si="175"/>
        <v>2</v>
      </c>
      <c r="G244" s="17" t="str">
        <f t="shared" si="179"/>
        <v>刀锋战士攻击百分比</v>
      </c>
      <c r="H244" s="17" t="str">
        <f t="shared" si="180"/>
        <v>bubing02_Lv3</v>
      </c>
      <c r="I244" s="20">
        <v>1.5</v>
      </c>
      <c r="J244" s="17">
        <v>7</v>
      </c>
      <c r="K244" s="17">
        <f t="shared" si="176"/>
        <v>11808</v>
      </c>
      <c r="L244" s="17" t="s">
        <v>230</v>
      </c>
      <c r="M244" s="17" t="str">
        <f t="shared" si="181"/>
        <v>1:11500:5</v>
      </c>
      <c r="N244" s="16" t="str">
        <f t="shared" si="145"/>
        <v>10005:1</v>
      </c>
      <c r="O244" s="17">
        <f t="shared" si="177"/>
        <v>9</v>
      </c>
      <c r="P244" s="21" t="s">
        <v>4379</v>
      </c>
      <c r="Q244" s="21"/>
      <c r="R244" t="s">
        <v>4351</v>
      </c>
      <c r="T244">
        <v>8</v>
      </c>
      <c r="U244" t="str">
        <f t="shared" si="138"/>
        <v>战士</v>
      </c>
      <c r="V244" t="s">
        <v>4371</v>
      </c>
      <c r="W244">
        <f>属性类型!G244</f>
        <v>10005</v>
      </c>
      <c r="X244">
        <v>1</v>
      </c>
    </row>
    <row r="245" customFormat="1" ht="16.5" spans="1:24">
      <c r="A245" s="17">
        <f t="shared" si="178"/>
        <v>11808</v>
      </c>
      <c r="B245" s="17">
        <v>11800</v>
      </c>
      <c r="C245" s="17" t="str">
        <f t="shared" si="174"/>
        <v>1</v>
      </c>
      <c r="D245" s="12">
        <f t="shared" si="165"/>
        <v>10002</v>
      </c>
      <c r="E245" s="17">
        <f t="shared" si="182"/>
        <v>2</v>
      </c>
      <c r="F245" s="17">
        <f t="shared" si="175"/>
        <v>2</v>
      </c>
      <c r="G245" s="17" t="str">
        <f t="shared" si="179"/>
        <v>刀锋战士攻击百分比</v>
      </c>
      <c r="H245" s="17" t="str">
        <f t="shared" si="180"/>
        <v>bubing02_Lv3</v>
      </c>
      <c r="I245" s="20">
        <v>1.5</v>
      </c>
      <c r="J245" s="17">
        <v>8</v>
      </c>
      <c r="K245" s="17">
        <f t="shared" si="176"/>
        <v>11809</v>
      </c>
      <c r="L245" s="17" t="s">
        <v>233</v>
      </c>
      <c r="M245" s="17" t="str">
        <f t="shared" si="181"/>
        <v>1:11500:5</v>
      </c>
      <c r="N245" s="16" t="str">
        <f t="shared" si="145"/>
        <v>10005:1</v>
      </c>
      <c r="O245" s="17">
        <f t="shared" si="177"/>
        <v>9</v>
      </c>
      <c r="P245" s="21" t="s">
        <v>4380</v>
      </c>
      <c r="Q245" s="21"/>
      <c r="R245" t="s">
        <v>4351</v>
      </c>
      <c r="T245">
        <v>9</v>
      </c>
      <c r="U245" t="str">
        <f t="shared" si="138"/>
        <v>战士</v>
      </c>
      <c r="V245" t="s">
        <v>4371</v>
      </c>
      <c r="W245">
        <f>属性类型!G245</f>
        <v>10005</v>
      </c>
      <c r="X245">
        <v>1</v>
      </c>
    </row>
    <row r="246" customFormat="1" ht="16.5" spans="1:24">
      <c r="A246" s="17">
        <f t="shared" si="178"/>
        <v>11809</v>
      </c>
      <c r="B246" s="17">
        <v>11800</v>
      </c>
      <c r="C246" s="17" t="str">
        <f t="shared" si="174"/>
        <v>1</v>
      </c>
      <c r="D246" s="12">
        <f t="shared" si="165"/>
        <v>10002</v>
      </c>
      <c r="E246" s="17">
        <f t="shared" si="182"/>
        <v>2</v>
      </c>
      <c r="F246" s="17">
        <f t="shared" si="175"/>
        <v>2</v>
      </c>
      <c r="G246" s="17" t="str">
        <f t="shared" si="179"/>
        <v>刀锋战士攻击百分比</v>
      </c>
      <c r="H246" s="17" t="str">
        <f t="shared" si="180"/>
        <v>bubing02_Lv3</v>
      </c>
      <c r="I246" s="20">
        <v>1.5</v>
      </c>
      <c r="J246" s="17">
        <v>9</v>
      </c>
      <c r="K246" s="17">
        <f t="shared" si="176"/>
        <v>11810</v>
      </c>
      <c r="L246" s="17" t="s">
        <v>236</v>
      </c>
      <c r="M246" s="17" t="str">
        <f t="shared" si="181"/>
        <v>1:11500:5</v>
      </c>
      <c r="N246" s="16" t="str">
        <f t="shared" si="145"/>
        <v>10005:1</v>
      </c>
      <c r="O246" s="17">
        <f t="shared" si="177"/>
        <v>9</v>
      </c>
      <c r="P246" s="21" t="s">
        <v>4381</v>
      </c>
      <c r="Q246" s="21"/>
      <c r="R246" t="s">
        <v>4351</v>
      </c>
      <c r="T246">
        <v>10</v>
      </c>
      <c r="U246" t="str">
        <f t="shared" si="138"/>
        <v>战士</v>
      </c>
      <c r="V246" t="s">
        <v>4371</v>
      </c>
      <c r="W246">
        <f>属性类型!G246</f>
        <v>10005</v>
      </c>
      <c r="X246">
        <v>1</v>
      </c>
    </row>
    <row r="247" customFormat="1" ht="16.5" spans="1:24">
      <c r="A247" s="17">
        <f t="shared" si="178"/>
        <v>11810</v>
      </c>
      <c r="B247" s="17">
        <v>11800</v>
      </c>
      <c r="C247" s="17" t="str">
        <f t="shared" si="174"/>
        <v>1</v>
      </c>
      <c r="D247" s="12">
        <f t="shared" si="165"/>
        <v>10002</v>
      </c>
      <c r="E247" s="17">
        <f t="shared" si="182"/>
        <v>2</v>
      </c>
      <c r="F247" s="17">
        <f t="shared" si="175"/>
        <v>2</v>
      </c>
      <c r="G247" s="17" t="str">
        <f t="shared" ref="G247:G252" si="183">G246</f>
        <v>刀锋战士攻击百分比</v>
      </c>
      <c r="H247" s="17" t="str">
        <f t="shared" ref="H247:H252" si="184">H246</f>
        <v>bubing02_Lv3</v>
      </c>
      <c r="I247" s="20">
        <v>1.5</v>
      </c>
      <c r="J247" s="17">
        <v>10</v>
      </c>
      <c r="K247" s="17">
        <f t="shared" si="176"/>
        <v>11811</v>
      </c>
      <c r="L247" s="17" t="s">
        <v>238</v>
      </c>
      <c r="M247" s="17" t="str">
        <f t="shared" ref="M247:M252" si="185">M246</f>
        <v>1:11500:5</v>
      </c>
      <c r="N247" s="16" t="str">
        <f t="shared" si="145"/>
        <v>10005:1</v>
      </c>
      <c r="O247" s="17">
        <f t="shared" si="177"/>
        <v>9</v>
      </c>
      <c r="P247" s="21" t="s">
        <v>4382</v>
      </c>
      <c r="Q247" s="21"/>
      <c r="R247" t="s">
        <v>4351</v>
      </c>
      <c r="T247">
        <v>11</v>
      </c>
      <c r="U247" t="str">
        <f t="shared" si="138"/>
        <v>战士</v>
      </c>
      <c r="V247" t="s">
        <v>4371</v>
      </c>
      <c r="W247">
        <f>属性类型!G247</f>
        <v>10005</v>
      </c>
      <c r="X247">
        <v>1</v>
      </c>
    </row>
    <row r="248" customFormat="1" ht="16.5" spans="1:24">
      <c r="A248" s="17">
        <f t="shared" si="178"/>
        <v>11811</v>
      </c>
      <c r="B248" s="17">
        <v>11800</v>
      </c>
      <c r="C248" s="17" t="str">
        <f t="shared" si="174"/>
        <v>1</v>
      </c>
      <c r="D248" s="12">
        <f t="shared" si="165"/>
        <v>10002</v>
      </c>
      <c r="E248" s="17">
        <f t="shared" si="182"/>
        <v>2</v>
      </c>
      <c r="F248" s="17">
        <f t="shared" si="175"/>
        <v>2</v>
      </c>
      <c r="G248" s="17" t="str">
        <f t="shared" si="183"/>
        <v>刀锋战士攻击百分比</v>
      </c>
      <c r="H248" s="17" t="str">
        <f t="shared" si="184"/>
        <v>bubing02_Lv3</v>
      </c>
      <c r="I248" s="20">
        <v>1.5</v>
      </c>
      <c r="J248" s="17">
        <v>11</v>
      </c>
      <c r="K248" s="17">
        <f t="shared" si="176"/>
        <v>11812</v>
      </c>
      <c r="L248" s="17" t="s">
        <v>529</v>
      </c>
      <c r="M248" s="17" t="str">
        <f t="shared" si="185"/>
        <v>1:11500:5</v>
      </c>
      <c r="N248" s="16" t="str">
        <f t="shared" si="145"/>
        <v>10005:1</v>
      </c>
      <c r="O248" s="17">
        <f t="shared" si="177"/>
        <v>9</v>
      </c>
      <c r="P248" s="21" t="s">
        <v>4383</v>
      </c>
      <c r="Q248" s="21"/>
      <c r="R248" t="s">
        <v>4351</v>
      </c>
      <c r="T248">
        <v>12</v>
      </c>
      <c r="U248" t="str">
        <f t="shared" si="138"/>
        <v>战士</v>
      </c>
      <c r="V248" t="s">
        <v>4371</v>
      </c>
      <c r="W248">
        <f>属性类型!G248</f>
        <v>10005</v>
      </c>
      <c r="X248">
        <v>1</v>
      </c>
    </row>
    <row r="249" customFormat="1" ht="16.5" spans="1:24">
      <c r="A249" s="17">
        <f t="shared" si="178"/>
        <v>11812</v>
      </c>
      <c r="B249" s="17">
        <v>11800</v>
      </c>
      <c r="C249" s="17" t="str">
        <f t="shared" si="174"/>
        <v>1</v>
      </c>
      <c r="D249" s="12">
        <f t="shared" si="165"/>
        <v>10002</v>
      </c>
      <c r="E249" s="17">
        <f t="shared" si="182"/>
        <v>2</v>
      </c>
      <c r="F249" s="17">
        <f t="shared" si="175"/>
        <v>2</v>
      </c>
      <c r="G249" s="17" t="str">
        <f t="shared" si="183"/>
        <v>刀锋战士攻击百分比</v>
      </c>
      <c r="H249" s="17" t="str">
        <f t="shared" si="184"/>
        <v>bubing02_Lv3</v>
      </c>
      <c r="I249" s="20">
        <v>1.5</v>
      </c>
      <c r="J249" s="17">
        <v>12</v>
      </c>
      <c r="K249" s="17">
        <f t="shared" si="176"/>
        <v>11813</v>
      </c>
      <c r="L249" s="17" t="s">
        <v>532</v>
      </c>
      <c r="M249" s="17" t="str">
        <f t="shared" si="185"/>
        <v>1:11500:5</v>
      </c>
      <c r="N249" s="16" t="str">
        <f t="shared" si="145"/>
        <v>10005:1</v>
      </c>
      <c r="O249" s="17">
        <f t="shared" si="177"/>
        <v>9</v>
      </c>
      <c r="P249" s="21" t="s">
        <v>4384</v>
      </c>
      <c r="Q249" s="21"/>
      <c r="R249" t="s">
        <v>4351</v>
      </c>
      <c r="T249">
        <v>13</v>
      </c>
      <c r="U249" t="str">
        <f t="shared" si="138"/>
        <v>战士</v>
      </c>
      <c r="V249" t="s">
        <v>4371</v>
      </c>
      <c r="W249">
        <f>属性类型!G249</f>
        <v>10005</v>
      </c>
      <c r="X249">
        <v>1</v>
      </c>
    </row>
    <row r="250" customFormat="1" ht="16.5" spans="1:24">
      <c r="A250" s="17">
        <f t="shared" si="178"/>
        <v>11813</v>
      </c>
      <c r="B250" s="17">
        <v>11800</v>
      </c>
      <c r="C250" s="17" t="str">
        <f t="shared" si="174"/>
        <v>1</v>
      </c>
      <c r="D250" s="12">
        <f t="shared" si="165"/>
        <v>10002</v>
      </c>
      <c r="E250" s="17">
        <f t="shared" si="182"/>
        <v>2</v>
      </c>
      <c r="F250" s="17">
        <f t="shared" si="175"/>
        <v>2</v>
      </c>
      <c r="G250" s="17" t="str">
        <f t="shared" si="183"/>
        <v>刀锋战士攻击百分比</v>
      </c>
      <c r="H250" s="17" t="str">
        <f t="shared" si="184"/>
        <v>bubing02_Lv3</v>
      </c>
      <c r="I250" s="20">
        <v>1.5</v>
      </c>
      <c r="J250" s="17">
        <v>13</v>
      </c>
      <c r="K250" s="17">
        <f t="shared" si="176"/>
        <v>11814</v>
      </c>
      <c r="L250" s="17" t="s">
        <v>561</v>
      </c>
      <c r="M250" s="17" t="str">
        <f t="shared" si="185"/>
        <v>1:11500:5</v>
      </c>
      <c r="N250" s="16" t="str">
        <f t="shared" si="145"/>
        <v>10005:1</v>
      </c>
      <c r="O250" s="17">
        <f t="shared" si="177"/>
        <v>9</v>
      </c>
      <c r="P250" s="21" t="s">
        <v>4385</v>
      </c>
      <c r="Q250" s="21"/>
      <c r="R250" t="s">
        <v>4351</v>
      </c>
      <c r="T250">
        <v>14</v>
      </c>
      <c r="U250" t="str">
        <f t="shared" si="138"/>
        <v>战士</v>
      </c>
      <c r="V250" t="s">
        <v>4371</v>
      </c>
      <c r="W250">
        <f>属性类型!G250</f>
        <v>10005</v>
      </c>
      <c r="X250">
        <v>1</v>
      </c>
    </row>
    <row r="251" customFormat="1" ht="16.5" spans="1:24">
      <c r="A251" s="17">
        <f t="shared" ref="A251:A257" si="186">A250+1</f>
        <v>11814</v>
      </c>
      <c r="B251" s="17">
        <v>11800</v>
      </c>
      <c r="C251" s="17" t="str">
        <f t="shared" ref="C251:C257" si="187">LEFT(A251,1)</f>
        <v>1</v>
      </c>
      <c r="D251" s="12">
        <f t="shared" ref="D251:D270" si="188">$A$4+F251</f>
        <v>10002</v>
      </c>
      <c r="E251" s="17">
        <f t="shared" ref="E251:E257" si="189">E250</f>
        <v>2</v>
      </c>
      <c r="F251" s="17">
        <f t="shared" ref="F251:F257" si="190">MID(B251,2,1)+1</f>
        <v>2</v>
      </c>
      <c r="G251" s="17" t="str">
        <f t="shared" ref="G251:G257" si="191">G250</f>
        <v>刀锋战士攻击百分比</v>
      </c>
      <c r="H251" s="17" t="str">
        <f t="shared" ref="H251:H257" si="192">H250</f>
        <v>bubing02_Lv3</v>
      </c>
      <c r="I251" s="20">
        <v>1.5</v>
      </c>
      <c r="J251" s="17">
        <v>14</v>
      </c>
      <c r="K251" s="17">
        <f t="shared" ref="K251:K257" si="193">A252</f>
        <v>11815</v>
      </c>
      <c r="L251" s="17" t="s">
        <v>564</v>
      </c>
      <c r="M251" s="17" t="str">
        <f t="shared" si="185"/>
        <v>1:11500:5</v>
      </c>
      <c r="N251" s="16" t="str">
        <f t="shared" si="145"/>
        <v>10005:1</v>
      </c>
      <c r="O251" s="17">
        <f t="shared" si="177"/>
        <v>9</v>
      </c>
      <c r="P251" s="21" t="s">
        <v>4386</v>
      </c>
      <c r="Q251" s="21"/>
      <c r="R251" t="s">
        <v>4351</v>
      </c>
      <c r="T251">
        <v>15</v>
      </c>
      <c r="U251" t="str">
        <f t="shared" si="138"/>
        <v>战士</v>
      </c>
      <c r="V251" t="s">
        <v>4371</v>
      </c>
      <c r="W251">
        <f>属性类型!G251</f>
        <v>10005</v>
      </c>
      <c r="X251">
        <v>1</v>
      </c>
    </row>
    <row r="252" customFormat="1" ht="16.5" spans="1:24">
      <c r="A252" s="17">
        <f t="shared" si="186"/>
        <v>11815</v>
      </c>
      <c r="B252" s="17">
        <v>11800</v>
      </c>
      <c r="C252" s="17" t="str">
        <f t="shared" si="187"/>
        <v>1</v>
      </c>
      <c r="D252" s="12">
        <f t="shared" si="188"/>
        <v>10002</v>
      </c>
      <c r="E252" s="17">
        <f t="shared" si="189"/>
        <v>2</v>
      </c>
      <c r="F252" s="17">
        <f t="shared" si="190"/>
        <v>2</v>
      </c>
      <c r="G252" s="17" t="str">
        <f t="shared" si="191"/>
        <v>刀锋战士攻击百分比</v>
      </c>
      <c r="H252" s="17" t="str">
        <f t="shared" si="192"/>
        <v>bubing02_Lv3</v>
      </c>
      <c r="I252" s="20">
        <v>1.5</v>
      </c>
      <c r="J252" s="17">
        <v>15</v>
      </c>
      <c r="K252" s="17">
        <f t="shared" si="193"/>
        <v>11816</v>
      </c>
      <c r="L252" s="17" t="s">
        <v>630</v>
      </c>
      <c r="M252" s="17" t="str">
        <f t="shared" ref="M252:M257" si="194">M251</f>
        <v>1:11500:5</v>
      </c>
      <c r="N252" s="16" t="str">
        <f t="shared" si="145"/>
        <v>10005:1</v>
      </c>
      <c r="O252" s="17">
        <f t="shared" ref="O252:O257" si="195">MID(A252,3,1)+1</f>
        <v>9</v>
      </c>
      <c r="P252" s="21" t="s">
        <v>4387</v>
      </c>
      <c r="Q252" s="21"/>
      <c r="R252" t="s">
        <v>4351</v>
      </c>
      <c r="T252">
        <v>15</v>
      </c>
      <c r="U252" t="str">
        <f t="shared" si="138"/>
        <v>战士</v>
      </c>
      <c r="V252" t="s">
        <v>4371</v>
      </c>
      <c r="W252">
        <f>属性类型!G252</f>
        <v>10005</v>
      </c>
      <c r="X252">
        <v>1</v>
      </c>
    </row>
    <row r="253" customFormat="1" ht="16.5" spans="1:24">
      <c r="A253" s="17">
        <f t="shared" si="186"/>
        <v>11816</v>
      </c>
      <c r="B253" s="17">
        <v>11800</v>
      </c>
      <c r="C253" s="17" t="str">
        <f t="shared" si="187"/>
        <v>1</v>
      </c>
      <c r="D253" s="12">
        <f t="shared" si="188"/>
        <v>10002</v>
      </c>
      <c r="E253" s="17">
        <f t="shared" si="189"/>
        <v>2</v>
      </c>
      <c r="F253" s="17">
        <f t="shared" si="190"/>
        <v>2</v>
      </c>
      <c r="G253" s="17" t="str">
        <f t="shared" si="191"/>
        <v>刀锋战士攻击百分比</v>
      </c>
      <c r="H253" s="17" t="str">
        <f t="shared" si="192"/>
        <v>bubing02_Lv3</v>
      </c>
      <c r="I253" s="20">
        <v>1.5</v>
      </c>
      <c r="J253" s="17">
        <v>16</v>
      </c>
      <c r="K253" s="17">
        <f t="shared" si="193"/>
        <v>11817</v>
      </c>
      <c r="L253" s="17" t="s">
        <v>633</v>
      </c>
      <c r="M253" s="17" t="str">
        <f t="shared" si="194"/>
        <v>1:11500:5</v>
      </c>
      <c r="N253" s="16" t="str">
        <f t="shared" si="145"/>
        <v>10005:1</v>
      </c>
      <c r="O253" s="17">
        <f t="shared" si="195"/>
        <v>9</v>
      </c>
      <c r="P253" s="21" t="s">
        <v>4388</v>
      </c>
      <c r="Q253" s="21"/>
      <c r="R253" t="s">
        <v>4351</v>
      </c>
      <c r="U253" t="str">
        <f t="shared" si="138"/>
        <v>战士</v>
      </c>
      <c r="V253" t="s">
        <v>4371</v>
      </c>
      <c r="W253">
        <f>属性类型!G253</f>
        <v>10005</v>
      </c>
      <c r="X253">
        <v>1</v>
      </c>
    </row>
    <row r="254" customFormat="1" ht="16.5" spans="1:24">
      <c r="A254" s="17">
        <f t="shared" si="186"/>
        <v>11817</v>
      </c>
      <c r="B254" s="17">
        <v>11800</v>
      </c>
      <c r="C254" s="17" t="str">
        <f t="shared" si="187"/>
        <v>1</v>
      </c>
      <c r="D254" s="12">
        <f t="shared" si="188"/>
        <v>10002</v>
      </c>
      <c r="E254" s="17">
        <f t="shared" si="189"/>
        <v>2</v>
      </c>
      <c r="F254" s="17">
        <f t="shared" si="190"/>
        <v>2</v>
      </c>
      <c r="G254" s="17" t="str">
        <f t="shared" si="191"/>
        <v>刀锋战士攻击百分比</v>
      </c>
      <c r="H254" s="17" t="str">
        <f t="shared" si="192"/>
        <v>bubing02_Lv3</v>
      </c>
      <c r="I254" s="20">
        <v>1.5</v>
      </c>
      <c r="J254" s="17">
        <v>17</v>
      </c>
      <c r="K254" s="17">
        <f t="shared" si="193"/>
        <v>11818</v>
      </c>
      <c r="L254" s="17" t="s">
        <v>637</v>
      </c>
      <c r="M254" s="17" t="str">
        <f t="shared" si="194"/>
        <v>1:11500:5</v>
      </c>
      <c r="N254" s="16" t="str">
        <f t="shared" si="145"/>
        <v>10005:1</v>
      </c>
      <c r="O254" s="17">
        <f t="shared" si="195"/>
        <v>9</v>
      </c>
      <c r="P254" s="21" t="s">
        <v>4389</v>
      </c>
      <c r="Q254" s="21"/>
      <c r="R254" t="s">
        <v>4351</v>
      </c>
      <c r="U254" t="str">
        <f t="shared" si="138"/>
        <v>战士</v>
      </c>
      <c r="V254" t="s">
        <v>4371</v>
      </c>
      <c r="W254">
        <f>属性类型!G254</f>
        <v>10005</v>
      </c>
      <c r="X254">
        <v>1</v>
      </c>
    </row>
    <row r="255" customFormat="1" ht="16.5" spans="1:24">
      <c r="A255" s="17">
        <f t="shared" si="186"/>
        <v>11818</v>
      </c>
      <c r="B255" s="17">
        <v>11800</v>
      </c>
      <c r="C255" s="17" t="str">
        <f t="shared" si="187"/>
        <v>1</v>
      </c>
      <c r="D255" s="12">
        <f t="shared" si="188"/>
        <v>10002</v>
      </c>
      <c r="E255" s="17">
        <f t="shared" si="189"/>
        <v>2</v>
      </c>
      <c r="F255" s="17">
        <f t="shared" si="190"/>
        <v>2</v>
      </c>
      <c r="G255" s="17" t="str">
        <f t="shared" si="191"/>
        <v>刀锋战士攻击百分比</v>
      </c>
      <c r="H255" s="17" t="str">
        <f t="shared" si="192"/>
        <v>bubing02_Lv3</v>
      </c>
      <c r="I255" s="20">
        <v>1.5</v>
      </c>
      <c r="J255" s="17">
        <v>18</v>
      </c>
      <c r="K255" s="17">
        <f t="shared" si="193"/>
        <v>11819</v>
      </c>
      <c r="L255" s="17" t="s">
        <v>641</v>
      </c>
      <c r="M255" s="17" t="str">
        <f t="shared" si="194"/>
        <v>1:11500:5</v>
      </c>
      <c r="N255" s="16" t="str">
        <f t="shared" si="145"/>
        <v>10005:1</v>
      </c>
      <c r="O255" s="17">
        <f t="shared" si="195"/>
        <v>9</v>
      </c>
      <c r="P255" s="21" t="s">
        <v>4390</v>
      </c>
      <c r="Q255" s="21"/>
      <c r="R255" t="s">
        <v>4351</v>
      </c>
      <c r="U255" t="str">
        <f t="shared" si="138"/>
        <v>战士</v>
      </c>
      <c r="V255" t="s">
        <v>4371</v>
      </c>
      <c r="W255">
        <f>属性类型!G255</f>
        <v>10005</v>
      </c>
      <c r="X255">
        <v>1</v>
      </c>
    </row>
    <row r="256" customFormat="1" ht="16.5" spans="1:24">
      <c r="A256" s="17">
        <f t="shared" si="186"/>
        <v>11819</v>
      </c>
      <c r="B256" s="17">
        <v>11800</v>
      </c>
      <c r="C256" s="17" t="str">
        <f t="shared" si="187"/>
        <v>1</v>
      </c>
      <c r="D256" s="12">
        <f t="shared" si="188"/>
        <v>10002</v>
      </c>
      <c r="E256" s="17">
        <f t="shared" si="189"/>
        <v>2</v>
      </c>
      <c r="F256" s="17">
        <f t="shared" si="190"/>
        <v>2</v>
      </c>
      <c r="G256" s="17" t="str">
        <f t="shared" si="191"/>
        <v>刀锋战士攻击百分比</v>
      </c>
      <c r="H256" s="17" t="str">
        <f t="shared" si="192"/>
        <v>bubing02_Lv3</v>
      </c>
      <c r="I256" s="20">
        <v>1.5</v>
      </c>
      <c r="J256" s="17">
        <v>19</v>
      </c>
      <c r="K256" s="17">
        <f t="shared" si="193"/>
        <v>11820</v>
      </c>
      <c r="L256" s="17" t="s">
        <v>645</v>
      </c>
      <c r="M256" s="17" t="str">
        <f t="shared" si="194"/>
        <v>1:11500:5</v>
      </c>
      <c r="N256" s="16" t="str">
        <f t="shared" si="145"/>
        <v>10005:1</v>
      </c>
      <c r="O256" s="17">
        <f t="shared" si="195"/>
        <v>9</v>
      </c>
      <c r="P256" s="21" t="s">
        <v>4391</v>
      </c>
      <c r="Q256" s="21"/>
      <c r="R256" t="s">
        <v>4351</v>
      </c>
      <c r="U256" t="str">
        <f t="shared" si="138"/>
        <v>战士</v>
      </c>
      <c r="V256" t="s">
        <v>4371</v>
      </c>
      <c r="W256">
        <f>属性类型!G256</f>
        <v>10005</v>
      </c>
      <c r="X256">
        <v>1</v>
      </c>
    </row>
    <row r="257" customFormat="1" ht="16.5" spans="1:24">
      <c r="A257" s="17">
        <f t="shared" si="186"/>
        <v>11820</v>
      </c>
      <c r="B257" s="17">
        <v>11800</v>
      </c>
      <c r="C257" s="17" t="str">
        <f t="shared" si="187"/>
        <v>1</v>
      </c>
      <c r="D257" s="12">
        <f t="shared" si="188"/>
        <v>10002</v>
      </c>
      <c r="E257" s="17">
        <f t="shared" ref="E257:E278" si="196">E256</f>
        <v>2</v>
      </c>
      <c r="F257" s="17">
        <f t="shared" si="190"/>
        <v>2</v>
      </c>
      <c r="G257" s="17" t="str">
        <f t="shared" si="191"/>
        <v>刀锋战士攻击百分比</v>
      </c>
      <c r="H257" s="17" t="str">
        <f t="shared" si="192"/>
        <v>bubing02_Lv3</v>
      </c>
      <c r="I257" s="20">
        <v>1.5</v>
      </c>
      <c r="J257" s="17">
        <v>20</v>
      </c>
      <c r="K257" s="17">
        <v>0</v>
      </c>
      <c r="L257" s="17">
        <v>0</v>
      </c>
      <c r="M257" s="17" t="str">
        <f t="shared" si="194"/>
        <v>1:11500:5</v>
      </c>
      <c r="N257" s="16" t="str">
        <f t="shared" si="145"/>
        <v>10005:1</v>
      </c>
      <c r="O257" s="17">
        <f t="shared" si="195"/>
        <v>9</v>
      </c>
      <c r="P257" s="21" t="s">
        <v>4391</v>
      </c>
      <c r="Q257" s="21"/>
      <c r="R257" t="s">
        <v>4351</v>
      </c>
      <c r="U257" t="str">
        <f t="shared" si="138"/>
        <v>战士</v>
      </c>
      <c r="V257" t="s">
        <v>4371</v>
      </c>
      <c r="W257">
        <f>属性类型!G257</f>
        <v>10005</v>
      </c>
      <c r="X257">
        <v>1</v>
      </c>
    </row>
    <row r="258" customFormat="1" ht="16.5" spans="1:24">
      <c r="A258" s="18">
        <f>A237+100</f>
        <v>11900</v>
      </c>
      <c r="B258" s="18">
        <f>ROUND(A258,-2)</f>
        <v>11900</v>
      </c>
      <c r="C258" s="18" t="str">
        <f t="shared" ref="C258:C270" si="197">LEFT(A258,1)</f>
        <v>1</v>
      </c>
      <c r="D258" s="12">
        <f t="shared" si="188"/>
        <v>10002</v>
      </c>
      <c r="E258" s="17">
        <f t="shared" si="196"/>
        <v>2</v>
      </c>
      <c r="F258" s="18">
        <f t="shared" ref="F258:F270" si="198">MID(B258,2,1)+1</f>
        <v>2</v>
      </c>
      <c r="G258" s="18" t="s">
        <v>4392</v>
      </c>
      <c r="H258" s="18" t="s">
        <v>242</v>
      </c>
      <c r="I258" s="20">
        <v>1.5</v>
      </c>
      <c r="J258" s="18">
        <v>0</v>
      </c>
      <c r="K258" s="18">
        <f t="shared" ref="K258:K272" si="199">A259</f>
        <v>11901</v>
      </c>
      <c r="L258" s="18" t="s">
        <v>206</v>
      </c>
      <c r="M258" s="18" t="s">
        <v>502</v>
      </c>
      <c r="N258" s="16" t="str">
        <f t="shared" si="145"/>
        <v>10006:1</v>
      </c>
      <c r="O258" s="18">
        <f t="shared" ref="O258:O272" si="200">MID(A258,3,1)+1</f>
        <v>10</v>
      </c>
      <c r="P258" s="21" t="s">
        <v>4393</v>
      </c>
      <c r="Q258" s="21"/>
      <c r="R258" t="s">
        <v>4351</v>
      </c>
      <c r="T258" t="str">
        <f>RIGHT(N258,1)</f>
        <v>1</v>
      </c>
      <c r="U258" t="str">
        <f t="shared" si="138"/>
        <v>战士</v>
      </c>
      <c r="V258" t="s">
        <v>4392</v>
      </c>
      <c r="W258">
        <f>属性类型!G258</f>
        <v>10006</v>
      </c>
      <c r="X258">
        <v>1</v>
      </c>
    </row>
    <row r="259" customFormat="1" ht="16.5" spans="1:24">
      <c r="A259" s="17">
        <f t="shared" ref="A259:A273" si="201">A258+1</f>
        <v>11901</v>
      </c>
      <c r="B259" s="17">
        <v>11900</v>
      </c>
      <c r="C259" s="17" t="str">
        <f t="shared" si="197"/>
        <v>1</v>
      </c>
      <c r="D259" s="12">
        <f t="shared" si="188"/>
        <v>10002</v>
      </c>
      <c r="E259" s="17">
        <f t="shared" si="196"/>
        <v>2</v>
      </c>
      <c r="F259" s="17">
        <f t="shared" si="198"/>
        <v>2</v>
      </c>
      <c r="G259" s="17" t="str">
        <f t="shared" ref="G259:G268" si="202">G258</f>
        <v>刀锋战士魔防百分比</v>
      </c>
      <c r="H259" s="17" t="str">
        <f t="shared" ref="H259:H268" si="203">H258</f>
        <v>bubing02_Lv3</v>
      </c>
      <c r="I259" s="20">
        <v>1.5</v>
      </c>
      <c r="J259" s="17">
        <v>1</v>
      </c>
      <c r="K259" s="17">
        <f t="shared" si="199"/>
        <v>11902</v>
      </c>
      <c r="L259" s="17" t="s">
        <v>211</v>
      </c>
      <c r="M259" s="17" t="str">
        <f t="shared" ref="M259:M268" si="204">M258</f>
        <v>1:11600:5</v>
      </c>
      <c r="N259" s="16" t="str">
        <f t="shared" si="145"/>
        <v>10006:1</v>
      </c>
      <c r="O259" s="17">
        <f t="shared" si="200"/>
        <v>10</v>
      </c>
      <c r="P259" s="21" t="s">
        <v>4394</v>
      </c>
      <c r="Q259" s="21"/>
      <c r="R259" t="s">
        <v>4351</v>
      </c>
      <c r="T259" t="str">
        <f t="shared" ref="T258:T272" si="205">RIGHT(N259,2)</f>
        <v>:1</v>
      </c>
      <c r="U259" t="str">
        <f t="shared" si="138"/>
        <v>战士</v>
      </c>
      <c r="V259" t="s">
        <v>4392</v>
      </c>
      <c r="W259">
        <f>属性类型!G259</f>
        <v>10006</v>
      </c>
      <c r="X259">
        <v>1</v>
      </c>
    </row>
    <row r="260" customFormat="1" ht="16.5" spans="1:24">
      <c r="A260" s="17">
        <f t="shared" si="201"/>
        <v>11902</v>
      </c>
      <c r="B260" s="17">
        <v>11900</v>
      </c>
      <c r="C260" s="17" t="str">
        <f t="shared" si="197"/>
        <v>1</v>
      </c>
      <c r="D260" s="12">
        <f t="shared" si="188"/>
        <v>10002</v>
      </c>
      <c r="E260" s="17">
        <f t="shared" si="196"/>
        <v>2</v>
      </c>
      <c r="F260" s="17">
        <f t="shared" si="198"/>
        <v>2</v>
      </c>
      <c r="G260" s="17" t="str">
        <f t="shared" si="202"/>
        <v>刀锋战士魔防百分比</v>
      </c>
      <c r="H260" s="17" t="str">
        <f t="shared" si="203"/>
        <v>bubing02_Lv3</v>
      </c>
      <c r="I260" s="20">
        <v>1.5</v>
      </c>
      <c r="J260" s="17">
        <v>2</v>
      </c>
      <c r="K260" s="17">
        <f t="shared" si="199"/>
        <v>11903</v>
      </c>
      <c r="L260" s="17" t="s">
        <v>215</v>
      </c>
      <c r="M260" s="17" t="str">
        <f t="shared" si="204"/>
        <v>1:11600:5</v>
      </c>
      <c r="N260" s="16" t="str">
        <f t="shared" si="145"/>
        <v>10006:1</v>
      </c>
      <c r="O260" s="17">
        <f t="shared" si="200"/>
        <v>10</v>
      </c>
      <c r="P260" s="21" t="s">
        <v>4395</v>
      </c>
      <c r="Q260" s="21"/>
      <c r="R260" t="s">
        <v>4351</v>
      </c>
      <c r="T260" t="str">
        <f t="shared" si="205"/>
        <v>:1</v>
      </c>
      <c r="U260" t="str">
        <f t="shared" si="138"/>
        <v>战士</v>
      </c>
      <c r="V260" t="s">
        <v>4392</v>
      </c>
      <c r="W260">
        <f>属性类型!G260</f>
        <v>10006</v>
      </c>
      <c r="X260">
        <v>1</v>
      </c>
    </row>
    <row r="261" customFormat="1" ht="16.5" spans="1:24">
      <c r="A261" s="17">
        <f t="shared" si="201"/>
        <v>11903</v>
      </c>
      <c r="B261" s="17">
        <v>11900</v>
      </c>
      <c r="C261" s="17" t="str">
        <f t="shared" si="197"/>
        <v>1</v>
      </c>
      <c r="D261" s="12">
        <f t="shared" si="188"/>
        <v>10002</v>
      </c>
      <c r="E261" s="17">
        <f t="shared" si="196"/>
        <v>2</v>
      </c>
      <c r="F261" s="17">
        <f t="shared" si="198"/>
        <v>2</v>
      </c>
      <c r="G261" s="17" t="str">
        <f t="shared" si="202"/>
        <v>刀锋战士魔防百分比</v>
      </c>
      <c r="H261" s="17" t="str">
        <f t="shared" si="203"/>
        <v>bubing02_Lv3</v>
      </c>
      <c r="I261" s="20">
        <v>1.5</v>
      </c>
      <c r="J261" s="17">
        <v>3</v>
      </c>
      <c r="K261" s="17">
        <f t="shared" si="199"/>
        <v>11904</v>
      </c>
      <c r="L261" s="17" t="s">
        <v>218</v>
      </c>
      <c r="M261" s="17" t="str">
        <f t="shared" si="204"/>
        <v>1:11600:5</v>
      </c>
      <c r="N261" s="16" t="str">
        <f t="shared" si="145"/>
        <v>10006:1</v>
      </c>
      <c r="O261" s="17">
        <f t="shared" si="200"/>
        <v>10</v>
      </c>
      <c r="P261" s="21" t="s">
        <v>4396</v>
      </c>
      <c r="Q261" s="21"/>
      <c r="R261" t="s">
        <v>4351</v>
      </c>
      <c r="T261" t="str">
        <f t="shared" si="205"/>
        <v>:1</v>
      </c>
      <c r="U261" t="str">
        <f t="shared" ref="U261:U324" si="206">MID(P261,3,2)</f>
        <v>战士</v>
      </c>
      <c r="V261" t="s">
        <v>4392</v>
      </c>
      <c r="W261">
        <f>属性类型!G261</f>
        <v>10006</v>
      </c>
      <c r="X261">
        <v>1</v>
      </c>
    </row>
    <row r="262" customFormat="1" ht="16.5" spans="1:24">
      <c r="A262" s="17">
        <f t="shared" si="201"/>
        <v>11904</v>
      </c>
      <c r="B262" s="17">
        <v>11900</v>
      </c>
      <c r="C262" s="17" t="str">
        <f t="shared" si="197"/>
        <v>1</v>
      </c>
      <c r="D262" s="12">
        <f t="shared" si="188"/>
        <v>10002</v>
      </c>
      <c r="E262" s="17">
        <f t="shared" si="196"/>
        <v>2</v>
      </c>
      <c r="F262" s="17">
        <f t="shared" si="198"/>
        <v>2</v>
      </c>
      <c r="G262" s="17" t="str">
        <f t="shared" si="202"/>
        <v>刀锋战士魔防百分比</v>
      </c>
      <c r="H262" s="17" t="str">
        <f t="shared" si="203"/>
        <v>bubing02_Lv3</v>
      </c>
      <c r="I262" s="20">
        <v>1.5</v>
      </c>
      <c r="J262" s="17">
        <v>4</v>
      </c>
      <c r="K262" s="17">
        <f t="shared" si="199"/>
        <v>11905</v>
      </c>
      <c r="L262" s="17" t="s">
        <v>221</v>
      </c>
      <c r="M262" s="17" t="str">
        <f t="shared" si="204"/>
        <v>1:11600:5</v>
      </c>
      <c r="N262" s="16" t="str">
        <f t="shared" si="145"/>
        <v>10006:1</v>
      </c>
      <c r="O262" s="17">
        <f t="shared" si="200"/>
        <v>10</v>
      </c>
      <c r="P262" s="21" t="s">
        <v>4397</v>
      </c>
      <c r="Q262" s="21"/>
      <c r="R262" t="s">
        <v>4351</v>
      </c>
      <c r="T262" t="str">
        <f t="shared" si="205"/>
        <v>:1</v>
      </c>
      <c r="U262" t="str">
        <f t="shared" si="206"/>
        <v>战士</v>
      </c>
      <c r="V262" t="s">
        <v>4392</v>
      </c>
      <c r="W262">
        <f>属性类型!G262</f>
        <v>10006</v>
      </c>
      <c r="X262">
        <v>1</v>
      </c>
    </row>
    <row r="263" customFormat="1" ht="16.5" spans="1:24">
      <c r="A263" s="17">
        <f t="shared" si="201"/>
        <v>11905</v>
      </c>
      <c r="B263" s="17">
        <v>11900</v>
      </c>
      <c r="C263" s="17" t="str">
        <f t="shared" si="197"/>
        <v>1</v>
      </c>
      <c r="D263" s="12">
        <f t="shared" si="188"/>
        <v>10002</v>
      </c>
      <c r="E263" s="17">
        <f t="shared" si="196"/>
        <v>2</v>
      </c>
      <c r="F263" s="17">
        <f t="shared" si="198"/>
        <v>2</v>
      </c>
      <c r="G263" s="17" t="str">
        <f t="shared" si="202"/>
        <v>刀锋战士魔防百分比</v>
      </c>
      <c r="H263" s="17" t="str">
        <f t="shared" si="203"/>
        <v>bubing02_Lv3</v>
      </c>
      <c r="I263" s="20">
        <v>1.5</v>
      </c>
      <c r="J263" s="17">
        <v>5</v>
      </c>
      <c r="K263" s="17">
        <f t="shared" si="199"/>
        <v>11906</v>
      </c>
      <c r="L263" s="17" t="s">
        <v>224</v>
      </c>
      <c r="M263" s="17" t="str">
        <f t="shared" si="204"/>
        <v>1:11600:5</v>
      </c>
      <c r="N263" s="16" t="str">
        <f t="shared" si="145"/>
        <v>10006:1</v>
      </c>
      <c r="O263" s="17">
        <f t="shared" si="200"/>
        <v>10</v>
      </c>
      <c r="P263" s="21" t="s">
        <v>4398</v>
      </c>
      <c r="Q263" s="21"/>
      <c r="R263" t="s">
        <v>4351</v>
      </c>
      <c r="T263" t="str">
        <f t="shared" si="205"/>
        <v>:1</v>
      </c>
      <c r="U263" t="str">
        <f t="shared" si="206"/>
        <v>战士</v>
      </c>
      <c r="V263" t="s">
        <v>4392</v>
      </c>
      <c r="W263">
        <f>属性类型!G263</f>
        <v>10006</v>
      </c>
      <c r="X263">
        <v>1</v>
      </c>
    </row>
    <row r="264" customFormat="1" ht="16.5" spans="1:24">
      <c r="A264" s="17">
        <f t="shared" si="201"/>
        <v>11906</v>
      </c>
      <c r="B264" s="17">
        <v>11900</v>
      </c>
      <c r="C264" s="17" t="str">
        <f t="shared" si="197"/>
        <v>1</v>
      </c>
      <c r="D264" s="12">
        <f t="shared" si="188"/>
        <v>10002</v>
      </c>
      <c r="E264" s="17">
        <f t="shared" si="196"/>
        <v>2</v>
      </c>
      <c r="F264" s="17">
        <f t="shared" si="198"/>
        <v>2</v>
      </c>
      <c r="G264" s="17" t="str">
        <f t="shared" si="202"/>
        <v>刀锋战士魔防百分比</v>
      </c>
      <c r="H264" s="17" t="str">
        <f t="shared" si="203"/>
        <v>bubing02_Lv3</v>
      </c>
      <c r="I264" s="20">
        <v>1.5</v>
      </c>
      <c r="J264" s="17">
        <v>6</v>
      </c>
      <c r="K264" s="17">
        <f t="shared" si="199"/>
        <v>11907</v>
      </c>
      <c r="L264" s="17" t="s">
        <v>227</v>
      </c>
      <c r="M264" s="17" t="str">
        <f t="shared" si="204"/>
        <v>1:11600:5</v>
      </c>
      <c r="N264" s="16" t="str">
        <f t="shared" si="145"/>
        <v>10006:1</v>
      </c>
      <c r="O264" s="17">
        <f t="shared" si="200"/>
        <v>10</v>
      </c>
      <c r="P264" s="21" t="s">
        <v>4399</v>
      </c>
      <c r="Q264" s="21"/>
      <c r="R264" t="s">
        <v>4351</v>
      </c>
      <c r="T264" t="str">
        <f t="shared" si="205"/>
        <v>:1</v>
      </c>
      <c r="U264" t="str">
        <f t="shared" si="206"/>
        <v>战士</v>
      </c>
      <c r="V264" t="s">
        <v>4392</v>
      </c>
      <c r="W264">
        <f>属性类型!G264</f>
        <v>10006</v>
      </c>
      <c r="X264">
        <v>1</v>
      </c>
    </row>
    <row r="265" customFormat="1" ht="16.5" spans="1:24">
      <c r="A265" s="17">
        <f t="shared" si="201"/>
        <v>11907</v>
      </c>
      <c r="B265" s="17">
        <v>11900</v>
      </c>
      <c r="C265" s="17" t="str">
        <f t="shared" si="197"/>
        <v>1</v>
      </c>
      <c r="D265" s="12">
        <f t="shared" si="188"/>
        <v>10002</v>
      </c>
      <c r="E265" s="17">
        <f t="shared" si="196"/>
        <v>2</v>
      </c>
      <c r="F265" s="17">
        <f t="shared" si="198"/>
        <v>2</v>
      </c>
      <c r="G265" s="17" t="str">
        <f t="shared" si="202"/>
        <v>刀锋战士魔防百分比</v>
      </c>
      <c r="H265" s="17" t="str">
        <f t="shared" si="203"/>
        <v>bubing02_Lv3</v>
      </c>
      <c r="I265" s="20">
        <v>1.5</v>
      </c>
      <c r="J265" s="17">
        <v>7</v>
      </c>
      <c r="K265" s="17">
        <f t="shared" si="199"/>
        <v>11908</v>
      </c>
      <c r="L265" s="17" t="s">
        <v>230</v>
      </c>
      <c r="M265" s="17" t="str">
        <f t="shared" si="204"/>
        <v>1:11600:5</v>
      </c>
      <c r="N265" s="16" t="str">
        <f t="shared" si="145"/>
        <v>10006:1</v>
      </c>
      <c r="O265" s="17">
        <f t="shared" si="200"/>
        <v>10</v>
      </c>
      <c r="P265" s="21" t="s">
        <v>4400</v>
      </c>
      <c r="Q265" s="21"/>
      <c r="R265" t="s">
        <v>4351</v>
      </c>
      <c r="T265" t="str">
        <f t="shared" si="205"/>
        <v>:1</v>
      </c>
      <c r="U265" t="str">
        <f t="shared" si="206"/>
        <v>战士</v>
      </c>
      <c r="V265" t="s">
        <v>4392</v>
      </c>
      <c r="W265">
        <f>属性类型!G265</f>
        <v>10006</v>
      </c>
      <c r="X265">
        <v>1</v>
      </c>
    </row>
    <row r="266" customFormat="1" ht="16.5" spans="1:24">
      <c r="A266" s="17">
        <f t="shared" si="201"/>
        <v>11908</v>
      </c>
      <c r="B266" s="17">
        <v>11900</v>
      </c>
      <c r="C266" s="17" t="str">
        <f t="shared" si="197"/>
        <v>1</v>
      </c>
      <c r="D266" s="12">
        <f t="shared" si="188"/>
        <v>10002</v>
      </c>
      <c r="E266" s="17">
        <f t="shared" si="196"/>
        <v>2</v>
      </c>
      <c r="F266" s="17">
        <f t="shared" si="198"/>
        <v>2</v>
      </c>
      <c r="G266" s="17" t="str">
        <f t="shared" si="202"/>
        <v>刀锋战士魔防百分比</v>
      </c>
      <c r="H266" s="17" t="str">
        <f t="shared" si="203"/>
        <v>bubing02_Lv3</v>
      </c>
      <c r="I266" s="20">
        <v>1.5</v>
      </c>
      <c r="J266" s="17">
        <v>8</v>
      </c>
      <c r="K266" s="17">
        <f t="shared" si="199"/>
        <v>11909</v>
      </c>
      <c r="L266" s="17" t="s">
        <v>233</v>
      </c>
      <c r="M266" s="17" t="str">
        <f t="shared" si="204"/>
        <v>1:11600:5</v>
      </c>
      <c r="N266" s="16" t="str">
        <f t="shared" si="145"/>
        <v>10006:1</v>
      </c>
      <c r="O266" s="17">
        <f t="shared" si="200"/>
        <v>10</v>
      </c>
      <c r="P266" s="21" t="s">
        <v>4401</v>
      </c>
      <c r="Q266" s="21"/>
      <c r="R266" t="s">
        <v>4351</v>
      </c>
      <c r="T266" t="str">
        <f t="shared" si="205"/>
        <v>:1</v>
      </c>
      <c r="U266" t="str">
        <f t="shared" si="206"/>
        <v>战士</v>
      </c>
      <c r="V266" t="s">
        <v>4392</v>
      </c>
      <c r="W266">
        <f>属性类型!G266</f>
        <v>10006</v>
      </c>
      <c r="X266">
        <v>1</v>
      </c>
    </row>
    <row r="267" customFormat="1" ht="16.5" spans="1:24">
      <c r="A267" s="17">
        <f t="shared" si="201"/>
        <v>11909</v>
      </c>
      <c r="B267" s="17">
        <v>11900</v>
      </c>
      <c r="C267" s="17" t="str">
        <f t="shared" si="197"/>
        <v>1</v>
      </c>
      <c r="D267" s="12">
        <f t="shared" si="188"/>
        <v>10002</v>
      </c>
      <c r="E267" s="17">
        <f t="shared" si="196"/>
        <v>2</v>
      </c>
      <c r="F267" s="17">
        <f t="shared" si="198"/>
        <v>2</v>
      </c>
      <c r="G267" s="17" t="str">
        <f t="shared" si="202"/>
        <v>刀锋战士魔防百分比</v>
      </c>
      <c r="H267" s="17" t="str">
        <f t="shared" si="203"/>
        <v>bubing02_Lv3</v>
      </c>
      <c r="I267" s="20">
        <v>1.5</v>
      </c>
      <c r="J267" s="17">
        <v>9</v>
      </c>
      <c r="K267" s="17">
        <f t="shared" si="199"/>
        <v>11910</v>
      </c>
      <c r="L267" s="17" t="s">
        <v>236</v>
      </c>
      <c r="M267" s="17" t="str">
        <f t="shared" si="204"/>
        <v>1:11600:5</v>
      </c>
      <c r="N267" s="16" t="str">
        <f t="shared" ref="N267:N330" si="207">W267&amp;$W$2&amp;X267</f>
        <v>10006:1</v>
      </c>
      <c r="O267" s="17">
        <f t="shared" si="200"/>
        <v>10</v>
      </c>
      <c r="P267" s="21" t="s">
        <v>4402</v>
      </c>
      <c r="Q267" s="21"/>
      <c r="R267" t="s">
        <v>4351</v>
      </c>
      <c r="T267" t="str">
        <f t="shared" si="205"/>
        <v>:1</v>
      </c>
      <c r="U267" t="str">
        <f t="shared" si="206"/>
        <v>战士</v>
      </c>
      <c r="V267" t="s">
        <v>4392</v>
      </c>
      <c r="W267">
        <f>属性类型!G267</f>
        <v>10006</v>
      </c>
      <c r="X267">
        <v>1</v>
      </c>
    </row>
    <row r="268" customFormat="1" ht="16.5" spans="1:24">
      <c r="A268" s="17">
        <f t="shared" si="201"/>
        <v>11910</v>
      </c>
      <c r="B268" s="17">
        <v>11900</v>
      </c>
      <c r="C268" s="17" t="str">
        <f t="shared" si="197"/>
        <v>1</v>
      </c>
      <c r="D268" s="12">
        <f t="shared" si="188"/>
        <v>10002</v>
      </c>
      <c r="E268" s="17">
        <f t="shared" si="196"/>
        <v>2</v>
      </c>
      <c r="F268" s="17">
        <f t="shared" si="198"/>
        <v>2</v>
      </c>
      <c r="G268" s="17" t="str">
        <f t="shared" ref="G268:G273" si="208">G267</f>
        <v>刀锋战士魔防百分比</v>
      </c>
      <c r="H268" s="17" t="str">
        <f t="shared" ref="H268:H273" si="209">H267</f>
        <v>bubing02_Lv3</v>
      </c>
      <c r="I268" s="20">
        <v>1.5</v>
      </c>
      <c r="J268" s="17">
        <v>10</v>
      </c>
      <c r="K268" s="17">
        <f t="shared" si="199"/>
        <v>11911</v>
      </c>
      <c r="L268" s="17" t="s">
        <v>238</v>
      </c>
      <c r="M268" s="17" t="str">
        <f t="shared" ref="M268:M273" si="210">M267</f>
        <v>1:11600:5</v>
      </c>
      <c r="N268" s="16" t="str">
        <f t="shared" si="207"/>
        <v>10006:1</v>
      </c>
      <c r="O268" s="17">
        <f t="shared" si="200"/>
        <v>10</v>
      </c>
      <c r="P268" s="21" t="s">
        <v>4403</v>
      </c>
      <c r="Q268" s="21"/>
      <c r="R268" t="s">
        <v>4351</v>
      </c>
      <c r="T268" t="str">
        <f t="shared" si="205"/>
        <v>:1</v>
      </c>
      <c r="U268" t="str">
        <f t="shared" si="206"/>
        <v>战士</v>
      </c>
      <c r="V268" t="s">
        <v>4392</v>
      </c>
      <c r="W268">
        <f>属性类型!G268</f>
        <v>10006</v>
      </c>
      <c r="X268">
        <v>1</v>
      </c>
    </row>
    <row r="269" customFormat="1" ht="16.5" spans="1:24">
      <c r="A269" s="17">
        <f t="shared" si="201"/>
        <v>11911</v>
      </c>
      <c r="B269" s="17">
        <v>11900</v>
      </c>
      <c r="C269" s="17" t="str">
        <f t="shared" si="197"/>
        <v>1</v>
      </c>
      <c r="D269" s="12">
        <f t="shared" si="188"/>
        <v>10002</v>
      </c>
      <c r="E269" s="17">
        <f t="shared" si="196"/>
        <v>2</v>
      </c>
      <c r="F269" s="17">
        <f t="shared" si="198"/>
        <v>2</v>
      </c>
      <c r="G269" s="17" t="str">
        <f t="shared" si="208"/>
        <v>刀锋战士魔防百分比</v>
      </c>
      <c r="H269" s="17" t="str">
        <f t="shared" si="209"/>
        <v>bubing02_Lv3</v>
      </c>
      <c r="I269" s="20">
        <v>1.5</v>
      </c>
      <c r="J269" s="17">
        <v>11</v>
      </c>
      <c r="K269" s="17">
        <f t="shared" si="199"/>
        <v>11912</v>
      </c>
      <c r="L269" s="17" t="s">
        <v>529</v>
      </c>
      <c r="M269" s="17" t="str">
        <f t="shared" si="210"/>
        <v>1:11600:5</v>
      </c>
      <c r="N269" s="16" t="str">
        <f t="shared" si="207"/>
        <v>10006:1</v>
      </c>
      <c r="O269" s="17">
        <f t="shared" si="200"/>
        <v>10</v>
      </c>
      <c r="P269" s="21" t="s">
        <v>4404</v>
      </c>
      <c r="Q269" s="21"/>
      <c r="R269" t="s">
        <v>4351</v>
      </c>
      <c r="T269" t="str">
        <f t="shared" si="205"/>
        <v>:1</v>
      </c>
      <c r="U269" t="str">
        <f t="shared" si="206"/>
        <v>战士</v>
      </c>
      <c r="V269" t="s">
        <v>4392</v>
      </c>
      <c r="W269">
        <f>属性类型!G269</f>
        <v>10006</v>
      </c>
      <c r="X269">
        <v>1</v>
      </c>
    </row>
    <row r="270" customFormat="1" ht="16.5" spans="1:24">
      <c r="A270" s="17">
        <f t="shared" si="201"/>
        <v>11912</v>
      </c>
      <c r="B270" s="17">
        <v>11900</v>
      </c>
      <c r="C270" s="17" t="str">
        <f t="shared" si="197"/>
        <v>1</v>
      </c>
      <c r="D270" s="12">
        <f t="shared" si="188"/>
        <v>10002</v>
      </c>
      <c r="E270" s="17">
        <f t="shared" si="196"/>
        <v>2</v>
      </c>
      <c r="F270" s="17">
        <f t="shared" si="198"/>
        <v>2</v>
      </c>
      <c r="G270" s="17" t="str">
        <f t="shared" si="208"/>
        <v>刀锋战士魔防百分比</v>
      </c>
      <c r="H270" s="17" t="str">
        <f t="shared" si="209"/>
        <v>bubing02_Lv3</v>
      </c>
      <c r="I270" s="20">
        <v>1.5</v>
      </c>
      <c r="J270" s="17">
        <v>12</v>
      </c>
      <c r="K270" s="17">
        <f t="shared" si="199"/>
        <v>11913</v>
      </c>
      <c r="L270" s="17" t="s">
        <v>532</v>
      </c>
      <c r="M270" s="17" t="str">
        <f t="shared" si="210"/>
        <v>1:11600:5</v>
      </c>
      <c r="N270" s="16" t="str">
        <f t="shared" si="207"/>
        <v>10006:1</v>
      </c>
      <c r="O270" s="17">
        <f t="shared" si="200"/>
        <v>10</v>
      </c>
      <c r="P270" s="21" t="s">
        <v>4405</v>
      </c>
      <c r="Q270" s="21"/>
      <c r="R270" t="s">
        <v>4351</v>
      </c>
      <c r="T270" t="str">
        <f t="shared" si="205"/>
        <v>:1</v>
      </c>
      <c r="U270" t="str">
        <f t="shared" si="206"/>
        <v>战士</v>
      </c>
      <c r="V270" t="s">
        <v>4392</v>
      </c>
      <c r="W270">
        <f>属性类型!G270</f>
        <v>10006</v>
      </c>
      <c r="X270">
        <v>1</v>
      </c>
    </row>
    <row r="271" customFormat="1" ht="16.5" spans="1:24">
      <c r="A271" s="17">
        <f t="shared" ref="A271:A278" si="211">A270+1</f>
        <v>11913</v>
      </c>
      <c r="B271" s="17">
        <v>11900</v>
      </c>
      <c r="C271" s="17" t="str">
        <f t="shared" ref="C271:C278" si="212">LEFT(A271,1)</f>
        <v>1</v>
      </c>
      <c r="D271" s="12">
        <f t="shared" ref="D271:D278" si="213">$A$4+F271</f>
        <v>10002</v>
      </c>
      <c r="E271" s="17">
        <f t="shared" si="196"/>
        <v>2</v>
      </c>
      <c r="F271" s="17">
        <f t="shared" ref="F271:F278" si="214">MID(B271,2,1)+1</f>
        <v>2</v>
      </c>
      <c r="G271" s="17" t="str">
        <f t="shared" ref="G271:G278" si="215">G270</f>
        <v>刀锋战士魔防百分比</v>
      </c>
      <c r="H271" s="17" t="str">
        <f t="shared" ref="H271:H278" si="216">H270</f>
        <v>bubing02_Lv3</v>
      </c>
      <c r="I271" s="20">
        <v>1.5</v>
      </c>
      <c r="J271" s="17">
        <v>13</v>
      </c>
      <c r="K271" s="17">
        <f t="shared" ref="K271:K278" si="217">A272</f>
        <v>11914</v>
      </c>
      <c r="L271" s="17" t="s">
        <v>561</v>
      </c>
      <c r="M271" s="17" t="str">
        <f t="shared" si="210"/>
        <v>1:11600:5</v>
      </c>
      <c r="N271" s="16" t="str">
        <f t="shared" si="207"/>
        <v>10006:1</v>
      </c>
      <c r="O271" s="17">
        <f t="shared" si="200"/>
        <v>10</v>
      </c>
      <c r="P271" s="21" t="s">
        <v>4406</v>
      </c>
      <c r="Q271" s="21"/>
      <c r="R271" t="s">
        <v>4351</v>
      </c>
      <c r="T271" t="str">
        <f t="shared" si="205"/>
        <v>:1</v>
      </c>
      <c r="U271" t="str">
        <f t="shared" si="206"/>
        <v>战士</v>
      </c>
      <c r="V271" t="s">
        <v>4392</v>
      </c>
      <c r="W271">
        <f>属性类型!G271</f>
        <v>10006</v>
      </c>
      <c r="X271">
        <v>1</v>
      </c>
    </row>
    <row r="272" customFormat="1" ht="16.5" spans="1:24">
      <c r="A272" s="17">
        <f t="shared" si="211"/>
        <v>11914</v>
      </c>
      <c r="B272" s="17">
        <v>11900</v>
      </c>
      <c r="C272" s="17" t="str">
        <f t="shared" si="212"/>
        <v>1</v>
      </c>
      <c r="D272" s="12">
        <f t="shared" si="213"/>
        <v>10002</v>
      </c>
      <c r="E272" s="17">
        <f t="shared" si="196"/>
        <v>2</v>
      </c>
      <c r="F272" s="17">
        <f t="shared" si="214"/>
        <v>2</v>
      </c>
      <c r="G272" s="17" t="str">
        <f t="shared" si="215"/>
        <v>刀锋战士魔防百分比</v>
      </c>
      <c r="H272" s="17" t="str">
        <f t="shared" si="216"/>
        <v>bubing02_Lv3</v>
      </c>
      <c r="I272" s="20">
        <v>1.5</v>
      </c>
      <c r="J272" s="17">
        <v>14</v>
      </c>
      <c r="K272" s="17">
        <f t="shared" si="217"/>
        <v>11915</v>
      </c>
      <c r="L272" s="17" t="s">
        <v>564</v>
      </c>
      <c r="M272" s="17" t="str">
        <f t="shared" si="210"/>
        <v>1:11600:5</v>
      </c>
      <c r="N272" s="16" t="str">
        <f t="shared" si="207"/>
        <v>10006:1</v>
      </c>
      <c r="O272" s="17">
        <f t="shared" si="200"/>
        <v>10</v>
      </c>
      <c r="P272" s="21" t="s">
        <v>4407</v>
      </c>
      <c r="Q272" s="21"/>
      <c r="R272" t="s">
        <v>4351</v>
      </c>
      <c r="T272" t="str">
        <f t="shared" si="205"/>
        <v>:1</v>
      </c>
      <c r="U272" t="str">
        <f t="shared" si="206"/>
        <v>战士</v>
      </c>
      <c r="V272" t="s">
        <v>4392</v>
      </c>
      <c r="W272">
        <f>属性类型!G272</f>
        <v>10006</v>
      </c>
      <c r="X272">
        <v>1</v>
      </c>
    </row>
    <row r="273" customFormat="1" ht="16.5" spans="1:24">
      <c r="A273" s="17">
        <f t="shared" si="211"/>
        <v>11915</v>
      </c>
      <c r="B273" s="17">
        <v>11900</v>
      </c>
      <c r="C273" s="17" t="str">
        <f t="shared" si="212"/>
        <v>1</v>
      </c>
      <c r="D273" s="12">
        <f t="shared" si="213"/>
        <v>10002</v>
      </c>
      <c r="E273" s="17">
        <f t="shared" si="196"/>
        <v>2</v>
      </c>
      <c r="F273" s="17">
        <f t="shared" si="214"/>
        <v>2</v>
      </c>
      <c r="G273" s="17" t="str">
        <f t="shared" si="215"/>
        <v>刀锋战士魔防百分比</v>
      </c>
      <c r="H273" s="17" t="str">
        <f t="shared" si="216"/>
        <v>bubing02_Lv3</v>
      </c>
      <c r="I273" s="20">
        <v>1.5</v>
      </c>
      <c r="J273" s="17">
        <v>15</v>
      </c>
      <c r="K273" s="17">
        <f t="shared" si="217"/>
        <v>11916</v>
      </c>
      <c r="L273" s="17" t="s">
        <v>630</v>
      </c>
      <c r="M273" s="17" t="str">
        <f t="shared" ref="M273:M278" si="218">M272</f>
        <v>1:11600:5</v>
      </c>
      <c r="N273" s="16" t="str">
        <f t="shared" si="207"/>
        <v>10006:1</v>
      </c>
      <c r="O273" s="17">
        <f t="shared" ref="O273:O278" si="219">MID(A273,3,1)+1</f>
        <v>10</v>
      </c>
      <c r="P273" s="21" t="s">
        <v>4408</v>
      </c>
      <c r="Q273" s="21"/>
      <c r="R273" t="s">
        <v>4351</v>
      </c>
      <c r="T273" t="str">
        <f t="shared" ref="T273:T278" si="220">RIGHT(N273,2)</f>
        <v>:1</v>
      </c>
      <c r="U273" t="str">
        <f t="shared" si="206"/>
        <v>战士</v>
      </c>
      <c r="V273" t="s">
        <v>4392</v>
      </c>
      <c r="W273">
        <f>属性类型!G273</f>
        <v>10006</v>
      </c>
      <c r="X273">
        <v>1</v>
      </c>
    </row>
    <row r="274" customFormat="1" ht="16.5" spans="1:24">
      <c r="A274" s="17">
        <f t="shared" si="211"/>
        <v>11916</v>
      </c>
      <c r="B274" s="17">
        <v>11900</v>
      </c>
      <c r="C274" s="17" t="str">
        <f t="shared" si="212"/>
        <v>1</v>
      </c>
      <c r="D274" s="12">
        <f t="shared" si="213"/>
        <v>10002</v>
      </c>
      <c r="E274" s="17">
        <f t="shared" si="196"/>
        <v>2</v>
      </c>
      <c r="F274" s="17">
        <f t="shared" si="214"/>
        <v>2</v>
      </c>
      <c r="G274" s="17" t="str">
        <f t="shared" si="215"/>
        <v>刀锋战士魔防百分比</v>
      </c>
      <c r="H274" s="17" t="str">
        <f t="shared" si="216"/>
        <v>bubing02_Lv3</v>
      </c>
      <c r="I274" s="20">
        <v>1.5</v>
      </c>
      <c r="J274" s="17">
        <v>16</v>
      </c>
      <c r="K274" s="17">
        <f t="shared" si="217"/>
        <v>11917</v>
      </c>
      <c r="L274" s="17" t="s">
        <v>633</v>
      </c>
      <c r="M274" s="17" t="str">
        <f t="shared" si="218"/>
        <v>1:11600:5</v>
      </c>
      <c r="N274" s="16" t="str">
        <f t="shared" si="207"/>
        <v>10006:1</v>
      </c>
      <c r="O274" s="17">
        <f t="shared" si="219"/>
        <v>10</v>
      </c>
      <c r="P274" s="21" t="s">
        <v>4409</v>
      </c>
      <c r="Q274" s="21"/>
      <c r="R274" t="s">
        <v>4351</v>
      </c>
      <c r="T274" t="str">
        <f t="shared" si="220"/>
        <v>:1</v>
      </c>
      <c r="U274" t="str">
        <f t="shared" si="206"/>
        <v>战士</v>
      </c>
      <c r="V274" t="s">
        <v>4392</v>
      </c>
      <c r="W274">
        <f>属性类型!G274</f>
        <v>10006</v>
      </c>
      <c r="X274">
        <v>1</v>
      </c>
    </row>
    <row r="275" customFormat="1" ht="16.5" spans="1:24">
      <c r="A275" s="17">
        <f t="shared" si="211"/>
        <v>11917</v>
      </c>
      <c r="B275" s="17">
        <v>11900</v>
      </c>
      <c r="C275" s="17" t="str">
        <f t="shared" si="212"/>
        <v>1</v>
      </c>
      <c r="D275" s="12">
        <f t="shared" si="213"/>
        <v>10002</v>
      </c>
      <c r="E275" s="17">
        <f t="shared" si="196"/>
        <v>2</v>
      </c>
      <c r="F275" s="17">
        <f t="shared" si="214"/>
        <v>2</v>
      </c>
      <c r="G275" s="17" t="str">
        <f t="shared" si="215"/>
        <v>刀锋战士魔防百分比</v>
      </c>
      <c r="H275" s="17" t="str">
        <f t="shared" si="216"/>
        <v>bubing02_Lv3</v>
      </c>
      <c r="I275" s="20">
        <v>1.5</v>
      </c>
      <c r="J275" s="17">
        <v>17</v>
      </c>
      <c r="K275" s="17">
        <f t="shared" si="217"/>
        <v>11918</v>
      </c>
      <c r="L275" s="17" t="s">
        <v>637</v>
      </c>
      <c r="M275" s="17" t="str">
        <f t="shared" si="218"/>
        <v>1:11600:5</v>
      </c>
      <c r="N275" s="16" t="str">
        <f t="shared" si="207"/>
        <v>10006:1</v>
      </c>
      <c r="O275" s="17">
        <f t="shared" si="219"/>
        <v>10</v>
      </c>
      <c r="P275" s="21" t="s">
        <v>4410</v>
      </c>
      <c r="Q275" s="21"/>
      <c r="R275" t="s">
        <v>4351</v>
      </c>
      <c r="T275" t="str">
        <f t="shared" si="220"/>
        <v>:1</v>
      </c>
      <c r="U275" t="str">
        <f t="shared" si="206"/>
        <v>战士</v>
      </c>
      <c r="V275" t="s">
        <v>4392</v>
      </c>
      <c r="W275">
        <f>属性类型!G275</f>
        <v>10006</v>
      </c>
      <c r="X275">
        <v>1</v>
      </c>
    </row>
    <row r="276" customFormat="1" ht="16.5" spans="1:24">
      <c r="A276" s="17">
        <f t="shared" si="211"/>
        <v>11918</v>
      </c>
      <c r="B276" s="17">
        <v>11900</v>
      </c>
      <c r="C276" s="17" t="str">
        <f t="shared" si="212"/>
        <v>1</v>
      </c>
      <c r="D276" s="12">
        <f t="shared" si="213"/>
        <v>10002</v>
      </c>
      <c r="E276" s="17">
        <f t="shared" si="196"/>
        <v>2</v>
      </c>
      <c r="F276" s="17">
        <f t="shared" si="214"/>
        <v>2</v>
      </c>
      <c r="G276" s="17" t="str">
        <f t="shared" si="215"/>
        <v>刀锋战士魔防百分比</v>
      </c>
      <c r="H276" s="17" t="str">
        <f t="shared" si="216"/>
        <v>bubing02_Lv3</v>
      </c>
      <c r="I276" s="20">
        <v>1.5</v>
      </c>
      <c r="J276" s="17">
        <v>18</v>
      </c>
      <c r="K276" s="17">
        <f t="shared" si="217"/>
        <v>11919</v>
      </c>
      <c r="L276" s="17" t="s">
        <v>641</v>
      </c>
      <c r="M276" s="17" t="str">
        <f t="shared" si="218"/>
        <v>1:11600:5</v>
      </c>
      <c r="N276" s="16" t="str">
        <f t="shared" si="207"/>
        <v>10006:1</v>
      </c>
      <c r="O276" s="17">
        <f t="shared" si="219"/>
        <v>10</v>
      </c>
      <c r="P276" s="21" t="s">
        <v>4411</v>
      </c>
      <c r="Q276" s="21"/>
      <c r="R276" t="s">
        <v>4351</v>
      </c>
      <c r="T276" t="str">
        <f t="shared" si="220"/>
        <v>:1</v>
      </c>
      <c r="U276" t="str">
        <f t="shared" si="206"/>
        <v>战士</v>
      </c>
      <c r="V276" t="s">
        <v>4392</v>
      </c>
      <c r="W276">
        <f>属性类型!G276</f>
        <v>10006</v>
      </c>
      <c r="X276">
        <v>1</v>
      </c>
    </row>
    <row r="277" customFormat="1" ht="16.5" spans="1:24">
      <c r="A277" s="17">
        <f t="shared" si="211"/>
        <v>11919</v>
      </c>
      <c r="B277" s="17">
        <v>11900</v>
      </c>
      <c r="C277" s="17" t="str">
        <f t="shared" si="212"/>
        <v>1</v>
      </c>
      <c r="D277" s="12">
        <f t="shared" si="213"/>
        <v>10002</v>
      </c>
      <c r="E277" s="17">
        <f t="shared" si="196"/>
        <v>2</v>
      </c>
      <c r="F277" s="17">
        <f t="shared" si="214"/>
        <v>2</v>
      </c>
      <c r="G277" s="17" t="str">
        <f t="shared" si="215"/>
        <v>刀锋战士魔防百分比</v>
      </c>
      <c r="H277" s="17" t="str">
        <f t="shared" si="216"/>
        <v>bubing02_Lv3</v>
      </c>
      <c r="I277" s="20">
        <v>1.5</v>
      </c>
      <c r="J277" s="17">
        <v>19</v>
      </c>
      <c r="K277" s="17">
        <f t="shared" si="217"/>
        <v>11920</v>
      </c>
      <c r="L277" s="17" t="s">
        <v>645</v>
      </c>
      <c r="M277" s="17" t="str">
        <f t="shared" si="218"/>
        <v>1:11600:5</v>
      </c>
      <c r="N277" s="16" t="str">
        <f t="shared" si="207"/>
        <v>10006:1</v>
      </c>
      <c r="O277" s="17">
        <f t="shared" si="219"/>
        <v>10</v>
      </c>
      <c r="P277" s="21" t="s">
        <v>4412</v>
      </c>
      <c r="Q277" s="21"/>
      <c r="R277" t="s">
        <v>4351</v>
      </c>
      <c r="T277" t="str">
        <f t="shared" si="220"/>
        <v>:1</v>
      </c>
      <c r="U277" t="str">
        <f t="shared" si="206"/>
        <v>战士</v>
      </c>
      <c r="V277" t="s">
        <v>4392</v>
      </c>
      <c r="W277">
        <f>属性类型!G277</f>
        <v>10006</v>
      </c>
      <c r="X277">
        <v>1</v>
      </c>
    </row>
    <row r="278" customFormat="1" ht="16.5" spans="1:24">
      <c r="A278" s="17">
        <f t="shared" si="211"/>
        <v>11920</v>
      </c>
      <c r="B278" s="17">
        <v>11900</v>
      </c>
      <c r="C278" s="17" t="str">
        <f t="shared" si="212"/>
        <v>1</v>
      </c>
      <c r="D278" s="12">
        <f t="shared" si="213"/>
        <v>10002</v>
      </c>
      <c r="E278" s="17">
        <f t="shared" si="196"/>
        <v>2</v>
      </c>
      <c r="F278" s="17">
        <f t="shared" si="214"/>
        <v>2</v>
      </c>
      <c r="G278" s="17" t="str">
        <f t="shared" si="215"/>
        <v>刀锋战士魔防百分比</v>
      </c>
      <c r="H278" s="17" t="str">
        <f t="shared" si="216"/>
        <v>bubing02_Lv3</v>
      </c>
      <c r="I278" s="20">
        <v>1.5</v>
      </c>
      <c r="J278" s="17">
        <v>20</v>
      </c>
      <c r="K278" s="17">
        <v>0</v>
      </c>
      <c r="L278" s="17">
        <v>0</v>
      </c>
      <c r="M278" s="17" t="str">
        <f t="shared" si="218"/>
        <v>1:11600:5</v>
      </c>
      <c r="N278" s="16" t="str">
        <f t="shared" si="207"/>
        <v>10006:1</v>
      </c>
      <c r="O278" s="17">
        <f t="shared" si="219"/>
        <v>10</v>
      </c>
      <c r="P278" s="21" t="s">
        <v>4412</v>
      </c>
      <c r="Q278" s="21"/>
      <c r="R278" t="s">
        <v>4351</v>
      </c>
      <c r="T278" t="str">
        <f t="shared" si="220"/>
        <v>:1</v>
      </c>
      <c r="U278" t="str">
        <f t="shared" si="206"/>
        <v>战士</v>
      </c>
      <c r="V278" t="s">
        <v>4392</v>
      </c>
      <c r="W278">
        <f>属性类型!G278</f>
        <v>10006</v>
      </c>
      <c r="X278">
        <v>1</v>
      </c>
    </row>
    <row r="279" customFormat="1" ht="16.5" spans="1:24">
      <c r="A279" s="18">
        <f>A258+100</f>
        <v>12000</v>
      </c>
      <c r="B279" s="18">
        <f>ROUND(A279,-2)</f>
        <v>12000</v>
      </c>
      <c r="C279" s="18" t="str">
        <f t="shared" ref="C279:C294" si="221">LEFT(A279,1)</f>
        <v>1</v>
      </c>
      <c r="D279" s="12">
        <f t="shared" ref="D279:D305" si="222">$A$4+F279</f>
        <v>10003</v>
      </c>
      <c r="E279" s="17">
        <v>1</v>
      </c>
      <c r="F279" s="18">
        <f t="shared" ref="F279:F294" si="223">MID(B279,2,1)+1</f>
        <v>3</v>
      </c>
      <c r="G279" s="18" t="s">
        <v>515</v>
      </c>
      <c r="H279" s="18" t="s">
        <v>38</v>
      </c>
      <c r="I279" s="20">
        <v>0</v>
      </c>
      <c r="J279" s="18">
        <v>0</v>
      </c>
      <c r="K279" s="18">
        <f t="shared" ref="K279:K293" si="224">A280</f>
        <v>12001</v>
      </c>
      <c r="L279" s="18" t="s">
        <v>206</v>
      </c>
      <c r="M279" s="18" t="s">
        <v>517</v>
      </c>
      <c r="N279" s="16" t="str">
        <f t="shared" si="207"/>
        <v>101:1</v>
      </c>
      <c r="O279" s="18">
        <f t="shared" ref="O279:O294" si="225">MID(A279,3,1)+1</f>
        <v>1</v>
      </c>
      <c r="P279" s="21" t="str">
        <f>$R$1&amp;R279&amp;$Q$1&amp;T279</f>
        <v>所有步兵生命增加1</v>
      </c>
      <c r="Q279" s="21"/>
      <c r="R279" t="s">
        <v>4270</v>
      </c>
      <c r="T279" t="str">
        <f>RIGHT(N279,1)</f>
        <v>1</v>
      </c>
      <c r="U279" t="str">
        <f t="shared" si="206"/>
        <v>步兵</v>
      </c>
      <c r="V279" t="s">
        <v>4271</v>
      </c>
      <c r="W279">
        <f>属性类型!G279</f>
        <v>101</v>
      </c>
      <c r="X279">
        <v>1</v>
      </c>
    </row>
    <row r="280" customFormat="1" ht="16.5" spans="1:24">
      <c r="A280" s="17">
        <f t="shared" ref="A280:A294" si="226">A279+1</f>
        <v>12001</v>
      </c>
      <c r="B280" s="17">
        <f t="shared" ref="B279:B294" si="227">ROUND(A280,-2)</f>
        <v>12000</v>
      </c>
      <c r="C280" s="17" t="str">
        <f t="shared" si="221"/>
        <v>1</v>
      </c>
      <c r="D280" s="12">
        <f t="shared" si="222"/>
        <v>10003</v>
      </c>
      <c r="E280" s="17">
        <v>1</v>
      </c>
      <c r="F280" s="17">
        <f t="shared" si="223"/>
        <v>3</v>
      </c>
      <c r="G280" s="17" t="str">
        <f t="shared" ref="G280:G289" si="228">G279</f>
        <v>高级生命</v>
      </c>
      <c r="H280" s="17" t="str">
        <f t="shared" ref="H280:H289" si="229">H279</f>
        <v>icon_01</v>
      </c>
      <c r="I280" s="20">
        <v>0</v>
      </c>
      <c r="J280" s="17">
        <v>1</v>
      </c>
      <c r="K280" s="17">
        <f t="shared" si="224"/>
        <v>12002</v>
      </c>
      <c r="L280" s="17" t="s">
        <v>211</v>
      </c>
      <c r="M280" s="17" t="str">
        <f t="shared" ref="M280:M289" si="230">M279</f>
        <v>2:10001:50</v>
      </c>
      <c r="N280" s="16" t="str">
        <f t="shared" si="207"/>
        <v>101:1</v>
      </c>
      <c r="O280" s="17">
        <f t="shared" si="225"/>
        <v>1</v>
      </c>
      <c r="P280" s="21" t="str">
        <f>$R$1&amp;R280&amp;$Q$1&amp;T280</f>
        <v>所有步兵生命增加:1</v>
      </c>
      <c r="Q280" s="21"/>
      <c r="R280" t="str">
        <f t="shared" ref="R280:R294" si="231">R279</f>
        <v>生命</v>
      </c>
      <c r="T280" t="str">
        <f t="shared" ref="T279:T294" si="232">RIGHT(N280,2)</f>
        <v>:1</v>
      </c>
      <c r="U280" t="str">
        <f t="shared" si="206"/>
        <v>步兵</v>
      </c>
      <c r="V280" t="s">
        <v>4271</v>
      </c>
      <c r="W280">
        <f>属性类型!G280</f>
        <v>101</v>
      </c>
      <c r="X280">
        <v>1</v>
      </c>
    </row>
    <row r="281" customFormat="1" ht="16.5" spans="1:24">
      <c r="A281" s="17">
        <f t="shared" si="226"/>
        <v>12002</v>
      </c>
      <c r="B281" s="17">
        <f t="shared" si="227"/>
        <v>12000</v>
      </c>
      <c r="C281" s="17" t="str">
        <f t="shared" si="221"/>
        <v>1</v>
      </c>
      <c r="D281" s="12">
        <f t="shared" si="222"/>
        <v>10003</v>
      </c>
      <c r="E281" s="17">
        <v>1</v>
      </c>
      <c r="F281" s="17">
        <f t="shared" si="223"/>
        <v>3</v>
      </c>
      <c r="G281" s="17" t="str">
        <f t="shared" si="228"/>
        <v>高级生命</v>
      </c>
      <c r="H281" s="17" t="str">
        <f t="shared" si="229"/>
        <v>icon_01</v>
      </c>
      <c r="I281" s="20">
        <v>0</v>
      </c>
      <c r="J281" s="17">
        <v>2</v>
      </c>
      <c r="K281" s="17">
        <f t="shared" si="224"/>
        <v>12003</v>
      </c>
      <c r="L281" s="17" t="s">
        <v>215</v>
      </c>
      <c r="M281" s="17" t="str">
        <f t="shared" si="230"/>
        <v>2:10001:50</v>
      </c>
      <c r="N281" s="16" t="str">
        <f t="shared" si="207"/>
        <v>101:1</v>
      </c>
      <c r="O281" s="17">
        <f t="shared" si="225"/>
        <v>1</v>
      </c>
      <c r="P281" s="21" t="str">
        <f>$R$1&amp;R281&amp;$Q$1&amp;T281</f>
        <v>所有步兵生命增加:1</v>
      </c>
      <c r="Q281" s="21"/>
      <c r="R281" t="str">
        <f t="shared" si="231"/>
        <v>生命</v>
      </c>
      <c r="T281" t="str">
        <f t="shared" si="232"/>
        <v>:1</v>
      </c>
      <c r="U281" t="str">
        <f t="shared" si="206"/>
        <v>步兵</v>
      </c>
      <c r="V281" t="s">
        <v>4271</v>
      </c>
      <c r="W281">
        <f>属性类型!G281</f>
        <v>101</v>
      </c>
      <c r="X281">
        <v>1</v>
      </c>
    </row>
    <row r="282" customFormat="1" ht="16.5" spans="1:24">
      <c r="A282" s="17">
        <f t="shared" si="226"/>
        <v>12003</v>
      </c>
      <c r="B282" s="17">
        <f t="shared" si="227"/>
        <v>12000</v>
      </c>
      <c r="C282" s="17" t="str">
        <f t="shared" si="221"/>
        <v>1</v>
      </c>
      <c r="D282" s="12">
        <f t="shared" si="222"/>
        <v>10003</v>
      </c>
      <c r="E282" s="17">
        <v>1</v>
      </c>
      <c r="F282" s="17">
        <f t="shared" si="223"/>
        <v>3</v>
      </c>
      <c r="G282" s="17" t="str">
        <f t="shared" si="228"/>
        <v>高级生命</v>
      </c>
      <c r="H282" s="17" t="str">
        <f t="shared" si="229"/>
        <v>icon_01</v>
      </c>
      <c r="I282" s="20">
        <v>0</v>
      </c>
      <c r="J282" s="17">
        <v>3</v>
      </c>
      <c r="K282" s="17">
        <f t="shared" si="224"/>
        <v>12004</v>
      </c>
      <c r="L282" s="17" t="s">
        <v>218</v>
      </c>
      <c r="M282" s="17" t="str">
        <f t="shared" si="230"/>
        <v>2:10001:50</v>
      </c>
      <c r="N282" s="16" t="str">
        <f t="shared" si="207"/>
        <v>101:1</v>
      </c>
      <c r="O282" s="17">
        <f t="shared" si="225"/>
        <v>1</v>
      </c>
      <c r="P282" s="21" t="str">
        <f>$R$1&amp;R282&amp;$Q$1&amp;T282</f>
        <v>所有步兵生命增加:1</v>
      </c>
      <c r="Q282" s="21"/>
      <c r="R282" t="str">
        <f t="shared" si="231"/>
        <v>生命</v>
      </c>
      <c r="T282" t="str">
        <f t="shared" si="232"/>
        <v>:1</v>
      </c>
      <c r="U282" t="str">
        <f t="shared" si="206"/>
        <v>步兵</v>
      </c>
      <c r="V282" t="s">
        <v>4271</v>
      </c>
      <c r="W282">
        <f>属性类型!G282</f>
        <v>101</v>
      </c>
      <c r="X282">
        <v>1</v>
      </c>
    </row>
    <row r="283" customFormat="1" ht="16.5" spans="1:24">
      <c r="A283" s="17">
        <f t="shared" si="226"/>
        <v>12004</v>
      </c>
      <c r="B283" s="17">
        <f t="shared" si="227"/>
        <v>12000</v>
      </c>
      <c r="C283" s="17" t="str">
        <f t="shared" si="221"/>
        <v>1</v>
      </c>
      <c r="D283" s="12">
        <f t="shared" si="222"/>
        <v>10003</v>
      </c>
      <c r="E283" s="17">
        <v>1</v>
      </c>
      <c r="F283" s="17">
        <f t="shared" si="223"/>
        <v>3</v>
      </c>
      <c r="G283" s="17" t="str">
        <f t="shared" si="228"/>
        <v>高级生命</v>
      </c>
      <c r="H283" s="17" t="str">
        <f t="shared" si="229"/>
        <v>icon_01</v>
      </c>
      <c r="I283" s="20">
        <v>0</v>
      </c>
      <c r="J283" s="17">
        <v>4</v>
      </c>
      <c r="K283" s="17">
        <f t="shared" si="224"/>
        <v>12005</v>
      </c>
      <c r="L283" s="17" t="s">
        <v>221</v>
      </c>
      <c r="M283" s="17" t="str">
        <f t="shared" si="230"/>
        <v>2:10001:50</v>
      </c>
      <c r="N283" s="16" t="str">
        <f t="shared" si="207"/>
        <v>101:1</v>
      </c>
      <c r="O283" s="17">
        <f t="shared" si="225"/>
        <v>1</v>
      </c>
      <c r="P283" s="21" t="str">
        <f>$R$1&amp;R283&amp;$Q$1&amp;T283</f>
        <v>所有步兵生命增加:1</v>
      </c>
      <c r="Q283" s="21"/>
      <c r="R283" t="str">
        <f t="shared" si="231"/>
        <v>生命</v>
      </c>
      <c r="T283" t="str">
        <f t="shared" si="232"/>
        <v>:1</v>
      </c>
      <c r="U283" t="str">
        <f t="shared" si="206"/>
        <v>步兵</v>
      </c>
      <c r="V283" t="s">
        <v>4271</v>
      </c>
      <c r="W283">
        <f>属性类型!G283</f>
        <v>101</v>
      </c>
      <c r="X283">
        <v>1</v>
      </c>
    </row>
    <row r="284" customFormat="1" ht="16.5" spans="1:24">
      <c r="A284" s="17">
        <f t="shared" si="226"/>
        <v>12005</v>
      </c>
      <c r="B284" s="17">
        <f t="shared" si="227"/>
        <v>12000</v>
      </c>
      <c r="C284" s="17" t="str">
        <f t="shared" si="221"/>
        <v>1</v>
      </c>
      <c r="D284" s="12">
        <f t="shared" si="222"/>
        <v>10003</v>
      </c>
      <c r="E284" s="17">
        <v>1</v>
      </c>
      <c r="F284" s="17">
        <f t="shared" si="223"/>
        <v>3</v>
      </c>
      <c r="G284" s="17" t="str">
        <f t="shared" si="228"/>
        <v>高级生命</v>
      </c>
      <c r="H284" s="17" t="str">
        <f t="shared" si="229"/>
        <v>icon_01</v>
      </c>
      <c r="I284" s="20">
        <v>0</v>
      </c>
      <c r="J284" s="17">
        <v>5</v>
      </c>
      <c r="K284" s="17">
        <f t="shared" si="224"/>
        <v>12006</v>
      </c>
      <c r="L284" s="17" t="s">
        <v>224</v>
      </c>
      <c r="M284" s="17" t="str">
        <f t="shared" si="230"/>
        <v>2:10001:50</v>
      </c>
      <c r="N284" s="16" t="str">
        <f t="shared" si="207"/>
        <v>101:1</v>
      </c>
      <c r="O284" s="17">
        <f t="shared" si="225"/>
        <v>1</v>
      </c>
      <c r="P284" s="21" t="str">
        <f>$R$1&amp;R284&amp;$Q$1&amp;T284</f>
        <v>所有步兵生命增加:1</v>
      </c>
      <c r="Q284" s="21"/>
      <c r="R284" t="str">
        <f t="shared" si="231"/>
        <v>生命</v>
      </c>
      <c r="T284" t="str">
        <f t="shared" si="232"/>
        <v>:1</v>
      </c>
      <c r="U284" t="str">
        <f t="shared" si="206"/>
        <v>步兵</v>
      </c>
      <c r="V284" t="s">
        <v>4271</v>
      </c>
      <c r="W284">
        <f>属性类型!G284</f>
        <v>101</v>
      </c>
      <c r="X284">
        <v>1</v>
      </c>
    </row>
    <row r="285" customFormat="1" ht="16.5" spans="1:24">
      <c r="A285" s="17">
        <f t="shared" si="226"/>
        <v>12006</v>
      </c>
      <c r="B285" s="17">
        <f t="shared" si="227"/>
        <v>12000</v>
      </c>
      <c r="C285" s="17" t="str">
        <f t="shared" si="221"/>
        <v>1</v>
      </c>
      <c r="D285" s="12">
        <f t="shared" si="222"/>
        <v>10003</v>
      </c>
      <c r="E285" s="17">
        <v>1</v>
      </c>
      <c r="F285" s="17">
        <f t="shared" si="223"/>
        <v>3</v>
      </c>
      <c r="G285" s="17" t="str">
        <f t="shared" si="228"/>
        <v>高级生命</v>
      </c>
      <c r="H285" s="17" t="str">
        <f t="shared" si="229"/>
        <v>icon_01</v>
      </c>
      <c r="I285" s="20">
        <v>0</v>
      </c>
      <c r="J285" s="17">
        <v>6</v>
      </c>
      <c r="K285" s="17">
        <f t="shared" si="224"/>
        <v>12007</v>
      </c>
      <c r="L285" s="17" t="s">
        <v>227</v>
      </c>
      <c r="M285" s="17" t="str">
        <f t="shared" si="230"/>
        <v>2:10001:50</v>
      </c>
      <c r="N285" s="16" t="str">
        <f t="shared" si="207"/>
        <v>101:1</v>
      </c>
      <c r="O285" s="17">
        <f t="shared" si="225"/>
        <v>1</v>
      </c>
      <c r="P285" s="21" t="str">
        <f>$R$1&amp;R285&amp;$Q$1&amp;T285</f>
        <v>所有步兵生命增加:1</v>
      </c>
      <c r="Q285" s="21"/>
      <c r="R285" t="str">
        <f t="shared" si="231"/>
        <v>生命</v>
      </c>
      <c r="T285" t="str">
        <f t="shared" si="232"/>
        <v>:1</v>
      </c>
      <c r="U285" t="str">
        <f t="shared" si="206"/>
        <v>步兵</v>
      </c>
      <c r="V285" t="s">
        <v>4271</v>
      </c>
      <c r="W285">
        <f>属性类型!G285</f>
        <v>101</v>
      </c>
      <c r="X285">
        <v>1</v>
      </c>
    </row>
    <row r="286" customFormat="1" ht="16.5" spans="1:24">
      <c r="A286" s="17">
        <f t="shared" si="226"/>
        <v>12007</v>
      </c>
      <c r="B286" s="17">
        <f t="shared" si="227"/>
        <v>12000</v>
      </c>
      <c r="C286" s="17" t="str">
        <f t="shared" si="221"/>
        <v>1</v>
      </c>
      <c r="D286" s="12">
        <f t="shared" si="222"/>
        <v>10003</v>
      </c>
      <c r="E286" s="17">
        <v>1</v>
      </c>
      <c r="F286" s="17">
        <f t="shared" si="223"/>
        <v>3</v>
      </c>
      <c r="G286" s="17" t="str">
        <f t="shared" si="228"/>
        <v>高级生命</v>
      </c>
      <c r="H286" s="17" t="str">
        <f t="shared" si="229"/>
        <v>icon_01</v>
      </c>
      <c r="I286" s="20">
        <v>0</v>
      </c>
      <c r="J286" s="17">
        <v>7</v>
      </c>
      <c r="K286" s="17">
        <f t="shared" si="224"/>
        <v>12008</v>
      </c>
      <c r="L286" s="17" t="s">
        <v>230</v>
      </c>
      <c r="M286" s="17" t="str">
        <f t="shared" si="230"/>
        <v>2:10001:50</v>
      </c>
      <c r="N286" s="16" t="str">
        <f t="shared" si="207"/>
        <v>101:1</v>
      </c>
      <c r="O286" s="17">
        <f t="shared" si="225"/>
        <v>1</v>
      </c>
      <c r="P286" s="21" t="str">
        <f>$R$1&amp;R286&amp;$Q$1&amp;T286</f>
        <v>所有步兵生命增加:1</v>
      </c>
      <c r="Q286" s="21"/>
      <c r="R286" t="str">
        <f t="shared" si="231"/>
        <v>生命</v>
      </c>
      <c r="T286" t="str">
        <f t="shared" si="232"/>
        <v>:1</v>
      </c>
      <c r="U286" t="str">
        <f t="shared" si="206"/>
        <v>步兵</v>
      </c>
      <c r="V286" t="s">
        <v>4271</v>
      </c>
      <c r="W286">
        <f>属性类型!G286</f>
        <v>101</v>
      </c>
      <c r="X286">
        <v>1</v>
      </c>
    </row>
    <row r="287" customFormat="1" ht="16.5" spans="1:24">
      <c r="A287" s="17">
        <f t="shared" si="226"/>
        <v>12008</v>
      </c>
      <c r="B287" s="17">
        <f t="shared" si="227"/>
        <v>12000</v>
      </c>
      <c r="C287" s="17" t="str">
        <f t="shared" si="221"/>
        <v>1</v>
      </c>
      <c r="D287" s="12">
        <f t="shared" si="222"/>
        <v>10003</v>
      </c>
      <c r="E287" s="17">
        <v>1</v>
      </c>
      <c r="F287" s="17">
        <f t="shared" si="223"/>
        <v>3</v>
      </c>
      <c r="G287" s="17" t="str">
        <f t="shared" si="228"/>
        <v>高级生命</v>
      </c>
      <c r="H287" s="17" t="str">
        <f t="shared" si="229"/>
        <v>icon_01</v>
      </c>
      <c r="I287" s="20">
        <v>0</v>
      </c>
      <c r="J287" s="17">
        <v>8</v>
      </c>
      <c r="K287" s="17">
        <f t="shared" si="224"/>
        <v>12009</v>
      </c>
      <c r="L287" s="17" t="s">
        <v>233</v>
      </c>
      <c r="M287" s="17" t="str">
        <f t="shared" si="230"/>
        <v>2:10001:50</v>
      </c>
      <c r="N287" s="16" t="str">
        <f t="shared" si="207"/>
        <v>101:1</v>
      </c>
      <c r="O287" s="17">
        <f t="shared" si="225"/>
        <v>1</v>
      </c>
      <c r="P287" s="21" t="str">
        <f>$R$1&amp;R287&amp;$Q$1&amp;T287</f>
        <v>所有步兵生命增加:1</v>
      </c>
      <c r="Q287" s="21"/>
      <c r="R287" t="str">
        <f t="shared" si="231"/>
        <v>生命</v>
      </c>
      <c r="T287" t="str">
        <f t="shared" si="232"/>
        <v>:1</v>
      </c>
      <c r="U287" t="str">
        <f t="shared" si="206"/>
        <v>步兵</v>
      </c>
      <c r="V287" t="s">
        <v>4271</v>
      </c>
      <c r="W287">
        <f>属性类型!G287</f>
        <v>101</v>
      </c>
      <c r="X287">
        <v>1</v>
      </c>
    </row>
    <row r="288" customFormat="1" ht="16.5" spans="1:24">
      <c r="A288" s="17">
        <f t="shared" si="226"/>
        <v>12009</v>
      </c>
      <c r="B288" s="17">
        <f t="shared" si="227"/>
        <v>12000</v>
      </c>
      <c r="C288" s="17" t="str">
        <f t="shared" si="221"/>
        <v>1</v>
      </c>
      <c r="D288" s="12">
        <f t="shared" si="222"/>
        <v>10003</v>
      </c>
      <c r="E288" s="17">
        <v>1</v>
      </c>
      <c r="F288" s="17">
        <f t="shared" si="223"/>
        <v>3</v>
      </c>
      <c r="G288" s="17" t="str">
        <f t="shared" si="228"/>
        <v>高级生命</v>
      </c>
      <c r="H288" s="17" t="str">
        <f t="shared" si="229"/>
        <v>icon_01</v>
      </c>
      <c r="I288" s="20">
        <v>0</v>
      </c>
      <c r="J288" s="17">
        <v>9</v>
      </c>
      <c r="K288" s="17">
        <f t="shared" si="224"/>
        <v>12010</v>
      </c>
      <c r="L288" s="17" t="s">
        <v>236</v>
      </c>
      <c r="M288" s="17" t="str">
        <f t="shared" si="230"/>
        <v>2:10001:50</v>
      </c>
      <c r="N288" s="16" t="str">
        <f t="shared" si="207"/>
        <v>101:1</v>
      </c>
      <c r="O288" s="17">
        <f t="shared" si="225"/>
        <v>1</v>
      </c>
      <c r="P288" s="21" t="str">
        <f>$R$1&amp;R288&amp;$Q$1&amp;T288</f>
        <v>所有步兵生命增加:1</v>
      </c>
      <c r="Q288" s="21"/>
      <c r="R288" t="str">
        <f t="shared" si="231"/>
        <v>生命</v>
      </c>
      <c r="T288" t="str">
        <f t="shared" si="232"/>
        <v>:1</v>
      </c>
      <c r="U288" t="str">
        <f t="shared" si="206"/>
        <v>步兵</v>
      </c>
      <c r="V288" t="s">
        <v>4271</v>
      </c>
      <c r="W288">
        <f>属性类型!G288</f>
        <v>101</v>
      </c>
      <c r="X288">
        <v>1</v>
      </c>
    </row>
    <row r="289" customFormat="1" ht="16.5" spans="1:24">
      <c r="A289" s="17">
        <f t="shared" si="226"/>
        <v>12010</v>
      </c>
      <c r="B289" s="17">
        <f t="shared" si="227"/>
        <v>12000</v>
      </c>
      <c r="C289" s="17" t="str">
        <f t="shared" si="221"/>
        <v>1</v>
      </c>
      <c r="D289" s="12">
        <f t="shared" si="222"/>
        <v>10003</v>
      </c>
      <c r="E289" s="17">
        <v>1</v>
      </c>
      <c r="F289" s="17">
        <f t="shared" si="223"/>
        <v>3</v>
      </c>
      <c r="G289" s="17" t="str">
        <f t="shared" ref="G289:G295" si="233">G288</f>
        <v>高级生命</v>
      </c>
      <c r="H289" s="17" t="str">
        <f t="shared" ref="H289:H295" si="234">H288</f>
        <v>icon_01</v>
      </c>
      <c r="I289" s="20">
        <v>0</v>
      </c>
      <c r="J289" s="17">
        <v>10</v>
      </c>
      <c r="K289" s="17">
        <f t="shared" si="224"/>
        <v>12011</v>
      </c>
      <c r="L289" s="17" t="s">
        <v>238</v>
      </c>
      <c r="M289" s="17" t="str">
        <f t="shared" ref="M289:M295" si="235">M288</f>
        <v>2:10001:50</v>
      </c>
      <c r="N289" s="16" t="str">
        <f t="shared" si="207"/>
        <v>101:1</v>
      </c>
      <c r="O289" s="17">
        <f t="shared" si="225"/>
        <v>1</v>
      </c>
      <c r="P289" s="21" t="str">
        <f>$R$1&amp;R289&amp;$Q$1&amp;T289</f>
        <v>所有步兵生命增加:1</v>
      </c>
      <c r="Q289" s="21"/>
      <c r="R289" t="str">
        <f t="shared" si="231"/>
        <v>生命</v>
      </c>
      <c r="T289" t="str">
        <f t="shared" si="232"/>
        <v>:1</v>
      </c>
      <c r="U289" t="str">
        <f t="shared" si="206"/>
        <v>步兵</v>
      </c>
      <c r="V289" t="s">
        <v>4271</v>
      </c>
      <c r="W289">
        <f>属性类型!G289</f>
        <v>101</v>
      </c>
      <c r="X289">
        <v>1</v>
      </c>
    </row>
    <row r="290" customFormat="1" ht="16.5" spans="1:24">
      <c r="A290" s="17">
        <f t="shared" si="226"/>
        <v>12011</v>
      </c>
      <c r="B290" s="17">
        <f t="shared" si="227"/>
        <v>12000</v>
      </c>
      <c r="C290" s="17" t="str">
        <f t="shared" si="221"/>
        <v>1</v>
      </c>
      <c r="D290" s="12">
        <f t="shared" si="222"/>
        <v>10003</v>
      </c>
      <c r="E290" s="17">
        <v>1</v>
      </c>
      <c r="F290" s="17">
        <f t="shared" si="223"/>
        <v>3</v>
      </c>
      <c r="G290" s="17" t="str">
        <f t="shared" si="233"/>
        <v>高级生命</v>
      </c>
      <c r="H290" s="17" t="str">
        <f t="shared" si="234"/>
        <v>icon_01</v>
      </c>
      <c r="I290" s="20">
        <v>0</v>
      </c>
      <c r="J290" s="17">
        <v>11</v>
      </c>
      <c r="K290" s="17">
        <f t="shared" si="224"/>
        <v>12012</v>
      </c>
      <c r="L290" s="17" t="s">
        <v>529</v>
      </c>
      <c r="M290" s="17" t="str">
        <f t="shared" si="235"/>
        <v>2:10001:50</v>
      </c>
      <c r="N290" s="16" t="str">
        <f t="shared" si="207"/>
        <v>101:1</v>
      </c>
      <c r="O290" s="17">
        <f t="shared" si="225"/>
        <v>1</v>
      </c>
      <c r="P290" s="21" t="str">
        <f>$R$1&amp;R290&amp;$Q$1&amp;T290</f>
        <v>所有步兵生命增加:1</v>
      </c>
      <c r="Q290" s="21"/>
      <c r="R290" t="str">
        <f t="shared" si="231"/>
        <v>生命</v>
      </c>
      <c r="T290" t="str">
        <f t="shared" si="232"/>
        <v>:1</v>
      </c>
      <c r="U290" t="str">
        <f t="shared" si="206"/>
        <v>步兵</v>
      </c>
      <c r="V290" t="s">
        <v>4271</v>
      </c>
      <c r="W290">
        <f>属性类型!G290</f>
        <v>101</v>
      </c>
      <c r="X290">
        <v>1</v>
      </c>
    </row>
    <row r="291" customFormat="1" ht="16.5" spans="1:24">
      <c r="A291" s="17">
        <f t="shared" si="226"/>
        <v>12012</v>
      </c>
      <c r="B291" s="17">
        <f t="shared" si="227"/>
        <v>12000</v>
      </c>
      <c r="C291" s="17" t="str">
        <f t="shared" si="221"/>
        <v>1</v>
      </c>
      <c r="D291" s="12">
        <f t="shared" si="222"/>
        <v>10003</v>
      </c>
      <c r="E291" s="17">
        <v>1</v>
      </c>
      <c r="F291" s="17">
        <f t="shared" si="223"/>
        <v>3</v>
      </c>
      <c r="G291" s="17" t="str">
        <f t="shared" si="233"/>
        <v>高级生命</v>
      </c>
      <c r="H291" s="17" t="str">
        <f t="shared" si="234"/>
        <v>icon_01</v>
      </c>
      <c r="I291" s="20">
        <v>0</v>
      </c>
      <c r="J291" s="17">
        <v>12</v>
      </c>
      <c r="K291" s="17">
        <f t="shared" si="224"/>
        <v>12013</v>
      </c>
      <c r="L291" s="17" t="s">
        <v>532</v>
      </c>
      <c r="M291" s="17" t="str">
        <f t="shared" si="235"/>
        <v>2:10001:50</v>
      </c>
      <c r="N291" s="16" t="str">
        <f t="shared" si="207"/>
        <v>101:1</v>
      </c>
      <c r="O291" s="17">
        <f t="shared" si="225"/>
        <v>1</v>
      </c>
      <c r="P291" s="21" t="str">
        <f>$R$1&amp;R291&amp;$Q$1&amp;T291</f>
        <v>所有步兵生命增加:1</v>
      </c>
      <c r="Q291" s="21"/>
      <c r="R291" t="str">
        <f t="shared" si="231"/>
        <v>生命</v>
      </c>
      <c r="T291" t="str">
        <f t="shared" si="232"/>
        <v>:1</v>
      </c>
      <c r="U291" t="str">
        <f t="shared" si="206"/>
        <v>步兵</v>
      </c>
      <c r="V291" t="s">
        <v>4271</v>
      </c>
      <c r="W291">
        <f>属性类型!G291</f>
        <v>101</v>
      </c>
      <c r="X291">
        <v>1</v>
      </c>
    </row>
    <row r="292" customFormat="1" ht="16.5" spans="1:24">
      <c r="A292" s="17">
        <f t="shared" si="226"/>
        <v>12013</v>
      </c>
      <c r="B292" s="17">
        <f t="shared" si="227"/>
        <v>12000</v>
      </c>
      <c r="C292" s="17" t="str">
        <f t="shared" si="221"/>
        <v>1</v>
      </c>
      <c r="D292" s="12">
        <f t="shared" si="222"/>
        <v>10003</v>
      </c>
      <c r="E292" s="17">
        <v>1</v>
      </c>
      <c r="F292" s="17">
        <f t="shared" si="223"/>
        <v>3</v>
      </c>
      <c r="G292" s="17" t="str">
        <f t="shared" si="233"/>
        <v>高级生命</v>
      </c>
      <c r="H292" s="17" t="str">
        <f t="shared" si="234"/>
        <v>icon_01</v>
      </c>
      <c r="I292" s="20">
        <v>0</v>
      </c>
      <c r="J292" s="17">
        <v>13</v>
      </c>
      <c r="K292" s="17">
        <f t="shared" si="224"/>
        <v>12014</v>
      </c>
      <c r="L292" s="17" t="s">
        <v>535</v>
      </c>
      <c r="M292" s="17" t="str">
        <f t="shared" si="235"/>
        <v>2:10001:50</v>
      </c>
      <c r="N292" s="16" t="str">
        <f t="shared" si="207"/>
        <v>101:1</v>
      </c>
      <c r="O292" s="17">
        <f t="shared" si="225"/>
        <v>1</v>
      </c>
      <c r="P292" s="21" t="str">
        <f>$R$1&amp;R292&amp;$Q$1&amp;T292</f>
        <v>所有步兵生命增加:1</v>
      </c>
      <c r="Q292" s="21"/>
      <c r="R292" t="str">
        <f t="shared" si="231"/>
        <v>生命</v>
      </c>
      <c r="T292" t="str">
        <f t="shared" si="232"/>
        <v>:1</v>
      </c>
      <c r="U292" t="str">
        <f t="shared" si="206"/>
        <v>步兵</v>
      </c>
      <c r="V292" t="s">
        <v>4271</v>
      </c>
      <c r="W292">
        <f>属性类型!G292</f>
        <v>101</v>
      </c>
      <c r="X292">
        <v>1</v>
      </c>
    </row>
    <row r="293" customFormat="1" ht="16.5" spans="1:24">
      <c r="A293" s="17">
        <f t="shared" si="226"/>
        <v>12014</v>
      </c>
      <c r="B293" s="17">
        <f t="shared" si="227"/>
        <v>12000</v>
      </c>
      <c r="C293" s="17" t="str">
        <f t="shared" si="221"/>
        <v>1</v>
      </c>
      <c r="D293" s="12">
        <f t="shared" si="222"/>
        <v>10003</v>
      </c>
      <c r="E293" s="17">
        <v>1</v>
      </c>
      <c r="F293" s="17">
        <f t="shared" si="223"/>
        <v>3</v>
      </c>
      <c r="G293" s="17" t="str">
        <f t="shared" si="233"/>
        <v>高级生命</v>
      </c>
      <c r="H293" s="17" t="str">
        <f t="shared" si="234"/>
        <v>icon_01</v>
      </c>
      <c r="I293" s="20">
        <v>0</v>
      </c>
      <c r="J293" s="17">
        <v>14</v>
      </c>
      <c r="K293" s="17">
        <f t="shared" si="224"/>
        <v>12015</v>
      </c>
      <c r="L293" s="17" t="s">
        <v>538</v>
      </c>
      <c r="M293" s="17" t="str">
        <f t="shared" si="235"/>
        <v>2:10001:50</v>
      </c>
      <c r="N293" s="16" t="str">
        <f t="shared" si="207"/>
        <v>101:1</v>
      </c>
      <c r="O293" s="17">
        <f t="shared" si="225"/>
        <v>1</v>
      </c>
      <c r="P293" s="21" t="str">
        <f>$R$1&amp;R293&amp;$Q$1&amp;T293</f>
        <v>所有步兵生命增加:1</v>
      </c>
      <c r="Q293" s="21"/>
      <c r="R293" t="str">
        <f t="shared" si="231"/>
        <v>生命</v>
      </c>
      <c r="T293" t="str">
        <f t="shared" si="232"/>
        <v>:1</v>
      </c>
      <c r="U293" t="str">
        <f t="shared" si="206"/>
        <v>步兵</v>
      </c>
      <c r="V293" t="s">
        <v>4271</v>
      </c>
      <c r="W293">
        <f>属性类型!G293</f>
        <v>101</v>
      </c>
      <c r="X293">
        <v>1</v>
      </c>
    </row>
    <row r="294" customFormat="1" ht="16.5" spans="1:24">
      <c r="A294" s="17">
        <f t="shared" si="226"/>
        <v>12015</v>
      </c>
      <c r="B294" s="17">
        <f t="shared" si="227"/>
        <v>12000</v>
      </c>
      <c r="C294" s="17" t="str">
        <f t="shared" si="221"/>
        <v>1</v>
      </c>
      <c r="D294" s="12">
        <f t="shared" si="222"/>
        <v>10003</v>
      </c>
      <c r="E294" s="17">
        <v>1</v>
      </c>
      <c r="F294" s="17">
        <f t="shared" si="223"/>
        <v>3</v>
      </c>
      <c r="G294" s="17" t="str">
        <f t="shared" si="233"/>
        <v>高级生命</v>
      </c>
      <c r="H294" s="17" t="str">
        <f t="shared" si="234"/>
        <v>icon_01</v>
      </c>
      <c r="I294" s="20">
        <v>0</v>
      </c>
      <c r="J294" s="17">
        <v>15</v>
      </c>
      <c r="K294" s="17">
        <v>0</v>
      </c>
      <c r="L294" s="17" t="s">
        <v>540</v>
      </c>
      <c r="M294" s="17" t="str">
        <f t="shared" si="235"/>
        <v>2:10001:50</v>
      </c>
      <c r="N294" s="16" t="str">
        <f t="shared" si="207"/>
        <v>101:1</v>
      </c>
      <c r="O294" s="17">
        <f t="shared" si="225"/>
        <v>1</v>
      </c>
      <c r="P294" s="21" t="str">
        <f>$R$1&amp;R294&amp;$Q$1&amp;T294</f>
        <v>所有步兵生命增加:1</v>
      </c>
      <c r="Q294" s="21"/>
      <c r="R294" t="str">
        <f t="shared" si="231"/>
        <v>生命</v>
      </c>
      <c r="T294" t="str">
        <f t="shared" si="232"/>
        <v>:1</v>
      </c>
      <c r="U294" t="str">
        <f t="shared" si="206"/>
        <v>步兵</v>
      </c>
      <c r="V294" t="s">
        <v>4271</v>
      </c>
      <c r="W294">
        <f>属性类型!G294</f>
        <v>101</v>
      </c>
      <c r="X294">
        <v>1</v>
      </c>
    </row>
    <row r="295" customFormat="1" ht="16.5" spans="1:24">
      <c r="A295" s="18">
        <f>A279+100</f>
        <v>12100</v>
      </c>
      <c r="B295" s="18">
        <f t="shared" ref="B295:B310" si="236">ROUND(A295,-2)</f>
        <v>12100</v>
      </c>
      <c r="C295" s="18" t="str">
        <f t="shared" ref="C295:C310" si="237">LEFT(A295,1)</f>
        <v>1</v>
      </c>
      <c r="D295" s="12">
        <f t="shared" si="222"/>
        <v>10003</v>
      </c>
      <c r="E295" s="17">
        <v>1</v>
      </c>
      <c r="F295" s="18">
        <f t="shared" ref="F295:F310" si="238">MID(B295,2,1)+1</f>
        <v>3</v>
      </c>
      <c r="G295" s="18" t="s">
        <v>543</v>
      </c>
      <c r="H295" s="18" t="s">
        <v>63</v>
      </c>
      <c r="I295" s="20">
        <v>0</v>
      </c>
      <c r="J295" s="18">
        <v>0</v>
      </c>
      <c r="K295" s="18">
        <f t="shared" ref="K295:K309" si="239">A296</f>
        <v>12101</v>
      </c>
      <c r="L295" s="18" t="s">
        <v>206</v>
      </c>
      <c r="M295" s="18" t="s">
        <v>545</v>
      </c>
      <c r="N295" s="16" t="str">
        <f t="shared" si="207"/>
        <v>103:1</v>
      </c>
      <c r="O295" s="18">
        <f t="shared" ref="O295:O310" si="240">MID(A295,3,1)+1</f>
        <v>2</v>
      </c>
      <c r="P295" s="21" t="str">
        <f>$R$1&amp;R295&amp;$Q$1&amp;T295</f>
        <v>所有步兵防御增加1</v>
      </c>
      <c r="Q295" s="21"/>
      <c r="R295" t="s">
        <v>4272</v>
      </c>
      <c r="T295" t="str">
        <f>RIGHT(N295,1)</f>
        <v>1</v>
      </c>
      <c r="U295" t="str">
        <f t="shared" si="206"/>
        <v>步兵</v>
      </c>
      <c r="V295" t="s">
        <v>4273</v>
      </c>
      <c r="W295">
        <f>属性类型!G295</f>
        <v>103</v>
      </c>
      <c r="X295">
        <v>1</v>
      </c>
    </row>
    <row r="296" customFormat="1" ht="16.5" spans="1:24">
      <c r="A296" s="17">
        <f t="shared" ref="A296:A310" si="241">A295+1</f>
        <v>12101</v>
      </c>
      <c r="B296" s="17">
        <f t="shared" si="236"/>
        <v>12100</v>
      </c>
      <c r="C296" s="17" t="str">
        <f t="shared" si="237"/>
        <v>1</v>
      </c>
      <c r="D296" s="12">
        <f t="shared" si="222"/>
        <v>10003</v>
      </c>
      <c r="E296" s="17">
        <v>1</v>
      </c>
      <c r="F296" s="17">
        <f t="shared" si="238"/>
        <v>3</v>
      </c>
      <c r="G296" s="17" t="str">
        <f t="shared" ref="G296:G310" si="242">G295</f>
        <v>高级防御</v>
      </c>
      <c r="H296" s="17" t="str">
        <f t="shared" ref="H296:H310" si="243">H295</f>
        <v>icon_02</v>
      </c>
      <c r="I296" s="20">
        <v>0</v>
      </c>
      <c r="J296" s="17">
        <v>1</v>
      </c>
      <c r="K296" s="17">
        <f t="shared" si="239"/>
        <v>12102</v>
      </c>
      <c r="L296" s="17" t="s">
        <v>211</v>
      </c>
      <c r="M296" s="17" t="str">
        <f t="shared" ref="M296:M310" si="244">M295</f>
        <v>1:12000:5</v>
      </c>
      <c r="N296" s="16" t="str">
        <f t="shared" si="207"/>
        <v>103:1</v>
      </c>
      <c r="O296" s="17">
        <f t="shared" si="240"/>
        <v>2</v>
      </c>
      <c r="P296" s="21" t="str">
        <f>$R$1&amp;R296&amp;$Q$1&amp;T296</f>
        <v>所有步兵防御增加:1</v>
      </c>
      <c r="Q296" s="21"/>
      <c r="R296" t="str">
        <f t="shared" ref="R295:R312" si="245">R295</f>
        <v>防御</v>
      </c>
      <c r="T296" t="str">
        <f t="shared" ref="T295:T320" si="246">RIGHT(N296,2)</f>
        <v>:1</v>
      </c>
      <c r="U296" t="str">
        <f t="shared" si="206"/>
        <v>步兵</v>
      </c>
      <c r="V296" t="s">
        <v>4273</v>
      </c>
      <c r="W296">
        <f>属性类型!G296</f>
        <v>103</v>
      </c>
      <c r="X296">
        <v>1</v>
      </c>
    </row>
    <row r="297" customFormat="1" ht="16.5" spans="1:24">
      <c r="A297" s="17">
        <f t="shared" si="241"/>
        <v>12102</v>
      </c>
      <c r="B297" s="17">
        <f t="shared" si="236"/>
        <v>12100</v>
      </c>
      <c r="C297" s="17" t="str">
        <f t="shared" si="237"/>
        <v>1</v>
      </c>
      <c r="D297" s="12">
        <f t="shared" si="222"/>
        <v>10003</v>
      </c>
      <c r="E297" s="17">
        <v>1</v>
      </c>
      <c r="F297" s="17">
        <f t="shared" si="238"/>
        <v>3</v>
      </c>
      <c r="G297" s="17" t="str">
        <f t="shared" si="242"/>
        <v>高级防御</v>
      </c>
      <c r="H297" s="17" t="str">
        <f t="shared" si="243"/>
        <v>icon_02</v>
      </c>
      <c r="I297" s="20">
        <v>0</v>
      </c>
      <c r="J297" s="17">
        <v>2</v>
      </c>
      <c r="K297" s="17">
        <f t="shared" si="239"/>
        <v>12103</v>
      </c>
      <c r="L297" s="17" t="s">
        <v>215</v>
      </c>
      <c r="M297" s="17" t="str">
        <f t="shared" si="244"/>
        <v>1:12000:5</v>
      </c>
      <c r="N297" s="16" t="str">
        <f t="shared" si="207"/>
        <v>103:1</v>
      </c>
      <c r="O297" s="17">
        <f t="shared" si="240"/>
        <v>2</v>
      </c>
      <c r="P297" s="21" t="str">
        <f>$R$1&amp;R297&amp;$Q$1&amp;T297</f>
        <v>所有步兵防御增加:1</v>
      </c>
      <c r="Q297" s="21"/>
      <c r="R297" t="str">
        <f t="shared" si="245"/>
        <v>防御</v>
      </c>
      <c r="T297" t="str">
        <f t="shared" si="246"/>
        <v>:1</v>
      </c>
      <c r="U297" t="str">
        <f t="shared" si="206"/>
        <v>步兵</v>
      </c>
      <c r="V297" t="s">
        <v>4273</v>
      </c>
      <c r="W297">
        <f>属性类型!G297</f>
        <v>103</v>
      </c>
      <c r="X297">
        <v>1</v>
      </c>
    </row>
    <row r="298" customFormat="1" ht="16.5" spans="1:24">
      <c r="A298" s="17">
        <f t="shared" si="241"/>
        <v>12103</v>
      </c>
      <c r="B298" s="17">
        <f t="shared" si="236"/>
        <v>12100</v>
      </c>
      <c r="C298" s="17" t="str">
        <f t="shared" si="237"/>
        <v>1</v>
      </c>
      <c r="D298" s="12">
        <f t="shared" si="222"/>
        <v>10003</v>
      </c>
      <c r="E298" s="17">
        <v>1</v>
      </c>
      <c r="F298" s="17">
        <f t="shared" si="238"/>
        <v>3</v>
      </c>
      <c r="G298" s="17" t="str">
        <f t="shared" si="242"/>
        <v>高级防御</v>
      </c>
      <c r="H298" s="17" t="str">
        <f t="shared" si="243"/>
        <v>icon_02</v>
      </c>
      <c r="I298" s="20">
        <v>0</v>
      </c>
      <c r="J298" s="17">
        <v>3</v>
      </c>
      <c r="K298" s="17">
        <f t="shared" si="239"/>
        <v>12104</v>
      </c>
      <c r="L298" s="17" t="s">
        <v>218</v>
      </c>
      <c r="M298" s="17" t="str">
        <f t="shared" si="244"/>
        <v>1:12000:5</v>
      </c>
      <c r="N298" s="16" t="str">
        <f t="shared" si="207"/>
        <v>103:1</v>
      </c>
      <c r="O298" s="17">
        <f t="shared" si="240"/>
        <v>2</v>
      </c>
      <c r="P298" s="21" t="str">
        <f>$R$1&amp;R298&amp;$Q$1&amp;T298</f>
        <v>所有步兵防御增加:1</v>
      </c>
      <c r="Q298" s="21"/>
      <c r="R298" t="str">
        <f t="shared" si="245"/>
        <v>防御</v>
      </c>
      <c r="T298" t="str">
        <f t="shared" si="246"/>
        <v>:1</v>
      </c>
      <c r="U298" t="str">
        <f t="shared" si="206"/>
        <v>步兵</v>
      </c>
      <c r="V298" t="s">
        <v>4273</v>
      </c>
      <c r="W298">
        <f>属性类型!G298</f>
        <v>103</v>
      </c>
      <c r="X298">
        <v>1</v>
      </c>
    </row>
    <row r="299" customFormat="1" ht="16.5" spans="1:24">
      <c r="A299" s="17">
        <f t="shared" si="241"/>
        <v>12104</v>
      </c>
      <c r="B299" s="17">
        <f t="shared" si="236"/>
        <v>12100</v>
      </c>
      <c r="C299" s="17" t="str">
        <f t="shared" si="237"/>
        <v>1</v>
      </c>
      <c r="D299" s="12">
        <f t="shared" si="222"/>
        <v>10003</v>
      </c>
      <c r="E299" s="17">
        <v>1</v>
      </c>
      <c r="F299" s="17">
        <f t="shared" si="238"/>
        <v>3</v>
      </c>
      <c r="G299" s="17" t="str">
        <f t="shared" si="242"/>
        <v>高级防御</v>
      </c>
      <c r="H299" s="17" t="str">
        <f t="shared" si="243"/>
        <v>icon_02</v>
      </c>
      <c r="I299" s="20">
        <v>0</v>
      </c>
      <c r="J299" s="17">
        <v>4</v>
      </c>
      <c r="K299" s="17">
        <f t="shared" si="239"/>
        <v>12105</v>
      </c>
      <c r="L299" s="17" t="s">
        <v>221</v>
      </c>
      <c r="M299" s="17" t="str">
        <f t="shared" si="244"/>
        <v>1:12000:5</v>
      </c>
      <c r="N299" s="16" t="str">
        <f t="shared" si="207"/>
        <v>103:1</v>
      </c>
      <c r="O299" s="17">
        <f t="shared" si="240"/>
        <v>2</v>
      </c>
      <c r="P299" s="21" t="str">
        <f>$R$1&amp;R299&amp;$Q$1&amp;T299</f>
        <v>所有步兵防御增加:1</v>
      </c>
      <c r="Q299" s="21"/>
      <c r="R299" t="str">
        <f t="shared" si="245"/>
        <v>防御</v>
      </c>
      <c r="T299" t="str">
        <f t="shared" si="246"/>
        <v>:1</v>
      </c>
      <c r="U299" t="str">
        <f t="shared" si="206"/>
        <v>步兵</v>
      </c>
      <c r="V299" t="s">
        <v>4273</v>
      </c>
      <c r="W299">
        <f>属性类型!G299</f>
        <v>103</v>
      </c>
      <c r="X299">
        <v>1</v>
      </c>
    </row>
    <row r="300" customFormat="1" ht="16.5" spans="1:24">
      <c r="A300" s="17">
        <f t="shared" si="241"/>
        <v>12105</v>
      </c>
      <c r="B300" s="17">
        <f t="shared" si="236"/>
        <v>12100</v>
      </c>
      <c r="C300" s="17" t="str">
        <f t="shared" si="237"/>
        <v>1</v>
      </c>
      <c r="D300" s="12">
        <f t="shared" si="222"/>
        <v>10003</v>
      </c>
      <c r="E300" s="17">
        <v>1</v>
      </c>
      <c r="F300" s="17">
        <f t="shared" si="238"/>
        <v>3</v>
      </c>
      <c r="G300" s="17" t="str">
        <f t="shared" si="242"/>
        <v>高级防御</v>
      </c>
      <c r="H300" s="17" t="str">
        <f t="shared" si="243"/>
        <v>icon_02</v>
      </c>
      <c r="I300" s="20">
        <v>0</v>
      </c>
      <c r="J300" s="17">
        <v>5</v>
      </c>
      <c r="K300" s="17">
        <f t="shared" si="239"/>
        <v>12106</v>
      </c>
      <c r="L300" s="17" t="s">
        <v>224</v>
      </c>
      <c r="M300" s="17" t="str">
        <f t="shared" si="244"/>
        <v>1:12000:5</v>
      </c>
      <c r="N300" s="16" t="str">
        <f t="shared" si="207"/>
        <v>103:1</v>
      </c>
      <c r="O300" s="17">
        <f t="shared" si="240"/>
        <v>2</v>
      </c>
      <c r="P300" s="21" t="str">
        <f>$R$1&amp;R300&amp;$Q$1&amp;T300</f>
        <v>所有步兵防御增加:1</v>
      </c>
      <c r="Q300" s="21"/>
      <c r="R300" t="str">
        <f t="shared" si="245"/>
        <v>防御</v>
      </c>
      <c r="T300" t="str">
        <f t="shared" si="246"/>
        <v>:1</v>
      </c>
      <c r="U300" t="str">
        <f t="shared" si="206"/>
        <v>步兵</v>
      </c>
      <c r="V300" t="s">
        <v>4273</v>
      </c>
      <c r="W300">
        <f>属性类型!G300</f>
        <v>103</v>
      </c>
      <c r="X300">
        <v>1</v>
      </c>
    </row>
    <row r="301" customFormat="1" ht="16.5" spans="1:24">
      <c r="A301" s="17">
        <f t="shared" si="241"/>
        <v>12106</v>
      </c>
      <c r="B301" s="17">
        <f t="shared" si="236"/>
        <v>12100</v>
      </c>
      <c r="C301" s="17" t="str">
        <f t="shared" si="237"/>
        <v>1</v>
      </c>
      <c r="D301" s="12">
        <f t="shared" si="222"/>
        <v>10003</v>
      </c>
      <c r="E301" s="17">
        <v>1</v>
      </c>
      <c r="F301" s="17">
        <f t="shared" si="238"/>
        <v>3</v>
      </c>
      <c r="G301" s="17" t="str">
        <f t="shared" si="242"/>
        <v>高级防御</v>
      </c>
      <c r="H301" s="17" t="str">
        <f t="shared" si="243"/>
        <v>icon_02</v>
      </c>
      <c r="I301" s="20">
        <v>0</v>
      </c>
      <c r="J301" s="17">
        <v>6</v>
      </c>
      <c r="K301" s="17">
        <f t="shared" si="239"/>
        <v>12107</v>
      </c>
      <c r="L301" s="17" t="s">
        <v>227</v>
      </c>
      <c r="M301" s="17" t="str">
        <f t="shared" si="244"/>
        <v>1:12000:5</v>
      </c>
      <c r="N301" s="16" t="str">
        <f t="shared" si="207"/>
        <v>103:1</v>
      </c>
      <c r="O301" s="17">
        <f t="shared" si="240"/>
        <v>2</v>
      </c>
      <c r="P301" s="21" t="str">
        <f>$R$1&amp;R301&amp;$Q$1&amp;T301</f>
        <v>所有步兵防御增加:1</v>
      </c>
      <c r="Q301" s="21"/>
      <c r="R301" t="str">
        <f t="shared" si="245"/>
        <v>防御</v>
      </c>
      <c r="T301" t="str">
        <f t="shared" si="246"/>
        <v>:1</v>
      </c>
      <c r="U301" t="str">
        <f t="shared" si="206"/>
        <v>步兵</v>
      </c>
      <c r="V301" t="s">
        <v>4273</v>
      </c>
      <c r="W301">
        <f>属性类型!G301</f>
        <v>103</v>
      </c>
      <c r="X301">
        <v>1</v>
      </c>
    </row>
    <row r="302" customFormat="1" ht="16.5" spans="1:24">
      <c r="A302" s="17">
        <f t="shared" si="241"/>
        <v>12107</v>
      </c>
      <c r="B302" s="17">
        <f t="shared" si="236"/>
        <v>12100</v>
      </c>
      <c r="C302" s="17" t="str">
        <f t="shared" si="237"/>
        <v>1</v>
      </c>
      <c r="D302" s="12">
        <f t="shared" si="222"/>
        <v>10003</v>
      </c>
      <c r="E302" s="17">
        <v>1</v>
      </c>
      <c r="F302" s="17">
        <f t="shared" si="238"/>
        <v>3</v>
      </c>
      <c r="G302" s="17" t="str">
        <f t="shared" si="242"/>
        <v>高级防御</v>
      </c>
      <c r="H302" s="17" t="str">
        <f t="shared" si="243"/>
        <v>icon_02</v>
      </c>
      <c r="I302" s="20">
        <v>0</v>
      </c>
      <c r="J302" s="17">
        <v>7</v>
      </c>
      <c r="K302" s="17">
        <f t="shared" si="239"/>
        <v>12108</v>
      </c>
      <c r="L302" s="17" t="s">
        <v>230</v>
      </c>
      <c r="M302" s="17" t="str">
        <f t="shared" si="244"/>
        <v>1:12000:5</v>
      </c>
      <c r="N302" s="16" t="str">
        <f t="shared" si="207"/>
        <v>103:1</v>
      </c>
      <c r="O302" s="17">
        <f t="shared" si="240"/>
        <v>2</v>
      </c>
      <c r="P302" s="21" t="str">
        <f>$R$1&amp;R302&amp;$Q$1&amp;T302</f>
        <v>所有步兵防御增加:1</v>
      </c>
      <c r="Q302" s="21"/>
      <c r="R302" t="str">
        <f t="shared" si="245"/>
        <v>防御</v>
      </c>
      <c r="T302" t="str">
        <f t="shared" si="246"/>
        <v>:1</v>
      </c>
      <c r="U302" t="str">
        <f t="shared" si="206"/>
        <v>步兵</v>
      </c>
      <c r="V302" t="s">
        <v>4273</v>
      </c>
      <c r="W302">
        <f>属性类型!G302</f>
        <v>103</v>
      </c>
      <c r="X302">
        <v>1</v>
      </c>
    </row>
    <row r="303" customFormat="1" ht="16.5" spans="1:24">
      <c r="A303" s="17">
        <f t="shared" si="241"/>
        <v>12108</v>
      </c>
      <c r="B303" s="17">
        <f t="shared" si="236"/>
        <v>12100</v>
      </c>
      <c r="C303" s="17" t="str">
        <f t="shared" si="237"/>
        <v>1</v>
      </c>
      <c r="D303" s="12">
        <f t="shared" si="222"/>
        <v>10003</v>
      </c>
      <c r="E303" s="17">
        <v>1</v>
      </c>
      <c r="F303" s="17">
        <f t="shared" si="238"/>
        <v>3</v>
      </c>
      <c r="G303" s="17" t="str">
        <f t="shared" si="242"/>
        <v>高级防御</v>
      </c>
      <c r="H303" s="17" t="str">
        <f t="shared" si="243"/>
        <v>icon_02</v>
      </c>
      <c r="I303" s="20">
        <v>0</v>
      </c>
      <c r="J303" s="17">
        <v>8</v>
      </c>
      <c r="K303" s="17">
        <f t="shared" si="239"/>
        <v>12109</v>
      </c>
      <c r="L303" s="17" t="s">
        <v>233</v>
      </c>
      <c r="M303" s="17" t="str">
        <f t="shared" si="244"/>
        <v>1:12000:5</v>
      </c>
      <c r="N303" s="16" t="str">
        <f t="shared" si="207"/>
        <v>103:1</v>
      </c>
      <c r="O303" s="17">
        <f t="shared" si="240"/>
        <v>2</v>
      </c>
      <c r="P303" s="21" t="str">
        <f>$R$1&amp;R303&amp;$Q$1&amp;T303</f>
        <v>所有步兵防御增加:1</v>
      </c>
      <c r="Q303" s="21"/>
      <c r="R303" t="str">
        <f t="shared" si="245"/>
        <v>防御</v>
      </c>
      <c r="T303" t="str">
        <f t="shared" si="246"/>
        <v>:1</v>
      </c>
      <c r="U303" t="str">
        <f t="shared" si="206"/>
        <v>步兵</v>
      </c>
      <c r="V303" t="s">
        <v>4273</v>
      </c>
      <c r="W303">
        <f>属性类型!G303</f>
        <v>103</v>
      </c>
      <c r="X303">
        <v>1</v>
      </c>
    </row>
    <row r="304" customFormat="1" ht="16.5" spans="1:24">
      <c r="A304" s="17">
        <f t="shared" si="241"/>
        <v>12109</v>
      </c>
      <c r="B304" s="17">
        <f t="shared" si="236"/>
        <v>12100</v>
      </c>
      <c r="C304" s="17" t="str">
        <f t="shared" si="237"/>
        <v>1</v>
      </c>
      <c r="D304" s="12">
        <f t="shared" si="222"/>
        <v>10003</v>
      </c>
      <c r="E304" s="17">
        <v>1</v>
      </c>
      <c r="F304" s="17">
        <f t="shared" si="238"/>
        <v>3</v>
      </c>
      <c r="G304" s="17" t="str">
        <f t="shared" si="242"/>
        <v>高级防御</v>
      </c>
      <c r="H304" s="17" t="str">
        <f t="shared" si="243"/>
        <v>icon_02</v>
      </c>
      <c r="I304" s="20">
        <v>0</v>
      </c>
      <c r="J304" s="17">
        <v>9</v>
      </c>
      <c r="K304" s="17">
        <f t="shared" si="239"/>
        <v>12110</v>
      </c>
      <c r="L304" s="17" t="s">
        <v>236</v>
      </c>
      <c r="M304" s="17" t="str">
        <f t="shared" si="244"/>
        <v>1:12000:5</v>
      </c>
      <c r="N304" s="16" t="str">
        <f t="shared" si="207"/>
        <v>103:1</v>
      </c>
      <c r="O304" s="17">
        <f t="shared" si="240"/>
        <v>2</v>
      </c>
      <c r="P304" s="21" t="str">
        <f>$R$1&amp;R304&amp;$Q$1&amp;T304</f>
        <v>所有步兵防御增加:1</v>
      </c>
      <c r="Q304" s="21"/>
      <c r="R304" t="str">
        <f t="shared" si="245"/>
        <v>防御</v>
      </c>
      <c r="T304" t="str">
        <f t="shared" si="246"/>
        <v>:1</v>
      </c>
      <c r="U304" t="str">
        <f t="shared" si="206"/>
        <v>步兵</v>
      </c>
      <c r="V304" t="s">
        <v>4273</v>
      </c>
      <c r="W304">
        <f>属性类型!G304</f>
        <v>103</v>
      </c>
      <c r="X304">
        <v>1</v>
      </c>
    </row>
    <row r="305" customFormat="1" ht="16.5" spans="1:24">
      <c r="A305" s="17">
        <f t="shared" si="241"/>
        <v>12110</v>
      </c>
      <c r="B305" s="17">
        <f t="shared" si="236"/>
        <v>12100</v>
      </c>
      <c r="C305" s="17" t="str">
        <f t="shared" si="237"/>
        <v>1</v>
      </c>
      <c r="D305" s="12">
        <f t="shared" si="222"/>
        <v>10003</v>
      </c>
      <c r="E305" s="17">
        <v>1</v>
      </c>
      <c r="F305" s="17">
        <f t="shared" si="238"/>
        <v>3</v>
      </c>
      <c r="G305" s="17" t="str">
        <f t="shared" si="242"/>
        <v>高级防御</v>
      </c>
      <c r="H305" s="17" t="str">
        <f t="shared" si="243"/>
        <v>icon_02</v>
      </c>
      <c r="I305" s="20">
        <v>0</v>
      </c>
      <c r="J305" s="17">
        <v>10</v>
      </c>
      <c r="K305" s="17">
        <f t="shared" si="239"/>
        <v>12111</v>
      </c>
      <c r="L305" s="17" t="s">
        <v>238</v>
      </c>
      <c r="M305" s="17" t="str">
        <f t="shared" si="244"/>
        <v>1:12000:5</v>
      </c>
      <c r="N305" s="16" t="str">
        <f t="shared" si="207"/>
        <v>103:1</v>
      </c>
      <c r="O305" s="17">
        <f t="shared" si="240"/>
        <v>2</v>
      </c>
      <c r="P305" s="21" t="str">
        <f>$R$1&amp;R305&amp;$Q$1&amp;T305</f>
        <v>所有步兵防御增加:1</v>
      </c>
      <c r="Q305" s="21"/>
      <c r="R305" t="str">
        <f t="shared" si="245"/>
        <v>防御</v>
      </c>
      <c r="T305" t="str">
        <f t="shared" si="246"/>
        <v>:1</v>
      </c>
      <c r="U305" t="str">
        <f t="shared" si="206"/>
        <v>步兵</v>
      </c>
      <c r="V305" t="s">
        <v>4273</v>
      </c>
      <c r="W305">
        <f>属性类型!G305</f>
        <v>103</v>
      </c>
      <c r="X305">
        <v>1</v>
      </c>
    </row>
    <row r="306" customFormat="1" ht="16.5" spans="1:24">
      <c r="A306" s="17">
        <f t="shared" si="241"/>
        <v>12111</v>
      </c>
      <c r="B306" s="17">
        <f t="shared" si="236"/>
        <v>12100</v>
      </c>
      <c r="C306" s="17" t="str">
        <f t="shared" si="237"/>
        <v>1</v>
      </c>
      <c r="D306" s="12">
        <f t="shared" ref="D306:D369" si="247">$A$4+F306</f>
        <v>10003</v>
      </c>
      <c r="E306" s="17">
        <v>1</v>
      </c>
      <c r="F306" s="17">
        <f t="shared" si="238"/>
        <v>3</v>
      </c>
      <c r="G306" s="17" t="str">
        <f t="shared" si="242"/>
        <v>高级防御</v>
      </c>
      <c r="H306" s="17" t="str">
        <f t="shared" si="243"/>
        <v>icon_02</v>
      </c>
      <c r="I306" s="20">
        <v>0</v>
      </c>
      <c r="J306" s="17">
        <v>11</v>
      </c>
      <c r="K306" s="17">
        <f t="shared" si="239"/>
        <v>12112</v>
      </c>
      <c r="L306" s="17" t="s">
        <v>529</v>
      </c>
      <c r="M306" s="17" t="str">
        <f t="shared" si="244"/>
        <v>1:12000:5</v>
      </c>
      <c r="N306" s="16" t="str">
        <f t="shared" si="207"/>
        <v>103:1</v>
      </c>
      <c r="O306" s="17">
        <f t="shared" si="240"/>
        <v>2</v>
      </c>
      <c r="P306" s="21" t="str">
        <f>$R$1&amp;R306&amp;$Q$1&amp;T306</f>
        <v>所有步兵防御增加:1</v>
      </c>
      <c r="Q306" s="21"/>
      <c r="R306" t="str">
        <f t="shared" si="245"/>
        <v>防御</v>
      </c>
      <c r="T306" t="str">
        <f t="shared" si="246"/>
        <v>:1</v>
      </c>
      <c r="U306" t="str">
        <f t="shared" si="206"/>
        <v>步兵</v>
      </c>
      <c r="V306" t="s">
        <v>4273</v>
      </c>
      <c r="W306">
        <f>属性类型!G306</f>
        <v>103</v>
      </c>
      <c r="X306">
        <v>1</v>
      </c>
    </row>
    <row r="307" customFormat="1" ht="16.5" spans="1:24">
      <c r="A307" s="17">
        <f t="shared" si="241"/>
        <v>12112</v>
      </c>
      <c r="B307" s="17">
        <f t="shared" si="236"/>
        <v>12100</v>
      </c>
      <c r="C307" s="17" t="str">
        <f t="shared" si="237"/>
        <v>1</v>
      </c>
      <c r="D307" s="12">
        <f t="shared" si="247"/>
        <v>10003</v>
      </c>
      <c r="E307" s="17">
        <v>1</v>
      </c>
      <c r="F307" s="17">
        <f t="shared" si="238"/>
        <v>3</v>
      </c>
      <c r="G307" s="17" t="str">
        <f t="shared" si="242"/>
        <v>高级防御</v>
      </c>
      <c r="H307" s="17" t="str">
        <f t="shared" si="243"/>
        <v>icon_02</v>
      </c>
      <c r="I307" s="20">
        <v>0</v>
      </c>
      <c r="J307" s="17">
        <v>12</v>
      </c>
      <c r="K307" s="17">
        <f t="shared" si="239"/>
        <v>12113</v>
      </c>
      <c r="L307" s="17" t="s">
        <v>532</v>
      </c>
      <c r="M307" s="17" t="str">
        <f t="shared" si="244"/>
        <v>1:12000:5</v>
      </c>
      <c r="N307" s="16" t="str">
        <f t="shared" si="207"/>
        <v>103:1</v>
      </c>
      <c r="O307" s="17">
        <f t="shared" si="240"/>
        <v>2</v>
      </c>
      <c r="P307" s="21" t="str">
        <f>$R$1&amp;R307&amp;$Q$1&amp;T307</f>
        <v>所有步兵防御增加:1</v>
      </c>
      <c r="Q307" s="21"/>
      <c r="R307" t="str">
        <f t="shared" si="245"/>
        <v>防御</v>
      </c>
      <c r="T307" t="str">
        <f t="shared" si="246"/>
        <v>:1</v>
      </c>
      <c r="U307" t="str">
        <f t="shared" si="206"/>
        <v>步兵</v>
      </c>
      <c r="V307" t="s">
        <v>4273</v>
      </c>
      <c r="W307">
        <f>属性类型!G307</f>
        <v>103</v>
      </c>
      <c r="X307">
        <v>1</v>
      </c>
    </row>
    <row r="308" customFormat="1" ht="16.5" spans="1:24">
      <c r="A308" s="17">
        <f t="shared" si="241"/>
        <v>12113</v>
      </c>
      <c r="B308" s="17">
        <f t="shared" si="236"/>
        <v>12100</v>
      </c>
      <c r="C308" s="17" t="str">
        <f t="shared" si="237"/>
        <v>1</v>
      </c>
      <c r="D308" s="12">
        <f t="shared" si="247"/>
        <v>10003</v>
      </c>
      <c r="E308" s="17">
        <v>1</v>
      </c>
      <c r="F308" s="17">
        <f t="shared" si="238"/>
        <v>3</v>
      </c>
      <c r="G308" s="17" t="str">
        <f t="shared" si="242"/>
        <v>高级防御</v>
      </c>
      <c r="H308" s="17" t="str">
        <f t="shared" si="243"/>
        <v>icon_02</v>
      </c>
      <c r="I308" s="20">
        <v>0</v>
      </c>
      <c r="J308" s="17">
        <v>13</v>
      </c>
      <c r="K308" s="17">
        <f t="shared" si="239"/>
        <v>12114</v>
      </c>
      <c r="L308" s="17" t="s">
        <v>561</v>
      </c>
      <c r="M308" s="17" t="str">
        <f t="shared" si="244"/>
        <v>1:12000:5</v>
      </c>
      <c r="N308" s="16" t="str">
        <f t="shared" si="207"/>
        <v>103:1</v>
      </c>
      <c r="O308" s="17">
        <f t="shared" si="240"/>
        <v>2</v>
      </c>
      <c r="P308" s="21" t="str">
        <f>$R$1&amp;R308&amp;$Q$1&amp;T308</f>
        <v>所有步兵防御增加:1</v>
      </c>
      <c r="Q308" s="21"/>
      <c r="R308" t="str">
        <f t="shared" si="245"/>
        <v>防御</v>
      </c>
      <c r="T308" t="str">
        <f t="shared" si="246"/>
        <v>:1</v>
      </c>
      <c r="U308" t="str">
        <f t="shared" si="206"/>
        <v>步兵</v>
      </c>
      <c r="V308" t="s">
        <v>4273</v>
      </c>
      <c r="W308">
        <f>属性类型!G308</f>
        <v>103</v>
      </c>
      <c r="X308">
        <v>1</v>
      </c>
    </row>
    <row r="309" customFormat="1" ht="16.5" spans="1:24">
      <c r="A309" s="17">
        <f t="shared" si="241"/>
        <v>12114</v>
      </c>
      <c r="B309" s="17">
        <f t="shared" si="236"/>
        <v>12100</v>
      </c>
      <c r="C309" s="17" t="str">
        <f t="shared" si="237"/>
        <v>1</v>
      </c>
      <c r="D309" s="12">
        <f t="shared" si="247"/>
        <v>10003</v>
      </c>
      <c r="E309" s="17">
        <v>1</v>
      </c>
      <c r="F309" s="17">
        <f t="shared" si="238"/>
        <v>3</v>
      </c>
      <c r="G309" s="17" t="str">
        <f t="shared" si="242"/>
        <v>高级防御</v>
      </c>
      <c r="H309" s="17" t="str">
        <f t="shared" si="243"/>
        <v>icon_02</v>
      </c>
      <c r="I309" s="20">
        <v>0</v>
      </c>
      <c r="J309" s="17">
        <v>14</v>
      </c>
      <c r="K309" s="17">
        <f t="shared" si="239"/>
        <v>12115</v>
      </c>
      <c r="L309" s="17" t="s">
        <v>564</v>
      </c>
      <c r="M309" s="17" t="str">
        <f t="shared" si="244"/>
        <v>1:12000:5</v>
      </c>
      <c r="N309" s="16" t="str">
        <f t="shared" si="207"/>
        <v>103:1</v>
      </c>
      <c r="O309" s="17">
        <f t="shared" si="240"/>
        <v>2</v>
      </c>
      <c r="P309" s="21" t="str">
        <f>$R$1&amp;R309&amp;$Q$1&amp;T309</f>
        <v>所有步兵防御增加:1</v>
      </c>
      <c r="Q309" s="21"/>
      <c r="R309" t="str">
        <f t="shared" si="245"/>
        <v>防御</v>
      </c>
      <c r="T309" t="str">
        <f t="shared" si="246"/>
        <v>:1</v>
      </c>
      <c r="U309" t="str">
        <f t="shared" si="206"/>
        <v>步兵</v>
      </c>
      <c r="V309" t="s">
        <v>4273</v>
      </c>
      <c r="W309">
        <f>属性类型!G309</f>
        <v>103</v>
      </c>
      <c r="X309">
        <v>1</v>
      </c>
    </row>
    <row r="310" customFormat="1" ht="16.5" spans="1:24">
      <c r="A310" s="17">
        <f t="shared" si="241"/>
        <v>12115</v>
      </c>
      <c r="B310" s="17">
        <f t="shared" si="236"/>
        <v>12100</v>
      </c>
      <c r="C310" s="17" t="str">
        <f t="shared" si="237"/>
        <v>1</v>
      </c>
      <c r="D310" s="12">
        <f t="shared" si="247"/>
        <v>10003</v>
      </c>
      <c r="E310" s="17">
        <v>1</v>
      </c>
      <c r="F310" s="17">
        <f t="shared" si="238"/>
        <v>3</v>
      </c>
      <c r="G310" s="17" t="str">
        <f t="shared" si="242"/>
        <v>高级防御</v>
      </c>
      <c r="H310" s="17" t="str">
        <f t="shared" si="243"/>
        <v>icon_02</v>
      </c>
      <c r="I310" s="20">
        <v>0</v>
      </c>
      <c r="J310" s="17">
        <v>15</v>
      </c>
      <c r="K310" s="17">
        <v>0</v>
      </c>
      <c r="L310" s="17">
        <v>0</v>
      </c>
      <c r="M310" s="17" t="str">
        <f t="shared" si="244"/>
        <v>1:12000:5</v>
      </c>
      <c r="N310" s="16" t="str">
        <f t="shared" si="207"/>
        <v>103:1</v>
      </c>
      <c r="O310" s="17">
        <f t="shared" si="240"/>
        <v>2</v>
      </c>
      <c r="P310" s="21" t="str">
        <f>$R$1&amp;R310&amp;$Q$1&amp;T310</f>
        <v>所有步兵防御增加:1</v>
      </c>
      <c r="Q310" s="21"/>
      <c r="R310" t="str">
        <f t="shared" si="245"/>
        <v>防御</v>
      </c>
      <c r="T310" t="str">
        <f t="shared" si="246"/>
        <v>:1</v>
      </c>
      <c r="U310" t="str">
        <f t="shared" si="206"/>
        <v>步兵</v>
      </c>
      <c r="V310" t="s">
        <v>4273</v>
      </c>
      <c r="W310">
        <f>属性类型!G310</f>
        <v>103</v>
      </c>
      <c r="X310">
        <v>1</v>
      </c>
    </row>
    <row r="311" customFormat="1" ht="16.5" spans="1:24">
      <c r="A311" s="18">
        <f>A295+100</f>
        <v>12200</v>
      </c>
      <c r="B311" s="18">
        <f t="shared" ref="B311:B324" si="248">ROUND(A311,-2)</f>
        <v>12200</v>
      </c>
      <c r="C311" s="18" t="str">
        <f t="shared" ref="C311:C324" si="249">LEFT(A311,1)</f>
        <v>1</v>
      </c>
      <c r="D311" s="12">
        <f t="shared" si="247"/>
        <v>10003</v>
      </c>
      <c r="E311" s="17">
        <v>1</v>
      </c>
      <c r="F311" s="18">
        <f t="shared" ref="F311:F324" si="250">MID(B311,2,1)+1</f>
        <v>3</v>
      </c>
      <c r="G311" s="18" t="s">
        <v>568</v>
      </c>
      <c r="H311" s="18" t="s">
        <v>80</v>
      </c>
      <c r="I311" s="20">
        <v>0</v>
      </c>
      <c r="J311" s="18">
        <v>0</v>
      </c>
      <c r="K311" s="18">
        <f t="shared" ref="K311:K325" si="251">A312</f>
        <v>12201</v>
      </c>
      <c r="L311" s="18" t="s">
        <v>206</v>
      </c>
      <c r="M311" s="18" t="s">
        <v>545</v>
      </c>
      <c r="N311" s="16" t="str">
        <f t="shared" si="207"/>
        <v>102:1</v>
      </c>
      <c r="O311" s="18">
        <f t="shared" ref="O311:O324" si="252">MID(A311,3,1)+1</f>
        <v>3</v>
      </c>
      <c r="P311" s="21" t="str">
        <f t="shared" ref="P311:P325" si="253">$R$1&amp;R311&amp;$Q$1&amp;T311</f>
        <v>所有步兵攻击增加1</v>
      </c>
      <c r="Q311" s="21"/>
      <c r="R311" t="s">
        <v>4274</v>
      </c>
      <c r="T311" t="str">
        <f>RIGHT(N311,1)</f>
        <v>1</v>
      </c>
      <c r="U311" t="str">
        <f t="shared" si="206"/>
        <v>步兵</v>
      </c>
      <c r="V311" t="s">
        <v>4275</v>
      </c>
      <c r="W311">
        <f>属性类型!G311</f>
        <v>102</v>
      </c>
      <c r="X311">
        <v>1</v>
      </c>
    </row>
    <row r="312" customFormat="1" ht="16.5" spans="1:24">
      <c r="A312" s="17">
        <f t="shared" ref="A312:A326" si="254">A311+1</f>
        <v>12201</v>
      </c>
      <c r="B312" s="17">
        <f t="shared" si="248"/>
        <v>12200</v>
      </c>
      <c r="C312" s="17" t="str">
        <f t="shared" si="249"/>
        <v>1</v>
      </c>
      <c r="D312" s="12">
        <f t="shared" si="247"/>
        <v>10003</v>
      </c>
      <c r="E312" s="17">
        <v>1</v>
      </c>
      <c r="F312" s="17">
        <f t="shared" si="250"/>
        <v>3</v>
      </c>
      <c r="G312" s="17" t="str">
        <f t="shared" ref="G312:G321" si="255">G311</f>
        <v>高级攻击</v>
      </c>
      <c r="H312" s="17" t="str">
        <f t="shared" ref="H312:H321" si="256">H311</f>
        <v>icon_03</v>
      </c>
      <c r="I312" s="20">
        <v>0</v>
      </c>
      <c r="J312" s="17">
        <v>1</v>
      </c>
      <c r="K312" s="17">
        <f t="shared" si="251"/>
        <v>12202</v>
      </c>
      <c r="L312" s="17" t="s">
        <v>211</v>
      </c>
      <c r="M312" s="17" t="str">
        <f t="shared" ref="M312:M326" si="257">M311</f>
        <v>1:12000:5</v>
      </c>
      <c r="N312" s="16" t="str">
        <f t="shared" si="207"/>
        <v>102:1</v>
      </c>
      <c r="O312" s="17">
        <f t="shared" si="252"/>
        <v>3</v>
      </c>
      <c r="P312" s="21" t="str">
        <f t="shared" si="253"/>
        <v>所有步兵攻击增加:1</v>
      </c>
      <c r="Q312" s="21"/>
      <c r="R312" t="str">
        <f t="shared" si="245"/>
        <v>攻击</v>
      </c>
      <c r="T312" t="str">
        <f t="shared" si="246"/>
        <v>:1</v>
      </c>
      <c r="U312" t="str">
        <f t="shared" si="206"/>
        <v>步兵</v>
      </c>
      <c r="V312" t="s">
        <v>4275</v>
      </c>
      <c r="W312">
        <f>属性类型!G312</f>
        <v>102</v>
      </c>
      <c r="X312">
        <v>1</v>
      </c>
    </row>
    <row r="313" customFormat="1" ht="16.5" spans="1:24">
      <c r="A313" s="17">
        <f t="shared" si="254"/>
        <v>12202</v>
      </c>
      <c r="B313" s="17">
        <f t="shared" si="248"/>
        <v>12200</v>
      </c>
      <c r="C313" s="17" t="str">
        <f t="shared" si="249"/>
        <v>1</v>
      </c>
      <c r="D313" s="12">
        <f t="shared" si="247"/>
        <v>10003</v>
      </c>
      <c r="E313" s="17">
        <v>1</v>
      </c>
      <c r="F313" s="17">
        <f t="shared" si="250"/>
        <v>3</v>
      </c>
      <c r="G313" s="17" t="str">
        <f t="shared" si="255"/>
        <v>高级攻击</v>
      </c>
      <c r="H313" s="17" t="str">
        <f t="shared" si="256"/>
        <v>icon_03</v>
      </c>
      <c r="I313" s="20">
        <v>0</v>
      </c>
      <c r="J313" s="17">
        <v>2</v>
      </c>
      <c r="K313" s="17">
        <f t="shared" si="251"/>
        <v>12203</v>
      </c>
      <c r="L313" s="17" t="s">
        <v>215</v>
      </c>
      <c r="M313" s="17" t="str">
        <f t="shared" si="257"/>
        <v>1:12000:5</v>
      </c>
      <c r="N313" s="16" t="str">
        <f t="shared" si="207"/>
        <v>102:1</v>
      </c>
      <c r="O313" s="17">
        <f t="shared" si="252"/>
        <v>3</v>
      </c>
      <c r="P313" s="21" t="str">
        <f t="shared" si="253"/>
        <v>所有步兵攻击增加:1</v>
      </c>
      <c r="Q313" s="21"/>
      <c r="R313" t="str">
        <f t="shared" ref="R313:R376" si="258">R312</f>
        <v>攻击</v>
      </c>
      <c r="T313" t="str">
        <f t="shared" si="246"/>
        <v>:1</v>
      </c>
      <c r="U313" t="str">
        <f t="shared" si="206"/>
        <v>步兵</v>
      </c>
      <c r="V313" t="s">
        <v>4275</v>
      </c>
      <c r="W313">
        <f>属性类型!G313</f>
        <v>102</v>
      </c>
      <c r="X313">
        <v>1</v>
      </c>
    </row>
    <row r="314" customFormat="1" ht="16.5" spans="1:24">
      <c r="A314" s="17">
        <f t="shared" si="254"/>
        <v>12203</v>
      </c>
      <c r="B314" s="17">
        <f t="shared" si="248"/>
        <v>12200</v>
      </c>
      <c r="C314" s="17" t="str">
        <f t="shared" si="249"/>
        <v>1</v>
      </c>
      <c r="D314" s="12">
        <f t="shared" si="247"/>
        <v>10003</v>
      </c>
      <c r="E314" s="17">
        <v>1</v>
      </c>
      <c r="F314" s="17">
        <f t="shared" si="250"/>
        <v>3</v>
      </c>
      <c r="G314" s="17" t="str">
        <f t="shared" si="255"/>
        <v>高级攻击</v>
      </c>
      <c r="H314" s="17" t="str">
        <f t="shared" si="256"/>
        <v>icon_03</v>
      </c>
      <c r="I314" s="20">
        <v>0</v>
      </c>
      <c r="J314" s="17">
        <v>3</v>
      </c>
      <c r="K314" s="17">
        <f t="shared" si="251"/>
        <v>12204</v>
      </c>
      <c r="L314" s="17" t="s">
        <v>218</v>
      </c>
      <c r="M314" s="17" t="str">
        <f t="shared" si="257"/>
        <v>1:12000:5</v>
      </c>
      <c r="N314" s="16" t="str">
        <f t="shared" si="207"/>
        <v>102:1</v>
      </c>
      <c r="O314" s="17">
        <f t="shared" si="252"/>
        <v>3</v>
      </c>
      <c r="P314" s="21" t="str">
        <f t="shared" si="253"/>
        <v>所有步兵攻击增加:1</v>
      </c>
      <c r="Q314" s="21"/>
      <c r="R314" t="str">
        <f t="shared" si="258"/>
        <v>攻击</v>
      </c>
      <c r="T314" t="str">
        <f t="shared" si="246"/>
        <v>:1</v>
      </c>
      <c r="U314" t="str">
        <f t="shared" si="206"/>
        <v>步兵</v>
      </c>
      <c r="V314" t="s">
        <v>4275</v>
      </c>
      <c r="W314">
        <f>属性类型!G314</f>
        <v>102</v>
      </c>
      <c r="X314">
        <v>1</v>
      </c>
    </row>
    <row r="315" customFormat="1" ht="16.5" spans="1:24">
      <c r="A315" s="17">
        <f t="shared" si="254"/>
        <v>12204</v>
      </c>
      <c r="B315" s="17">
        <f t="shared" si="248"/>
        <v>12200</v>
      </c>
      <c r="C315" s="17" t="str">
        <f t="shared" si="249"/>
        <v>1</v>
      </c>
      <c r="D315" s="12">
        <f t="shared" si="247"/>
        <v>10003</v>
      </c>
      <c r="E315" s="17">
        <v>1</v>
      </c>
      <c r="F315" s="17">
        <f t="shared" si="250"/>
        <v>3</v>
      </c>
      <c r="G315" s="17" t="str">
        <f t="shared" si="255"/>
        <v>高级攻击</v>
      </c>
      <c r="H315" s="17" t="str">
        <f t="shared" si="256"/>
        <v>icon_03</v>
      </c>
      <c r="I315" s="20">
        <v>0</v>
      </c>
      <c r="J315" s="17">
        <v>4</v>
      </c>
      <c r="K315" s="17">
        <f t="shared" si="251"/>
        <v>12205</v>
      </c>
      <c r="L315" s="17" t="s">
        <v>221</v>
      </c>
      <c r="M315" s="17" t="str">
        <f t="shared" si="257"/>
        <v>1:12000:5</v>
      </c>
      <c r="N315" s="16" t="str">
        <f t="shared" si="207"/>
        <v>102:1</v>
      </c>
      <c r="O315" s="17">
        <f t="shared" si="252"/>
        <v>3</v>
      </c>
      <c r="P315" s="21" t="str">
        <f t="shared" si="253"/>
        <v>所有步兵攻击增加:1</v>
      </c>
      <c r="Q315" s="21"/>
      <c r="R315" t="str">
        <f t="shared" si="258"/>
        <v>攻击</v>
      </c>
      <c r="T315" t="str">
        <f t="shared" si="246"/>
        <v>:1</v>
      </c>
      <c r="U315" t="str">
        <f t="shared" si="206"/>
        <v>步兵</v>
      </c>
      <c r="V315" t="s">
        <v>4275</v>
      </c>
      <c r="W315">
        <f>属性类型!G315</f>
        <v>102</v>
      </c>
      <c r="X315">
        <v>1</v>
      </c>
    </row>
    <row r="316" customFormat="1" ht="16.5" spans="1:24">
      <c r="A316" s="17">
        <f t="shared" si="254"/>
        <v>12205</v>
      </c>
      <c r="B316" s="17">
        <f t="shared" si="248"/>
        <v>12200</v>
      </c>
      <c r="C316" s="17" t="str">
        <f t="shared" si="249"/>
        <v>1</v>
      </c>
      <c r="D316" s="12">
        <f t="shared" si="247"/>
        <v>10003</v>
      </c>
      <c r="E316" s="17">
        <v>1</v>
      </c>
      <c r="F316" s="17">
        <f t="shared" si="250"/>
        <v>3</v>
      </c>
      <c r="G316" s="17" t="str">
        <f t="shared" si="255"/>
        <v>高级攻击</v>
      </c>
      <c r="H316" s="17" t="str">
        <f t="shared" si="256"/>
        <v>icon_03</v>
      </c>
      <c r="I316" s="20">
        <v>0</v>
      </c>
      <c r="J316" s="17">
        <v>5</v>
      </c>
      <c r="K316" s="17">
        <f t="shared" si="251"/>
        <v>12206</v>
      </c>
      <c r="L316" s="17" t="s">
        <v>224</v>
      </c>
      <c r="M316" s="17" t="str">
        <f t="shared" si="257"/>
        <v>1:12000:5</v>
      </c>
      <c r="N316" s="16" t="str">
        <f t="shared" si="207"/>
        <v>102:1</v>
      </c>
      <c r="O316" s="17">
        <f t="shared" si="252"/>
        <v>3</v>
      </c>
      <c r="P316" s="21" t="str">
        <f t="shared" si="253"/>
        <v>所有步兵攻击增加:1</v>
      </c>
      <c r="Q316" s="21"/>
      <c r="R316" t="str">
        <f t="shared" si="258"/>
        <v>攻击</v>
      </c>
      <c r="T316" t="str">
        <f t="shared" si="246"/>
        <v>:1</v>
      </c>
      <c r="U316" t="str">
        <f t="shared" si="206"/>
        <v>步兵</v>
      </c>
      <c r="V316" t="s">
        <v>4275</v>
      </c>
      <c r="W316">
        <f>属性类型!G316</f>
        <v>102</v>
      </c>
      <c r="X316">
        <v>1</v>
      </c>
    </row>
    <row r="317" customFormat="1" ht="16.5" spans="1:24">
      <c r="A317" s="17">
        <f t="shared" si="254"/>
        <v>12206</v>
      </c>
      <c r="B317" s="17">
        <f t="shared" si="248"/>
        <v>12200</v>
      </c>
      <c r="C317" s="17" t="str">
        <f t="shared" si="249"/>
        <v>1</v>
      </c>
      <c r="D317" s="12">
        <f t="shared" si="247"/>
        <v>10003</v>
      </c>
      <c r="E317" s="17">
        <v>1</v>
      </c>
      <c r="F317" s="17">
        <f t="shared" si="250"/>
        <v>3</v>
      </c>
      <c r="G317" s="17" t="str">
        <f t="shared" si="255"/>
        <v>高级攻击</v>
      </c>
      <c r="H317" s="17" t="str">
        <f t="shared" si="256"/>
        <v>icon_03</v>
      </c>
      <c r="I317" s="20">
        <v>0</v>
      </c>
      <c r="J317" s="17">
        <v>6</v>
      </c>
      <c r="K317" s="17">
        <f t="shared" si="251"/>
        <v>12207</v>
      </c>
      <c r="L317" s="17" t="s">
        <v>227</v>
      </c>
      <c r="M317" s="17" t="str">
        <f t="shared" si="257"/>
        <v>1:12000:5</v>
      </c>
      <c r="N317" s="16" t="str">
        <f t="shared" si="207"/>
        <v>102:1</v>
      </c>
      <c r="O317" s="17">
        <f t="shared" si="252"/>
        <v>3</v>
      </c>
      <c r="P317" s="21" t="str">
        <f t="shared" si="253"/>
        <v>所有步兵攻击增加:1</v>
      </c>
      <c r="Q317" s="21"/>
      <c r="R317" t="str">
        <f t="shared" si="258"/>
        <v>攻击</v>
      </c>
      <c r="T317" t="str">
        <f t="shared" si="246"/>
        <v>:1</v>
      </c>
      <c r="U317" t="str">
        <f t="shared" si="206"/>
        <v>步兵</v>
      </c>
      <c r="V317" t="s">
        <v>4275</v>
      </c>
      <c r="W317">
        <f>属性类型!G317</f>
        <v>102</v>
      </c>
      <c r="X317">
        <v>1</v>
      </c>
    </row>
    <row r="318" customFormat="1" ht="16.5" spans="1:24">
      <c r="A318" s="17">
        <f t="shared" si="254"/>
        <v>12207</v>
      </c>
      <c r="B318" s="17">
        <f t="shared" si="248"/>
        <v>12200</v>
      </c>
      <c r="C318" s="17" t="str">
        <f t="shared" si="249"/>
        <v>1</v>
      </c>
      <c r="D318" s="12">
        <f t="shared" si="247"/>
        <v>10003</v>
      </c>
      <c r="E318" s="17">
        <v>1</v>
      </c>
      <c r="F318" s="17">
        <f t="shared" si="250"/>
        <v>3</v>
      </c>
      <c r="G318" s="17" t="str">
        <f t="shared" si="255"/>
        <v>高级攻击</v>
      </c>
      <c r="H318" s="17" t="str">
        <f t="shared" si="256"/>
        <v>icon_03</v>
      </c>
      <c r="I318" s="20">
        <v>0</v>
      </c>
      <c r="J318" s="17">
        <v>7</v>
      </c>
      <c r="K318" s="17">
        <f t="shared" si="251"/>
        <v>12208</v>
      </c>
      <c r="L318" s="17" t="s">
        <v>230</v>
      </c>
      <c r="M318" s="17" t="str">
        <f t="shared" si="257"/>
        <v>1:12000:5</v>
      </c>
      <c r="N318" s="16" t="str">
        <f t="shared" si="207"/>
        <v>102:1</v>
      </c>
      <c r="O318" s="17">
        <f t="shared" si="252"/>
        <v>3</v>
      </c>
      <c r="P318" s="21" t="str">
        <f t="shared" si="253"/>
        <v>所有步兵攻击增加:1</v>
      </c>
      <c r="Q318" s="21"/>
      <c r="R318" t="str">
        <f t="shared" si="258"/>
        <v>攻击</v>
      </c>
      <c r="T318" t="str">
        <f t="shared" si="246"/>
        <v>:1</v>
      </c>
      <c r="U318" t="str">
        <f t="shared" si="206"/>
        <v>步兵</v>
      </c>
      <c r="V318" t="s">
        <v>4275</v>
      </c>
      <c r="W318">
        <f>属性类型!G318</f>
        <v>102</v>
      </c>
      <c r="X318">
        <v>1</v>
      </c>
    </row>
    <row r="319" customFormat="1" ht="16.5" spans="1:24">
      <c r="A319" s="17">
        <f t="shared" si="254"/>
        <v>12208</v>
      </c>
      <c r="B319" s="17">
        <f t="shared" si="248"/>
        <v>12200</v>
      </c>
      <c r="C319" s="17" t="str">
        <f t="shared" si="249"/>
        <v>1</v>
      </c>
      <c r="D319" s="12">
        <f t="shared" si="247"/>
        <v>10003</v>
      </c>
      <c r="E319" s="17">
        <v>1</v>
      </c>
      <c r="F319" s="17">
        <f t="shared" si="250"/>
        <v>3</v>
      </c>
      <c r="G319" s="17" t="str">
        <f t="shared" si="255"/>
        <v>高级攻击</v>
      </c>
      <c r="H319" s="17" t="str">
        <f t="shared" si="256"/>
        <v>icon_03</v>
      </c>
      <c r="I319" s="20">
        <v>0</v>
      </c>
      <c r="J319" s="17">
        <v>8</v>
      </c>
      <c r="K319" s="17">
        <f t="shared" si="251"/>
        <v>12209</v>
      </c>
      <c r="L319" s="17" t="s">
        <v>233</v>
      </c>
      <c r="M319" s="17" t="str">
        <f t="shared" si="257"/>
        <v>1:12000:5</v>
      </c>
      <c r="N319" s="16" t="str">
        <f t="shared" si="207"/>
        <v>102:1</v>
      </c>
      <c r="O319" s="17">
        <f t="shared" si="252"/>
        <v>3</v>
      </c>
      <c r="P319" s="21" t="str">
        <f t="shared" si="253"/>
        <v>所有步兵攻击增加:1</v>
      </c>
      <c r="Q319" s="21"/>
      <c r="R319" t="str">
        <f t="shared" si="258"/>
        <v>攻击</v>
      </c>
      <c r="T319" t="str">
        <f t="shared" si="246"/>
        <v>:1</v>
      </c>
      <c r="U319" t="str">
        <f t="shared" si="206"/>
        <v>步兵</v>
      </c>
      <c r="V319" t="s">
        <v>4275</v>
      </c>
      <c r="W319">
        <f>属性类型!G319</f>
        <v>102</v>
      </c>
      <c r="X319">
        <v>1</v>
      </c>
    </row>
    <row r="320" customFormat="1" ht="16.5" spans="1:24">
      <c r="A320" s="17">
        <f t="shared" si="254"/>
        <v>12209</v>
      </c>
      <c r="B320" s="17">
        <f t="shared" si="248"/>
        <v>12200</v>
      </c>
      <c r="C320" s="17" t="str">
        <f t="shared" si="249"/>
        <v>1</v>
      </c>
      <c r="D320" s="12">
        <f t="shared" si="247"/>
        <v>10003</v>
      </c>
      <c r="E320" s="17">
        <v>1</v>
      </c>
      <c r="F320" s="17">
        <f t="shared" si="250"/>
        <v>3</v>
      </c>
      <c r="G320" s="17" t="str">
        <f t="shared" si="255"/>
        <v>高级攻击</v>
      </c>
      <c r="H320" s="17" t="str">
        <f t="shared" si="256"/>
        <v>icon_03</v>
      </c>
      <c r="I320" s="20">
        <v>0</v>
      </c>
      <c r="J320" s="17">
        <v>9</v>
      </c>
      <c r="K320" s="17">
        <f t="shared" si="251"/>
        <v>12210</v>
      </c>
      <c r="L320" s="17" t="s">
        <v>236</v>
      </c>
      <c r="M320" s="17" t="str">
        <f t="shared" si="257"/>
        <v>1:12000:5</v>
      </c>
      <c r="N320" s="16" t="str">
        <f t="shared" si="207"/>
        <v>102:1</v>
      </c>
      <c r="O320" s="17">
        <f t="shared" si="252"/>
        <v>3</v>
      </c>
      <c r="P320" s="21" t="str">
        <f t="shared" si="253"/>
        <v>所有步兵攻击增加:1</v>
      </c>
      <c r="Q320" s="21"/>
      <c r="R320" t="str">
        <f t="shared" si="258"/>
        <v>攻击</v>
      </c>
      <c r="T320" t="str">
        <f t="shared" si="246"/>
        <v>:1</v>
      </c>
      <c r="U320" t="str">
        <f t="shared" si="206"/>
        <v>步兵</v>
      </c>
      <c r="V320" t="s">
        <v>4275</v>
      </c>
      <c r="W320">
        <f>属性类型!G320</f>
        <v>102</v>
      </c>
      <c r="X320">
        <v>1</v>
      </c>
    </row>
    <row r="321" customFormat="1" ht="16.5" spans="1:24">
      <c r="A321" s="17">
        <f t="shared" si="254"/>
        <v>12210</v>
      </c>
      <c r="B321" s="17">
        <f t="shared" ref="B321:B334" si="259">ROUND(A321,-2)</f>
        <v>12200</v>
      </c>
      <c r="C321" s="17" t="str">
        <f t="shared" ref="C321:C334" si="260">LEFT(A321,1)</f>
        <v>1</v>
      </c>
      <c r="D321" s="12">
        <f t="shared" si="247"/>
        <v>10003</v>
      </c>
      <c r="E321" s="17">
        <v>1</v>
      </c>
      <c r="F321" s="17">
        <f t="shared" ref="F321:F334" si="261">MID(B321,2,1)+1</f>
        <v>3</v>
      </c>
      <c r="G321" s="17" t="str">
        <f t="shared" ref="G321:G327" si="262">G320</f>
        <v>高级攻击</v>
      </c>
      <c r="H321" s="17" t="str">
        <f t="shared" ref="H321:H327" si="263">H320</f>
        <v>icon_03</v>
      </c>
      <c r="I321" s="20">
        <v>0</v>
      </c>
      <c r="J321" s="17">
        <v>10</v>
      </c>
      <c r="K321" s="17">
        <f t="shared" si="251"/>
        <v>12211</v>
      </c>
      <c r="L321" s="17" t="s">
        <v>238</v>
      </c>
      <c r="M321" s="17" t="str">
        <f t="shared" si="257"/>
        <v>1:12000:5</v>
      </c>
      <c r="N321" s="16" t="str">
        <f t="shared" si="207"/>
        <v>102:1</v>
      </c>
      <c r="O321" s="17">
        <f t="shared" ref="O321:O334" si="264">MID(A321,3,1)+1</f>
        <v>3</v>
      </c>
      <c r="P321" s="21" t="str">
        <f t="shared" ref="P321:P327" si="265">$R$1&amp;R321&amp;$Q$1&amp;T321</f>
        <v>所有步兵攻击增加:1</v>
      </c>
      <c r="Q321" s="21"/>
      <c r="R321" t="str">
        <f t="shared" si="258"/>
        <v>攻击</v>
      </c>
      <c r="T321" t="str">
        <f t="shared" ref="T321:T334" si="266">RIGHT(N321,2)</f>
        <v>:1</v>
      </c>
      <c r="U321" t="str">
        <f t="shared" si="206"/>
        <v>步兵</v>
      </c>
      <c r="V321" t="s">
        <v>4275</v>
      </c>
      <c r="W321">
        <f>属性类型!G321</f>
        <v>102</v>
      </c>
      <c r="X321">
        <v>1</v>
      </c>
    </row>
    <row r="322" customFormat="1" ht="16.5" spans="1:24">
      <c r="A322" s="17">
        <f t="shared" si="254"/>
        <v>12211</v>
      </c>
      <c r="B322" s="17">
        <f t="shared" si="259"/>
        <v>12200</v>
      </c>
      <c r="C322" s="17" t="str">
        <f t="shared" si="260"/>
        <v>1</v>
      </c>
      <c r="D322" s="12">
        <f t="shared" si="247"/>
        <v>10003</v>
      </c>
      <c r="E322" s="17">
        <v>1</v>
      </c>
      <c r="F322" s="17">
        <f t="shared" si="261"/>
        <v>3</v>
      </c>
      <c r="G322" s="17" t="str">
        <f t="shared" si="262"/>
        <v>高级攻击</v>
      </c>
      <c r="H322" s="17" t="str">
        <f t="shared" si="263"/>
        <v>icon_03</v>
      </c>
      <c r="I322" s="20">
        <v>0</v>
      </c>
      <c r="J322" s="17">
        <v>11</v>
      </c>
      <c r="K322" s="17">
        <f t="shared" si="251"/>
        <v>12212</v>
      </c>
      <c r="L322" s="17" t="s">
        <v>529</v>
      </c>
      <c r="M322" s="17" t="str">
        <f t="shared" si="257"/>
        <v>1:12000:5</v>
      </c>
      <c r="N322" s="16" t="str">
        <f t="shared" si="207"/>
        <v>102:1</v>
      </c>
      <c r="O322" s="17">
        <f t="shared" si="264"/>
        <v>3</v>
      </c>
      <c r="P322" s="21" t="str">
        <f t="shared" si="265"/>
        <v>所有步兵攻击增加:1</v>
      </c>
      <c r="Q322" s="21"/>
      <c r="R322" t="str">
        <f t="shared" si="258"/>
        <v>攻击</v>
      </c>
      <c r="T322" t="str">
        <f t="shared" si="266"/>
        <v>:1</v>
      </c>
      <c r="U322" t="str">
        <f t="shared" si="206"/>
        <v>步兵</v>
      </c>
      <c r="V322" t="s">
        <v>4275</v>
      </c>
      <c r="W322">
        <f>属性类型!G322</f>
        <v>102</v>
      </c>
      <c r="X322">
        <v>1</v>
      </c>
    </row>
    <row r="323" customFormat="1" ht="16.5" spans="1:24">
      <c r="A323" s="17">
        <f t="shared" si="254"/>
        <v>12212</v>
      </c>
      <c r="B323" s="17">
        <f t="shared" si="259"/>
        <v>12200</v>
      </c>
      <c r="C323" s="17" t="str">
        <f t="shared" si="260"/>
        <v>1</v>
      </c>
      <c r="D323" s="12">
        <f t="shared" si="247"/>
        <v>10003</v>
      </c>
      <c r="E323" s="17">
        <v>1</v>
      </c>
      <c r="F323" s="17">
        <f t="shared" si="261"/>
        <v>3</v>
      </c>
      <c r="G323" s="17" t="str">
        <f t="shared" si="262"/>
        <v>高级攻击</v>
      </c>
      <c r="H323" s="17" t="str">
        <f t="shared" si="263"/>
        <v>icon_03</v>
      </c>
      <c r="I323" s="20">
        <v>0</v>
      </c>
      <c r="J323" s="17">
        <v>12</v>
      </c>
      <c r="K323" s="17">
        <f t="shared" si="251"/>
        <v>12213</v>
      </c>
      <c r="L323" s="17" t="s">
        <v>532</v>
      </c>
      <c r="M323" s="17" t="str">
        <f t="shared" si="257"/>
        <v>1:12000:5</v>
      </c>
      <c r="N323" s="16" t="str">
        <f t="shared" si="207"/>
        <v>102:1</v>
      </c>
      <c r="O323" s="17">
        <f t="shared" si="264"/>
        <v>3</v>
      </c>
      <c r="P323" s="21" t="str">
        <f t="shared" si="265"/>
        <v>所有步兵攻击增加:1</v>
      </c>
      <c r="Q323" s="21"/>
      <c r="R323" t="str">
        <f t="shared" si="258"/>
        <v>攻击</v>
      </c>
      <c r="T323" t="str">
        <f t="shared" si="266"/>
        <v>:1</v>
      </c>
      <c r="U323" t="str">
        <f t="shared" si="206"/>
        <v>步兵</v>
      </c>
      <c r="V323" t="s">
        <v>4275</v>
      </c>
      <c r="W323">
        <f>属性类型!G323</f>
        <v>102</v>
      </c>
      <c r="X323">
        <v>1</v>
      </c>
    </row>
    <row r="324" customFormat="1" ht="16.5" spans="1:24">
      <c r="A324" s="17">
        <f t="shared" si="254"/>
        <v>12213</v>
      </c>
      <c r="B324" s="17">
        <f t="shared" si="259"/>
        <v>12200</v>
      </c>
      <c r="C324" s="17" t="str">
        <f t="shared" si="260"/>
        <v>1</v>
      </c>
      <c r="D324" s="12">
        <f t="shared" si="247"/>
        <v>10003</v>
      </c>
      <c r="E324" s="17">
        <v>1</v>
      </c>
      <c r="F324" s="17">
        <f t="shared" si="261"/>
        <v>3</v>
      </c>
      <c r="G324" s="17" t="str">
        <f t="shared" si="262"/>
        <v>高级攻击</v>
      </c>
      <c r="H324" s="17" t="str">
        <f t="shared" si="263"/>
        <v>icon_03</v>
      </c>
      <c r="I324" s="20">
        <v>0</v>
      </c>
      <c r="J324" s="17">
        <v>13</v>
      </c>
      <c r="K324" s="17">
        <f t="shared" si="251"/>
        <v>12214</v>
      </c>
      <c r="L324" s="17" t="s">
        <v>561</v>
      </c>
      <c r="M324" s="17" t="str">
        <f t="shared" si="257"/>
        <v>1:12000:5</v>
      </c>
      <c r="N324" s="16" t="str">
        <f t="shared" si="207"/>
        <v>102:1</v>
      </c>
      <c r="O324" s="17">
        <f t="shared" si="264"/>
        <v>3</v>
      </c>
      <c r="P324" s="21" t="str">
        <f t="shared" si="265"/>
        <v>所有步兵攻击增加:1</v>
      </c>
      <c r="Q324" s="21"/>
      <c r="R324" t="str">
        <f t="shared" si="258"/>
        <v>攻击</v>
      </c>
      <c r="T324" t="str">
        <f t="shared" si="266"/>
        <v>:1</v>
      </c>
      <c r="U324" t="str">
        <f t="shared" si="206"/>
        <v>步兵</v>
      </c>
      <c r="V324" t="s">
        <v>4275</v>
      </c>
      <c r="W324">
        <f>属性类型!G324</f>
        <v>102</v>
      </c>
      <c r="X324">
        <v>1</v>
      </c>
    </row>
    <row r="325" customFormat="1" ht="16.5" spans="1:24">
      <c r="A325" s="17">
        <f t="shared" si="254"/>
        <v>12214</v>
      </c>
      <c r="B325" s="17">
        <f t="shared" si="259"/>
        <v>12200</v>
      </c>
      <c r="C325" s="17" t="str">
        <f t="shared" si="260"/>
        <v>1</v>
      </c>
      <c r="D325" s="12">
        <f t="shared" si="247"/>
        <v>10003</v>
      </c>
      <c r="E325" s="17">
        <v>1</v>
      </c>
      <c r="F325" s="17">
        <f t="shared" si="261"/>
        <v>3</v>
      </c>
      <c r="G325" s="17" t="str">
        <f t="shared" si="262"/>
        <v>高级攻击</v>
      </c>
      <c r="H325" s="17" t="str">
        <f t="shared" si="263"/>
        <v>icon_03</v>
      </c>
      <c r="I325" s="20">
        <v>0</v>
      </c>
      <c r="J325" s="17">
        <v>14</v>
      </c>
      <c r="K325" s="17">
        <f t="shared" si="251"/>
        <v>12215</v>
      </c>
      <c r="L325" s="17" t="s">
        <v>564</v>
      </c>
      <c r="M325" s="17" t="str">
        <f t="shared" si="257"/>
        <v>1:12000:5</v>
      </c>
      <c r="N325" s="16" t="str">
        <f t="shared" si="207"/>
        <v>102:1</v>
      </c>
      <c r="O325" s="17">
        <f t="shared" si="264"/>
        <v>3</v>
      </c>
      <c r="P325" s="21" t="str">
        <f t="shared" si="265"/>
        <v>所有步兵攻击增加:1</v>
      </c>
      <c r="Q325" s="21"/>
      <c r="R325" t="str">
        <f t="shared" si="258"/>
        <v>攻击</v>
      </c>
      <c r="T325" t="str">
        <f t="shared" si="266"/>
        <v>:1</v>
      </c>
      <c r="U325" t="str">
        <f t="shared" ref="U325:U388" si="267">MID(P325,3,2)</f>
        <v>步兵</v>
      </c>
      <c r="V325" t="s">
        <v>4275</v>
      </c>
      <c r="W325">
        <f>属性类型!G325</f>
        <v>102</v>
      </c>
      <c r="X325">
        <v>1</v>
      </c>
    </row>
    <row r="326" customFormat="1" ht="16.5" spans="1:24">
      <c r="A326" s="17">
        <f t="shared" si="254"/>
        <v>12215</v>
      </c>
      <c r="B326" s="17">
        <f t="shared" si="259"/>
        <v>12200</v>
      </c>
      <c r="C326" s="17" t="str">
        <f t="shared" si="260"/>
        <v>1</v>
      </c>
      <c r="D326" s="12">
        <f t="shared" si="247"/>
        <v>10003</v>
      </c>
      <c r="E326" s="17">
        <v>1</v>
      </c>
      <c r="F326" s="17">
        <f t="shared" si="261"/>
        <v>3</v>
      </c>
      <c r="G326" s="17" t="str">
        <f t="shared" si="262"/>
        <v>高级攻击</v>
      </c>
      <c r="H326" s="17" t="str">
        <f t="shared" si="263"/>
        <v>icon_03</v>
      </c>
      <c r="I326" s="20">
        <v>0</v>
      </c>
      <c r="J326" s="17">
        <v>15</v>
      </c>
      <c r="K326" s="17">
        <v>0</v>
      </c>
      <c r="L326" s="17">
        <v>0</v>
      </c>
      <c r="M326" s="17" t="str">
        <f t="shared" si="257"/>
        <v>1:12000:5</v>
      </c>
      <c r="N326" s="16" t="str">
        <f t="shared" si="207"/>
        <v>102:1</v>
      </c>
      <c r="O326" s="17">
        <f t="shared" si="264"/>
        <v>3</v>
      </c>
      <c r="P326" s="21" t="str">
        <f t="shared" si="265"/>
        <v>所有步兵攻击增加:1</v>
      </c>
      <c r="Q326" s="21"/>
      <c r="R326" t="str">
        <f t="shared" si="258"/>
        <v>攻击</v>
      </c>
      <c r="T326" t="str">
        <f t="shared" si="266"/>
        <v>:1</v>
      </c>
      <c r="U326" t="str">
        <f t="shared" si="267"/>
        <v>步兵</v>
      </c>
      <c r="V326" t="s">
        <v>4275</v>
      </c>
      <c r="W326">
        <f>属性类型!G326</f>
        <v>102</v>
      </c>
      <c r="X326">
        <v>1</v>
      </c>
    </row>
    <row r="327" customFormat="1" ht="16.5" spans="1:24">
      <c r="A327" s="18">
        <f>A311+100</f>
        <v>12300</v>
      </c>
      <c r="B327" s="18">
        <f t="shared" si="259"/>
        <v>12300</v>
      </c>
      <c r="C327" s="18" t="str">
        <f t="shared" si="260"/>
        <v>1</v>
      </c>
      <c r="D327" s="12">
        <f t="shared" si="247"/>
        <v>10003</v>
      </c>
      <c r="E327" s="17">
        <v>1</v>
      </c>
      <c r="F327" s="18">
        <f t="shared" si="261"/>
        <v>3</v>
      </c>
      <c r="G327" s="18" t="s">
        <v>590</v>
      </c>
      <c r="H327" s="18" t="s">
        <v>96</v>
      </c>
      <c r="I327" s="20">
        <v>0</v>
      </c>
      <c r="J327" s="18">
        <v>0</v>
      </c>
      <c r="K327" s="18">
        <f t="shared" ref="K327:K336" si="268">A328</f>
        <v>12301</v>
      </c>
      <c r="L327" s="18" t="s">
        <v>206</v>
      </c>
      <c r="M327" s="18" t="s">
        <v>545</v>
      </c>
      <c r="N327" s="16" t="str">
        <f t="shared" si="207"/>
        <v>104:1</v>
      </c>
      <c r="O327" s="18">
        <f t="shared" si="264"/>
        <v>4</v>
      </c>
      <c r="P327" s="21" t="str">
        <f>$R$1&amp;R327&amp;$Q$1&amp;T327</f>
        <v>所有步兵魔防增加1</v>
      </c>
      <c r="Q327" s="21"/>
      <c r="R327" t="s">
        <v>4276</v>
      </c>
      <c r="T327" t="str">
        <f>RIGHT(N327,1)</f>
        <v>1</v>
      </c>
      <c r="U327" t="str">
        <f t="shared" si="267"/>
        <v>步兵</v>
      </c>
      <c r="V327" t="s">
        <v>4277</v>
      </c>
      <c r="W327">
        <f>属性类型!G327</f>
        <v>104</v>
      </c>
      <c r="X327">
        <v>1</v>
      </c>
    </row>
    <row r="328" customFormat="1" ht="16.5" spans="1:24">
      <c r="A328" s="17">
        <f t="shared" ref="A328:A342" si="269">A327+1</f>
        <v>12301</v>
      </c>
      <c r="B328" s="17">
        <f t="shared" si="259"/>
        <v>12300</v>
      </c>
      <c r="C328" s="17" t="str">
        <f t="shared" si="260"/>
        <v>1</v>
      </c>
      <c r="D328" s="12">
        <f t="shared" si="247"/>
        <v>10003</v>
      </c>
      <c r="E328" s="17">
        <v>1</v>
      </c>
      <c r="F328" s="17">
        <f t="shared" si="261"/>
        <v>3</v>
      </c>
      <c r="G328" s="17" t="str">
        <f t="shared" ref="G328:G337" si="270">G327</f>
        <v>高级魔防</v>
      </c>
      <c r="H328" s="17" t="str">
        <f t="shared" ref="H328:H337" si="271">H327</f>
        <v>icon_04</v>
      </c>
      <c r="I328" s="20">
        <v>0</v>
      </c>
      <c r="J328" s="17">
        <v>1</v>
      </c>
      <c r="K328" s="17">
        <f t="shared" si="268"/>
        <v>12302</v>
      </c>
      <c r="L328" s="17" t="s">
        <v>211</v>
      </c>
      <c r="M328" s="17" t="str">
        <f t="shared" ref="M328:M342" si="272">M327</f>
        <v>1:12000:5</v>
      </c>
      <c r="N328" s="16" t="str">
        <f t="shared" si="207"/>
        <v>104:1</v>
      </c>
      <c r="O328" s="17">
        <f t="shared" si="264"/>
        <v>4</v>
      </c>
      <c r="P328" s="21" t="str">
        <f>$R$1&amp;R328&amp;$Q$1&amp;T328</f>
        <v>所有步兵魔防增加:1</v>
      </c>
      <c r="Q328" s="21"/>
      <c r="R328" t="str">
        <f t="shared" si="258"/>
        <v>魔防</v>
      </c>
      <c r="T328" t="str">
        <f t="shared" si="266"/>
        <v>:1</v>
      </c>
      <c r="U328" t="str">
        <f t="shared" si="267"/>
        <v>步兵</v>
      </c>
      <c r="V328" t="s">
        <v>4277</v>
      </c>
      <c r="W328">
        <f>属性类型!G328</f>
        <v>104</v>
      </c>
      <c r="X328">
        <v>1</v>
      </c>
    </row>
    <row r="329" customFormat="1" ht="16.5" spans="1:24">
      <c r="A329" s="17">
        <f t="shared" si="269"/>
        <v>12302</v>
      </c>
      <c r="B329" s="17">
        <f t="shared" si="259"/>
        <v>12300</v>
      </c>
      <c r="C329" s="17" t="str">
        <f t="shared" si="260"/>
        <v>1</v>
      </c>
      <c r="D329" s="12">
        <f t="shared" si="247"/>
        <v>10003</v>
      </c>
      <c r="E329" s="17">
        <v>1</v>
      </c>
      <c r="F329" s="17">
        <f t="shared" si="261"/>
        <v>3</v>
      </c>
      <c r="G329" s="17" t="str">
        <f t="shared" si="270"/>
        <v>高级魔防</v>
      </c>
      <c r="H329" s="17" t="str">
        <f t="shared" si="271"/>
        <v>icon_04</v>
      </c>
      <c r="I329" s="20">
        <v>0</v>
      </c>
      <c r="J329" s="17">
        <v>2</v>
      </c>
      <c r="K329" s="17">
        <f t="shared" si="268"/>
        <v>12303</v>
      </c>
      <c r="L329" s="17" t="s">
        <v>215</v>
      </c>
      <c r="M329" s="17" t="str">
        <f t="shared" si="272"/>
        <v>1:12000:5</v>
      </c>
      <c r="N329" s="16" t="str">
        <f t="shared" si="207"/>
        <v>104:1</v>
      </c>
      <c r="O329" s="17">
        <f t="shared" si="264"/>
        <v>4</v>
      </c>
      <c r="P329" s="21" t="str">
        <f>$R$1&amp;R329&amp;$Q$1&amp;T329</f>
        <v>所有步兵魔防增加:1</v>
      </c>
      <c r="Q329" s="21"/>
      <c r="R329" t="str">
        <f t="shared" si="258"/>
        <v>魔防</v>
      </c>
      <c r="T329" t="str">
        <f t="shared" si="266"/>
        <v>:1</v>
      </c>
      <c r="U329" t="str">
        <f t="shared" si="267"/>
        <v>步兵</v>
      </c>
      <c r="V329" t="s">
        <v>4277</v>
      </c>
      <c r="W329">
        <f>属性类型!G329</f>
        <v>104</v>
      </c>
      <c r="X329">
        <v>1</v>
      </c>
    </row>
    <row r="330" customFormat="1" ht="16.5" spans="1:24">
      <c r="A330" s="17">
        <f t="shared" si="269"/>
        <v>12303</v>
      </c>
      <c r="B330" s="17">
        <f t="shared" si="259"/>
        <v>12300</v>
      </c>
      <c r="C330" s="17" t="str">
        <f t="shared" si="260"/>
        <v>1</v>
      </c>
      <c r="D330" s="12">
        <f t="shared" si="247"/>
        <v>10003</v>
      </c>
      <c r="E330" s="17">
        <v>1</v>
      </c>
      <c r="F330" s="17">
        <f t="shared" si="261"/>
        <v>3</v>
      </c>
      <c r="G330" s="17" t="str">
        <f t="shared" si="270"/>
        <v>高级魔防</v>
      </c>
      <c r="H330" s="17" t="str">
        <f t="shared" si="271"/>
        <v>icon_04</v>
      </c>
      <c r="I330" s="20">
        <v>0</v>
      </c>
      <c r="J330" s="17">
        <v>3</v>
      </c>
      <c r="K330" s="17">
        <f t="shared" si="268"/>
        <v>12304</v>
      </c>
      <c r="L330" s="17" t="s">
        <v>218</v>
      </c>
      <c r="M330" s="17" t="str">
        <f t="shared" si="272"/>
        <v>1:12000:5</v>
      </c>
      <c r="N330" s="16" t="str">
        <f t="shared" si="207"/>
        <v>104:1</v>
      </c>
      <c r="O330" s="17">
        <f t="shared" si="264"/>
        <v>4</v>
      </c>
      <c r="P330" s="21" t="str">
        <f>$R$1&amp;R330&amp;$Q$1&amp;T330</f>
        <v>所有步兵魔防增加:1</v>
      </c>
      <c r="Q330" s="21"/>
      <c r="R330" t="str">
        <f t="shared" si="258"/>
        <v>魔防</v>
      </c>
      <c r="T330" t="str">
        <f t="shared" si="266"/>
        <v>:1</v>
      </c>
      <c r="U330" t="str">
        <f t="shared" si="267"/>
        <v>步兵</v>
      </c>
      <c r="V330" t="s">
        <v>4277</v>
      </c>
      <c r="W330">
        <f>属性类型!G330</f>
        <v>104</v>
      </c>
      <c r="X330">
        <v>1</v>
      </c>
    </row>
    <row r="331" customFormat="1" ht="16.5" spans="1:24">
      <c r="A331" s="17">
        <f t="shared" si="269"/>
        <v>12304</v>
      </c>
      <c r="B331" s="17">
        <f t="shared" si="259"/>
        <v>12300</v>
      </c>
      <c r="C331" s="17" t="str">
        <f t="shared" si="260"/>
        <v>1</v>
      </c>
      <c r="D331" s="12">
        <f t="shared" si="247"/>
        <v>10003</v>
      </c>
      <c r="E331" s="17">
        <v>1</v>
      </c>
      <c r="F331" s="17">
        <f t="shared" si="261"/>
        <v>3</v>
      </c>
      <c r="G331" s="17" t="str">
        <f t="shared" si="270"/>
        <v>高级魔防</v>
      </c>
      <c r="H331" s="17" t="str">
        <f t="shared" si="271"/>
        <v>icon_04</v>
      </c>
      <c r="I331" s="20">
        <v>0</v>
      </c>
      <c r="J331" s="17">
        <v>4</v>
      </c>
      <c r="K331" s="17">
        <f t="shared" si="268"/>
        <v>12305</v>
      </c>
      <c r="L331" s="17" t="s">
        <v>221</v>
      </c>
      <c r="M331" s="17" t="str">
        <f t="shared" si="272"/>
        <v>1:12000:5</v>
      </c>
      <c r="N331" s="16" t="str">
        <f t="shared" ref="N331:N394" si="273">W331&amp;$W$2&amp;X331</f>
        <v>104:1</v>
      </c>
      <c r="O331" s="17">
        <f t="shared" si="264"/>
        <v>4</v>
      </c>
      <c r="P331" s="21" t="str">
        <f>$R$1&amp;R331&amp;$Q$1&amp;T331</f>
        <v>所有步兵魔防增加:1</v>
      </c>
      <c r="Q331" s="21"/>
      <c r="R331" t="str">
        <f t="shared" si="258"/>
        <v>魔防</v>
      </c>
      <c r="T331" t="str">
        <f t="shared" si="266"/>
        <v>:1</v>
      </c>
      <c r="U331" t="str">
        <f t="shared" si="267"/>
        <v>步兵</v>
      </c>
      <c r="V331" t="s">
        <v>4277</v>
      </c>
      <c r="W331">
        <f>属性类型!G331</f>
        <v>104</v>
      </c>
      <c r="X331">
        <v>1</v>
      </c>
    </row>
    <row r="332" customFormat="1" ht="16.5" spans="1:24">
      <c r="A332" s="17">
        <f t="shared" si="269"/>
        <v>12305</v>
      </c>
      <c r="B332" s="17">
        <f t="shared" si="259"/>
        <v>12300</v>
      </c>
      <c r="C332" s="17" t="str">
        <f t="shared" si="260"/>
        <v>1</v>
      </c>
      <c r="D332" s="12">
        <f t="shared" si="247"/>
        <v>10003</v>
      </c>
      <c r="E332" s="17">
        <v>1</v>
      </c>
      <c r="F332" s="17">
        <f t="shared" si="261"/>
        <v>3</v>
      </c>
      <c r="G332" s="17" t="str">
        <f t="shared" si="270"/>
        <v>高级魔防</v>
      </c>
      <c r="H332" s="17" t="str">
        <f t="shared" si="271"/>
        <v>icon_04</v>
      </c>
      <c r="I332" s="20">
        <v>0</v>
      </c>
      <c r="J332" s="17">
        <v>5</v>
      </c>
      <c r="K332" s="17">
        <f t="shared" si="268"/>
        <v>12306</v>
      </c>
      <c r="L332" s="17" t="s">
        <v>224</v>
      </c>
      <c r="M332" s="17" t="str">
        <f t="shared" si="272"/>
        <v>1:12000:5</v>
      </c>
      <c r="N332" s="16" t="str">
        <f t="shared" si="273"/>
        <v>104:1</v>
      </c>
      <c r="O332" s="17">
        <f t="shared" si="264"/>
        <v>4</v>
      </c>
      <c r="P332" s="21" t="str">
        <f>$R$1&amp;R332&amp;$Q$1&amp;T332</f>
        <v>所有步兵魔防增加:1</v>
      </c>
      <c r="Q332" s="21"/>
      <c r="R332" t="str">
        <f t="shared" si="258"/>
        <v>魔防</v>
      </c>
      <c r="T332" t="str">
        <f t="shared" si="266"/>
        <v>:1</v>
      </c>
      <c r="U332" t="str">
        <f t="shared" si="267"/>
        <v>步兵</v>
      </c>
      <c r="V332" t="s">
        <v>4277</v>
      </c>
      <c r="W332">
        <f>属性类型!G332</f>
        <v>104</v>
      </c>
      <c r="X332">
        <v>1</v>
      </c>
    </row>
    <row r="333" customFormat="1" ht="16.5" spans="1:24">
      <c r="A333" s="17">
        <f t="shared" si="269"/>
        <v>12306</v>
      </c>
      <c r="B333" s="17">
        <f t="shared" si="259"/>
        <v>12300</v>
      </c>
      <c r="C333" s="17" t="str">
        <f t="shared" si="260"/>
        <v>1</v>
      </c>
      <c r="D333" s="12">
        <f t="shared" si="247"/>
        <v>10003</v>
      </c>
      <c r="E333" s="17">
        <v>1</v>
      </c>
      <c r="F333" s="17">
        <f t="shared" si="261"/>
        <v>3</v>
      </c>
      <c r="G333" s="17" t="str">
        <f t="shared" si="270"/>
        <v>高级魔防</v>
      </c>
      <c r="H333" s="17" t="str">
        <f t="shared" si="271"/>
        <v>icon_04</v>
      </c>
      <c r="I333" s="20">
        <v>0</v>
      </c>
      <c r="J333" s="17">
        <v>6</v>
      </c>
      <c r="K333" s="17">
        <f t="shared" si="268"/>
        <v>12307</v>
      </c>
      <c r="L333" s="17" t="s">
        <v>227</v>
      </c>
      <c r="M333" s="17" t="str">
        <f t="shared" si="272"/>
        <v>1:12000:5</v>
      </c>
      <c r="N333" s="16" t="str">
        <f t="shared" si="273"/>
        <v>104:1</v>
      </c>
      <c r="O333" s="17">
        <f t="shared" si="264"/>
        <v>4</v>
      </c>
      <c r="P333" s="21" t="str">
        <f>$R$1&amp;R333&amp;$Q$1&amp;T333</f>
        <v>所有步兵魔防增加:1</v>
      </c>
      <c r="Q333" s="21"/>
      <c r="R333" t="str">
        <f t="shared" si="258"/>
        <v>魔防</v>
      </c>
      <c r="T333" t="str">
        <f t="shared" si="266"/>
        <v>:1</v>
      </c>
      <c r="U333" t="str">
        <f t="shared" si="267"/>
        <v>步兵</v>
      </c>
      <c r="V333" t="s">
        <v>4277</v>
      </c>
      <c r="W333">
        <f>属性类型!G333</f>
        <v>104</v>
      </c>
      <c r="X333">
        <v>1</v>
      </c>
    </row>
    <row r="334" customFormat="1" ht="16.5" spans="1:24">
      <c r="A334" s="17">
        <f t="shared" si="269"/>
        <v>12307</v>
      </c>
      <c r="B334" s="17">
        <f t="shared" si="259"/>
        <v>12300</v>
      </c>
      <c r="C334" s="17" t="str">
        <f t="shared" si="260"/>
        <v>1</v>
      </c>
      <c r="D334" s="12">
        <f t="shared" si="247"/>
        <v>10003</v>
      </c>
      <c r="E334" s="17">
        <v>1</v>
      </c>
      <c r="F334" s="17">
        <f t="shared" si="261"/>
        <v>3</v>
      </c>
      <c r="G334" s="17" t="str">
        <f t="shared" si="270"/>
        <v>高级魔防</v>
      </c>
      <c r="H334" s="17" t="str">
        <f t="shared" si="271"/>
        <v>icon_04</v>
      </c>
      <c r="I334" s="20">
        <v>0</v>
      </c>
      <c r="J334" s="17">
        <v>7</v>
      </c>
      <c r="K334" s="17">
        <f t="shared" si="268"/>
        <v>12308</v>
      </c>
      <c r="L334" s="17" t="s">
        <v>230</v>
      </c>
      <c r="M334" s="17" t="str">
        <f t="shared" si="272"/>
        <v>1:12000:5</v>
      </c>
      <c r="N334" s="16" t="str">
        <f t="shared" si="273"/>
        <v>104:1</v>
      </c>
      <c r="O334" s="17">
        <f t="shared" si="264"/>
        <v>4</v>
      </c>
      <c r="P334" s="21" t="str">
        <f>$R$1&amp;R334&amp;$Q$1&amp;T334</f>
        <v>所有步兵魔防增加:1</v>
      </c>
      <c r="Q334" s="21"/>
      <c r="R334" t="str">
        <f t="shared" si="258"/>
        <v>魔防</v>
      </c>
      <c r="T334" t="str">
        <f t="shared" si="266"/>
        <v>:1</v>
      </c>
      <c r="U334" t="str">
        <f t="shared" si="267"/>
        <v>步兵</v>
      </c>
      <c r="V334" t="s">
        <v>4277</v>
      </c>
      <c r="W334">
        <f>属性类型!G334</f>
        <v>104</v>
      </c>
      <c r="X334">
        <v>1</v>
      </c>
    </row>
    <row r="335" customFormat="1" ht="16.5" spans="1:24">
      <c r="A335" s="17">
        <f t="shared" si="269"/>
        <v>12308</v>
      </c>
      <c r="B335" s="17">
        <f t="shared" ref="B335:B352" si="274">ROUND(A335,-2)</f>
        <v>12300</v>
      </c>
      <c r="C335" s="17" t="str">
        <f t="shared" ref="C335:C352" si="275">LEFT(A335,1)</f>
        <v>1</v>
      </c>
      <c r="D335" s="12">
        <f t="shared" si="247"/>
        <v>10003</v>
      </c>
      <c r="E335" s="17">
        <v>1</v>
      </c>
      <c r="F335" s="17">
        <f t="shared" ref="F335:F352" si="276">MID(B335,2,1)+1</f>
        <v>3</v>
      </c>
      <c r="G335" s="17" t="str">
        <f t="shared" ref="G335:G342" si="277">G334</f>
        <v>高级魔防</v>
      </c>
      <c r="H335" s="17" t="str">
        <f t="shared" ref="H335:H342" si="278">H334</f>
        <v>icon_04</v>
      </c>
      <c r="I335" s="20">
        <v>0</v>
      </c>
      <c r="J335" s="17">
        <v>8</v>
      </c>
      <c r="K335" s="17">
        <f t="shared" ref="K335:K342" si="279">A336</f>
        <v>12309</v>
      </c>
      <c r="L335" s="17" t="s">
        <v>233</v>
      </c>
      <c r="M335" s="17" t="str">
        <f t="shared" si="272"/>
        <v>1:12000:5</v>
      </c>
      <c r="N335" s="16" t="str">
        <f t="shared" si="273"/>
        <v>104:1</v>
      </c>
      <c r="O335" s="17">
        <f t="shared" ref="O335:O352" si="280">MID(A335,3,1)+1</f>
        <v>4</v>
      </c>
      <c r="P335" s="21" t="str">
        <f t="shared" ref="P335:P342" si="281">$R$1&amp;R335&amp;$Q$1&amp;T335</f>
        <v>所有步兵魔防增加:1</v>
      </c>
      <c r="Q335" s="21"/>
      <c r="R335" t="str">
        <f t="shared" si="258"/>
        <v>魔防</v>
      </c>
      <c r="T335" t="str">
        <f t="shared" ref="T335:T352" si="282">RIGHT(N335,2)</f>
        <v>:1</v>
      </c>
      <c r="U335" t="str">
        <f t="shared" si="267"/>
        <v>步兵</v>
      </c>
      <c r="V335" t="s">
        <v>4277</v>
      </c>
      <c r="W335">
        <f>属性类型!G335</f>
        <v>104</v>
      </c>
      <c r="X335">
        <v>1</v>
      </c>
    </row>
    <row r="336" customFormat="1" ht="16.5" spans="1:24">
      <c r="A336" s="17">
        <f t="shared" si="269"/>
        <v>12309</v>
      </c>
      <c r="B336" s="17">
        <f t="shared" si="274"/>
        <v>12300</v>
      </c>
      <c r="C336" s="17" t="str">
        <f t="shared" si="275"/>
        <v>1</v>
      </c>
      <c r="D336" s="12">
        <f t="shared" si="247"/>
        <v>10003</v>
      </c>
      <c r="E336" s="17">
        <v>1</v>
      </c>
      <c r="F336" s="17">
        <f t="shared" si="276"/>
        <v>3</v>
      </c>
      <c r="G336" s="17" t="str">
        <f t="shared" si="277"/>
        <v>高级魔防</v>
      </c>
      <c r="H336" s="17" t="str">
        <f t="shared" si="278"/>
        <v>icon_04</v>
      </c>
      <c r="I336" s="20">
        <v>0</v>
      </c>
      <c r="J336" s="17">
        <v>9</v>
      </c>
      <c r="K336" s="17">
        <f t="shared" si="279"/>
        <v>12310</v>
      </c>
      <c r="L336" s="17" t="s">
        <v>236</v>
      </c>
      <c r="M336" s="17" t="str">
        <f t="shared" si="272"/>
        <v>1:12000:5</v>
      </c>
      <c r="N336" s="16" t="str">
        <f t="shared" si="273"/>
        <v>104:1</v>
      </c>
      <c r="O336" s="17">
        <f t="shared" si="280"/>
        <v>4</v>
      </c>
      <c r="P336" s="21" t="str">
        <f t="shared" si="281"/>
        <v>所有步兵魔防增加:1</v>
      </c>
      <c r="Q336" s="21"/>
      <c r="R336" t="str">
        <f t="shared" si="258"/>
        <v>魔防</v>
      </c>
      <c r="T336" t="str">
        <f t="shared" si="282"/>
        <v>:1</v>
      </c>
      <c r="U336" t="str">
        <f t="shared" si="267"/>
        <v>步兵</v>
      </c>
      <c r="V336" t="s">
        <v>4277</v>
      </c>
      <c r="W336">
        <f>属性类型!G336</f>
        <v>104</v>
      </c>
      <c r="X336">
        <v>1</v>
      </c>
    </row>
    <row r="337" customFormat="1" ht="16.5" spans="1:24">
      <c r="A337" s="17">
        <f t="shared" si="269"/>
        <v>12310</v>
      </c>
      <c r="B337" s="17">
        <f t="shared" si="274"/>
        <v>12300</v>
      </c>
      <c r="C337" s="17" t="str">
        <f t="shared" si="275"/>
        <v>1</v>
      </c>
      <c r="D337" s="12">
        <f t="shared" si="247"/>
        <v>10003</v>
      </c>
      <c r="E337" s="17">
        <v>1</v>
      </c>
      <c r="F337" s="17">
        <f t="shared" si="276"/>
        <v>3</v>
      </c>
      <c r="G337" s="17" t="str">
        <f t="shared" si="277"/>
        <v>高级魔防</v>
      </c>
      <c r="H337" s="17" t="str">
        <f t="shared" si="278"/>
        <v>icon_04</v>
      </c>
      <c r="I337" s="20">
        <v>0</v>
      </c>
      <c r="J337" s="17">
        <v>10</v>
      </c>
      <c r="K337" s="17">
        <f t="shared" si="279"/>
        <v>12311</v>
      </c>
      <c r="L337" s="17" t="s">
        <v>238</v>
      </c>
      <c r="M337" s="17" t="str">
        <f t="shared" si="272"/>
        <v>1:12000:5</v>
      </c>
      <c r="N337" s="16" t="str">
        <f t="shared" si="273"/>
        <v>104:1</v>
      </c>
      <c r="O337" s="17">
        <f t="shared" si="280"/>
        <v>4</v>
      </c>
      <c r="P337" s="21" t="str">
        <f t="shared" si="281"/>
        <v>所有步兵魔防增加:1</v>
      </c>
      <c r="Q337" s="21"/>
      <c r="R337" t="str">
        <f t="shared" si="258"/>
        <v>魔防</v>
      </c>
      <c r="T337" t="str">
        <f t="shared" si="282"/>
        <v>:1</v>
      </c>
      <c r="U337" t="str">
        <f t="shared" si="267"/>
        <v>步兵</v>
      </c>
      <c r="V337" t="s">
        <v>4277</v>
      </c>
      <c r="W337">
        <f>属性类型!G337</f>
        <v>104</v>
      </c>
      <c r="X337">
        <v>1</v>
      </c>
    </row>
    <row r="338" customFormat="1" ht="16.5" spans="1:24">
      <c r="A338" s="17">
        <f t="shared" si="269"/>
        <v>12311</v>
      </c>
      <c r="B338" s="17">
        <f t="shared" si="274"/>
        <v>12300</v>
      </c>
      <c r="C338" s="17" t="str">
        <f t="shared" si="275"/>
        <v>1</v>
      </c>
      <c r="D338" s="12">
        <f t="shared" si="247"/>
        <v>10003</v>
      </c>
      <c r="E338" s="17">
        <v>1</v>
      </c>
      <c r="F338" s="17">
        <f t="shared" si="276"/>
        <v>3</v>
      </c>
      <c r="G338" s="17" t="str">
        <f t="shared" si="277"/>
        <v>高级魔防</v>
      </c>
      <c r="H338" s="17" t="str">
        <f t="shared" si="278"/>
        <v>icon_04</v>
      </c>
      <c r="I338" s="20">
        <v>0</v>
      </c>
      <c r="J338" s="17">
        <v>11</v>
      </c>
      <c r="K338" s="17">
        <f t="shared" si="279"/>
        <v>12312</v>
      </c>
      <c r="L338" s="17" t="s">
        <v>529</v>
      </c>
      <c r="M338" s="17" t="str">
        <f t="shared" si="272"/>
        <v>1:12000:5</v>
      </c>
      <c r="N338" s="16" t="str">
        <f t="shared" si="273"/>
        <v>104:1</v>
      </c>
      <c r="O338" s="17">
        <f t="shared" si="280"/>
        <v>4</v>
      </c>
      <c r="P338" s="21" t="str">
        <f t="shared" si="281"/>
        <v>所有步兵魔防增加:1</v>
      </c>
      <c r="Q338" s="21"/>
      <c r="R338" t="str">
        <f t="shared" si="258"/>
        <v>魔防</v>
      </c>
      <c r="T338" t="str">
        <f t="shared" si="282"/>
        <v>:1</v>
      </c>
      <c r="U338" t="str">
        <f t="shared" si="267"/>
        <v>步兵</v>
      </c>
      <c r="V338" t="s">
        <v>4277</v>
      </c>
      <c r="W338">
        <f>属性类型!G338</f>
        <v>104</v>
      </c>
      <c r="X338">
        <v>1</v>
      </c>
    </row>
    <row r="339" customFormat="1" ht="16.5" spans="1:24">
      <c r="A339" s="17">
        <f t="shared" si="269"/>
        <v>12312</v>
      </c>
      <c r="B339" s="17">
        <f t="shared" si="274"/>
        <v>12300</v>
      </c>
      <c r="C339" s="17" t="str">
        <f t="shared" si="275"/>
        <v>1</v>
      </c>
      <c r="D339" s="12">
        <f t="shared" si="247"/>
        <v>10003</v>
      </c>
      <c r="E339" s="17">
        <v>1</v>
      </c>
      <c r="F339" s="17">
        <f t="shared" si="276"/>
        <v>3</v>
      </c>
      <c r="G339" s="17" t="str">
        <f t="shared" si="277"/>
        <v>高级魔防</v>
      </c>
      <c r="H339" s="17" t="str">
        <f t="shared" si="278"/>
        <v>icon_04</v>
      </c>
      <c r="I339" s="20">
        <v>0</v>
      </c>
      <c r="J339" s="17">
        <v>12</v>
      </c>
      <c r="K339" s="17">
        <f t="shared" si="279"/>
        <v>12313</v>
      </c>
      <c r="L339" s="17" t="s">
        <v>532</v>
      </c>
      <c r="M339" s="17" t="str">
        <f t="shared" si="272"/>
        <v>1:12000:5</v>
      </c>
      <c r="N339" s="16" t="str">
        <f t="shared" si="273"/>
        <v>104:1</v>
      </c>
      <c r="O339" s="17">
        <f t="shared" si="280"/>
        <v>4</v>
      </c>
      <c r="P339" s="21" t="str">
        <f t="shared" si="281"/>
        <v>所有步兵魔防增加:1</v>
      </c>
      <c r="Q339" s="21"/>
      <c r="R339" t="str">
        <f t="shared" si="258"/>
        <v>魔防</v>
      </c>
      <c r="T339" t="str">
        <f t="shared" si="282"/>
        <v>:1</v>
      </c>
      <c r="U339" t="str">
        <f t="shared" si="267"/>
        <v>步兵</v>
      </c>
      <c r="V339" t="s">
        <v>4277</v>
      </c>
      <c r="W339">
        <f>属性类型!G339</f>
        <v>104</v>
      </c>
      <c r="X339">
        <v>1</v>
      </c>
    </row>
    <row r="340" customFormat="1" ht="16.5" spans="1:24">
      <c r="A340" s="17">
        <f t="shared" si="269"/>
        <v>12313</v>
      </c>
      <c r="B340" s="17">
        <f t="shared" si="274"/>
        <v>12300</v>
      </c>
      <c r="C340" s="17" t="str">
        <f t="shared" si="275"/>
        <v>1</v>
      </c>
      <c r="D340" s="12">
        <f t="shared" si="247"/>
        <v>10003</v>
      </c>
      <c r="E340" s="17">
        <v>1</v>
      </c>
      <c r="F340" s="17">
        <f t="shared" si="276"/>
        <v>3</v>
      </c>
      <c r="G340" s="17" t="str">
        <f t="shared" si="277"/>
        <v>高级魔防</v>
      </c>
      <c r="H340" s="17" t="str">
        <f t="shared" si="278"/>
        <v>icon_04</v>
      </c>
      <c r="I340" s="20">
        <v>0</v>
      </c>
      <c r="J340" s="17">
        <v>13</v>
      </c>
      <c r="K340" s="17">
        <f t="shared" si="279"/>
        <v>12314</v>
      </c>
      <c r="L340" s="17" t="s">
        <v>561</v>
      </c>
      <c r="M340" s="17" t="str">
        <f t="shared" si="272"/>
        <v>1:12000:5</v>
      </c>
      <c r="N340" s="16" t="str">
        <f t="shared" si="273"/>
        <v>104:1</v>
      </c>
      <c r="O340" s="17">
        <f t="shared" si="280"/>
        <v>4</v>
      </c>
      <c r="P340" s="21" t="str">
        <f t="shared" si="281"/>
        <v>所有步兵魔防增加:1</v>
      </c>
      <c r="Q340" s="21"/>
      <c r="R340" t="str">
        <f t="shared" si="258"/>
        <v>魔防</v>
      </c>
      <c r="T340" t="str">
        <f t="shared" si="282"/>
        <v>:1</v>
      </c>
      <c r="U340" t="str">
        <f t="shared" si="267"/>
        <v>步兵</v>
      </c>
      <c r="V340" t="s">
        <v>4277</v>
      </c>
      <c r="W340">
        <f>属性类型!G340</f>
        <v>104</v>
      </c>
      <c r="X340">
        <v>1</v>
      </c>
    </row>
    <row r="341" customFormat="1" ht="16.5" spans="1:24">
      <c r="A341" s="17">
        <f t="shared" si="269"/>
        <v>12314</v>
      </c>
      <c r="B341" s="17">
        <f t="shared" si="274"/>
        <v>12300</v>
      </c>
      <c r="C341" s="17" t="str">
        <f t="shared" si="275"/>
        <v>1</v>
      </c>
      <c r="D341" s="12">
        <f t="shared" si="247"/>
        <v>10003</v>
      </c>
      <c r="E341" s="17">
        <v>1</v>
      </c>
      <c r="F341" s="17">
        <f t="shared" si="276"/>
        <v>3</v>
      </c>
      <c r="G341" s="17" t="str">
        <f t="shared" si="277"/>
        <v>高级魔防</v>
      </c>
      <c r="H341" s="17" t="str">
        <f t="shared" si="278"/>
        <v>icon_04</v>
      </c>
      <c r="I341" s="20">
        <v>0</v>
      </c>
      <c r="J341" s="17">
        <v>14</v>
      </c>
      <c r="K341" s="17">
        <f t="shared" si="279"/>
        <v>12315</v>
      </c>
      <c r="L341" s="17" t="s">
        <v>564</v>
      </c>
      <c r="M341" s="17" t="str">
        <f t="shared" si="272"/>
        <v>1:12000:5</v>
      </c>
      <c r="N341" s="16" t="str">
        <f t="shared" si="273"/>
        <v>104:1</v>
      </c>
      <c r="O341" s="17">
        <f t="shared" si="280"/>
        <v>4</v>
      </c>
      <c r="P341" s="21" t="str">
        <f t="shared" si="281"/>
        <v>所有步兵魔防增加:1</v>
      </c>
      <c r="Q341" s="21"/>
      <c r="R341" t="str">
        <f t="shared" si="258"/>
        <v>魔防</v>
      </c>
      <c r="T341" t="str">
        <f t="shared" si="282"/>
        <v>:1</v>
      </c>
      <c r="U341" t="str">
        <f t="shared" si="267"/>
        <v>步兵</v>
      </c>
      <c r="V341" t="s">
        <v>4277</v>
      </c>
      <c r="W341">
        <f>属性类型!G341</f>
        <v>104</v>
      </c>
      <c r="X341">
        <v>1</v>
      </c>
    </row>
    <row r="342" customFormat="1" ht="16.5" spans="1:24">
      <c r="A342" s="17">
        <f t="shared" si="269"/>
        <v>12315</v>
      </c>
      <c r="B342" s="17">
        <f t="shared" si="274"/>
        <v>12300</v>
      </c>
      <c r="C342" s="17" t="str">
        <f t="shared" si="275"/>
        <v>1</v>
      </c>
      <c r="D342" s="12">
        <f t="shared" si="247"/>
        <v>10003</v>
      </c>
      <c r="E342" s="17">
        <v>1</v>
      </c>
      <c r="F342" s="17">
        <f t="shared" si="276"/>
        <v>3</v>
      </c>
      <c r="G342" s="17" t="str">
        <f t="shared" si="277"/>
        <v>高级魔防</v>
      </c>
      <c r="H342" s="17" t="str">
        <f t="shared" si="278"/>
        <v>icon_04</v>
      </c>
      <c r="I342" s="20">
        <v>0</v>
      </c>
      <c r="J342" s="17">
        <v>15</v>
      </c>
      <c r="K342" s="17">
        <v>0</v>
      </c>
      <c r="L342" s="17">
        <v>0</v>
      </c>
      <c r="M342" s="17" t="str">
        <f t="shared" si="272"/>
        <v>1:12000:5</v>
      </c>
      <c r="N342" s="16" t="str">
        <f t="shared" si="273"/>
        <v>104:1</v>
      </c>
      <c r="O342" s="17">
        <f t="shared" si="280"/>
        <v>4</v>
      </c>
      <c r="P342" s="21" t="str">
        <f t="shared" si="281"/>
        <v>所有步兵魔防增加:1</v>
      </c>
      <c r="Q342" s="21"/>
      <c r="R342" t="str">
        <f t="shared" si="258"/>
        <v>魔防</v>
      </c>
      <c r="T342" t="str">
        <f t="shared" si="282"/>
        <v>:1</v>
      </c>
      <c r="U342" t="str">
        <f t="shared" si="267"/>
        <v>步兵</v>
      </c>
      <c r="V342" t="s">
        <v>4277</v>
      </c>
      <c r="W342">
        <f>属性类型!G342</f>
        <v>104</v>
      </c>
      <c r="X342">
        <v>1</v>
      </c>
    </row>
    <row r="343" customFormat="1" ht="16.5" spans="1:24">
      <c r="A343" s="18">
        <f>A327+100</f>
        <v>12400</v>
      </c>
      <c r="B343" s="18">
        <f t="shared" si="274"/>
        <v>12400</v>
      </c>
      <c r="C343" s="18" t="str">
        <f t="shared" si="275"/>
        <v>1</v>
      </c>
      <c r="D343" s="12">
        <f t="shared" si="247"/>
        <v>10003</v>
      </c>
      <c r="E343" s="17">
        <v>1</v>
      </c>
      <c r="F343" s="18">
        <f t="shared" si="276"/>
        <v>3</v>
      </c>
      <c r="G343" s="18" t="s">
        <v>612</v>
      </c>
      <c r="H343" s="18" t="s">
        <v>112</v>
      </c>
      <c r="I343" s="20">
        <v>0</v>
      </c>
      <c r="J343" s="18">
        <v>0</v>
      </c>
      <c r="K343" s="18">
        <f t="shared" ref="K343:K352" si="283">A344</f>
        <v>12401</v>
      </c>
      <c r="L343" s="18" t="s">
        <v>206</v>
      </c>
      <c r="M343" s="18" t="s">
        <v>614</v>
      </c>
      <c r="N343" s="16" t="str">
        <f t="shared" si="273"/>
        <v>108:1</v>
      </c>
      <c r="O343" s="18">
        <f t="shared" si="280"/>
        <v>5</v>
      </c>
      <c r="P343" s="21" t="str">
        <f>$R$1&amp;R343&amp;$Q$1&amp;T343</f>
        <v>所有步兵防御百分比增加1</v>
      </c>
      <c r="Q343" s="21"/>
      <c r="R343" t="s">
        <v>4278</v>
      </c>
      <c r="T343" t="str">
        <f>RIGHT(N343,1)</f>
        <v>1</v>
      </c>
      <c r="U343" t="str">
        <f t="shared" si="267"/>
        <v>步兵</v>
      </c>
      <c r="V343" t="s">
        <v>4279</v>
      </c>
      <c r="W343">
        <f>属性类型!G343</f>
        <v>108</v>
      </c>
      <c r="X343">
        <v>1</v>
      </c>
    </row>
    <row r="344" customFormat="1" ht="16.5" spans="1:24">
      <c r="A344" s="17">
        <f t="shared" ref="A344:A359" si="284">A343+1</f>
        <v>12401</v>
      </c>
      <c r="B344" s="17">
        <f t="shared" si="274"/>
        <v>12400</v>
      </c>
      <c r="C344" s="17" t="str">
        <f t="shared" si="275"/>
        <v>1</v>
      </c>
      <c r="D344" s="12">
        <f t="shared" si="247"/>
        <v>10003</v>
      </c>
      <c r="E344" s="17">
        <v>1</v>
      </c>
      <c r="F344" s="17">
        <f t="shared" si="276"/>
        <v>3</v>
      </c>
      <c r="G344" s="17" t="str">
        <f t="shared" ref="G344:G353" si="285">G343</f>
        <v>高级防御百分比</v>
      </c>
      <c r="H344" s="17" t="str">
        <f t="shared" ref="H344:H353" si="286">H343</f>
        <v>icon_05</v>
      </c>
      <c r="I344" s="20">
        <v>0</v>
      </c>
      <c r="J344" s="17">
        <v>1</v>
      </c>
      <c r="K344" s="17">
        <f t="shared" si="283"/>
        <v>12402</v>
      </c>
      <c r="L344" s="17" t="s">
        <v>211</v>
      </c>
      <c r="M344" s="17" t="str">
        <f t="shared" ref="M344:M353" si="287">M343</f>
        <v>1:12100:10</v>
      </c>
      <c r="N344" s="16" t="str">
        <f t="shared" si="273"/>
        <v>108:1</v>
      </c>
      <c r="O344" s="17">
        <f t="shared" si="280"/>
        <v>5</v>
      </c>
      <c r="P344" s="21" t="str">
        <f>$R$1&amp;R344&amp;$Q$1&amp;T344</f>
        <v>所有步兵防御百分比增加:1</v>
      </c>
      <c r="Q344" s="21"/>
      <c r="R344" t="str">
        <f t="shared" si="258"/>
        <v>防御百分比</v>
      </c>
      <c r="T344" t="str">
        <f t="shared" si="282"/>
        <v>:1</v>
      </c>
      <c r="U344" t="str">
        <f t="shared" si="267"/>
        <v>步兵</v>
      </c>
      <c r="V344" t="s">
        <v>4279</v>
      </c>
      <c r="W344">
        <f>属性类型!G344</f>
        <v>108</v>
      </c>
      <c r="X344">
        <v>1</v>
      </c>
    </row>
    <row r="345" customFormat="1" ht="16.5" spans="1:24">
      <c r="A345" s="17">
        <f t="shared" si="284"/>
        <v>12402</v>
      </c>
      <c r="B345" s="17">
        <f t="shared" si="274"/>
        <v>12400</v>
      </c>
      <c r="C345" s="17" t="str">
        <f t="shared" si="275"/>
        <v>1</v>
      </c>
      <c r="D345" s="12">
        <f t="shared" si="247"/>
        <v>10003</v>
      </c>
      <c r="E345" s="17">
        <v>1</v>
      </c>
      <c r="F345" s="17">
        <f t="shared" si="276"/>
        <v>3</v>
      </c>
      <c r="G345" s="17" t="str">
        <f t="shared" si="285"/>
        <v>高级防御百分比</v>
      </c>
      <c r="H345" s="17" t="str">
        <f t="shared" si="286"/>
        <v>icon_05</v>
      </c>
      <c r="I345" s="20">
        <v>0</v>
      </c>
      <c r="J345" s="17">
        <v>2</v>
      </c>
      <c r="K345" s="17">
        <f t="shared" si="283"/>
        <v>12403</v>
      </c>
      <c r="L345" s="17" t="s">
        <v>215</v>
      </c>
      <c r="M345" s="17" t="str">
        <f t="shared" si="287"/>
        <v>1:12100:10</v>
      </c>
      <c r="N345" s="16" t="str">
        <f t="shared" si="273"/>
        <v>108:1</v>
      </c>
      <c r="O345" s="17">
        <f t="shared" si="280"/>
        <v>5</v>
      </c>
      <c r="P345" s="21" t="str">
        <f>$R$1&amp;R345&amp;$Q$1&amp;T345</f>
        <v>所有步兵防御百分比增加:1</v>
      </c>
      <c r="Q345" s="21"/>
      <c r="R345" t="str">
        <f t="shared" si="258"/>
        <v>防御百分比</v>
      </c>
      <c r="T345" t="str">
        <f t="shared" si="282"/>
        <v>:1</v>
      </c>
      <c r="U345" t="str">
        <f t="shared" si="267"/>
        <v>步兵</v>
      </c>
      <c r="V345" t="s">
        <v>4279</v>
      </c>
      <c r="W345">
        <f>属性类型!G345</f>
        <v>108</v>
      </c>
      <c r="X345">
        <v>1</v>
      </c>
    </row>
    <row r="346" customFormat="1" ht="16.5" spans="1:24">
      <c r="A346" s="17">
        <f t="shared" si="284"/>
        <v>12403</v>
      </c>
      <c r="B346" s="17">
        <f t="shared" si="274"/>
        <v>12400</v>
      </c>
      <c r="C346" s="17" t="str">
        <f t="shared" si="275"/>
        <v>1</v>
      </c>
      <c r="D346" s="12">
        <f t="shared" si="247"/>
        <v>10003</v>
      </c>
      <c r="E346" s="17">
        <v>1</v>
      </c>
      <c r="F346" s="17">
        <f t="shared" si="276"/>
        <v>3</v>
      </c>
      <c r="G346" s="17" t="str">
        <f t="shared" si="285"/>
        <v>高级防御百分比</v>
      </c>
      <c r="H346" s="17" t="str">
        <f t="shared" si="286"/>
        <v>icon_05</v>
      </c>
      <c r="I346" s="20">
        <v>0</v>
      </c>
      <c r="J346" s="17">
        <v>3</v>
      </c>
      <c r="K346" s="17">
        <f t="shared" si="283"/>
        <v>12404</v>
      </c>
      <c r="L346" s="17" t="s">
        <v>218</v>
      </c>
      <c r="M346" s="17" t="str">
        <f t="shared" si="287"/>
        <v>1:12100:10</v>
      </c>
      <c r="N346" s="16" t="str">
        <f t="shared" si="273"/>
        <v>108:1</v>
      </c>
      <c r="O346" s="17">
        <f t="shared" si="280"/>
        <v>5</v>
      </c>
      <c r="P346" s="21" t="str">
        <f>$R$1&amp;R346&amp;$Q$1&amp;T346</f>
        <v>所有步兵防御百分比增加:1</v>
      </c>
      <c r="Q346" s="21"/>
      <c r="R346" t="str">
        <f t="shared" si="258"/>
        <v>防御百分比</v>
      </c>
      <c r="T346" t="str">
        <f t="shared" si="282"/>
        <v>:1</v>
      </c>
      <c r="U346" t="str">
        <f t="shared" si="267"/>
        <v>步兵</v>
      </c>
      <c r="V346" t="s">
        <v>4279</v>
      </c>
      <c r="W346">
        <f>属性类型!G346</f>
        <v>108</v>
      </c>
      <c r="X346">
        <v>1</v>
      </c>
    </row>
    <row r="347" customFormat="1" ht="16.5" spans="1:24">
      <c r="A347" s="17">
        <f t="shared" si="284"/>
        <v>12404</v>
      </c>
      <c r="B347" s="17">
        <f t="shared" si="274"/>
        <v>12400</v>
      </c>
      <c r="C347" s="17" t="str">
        <f t="shared" si="275"/>
        <v>1</v>
      </c>
      <c r="D347" s="12">
        <f t="shared" si="247"/>
        <v>10003</v>
      </c>
      <c r="E347" s="17">
        <v>1</v>
      </c>
      <c r="F347" s="17">
        <f t="shared" si="276"/>
        <v>3</v>
      </c>
      <c r="G347" s="17" t="str">
        <f t="shared" si="285"/>
        <v>高级防御百分比</v>
      </c>
      <c r="H347" s="17" t="str">
        <f t="shared" si="286"/>
        <v>icon_05</v>
      </c>
      <c r="I347" s="20">
        <v>0</v>
      </c>
      <c r="J347" s="17">
        <v>4</v>
      </c>
      <c r="K347" s="17">
        <f t="shared" si="283"/>
        <v>12405</v>
      </c>
      <c r="L347" s="17" t="s">
        <v>221</v>
      </c>
      <c r="M347" s="17" t="str">
        <f t="shared" si="287"/>
        <v>1:12100:10</v>
      </c>
      <c r="N347" s="16" t="str">
        <f t="shared" si="273"/>
        <v>108:1</v>
      </c>
      <c r="O347" s="17">
        <f t="shared" si="280"/>
        <v>5</v>
      </c>
      <c r="P347" s="21" t="str">
        <f>$R$1&amp;R347&amp;$Q$1&amp;T347</f>
        <v>所有步兵防御百分比增加:1</v>
      </c>
      <c r="Q347" s="21"/>
      <c r="R347" t="str">
        <f t="shared" si="258"/>
        <v>防御百分比</v>
      </c>
      <c r="T347" t="str">
        <f t="shared" si="282"/>
        <v>:1</v>
      </c>
      <c r="U347" t="str">
        <f t="shared" si="267"/>
        <v>步兵</v>
      </c>
      <c r="V347" t="s">
        <v>4279</v>
      </c>
      <c r="W347">
        <f>属性类型!G347</f>
        <v>108</v>
      </c>
      <c r="X347">
        <v>1</v>
      </c>
    </row>
    <row r="348" customFormat="1" ht="16.5" spans="1:24">
      <c r="A348" s="17">
        <f t="shared" si="284"/>
        <v>12405</v>
      </c>
      <c r="B348" s="17">
        <f t="shared" si="274"/>
        <v>12400</v>
      </c>
      <c r="C348" s="17" t="str">
        <f t="shared" si="275"/>
        <v>1</v>
      </c>
      <c r="D348" s="12">
        <f t="shared" si="247"/>
        <v>10003</v>
      </c>
      <c r="E348" s="17">
        <v>1</v>
      </c>
      <c r="F348" s="17">
        <f t="shared" si="276"/>
        <v>3</v>
      </c>
      <c r="G348" s="17" t="str">
        <f t="shared" si="285"/>
        <v>高级防御百分比</v>
      </c>
      <c r="H348" s="17" t="str">
        <f t="shared" si="286"/>
        <v>icon_05</v>
      </c>
      <c r="I348" s="20">
        <v>0</v>
      </c>
      <c r="J348" s="17">
        <v>5</v>
      </c>
      <c r="K348" s="17">
        <f t="shared" si="283"/>
        <v>12406</v>
      </c>
      <c r="L348" s="17" t="s">
        <v>224</v>
      </c>
      <c r="M348" s="17" t="str">
        <f t="shared" si="287"/>
        <v>1:12100:10</v>
      </c>
      <c r="N348" s="16" t="str">
        <f t="shared" si="273"/>
        <v>108:1</v>
      </c>
      <c r="O348" s="17">
        <f t="shared" si="280"/>
        <v>5</v>
      </c>
      <c r="P348" s="21" t="str">
        <f>$R$1&amp;R348&amp;$Q$1&amp;T348</f>
        <v>所有步兵防御百分比增加:1</v>
      </c>
      <c r="Q348" s="21"/>
      <c r="R348" t="str">
        <f t="shared" si="258"/>
        <v>防御百分比</v>
      </c>
      <c r="T348" t="str">
        <f t="shared" si="282"/>
        <v>:1</v>
      </c>
      <c r="U348" t="str">
        <f t="shared" si="267"/>
        <v>步兵</v>
      </c>
      <c r="V348" t="s">
        <v>4279</v>
      </c>
      <c r="W348">
        <f>属性类型!G348</f>
        <v>108</v>
      </c>
      <c r="X348">
        <v>1</v>
      </c>
    </row>
    <row r="349" customFormat="1" ht="16.5" spans="1:24">
      <c r="A349" s="17">
        <f t="shared" si="284"/>
        <v>12406</v>
      </c>
      <c r="B349" s="17">
        <f t="shared" si="274"/>
        <v>12400</v>
      </c>
      <c r="C349" s="17" t="str">
        <f t="shared" si="275"/>
        <v>1</v>
      </c>
      <c r="D349" s="12">
        <f t="shared" si="247"/>
        <v>10003</v>
      </c>
      <c r="E349" s="17">
        <v>1</v>
      </c>
      <c r="F349" s="17">
        <f t="shared" si="276"/>
        <v>3</v>
      </c>
      <c r="G349" s="17" t="str">
        <f t="shared" si="285"/>
        <v>高级防御百分比</v>
      </c>
      <c r="H349" s="17" t="str">
        <f t="shared" si="286"/>
        <v>icon_05</v>
      </c>
      <c r="I349" s="20">
        <v>0</v>
      </c>
      <c r="J349" s="17">
        <v>6</v>
      </c>
      <c r="K349" s="17">
        <f t="shared" si="283"/>
        <v>12407</v>
      </c>
      <c r="L349" s="17" t="s">
        <v>227</v>
      </c>
      <c r="M349" s="17" t="str">
        <f t="shared" si="287"/>
        <v>1:12100:10</v>
      </c>
      <c r="N349" s="16" t="str">
        <f t="shared" si="273"/>
        <v>108:1</v>
      </c>
      <c r="O349" s="17">
        <f t="shared" si="280"/>
        <v>5</v>
      </c>
      <c r="P349" s="21" t="str">
        <f>$R$1&amp;R349&amp;$Q$1&amp;T349</f>
        <v>所有步兵防御百分比增加:1</v>
      </c>
      <c r="Q349" s="21"/>
      <c r="R349" t="str">
        <f t="shared" si="258"/>
        <v>防御百分比</v>
      </c>
      <c r="T349" t="str">
        <f t="shared" si="282"/>
        <v>:1</v>
      </c>
      <c r="U349" t="str">
        <f t="shared" si="267"/>
        <v>步兵</v>
      </c>
      <c r="V349" t="s">
        <v>4279</v>
      </c>
      <c r="W349">
        <f>属性类型!G349</f>
        <v>108</v>
      </c>
      <c r="X349">
        <v>1</v>
      </c>
    </row>
    <row r="350" customFormat="1" ht="16.5" spans="1:24">
      <c r="A350" s="17">
        <f t="shared" si="284"/>
        <v>12407</v>
      </c>
      <c r="B350" s="17">
        <f t="shared" si="274"/>
        <v>12400</v>
      </c>
      <c r="C350" s="17" t="str">
        <f t="shared" si="275"/>
        <v>1</v>
      </c>
      <c r="D350" s="12">
        <f t="shared" si="247"/>
        <v>10003</v>
      </c>
      <c r="E350" s="17">
        <v>1</v>
      </c>
      <c r="F350" s="17">
        <f t="shared" si="276"/>
        <v>3</v>
      </c>
      <c r="G350" s="17" t="str">
        <f t="shared" si="285"/>
        <v>高级防御百分比</v>
      </c>
      <c r="H350" s="17" t="str">
        <f t="shared" si="286"/>
        <v>icon_05</v>
      </c>
      <c r="I350" s="20">
        <v>0</v>
      </c>
      <c r="J350" s="17">
        <v>7</v>
      </c>
      <c r="K350" s="17">
        <f t="shared" si="283"/>
        <v>12408</v>
      </c>
      <c r="L350" s="17" t="s">
        <v>230</v>
      </c>
      <c r="M350" s="17" t="str">
        <f t="shared" si="287"/>
        <v>1:12100:10</v>
      </c>
      <c r="N350" s="16" t="str">
        <f t="shared" si="273"/>
        <v>108:1</v>
      </c>
      <c r="O350" s="17">
        <f t="shared" si="280"/>
        <v>5</v>
      </c>
      <c r="P350" s="21" t="str">
        <f>$R$1&amp;R350&amp;$Q$1&amp;T350</f>
        <v>所有步兵防御百分比增加:1</v>
      </c>
      <c r="Q350" s="21"/>
      <c r="R350" t="str">
        <f t="shared" si="258"/>
        <v>防御百分比</v>
      </c>
      <c r="T350" t="str">
        <f t="shared" si="282"/>
        <v>:1</v>
      </c>
      <c r="U350" t="str">
        <f t="shared" si="267"/>
        <v>步兵</v>
      </c>
      <c r="V350" t="s">
        <v>4279</v>
      </c>
      <c r="W350">
        <f>属性类型!G350</f>
        <v>108</v>
      </c>
      <c r="X350">
        <v>1</v>
      </c>
    </row>
    <row r="351" customFormat="1" ht="16.5" spans="1:24">
      <c r="A351" s="17">
        <f t="shared" si="284"/>
        <v>12408</v>
      </c>
      <c r="B351" s="17">
        <f t="shared" si="274"/>
        <v>12400</v>
      </c>
      <c r="C351" s="17" t="str">
        <f t="shared" si="275"/>
        <v>1</v>
      </c>
      <c r="D351" s="12">
        <f t="shared" si="247"/>
        <v>10003</v>
      </c>
      <c r="E351" s="17">
        <v>1</v>
      </c>
      <c r="F351" s="17">
        <f t="shared" si="276"/>
        <v>3</v>
      </c>
      <c r="G351" s="17" t="str">
        <f t="shared" si="285"/>
        <v>高级防御百分比</v>
      </c>
      <c r="H351" s="17" t="str">
        <f t="shared" si="286"/>
        <v>icon_05</v>
      </c>
      <c r="I351" s="20">
        <v>0</v>
      </c>
      <c r="J351" s="17">
        <v>8</v>
      </c>
      <c r="K351" s="17">
        <f t="shared" si="283"/>
        <v>12409</v>
      </c>
      <c r="L351" s="17" t="s">
        <v>233</v>
      </c>
      <c r="M351" s="17" t="str">
        <f t="shared" si="287"/>
        <v>1:12100:10</v>
      </c>
      <c r="N351" s="16" t="str">
        <f t="shared" si="273"/>
        <v>108:1</v>
      </c>
      <c r="O351" s="17">
        <f t="shared" si="280"/>
        <v>5</v>
      </c>
      <c r="P351" s="21" t="str">
        <f>$R$1&amp;R351&amp;$Q$1&amp;T351</f>
        <v>所有步兵防御百分比增加:1</v>
      </c>
      <c r="Q351" s="21"/>
      <c r="R351" t="str">
        <f t="shared" si="258"/>
        <v>防御百分比</v>
      </c>
      <c r="T351" t="str">
        <f t="shared" si="282"/>
        <v>:1</v>
      </c>
      <c r="U351" t="str">
        <f t="shared" si="267"/>
        <v>步兵</v>
      </c>
      <c r="V351" t="s">
        <v>4279</v>
      </c>
      <c r="W351">
        <f>属性类型!G351</f>
        <v>108</v>
      </c>
      <c r="X351">
        <v>1</v>
      </c>
    </row>
    <row r="352" customFormat="1" ht="16.5" spans="1:24">
      <c r="A352" s="17">
        <f t="shared" si="284"/>
        <v>12409</v>
      </c>
      <c r="B352" s="17">
        <f t="shared" si="274"/>
        <v>12400</v>
      </c>
      <c r="C352" s="17" t="str">
        <f t="shared" si="275"/>
        <v>1</v>
      </c>
      <c r="D352" s="12">
        <f t="shared" si="247"/>
        <v>10003</v>
      </c>
      <c r="E352" s="17">
        <v>1</v>
      </c>
      <c r="F352" s="17">
        <f t="shared" si="276"/>
        <v>3</v>
      </c>
      <c r="G352" s="17" t="str">
        <f t="shared" si="285"/>
        <v>高级防御百分比</v>
      </c>
      <c r="H352" s="17" t="str">
        <f t="shared" si="286"/>
        <v>icon_05</v>
      </c>
      <c r="I352" s="20">
        <v>0</v>
      </c>
      <c r="J352" s="17">
        <v>9</v>
      </c>
      <c r="K352" s="17">
        <f t="shared" si="283"/>
        <v>12410</v>
      </c>
      <c r="L352" s="17" t="s">
        <v>236</v>
      </c>
      <c r="M352" s="17" t="str">
        <f t="shared" si="287"/>
        <v>1:12100:10</v>
      </c>
      <c r="N352" s="16" t="str">
        <f t="shared" si="273"/>
        <v>108:1</v>
      </c>
      <c r="O352" s="17">
        <f t="shared" si="280"/>
        <v>5</v>
      </c>
      <c r="P352" s="21" t="str">
        <f>$R$1&amp;R352&amp;$Q$1&amp;T352</f>
        <v>所有步兵防御百分比增加:1</v>
      </c>
      <c r="Q352" s="21"/>
      <c r="R352" t="str">
        <f t="shared" si="258"/>
        <v>防御百分比</v>
      </c>
      <c r="T352" t="str">
        <f t="shared" si="282"/>
        <v>:1</v>
      </c>
      <c r="U352" t="str">
        <f t="shared" si="267"/>
        <v>步兵</v>
      </c>
      <c r="V352" t="s">
        <v>4279</v>
      </c>
      <c r="W352">
        <f>属性类型!G352</f>
        <v>108</v>
      </c>
      <c r="X352">
        <v>1</v>
      </c>
    </row>
    <row r="353" customFormat="1" ht="16.5" spans="1:24">
      <c r="A353" s="17">
        <f t="shared" si="284"/>
        <v>12410</v>
      </c>
      <c r="B353" s="17">
        <f t="shared" ref="B353:B373" si="288">ROUND(A353,-2)</f>
        <v>12400</v>
      </c>
      <c r="C353" s="17" t="str">
        <f t="shared" ref="C353:C373" si="289">LEFT(A353,1)</f>
        <v>1</v>
      </c>
      <c r="D353" s="12">
        <f t="shared" si="247"/>
        <v>10003</v>
      </c>
      <c r="E353" s="17">
        <v>1</v>
      </c>
      <c r="F353" s="17">
        <f t="shared" ref="F353:F373" si="290">MID(B353,2,1)+1</f>
        <v>3</v>
      </c>
      <c r="G353" s="17" t="str">
        <f t="shared" ref="G353:G365" si="291">G352</f>
        <v>高级防御百分比</v>
      </c>
      <c r="H353" s="17" t="str">
        <f t="shared" ref="H353:H365" si="292">H352</f>
        <v>icon_05</v>
      </c>
      <c r="I353" s="20">
        <v>0</v>
      </c>
      <c r="J353" s="17">
        <v>10</v>
      </c>
      <c r="K353" s="17">
        <f t="shared" ref="K353:K365" si="293">A354</f>
        <v>12411</v>
      </c>
      <c r="L353" s="17" t="s">
        <v>238</v>
      </c>
      <c r="M353" s="17" t="str">
        <f t="shared" ref="M353:M365" si="294">M352</f>
        <v>1:12100:10</v>
      </c>
      <c r="N353" s="16" t="str">
        <f t="shared" si="273"/>
        <v>108:1</v>
      </c>
      <c r="O353" s="17">
        <f t="shared" ref="O353:O373" si="295">MID(A353,3,1)+1</f>
        <v>5</v>
      </c>
      <c r="P353" s="21" t="str">
        <f t="shared" ref="P353:P365" si="296">$R$1&amp;R353&amp;$Q$1&amp;T353</f>
        <v>所有步兵防御百分比增加:1</v>
      </c>
      <c r="Q353" s="21"/>
      <c r="R353" t="str">
        <f t="shared" si="258"/>
        <v>防御百分比</v>
      </c>
      <c r="T353" t="str">
        <f t="shared" ref="T353:T373" si="297">RIGHT(N353,2)</f>
        <v>:1</v>
      </c>
      <c r="U353" t="str">
        <f t="shared" si="267"/>
        <v>步兵</v>
      </c>
      <c r="V353" t="s">
        <v>4279</v>
      </c>
      <c r="W353">
        <f>属性类型!G353</f>
        <v>108</v>
      </c>
      <c r="X353">
        <v>1</v>
      </c>
    </row>
    <row r="354" customFormat="1" ht="16.5" spans="1:24">
      <c r="A354" s="17">
        <f t="shared" si="284"/>
        <v>12411</v>
      </c>
      <c r="B354" s="17">
        <f t="shared" si="288"/>
        <v>12400</v>
      </c>
      <c r="C354" s="17" t="str">
        <f t="shared" si="289"/>
        <v>1</v>
      </c>
      <c r="D354" s="12">
        <f t="shared" si="247"/>
        <v>10003</v>
      </c>
      <c r="E354" s="17">
        <v>1</v>
      </c>
      <c r="F354" s="17">
        <f t="shared" si="290"/>
        <v>3</v>
      </c>
      <c r="G354" s="17" t="str">
        <f t="shared" si="291"/>
        <v>高级防御百分比</v>
      </c>
      <c r="H354" s="17" t="str">
        <f t="shared" si="292"/>
        <v>icon_05</v>
      </c>
      <c r="I354" s="20">
        <v>0</v>
      </c>
      <c r="J354" s="17">
        <v>11</v>
      </c>
      <c r="K354" s="17">
        <f t="shared" si="293"/>
        <v>12412</v>
      </c>
      <c r="L354" s="17" t="s">
        <v>529</v>
      </c>
      <c r="M354" s="17" t="str">
        <f t="shared" si="294"/>
        <v>1:12100:10</v>
      </c>
      <c r="N354" s="16" t="str">
        <f t="shared" si="273"/>
        <v>108:1</v>
      </c>
      <c r="O354" s="17">
        <f t="shared" si="295"/>
        <v>5</v>
      </c>
      <c r="P354" s="21" t="str">
        <f t="shared" si="296"/>
        <v>所有步兵防御百分比增加:1</v>
      </c>
      <c r="Q354" s="21"/>
      <c r="R354" t="str">
        <f t="shared" si="258"/>
        <v>防御百分比</v>
      </c>
      <c r="T354" t="str">
        <f t="shared" si="297"/>
        <v>:1</v>
      </c>
      <c r="U354" t="str">
        <f t="shared" si="267"/>
        <v>步兵</v>
      </c>
      <c r="V354" t="s">
        <v>4279</v>
      </c>
      <c r="W354">
        <f>属性类型!G354</f>
        <v>108</v>
      </c>
      <c r="X354">
        <v>1</v>
      </c>
    </row>
    <row r="355" customFormat="1" ht="16.5" spans="1:24">
      <c r="A355" s="17">
        <f t="shared" si="284"/>
        <v>12412</v>
      </c>
      <c r="B355" s="17">
        <f t="shared" si="288"/>
        <v>12400</v>
      </c>
      <c r="C355" s="17" t="str">
        <f t="shared" si="289"/>
        <v>1</v>
      </c>
      <c r="D355" s="12">
        <f t="shared" si="247"/>
        <v>10003</v>
      </c>
      <c r="E355" s="17">
        <v>1</v>
      </c>
      <c r="F355" s="17">
        <f t="shared" si="290"/>
        <v>3</v>
      </c>
      <c r="G355" s="17" t="str">
        <f t="shared" si="291"/>
        <v>高级防御百分比</v>
      </c>
      <c r="H355" s="17" t="str">
        <f t="shared" si="292"/>
        <v>icon_05</v>
      </c>
      <c r="I355" s="20">
        <v>0</v>
      </c>
      <c r="J355" s="17">
        <v>12</v>
      </c>
      <c r="K355" s="17">
        <f t="shared" si="293"/>
        <v>12413</v>
      </c>
      <c r="L355" s="17" t="s">
        <v>532</v>
      </c>
      <c r="M355" s="17" t="str">
        <f t="shared" si="294"/>
        <v>1:12100:10</v>
      </c>
      <c r="N355" s="16" t="str">
        <f t="shared" si="273"/>
        <v>108:1</v>
      </c>
      <c r="O355" s="17">
        <f t="shared" si="295"/>
        <v>5</v>
      </c>
      <c r="P355" s="21" t="str">
        <f t="shared" si="296"/>
        <v>所有步兵防御百分比增加:1</v>
      </c>
      <c r="Q355" s="21"/>
      <c r="R355" t="str">
        <f t="shared" si="258"/>
        <v>防御百分比</v>
      </c>
      <c r="T355" t="str">
        <f t="shared" si="297"/>
        <v>:1</v>
      </c>
      <c r="U355" t="str">
        <f t="shared" si="267"/>
        <v>步兵</v>
      </c>
      <c r="V355" t="s">
        <v>4279</v>
      </c>
      <c r="W355">
        <f>属性类型!G355</f>
        <v>108</v>
      </c>
      <c r="X355">
        <v>1</v>
      </c>
    </row>
    <row r="356" customFormat="1" ht="16.5" spans="1:24">
      <c r="A356" s="17">
        <f t="shared" si="284"/>
        <v>12413</v>
      </c>
      <c r="B356" s="17">
        <f t="shared" si="288"/>
        <v>12400</v>
      </c>
      <c r="C356" s="17" t="str">
        <f t="shared" si="289"/>
        <v>1</v>
      </c>
      <c r="D356" s="12">
        <f t="shared" si="247"/>
        <v>10003</v>
      </c>
      <c r="E356" s="17">
        <v>1</v>
      </c>
      <c r="F356" s="17">
        <f t="shared" si="290"/>
        <v>3</v>
      </c>
      <c r="G356" s="17" t="str">
        <f t="shared" si="291"/>
        <v>高级防御百分比</v>
      </c>
      <c r="H356" s="17" t="str">
        <f t="shared" si="292"/>
        <v>icon_05</v>
      </c>
      <c r="I356" s="20">
        <v>0</v>
      </c>
      <c r="J356" s="17">
        <v>13</v>
      </c>
      <c r="K356" s="17">
        <f t="shared" si="293"/>
        <v>12414</v>
      </c>
      <c r="L356" s="17" t="s">
        <v>561</v>
      </c>
      <c r="M356" s="17" t="str">
        <f t="shared" si="294"/>
        <v>1:12100:10</v>
      </c>
      <c r="N356" s="16" t="str">
        <f t="shared" si="273"/>
        <v>108:1</v>
      </c>
      <c r="O356" s="17">
        <f t="shared" si="295"/>
        <v>5</v>
      </c>
      <c r="P356" s="21" t="str">
        <f t="shared" si="296"/>
        <v>所有步兵防御百分比增加:1</v>
      </c>
      <c r="Q356" s="21"/>
      <c r="R356" t="str">
        <f t="shared" si="258"/>
        <v>防御百分比</v>
      </c>
      <c r="T356" t="str">
        <f t="shared" si="297"/>
        <v>:1</v>
      </c>
      <c r="U356" t="str">
        <f t="shared" si="267"/>
        <v>步兵</v>
      </c>
      <c r="V356" t="s">
        <v>4279</v>
      </c>
      <c r="W356">
        <f>属性类型!G356</f>
        <v>108</v>
      </c>
      <c r="X356">
        <v>1</v>
      </c>
    </row>
    <row r="357" customFormat="1" ht="16.5" spans="1:24">
      <c r="A357" s="17">
        <f t="shared" si="284"/>
        <v>12414</v>
      </c>
      <c r="B357" s="17">
        <f t="shared" si="288"/>
        <v>12400</v>
      </c>
      <c r="C357" s="17" t="str">
        <f t="shared" si="289"/>
        <v>1</v>
      </c>
      <c r="D357" s="12">
        <f t="shared" si="247"/>
        <v>10003</v>
      </c>
      <c r="E357" s="17">
        <v>1</v>
      </c>
      <c r="F357" s="17">
        <f t="shared" si="290"/>
        <v>3</v>
      </c>
      <c r="G357" s="17" t="str">
        <f t="shared" si="291"/>
        <v>高级防御百分比</v>
      </c>
      <c r="H357" s="17" t="str">
        <f t="shared" si="292"/>
        <v>icon_05</v>
      </c>
      <c r="I357" s="20">
        <v>0</v>
      </c>
      <c r="J357" s="17">
        <v>14</v>
      </c>
      <c r="K357" s="17">
        <f t="shared" si="293"/>
        <v>12415</v>
      </c>
      <c r="L357" s="17" t="s">
        <v>564</v>
      </c>
      <c r="M357" s="17" t="str">
        <f t="shared" si="294"/>
        <v>1:12100:10</v>
      </c>
      <c r="N357" s="16" t="str">
        <f t="shared" si="273"/>
        <v>108:1</v>
      </c>
      <c r="O357" s="17">
        <f t="shared" si="295"/>
        <v>5</v>
      </c>
      <c r="P357" s="21" t="str">
        <f t="shared" si="296"/>
        <v>所有步兵防御百分比增加:1</v>
      </c>
      <c r="Q357" s="21"/>
      <c r="R357" t="str">
        <f t="shared" si="258"/>
        <v>防御百分比</v>
      </c>
      <c r="T357" t="str">
        <f t="shared" si="297"/>
        <v>:1</v>
      </c>
      <c r="U357" t="str">
        <f t="shared" si="267"/>
        <v>步兵</v>
      </c>
      <c r="V357" t="s">
        <v>4279</v>
      </c>
      <c r="W357">
        <f>属性类型!G357</f>
        <v>108</v>
      </c>
      <c r="X357">
        <v>1</v>
      </c>
    </row>
    <row r="358" customFormat="1" ht="16.5" spans="1:24">
      <c r="A358" s="17">
        <f t="shared" si="284"/>
        <v>12415</v>
      </c>
      <c r="B358" s="17">
        <f t="shared" si="288"/>
        <v>12400</v>
      </c>
      <c r="C358" s="17" t="str">
        <f t="shared" si="289"/>
        <v>1</v>
      </c>
      <c r="D358" s="12">
        <f t="shared" si="247"/>
        <v>10003</v>
      </c>
      <c r="E358" s="17">
        <v>1</v>
      </c>
      <c r="F358" s="17">
        <f t="shared" si="290"/>
        <v>3</v>
      </c>
      <c r="G358" s="17" t="str">
        <f t="shared" si="291"/>
        <v>高级防御百分比</v>
      </c>
      <c r="H358" s="17" t="str">
        <f t="shared" si="292"/>
        <v>icon_05</v>
      </c>
      <c r="I358" s="20">
        <v>0</v>
      </c>
      <c r="J358" s="17">
        <v>15</v>
      </c>
      <c r="K358" s="17">
        <f t="shared" si="293"/>
        <v>12416</v>
      </c>
      <c r="L358" s="17" t="s">
        <v>630</v>
      </c>
      <c r="M358" s="17" t="str">
        <f t="shared" si="294"/>
        <v>1:12100:10</v>
      </c>
      <c r="N358" s="16" t="str">
        <f t="shared" si="273"/>
        <v>108:1</v>
      </c>
      <c r="O358" s="17">
        <f t="shared" si="295"/>
        <v>5</v>
      </c>
      <c r="P358" s="21" t="str">
        <f t="shared" si="296"/>
        <v>所有步兵防御百分比增加:1</v>
      </c>
      <c r="Q358" s="21"/>
      <c r="R358" t="str">
        <f t="shared" si="258"/>
        <v>防御百分比</v>
      </c>
      <c r="T358" t="str">
        <f t="shared" si="297"/>
        <v>:1</v>
      </c>
      <c r="U358" t="str">
        <f t="shared" si="267"/>
        <v>步兵</v>
      </c>
      <c r="V358" t="s">
        <v>4279</v>
      </c>
      <c r="W358">
        <f>属性类型!G358</f>
        <v>108</v>
      </c>
      <c r="X358">
        <v>1</v>
      </c>
    </row>
    <row r="359" customFormat="1" ht="16.5" spans="1:24">
      <c r="A359" s="17">
        <f t="shared" si="284"/>
        <v>12416</v>
      </c>
      <c r="B359" s="17">
        <f t="shared" si="288"/>
        <v>12400</v>
      </c>
      <c r="C359" s="17" t="str">
        <f t="shared" si="289"/>
        <v>1</v>
      </c>
      <c r="D359" s="12">
        <f t="shared" si="247"/>
        <v>10003</v>
      </c>
      <c r="E359" s="17">
        <v>1</v>
      </c>
      <c r="F359" s="17">
        <f t="shared" si="290"/>
        <v>3</v>
      </c>
      <c r="G359" s="17" t="str">
        <f t="shared" si="291"/>
        <v>高级防御百分比</v>
      </c>
      <c r="H359" s="17" t="str">
        <f t="shared" si="292"/>
        <v>icon_05</v>
      </c>
      <c r="I359" s="20">
        <v>0</v>
      </c>
      <c r="J359" s="17">
        <v>16</v>
      </c>
      <c r="K359" s="17">
        <f t="shared" si="293"/>
        <v>12417</v>
      </c>
      <c r="L359" s="17" t="s">
        <v>633</v>
      </c>
      <c r="M359" s="17" t="str">
        <f t="shared" si="294"/>
        <v>1:12100:10</v>
      </c>
      <c r="N359" s="16" t="str">
        <f t="shared" si="273"/>
        <v>108:1</v>
      </c>
      <c r="O359" s="17">
        <f t="shared" si="295"/>
        <v>5</v>
      </c>
      <c r="P359" s="21" t="str">
        <f t="shared" si="296"/>
        <v>所有步兵防御百分比增加:1</v>
      </c>
      <c r="Q359" s="21"/>
      <c r="R359" t="str">
        <f t="shared" si="258"/>
        <v>防御百分比</v>
      </c>
      <c r="T359" t="str">
        <f t="shared" si="297"/>
        <v>:1</v>
      </c>
      <c r="U359" t="str">
        <f t="shared" si="267"/>
        <v>步兵</v>
      </c>
      <c r="V359" t="s">
        <v>4279</v>
      </c>
      <c r="W359">
        <f>属性类型!G359</f>
        <v>108</v>
      </c>
      <c r="X359">
        <v>1</v>
      </c>
    </row>
    <row r="360" customFormat="1" ht="16.5" spans="1:24">
      <c r="A360" s="17">
        <f t="shared" ref="A360:A384" si="298">A359+1</f>
        <v>12417</v>
      </c>
      <c r="B360" s="17">
        <f t="shared" si="288"/>
        <v>12400</v>
      </c>
      <c r="C360" s="17" t="str">
        <f t="shared" si="289"/>
        <v>1</v>
      </c>
      <c r="D360" s="12">
        <f t="shared" si="247"/>
        <v>10003</v>
      </c>
      <c r="E360" s="17">
        <v>1</v>
      </c>
      <c r="F360" s="17">
        <f t="shared" si="290"/>
        <v>3</v>
      </c>
      <c r="G360" s="17" t="str">
        <f t="shared" si="291"/>
        <v>高级防御百分比</v>
      </c>
      <c r="H360" s="17" t="str">
        <f t="shared" si="292"/>
        <v>icon_05</v>
      </c>
      <c r="I360" s="20">
        <v>0</v>
      </c>
      <c r="J360" s="17">
        <v>17</v>
      </c>
      <c r="K360" s="17">
        <f t="shared" si="293"/>
        <v>12418</v>
      </c>
      <c r="L360" s="17" t="s">
        <v>637</v>
      </c>
      <c r="M360" s="17" t="str">
        <f t="shared" si="294"/>
        <v>1:12100:10</v>
      </c>
      <c r="N360" s="16" t="str">
        <f t="shared" si="273"/>
        <v>108:1</v>
      </c>
      <c r="O360" s="17">
        <f t="shared" si="295"/>
        <v>5</v>
      </c>
      <c r="P360" s="21" t="str">
        <f t="shared" si="296"/>
        <v>所有步兵防御百分比增加:1</v>
      </c>
      <c r="Q360" s="21"/>
      <c r="R360" t="str">
        <f t="shared" si="258"/>
        <v>防御百分比</v>
      </c>
      <c r="T360" t="str">
        <f t="shared" si="297"/>
        <v>:1</v>
      </c>
      <c r="U360" t="str">
        <f t="shared" si="267"/>
        <v>步兵</v>
      </c>
      <c r="V360" t="s">
        <v>4279</v>
      </c>
      <c r="W360">
        <f>属性类型!G360</f>
        <v>108</v>
      </c>
      <c r="X360">
        <v>1</v>
      </c>
    </row>
    <row r="361" customFormat="1" ht="16.5" spans="1:24">
      <c r="A361" s="17">
        <f t="shared" si="298"/>
        <v>12418</v>
      </c>
      <c r="B361" s="17">
        <f t="shared" si="288"/>
        <v>12400</v>
      </c>
      <c r="C361" s="17" t="str">
        <f t="shared" si="289"/>
        <v>1</v>
      </c>
      <c r="D361" s="12">
        <f t="shared" si="247"/>
        <v>10003</v>
      </c>
      <c r="E361" s="17">
        <v>1</v>
      </c>
      <c r="F361" s="17">
        <f t="shared" si="290"/>
        <v>3</v>
      </c>
      <c r="G361" s="17" t="str">
        <f t="shared" si="291"/>
        <v>高级防御百分比</v>
      </c>
      <c r="H361" s="17" t="str">
        <f t="shared" si="292"/>
        <v>icon_05</v>
      </c>
      <c r="I361" s="20">
        <v>0</v>
      </c>
      <c r="J361" s="17">
        <v>18</v>
      </c>
      <c r="K361" s="17">
        <f t="shared" si="293"/>
        <v>12419</v>
      </c>
      <c r="L361" s="17" t="s">
        <v>641</v>
      </c>
      <c r="M361" s="17" t="str">
        <f t="shared" si="294"/>
        <v>1:12100:10</v>
      </c>
      <c r="N361" s="16" t="str">
        <f t="shared" si="273"/>
        <v>108:1</v>
      </c>
      <c r="O361" s="17">
        <f t="shared" si="295"/>
        <v>5</v>
      </c>
      <c r="P361" s="21" t="str">
        <f t="shared" si="296"/>
        <v>所有步兵防御百分比增加:1</v>
      </c>
      <c r="Q361" s="21"/>
      <c r="R361" t="str">
        <f t="shared" si="258"/>
        <v>防御百分比</v>
      </c>
      <c r="T361" t="str">
        <f t="shared" si="297"/>
        <v>:1</v>
      </c>
      <c r="U361" t="str">
        <f t="shared" si="267"/>
        <v>步兵</v>
      </c>
      <c r="V361" t="s">
        <v>4279</v>
      </c>
      <c r="W361">
        <f>属性类型!G361</f>
        <v>108</v>
      </c>
      <c r="X361">
        <v>1</v>
      </c>
    </row>
    <row r="362" customFormat="1" ht="16.5" spans="1:24">
      <c r="A362" s="17">
        <f t="shared" si="298"/>
        <v>12419</v>
      </c>
      <c r="B362" s="17">
        <f t="shared" si="288"/>
        <v>12400</v>
      </c>
      <c r="C362" s="17" t="str">
        <f t="shared" si="289"/>
        <v>1</v>
      </c>
      <c r="D362" s="12">
        <f t="shared" si="247"/>
        <v>10003</v>
      </c>
      <c r="E362" s="17">
        <v>1</v>
      </c>
      <c r="F362" s="17">
        <f t="shared" si="290"/>
        <v>3</v>
      </c>
      <c r="G362" s="17" t="str">
        <f t="shared" si="291"/>
        <v>高级防御百分比</v>
      </c>
      <c r="H362" s="17" t="str">
        <f t="shared" si="292"/>
        <v>icon_05</v>
      </c>
      <c r="I362" s="20">
        <v>0</v>
      </c>
      <c r="J362" s="17">
        <v>19</v>
      </c>
      <c r="K362" s="17">
        <f t="shared" si="293"/>
        <v>12420</v>
      </c>
      <c r="L362" s="17" t="s">
        <v>645</v>
      </c>
      <c r="M362" s="17" t="str">
        <f t="shared" si="294"/>
        <v>1:12100:10</v>
      </c>
      <c r="N362" s="16" t="str">
        <f t="shared" si="273"/>
        <v>108:1</v>
      </c>
      <c r="O362" s="17">
        <f t="shared" si="295"/>
        <v>5</v>
      </c>
      <c r="P362" s="21" t="str">
        <f t="shared" si="296"/>
        <v>所有步兵防御百分比增加:1</v>
      </c>
      <c r="Q362" s="21"/>
      <c r="R362" t="str">
        <f t="shared" si="258"/>
        <v>防御百分比</v>
      </c>
      <c r="T362" t="str">
        <f t="shared" si="297"/>
        <v>:1</v>
      </c>
      <c r="U362" t="str">
        <f t="shared" si="267"/>
        <v>步兵</v>
      </c>
      <c r="V362" t="s">
        <v>4279</v>
      </c>
      <c r="W362">
        <f>属性类型!G362</f>
        <v>108</v>
      </c>
      <c r="X362">
        <v>1</v>
      </c>
    </row>
    <row r="363" customFormat="1" ht="16.5" spans="1:24">
      <c r="A363" s="17">
        <f t="shared" si="298"/>
        <v>12420</v>
      </c>
      <c r="B363" s="17">
        <f t="shared" si="288"/>
        <v>12400</v>
      </c>
      <c r="C363" s="17" t="str">
        <f t="shared" si="289"/>
        <v>1</v>
      </c>
      <c r="D363" s="12">
        <f t="shared" si="247"/>
        <v>10003</v>
      </c>
      <c r="E363" s="17">
        <v>1</v>
      </c>
      <c r="F363" s="17">
        <f t="shared" si="290"/>
        <v>3</v>
      </c>
      <c r="G363" s="17" t="str">
        <f t="shared" si="291"/>
        <v>高级防御百分比</v>
      </c>
      <c r="H363" s="17" t="str">
        <f t="shared" si="292"/>
        <v>icon_05</v>
      </c>
      <c r="I363" s="20">
        <v>0</v>
      </c>
      <c r="J363" s="17">
        <v>20</v>
      </c>
      <c r="K363" s="17">
        <v>0</v>
      </c>
      <c r="L363" s="17">
        <v>0</v>
      </c>
      <c r="M363" s="17" t="str">
        <f t="shared" si="294"/>
        <v>1:12100:10</v>
      </c>
      <c r="N363" s="16" t="str">
        <f t="shared" si="273"/>
        <v>108:1</v>
      </c>
      <c r="O363" s="17">
        <f t="shared" si="295"/>
        <v>5</v>
      </c>
      <c r="P363" s="21" t="str">
        <f t="shared" si="296"/>
        <v>所有步兵防御百分比增加:1</v>
      </c>
      <c r="Q363" s="21"/>
      <c r="R363" t="str">
        <f t="shared" si="258"/>
        <v>防御百分比</v>
      </c>
      <c r="T363" t="str">
        <f t="shared" si="297"/>
        <v>:1</v>
      </c>
      <c r="U363" t="str">
        <f t="shared" si="267"/>
        <v>步兵</v>
      </c>
      <c r="V363" t="s">
        <v>4279</v>
      </c>
      <c r="W363">
        <f>属性类型!G363</f>
        <v>108</v>
      </c>
      <c r="X363">
        <v>1</v>
      </c>
    </row>
    <row r="364" customFormat="1" ht="16.5" spans="1:24">
      <c r="A364" s="18">
        <f>A343+100</f>
        <v>12500</v>
      </c>
      <c r="B364" s="18">
        <f t="shared" si="288"/>
        <v>12500</v>
      </c>
      <c r="C364" s="18" t="str">
        <f t="shared" si="289"/>
        <v>1</v>
      </c>
      <c r="D364" s="12">
        <f t="shared" si="247"/>
        <v>10003</v>
      </c>
      <c r="E364" s="17">
        <v>1</v>
      </c>
      <c r="F364" s="18">
        <f t="shared" si="290"/>
        <v>3</v>
      </c>
      <c r="G364" s="18" t="s">
        <v>650</v>
      </c>
      <c r="H364" s="18" t="s">
        <v>149</v>
      </c>
      <c r="I364" s="20">
        <v>0</v>
      </c>
      <c r="J364" s="18">
        <v>0</v>
      </c>
      <c r="K364" s="18">
        <f t="shared" ref="K364:K373" si="299">A365</f>
        <v>12501</v>
      </c>
      <c r="L364" s="18" t="s">
        <v>206</v>
      </c>
      <c r="M364" s="18" t="s">
        <v>652</v>
      </c>
      <c r="N364" s="16" t="str">
        <f t="shared" si="273"/>
        <v>107:1</v>
      </c>
      <c r="O364" s="18">
        <f t="shared" si="295"/>
        <v>6</v>
      </c>
      <c r="P364" s="21" t="str">
        <f>$R$1&amp;R364&amp;$Q$1&amp;T364</f>
        <v>所有步兵攻击百分比增加1</v>
      </c>
      <c r="Q364" s="21"/>
      <c r="R364" t="s">
        <v>4280</v>
      </c>
      <c r="T364" t="str">
        <f>RIGHT(N364,1)</f>
        <v>1</v>
      </c>
      <c r="U364" t="str">
        <f t="shared" si="267"/>
        <v>步兵</v>
      </c>
      <c r="V364" t="s">
        <v>4281</v>
      </c>
      <c r="W364">
        <f>属性类型!G364</f>
        <v>107</v>
      </c>
      <c r="X364">
        <v>1</v>
      </c>
    </row>
    <row r="365" customFormat="1" ht="16.5" spans="1:24">
      <c r="A365" s="17">
        <f t="shared" si="298"/>
        <v>12501</v>
      </c>
      <c r="B365" s="17">
        <f t="shared" si="288"/>
        <v>12500</v>
      </c>
      <c r="C365" s="17" t="str">
        <f t="shared" si="289"/>
        <v>1</v>
      </c>
      <c r="D365" s="12">
        <f t="shared" si="247"/>
        <v>10003</v>
      </c>
      <c r="E365" s="17">
        <v>1</v>
      </c>
      <c r="F365" s="17">
        <f t="shared" si="290"/>
        <v>3</v>
      </c>
      <c r="G365" s="17" t="str">
        <f t="shared" ref="G365:G374" si="300">G364</f>
        <v>高级攻击百分比</v>
      </c>
      <c r="H365" s="17" t="str">
        <f t="shared" ref="H365:H374" si="301">H364</f>
        <v>icon_06</v>
      </c>
      <c r="I365" s="20">
        <v>0</v>
      </c>
      <c r="J365" s="17">
        <v>1</v>
      </c>
      <c r="K365" s="17">
        <f t="shared" si="299"/>
        <v>12502</v>
      </c>
      <c r="L365" s="17" t="s">
        <v>211</v>
      </c>
      <c r="M365" s="17" t="str">
        <f t="shared" ref="M365:M374" si="302">M364</f>
        <v>1:12200:10</v>
      </c>
      <c r="N365" s="16" t="str">
        <f t="shared" si="273"/>
        <v>107:1</v>
      </c>
      <c r="O365" s="17">
        <f t="shared" si="295"/>
        <v>6</v>
      </c>
      <c r="P365" s="21" t="str">
        <f>$R$1&amp;R365&amp;$Q$1&amp;T365</f>
        <v>所有步兵攻击百分比增加:1</v>
      </c>
      <c r="Q365" s="21"/>
      <c r="R365" t="str">
        <f t="shared" si="258"/>
        <v>攻击百分比</v>
      </c>
      <c r="T365" t="str">
        <f t="shared" si="297"/>
        <v>:1</v>
      </c>
      <c r="U365" t="str">
        <f t="shared" si="267"/>
        <v>步兵</v>
      </c>
      <c r="V365" t="s">
        <v>4281</v>
      </c>
      <c r="W365">
        <f>属性类型!G365</f>
        <v>107</v>
      </c>
      <c r="X365">
        <v>1</v>
      </c>
    </row>
    <row r="366" customFormat="1" ht="16.5" spans="1:24">
      <c r="A366" s="17">
        <f t="shared" si="298"/>
        <v>12502</v>
      </c>
      <c r="B366" s="17">
        <f t="shared" si="288"/>
        <v>12500</v>
      </c>
      <c r="C366" s="17" t="str">
        <f t="shared" si="289"/>
        <v>1</v>
      </c>
      <c r="D366" s="12">
        <f t="shared" si="247"/>
        <v>10003</v>
      </c>
      <c r="E366" s="17">
        <v>1</v>
      </c>
      <c r="F366" s="17">
        <f t="shared" si="290"/>
        <v>3</v>
      </c>
      <c r="G366" s="17" t="str">
        <f t="shared" si="300"/>
        <v>高级攻击百分比</v>
      </c>
      <c r="H366" s="17" t="str">
        <f t="shared" si="301"/>
        <v>icon_06</v>
      </c>
      <c r="I366" s="20">
        <v>0</v>
      </c>
      <c r="J366" s="17">
        <v>2</v>
      </c>
      <c r="K366" s="17">
        <f t="shared" si="299"/>
        <v>12503</v>
      </c>
      <c r="L366" s="17" t="s">
        <v>215</v>
      </c>
      <c r="M366" s="17" t="str">
        <f t="shared" si="302"/>
        <v>1:12200:10</v>
      </c>
      <c r="N366" s="16" t="str">
        <f t="shared" si="273"/>
        <v>107:1</v>
      </c>
      <c r="O366" s="17">
        <f t="shared" si="295"/>
        <v>6</v>
      </c>
      <c r="P366" s="21" t="str">
        <f>$R$1&amp;R366&amp;$Q$1&amp;T366</f>
        <v>所有步兵攻击百分比增加:1</v>
      </c>
      <c r="Q366" s="21"/>
      <c r="R366" t="str">
        <f t="shared" si="258"/>
        <v>攻击百分比</v>
      </c>
      <c r="T366" t="str">
        <f t="shared" si="297"/>
        <v>:1</v>
      </c>
      <c r="U366" t="str">
        <f t="shared" si="267"/>
        <v>步兵</v>
      </c>
      <c r="V366" t="s">
        <v>4281</v>
      </c>
      <c r="W366">
        <f>属性类型!G366</f>
        <v>107</v>
      </c>
      <c r="X366">
        <v>1</v>
      </c>
    </row>
    <row r="367" customFormat="1" ht="16.5" spans="1:24">
      <c r="A367" s="17">
        <f t="shared" si="298"/>
        <v>12503</v>
      </c>
      <c r="B367" s="17">
        <f t="shared" si="288"/>
        <v>12500</v>
      </c>
      <c r="C367" s="17" t="str">
        <f t="shared" si="289"/>
        <v>1</v>
      </c>
      <c r="D367" s="12">
        <f t="shared" si="247"/>
        <v>10003</v>
      </c>
      <c r="E367" s="17">
        <v>1</v>
      </c>
      <c r="F367" s="17">
        <f t="shared" si="290"/>
        <v>3</v>
      </c>
      <c r="G367" s="17" t="str">
        <f t="shared" si="300"/>
        <v>高级攻击百分比</v>
      </c>
      <c r="H367" s="17" t="str">
        <f t="shared" si="301"/>
        <v>icon_06</v>
      </c>
      <c r="I367" s="20">
        <v>0</v>
      </c>
      <c r="J367" s="17">
        <v>3</v>
      </c>
      <c r="K367" s="17">
        <f t="shared" si="299"/>
        <v>12504</v>
      </c>
      <c r="L367" s="17" t="s">
        <v>218</v>
      </c>
      <c r="M367" s="17" t="str">
        <f t="shared" si="302"/>
        <v>1:12200:10</v>
      </c>
      <c r="N367" s="16" t="str">
        <f t="shared" si="273"/>
        <v>107:1</v>
      </c>
      <c r="O367" s="17">
        <f t="shared" si="295"/>
        <v>6</v>
      </c>
      <c r="P367" s="21" t="str">
        <f>$R$1&amp;R367&amp;$Q$1&amp;T367</f>
        <v>所有步兵攻击百分比增加:1</v>
      </c>
      <c r="Q367" s="21"/>
      <c r="R367" t="str">
        <f t="shared" si="258"/>
        <v>攻击百分比</v>
      </c>
      <c r="T367" t="str">
        <f t="shared" si="297"/>
        <v>:1</v>
      </c>
      <c r="U367" t="str">
        <f t="shared" si="267"/>
        <v>步兵</v>
      </c>
      <c r="V367" t="s">
        <v>4281</v>
      </c>
      <c r="W367">
        <f>属性类型!G367</f>
        <v>107</v>
      </c>
      <c r="X367">
        <v>1</v>
      </c>
    </row>
    <row r="368" customFormat="1" ht="16.5" spans="1:24">
      <c r="A368" s="17">
        <f t="shared" si="298"/>
        <v>12504</v>
      </c>
      <c r="B368" s="17">
        <f t="shared" si="288"/>
        <v>12500</v>
      </c>
      <c r="C368" s="17" t="str">
        <f t="shared" si="289"/>
        <v>1</v>
      </c>
      <c r="D368" s="12">
        <f t="shared" si="247"/>
        <v>10003</v>
      </c>
      <c r="E368" s="17">
        <v>1</v>
      </c>
      <c r="F368" s="17">
        <f t="shared" si="290"/>
        <v>3</v>
      </c>
      <c r="G368" s="17" t="str">
        <f t="shared" si="300"/>
        <v>高级攻击百分比</v>
      </c>
      <c r="H368" s="17" t="str">
        <f t="shared" si="301"/>
        <v>icon_06</v>
      </c>
      <c r="I368" s="20">
        <v>0</v>
      </c>
      <c r="J368" s="17">
        <v>4</v>
      </c>
      <c r="K368" s="17">
        <f t="shared" si="299"/>
        <v>12505</v>
      </c>
      <c r="L368" s="17" t="s">
        <v>221</v>
      </c>
      <c r="M368" s="17" t="str">
        <f t="shared" si="302"/>
        <v>1:12200:10</v>
      </c>
      <c r="N368" s="16" t="str">
        <f t="shared" si="273"/>
        <v>107:1</v>
      </c>
      <c r="O368" s="17">
        <f t="shared" si="295"/>
        <v>6</v>
      </c>
      <c r="P368" s="21" t="str">
        <f>$R$1&amp;R368&amp;$Q$1&amp;T368</f>
        <v>所有步兵攻击百分比增加:1</v>
      </c>
      <c r="Q368" s="21"/>
      <c r="R368" t="str">
        <f t="shared" si="258"/>
        <v>攻击百分比</v>
      </c>
      <c r="T368" t="str">
        <f t="shared" si="297"/>
        <v>:1</v>
      </c>
      <c r="U368" t="str">
        <f t="shared" si="267"/>
        <v>步兵</v>
      </c>
      <c r="V368" t="s">
        <v>4281</v>
      </c>
      <c r="W368">
        <f>属性类型!G368</f>
        <v>107</v>
      </c>
      <c r="X368">
        <v>1</v>
      </c>
    </row>
    <row r="369" customFormat="1" ht="16.5" spans="1:24">
      <c r="A369" s="17">
        <f t="shared" si="298"/>
        <v>12505</v>
      </c>
      <c r="B369" s="17">
        <f t="shared" si="288"/>
        <v>12500</v>
      </c>
      <c r="C369" s="17" t="str">
        <f t="shared" si="289"/>
        <v>1</v>
      </c>
      <c r="D369" s="12">
        <f t="shared" si="247"/>
        <v>10003</v>
      </c>
      <c r="E369" s="17">
        <v>1</v>
      </c>
      <c r="F369" s="17">
        <f t="shared" si="290"/>
        <v>3</v>
      </c>
      <c r="G369" s="17" t="str">
        <f t="shared" si="300"/>
        <v>高级攻击百分比</v>
      </c>
      <c r="H369" s="17" t="str">
        <f t="shared" si="301"/>
        <v>icon_06</v>
      </c>
      <c r="I369" s="20">
        <v>0</v>
      </c>
      <c r="J369" s="17">
        <v>5</v>
      </c>
      <c r="K369" s="17">
        <f t="shared" si="299"/>
        <v>12506</v>
      </c>
      <c r="L369" s="17" t="s">
        <v>224</v>
      </c>
      <c r="M369" s="17" t="str">
        <f t="shared" si="302"/>
        <v>1:12200:10</v>
      </c>
      <c r="N369" s="16" t="str">
        <f t="shared" si="273"/>
        <v>107:1</v>
      </c>
      <c r="O369" s="17">
        <f t="shared" si="295"/>
        <v>6</v>
      </c>
      <c r="P369" s="21" t="str">
        <f>$R$1&amp;R369&amp;$Q$1&amp;T369</f>
        <v>所有步兵攻击百分比增加:1</v>
      </c>
      <c r="Q369" s="21"/>
      <c r="R369" t="str">
        <f t="shared" si="258"/>
        <v>攻击百分比</v>
      </c>
      <c r="T369" t="str">
        <f t="shared" si="297"/>
        <v>:1</v>
      </c>
      <c r="U369" t="str">
        <f t="shared" si="267"/>
        <v>步兵</v>
      </c>
      <c r="V369" t="s">
        <v>4281</v>
      </c>
      <c r="W369">
        <f>属性类型!G369</f>
        <v>107</v>
      </c>
      <c r="X369">
        <v>1</v>
      </c>
    </row>
    <row r="370" customFormat="1" ht="16.5" spans="1:24">
      <c r="A370" s="17">
        <f t="shared" si="298"/>
        <v>12506</v>
      </c>
      <c r="B370" s="17">
        <f t="shared" si="288"/>
        <v>12500</v>
      </c>
      <c r="C370" s="17" t="str">
        <f t="shared" si="289"/>
        <v>1</v>
      </c>
      <c r="D370" s="12">
        <f t="shared" ref="D370:D433" si="303">$A$4+F370</f>
        <v>10003</v>
      </c>
      <c r="E370" s="17">
        <v>1</v>
      </c>
      <c r="F370" s="17">
        <f t="shared" si="290"/>
        <v>3</v>
      </c>
      <c r="G370" s="17" t="str">
        <f t="shared" si="300"/>
        <v>高级攻击百分比</v>
      </c>
      <c r="H370" s="17" t="str">
        <f t="shared" si="301"/>
        <v>icon_06</v>
      </c>
      <c r="I370" s="20">
        <v>0</v>
      </c>
      <c r="J370" s="17">
        <v>6</v>
      </c>
      <c r="K370" s="17">
        <f t="shared" si="299"/>
        <v>12507</v>
      </c>
      <c r="L370" s="17" t="s">
        <v>227</v>
      </c>
      <c r="M370" s="17" t="str">
        <f t="shared" si="302"/>
        <v>1:12200:10</v>
      </c>
      <c r="N370" s="16" t="str">
        <f t="shared" si="273"/>
        <v>107:1</v>
      </c>
      <c r="O370" s="17">
        <f t="shared" si="295"/>
        <v>6</v>
      </c>
      <c r="P370" s="21" t="str">
        <f>$R$1&amp;R370&amp;$Q$1&amp;T370</f>
        <v>所有步兵攻击百分比增加:1</v>
      </c>
      <c r="Q370" s="21"/>
      <c r="R370" t="str">
        <f t="shared" si="258"/>
        <v>攻击百分比</v>
      </c>
      <c r="T370" t="str">
        <f t="shared" si="297"/>
        <v>:1</v>
      </c>
      <c r="U370" t="str">
        <f t="shared" si="267"/>
        <v>步兵</v>
      </c>
      <c r="V370" t="s">
        <v>4281</v>
      </c>
      <c r="W370">
        <f>属性类型!G370</f>
        <v>107</v>
      </c>
      <c r="X370">
        <v>1</v>
      </c>
    </row>
    <row r="371" customFormat="1" ht="16.5" spans="1:24">
      <c r="A371" s="17">
        <f t="shared" si="298"/>
        <v>12507</v>
      </c>
      <c r="B371" s="17">
        <f t="shared" si="288"/>
        <v>12500</v>
      </c>
      <c r="C371" s="17" t="str">
        <f t="shared" si="289"/>
        <v>1</v>
      </c>
      <c r="D371" s="12">
        <f t="shared" si="303"/>
        <v>10003</v>
      </c>
      <c r="E371" s="17">
        <v>1</v>
      </c>
      <c r="F371" s="17">
        <f t="shared" si="290"/>
        <v>3</v>
      </c>
      <c r="G371" s="17" t="str">
        <f t="shared" si="300"/>
        <v>高级攻击百分比</v>
      </c>
      <c r="H371" s="17" t="str">
        <f t="shared" si="301"/>
        <v>icon_06</v>
      </c>
      <c r="I371" s="20">
        <v>0</v>
      </c>
      <c r="J371" s="17">
        <v>7</v>
      </c>
      <c r="K371" s="17">
        <f t="shared" si="299"/>
        <v>12508</v>
      </c>
      <c r="L371" s="17" t="s">
        <v>230</v>
      </c>
      <c r="M371" s="17" t="str">
        <f t="shared" si="302"/>
        <v>1:12200:10</v>
      </c>
      <c r="N371" s="16" t="str">
        <f t="shared" si="273"/>
        <v>107:1</v>
      </c>
      <c r="O371" s="17">
        <f t="shared" si="295"/>
        <v>6</v>
      </c>
      <c r="P371" s="21" t="str">
        <f>$R$1&amp;R371&amp;$Q$1&amp;T371</f>
        <v>所有步兵攻击百分比增加:1</v>
      </c>
      <c r="Q371" s="21"/>
      <c r="R371" t="str">
        <f t="shared" si="258"/>
        <v>攻击百分比</v>
      </c>
      <c r="T371" t="str">
        <f t="shared" si="297"/>
        <v>:1</v>
      </c>
      <c r="U371" t="str">
        <f t="shared" si="267"/>
        <v>步兵</v>
      </c>
      <c r="V371" t="s">
        <v>4281</v>
      </c>
      <c r="W371">
        <f>属性类型!G371</f>
        <v>107</v>
      </c>
      <c r="X371">
        <v>1</v>
      </c>
    </row>
    <row r="372" customFormat="1" ht="16.5" spans="1:24">
      <c r="A372" s="17">
        <f t="shared" si="298"/>
        <v>12508</v>
      </c>
      <c r="B372" s="17">
        <f t="shared" si="288"/>
        <v>12500</v>
      </c>
      <c r="C372" s="17" t="str">
        <f t="shared" si="289"/>
        <v>1</v>
      </c>
      <c r="D372" s="12">
        <f t="shared" si="303"/>
        <v>10003</v>
      </c>
      <c r="E372" s="17">
        <v>1</v>
      </c>
      <c r="F372" s="17">
        <f t="shared" si="290"/>
        <v>3</v>
      </c>
      <c r="G372" s="17" t="str">
        <f t="shared" si="300"/>
        <v>高级攻击百分比</v>
      </c>
      <c r="H372" s="17" t="str">
        <f t="shared" si="301"/>
        <v>icon_06</v>
      </c>
      <c r="I372" s="20">
        <v>0</v>
      </c>
      <c r="J372" s="17">
        <v>8</v>
      </c>
      <c r="K372" s="17">
        <f t="shared" si="299"/>
        <v>12509</v>
      </c>
      <c r="L372" s="17" t="s">
        <v>233</v>
      </c>
      <c r="M372" s="17" t="str">
        <f t="shared" si="302"/>
        <v>1:12200:10</v>
      </c>
      <c r="N372" s="16" t="str">
        <f t="shared" si="273"/>
        <v>107:1</v>
      </c>
      <c r="O372" s="17">
        <f t="shared" si="295"/>
        <v>6</v>
      </c>
      <c r="P372" s="21" t="str">
        <f>$R$1&amp;R372&amp;$Q$1&amp;T372</f>
        <v>所有步兵攻击百分比增加:1</v>
      </c>
      <c r="Q372" s="21"/>
      <c r="R372" t="str">
        <f t="shared" si="258"/>
        <v>攻击百分比</v>
      </c>
      <c r="T372" t="str">
        <f t="shared" si="297"/>
        <v>:1</v>
      </c>
      <c r="U372" t="str">
        <f t="shared" si="267"/>
        <v>步兵</v>
      </c>
      <c r="V372" t="s">
        <v>4281</v>
      </c>
      <c r="W372">
        <f>属性类型!G372</f>
        <v>107</v>
      </c>
      <c r="X372">
        <v>1</v>
      </c>
    </row>
    <row r="373" customFormat="1" ht="16.5" spans="1:24">
      <c r="A373" s="17">
        <f t="shared" si="298"/>
        <v>12509</v>
      </c>
      <c r="B373" s="17">
        <f t="shared" si="288"/>
        <v>12500</v>
      </c>
      <c r="C373" s="17" t="str">
        <f t="shared" si="289"/>
        <v>1</v>
      </c>
      <c r="D373" s="12">
        <f t="shared" si="303"/>
        <v>10003</v>
      </c>
      <c r="E373" s="17">
        <v>1</v>
      </c>
      <c r="F373" s="17">
        <f t="shared" si="290"/>
        <v>3</v>
      </c>
      <c r="G373" s="17" t="str">
        <f t="shared" si="300"/>
        <v>高级攻击百分比</v>
      </c>
      <c r="H373" s="17" t="str">
        <f t="shared" si="301"/>
        <v>icon_06</v>
      </c>
      <c r="I373" s="20">
        <v>0</v>
      </c>
      <c r="J373" s="17">
        <v>9</v>
      </c>
      <c r="K373" s="17">
        <f t="shared" si="299"/>
        <v>12510</v>
      </c>
      <c r="L373" s="17" t="s">
        <v>236</v>
      </c>
      <c r="M373" s="17" t="str">
        <f t="shared" si="302"/>
        <v>1:12200:10</v>
      </c>
      <c r="N373" s="16" t="str">
        <f t="shared" si="273"/>
        <v>107:1</v>
      </c>
      <c r="O373" s="17">
        <f t="shared" si="295"/>
        <v>6</v>
      </c>
      <c r="P373" s="21" t="str">
        <f>$R$1&amp;R373&amp;$Q$1&amp;T373</f>
        <v>所有步兵攻击百分比增加:1</v>
      </c>
      <c r="Q373" s="21"/>
      <c r="R373" t="str">
        <f t="shared" si="258"/>
        <v>攻击百分比</v>
      </c>
      <c r="T373" t="str">
        <f t="shared" si="297"/>
        <v>:1</v>
      </c>
      <c r="U373" t="str">
        <f t="shared" si="267"/>
        <v>步兵</v>
      </c>
      <c r="V373" t="s">
        <v>4281</v>
      </c>
      <c r="W373">
        <f>属性类型!G373</f>
        <v>107</v>
      </c>
      <c r="X373">
        <v>1</v>
      </c>
    </row>
    <row r="374" customFormat="1" ht="16.5" spans="1:24">
      <c r="A374" s="17">
        <f t="shared" si="298"/>
        <v>12510</v>
      </c>
      <c r="B374" s="17">
        <f t="shared" ref="B374:B394" si="304">ROUND(A374,-2)</f>
        <v>12500</v>
      </c>
      <c r="C374" s="17" t="str">
        <f t="shared" ref="C374:C394" si="305">LEFT(A374,1)</f>
        <v>1</v>
      </c>
      <c r="D374" s="12">
        <f t="shared" si="303"/>
        <v>10003</v>
      </c>
      <c r="E374" s="17">
        <v>1</v>
      </c>
      <c r="F374" s="17">
        <f t="shared" ref="F374:F394" si="306">MID(B374,2,1)+1</f>
        <v>3</v>
      </c>
      <c r="G374" s="17" t="str">
        <f t="shared" ref="G374:G385" si="307">G373</f>
        <v>高级攻击百分比</v>
      </c>
      <c r="H374" s="17" t="str">
        <f t="shared" ref="H374:H385" si="308">H373</f>
        <v>icon_06</v>
      </c>
      <c r="I374" s="20">
        <v>0</v>
      </c>
      <c r="J374" s="17">
        <v>10</v>
      </c>
      <c r="K374" s="17">
        <f t="shared" ref="K374:K385" si="309">A375</f>
        <v>12511</v>
      </c>
      <c r="L374" s="17" t="s">
        <v>238</v>
      </c>
      <c r="M374" s="17" t="str">
        <f t="shared" ref="M374:M385" si="310">M373</f>
        <v>1:12200:10</v>
      </c>
      <c r="N374" s="16" t="str">
        <f t="shared" si="273"/>
        <v>107:1</v>
      </c>
      <c r="O374" s="17">
        <f t="shared" ref="O374:O394" si="311">MID(A374,3,1)+1</f>
        <v>6</v>
      </c>
      <c r="P374" s="21" t="str">
        <f t="shared" ref="P374:P385" si="312">$R$1&amp;R374&amp;$Q$1&amp;T374</f>
        <v>所有步兵攻击百分比增加:1</v>
      </c>
      <c r="Q374" s="21"/>
      <c r="R374" t="str">
        <f t="shared" si="258"/>
        <v>攻击百分比</v>
      </c>
      <c r="T374" t="str">
        <f t="shared" ref="T374:T394" si="313">RIGHT(N374,2)</f>
        <v>:1</v>
      </c>
      <c r="U374" t="str">
        <f t="shared" si="267"/>
        <v>步兵</v>
      </c>
      <c r="V374" t="s">
        <v>4281</v>
      </c>
      <c r="W374">
        <f>属性类型!G374</f>
        <v>107</v>
      </c>
      <c r="X374">
        <v>1</v>
      </c>
    </row>
    <row r="375" customFormat="1" ht="16.5" spans="1:24">
      <c r="A375" s="17">
        <f t="shared" si="298"/>
        <v>12511</v>
      </c>
      <c r="B375" s="17">
        <f t="shared" si="304"/>
        <v>12500</v>
      </c>
      <c r="C375" s="17" t="str">
        <f t="shared" si="305"/>
        <v>1</v>
      </c>
      <c r="D375" s="12">
        <f t="shared" si="303"/>
        <v>10003</v>
      </c>
      <c r="E375" s="17">
        <v>1</v>
      </c>
      <c r="F375" s="17">
        <f t="shared" si="306"/>
        <v>3</v>
      </c>
      <c r="G375" s="17" t="str">
        <f t="shared" si="307"/>
        <v>高级攻击百分比</v>
      </c>
      <c r="H375" s="17" t="str">
        <f t="shared" si="308"/>
        <v>icon_06</v>
      </c>
      <c r="I375" s="20">
        <v>0</v>
      </c>
      <c r="J375" s="17">
        <v>11</v>
      </c>
      <c r="K375" s="17">
        <f t="shared" si="309"/>
        <v>12512</v>
      </c>
      <c r="L375" s="17" t="s">
        <v>529</v>
      </c>
      <c r="M375" s="17" t="str">
        <f t="shared" si="310"/>
        <v>1:12200:10</v>
      </c>
      <c r="N375" s="16" t="str">
        <f t="shared" si="273"/>
        <v>107:1</v>
      </c>
      <c r="O375" s="17">
        <f t="shared" si="311"/>
        <v>6</v>
      </c>
      <c r="P375" s="21" t="str">
        <f t="shared" si="312"/>
        <v>所有步兵攻击百分比增加:1</v>
      </c>
      <c r="Q375" s="21"/>
      <c r="R375" t="str">
        <f t="shared" si="258"/>
        <v>攻击百分比</v>
      </c>
      <c r="T375" t="str">
        <f t="shared" si="313"/>
        <v>:1</v>
      </c>
      <c r="U375" t="str">
        <f t="shared" si="267"/>
        <v>步兵</v>
      </c>
      <c r="V375" t="s">
        <v>4281</v>
      </c>
      <c r="W375">
        <f>属性类型!G375</f>
        <v>107</v>
      </c>
      <c r="X375">
        <v>1</v>
      </c>
    </row>
    <row r="376" customFormat="1" ht="16.5" spans="1:24">
      <c r="A376" s="17">
        <f t="shared" si="298"/>
        <v>12512</v>
      </c>
      <c r="B376" s="17">
        <f t="shared" si="304"/>
        <v>12500</v>
      </c>
      <c r="C376" s="17" t="str">
        <f t="shared" si="305"/>
        <v>1</v>
      </c>
      <c r="D376" s="12">
        <f t="shared" si="303"/>
        <v>10003</v>
      </c>
      <c r="E376" s="17">
        <v>1</v>
      </c>
      <c r="F376" s="17">
        <f t="shared" si="306"/>
        <v>3</v>
      </c>
      <c r="G376" s="17" t="str">
        <f t="shared" si="307"/>
        <v>高级攻击百分比</v>
      </c>
      <c r="H376" s="17" t="str">
        <f t="shared" si="308"/>
        <v>icon_06</v>
      </c>
      <c r="I376" s="20">
        <v>0</v>
      </c>
      <c r="J376" s="17">
        <v>12</v>
      </c>
      <c r="K376" s="17">
        <f t="shared" si="309"/>
        <v>12513</v>
      </c>
      <c r="L376" s="17" t="s">
        <v>532</v>
      </c>
      <c r="M376" s="17" t="str">
        <f t="shared" si="310"/>
        <v>1:12200:10</v>
      </c>
      <c r="N376" s="16" t="str">
        <f t="shared" si="273"/>
        <v>107:1</v>
      </c>
      <c r="O376" s="17">
        <f t="shared" si="311"/>
        <v>6</v>
      </c>
      <c r="P376" s="21" t="str">
        <f t="shared" si="312"/>
        <v>所有步兵攻击百分比增加:1</v>
      </c>
      <c r="Q376" s="21"/>
      <c r="R376" t="str">
        <f t="shared" si="258"/>
        <v>攻击百分比</v>
      </c>
      <c r="T376" t="str">
        <f t="shared" si="313"/>
        <v>:1</v>
      </c>
      <c r="U376" t="str">
        <f t="shared" si="267"/>
        <v>步兵</v>
      </c>
      <c r="V376" t="s">
        <v>4281</v>
      </c>
      <c r="W376">
        <f>属性类型!G376</f>
        <v>107</v>
      </c>
      <c r="X376">
        <v>1</v>
      </c>
    </row>
    <row r="377" customFormat="1" ht="16.5" spans="1:24">
      <c r="A377" s="17">
        <f t="shared" si="298"/>
        <v>12513</v>
      </c>
      <c r="B377" s="17">
        <f t="shared" si="304"/>
        <v>12500</v>
      </c>
      <c r="C377" s="17" t="str">
        <f t="shared" si="305"/>
        <v>1</v>
      </c>
      <c r="D377" s="12">
        <f t="shared" si="303"/>
        <v>10003</v>
      </c>
      <c r="E377" s="17">
        <v>1</v>
      </c>
      <c r="F377" s="17">
        <f t="shared" si="306"/>
        <v>3</v>
      </c>
      <c r="G377" s="17" t="str">
        <f t="shared" si="307"/>
        <v>高级攻击百分比</v>
      </c>
      <c r="H377" s="17" t="str">
        <f t="shared" si="308"/>
        <v>icon_06</v>
      </c>
      <c r="I377" s="20">
        <v>0</v>
      </c>
      <c r="J377" s="17">
        <v>13</v>
      </c>
      <c r="K377" s="17">
        <f t="shared" si="309"/>
        <v>12514</v>
      </c>
      <c r="L377" s="17" t="s">
        <v>561</v>
      </c>
      <c r="M377" s="17" t="str">
        <f t="shared" si="310"/>
        <v>1:12200:10</v>
      </c>
      <c r="N377" s="16" t="str">
        <f t="shared" si="273"/>
        <v>107:1</v>
      </c>
      <c r="O377" s="17">
        <f t="shared" si="311"/>
        <v>6</v>
      </c>
      <c r="P377" s="21" t="str">
        <f t="shared" si="312"/>
        <v>所有步兵攻击百分比增加:1</v>
      </c>
      <c r="Q377" s="21"/>
      <c r="R377" t="str">
        <f t="shared" ref="R377:R447" si="314">R376</f>
        <v>攻击百分比</v>
      </c>
      <c r="T377" t="str">
        <f t="shared" si="313"/>
        <v>:1</v>
      </c>
      <c r="U377" t="str">
        <f t="shared" si="267"/>
        <v>步兵</v>
      </c>
      <c r="V377" t="s">
        <v>4281</v>
      </c>
      <c r="W377">
        <f>属性类型!G377</f>
        <v>107</v>
      </c>
      <c r="X377">
        <v>1</v>
      </c>
    </row>
    <row r="378" customFormat="1" ht="16.5" spans="1:24">
      <c r="A378" s="17">
        <f t="shared" si="298"/>
        <v>12514</v>
      </c>
      <c r="B378" s="17">
        <f t="shared" si="304"/>
        <v>12500</v>
      </c>
      <c r="C378" s="17" t="str">
        <f t="shared" si="305"/>
        <v>1</v>
      </c>
      <c r="D378" s="12">
        <f t="shared" si="303"/>
        <v>10003</v>
      </c>
      <c r="E378" s="17">
        <v>1</v>
      </c>
      <c r="F378" s="17">
        <f t="shared" si="306"/>
        <v>3</v>
      </c>
      <c r="G378" s="17" t="str">
        <f t="shared" si="307"/>
        <v>高级攻击百分比</v>
      </c>
      <c r="H378" s="17" t="str">
        <f t="shared" si="308"/>
        <v>icon_06</v>
      </c>
      <c r="I378" s="20">
        <v>0</v>
      </c>
      <c r="J378" s="17">
        <v>14</v>
      </c>
      <c r="K378" s="17">
        <f t="shared" si="309"/>
        <v>12515</v>
      </c>
      <c r="L378" s="17" t="s">
        <v>564</v>
      </c>
      <c r="M378" s="17" t="str">
        <f t="shared" si="310"/>
        <v>1:12200:10</v>
      </c>
      <c r="N378" s="16" t="str">
        <f t="shared" si="273"/>
        <v>107:1</v>
      </c>
      <c r="O378" s="17">
        <f t="shared" si="311"/>
        <v>6</v>
      </c>
      <c r="P378" s="21" t="str">
        <f t="shared" si="312"/>
        <v>所有步兵攻击百分比增加:1</v>
      </c>
      <c r="Q378" s="21"/>
      <c r="R378" t="str">
        <f t="shared" si="314"/>
        <v>攻击百分比</v>
      </c>
      <c r="T378" t="str">
        <f t="shared" si="313"/>
        <v>:1</v>
      </c>
      <c r="U378" t="str">
        <f t="shared" si="267"/>
        <v>步兵</v>
      </c>
      <c r="V378" t="s">
        <v>4281</v>
      </c>
      <c r="W378">
        <f>属性类型!G378</f>
        <v>107</v>
      </c>
      <c r="X378">
        <v>1</v>
      </c>
    </row>
    <row r="379" customFormat="1" ht="16.5" spans="1:24">
      <c r="A379" s="17">
        <f t="shared" si="298"/>
        <v>12515</v>
      </c>
      <c r="B379" s="17">
        <f t="shared" si="304"/>
        <v>12500</v>
      </c>
      <c r="C379" s="17" t="str">
        <f t="shared" si="305"/>
        <v>1</v>
      </c>
      <c r="D379" s="12">
        <f t="shared" si="303"/>
        <v>10003</v>
      </c>
      <c r="E379" s="17">
        <v>1</v>
      </c>
      <c r="F379" s="17">
        <f t="shared" si="306"/>
        <v>3</v>
      </c>
      <c r="G379" s="17" t="str">
        <f t="shared" si="307"/>
        <v>高级攻击百分比</v>
      </c>
      <c r="H379" s="17" t="str">
        <f t="shared" si="308"/>
        <v>icon_06</v>
      </c>
      <c r="I379" s="20">
        <v>0</v>
      </c>
      <c r="J379" s="17">
        <v>15</v>
      </c>
      <c r="K379" s="17">
        <f t="shared" si="309"/>
        <v>12516</v>
      </c>
      <c r="L379" s="17" t="s">
        <v>630</v>
      </c>
      <c r="M379" s="17" t="str">
        <f t="shared" si="310"/>
        <v>1:12200:10</v>
      </c>
      <c r="N379" s="16" t="str">
        <f t="shared" si="273"/>
        <v>107:1</v>
      </c>
      <c r="O379" s="17">
        <f t="shared" si="311"/>
        <v>6</v>
      </c>
      <c r="P379" s="21" t="str">
        <f t="shared" si="312"/>
        <v>所有步兵攻击百分比增加:1</v>
      </c>
      <c r="Q379" s="21"/>
      <c r="R379" t="str">
        <f t="shared" si="314"/>
        <v>攻击百分比</v>
      </c>
      <c r="T379" t="str">
        <f t="shared" si="313"/>
        <v>:1</v>
      </c>
      <c r="U379" t="str">
        <f t="shared" si="267"/>
        <v>步兵</v>
      </c>
      <c r="V379" t="s">
        <v>4281</v>
      </c>
      <c r="W379">
        <f>属性类型!G379</f>
        <v>107</v>
      </c>
      <c r="X379">
        <v>1</v>
      </c>
    </row>
    <row r="380" customFormat="1" ht="16.5" spans="1:24">
      <c r="A380" s="17">
        <f t="shared" si="298"/>
        <v>12516</v>
      </c>
      <c r="B380" s="17">
        <f t="shared" si="304"/>
        <v>12500</v>
      </c>
      <c r="C380" s="17" t="str">
        <f t="shared" si="305"/>
        <v>1</v>
      </c>
      <c r="D380" s="12">
        <f t="shared" si="303"/>
        <v>10003</v>
      </c>
      <c r="E380" s="17">
        <v>1</v>
      </c>
      <c r="F380" s="17">
        <f t="shared" si="306"/>
        <v>3</v>
      </c>
      <c r="G380" s="17" t="str">
        <f t="shared" si="307"/>
        <v>高级攻击百分比</v>
      </c>
      <c r="H380" s="17" t="str">
        <f t="shared" si="308"/>
        <v>icon_06</v>
      </c>
      <c r="I380" s="20">
        <v>0</v>
      </c>
      <c r="J380" s="17">
        <v>16</v>
      </c>
      <c r="K380" s="17">
        <f t="shared" si="309"/>
        <v>12517</v>
      </c>
      <c r="L380" s="17" t="s">
        <v>633</v>
      </c>
      <c r="M380" s="17" t="str">
        <f t="shared" si="310"/>
        <v>1:12200:10</v>
      </c>
      <c r="N380" s="16" t="str">
        <f t="shared" si="273"/>
        <v>107:1</v>
      </c>
      <c r="O380" s="17">
        <f t="shared" si="311"/>
        <v>6</v>
      </c>
      <c r="P380" s="21" t="str">
        <f t="shared" si="312"/>
        <v>所有步兵攻击百分比增加:1</v>
      </c>
      <c r="Q380" s="21"/>
      <c r="R380" t="str">
        <f t="shared" si="314"/>
        <v>攻击百分比</v>
      </c>
      <c r="T380" t="str">
        <f t="shared" si="313"/>
        <v>:1</v>
      </c>
      <c r="U380" t="str">
        <f t="shared" si="267"/>
        <v>步兵</v>
      </c>
      <c r="V380" t="s">
        <v>4281</v>
      </c>
      <c r="W380">
        <f>属性类型!G380</f>
        <v>107</v>
      </c>
      <c r="X380">
        <v>1</v>
      </c>
    </row>
    <row r="381" customFormat="1" ht="16.5" spans="1:24">
      <c r="A381" s="17">
        <f t="shared" si="298"/>
        <v>12517</v>
      </c>
      <c r="B381" s="17">
        <f t="shared" si="304"/>
        <v>12500</v>
      </c>
      <c r="C381" s="17" t="str">
        <f t="shared" si="305"/>
        <v>1</v>
      </c>
      <c r="D381" s="12">
        <f t="shared" si="303"/>
        <v>10003</v>
      </c>
      <c r="E381" s="17">
        <v>1</v>
      </c>
      <c r="F381" s="17">
        <f t="shared" si="306"/>
        <v>3</v>
      </c>
      <c r="G381" s="17" t="str">
        <f t="shared" si="307"/>
        <v>高级攻击百分比</v>
      </c>
      <c r="H381" s="17" t="str">
        <f t="shared" si="308"/>
        <v>icon_06</v>
      </c>
      <c r="I381" s="20">
        <v>0</v>
      </c>
      <c r="J381" s="17">
        <v>17</v>
      </c>
      <c r="K381" s="17">
        <f t="shared" si="309"/>
        <v>12518</v>
      </c>
      <c r="L381" s="17" t="s">
        <v>637</v>
      </c>
      <c r="M381" s="17" t="str">
        <f t="shared" si="310"/>
        <v>1:12200:10</v>
      </c>
      <c r="N381" s="16" t="str">
        <f t="shared" si="273"/>
        <v>107:1</v>
      </c>
      <c r="O381" s="17">
        <f t="shared" si="311"/>
        <v>6</v>
      </c>
      <c r="P381" s="21" t="str">
        <f t="shared" si="312"/>
        <v>所有步兵攻击百分比增加:1</v>
      </c>
      <c r="Q381" s="21"/>
      <c r="R381" t="str">
        <f t="shared" si="314"/>
        <v>攻击百分比</v>
      </c>
      <c r="T381" t="str">
        <f t="shared" si="313"/>
        <v>:1</v>
      </c>
      <c r="U381" t="str">
        <f t="shared" si="267"/>
        <v>步兵</v>
      </c>
      <c r="V381" t="s">
        <v>4281</v>
      </c>
      <c r="W381">
        <f>属性类型!G381</f>
        <v>107</v>
      </c>
      <c r="X381">
        <v>1</v>
      </c>
    </row>
    <row r="382" customFormat="1" ht="16.5" spans="1:24">
      <c r="A382" s="17">
        <f t="shared" si="298"/>
        <v>12518</v>
      </c>
      <c r="B382" s="17">
        <f t="shared" si="304"/>
        <v>12500</v>
      </c>
      <c r="C382" s="17" t="str">
        <f t="shared" si="305"/>
        <v>1</v>
      </c>
      <c r="D382" s="12">
        <f t="shared" si="303"/>
        <v>10003</v>
      </c>
      <c r="E382" s="17">
        <v>1</v>
      </c>
      <c r="F382" s="17">
        <f t="shared" si="306"/>
        <v>3</v>
      </c>
      <c r="G382" s="17" t="str">
        <f t="shared" si="307"/>
        <v>高级攻击百分比</v>
      </c>
      <c r="H382" s="17" t="str">
        <f t="shared" si="308"/>
        <v>icon_06</v>
      </c>
      <c r="I382" s="20">
        <v>0</v>
      </c>
      <c r="J382" s="17">
        <v>18</v>
      </c>
      <c r="K382" s="17">
        <f t="shared" si="309"/>
        <v>12519</v>
      </c>
      <c r="L382" s="17" t="s">
        <v>641</v>
      </c>
      <c r="M382" s="17" t="str">
        <f t="shared" si="310"/>
        <v>1:12200:10</v>
      </c>
      <c r="N382" s="16" t="str">
        <f t="shared" si="273"/>
        <v>107:1</v>
      </c>
      <c r="O382" s="17">
        <f t="shared" si="311"/>
        <v>6</v>
      </c>
      <c r="P382" s="21" t="str">
        <f t="shared" si="312"/>
        <v>所有步兵攻击百分比增加:1</v>
      </c>
      <c r="Q382" s="21"/>
      <c r="R382" t="str">
        <f t="shared" si="314"/>
        <v>攻击百分比</v>
      </c>
      <c r="T382" t="str">
        <f t="shared" si="313"/>
        <v>:1</v>
      </c>
      <c r="U382" t="str">
        <f t="shared" si="267"/>
        <v>步兵</v>
      </c>
      <c r="V382" t="s">
        <v>4281</v>
      </c>
      <c r="W382">
        <f>属性类型!G382</f>
        <v>107</v>
      </c>
      <c r="X382">
        <v>1</v>
      </c>
    </row>
    <row r="383" customFormat="1" ht="16.5" spans="1:24">
      <c r="A383" s="17">
        <f t="shared" si="298"/>
        <v>12519</v>
      </c>
      <c r="B383" s="17">
        <f t="shared" si="304"/>
        <v>12500</v>
      </c>
      <c r="C383" s="17" t="str">
        <f t="shared" si="305"/>
        <v>1</v>
      </c>
      <c r="D383" s="12">
        <f t="shared" si="303"/>
        <v>10003</v>
      </c>
      <c r="E383" s="17">
        <v>1</v>
      </c>
      <c r="F383" s="17">
        <f t="shared" si="306"/>
        <v>3</v>
      </c>
      <c r="G383" s="17" t="str">
        <f t="shared" si="307"/>
        <v>高级攻击百分比</v>
      </c>
      <c r="H383" s="17" t="str">
        <f t="shared" si="308"/>
        <v>icon_06</v>
      </c>
      <c r="I383" s="20">
        <v>0</v>
      </c>
      <c r="J383" s="17">
        <v>19</v>
      </c>
      <c r="K383" s="17">
        <f t="shared" si="309"/>
        <v>12520</v>
      </c>
      <c r="L383" s="17" t="s">
        <v>645</v>
      </c>
      <c r="M383" s="17" t="str">
        <f t="shared" si="310"/>
        <v>1:12200:10</v>
      </c>
      <c r="N383" s="16" t="str">
        <f t="shared" si="273"/>
        <v>107:1</v>
      </c>
      <c r="O383" s="17">
        <f t="shared" si="311"/>
        <v>6</v>
      </c>
      <c r="P383" s="21" t="str">
        <f t="shared" si="312"/>
        <v>所有步兵攻击百分比增加:1</v>
      </c>
      <c r="Q383" s="21"/>
      <c r="R383" t="str">
        <f t="shared" si="314"/>
        <v>攻击百分比</v>
      </c>
      <c r="T383" t="str">
        <f t="shared" si="313"/>
        <v>:1</v>
      </c>
      <c r="U383" t="str">
        <f t="shared" si="267"/>
        <v>步兵</v>
      </c>
      <c r="V383" t="s">
        <v>4281</v>
      </c>
      <c r="W383">
        <f>属性类型!G383</f>
        <v>107</v>
      </c>
      <c r="X383">
        <v>1</v>
      </c>
    </row>
    <row r="384" customFormat="1" ht="16.5" spans="1:24">
      <c r="A384" s="17">
        <f t="shared" si="298"/>
        <v>12520</v>
      </c>
      <c r="B384" s="17">
        <f t="shared" si="304"/>
        <v>12500</v>
      </c>
      <c r="C384" s="17" t="str">
        <f t="shared" si="305"/>
        <v>1</v>
      </c>
      <c r="D384" s="12">
        <f t="shared" si="303"/>
        <v>10003</v>
      </c>
      <c r="E384" s="17">
        <v>1</v>
      </c>
      <c r="F384" s="17">
        <f t="shared" si="306"/>
        <v>3</v>
      </c>
      <c r="G384" s="17" t="str">
        <f t="shared" si="307"/>
        <v>高级攻击百分比</v>
      </c>
      <c r="H384" s="17" t="str">
        <f t="shared" si="308"/>
        <v>icon_06</v>
      </c>
      <c r="I384" s="20">
        <v>0</v>
      </c>
      <c r="J384" s="17">
        <v>20</v>
      </c>
      <c r="K384" s="17">
        <v>0</v>
      </c>
      <c r="L384" s="17">
        <v>0</v>
      </c>
      <c r="M384" s="17" t="str">
        <f t="shared" si="310"/>
        <v>1:12200:10</v>
      </c>
      <c r="N384" s="16" t="str">
        <f t="shared" si="273"/>
        <v>107:1</v>
      </c>
      <c r="O384" s="17">
        <f t="shared" si="311"/>
        <v>6</v>
      </c>
      <c r="P384" s="21" t="str">
        <f t="shared" si="312"/>
        <v>所有步兵攻击百分比增加:1</v>
      </c>
      <c r="Q384" s="21"/>
      <c r="R384" t="str">
        <f t="shared" si="314"/>
        <v>攻击百分比</v>
      </c>
      <c r="T384" t="str">
        <f t="shared" si="313"/>
        <v>:1</v>
      </c>
      <c r="U384" t="str">
        <f t="shared" si="267"/>
        <v>步兵</v>
      </c>
      <c r="V384" t="s">
        <v>4281</v>
      </c>
      <c r="W384">
        <f>属性类型!G384</f>
        <v>107</v>
      </c>
      <c r="X384">
        <v>1</v>
      </c>
    </row>
    <row r="385" customFormat="1" ht="16.5" spans="1:24">
      <c r="A385" s="18">
        <f>A364+100</f>
        <v>12600</v>
      </c>
      <c r="B385" s="18">
        <f t="shared" si="304"/>
        <v>12600</v>
      </c>
      <c r="C385" s="18" t="str">
        <f t="shared" si="305"/>
        <v>1</v>
      </c>
      <c r="D385" s="12">
        <f t="shared" si="303"/>
        <v>10003</v>
      </c>
      <c r="E385" s="17">
        <v>1</v>
      </c>
      <c r="F385" s="18">
        <f t="shared" si="306"/>
        <v>3</v>
      </c>
      <c r="G385" s="18" t="s">
        <v>4413</v>
      </c>
      <c r="H385" s="18" t="s">
        <v>176</v>
      </c>
      <c r="I385" s="20">
        <v>0</v>
      </c>
      <c r="J385" s="18">
        <v>0</v>
      </c>
      <c r="K385" s="18">
        <f t="shared" ref="K385:K394" si="315">A386</f>
        <v>12601</v>
      </c>
      <c r="L385" s="18" t="s">
        <v>206</v>
      </c>
      <c r="M385" s="18" t="s">
        <v>680</v>
      </c>
      <c r="N385" s="16" t="str">
        <f t="shared" si="273"/>
        <v>106:1</v>
      </c>
      <c r="O385" s="18">
        <f t="shared" si="311"/>
        <v>7</v>
      </c>
      <c r="P385" s="21" t="str">
        <f>$R$1&amp;R385&amp;$Q$1&amp;T385</f>
        <v>所有步兵生命百分比增加1</v>
      </c>
      <c r="Q385" s="21"/>
      <c r="R385" t="s">
        <v>4414</v>
      </c>
      <c r="T385" t="str">
        <f>RIGHT(N385,1)</f>
        <v>1</v>
      </c>
      <c r="U385" t="str">
        <f t="shared" si="267"/>
        <v>步兵</v>
      </c>
      <c r="V385" t="s">
        <v>4415</v>
      </c>
      <c r="W385">
        <f>属性类型!G385</f>
        <v>106</v>
      </c>
      <c r="X385">
        <v>1</v>
      </c>
    </row>
    <row r="386" customFormat="1" ht="16.5" spans="1:24">
      <c r="A386" s="17">
        <f t="shared" ref="A386:A405" si="316">A385+1</f>
        <v>12601</v>
      </c>
      <c r="B386" s="17">
        <f t="shared" si="304"/>
        <v>12600</v>
      </c>
      <c r="C386" s="17" t="str">
        <f t="shared" si="305"/>
        <v>1</v>
      </c>
      <c r="D386" s="12">
        <f t="shared" si="303"/>
        <v>10003</v>
      </c>
      <c r="E386" s="17">
        <v>1</v>
      </c>
      <c r="F386" s="17">
        <f t="shared" si="306"/>
        <v>3</v>
      </c>
      <c r="G386" s="17" t="str">
        <f t="shared" ref="G386:G395" si="317">G385</f>
        <v>高级生命百分比</v>
      </c>
      <c r="H386" s="17" t="str">
        <f t="shared" ref="H386:H395" si="318">H385</f>
        <v>icon_07</v>
      </c>
      <c r="I386" s="20">
        <v>0</v>
      </c>
      <c r="J386" s="17">
        <v>1</v>
      </c>
      <c r="K386" s="17">
        <f t="shared" si="315"/>
        <v>12602</v>
      </c>
      <c r="L386" s="17" t="s">
        <v>211</v>
      </c>
      <c r="M386" s="17" t="str">
        <f t="shared" ref="M386:M395" si="319">M385</f>
        <v>1:12300:10</v>
      </c>
      <c r="N386" s="16" t="str">
        <f t="shared" si="273"/>
        <v>106:1</v>
      </c>
      <c r="O386" s="17">
        <f t="shared" si="311"/>
        <v>7</v>
      </c>
      <c r="P386" s="21" t="str">
        <f>$R$1&amp;R386&amp;$Q$1&amp;T386</f>
        <v>所有步兵生命百分比增加:1</v>
      </c>
      <c r="Q386" s="21"/>
      <c r="R386" t="str">
        <f t="shared" si="314"/>
        <v>生命百分比</v>
      </c>
      <c r="T386" t="str">
        <f t="shared" si="313"/>
        <v>:1</v>
      </c>
      <c r="U386" t="str">
        <f t="shared" si="267"/>
        <v>步兵</v>
      </c>
      <c r="V386" t="s">
        <v>4415</v>
      </c>
      <c r="W386">
        <f>属性类型!G386</f>
        <v>106</v>
      </c>
      <c r="X386">
        <v>1</v>
      </c>
    </row>
    <row r="387" customFormat="1" ht="16.5" spans="1:24">
      <c r="A387" s="17">
        <f t="shared" si="316"/>
        <v>12602</v>
      </c>
      <c r="B387" s="17">
        <f t="shared" si="304"/>
        <v>12600</v>
      </c>
      <c r="C387" s="17" t="str">
        <f t="shared" si="305"/>
        <v>1</v>
      </c>
      <c r="D387" s="12">
        <f t="shared" si="303"/>
        <v>10003</v>
      </c>
      <c r="E387" s="17">
        <v>1</v>
      </c>
      <c r="F387" s="17">
        <f t="shared" si="306"/>
        <v>3</v>
      </c>
      <c r="G387" s="17" t="str">
        <f t="shared" si="317"/>
        <v>高级生命百分比</v>
      </c>
      <c r="H387" s="17" t="str">
        <f t="shared" si="318"/>
        <v>icon_07</v>
      </c>
      <c r="I387" s="20">
        <v>0</v>
      </c>
      <c r="J387" s="17">
        <v>2</v>
      </c>
      <c r="K387" s="17">
        <f t="shared" si="315"/>
        <v>12603</v>
      </c>
      <c r="L387" s="17" t="s">
        <v>215</v>
      </c>
      <c r="M387" s="17" t="str">
        <f t="shared" si="319"/>
        <v>1:12300:10</v>
      </c>
      <c r="N387" s="16" t="str">
        <f t="shared" si="273"/>
        <v>106:1</v>
      </c>
      <c r="O387" s="17">
        <f t="shared" si="311"/>
        <v>7</v>
      </c>
      <c r="P387" s="21" t="str">
        <f>$R$1&amp;R387&amp;$Q$1&amp;T387</f>
        <v>所有步兵生命百分比增加:1</v>
      </c>
      <c r="Q387" s="21"/>
      <c r="R387" t="str">
        <f t="shared" si="314"/>
        <v>生命百分比</v>
      </c>
      <c r="T387" t="str">
        <f t="shared" si="313"/>
        <v>:1</v>
      </c>
      <c r="U387" t="str">
        <f t="shared" si="267"/>
        <v>步兵</v>
      </c>
      <c r="V387" t="s">
        <v>4415</v>
      </c>
      <c r="W387">
        <f>属性类型!G387</f>
        <v>106</v>
      </c>
      <c r="X387">
        <v>1</v>
      </c>
    </row>
    <row r="388" customFormat="1" ht="16.5" spans="1:24">
      <c r="A388" s="17">
        <f t="shared" si="316"/>
        <v>12603</v>
      </c>
      <c r="B388" s="17">
        <f t="shared" si="304"/>
        <v>12600</v>
      </c>
      <c r="C388" s="17" t="str">
        <f t="shared" si="305"/>
        <v>1</v>
      </c>
      <c r="D388" s="12">
        <f t="shared" si="303"/>
        <v>10003</v>
      </c>
      <c r="E388" s="17">
        <v>1</v>
      </c>
      <c r="F388" s="17">
        <f t="shared" si="306"/>
        <v>3</v>
      </c>
      <c r="G388" s="17" t="str">
        <f t="shared" si="317"/>
        <v>高级生命百分比</v>
      </c>
      <c r="H388" s="17" t="str">
        <f t="shared" si="318"/>
        <v>icon_07</v>
      </c>
      <c r="I388" s="20">
        <v>0</v>
      </c>
      <c r="J388" s="17">
        <v>3</v>
      </c>
      <c r="K388" s="17">
        <f t="shared" si="315"/>
        <v>12604</v>
      </c>
      <c r="L388" s="17" t="s">
        <v>218</v>
      </c>
      <c r="M388" s="17" t="str">
        <f t="shared" si="319"/>
        <v>1:12300:10</v>
      </c>
      <c r="N388" s="16" t="str">
        <f t="shared" si="273"/>
        <v>106:1</v>
      </c>
      <c r="O388" s="17">
        <f t="shared" si="311"/>
        <v>7</v>
      </c>
      <c r="P388" s="21" t="str">
        <f>$R$1&amp;R388&amp;$Q$1&amp;T388</f>
        <v>所有步兵生命百分比增加:1</v>
      </c>
      <c r="Q388" s="21"/>
      <c r="R388" t="str">
        <f t="shared" si="314"/>
        <v>生命百分比</v>
      </c>
      <c r="T388" t="str">
        <f t="shared" si="313"/>
        <v>:1</v>
      </c>
      <c r="U388" t="str">
        <f t="shared" si="267"/>
        <v>步兵</v>
      </c>
      <c r="V388" t="s">
        <v>4415</v>
      </c>
      <c r="W388">
        <f>属性类型!G388</f>
        <v>106</v>
      </c>
      <c r="X388">
        <v>1</v>
      </c>
    </row>
    <row r="389" customFormat="1" ht="16.5" spans="1:24">
      <c r="A389" s="17">
        <f t="shared" si="316"/>
        <v>12604</v>
      </c>
      <c r="B389" s="17">
        <f t="shared" si="304"/>
        <v>12600</v>
      </c>
      <c r="C389" s="17" t="str">
        <f t="shared" si="305"/>
        <v>1</v>
      </c>
      <c r="D389" s="12">
        <f t="shared" si="303"/>
        <v>10003</v>
      </c>
      <c r="E389" s="17">
        <v>1</v>
      </c>
      <c r="F389" s="17">
        <f t="shared" si="306"/>
        <v>3</v>
      </c>
      <c r="G389" s="17" t="str">
        <f t="shared" si="317"/>
        <v>高级生命百分比</v>
      </c>
      <c r="H389" s="17" t="str">
        <f t="shared" si="318"/>
        <v>icon_07</v>
      </c>
      <c r="I389" s="20">
        <v>0</v>
      </c>
      <c r="J389" s="17">
        <v>4</v>
      </c>
      <c r="K389" s="17">
        <f t="shared" si="315"/>
        <v>12605</v>
      </c>
      <c r="L389" s="17" t="s">
        <v>221</v>
      </c>
      <c r="M389" s="17" t="str">
        <f t="shared" si="319"/>
        <v>1:12300:10</v>
      </c>
      <c r="N389" s="16" t="str">
        <f t="shared" si="273"/>
        <v>106:1</v>
      </c>
      <c r="O389" s="17">
        <f t="shared" si="311"/>
        <v>7</v>
      </c>
      <c r="P389" s="21" t="str">
        <f>$R$1&amp;R389&amp;$Q$1&amp;T389</f>
        <v>所有步兵生命百分比增加:1</v>
      </c>
      <c r="Q389" s="21"/>
      <c r="R389" t="str">
        <f t="shared" si="314"/>
        <v>生命百分比</v>
      </c>
      <c r="T389" t="str">
        <f t="shared" si="313"/>
        <v>:1</v>
      </c>
      <c r="U389" t="str">
        <f t="shared" ref="U389:U452" si="320">MID(P389,3,2)</f>
        <v>步兵</v>
      </c>
      <c r="V389" t="s">
        <v>4415</v>
      </c>
      <c r="W389">
        <f>属性类型!G389</f>
        <v>106</v>
      </c>
      <c r="X389">
        <v>1</v>
      </c>
    </row>
    <row r="390" customFormat="1" ht="16.5" spans="1:24">
      <c r="A390" s="17">
        <f t="shared" si="316"/>
        <v>12605</v>
      </c>
      <c r="B390" s="17">
        <f t="shared" si="304"/>
        <v>12600</v>
      </c>
      <c r="C390" s="17" t="str">
        <f t="shared" si="305"/>
        <v>1</v>
      </c>
      <c r="D390" s="12">
        <f t="shared" si="303"/>
        <v>10003</v>
      </c>
      <c r="E390" s="17">
        <v>1</v>
      </c>
      <c r="F390" s="17">
        <f t="shared" si="306"/>
        <v>3</v>
      </c>
      <c r="G390" s="17" t="str">
        <f t="shared" si="317"/>
        <v>高级生命百分比</v>
      </c>
      <c r="H390" s="17" t="str">
        <f t="shared" si="318"/>
        <v>icon_07</v>
      </c>
      <c r="I390" s="20">
        <v>0</v>
      </c>
      <c r="J390" s="17">
        <v>5</v>
      </c>
      <c r="K390" s="17">
        <f t="shared" si="315"/>
        <v>12606</v>
      </c>
      <c r="L390" s="17" t="s">
        <v>224</v>
      </c>
      <c r="M390" s="17" t="str">
        <f t="shared" si="319"/>
        <v>1:12300:10</v>
      </c>
      <c r="N390" s="16" t="str">
        <f t="shared" si="273"/>
        <v>106:1</v>
      </c>
      <c r="O390" s="17">
        <f t="shared" si="311"/>
        <v>7</v>
      </c>
      <c r="P390" s="21" t="str">
        <f>$R$1&amp;R390&amp;$Q$1&amp;T390</f>
        <v>所有步兵生命百分比增加:1</v>
      </c>
      <c r="Q390" s="21"/>
      <c r="R390" t="str">
        <f t="shared" si="314"/>
        <v>生命百分比</v>
      </c>
      <c r="T390" t="str">
        <f t="shared" si="313"/>
        <v>:1</v>
      </c>
      <c r="U390" t="str">
        <f t="shared" si="320"/>
        <v>步兵</v>
      </c>
      <c r="V390" t="s">
        <v>4415</v>
      </c>
      <c r="W390">
        <f>属性类型!G390</f>
        <v>106</v>
      </c>
      <c r="X390">
        <v>1</v>
      </c>
    </row>
    <row r="391" customFormat="1" ht="16.5" spans="1:24">
      <c r="A391" s="17">
        <f t="shared" si="316"/>
        <v>12606</v>
      </c>
      <c r="B391" s="17">
        <f t="shared" si="304"/>
        <v>12600</v>
      </c>
      <c r="C391" s="17" t="str">
        <f t="shared" si="305"/>
        <v>1</v>
      </c>
      <c r="D391" s="12">
        <f t="shared" si="303"/>
        <v>10003</v>
      </c>
      <c r="E391" s="17">
        <v>1</v>
      </c>
      <c r="F391" s="17">
        <f t="shared" si="306"/>
        <v>3</v>
      </c>
      <c r="G391" s="17" t="str">
        <f t="shared" si="317"/>
        <v>高级生命百分比</v>
      </c>
      <c r="H391" s="17" t="str">
        <f t="shared" si="318"/>
        <v>icon_07</v>
      </c>
      <c r="I391" s="20">
        <v>0</v>
      </c>
      <c r="J391" s="17">
        <v>6</v>
      </c>
      <c r="K391" s="17">
        <f t="shared" si="315"/>
        <v>12607</v>
      </c>
      <c r="L391" s="17" t="s">
        <v>227</v>
      </c>
      <c r="M391" s="17" t="str">
        <f t="shared" si="319"/>
        <v>1:12300:10</v>
      </c>
      <c r="N391" s="16" t="str">
        <f t="shared" si="273"/>
        <v>106:1</v>
      </c>
      <c r="O391" s="17">
        <f t="shared" si="311"/>
        <v>7</v>
      </c>
      <c r="P391" s="21" t="str">
        <f>$R$1&amp;R391&amp;$Q$1&amp;T391</f>
        <v>所有步兵生命百分比增加:1</v>
      </c>
      <c r="Q391" s="21"/>
      <c r="R391" t="str">
        <f t="shared" si="314"/>
        <v>生命百分比</v>
      </c>
      <c r="T391" t="str">
        <f t="shared" si="313"/>
        <v>:1</v>
      </c>
      <c r="U391" t="str">
        <f t="shared" si="320"/>
        <v>步兵</v>
      </c>
      <c r="V391" t="s">
        <v>4415</v>
      </c>
      <c r="W391">
        <f>属性类型!G391</f>
        <v>106</v>
      </c>
      <c r="X391">
        <v>1</v>
      </c>
    </row>
    <row r="392" customFormat="1" ht="16.5" spans="1:24">
      <c r="A392" s="17">
        <f t="shared" si="316"/>
        <v>12607</v>
      </c>
      <c r="B392" s="17">
        <f t="shared" si="304"/>
        <v>12600</v>
      </c>
      <c r="C392" s="17" t="str">
        <f t="shared" si="305"/>
        <v>1</v>
      </c>
      <c r="D392" s="12">
        <f t="shared" si="303"/>
        <v>10003</v>
      </c>
      <c r="E392" s="17">
        <v>1</v>
      </c>
      <c r="F392" s="17">
        <f t="shared" si="306"/>
        <v>3</v>
      </c>
      <c r="G392" s="17" t="str">
        <f t="shared" si="317"/>
        <v>高级生命百分比</v>
      </c>
      <c r="H392" s="17" t="str">
        <f t="shared" si="318"/>
        <v>icon_07</v>
      </c>
      <c r="I392" s="20">
        <v>0</v>
      </c>
      <c r="J392" s="17">
        <v>7</v>
      </c>
      <c r="K392" s="17">
        <f t="shared" si="315"/>
        <v>12608</v>
      </c>
      <c r="L392" s="17" t="s">
        <v>230</v>
      </c>
      <c r="M392" s="17" t="str">
        <f t="shared" si="319"/>
        <v>1:12300:10</v>
      </c>
      <c r="N392" s="16" t="str">
        <f t="shared" si="273"/>
        <v>106:1</v>
      </c>
      <c r="O392" s="17">
        <f t="shared" si="311"/>
        <v>7</v>
      </c>
      <c r="P392" s="21" t="str">
        <f>$R$1&amp;R392&amp;$Q$1&amp;T392</f>
        <v>所有步兵生命百分比增加:1</v>
      </c>
      <c r="Q392" s="21"/>
      <c r="R392" t="str">
        <f t="shared" si="314"/>
        <v>生命百分比</v>
      </c>
      <c r="T392" t="str">
        <f t="shared" si="313"/>
        <v>:1</v>
      </c>
      <c r="U392" t="str">
        <f t="shared" si="320"/>
        <v>步兵</v>
      </c>
      <c r="V392" t="s">
        <v>4415</v>
      </c>
      <c r="W392">
        <f>属性类型!G392</f>
        <v>106</v>
      </c>
      <c r="X392">
        <v>1</v>
      </c>
    </row>
    <row r="393" customFormat="1" ht="16.5" spans="1:24">
      <c r="A393" s="17">
        <f t="shared" si="316"/>
        <v>12608</v>
      </c>
      <c r="B393" s="17">
        <f t="shared" si="304"/>
        <v>12600</v>
      </c>
      <c r="C393" s="17" t="str">
        <f t="shared" si="305"/>
        <v>1</v>
      </c>
      <c r="D393" s="12">
        <f t="shared" si="303"/>
        <v>10003</v>
      </c>
      <c r="E393" s="17">
        <v>1</v>
      </c>
      <c r="F393" s="17">
        <f t="shared" si="306"/>
        <v>3</v>
      </c>
      <c r="G393" s="17" t="str">
        <f t="shared" si="317"/>
        <v>高级生命百分比</v>
      </c>
      <c r="H393" s="17" t="str">
        <f t="shared" si="318"/>
        <v>icon_07</v>
      </c>
      <c r="I393" s="20">
        <v>0</v>
      </c>
      <c r="J393" s="17">
        <v>8</v>
      </c>
      <c r="K393" s="17">
        <f t="shared" si="315"/>
        <v>12609</v>
      </c>
      <c r="L393" s="17" t="s">
        <v>233</v>
      </c>
      <c r="M393" s="17" t="str">
        <f t="shared" si="319"/>
        <v>1:12300:10</v>
      </c>
      <c r="N393" s="16" t="str">
        <f t="shared" si="273"/>
        <v>106:1</v>
      </c>
      <c r="O393" s="17">
        <f t="shared" si="311"/>
        <v>7</v>
      </c>
      <c r="P393" s="21" t="str">
        <f>$R$1&amp;R393&amp;$Q$1&amp;T393</f>
        <v>所有步兵生命百分比增加:1</v>
      </c>
      <c r="Q393" s="21"/>
      <c r="R393" t="str">
        <f t="shared" si="314"/>
        <v>生命百分比</v>
      </c>
      <c r="T393" t="str">
        <f t="shared" si="313"/>
        <v>:1</v>
      </c>
      <c r="U393" t="str">
        <f t="shared" si="320"/>
        <v>步兵</v>
      </c>
      <c r="V393" t="s">
        <v>4415</v>
      </c>
      <c r="W393">
        <f>属性类型!G393</f>
        <v>106</v>
      </c>
      <c r="X393">
        <v>1</v>
      </c>
    </row>
    <row r="394" customFormat="1" ht="16.5" spans="1:24">
      <c r="A394" s="17">
        <f t="shared" si="316"/>
        <v>12609</v>
      </c>
      <c r="B394" s="17">
        <f t="shared" si="304"/>
        <v>12600</v>
      </c>
      <c r="C394" s="17" t="str">
        <f t="shared" si="305"/>
        <v>1</v>
      </c>
      <c r="D394" s="12">
        <f t="shared" si="303"/>
        <v>10003</v>
      </c>
      <c r="E394" s="17">
        <v>1</v>
      </c>
      <c r="F394" s="17">
        <f t="shared" si="306"/>
        <v>3</v>
      </c>
      <c r="G394" s="17" t="str">
        <f t="shared" si="317"/>
        <v>高级生命百分比</v>
      </c>
      <c r="H394" s="17" t="str">
        <f t="shared" si="318"/>
        <v>icon_07</v>
      </c>
      <c r="I394" s="20">
        <v>0</v>
      </c>
      <c r="J394" s="17">
        <v>9</v>
      </c>
      <c r="K394" s="17">
        <f t="shared" si="315"/>
        <v>12610</v>
      </c>
      <c r="L394" s="17" t="s">
        <v>236</v>
      </c>
      <c r="M394" s="17" t="str">
        <f t="shared" si="319"/>
        <v>1:12300:10</v>
      </c>
      <c r="N394" s="16" t="str">
        <f t="shared" si="273"/>
        <v>106:1</v>
      </c>
      <c r="O394" s="17">
        <f t="shared" si="311"/>
        <v>7</v>
      </c>
      <c r="P394" s="21" t="str">
        <f>$R$1&amp;R394&amp;$Q$1&amp;T394</f>
        <v>所有步兵生命百分比增加:1</v>
      </c>
      <c r="Q394" s="21"/>
      <c r="R394" t="str">
        <f t="shared" si="314"/>
        <v>生命百分比</v>
      </c>
      <c r="T394" t="str">
        <f t="shared" si="313"/>
        <v>:1</v>
      </c>
      <c r="U394" t="str">
        <f t="shared" si="320"/>
        <v>步兵</v>
      </c>
      <c r="V394" t="s">
        <v>4415</v>
      </c>
      <c r="W394">
        <f>属性类型!G394</f>
        <v>106</v>
      </c>
      <c r="X394">
        <v>1</v>
      </c>
    </row>
    <row r="395" customFormat="1" ht="16.5" spans="1:24">
      <c r="A395" s="17">
        <f t="shared" si="316"/>
        <v>12610</v>
      </c>
      <c r="B395" s="17">
        <f t="shared" ref="B395:B415" si="321">ROUND(A395,-2)</f>
        <v>12600</v>
      </c>
      <c r="C395" s="17" t="str">
        <f t="shared" ref="C395:C415" si="322">LEFT(A395,1)</f>
        <v>1</v>
      </c>
      <c r="D395" s="12">
        <f t="shared" si="303"/>
        <v>10003</v>
      </c>
      <c r="E395" s="17">
        <v>1</v>
      </c>
      <c r="F395" s="17">
        <f t="shared" ref="F395:F415" si="323">MID(B395,2,1)+1</f>
        <v>3</v>
      </c>
      <c r="G395" s="17" t="str">
        <f t="shared" ref="G395:G407" si="324">G394</f>
        <v>高级生命百分比</v>
      </c>
      <c r="H395" s="17" t="str">
        <f t="shared" ref="H395:H407" si="325">H394</f>
        <v>icon_07</v>
      </c>
      <c r="I395" s="20">
        <v>0</v>
      </c>
      <c r="J395" s="17">
        <v>10</v>
      </c>
      <c r="K395" s="17">
        <f t="shared" ref="K395:K407" si="326">A396</f>
        <v>12611</v>
      </c>
      <c r="L395" s="17" t="s">
        <v>238</v>
      </c>
      <c r="M395" s="17" t="str">
        <f t="shared" ref="M395:M407" si="327">M394</f>
        <v>1:12300:10</v>
      </c>
      <c r="N395" s="16" t="str">
        <f t="shared" ref="N395:N458" si="328">W395&amp;$W$2&amp;X395</f>
        <v>106:1</v>
      </c>
      <c r="O395" s="17">
        <f t="shared" ref="O395:O415" si="329">MID(A395,3,1)+1</f>
        <v>7</v>
      </c>
      <c r="P395" s="21" t="str">
        <f t="shared" ref="P395:P407" si="330">$R$1&amp;R395&amp;$Q$1&amp;T395</f>
        <v>所有步兵生命百分比增加:1</v>
      </c>
      <c r="Q395" s="21"/>
      <c r="R395" t="str">
        <f t="shared" si="314"/>
        <v>生命百分比</v>
      </c>
      <c r="T395" t="str">
        <f t="shared" ref="T395:T407" si="331">RIGHT(N395,2)</f>
        <v>:1</v>
      </c>
      <c r="U395" t="str">
        <f t="shared" si="320"/>
        <v>步兵</v>
      </c>
      <c r="V395" t="s">
        <v>4415</v>
      </c>
      <c r="W395">
        <f>属性类型!G395</f>
        <v>106</v>
      </c>
      <c r="X395">
        <v>1</v>
      </c>
    </row>
    <row r="396" customFormat="1" ht="16.5" spans="1:24">
      <c r="A396" s="17">
        <f t="shared" si="316"/>
        <v>12611</v>
      </c>
      <c r="B396" s="17">
        <f t="shared" si="321"/>
        <v>12600</v>
      </c>
      <c r="C396" s="17" t="str">
        <f t="shared" si="322"/>
        <v>1</v>
      </c>
      <c r="D396" s="12">
        <f t="shared" si="303"/>
        <v>10003</v>
      </c>
      <c r="E396" s="17">
        <v>1</v>
      </c>
      <c r="F396" s="17">
        <f t="shared" si="323"/>
        <v>3</v>
      </c>
      <c r="G396" s="17" t="str">
        <f t="shared" si="324"/>
        <v>高级生命百分比</v>
      </c>
      <c r="H396" s="17" t="str">
        <f t="shared" si="325"/>
        <v>icon_07</v>
      </c>
      <c r="I396" s="20">
        <v>0</v>
      </c>
      <c r="J396" s="17">
        <v>11</v>
      </c>
      <c r="K396" s="17">
        <f t="shared" si="326"/>
        <v>12612</v>
      </c>
      <c r="L396" s="17" t="s">
        <v>529</v>
      </c>
      <c r="M396" s="17" t="str">
        <f t="shared" si="327"/>
        <v>1:12300:10</v>
      </c>
      <c r="N396" s="16" t="str">
        <f t="shared" si="328"/>
        <v>106:1</v>
      </c>
      <c r="O396" s="17">
        <f t="shared" si="329"/>
        <v>7</v>
      </c>
      <c r="P396" s="21" t="str">
        <f t="shared" si="330"/>
        <v>所有步兵生命百分比增加:1</v>
      </c>
      <c r="Q396" s="21"/>
      <c r="R396" t="str">
        <f t="shared" si="314"/>
        <v>生命百分比</v>
      </c>
      <c r="T396" t="str">
        <f t="shared" si="331"/>
        <v>:1</v>
      </c>
      <c r="U396" t="str">
        <f t="shared" si="320"/>
        <v>步兵</v>
      </c>
      <c r="V396" t="s">
        <v>4415</v>
      </c>
      <c r="W396">
        <f>属性类型!G396</f>
        <v>106</v>
      </c>
      <c r="X396">
        <v>1</v>
      </c>
    </row>
    <row r="397" customFormat="1" ht="16.5" spans="1:24">
      <c r="A397" s="17">
        <f t="shared" si="316"/>
        <v>12612</v>
      </c>
      <c r="B397" s="17">
        <f t="shared" si="321"/>
        <v>12600</v>
      </c>
      <c r="C397" s="17" t="str">
        <f t="shared" si="322"/>
        <v>1</v>
      </c>
      <c r="D397" s="12">
        <f t="shared" si="303"/>
        <v>10003</v>
      </c>
      <c r="E397" s="17">
        <v>1</v>
      </c>
      <c r="F397" s="17">
        <f t="shared" si="323"/>
        <v>3</v>
      </c>
      <c r="G397" s="17" t="str">
        <f t="shared" si="324"/>
        <v>高级生命百分比</v>
      </c>
      <c r="H397" s="17" t="str">
        <f t="shared" si="325"/>
        <v>icon_07</v>
      </c>
      <c r="I397" s="20">
        <v>0</v>
      </c>
      <c r="J397" s="17">
        <v>12</v>
      </c>
      <c r="K397" s="17">
        <f t="shared" si="326"/>
        <v>12613</v>
      </c>
      <c r="L397" s="17" t="s">
        <v>532</v>
      </c>
      <c r="M397" s="17" t="str">
        <f t="shared" si="327"/>
        <v>1:12300:10</v>
      </c>
      <c r="N397" s="16" t="str">
        <f t="shared" si="328"/>
        <v>106:1</v>
      </c>
      <c r="O397" s="17">
        <f t="shared" si="329"/>
        <v>7</v>
      </c>
      <c r="P397" s="21" t="str">
        <f t="shared" si="330"/>
        <v>所有步兵生命百分比增加:1</v>
      </c>
      <c r="Q397" s="21"/>
      <c r="R397" t="str">
        <f t="shared" si="314"/>
        <v>生命百分比</v>
      </c>
      <c r="T397" t="str">
        <f t="shared" si="331"/>
        <v>:1</v>
      </c>
      <c r="U397" t="str">
        <f t="shared" si="320"/>
        <v>步兵</v>
      </c>
      <c r="V397" t="s">
        <v>4415</v>
      </c>
      <c r="W397">
        <f>属性类型!G397</f>
        <v>106</v>
      </c>
      <c r="X397">
        <v>1</v>
      </c>
    </row>
    <row r="398" customFormat="1" ht="16.5" spans="1:24">
      <c r="A398" s="17">
        <f t="shared" si="316"/>
        <v>12613</v>
      </c>
      <c r="B398" s="17">
        <f t="shared" si="321"/>
        <v>12600</v>
      </c>
      <c r="C398" s="17" t="str">
        <f t="shared" si="322"/>
        <v>1</v>
      </c>
      <c r="D398" s="12">
        <f t="shared" si="303"/>
        <v>10003</v>
      </c>
      <c r="E398" s="17">
        <v>1</v>
      </c>
      <c r="F398" s="17">
        <f t="shared" si="323"/>
        <v>3</v>
      </c>
      <c r="G398" s="17" t="str">
        <f t="shared" si="324"/>
        <v>高级生命百分比</v>
      </c>
      <c r="H398" s="17" t="str">
        <f t="shared" si="325"/>
        <v>icon_07</v>
      </c>
      <c r="I398" s="20">
        <v>0</v>
      </c>
      <c r="J398" s="17">
        <v>13</v>
      </c>
      <c r="K398" s="17">
        <f t="shared" si="326"/>
        <v>12614</v>
      </c>
      <c r="L398" s="17" t="s">
        <v>561</v>
      </c>
      <c r="M398" s="17" t="str">
        <f t="shared" si="327"/>
        <v>1:12300:10</v>
      </c>
      <c r="N398" s="16" t="str">
        <f t="shared" si="328"/>
        <v>106:1</v>
      </c>
      <c r="O398" s="17">
        <f t="shared" si="329"/>
        <v>7</v>
      </c>
      <c r="P398" s="21" t="str">
        <f t="shared" si="330"/>
        <v>所有步兵生命百分比增加:1</v>
      </c>
      <c r="Q398" s="21"/>
      <c r="R398" t="str">
        <f t="shared" si="314"/>
        <v>生命百分比</v>
      </c>
      <c r="T398" t="str">
        <f t="shared" si="331"/>
        <v>:1</v>
      </c>
      <c r="U398" t="str">
        <f t="shared" si="320"/>
        <v>步兵</v>
      </c>
      <c r="V398" t="s">
        <v>4415</v>
      </c>
      <c r="W398">
        <f>属性类型!G398</f>
        <v>106</v>
      </c>
      <c r="X398">
        <v>1</v>
      </c>
    </row>
    <row r="399" customFormat="1" ht="16.5" spans="1:24">
      <c r="A399" s="17">
        <f t="shared" si="316"/>
        <v>12614</v>
      </c>
      <c r="B399" s="17">
        <f t="shared" si="321"/>
        <v>12600</v>
      </c>
      <c r="C399" s="17" t="str">
        <f t="shared" si="322"/>
        <v>1</v>
      </c>
      <c r="D399" s="12">
        <f t="shared" si="303"/>
        <v>10003</v>
      </c>
      <c r="E399" s="17">
        <v>1</v>
      </c>
      <c r="F399" s="17">
        <f t="shared" si="323"/>
        <v>3</v>
      </c>
      <c r="G399" s="17" t="str">
        <f t="shared" si="324"/>
        <v>高级生命百分比</v>
      </c>
      <c r="H399" s="17" t="str">
        <f t="shared" si="325"/>
        <v>icon_07</v>
      </c>
      <c r="I399" s="20">
        <v>0</v>
      </c>
      <c r="J399" s="17">
        <v>14</v>
      </c>
      <c r="K399" s="17">
        <f t="shared" si="326"/>
        <v>12615</v>
      </c>
      <c r="L399" s="17" t="s">
        <v>564</v>
      </c>
      <c r="M399" s="17" t="str">
        <f t="shared" si="327"/>
        <v>1:12300:10</v>
      </c>
      <c r="N399" s="16" t="str">
        <f t="shared" si="328"/>
        <v>106:1</v>
      </c>
      <c r="O399" s="17">
        <f t="shared" si="329"/>
        <v>7</v>
      </c>
      <c r="P399" s="21" t="str">
        <f t="shared" si="330"/>
        <v>所有步兵生命百分比增加:1</v>
      </c>
      <c r="Q399" s="21"/>
      <c r="R399" t="str">
        <f t="shared" si="314"/>
        <v>生命百分比</v>
      </c>
      <c r="T399" t="str">
        <f t="shared" si="331"/>
        <v>:1</v>
      </c>
      <c r="U399" t="str">
        <f t="shared" si="320"/>
        <v>步兵</v>
      </c>
      <c r="V399" t="s">
        <v>4415</v>
      </c>
      <c r="W399">
        <f>属性类型!G399</f>
        <v>106</v>
      </c>
      <c r="X399">
        <v>1</v>
      </c>
    </row>
    <row r="400" customFormat="1" ht="16.5" spans="1:24">
      <c r="A400" s="17">
        <f t="shared" si="316"/>
        <v>12615</v>
      </c>
      <c r="B400" s="17">
        <f t="shared" si="321"/>
        <v>12600</v>
      </c>
      <c r="C400" s="17" t="str">
        <f t="shared" si="322"/>
        <v>1</v>
      </c>
      <c r="D400" s="12">
        <f t="shared" si="303"/>
        <v>10003</v>
      </c>
      <c r="E400" s="17">
        <v>1</v>
      </c>
      <c r="F400" s="17">
        <f t="shared" si="323"/>
        <v>3</v>
      </c>
      <c r="G400" s="17" t="str">
        <f t="shared" si="324"/>
        <v>高级生命百分比</v>
      </c>
      <c r="H400" s="17" t="str">
        <f t="shared" si="325"/>
        <v>icon_07</v>
      </c>
      <c r="I400" s="20">
        <v>0</v>
      </c>
      <c r="J400" s="17">
        <v>15</v>
      </c>
      <c r="K400" s="17">
        <f t="shared" si="326"/>
        <v>12616</v>
      </c>
      <c r="L400" s="17" t="s">
        <v>630</v>
      </c>
      <c r="M400" s="17" t="str">
        <f t="shared" si="327"/>
        <v>1:12300:10</v>
      </c>
      <c r="N400" s="16" t="str">
        <f t="shared" si="328"/>
        <v>106:1</v>
      </c>
      <c r="O400" s="17">
        <f t="shared" si="329"/>
        <v>7</v>
      </c>
      <c r="P400" s="21" t="str">
        <f t="shared" si="330"/>
        <v>所有步兵生命百分比增加:1</v>
      </c>
      <c r="Q400" s="21"/>
      <c r="R400" t="str">
        <f t="shared" si="314"/>
        <v>生命百分比</v>
      </c>
      <c r="T400" t="str">
        <f t="shared" si="331"/>
        <v>:1</v>
      </c>
      <c r="U400" t="str">
        <f t="shared" si="320"/>
        <v>步兵</v>
      </c>
      <c r="V400" t="s">
        <v>4415</v>
      </c>
      <c r="W400">
        <f>属性类型!G400</f>
        <v>106</v>
      </c>
      <c r="X400">
        <v>1</v>
      </c>
    </row>
    <row r="401" customFormat="1" ht="16.5" spans="1:24">
      <c r="A401" s="17">
        <f t="shared" si="316"/>
        <v>12616</v>
      </c>
      <c r="B401" s="17">
        <f t="shared" si="321"/>
        <v>12600</v>
      </c>
      <c r="C401" s="17" t="str">
        <f t="shared" si="322"/>
        <v>1</v>
      </c>
      <c r="D401" s="12">
        <f t="shared" si="303"/>
        <v>10003</v>
      </c>
      <c r="E401" s="17">
        <v>1</v>
      </c>
      <c r="F401" s="17">
        <f t="shared" si="323"/>
        <v>3</v>
      </c>
      <c r="G401" s="17" t="str">
        <f t="shared" si="324"/>
        <v>高级生命百分比</v>
      </c>
      <c r="H401" s="17" t="str">
        <f t="shared" si="325"/>
        <v>icon_07</v>
      </c>
      <c r="I401" s="20">
        <v>0</v>
      </c>
      <c r="J401" s="17">
        <v>16</v>
      </c>
      <c r="K401" s="17">
        <f t="shared" si="326"/>
        <v>12617</v>
      </c>
      <c r="L401" s="17" t="s">
        <v>633</v>
      </c>
      <c r="M401" s="17" t="str">
        <f t="shared" si="327"/>
        <v>1:12300:10</v>
      </c>
      <c r="N401" s="16" t="str">
        <f t="shared" si="328"/>
        <v>106:1</v>
      </c>
      <c r="O401" s="17">
        <f t="shared" si="329"/>
        <v>7</v>
      </c>
      <c r="P401" s="21" t="str">
        <f t="shared" si="330"/>
        <v>所有步兵生命百分比增加:1</v>
      </c>
      <c r="Q401" s="21"/>
      <c r="R401" t="str">
        <f t="shared" si="314"/>
        <v>生命百分比</v>
      </c>
      <c r="T401" t="str">
        <f t="shared" si="331"/>
        <v>:1</v>
      </c>
      <c r="U401" t="str">
        <f t="shared" si="320"/>
        <v>步兵</v>
      </c>
      <c r="V401" t="s">
        <v>4415</v>
      </c>
      <c r="W401">
        <f>属性类型!G401</f>
        <v>106</v>
      </c>
      <c r="X401">
        <v>1</v>
      </c>
    </row>
    <row r="402" customFormat="1" ht="16.5" spans="1:24">
      <c r="A402" s="17">
        <f t="shared" si="316"/>
        <v>12617</v>
      </c>
      <c r="B402" s="17">
        <f t="shared" si="321"/>
        <v>12600</v>
      </c>
      <c r="C402" s="17" t="str">
        <f t="shared" si="322"/>
        <v>1</v>
      </c>
      <c r="D402" s="12">
        <f t="shared" si="303"/>
        <v>10003</v>
      </c>
      <c r="E402" s="17">
        <v>1</v>
      </c>
      <c r="F402" s="17">
        <f t="shared" si="323"/>
        <v>3</v>
      </c>
      <c r="G402" s="17" t="str">
        <f t="shared" si="324"/>
        <v>高级生命百分比</v>
      </c>
      <c r="H402" s="17" t="str">
        <f t="shared" si="325"/>
        <v>icon_07</v>
      </c>
      <c r="I402" s="20">
        <v>0</v>
      </c>
      <c r="J402" s="17">
        <v>17</v>
      </c>
      <c r="K402" s="17">
        <f t="shared" si="326"/>
        <v>12618</v>
      </c>
      <c r="L402" s="17" t="s">
        <v>637</v>
      </c>
      <c r="M402" s="17" t="str">
        <f t="shared" si="327"/>
        <v>1:12300:10</v>
      </c>
      <c r="N402" s="16" t="str">
        <f t="shared" si="328"/>
        <v>106:1</v>
      </c>
      <c r="O402" s="17">
        <f t="shared" si="329"/>
        <v>7</v>
      </c>
      <c r="P402" s="21" t="str">
        <f t="shared" si="330"/>
        <v>所有步兵生命百分比增加:1</v>
      </c>
      <c r="Q402" s="21"/>
      <c r="R402" t="str">
        <f t="shared" si="314"/>
        <v>生命百分比</v>
      </c>
      <c r="T402" t="str">
        <f t="shared" si="331"/>
        <v>:1</v>
      </c>
      <c r="U402" t="str">
        <f t="shared" si="320"/>
        <v>步兵</v>
      </c>
      <c r="V402" t="s">
        <v>4415</v>
      </c>
      <c r="W402">
        <f>属性类型!G402</f>
        <v>106</v>
      </c>
      <c r="X402">
        <v>1</v>
      </c>
    </row>
    <row r="403" customFormat="1" ht="16.5" spans="1:24">
      <c r="A403" s="17">
        <f t="shared" si="316"/>
        <v>12618</v>
      </c>
      <c r="B403" s="17">
        <f t="shared" si="321"/>
        <v>12600</v>
      </c>
      <c r="C403" s="17" t="str">
        <f t="shared" si="322"/>
        <v>1</v>
      </c>
      <c r="D403" s="12">
        <f t="shared" si="303"/>
        <v>10003</v>
      </c>
      <c r="E403" s="17">
        <v>1</v>
      </c>
      <c r="F403" s="17">
        <f t="shared" si="323"/>
        <v>3</v>
      </c>
      <c r="G403" s="17" t="str">
        <f t="shared" si="324"/>
        <v>高级生命百分比</v>
      </c>
      <c r="H403" s="17" t="str">
        <f t="shared" si="325"/>
        <v>icon_07</v>
      </c>
      <c r="I403" s="20">
        <v>0</v>
      </c>
      <c r="J403" s="17">
        <v>18</v>
      </c>
      <c r="K403" s="17">
        <f t="shared" si="326"/>
        <v>12619</v>
      </c>
      <c r="L403" s="17" t="s">
        <v>641</v>
      </c>
      <c r="M403" s="17" t="str">
        <f t="shared" si="327"/>
        <v>1:12300:10</v>
      </c>
      <c r="N403" s="16" t="str">
        <f t="shared" si="328"/>
        <v>106:1</v>
      </c>
      <c r="O403" s="17">
        <f t="shared" si="329"/>
        <v>7</v>
      </c>
      <c r="P403" s="21" t="str">
        <f t="shared" si="330"/>
        <v>所有步兵生命百分比增加:1</v>
      </c>
      <c r="Q403" s="21"/>
      <c r="R403" t="str">
        <f t="shared" si="314"/>
        <v>生命百分比</v>
      </c>
      <c r="T403" t="str">
        <f t="shared" si="331"/>
        <v>:1</v>
      </c>
      <c r="U403" t="str">
        <f t="shared" si="320"/>
        <v>步兵</v>
      </c>
      <c r="V403" t="s">
        <v>4415</v>
      </c>
      <c r="W403">
        <f>属性类型!G403</f>
        <v>106</v>
      </c>
      <c r="X403">
        <v>1</v>
      </c>
    </row>
    <row r="404" customFormat="1" ht="16.5" spans="1:24">
      <c r="A404" s="17">
        <f t="shared" si="316"/>
        <v>12619</v>
      </c>
      <c r="B404" s="17">
        <f t="shared" si="321"/>
        <v>12600</v>
      </c>
      <c r="C404" s="17" t="str">
        <f t="shared" si="322"/>
        <v>1</v>
      </c>
      <c r="D404" s="12">
        <f t="shared" si="303"/>
        <v>10003</v>
      </c>
      <c r="E404" s="17">
        <v>1</v>
      </c>
      <c r="F404" s="17">
        <f t="shared" si="323"/>
        <v>3</v>
      </c>
      <c r="G404" s="17" t="str">
        <f t="shared" si="324"/>
        <v>高级生命百分比</v>
      </c>
      <c r="H404" s="17" t="str">
        <f t="shared" si="325"/>
        <v>icon_07</v>
      </c>
      <c r="I404" s="20">
        <v>0</v>
      </c>
      <c r="J404" s="17">
        <v>19</v>
      </c>
      <c r="K404" s="17">
        <f t="shared" si="326"/>
        <v>12620</v>
      </c>
      <c r="L404" s="17" t="s">
        <v>645</v>
      </c>
      <c r="M404" s="17" t="str">
        <f t="shared" si="327"/>
        <v>1:12300:10</v>
      </c>
      <c r="N404" s="16" t="str">
        <f t="shared" si="328"/>
        <v>106:1</v>
      </c>
      <c r="O404" s="17">
        <f t="shared" si="329"/>
        <v>7</v>
      </c>
      <c r="P404" s="21" t="str">
        <f t="shared" si="330"/>
        <v>所有步兵生命百分比增加:1</v>
      </c>
      <c r="Q404" s="21"/>
      <c r="R404" t="str">
        <f t="shared" si="314"/>
        <v>生命百分比</v>
      </c>
      <c r="T404" t="str">
        <f t="shared" si="331"/>
        <v>:1</v>
      </c>
      <c r="U404" t="str">
        <f t="shared" si="320"/>
        <v>步兵</v>
      </c>
      <c r="V404" t="s">
        <v>4415</v>
      </c>
      <c r="W404">
        <f>属性类型!G404</f>
        <v>106</v>
      </c>
      <c r="X404">
        <v>1</v>
      </c>
    </row>
    <row r="405" customFormat="1" ht="16.5" spans="1:24">
      <c r="A405" s="17">
        <f t="shared" si="316"/>
        <v>12620</v>
      </c>
      <c r="B405" s="17">
        <f t="shared" si="321"/>
        <v>12600</v>
      </c>
      <c r="C405" s="17" t="str">
        <f t="shared" si="322"/>
        <v>1</v>
      </c>
      <c r="D405" s="12">
        <f t="shared" si="303"/>
        <v>10003</v>
      </c>
      <c r="E405" s="17">
        <v>1</v>
      </c>
      <c r="F405" s="17">
        <f t="shared" si="323"/>
        <v>3</v>
      </c>
      <c r="G405" s="17" t="str">
        <f t="shared" si="324"/>
        <v>高级生命百分比</v>
      </c>
      <c r="H405" s="17" t="str">
        <f t="shared" si="325"/>
        <v>icon_07</v>
      </c>
      <c r="I405" s="20">
        <v>0</v>
      </c>
      <c r="J405" s="17">
        <v>20</v>
      </c>
      <c r="K405" s="17">
        <v>0</v>
      </c>
      <c r="L405" s="17">
        <v>0</v>
      </c>
      <c r="M405" s="17" t="str">
        <f t="shared" si="327"/>
        <v>1:12300:10</v>
      </c>
      <c r="N405" s="16" t="str">
        <f t="shared" si="328"/>
        <v>106:1</v>
      </c>
      <c r="O405" s="17">
        <f t="shared" si="329"/>
        <v>7</v>
      </c>
      <c r="P405" s="21" t="str">
        <f t="shared" si="330"/>
        <v>所有步兵生命百分比增加:1</v>
      </c>
      <c r="Q405" s="21"/>
      <c r="R405" t="str">
        <f t="shared" si="314"/>
        <v>生命百分比</v>
      </c>
      <c r="T405" t="str">
        <f t="shared" si="331"/>
        <v>:1</v>
      </c>
      <c r="U405" t="str">
        <f t="shared" si="320"/>
        <v>步兵</v>
      </c>
      <c r="V405" t="s">
        <v>4415</v>
      </c>
      <c r="W405">
        <f>属性类型!G405</f>
        <v>106</v>
      </c>
      <c r="X405">
        <v>1</v>
      </c>
    </row>
    <row r="406" customFormat="1" ht="16.5" spans="1:24">
      <c r="A406" s="18">
        <f>A385+100</f>
        <v>12700</v>
      </c>
      <c r="B406" s="18">
        <f t="shared" si="321"/>
        <v>12700</v>
      </c>
      <c r="C406" s="18" t="str">
        <f t="shared" si="322"/>
        <v>1</v>
      </c>
      <c r="D406" s="12">
        <f t="shared" si="303"/>
        <v>10003</v>
      </c>
      <c r="E406" s="17">
        <v>2</v>
      </c>
      <c r="F406" s="18">
        <f t="shared" si="323"/>
        <v>3</v>
      </c>
      <c r="G406" s="18" t="s">
        <v>4349</v>
      </c>
      <c r="H406" s="18" t="s">
        <v>242</v>
      </c>
      <c r="I406" s="20">
        <v>1.5</v>
      </c>
      <c r="J406" s="18">
        <v>0</v>
      </c>
      <c r="K406" s="18">
        <f t="shared" ref="K406:K415" si="332">A407</f>
        <v>12701</v>
      </c>
      <c r="L406" s="18" t="s">
        <v>206</v>
      </c>
      <c r="M406" s="18" t="s">
        <v>709</v>
      </c>
      <c r="N406" s="16" t="str">
        <f t="shared" si="328"/>
        <v>10004:1</v>
      </c>
      <c r="O406" s="18">
        <f t="shared" si="329"/>
        <v>8</v>
      </c>
      <c r="P406" s="21" t="s">
        <v>4350</v>
      </c>
      <c r="Q406" s="21"/>
      <c r="R406" t="s">
        <v>4351</v>
      </c>
      <c r="T406" t="str">
        <f>RIGHT(N406,1)</f>
        <v>1</v>
      </c>
      <c r="U406" t="str">
        <f t="shared" si="320"/>
        <v>战士</v>
      </c>
      <c r="V406" t="s">
        <v>4349</v>
      </c>
      <c r="W406">
        <f>属性类型!G406</f>
        <v>10004</v>
      </c>
      <c r="X406">
        <v>1</v>
      </c>
    </row>
    <row r="407" customFormat="1" ht="16.5" spans="1:24">
      <c r="A407" s="17">
        <f t="shared" ref="A407:A426" si="333">A406+1</f>
        <v>12701</v>
      </c>
      <c r="B407" s="17">
        <f t="shared" si="321"/>
        <v>12700</v>
      </c>
      <c r="C407" s="17" t="str">
        <f t="shared" si="322"/>
        <v>1</v>
      </c>
      <c r="D407" s="12">
        <f t="shared" si="303"/>
        <v>10003</v>
      </c>
      <c r="E407" s="17">
        <f t="shared" ref="E407:H407" si="334">E406</f>
        <v>2</v>
      </c>
      <c r="F407" s="17">
        <f t="shared" si="323"/>
        <v>3</v>
      </c>
      <c r="G407" s="17" t="str">
        <f t="shared" si="334"/>
        <v>刀锋战士防御百分比</v>
      </c>
      <c r="H407" s="17" t="str">
        <f t="shared" si="334"/>
        <v>bubing02_Lv3</v>
      </c>
      <c r="I407" s="20">
        <v>1.5</v>
      </c>
      <c r="J407" s="17">
        <v>1</v>
      </c>
      <c r="K407" s="17">
        <f t="shared" si="332"/>
        <v>12702</v>
      </c>
      <c r="L407" s="17" t="s">
        <v>211</v>
      </c>
      <c r="M407" s="17" t="str">
        <f t="shared" ref="M407:M416" si="335">M406</f>
        <v>1:12400:10</v>
      </c>
      <c r="N407" s="16" t="str">
        <f t="shared" si="328"/>
        <v>10004:1</v>
      </c>
      <c r="O407" s="17">
        <f t="shared" si="329"/>
        <v>8</v>
      </c>
      <c r="P407" s="21" t="s">
        <v>4352</v>
      </c>
      <c r="Q407" s="21"/>
      <c r="R407" t="s">
        <v>4351</v>
      </c>
      <c r="T407" t="str">
        <f t="shared" ref="T406:T423" si="336">RIGHT(N407,2)</f>
        <v>:1</v>
      </c>
      <c r="U407" t="str">
        <f t="shared" si="320"/>
        <v>战士</v>
      </c>
      <c r="V407" t="s">
        <v>4349</v>
      </c>
      <c r="W407">
        <f>属性类型!G407</f>
        <v>10004</v>
      </c>
      <c r="X407">
        <v>1</v>
      </c>
    </row>
    <row r="408" customFormat="1" ht="16.5" spans="1:24">
      <c r="A408" s="17">
        <f t="shared" si="333"/>
        <v>12702</v>
      </c>
      <c r="B408" s="17">
        <f t="shared" si="321"/>
        <v>12700</v>
      </c>
      <c r="C408" s="17" t="str">
        <f t="shared" si="322"/>
        <v>1</v>
      </c>
      <c r="D408" s="12">
        <f t="shared" si="303"/>
        <v>10003</v>
      </c>
      <c r="E408" s="17">
        <f t="shared" ref="E408:E426" si="337">E407</f>
        <v>2</v>
      </c>
      <c r="F408" s="17">
        <f t="shared" si="323"/>
        <v>3</v>
      </c>
      <c r="G408" s="17" t="str">
        <f t="shared" ref="G408:G426" si="338">G407</f>
        <v>刀锋战士防御百分比</v>
      </c>
      <c r="H408" s="17" t="str">
        <f t="shared" ref="H408:H426" si="339">H407</f>
        <v>bubing02_Lv3</v>
      </c>
      <c r="I408" s="20">
        <v>1.5</v>
      </c>
      <c r="J408" s="17">
        <v>2</v>
      </c>
      <c r="K408" s="17">
        <f t="shared" si="332"/>
        <v>12703</v>
      </c>
      <c r="L408" s="17" t="s">
        <v>215</v>
      </c>
      <c r="M408" s="17" t="str">
        <f t="shared" si="335"/>
        <v>1:12400:10</v>
      </c>
      <c r="N408" s="16" t="str">
        <f t="shared" si="328"/>
        <v>10004:1</v>
      </c>
      <c r="O408" s="17">
        <f t="shared" si="329"/>
        <v>8</v>
      </c>
      <c r="P408" s="21" t="s">
        <v>4353</v>
      </c>
      <c r="Q408" s="21"/>
      <c r="R408" t="s">
        <v>4351</v>
      </c>
      <c r="T408" t="str">
        <f t="shared" si="336"/>
        <v>:1</v>
      </c>
      <c r="U408" t="str">
        <f t="shared" si="320"/>
        <v>战士</v>
      </c>
      <c r="V408" t="s">
        <v>4349</v>
      </c>
      <c r="W408">
        <f>属性类型!G408</f>
        <v>10004</v>
      </c>
      <c r="X408">
        <v>1</v>
      </c>
    </row>
    <row r="409" customFormat="1" ht="16.5" spans="1:24">
      <c r="A409" s="17">
        <f t="shared" si="333"/>
        <v>12703</v>
      </c>
      <c r="B409" s="17">
        <f t="shared" si="321"/>
        <v>12700</v>
      </c>
      <c r="C409" s="17" t="str">
        <f t="shared" si="322"/>
        <v>1</v>
      </c>
      <c r="D409" s="12">
        <f t="shared" si="303"/>
        <v>10003</v>
      </c>
      <c r="E409" s="17">
        <f t="shared" si="337"/>
        <v>2</v>
      </c>
      <c r="F409" s="17">
        <f t="shared" si="323"/>
        <v>3</v>
      </c>
      <c r="G409" s="17" t="str">
        <f t="shared" si="338"/>
        <v>刀锋战士防御百分比</v>
      </c>
      <c r="H409" s="17" t="str">
        <f t="shared" si="339"/>
        <v>bubing02_Lv3</v>
      </c>
      <c r="I409" s="20">
        <v>1.5</v>
      </c>
      <c r="J409" s="17">
        <v>3</v>
      </c>
      <c r="K409" s="17">
        <f t="shared" si="332"/>
        <v>12704</v>
      </c>
      <c r="L409" s="17" t="s">
        <v>218</v>
      </c>
      <c r="M409" s="17" t="str">
        <f t="shared" si="335"/>
        <v>1:12400:10</v>
      </c>
      <c r="N409" s="16" t="str">
        <f t="shared" si="328"/>
        <v>10004:1</v>
      </c>
      <c r="O409" s="17">
        <f t="shared" si="329"/>
        <v>8</v>
      </c>
      <c r="P409" s="21" t="s">
        <v>4354</v>
      </c>
      <c r="Q409" s="21"/>
      <c r="R409" t="s">
        <v>4351</v>
      </c>
      <c r="T409" t="str">
        <f t="shared" si="336"/>
        <v>:1</v>
      </c>
      <c r="U409" t="str">
        <f t="shared" si="320"/>
        <v>战士</v>
      </c>
      <c r="V409" t="s">
        <v>4349</v>
      </c>
      <c r="W409">
        <f>属性类型!G409</f>
        <v>10004</v>
      </c>
      <c r="X409">
        <v>1</v>
      </c>
    </row>
    <row r="410" customFormat="1" ht="16.5" spans="1:24">
      <c r="A410" s="17">
        <f t="shared" si="333"/>
        <v>12704</v>
      </c>
      <c r="B410" s="17">
        <f t="shared" si="321"/>
        <v>12700</v>
      </c>
      <c r="C410" s="17" t="str">
        <f t="shared" si="322"/>
        <v>1</v>
      </c>
      <c r="D410" s="12">
        <f t="shared" si="303"/>
        <v>10003</v>
      </c>
      <c r="E410" s="17">
        <f t="shared" si="337"/>
        <v>2</v>
      </c>
      <c r="F410" s="17">
        <f t="shared" si="323"/>
        <v>3</v>
      </c>
      <c r="G410" s="17" t="str">
        <f t="shared" si="338"/>
        <v>刀锋战士防御百分比</v>
      </c>
      <c r="H410" s="17" t="str">
        <f t="shared" si="339"/>
        <v>bubing02_Lv3</v>
      </c>
      <c r="I410" s="20">
        <v>1.5</v>
      </c>
      <c r="J410" s="17">
        <v>4</v>
      </c>
      <c r="K410" s="17">
        <f t="shared" si="332"/>
        <v>12705</v>
      </c>
      <c r="L410" s="17" t="s">
        <v>221</v>
      </c>
      <c r="M410" s="17" t="str">
        <f t="shared" si="335"/>
        <v>1:12400:10</v>
      </c>
      <c r="N410" s="16" t="str">
        <f t="shared" si="328"/>
        <v>10004:1</v>
      </c>
      <c r="O410" s="17">
        <f t="shared" si="329"/>
        <v>8</v>
      </c>
      <c r="P410" s="21" t="s">
        <v>4355</v>
      </c>
      <c r="Q410" s="21"/>
      <c r="R410" t="s">
        <v>4351</v>
      </c>
      <c r="T410" t="str">
        <f t="shared" si="336"/>
        <v>:1</v>
      </c>
      <c r="U410" t="str">
        <f t="shared" si="320"/>
        <v>战士</v>
      </c>
      <c r="V410" t="s">
        <v>4349</v>
      </c>
      <c r="W410">
        <f>属性类型!G410</f>
        <v>10004</v>
      </c>
      <c r="X410">
        <v>1</v>
      </c>
    </row>
    <row r="411" customFormat="1" ht="16.5" spans="1:24">
      <c r="A411" s="17">
        <f t="shared" si="333"/>
        <v>12705</v>
      </c>
      <c r="B411" s="17">
        <f t="shared" si="321"/>
        <v>12700</v>
      </c>
      <c r="C411" s="17" t="str">
        <f t="shared" si="322"/>
        <v>1</v>
      </c>
      <c r="D411" s="12">
        <f t="shared" si="303"/>
        <v>10003</v>
      </c>
      <c r="E411" s="17">
        <f t="shared" si="337"/>
        <v>2</v>
      </c>
      <c r="F411" s="17">
        <f t="shared" si="323"/>
        <v>3</v>
      </c>
      <c r="G411" s="17" t="str">
        <f t="shared" si="338"/>
        <v>刀锋战士防御百分比</v>
      </c>
      <c r="H411" s="17" t="str">
        <f t="shared" si="339"/>
        <v>bubing02_Lv3</v>
      </c>
      <c r="I411" s="20">
        <v>1.5</v>
      </c>
      <c r="J411" s="17">
        <v>5</v>
      </c>
      <c r="K411" s="17">
        <f t="shared" si="332"/>
        <v>12706</v>
      </c>
      <c r="L411" s="17" t="s">
        <v>224</v>
      </c>
      <c r="M411" s="17" t="str">
        <f t="shared" si="335"/>
        <v>1:12400:10</v>
      </c>
      <c r="N411" s="16" t="str">
        <f t="shared" si="328"/>
        <v>10004:1</v>
      </c>
      <c r="O411" s="17">
        <f t="shared" si="329"/>
        <v>8</v>
      </c>
      <c r="P411" s="21" t="s">
        <v>4356</v>
      </c>
      <c r="Q411" s="21"/>
      <c r="R411" t="s">
        <v>4351</v>
      </c>
      <c r="T411" t="str">
        <f t="shared" si="336"/>
        <v>:1</v>
      </c>
      <c r="U411" t="str">
        <f t="shared" si="320"/>
        <v>战士</v>
      </c>
      <c r="V411" t="s">
        <v>4349</v>
      </c>
      <c r="W411">
        <f>属性类型!G411</f>
        <v>10004</v>
      </c>
      <c r="X411">
        <v>1</v>
      </c>
    </row>
    <row r="412" customFormat="1" ht="16.5" spans="1:24">
      <c r="A412" s="17">
        <f t="shared" si="333"/>
        <v>12706</v>
      </c>
      <c r="B412" s="17">
        <f t="shared" si="321"/>
        <v>12700</v>
      </c>
      <c r="C412" s="17" t="str">
        <f t="shared" si="322"/>
        <v>1</v>
      </c>
      <c r="D412" s="12">
        <f t="shared" si="303"/>
        <v>10003</v>
      </c>
      <c r="E412" s="17">
        <f t="shared" si="337"/>
        <v>2</v>
      </c>
      <c r="F412" s="17">
        <f t="shared" si="323"/>
        <v>3</v>
      </c>
      <c r="G412" s="17" t="str">
        <f t="shared" si="338"/>
        <v>刀锋战士防御百分比</v>
      </c>
      <c r="H412" s="17" t="str">
        <f t="shared" si="339"/>
        <v>bubing02_Lv3</v>
      </c>
      <c r="I412" s="20">
        <v>1.5</v>
      </c>
      <c r="J412" s="17">
        <v>6</v>
      </c>
      <c r="K412" s="17">
        <f t="shared" si="332"/>
        <v>12707</v>
      </c>
      <c r="L412" s="17" t="s">
        <v>227</v>
      </c>
      <c r="M412" s="17" t="str">
        <f t="shared" si="335"/>
        <v>1:12400:10</v>
      </c>
      <c r="N412" s="16" t="str">
        <f t="shared" si="328"/>
        <v>10004:1</v>
      </c>
      <c r="O412" s="17">
        <f t="shared" si="329"/>
        <v>8</v>
      </c>
      <c r="P412" s="21" t="s">
        <v>4357</v>
      </c>
      <c r="Q412" s="21"/>
      <c r="R412" t="s">
        <v>4351</v>
      </c>
      <c r="T412" t="str">
        <f t="shared" si="336"/>
        <v>:1</v>
      </c>
      <c r="U412" t="str">
        <f t="shared" si="320"/>
        <v>战士</v>
      </c>
      <c r="V412" t="s">
        <v>4349</v>
      </c>
      <c r="W412">
        <f>属性类型!G412</f>
        <v>10004</v>
      </c>
      <c r="X412">
        <v>1</v>
      </c>
    </row>
    <row r="413" customFormat="1" ht="16.5" spans="1:24">
      <c r="A413" s="17">
        <f t="shared" si="333"/>
        <v>12707</v>
      </c>
      <c r="B413" s="17">
        <f t="shared" si="321"/>
        <v>12700</v>
      </c>
      <c r="C413" s="17" t="str">
        <f t="shared" si="322"/>
        <v>1</v>
      </c>
      <c r="D413" s="12">
        <f t="shared" si="303"/>
        <v>10003</v>
      </c>
      <c r="E413" s="17">
        <f t="shared" si="337"/>
        <v>2</v>
      </c>
      <c r="F413" s="17">
        <f t="shared" si="323"/>
        <v>3</v>
      </c>
      <c r="G413" s="17" t="str">
        <f t="shared" si="338"/>
        <v>刀锋战士防御百分比</v>
      </c>
      <c r="H413" s="17" t="str">
        <f t="shared" si="339"/>
        <v>bubing02_Lv3</v>
      </c>
      <c r="I413" s="20">
        <v>1.5</v>
      </c>
      <c r="J413" s="17">
        <v>7</v>
      </c>
      <c r="K413" s="17">
        <f t="shared" si="332"/>
        <v>12708</v>
      </c>
      <c r="L413" s="17" t="s">
        <v>230</v>
      </c>
      <c r="M413" s="17" t="str">
        <f t="shared" si="335"/>
        <v>1:12400:10</v>
      </c>
      <c r="N413" s="16" t="str">
        <f t="shared" si="328"/>
        <v>10004:1</v>
      </c>
      <c r="O413" s="17">
        <f t="shared" si="329"/>
        <v>8</v>
      </c>
      <c r="P413" s="21" t="s">
        <v>4358</v>
      </c>
      <c r="Q413" s="21"/>
      <c r="R413" t="s">
        <v>4351</v>
      </c>
      <c r="T413" t="str">
        <f t="shared" si="336"/>
        <v>:1</v>
      </c>
      <c r="U413" t="str">
        <f t="shared" si="320"/>
        <v>战士</v>
      </c>
      <c r="V413" t="s">
        <v>4349</v>
      </c>
      <c r="W413">
        <f>属性类型!G413</f>
        <v>10004</v>
      </c>
      <c r="X413">
        <v>1</v>
      </c>
    </row>
    <row r="414" customFormat="1" ht="16.5" spans="1:24">
      <c r="A414" s="17">
        <f t="shared" si="333"/>
        <v>12708</v>
      </c>
      <c r="B414" s="17">
        <f t="shared" si="321"/>
        <v>12700</v>
      </c>
      <c r="C414" s="17" t="str">
        <f t="shared" si="322"/>
        <v>1</v>
      </c>
      <c r="D414" s="12">
        <f t="shared" si="303"/>
        <v>10003</v>
      </c>
      <c r="E414" s="17">
        <f t="shared" si="337"/>
        <v>2</v>
      </c>
      <c r="F414" s="17">
        <f t="shared" si="323"/>
        <v>3</v>
      </c>
      <c r="G414" s="17" t="str">
        <f t="shared" si="338"/>
        <v>刀锋战士防御百分比</v>
      </c>
      <c r="H414" s="17" t="str">
        <f t="shared" si="339"/>
        <v>bubing02_Lv3</v>
      </c>
      <c r="I414" s="20">
        <v>1.5</v>
      </c>
      <c r="J414" s="17">
        <v>8</v>
      </c>
      <c r="K414" s="17">
        <f t="shared" si="332"/>
        <v>12709</v>
      </c>
      <c r="L414" s="17" t="s">
        <v>233</v>
      </c>
      <c r="M414" s="17" t="str">
        <f t="shared" si="335"/>
        <v>1:12400:10</v>
      </c>
      <c r="N414" s="16" t="str">
        <f t="shared" si="328"/>
        <v>10004:1</v>
      </c>
      <c r="O414" s="17">
        <f t="shared" si="329"/>
        <v>8</v>
      </c>
      <c r="P414" s="21" t="s">
        <v>4359</v>
      </c>
      <c r="Q414" s="21"/>
      <c r="R414" t="s">
        <v>4351</v>
      </c>
      <c r="T414" t="str">
        <f t="shared" si="336"/>
        <v>:1</v>
      </c>
      <c r="U414" t="str">
        <f t="shared" si="320"/>
        <v>战士</v>
      </c>
      <c r="V414" t="s">
        <v>4349</v>
      </c>
      <c r="W414">
        <f>属性类型!G414</f>
        <v>10004</v>
      </c>
      <c r="X414">
        <v>1</v>
      </c>
    </row>
    <row r="415" customFormat="1" ht="16.5" spans="1:24">
      <c r="A415" s="17">
        <f t="shared" si="333"/>
        <v>12709</v>
      </c>
      <c r="B415" s="17">
        <f t="shared" si="321"/>
        <v>12700</v>
      </c>
      <c r="C415" s="17" t="str">
        <f t="shared" si="322"/>
        <v>1</v>
      </c>
      <c r="D415" s="12">
        <f t="shared" si="303"/>
        <v>10003</v>
      </c>
      <c r="E415" s="17">
        <f t="shared" si="337"/>
        <v>2</v>
      </c>
      <c r="F415" s="17">
        <f t="shared" si="323"/>
        <v>3</v>
      </c>
      <c r="G415" s="17" t="str">
        <f t="shared" si="338"/>
        <v>刀锋战士防御百分比</v>
      </c>
      <c r="H415" s="17" t="str">
        <f t="shared" si="339"/>
        <v>bubing02_Lv3</v>
      </c>
      <c r="I415" s="20">
        <v>1.5</v>
      </c>
      <c r="J415" s="17">
        <v>9</v>
      </c>
      <c r="K415" s="17">
        <f t="shared" si="332"/>
        <v>12710</v>
      </c>
      <c r="L415" s="17" t="s">
        <v>236</v>
      </c>
      <c r="M415" s="17" t="str">
        <f t="shared" si="335"/>
        <v>1:12400:10</v>
      </c>
      <c r="N415" s="16" t="str">
        <f t="shared" si="328"/>
        <v>10004:1</v>
      </c>
      <c r="O415" s="17">
        <f t="shared" si="329"/>
        <v>8</v>
      </c>
      <c r="P415" s="21" t="s">
        <v>4360</v>
      </c>
      <c r="Q415" s="21"/>
      <c r="R415" t="s">
        <v>4351</v>
      </c>
      <c r="T415" t="str">
        <f t="shared" si="336"/>
        <v>:1</v>
      </c>
      <c r="U415" t="str">
        <f t="shared" si="320"/>
        <v>战士</v>
      </c>
      <c r="V415" t="s">
        <v>4349</v>
      </c>
      <c r="W415">
        <f>属性类型!G415</f>
        <v>10004</v>
      </c>
      <c r="X415">
        <v>1</v>
      </c>
    </row>
    <row r="416" customFormat="1" ht="16.5" spans="1:24">
      <c r="A416" s="17">
        <f t="shared" si="333"/>
        <v>12710</v>
      </c>
      <c r="B416" s="17">
        <f t="shared" ref="B416:B428" si="340">ROUND(A416,-2)</f>
        <v>12700</v>
      </c>
      <c r="C416" s="17" t="str">
        <f t="shared" ref="C416:C428" si="341">LEFT(A416,1)</f>
        <v>1</v>
      </c>
      <c r="D416" s="12">
        <f t="shared" si="303"/>
        <v>10003</v>
      </c>
      <c r="E416" s="17">
        <f t="shared" si="337"/>
        <v>2</v>
      </c>
      <c r="F416" s="17">
        <f t="shared" ref="F416:F428" si="342">MID(B416,2,1)+1</f>
        <v>3</v>
      </c>
      <c r="G416" s="17" t="str">
        <f t="shared" si="338"/>
        <v>刀锋战士防御百分比</v>
      </c>
      <c r="H416" s="17" t="str">
        <f t="shared" si="339"/>
        <v>bubing02_Lv3</v>
      </c>
      <c r="I416" s="20">
        <v>1.5</v>
      </c>
      <c r="J416" s="17">
        <v>10</v>
      </c>
      <c r="K416" s="17">
        <f t="shared" ref="K416:K428" si="343">A417</f>
        <v>12711</v>
      </c>
      <c r="L416" s="17" t="s">
        <v>238</v>
      </c>
      <c r="M416" s="17" t="str">
        <f t="shared" ref="M416:M428" si="344">M415</f>
        <v>1:12400:10</v>
      </c>
      <c r="N416" s="16" t="str">
        <f t="shared" si="328"/>
        <v>10004:1</v>
      </c>
      <c r="O416" s="17">
        <f t="shared" ref="O416:O428" si="345">MID(A416,3,1)+1</f>
        <v>8</v>
      </c>
      <c r="P416" s="21" t="s">
        <v>4361</v>
      </c>
      <c r="Q416" s="21"/>
      <c r="R416" t="s">
        <v>4351</v>
      </c>
      <c r="T416" t="str">
        <f t="shared" ref="T416:T436" si="346">RIGHT(N416,2)</f>
        <v>:1</v>
      </c>
      <c r="U416" t="str">
        <f t="shared" si="320"/>
        <v>战士</v>
      </c>
      <c r="V416" t="s">
        <v>4349</v>
      </c>
      <c r="W416">
        <f>属性类型!G416</f>
        <v>10004</v>
      </c>
      <c r="X416">
        <v>1</v>
      </c>
    </row>
    <row r="417" customFormat="1" ht="16.5" spans="1:24">
      <c r="A417" s="17">
        <f t="shared" si="333"/>
        <v>12711</v>
      </c>
      <c r="B417" s="17">
        <f t="shared" si="340"/>
        <v>12700</v>
      </c>
      <c r="C417" s="17" t="str">
        <f t="shared" si="341"/>
        <v>1</v>
      </c>
      <c r="D417" s="12">
        <f t="shared" si="303"/>
        <v>10003</v>
      </c>
      <c r="E417" s="17">
        <f t="shared" si="337"/>
        <v>2</v>
      </c>
      <c r="F417" s="17">
        <f t="shared" si="342"/>
        <v>3</v>
      </c>
      <c r="G417" s="17" t="str">
        <f t="shared" si="338"/>
        <v>刀锋战士防御百分比</v>
      </c>
      <c r="H417" s="17" t="str">
        <f t="shared" si="339"/>
        <v>bubing02_Lv3</v>
      </c>
      <c r="I417" s="20">
        <v>1.5</v>
      </c>
      <c r="J417" s="17">
        <v>11</v>
      </c>
      <c r="K417" s="17">
        <f t="shared" si="343"/>
        <v>12712</v>
      </c>
      <c r="L417" s="17" t="s">
        <v>529</v>
      </c>
      <c r="M417" s="17" t="str">
        <f t="shared" si="344"/>
        <v>1:12400:10</v>
      </c>
      <c r="N417" s="16" t="str">
        <f t="shared" si="328"/>
        <v>10004:1</v>
      </c>
      <c r="O417" s="17">
        <f t="shared" si="345"/>
        <v>8</v>
      </c>
      <c r="P417" s="21" t="s">
        <v>4362</v>
      </c>
      <c r="Q417" s="21"/>
      <c r="R417" t="s">
        <v>4351</v>
      </c>
      <c r="T417" t="str">
        <f t="shared" si="346"/>
        <v>:1</v>
      </c>
      <c r="U417" t="str">
        <f t="shared" si="320"/>
        <v>战士</v>
      </c>
      <c r="V417" t="s">
        <v>4349</v>
      </c>
      <c r="W417">
        <f>属性类型!G417</f>
        <v>10004</v>
      </c>
      <c r="X417">
        <v>1</v>
      </c>
    </row>
    <row r="418" customFormat="1" ht="16.5" spans="1:24">
      <c r="A418" s="17">
        <f t="shared" si="333"/>
        <v>12712</v>
      </c>
      <c r="B418" s="17">
        <f t="shared" si="340"/>
        <v>12700</v>
      </c>
      <c r="C418" s="17" t="str">
        <f t="shared" si="341"/>
        <v>1</v>
      </c>
      <c r="D418" s="12">
        <f t="shared" si="303"/>
        <v>10003</v>
      </c>
      <c r="E418" s="17">
        <f t="shared" si="337"/>
        <v>2</v>
      </c>
      <c r="F418" s="17">
        <f t="shared" si="342"/>
        <v>3</v>
      </c>
      <c r="G418" s="17" t="str">
        <f t="shared" si="338"/>
        <v>刀锋战士防御百分比</v>
      </c>
      <c r="H418" s="17" t="str">
        <f t="shared" si="339"/>
        <v>bubing02_Lv3</v>
      </c>
      <c r="I418" s="20">
        <v>1.5</v>
      </c>
      <c r="J418" s="17">
        <v>12</v>
      </c>
      <c r="K418" s="17">
        <f t="shared" si="343"/>
        <v>12713</v>
      </c>
      <c r="L418" s="17" t="s">
        <v>532</v>
      </c>
      <c r="M418" s="17" t="str">
        <f t="shared" si="344"/>
        <v>1:12400:10</v>
      </c>
      <c r="N418" s="16" t="str">
        <f t="shared" si="328"/>
        <v>10004:1</v>
      </c>
      <c r="O418" s="17">
        <f t="shared" si="345"/>
        <v>8</v>
      </c>
      <c r="P418" s="21" t="s">
        <v>4363</v>
      </c>
      <c r="Q418" s="21"/>
      <c r="R418" t="s">
        <v>4351</v>
      </c>
      <c r="T418" t="str">
        <f t="shared" si="346"/>
        <v>:1</v>
      </c>
      <c r="U418" t="str">
        <f t="shared" si="320"/>
        <v>战士</v>
      </c>
      <c r="V418" t="s">
        <v>4349</v>
      </c>
      <c r="W418">
        <f>属性类型!G418</f>
        <v>10004</v>
      </c>
      <c r="X418">
        <v>1</v>
      </c>
    </row>
    <row r="419" customFormat="1" ht="16.5" spans="1:24">
      <c r="A419" s="17">
        <f t="shared" si="333"/>
        <v>12713</v>
      </c>
      <c r="B419" s="17">
        <f t="shared" si="340"/>
        <v>12700</v>
      </c>
      <c r="C419" s="17" t="str">
        <f t="shared" si="341"/>
        <v>1</v>
      </c>
      <c r="D419" s="12">
        <f t="shared" si="303"/>
        <v>10003</v>
      </c>
      <c r="E419" s="17">
        <f t="shared" si="337"/>
        <v>2</v>
      </c>
      <c r="F419" s="17">
        <f t="shared" si="342"/>
        <v>3</v>
      </c>
      <c r="G419" s="17" t="str">
        <f t="shared" si="338"/>
        <v>刀锋战士防御百分比</v>
      </c>
      <c r="H419" s="17" t="str">
        <f t="shared" si="339"/>
        <v>bubing02_Lv3</v>
      </c>
      <c r="I419" s="20">
        <v>1.5</v>
      </c>
      <c r="J419" s="17">
        <v>13</v>
      </c>
      <c r="K419" s="17">
        <f t="shared" si="343"/>
        <v>12714</v>
      </c>
      <c r="L419" s="17" t="s">
        <v>561</v>
      </c>
      <c r="M419" s="17" t="str">
        <f t="shared" si="344"/>
        <v>1:12400:10</v>
      </c>
      <c r="N419" s="16" t="str">
        <f t="shared" si="328"/>
        <v>10004:1</v>
      </c>
      <c r="O419" s="17">
        <f t="shared" si="345"/>
        <v>8</v>
      </c>
      <c r="P419" s="21" t="s">
        <v>4364</v>
      </c>
      <c r="Q419" s="21"/>
      <c r="R419" t="s">
        <v>4351</v>
      </c>
      <c r="T419" t="str">
        <f t="shared" si="346"/>
        <v>:1</v>
      </c>
      <c r="U419" t="str">
        <f t="shared" si="320"/>
        <v>战士</v>
      </c>
      <c r="V419" t="s">
        <v>4349</v>
      </c>
      <c r="W419">
        <f>属性类型!G419</f>
        <v>10004</v>
      </c>
      <c r="X419">
        <v>1</v>
      </c>
    </row>
    <row r="420" customFormat="1" ht="16.5" spans="1:24">
      <c r="A420" s="17">
        <f t="shared" si="333"/>
        <v>12714</v>
      </c>
      <c r="B420" s="17">
        <f t="shared" si="340"/>
        <v>12700</v>
      </c>
      <c r="C420" s="17" t="str">
        <f t="shared" si="341"/>
        <v>1</v>
      </c>
      <c r="D420" s="12">
        <f t="shared" si="303"/>
        <v>10003</v>
      </c>
      <c r="E420" s="17">
        <f t="shared" si="337"/>
        <v>2</v>
      </c>
      <c r="F420" s="17">
        <f t="shared" si="342"/>
        <v>3</v>
      </c>
      <c r="G420" s="17" t="str">
        <f t="shared" si="338"/>
        <v>刀锋战士防御百分比</v>
      </c>
      <c r="H420" s="17" t="str">
        <f t="shared" si="339"/>
        <v>bubing02_Lv3</v>
      </c>
      <c r="I420" s="20">
        <v>1.5</v>
      </c>
      <c r="J420" s="17">
        <v>14</v>
      </c>
      <c r="K420" s="17">
        <f t="shared" si="343"/>
        <v>12715</v>
      </c>
      <c r="L420" s="17" t="s">
        <v>564</v>
      </c>
      <c r="M420" s="17" t="str">
        <f t="shared" si="344"/>
        <v>1:12400:10</v>
      </c>
      <c r="N420" s="16" t="str">
        <f t="shared" si="328"/>
        <v>10004:1</v>
      </c>
      <c r="O420" s="17">
        <f t="shared" si="345"/>
        <v>8</v>
      </c>
      <c r="P420" s="21" t="s">
        <v>4365</v>
      </c>
      <c r="Q420" s="21"/>
      <c r="R420" t="s">
        <v>4351</v>
      </c>
      <c r="T420" t="str">
        <f t="shared" si="346"/>
        <v>:1</v>
      </c>
      <c r="U420" t="str">
        <f t="shared" si="320"/>
        <v>战士</v>
      </c>
      <c r="V420" t="s">
        <v>4349</v>
      </c>
      <c r="W420">
        <f>属性类型!G420</f>
        <v>10004</v>
      </c>
      <c r="X420">
        <v>1</v>
      </c>
    </row>
    <row r="421" customFormat="1" ht="16.5" spans="1:24">
      <c r="A421" s="17">
        <f t="shared" si="333"/>
        <v>12715</v>
      </c>
      <c r="B421" s="17">
        <f t="shared" si="340"/>
        <v>12700</v>
      </c>
      <c r="C421" s="17" t="str">
        <f t="shared" si="341"/>
        <v>1</v>
      </c>
      <c r="D421" s="12">
        <f t="shared" si="303"/>
        <v>10003</v>
      </c>
      <c r="E421" s="17">
        <f t="shared" si="337"/>
        <v>2</v>
      </c>
      <c r="F421" s="17">
        <f t="shared" si="342"/>
        <v>3</v>
      </c>
      <c r="G421" s="17" t="str">
        <f t="shared" si="338"/>
        <v>刀锋战士防御百分比</v>
      </c>
      <c r="H421" s="17" t="str">
        <f t="shared" si="339"/>
        <v>bubing02_Lv3</v>
      </c>
      <c r="I421" s="20">
        <v>1.5</v>
      </c>
      <c r="J421" s="17">
        <v>15</v>
      </c>
      <c r="K421" s="17">
        <f t="shared" si="343"/>
        <v>12716</v>
      </c>
      <c r="L421" s="17" t="s">
        <v>630</v>
      </c>
      <c r="M421" s="17" t="str">
        <f t="shared" si="344"/>
        <v>1:12400:10</v>
      </c>
      <c r="N421" s="16" t="str">
        <f t="shared" si="328"/>
        <v>10004:1</v>
      </c>
      <c r="O421" s="17">
        <f t="shared" si="345"/>
        <v>8</v>
      </c>
      <c r="P421" s="21" t="s">
        <v>4366</v>
      </c>
      <c r="Q421" s="21"/>
      <c r="R421" t="s">
        <v>4351</v>
      </c>
      <c r="T421" t="str">
        <f t="shared" si="346"/>
        <v>:1</v>
      </c>
      <c r="U421" t="str">
        <f t="shared" si="320"/>
        <v>战士</v>
      </c>
      <c r="V421" t="s">
        <v>4349</v>
      </c>
      <c r="W421">
        <f>属性类型!G421</f>
        <v>10004</v>
      </c>
      <c r="X421">
        <v>1</v>
      </c>
    </row>
    <row r="422" customFormat="1" ht="16.5" spans="1:24">
      <c r="A422" s="17">
        <f t="shared" si="333"/>
        <v>12716</v>
      </c>
      <c r="B422" s="17">
        <f t="shared" si="340"/>
        <v>12700</v>
      </c>
      <c r="C422" s="17" t="str">
        <f t="shared" si="341"/>
        <v>1</v>
      </c>
      <c r="D422" s="12">
        <f t="shared" si="303"/>
        <v>10003</v>
      </c>
      <c r="E422" s="17">
        <f t="shared" si="337"/>
        <v>2</v>
      </c>
      <c r="F422" s="17">
        <f t="shared" si="342"/>
        <v>3</v>
      </c>
      <c r="G422" s="17" t="str">
        <f t="shared" si="338"/>
        <v>刀锋战士防御百分比</v>
      </c>
      <c r="H422" s="17" t="str">
        <f t="shared" si="339"/>
        <v>bubing02_Lv3</v>
      </c>
      <c r="I422" s="20">
        <v>1.5</v>
      </c>
      <c r="J422" s="17">
        <v>16</v>
      </c>
      <c r="K422" s="17">
        <f t="shared" si="343"/>
        <v>12717</v>
      </c>
      <c r="L422" s="17" t="s">
        <v>633</v>
      </c>
      <c r="M422" s="17" t="str">
        <f t="shared" si="344"/>
        <v>1:12400:10</v>
      </c>
      <c r="N422" s="16" t="str">
        <f t="shared" si="328"/>
        <v>10004:1</v>
      </c>
      <c r="O422" s="17">
        <f t="shared" si="345"/>
        <v>8</v>
      </c>
      <c r="P422" s="21" t="s">
        <v>4367</v>
      </c>
      <c r="Q422" s="21"/>
      <c r="R422" t="s">
        <v>4351</v>
      </c>
      <c r="T422" t="str">
        <f t="shared" si="346"/>
        <v>:1</v>
      </c>
      <c r="U422" t="str">
        <f t="shared" si="320"/>
        <v>战士</v>
      </c>
      <c r="V422" t="s">
        <v>4349</v>
      </c>
      <c r="W422">
        <f>属性类型!G422</f>
        <v>10004</v>
      </c>
      <c r="X422">
        <v>1</v>
      </c>
    </row>
    <row r="423" customFormat="1" ht="16.5" spans="1:24">
      <c r="A423" s="17">
        <f t="shared" si="333"/>
        <v>12717</v>
      </c>
      <c r="B423" s="17">
        <f t="shared" si="340"/>
        <v>12700</v>
      </c>
      <c r="C423" s="17" t="str">
        <f t="shared" si="341"/>
        <v>1</v>
      </c>
      <c r="D423" s="12">
        <f t="shared" si="303"/>
        <v>10003</v>
      </c>
      <c r="E423" s="17">
        <f t="shared" si="337"/>
        <v>2</v>
      </c>
      <c r="F423" s="17">
        <f t="shared" si="342"/>
        <v>3</v>
      </c>
      <c r="G423" s="17" t="str">
        <f t="shared" si="338"/>
        <v>刀锋战士防御百分比</v>
      </c>
      <c r="H423" s="17" t="str">
        <f t="shared" si="339"/>
        <v>bubing02_Lv3</v>
      </c>
      <c r="I423" s="20">
        <v>1.5</v>
      </c>
      <c r="J423" s="17">
        <v>17</v>
      </c>
      <c r="K423" s="17">
        <f t="shared" si="343"/>
        <v>12718</v>
      </c>
      <c r="L423" s="17" t="s">
        <v>637</v>
      </c>
      <c r="M423" s="17" t="str">
        <f t="shared" si="344"/>
        <v>1:12400:10</v>
      </c>
      <c r="N423" s="16" t="str">
        <f t="shared" si="328"/>
        <v>10004:1</v>
      </c>
      <c r="O423" s="17">
        <f t="shared" si="345"/>
        <v>8</v>
      </c>
      <c r="P423" s="21" t="s">
        <v>4368</v>
      </c>
      <c r="Q423" s="21"/>
      <c r="R423" t="s">
        <v>4351</v>
      </c>
      <c r="T423" t="str">
        <f t="shared" si="346"/>
        <v>:1</v>
      </c>
      <c r="U423" t="str">
        <f t="shared" si="320"/>
        <v>战士</v>
      </c>
      <c r="V423" t="s">
        <v>4349</v>
      </c>
      <c r="W423">
        <f>属性类型!G423</f>
        <v>10004</v>
      </c>
      <c r="X423">
        <v>1</v>
      </c>
    </row>
    <row r="424" customFormat="1" ht="16.5" spans="1:24">
      <c r="A424" s="17">
        <f t="shared" si="333"/>
        <v>12718</v>
      </c>
      <c r="B424" s="17">
        <f t="shared" si="340"/>
        <v>12700</v>
      </c>
      <c r="C424" s="17" t="str">
        <f t="shared" si="341"/>
        <v>1</v>
      </c>
      <c r="D424" s="12">
        <f t="shared" si="303"/>
        <v>10003</v>
      </c>
      <c r="E424" s="17">
        <f t="shared" si="337"/>
        <v>2</v>
      </c>
      <c r="F424" s="17">
        <f t="shared" si="342"/>
        <v>3</v>
      </c>
      <c r="G424" s="17" t="str">
        <f t="shared" si="338"/>
        <v>刀锋战士防御百分比</v>
      </c>
      <c r="H424" s="17" t="str">
        <f t="shared" si="339"/>
        <v>bubing02_Lv3</v>
      </c>
      <c r="I424" s="20">
        <v>1.5</v>
      </c>
      <c r="J424" s="17">
        <v>18</v>
      </c>
      <c r="K424" s="17">
        <f t="shared" si="343"/>
        <v>12719</v>
      </c>
      <c r="L424" s="17" t="s">
        <v>641</v>
      </c>
      <c r="M424" s="17" t="str">
        <f t="shared" si="344"/>
        <v>1:12400:10</v>
      </c>
      <c r="N424" s="16" t="str">
        <f t="shared" si="328"/>
        <v>10004:1</v>
      </c>
      <c r="O424" s="17">
        <f t="shared" si="345"/>
        <v>8</v>
      </c>
      <c r="P424" s="21" t="s">
        <v>4369</v>
      </c>
      <c r="Q424" s="21"/>
      <c r="R424" t="s">
        <v>4351</v>
      </c>
      <c r="T424" t="str">
        <f t="shared" si="346"/>
        <v>:1</v>
      </c>
      <c r="U424" t="str">
        <f t="shared" si="320"/>
        <v>战士</v>
      </c>
      <c r="V424" t="s">
        <v>4349</v>
      </c>
      <c r="W424">
        <f>属性类型!G424</f>
        <v>10004</v>
      </c>
      <c r="X424">
        <v>1</v>
      </c>
    </row>
    <row r="425" customFormat="1" ht="16.5" spans="1:24">
      <c r="A425" s="17">
        <f t="shared" si="333"/>
        <v>12719</v>
      </c>
      <c r="B425" s="17">
        <f t="shared" si="340"/>
        <v>12700</v>
      </c>
      <c r="C425" s="17" t="str">
        <f t="shared" si="341"/>
        <v>1</v>
      </c>
      <c r="D425" s="12">
        <f t="shared" si="303"/>
        <v>10003</v>
      </c>
      <c r="E425" s="17">
        <f t="shared" si="337"/>
        <v>2</v>
      </c>
      <c r="F425" s="17">
        <f t="shared" si="342"/>
        <v>3</v>
      </c>
      <c r="G425" s="17" t="str">
        <f t="shared" si="338"/>
        <v>刀锋战士防御百分比</v>
      </c>
      <c r="H425" s="17" t="str">
        <f t="shared" si="339"/>
        <v>bubing02_Lv3</v>
      </c>
      <c r="I425" s="20">
        <v>1.5</v>
      </c>
      <c r="J425" s="17">
        <v>19</v>
      </c>
      <c r="K425" s="17">
        <f t="shared" si="343"/>
        <v>12720</v>
      </c>
      <c r="L425" s="17" t="s">
        <v>645</v>
      </c>
      <c r="M425" s="17" t="str">
        <f t="shared" si="344"/>
        <v>1:12400:10</v>
      </c>
      <c r="N425" s="16" t="str">
        <f t="shared" si="328"/>
        <v>10004:1</v>
      </c>
      <c r="O425" s="17">
        <f t="shared" si="345"/>
        <v>8</v>
      </c>
      <c r="P425" s="21" t="s">
        <v>4370</v>
      </c>
      <c r="Q425" s="21"/>
      <c r="R425" t="s">
        <v>4351</v>
      </c>
      <c r="T425" t="str">
        <f t="shared" si="346"/>
        <v>:1</v>
      </c>
      <c r="U425" t="str">
        <f t="shared" si="320"/>
        <v>战士</v>
      </c>
      <c r="V425" t="s">
        <v>4349</v>
      </c>
      <c r="W425">
        <f>属性类型!G425</f>
        <v>10004</v>
      </c>
      <c r="X425">
        <v>1</v>
      </c>
    </row>
    <row r="426" customFormat="1" ht="16.5" spans="1:24">
      <c r="A426" s="17">
        <f t="shared" si="333"/>
        <v>12720</v>
      </c>
      <c r="B426" s="17">
        <f t="shared" si="340"/>
        <v>12700</v>
      </c>
      <c r="C426" s="17" t="str">
        <f t="shared" si="341"/>
        <v>1</v>
      </c>
      <c r="D426" s="12">
        <f t="shared" si="303"/>
        <v>10003</v>
      </c>
      <c r="E426" s="17">
        <f t="shared" si="337"/>
        <v>2</v>
      </c>
      <c r="F426" s="17">
        <f t="shared" si="342"/>
        <v>3</v>
      </c>
      <c r="G426" s="17" t="str">
        <f t="shared" si="338"/>
        <v>刀锋战士防御百分比</v>
      </c>
      <c r="H426" s="17" t="str">
        <f t="shared" si="339"/>
        <v>bubing02_Lv3</v>
      </c>
      <c r="I426" s="20">
        <v>1.5</v>
      </c>
      <c r="J426" s="17">
        <v>20</v>
      </c>
      <c r="K426" s="17">
        <v>0</v>
      </c>
      <c r="L426" s="17">
        <v>0</v>
      </c>
      <c r="M426" s="17" t="str">
        <f t="shared" si="344"/>
        <v>1:12400:10</v>
      </c>
      <c r="N426" s="16" t="str">
        <f t="shared" si="328"/>
        <v>10004:1</v>
      </c>
      <c r="O426" s="17">
        <f t="shared" si="345"/>
        <v>8</v>
      </c>
      <c r="P426" s="21" t="s">
        <v>4370</v>
      </c>
      <c r="Q426" s="21"/>
      <c r="R426" t="s">
        <v>4351</v>
      </c>
      <c r="T426" t="str">
        <f t="shared" si="346"/>
        <v>:1</v>
      </c>
      <c r="U426" t="str">
        <f t="shared" si="320"/>
        <v>战士</v>
      </c>
      <c r="V426" t="s">
        <v>4349</v>
      </c>
      <c r="W426">
        <f>属性类型!G426</f>
        <v>10004</v>
      </c>
      <c r="X426">
        <v>1</v>
      </c>
    </row>
    <row r="427" customFormat="1" ht="16.5" spans="1:24">
      <c r="A427" s="18">
        <f>A406+100</f>
        <v>12800</v>
      </c>
      <c r="B427" s="18">
        <f t="shared" ref="B427:B438" si="347">ROUND(A427,-2)</f>
        <v>12800</v>
      </c>
      <c r="C427" s="18" t="str">
        <f t="shared" ref="C427:C438" si="348">LEFT(A427,1)</f>
        <v>1</v>
      </c>
      <c r="D427" s="12">
        <f t="shared" si="303"/>
        <v>10003</v>
      </c>
      <c r="E427" s="17">
        <v>2</v>
      </c>
      <c r="F427" s="18">
        <f t="shared" ref="F427:F438" si="349">MID(B427,2,1)+1</f>
        <v>3</v>
      </c>
      <c r="G427" s="18" t="s">
        <v>4371</v>
      </c>
      <c r="H427" s="18" t="s">
        <v>242</v>
      </c>
      <c r="I427" s="20">
        <v>1.5</v>
      </c>
      <c r="J427" s="18">
        <v>0</v>
      </c>
      <c r="K427" s="18">
        <f t="shared" ref="K427:K436" si="350">A428</f>
        <v>12801</v>
      </c>
      <c r="L427" s="18" t="s">
        <v>206</v>
      </c>
      <c r="M427" s="18" t="s">
        <v>741</v>
      </c>
      <c r="N427" s="16" t="str">
        <f t="shared" si="328"/>
        <v>10005:1</v>
      </c>
      <c r="O427" s="18">
        <f t="shared" ref="O427:O438" si="351">MID(A427,3,1)+1</f>
        <v>9</v>
      </c>
      <c r="P427" s="21" t="s">
        <v>4372</v>
      </c>
      <c r="Q427" s="21"/>
      <c r="R427" t="s">
        <v>4351</v>
      </c>
      <c r="T427" t="str">
        <f>RIGHT(N427,1)</f>
        <v>1</v>
      </c>
      <c r="U427" t="str">
        <f t="shared" si="320"/>
        <v>战士</v>
      </c>
      <c r="V427" t="s">
        <v>4371</v>
      </c>
      <c r="W427">
        <f>属性类型!G427</f>
        <v>10005</v>
      </c>
      <c r="X427">
        <v>1</v>
      </c>
    </row>
    <row r="428" customFormat="1" ht="16.5" spans="1:24">
      <c r="A428" s="17">
        <f t="shared" ref="A428:A447" si="352">A427+1</f>
        <v>12801</v>
      </c>
      <c r="B428" s="17">
        <f t="shared" si="347"/>
        <v>12800</v>
      </c>
      <c r="C428" s="17" t="str">
        <f t="shared" si="348"/>
        <v>1</v>
      </c>
      <c r="D428" s="12">
        <f t="shared" si="303"/>
        <v>10003</v>
      </c>
      <c r="E428" s="17">
        <f t="shared" ref="E428:H428" si="353">E427</f>
        <v>2</v>
      </c>
      <c r="F428" s="17">
        <f t="shared" si="349"/>
        <v>3</v>
      </c>
      <c r="G428" s="17" t="str">
        <f t="shared" si="353"/>
        <v>刀锋战士攻击百分比</v>
      </c>
      <c r="H428" s="17" t="str">
        <f t="shared" si="353"/>
        <v>bubing02_Lv3</v>
      </c>
      <c r="I428" s="20">
        <v>1.5</v>
      </c>
      <c r="J428" s="17">
        <v>1</v>
      </c>
      <c r="K428" s="17">
        <f t="shared" si="350"/>
        <v>12802</v>
      </c>
      <c r="L428" s="17" t="s">
        <v>211</v>
      </c>
      <c r="M428" s="17" t="str">
        <f t="shared" ref="M428:M437" si="354">M427</f>
        <v>1:12500:10</v>
      </c>
      <c r="N428" s="16" t="str">
        <f t="shared" si="328"/>
        <v>10005:1</v>
      </c>
      <c r="O428" s="17">
        <f t="shared" si="351"/>
        <v>9</v>
      </c>
      <c r="P428" s="21" t="s">
        <v>4373</v>
      </c>
      <c r="Q428" s="21"/>
      <c r="R428" t="str">
        <f t="shared" si="314"/>
        <v>刀锋战士</v>
      </c>
      <c r="T428" t="str">
        <f t="shared" si="346"/>
        <v>:1</v>
      </c>
      <c r="U428" t="str">
        <f t="shared" si="320"/>
        <v>战士</v>
      </c>
      <c r="V428" t="s">
        <v>4371</v>
      </c>
      <c r="W428">
        <f>属性类型!G428</f>
        <v>10005</v>
      </c>
      <c r="X428">
        <v>1</v>
      </c>
    </row>
    <row r="429" customFormat="1" ht="16.5" spans="1:24">
      <c r="A429" s="17">
        <f t="shared" si="352"/>
        <v>12802</v>
      </c>
      <c r="B429" s="17">
        <f t="shared" si="347"/>
        <v>12800</v>
      </c>
      <c r="C429" s="17" t="str">
        <f t="shared" si="348"/>
        <v>1</v>
      </c>
      <c r="D429" s="12">
        <f t="shared" si="303"/>
        <v>10003</v>
      </c>
      <c r="E429" s="17">
        <f t="shared" ref="E429:E468" si="355">E428</f>
        <v>2</v>
      </c>
      <c r="F429" s="17">
        <f t="shared" si="349"/>
        <v>3</v>
      </c>
      <c r="G429" s="17" t="str">
        <f t="shared" ref="G429:G447" si="356">G428</f>
        <v>刀锋战士攻击百分比</v>
      </c>
      <c r="H429" s="17" t="str">
        <f t="shared" ref="H429:H447" si="357">H428</f>
        <v>bubing02_Lv3</v>
      </c>
      <c r="I429" s="20">
        <v>1.5</v>
      </c>
      <c r="J429" s="17">
        <v>2</v>
      </c>
      <c r="K429" s="17">
        <f t="shared" si="350"/>
        <v>12803</v>
      </c>
      <c r="L429" s="17" t="s">
        <v>215</v>
      </c>
      <c r="M429" s="17" t="str">
        <f t="shared" si="354"/>
        <v>1:12500:10</v>
      </c>
      <c r="N429" s="16" t="str">
        <f t="shared" si="328"/>
        <v>10005:1</v>
      </c>
      <c r="O429" s="17">
        <f t="shared" si="351"/>
        <v>9</v>
      </c>
      <c r="P429" s="21" t="s">
        <v>4374</v>
      </c>
      <c r="Q429" s="21"/>
      <c r="R429" t="str">
        <f t="shared" si="314"/>
        <v>刀锋战士</v>
      </c>
      <c r="T429" t="str">
        <f t="shared" si="346"/>
        <v>:1</v>
      </c>
      <c r="U429" t="str">
        <f t="shared" si="320"/>
        <v>战士</v>
      </c>
      <c r="V429" t="s">
        <v>4371</v>
      </c>
      <c r="W429">
        <f>属性类型!G429</f>
        <v>10005</v>
      </c>
      <c r="X429">
        <v>1</v>
      </c>
    </row>
    <row r="430" customFormat="1" ht="16.5" spans="1:24">
      <c r="A430" s="17">
        <f t="shared" si="352"/>
        <v>12803</v>
      </c>
      <c r="B430" s="17">
        <f t="shared" si="347"/>
        <v>12800</v>
      </c>
      <c r="C430" s="17" t="str">
        <f t="shared" si="348"/>
        <v>1</v>
      </c>
      <c r="D430" s="12">
        <f t="shared" si="303"/>
        <v>10003</v>
      </c>
      <c r="E430" s="17">
        <f t="shared" si="355"/>
        <v>2</v>
      </c>
      <c r="F430" s="17">
        <f t="shared" si="349"/>
        <v>3</v>
      </c>
      <c r="G430" s="17" t="str">
        <f t="shared" si="356"/>
        <v>刀锋战士攻击百分比</v>
      </c>
      <c r="H430" s="17" t="str">
        <f t="shared" si="357"/>
        <v>bubing02_Lv3</v>
      </c>
      <c r="I430" s="20">
        <v>1.5</v>
      </c>
      <c r="J430" s="17">
        <v>3</v>
      </c>
      <c r="K430" s="17">
        <f t="shared" si="350"/>
        <v>12804</v>
      </c>
      <c r="L430" s="17" t="s">
        <v>218</v>
      </c>
      <c r="M430" s="17" t="str">
        <f t="shared" si="354"/>
        <v>1:12500:10</v>
      </c>
      <c r="N430" s="16" t="str">
        <f t="shared" si="328"/>
        <v>10005:1</v>
      </c>
      <c r="O430" s="17">
        <f t="shared" si="351"/>
        <v>9</v>
      </c>
      <c r="P430" s="21" t="s">
        <v>4375</v>
      </c>
      <c r="Q430" s="21"/>
      <c r="R430" t="str">
        <f t="shared" si="314"/>
        <v>刀锋战士</v>
      </c>
      <c r="T430" t="str">
        <f t="shared" si="346"/>
        <v>:1</v>
      </c>
      <c r="U430" t="str">
        <f t="shared" si="320"/>
        <v>战士</v>
      </c>
      <c r="V430" t="s">
        <v>4371</v>
      </c>
      <c r="W430">
        <f>属性类型!G430</f>
        <v>10005</v>
      </c>
      <c r="X430">
        <v>1</v>
      </c>
    </row>
    <row r="431" customFormat="1" ht="16.5" spans="1:24">
      <c r="A431" s="17">
        <f t="shared" si="352"/>
        <v>12804</v>
      </c>
      <c r="B431" s="17">
        <f t="shared" si="347"/>
        <v>12800</v>
      </c>
      <c r="C431" s="17" t="str">
        <f t="shared" si="348"/>
        <v>1</v>
      </c>
      <c r="D431" s="12">
        <f t="shared" si="303"/>
        <v>10003</v>
      </c>
      <c r="E431" s="17">
        <f t="shared" si="355"/>
        <v>2</v>
      </c>
      <c r="F431" s="17">
        <f t="shared" si="349"/>
        <v>3</v>
      </c>
      <c r="G431" s="17" t="str">
        <f t="shared" si="356"/>
        <v>刀锋战士攻击百分比</v>
      </c>
      <c r="H431" s="17" t="str">
        <f t="shared" si="357"/>
        <v>bubing02_Lv3</v>
      </c>
      <c r="I431" s="20">
        <v>1.5</v>
      </c>
      <c r="J431" s="17">
        <v>4</v>
      </c>
      <c r="K431" s="17">
        <f t="shared" si="350"/>
        <v>12805</v>
      </c>
      <c r="L431" s="17" t="s">
        <v>221</v>
      </c>
      <c r="M431" s="17" t="str">
        <f t="shared" si="354"/>
        <v>1:12500:10</v>
      </c>
      <c r="N431" s="16" t="str">
        <f t="shared" si="328"/>
        <v>10005:1</v>
      </c>
      <c r="O431" s="17">
        <f t="shared" si="351"/>
        <v>9</v>
      </c>
      <c r="P431" s="21" t="s">
        <v>4376</v>
      </c>
      <c r="Q431" s="21"/>
      <c r="R431" t="str">
        <f t="shared" si="314"/>
        <v>刀锋战士</v>
      </c>
      <c r="T431" t="str">
        <f t="shared" si="346"/>
        <v>:1</v>
      </c>
      <c r="U431" t="str">
        <f t="shared" si="320"/>
        <v>战士</v>
      </c>
      <c r="V431" t="s">
        <v>4371</v>
      </c>
      <c r="W431">
        <f>属性类型!G431</f>
        <v>10005</v>
      </c>
      <c r="X431">
        <v>1</v>
      </c>
    </row>
    <row r="432" customFormat="1" ht="16.5" spans="1:24">
      <c r="A432" s="17">
        <f t="shared" si="352"/>
        <v>12805</v>
      </c>
      <c r="B432" s="17">
        <f t="shared" si="347"/>
        <v>12800</v>
      </c>
      <c r="C432" s="17" t="str">
        <f t="shared" si="348"/>
        <v>1</v>
      </c>
      <c r="D432" s="12">
        <f t="shared" si="303"/>
        <v>10003</v>
      </c>
      <c r="E432" s="17">
        <f t="shared" si="355"/>
        <v>2</v>
      </c>
      <c r="F432" s="17">
        <f t="shared" si="349"/>
        <v>3</v>
      </c>
      <c r="G432" s="17" t="str">
        <f t="shared" si="356"/>
        <v>刀锋战士攻击百分比</v>
      </c>
      <c r="H432" s="17" t="str">
        <f t="shared" si="357"/>
        <v>bubing02_Lv3</v>
      </c>
      <c r="I432" s="20">
        <v>1.5</v>
      </c>
      <c r="J432" s="17">
        <v>5</v>
      </c>
      <c r="K432" s="17">
        <f t="shared" si="350"/>
        <v>12806</v>
      </c>
      <c r="L432" s="17" t="s">
        <v>224</v>
      </c>
      <c r="M432" s="17" t="str">
        <f t="shared" si="354"/>
        <v>1:12500:10</v>
      </c>
      <c r="N432" s="16" t="str">
        <f t="shared" si="328"/>
        <v>10005:1</v>
      </c>
      <c r="O432" s="17">
        <f t="shared" si="351"/>
        <v>9</v>
      </c>
      <c r="P432" s="21" t="s">
        <v>4377</v>
      </c>
      <c r="Q432" s="21"/>
      <c r="R432" t="str">
        <f t="shared" si="314"/>
        <v>刀锋战士</v>
      </c>
      <c r="T432" t="str">
        <f t="shared" si="346"/>
        <v>:1</v>
      </c>
      <c r="U432" t="str">
        <f t="shared" si="320"/>
        <v>战士</v>
      </c>
      <c r="V432" t="s">
        <v>4371</v>
      </c>
      <c r="W432">
        <f>属性类型!G432</f>
        <v>10005</v>
      </c>
      <c r="X432">
        <v>1</v>
      </c>
    </row>
    <row r="433" customFormat="1" ht="16.5" spans="1:24">
      <c r="A433" s="17">
        <f t="shared" si="352"/>
        <v>12806</v>
      </c>
      <c r="B433" s="17">
        <f t="shared" si="347"/>
        <v>12800</v>
      </c>
      <c r="C433" s="17" t="str">
        <f t="shared" si="348"/>
        <v>1</v>
      </c>
      <c r="D433" s="12">
        <f t="shared" si="303"/>
        <v>10003</v>
      </c>
      <c r="E433" s="17">
        <f t="shared" si="355"/>
        <v>2</v>
      </c>
      <c r="F433" s="17">
        <f t="shared" si="349"/>
        <v>3</v>
      </c>
      <c r="G433" s="17" t="str">
        <f t="shared" si="356"/>
        <v>刀锋战士攻击百分比</v>
      </c>
      <c r="H433" s="17" t="str">
        <f t="shared" si="357"/>
        <v>bubing02_Lv3</v>
      </c>
      <c r="I433" s="20">
        <v>1.5</v>
      </c>
      <c r="J433" s="17">
        <v>6</v>
      </c>
      <c r="K433" s="17">
        <f t="shared" si="350"/>
        <v>12807</v>
      </c>
      <c r="L433" s="17" t="s">
        <v>227</v>
      </c>
      <c r="M433" s="17" t="str">
        <f t="shared" si="354"/>
        <v>1:12500:10</v>
      </c>
      <c r="N433" s="16" t="str">
        <f t="shared" si="328"/>
        <v>10005:1</v>
      </c>
      <c r="O433" s="17">
        <f t="shared" si="351"/>
        <v>9</v>
      </c>
      <c r="P433" s="21" t="s">
        <v>4378</v>
      </c>
      <c r="Q433" s="21"/>
      <c r="R433" t="str">
        <f t="shared" si="314"/>
        <v>刀锋战士</v>
      </c>
      <c r="T433" t="str">
        <f t="shared" si="346"/>
        <v>:1</v>
      </c>
      <c r="U433" t="str">
        <f t="shared" si="320"/>
        <v>战士</v>
      </c>
      <c r="V433" t="s">
        <v>4371</v>
      </c>
      <c r="W433">
        <f>属性类型!G433</f>
        <v>10005</v>
      </c>
      <c r="X433">
        <v>1</v>
      </c>
    </row>
    <row r="434" customFormat="1" ht="16.5" spans="1:24">
      <c r="A434" s="17">
        <f t="shared" si="352"/>
        <v>12807</v>
      </c>
      <c r="B434" s="17">
        <f t="shared" si="347"/>
        <v>12800</v>
      </c>
      <c r="C434" s="17" t="str">
        <f t="shared" si="348"/>
        <v>1</v>
      </c>
      <c r="D434" s="12">
        <f t="shared" ref="D434:D497" si="358">$A$4+F434</f>
        <v>10003</v>
      </c>
      <c r="E434" s="17">
        <f t="shared" si="355"/>
        <v>2</v>
      </c>
      <c r="F434" s="17">
        <f t="shared" si="349"/>
        <v>3</v>
      </c>
      <c r="G434" s="17" t="str">
        <f t="shared" si="356"/>
        <v>刀锋战士攻击百分比</v>
      </c>
      <c r="H434" s="17" t="str">
        <f t="shared" si="357"/>
        <v>bubing02_Lv3</v>
      </c>
      <c r="I434" s="20">
        <v>1.5</v>
      </c>
      <c r="J434" s="17">
        <v>7</v>
      </c>
      <c r="K434" s="17">
        <f t="shared" si="350"/>
        <v>12808</v>
      </c>
      <c r="L434" s="17" t="s">
        <v>230</v>
      </c>
      <c r="M434" s="17" t="str">
        <f t="shared" si="354"/>
        <v>1:12500:10</v>
      </c>
      <c r="N434" s="16" t="str">
        <f t="shared" si="328"/>
        <v>10005:1</v>
      </c>
      <c r="O434" s="17">
        <f t="shared" si="351"/>
        <v>9</v>
      </c>
      <c r="P434" s="21" t="s">
        <v>4379</v>
      </c>
      <c r="Q434" s="21"/>
      <c r="R434" t="str">
        <f t="shared" si="314"/>
        <v>刀锋战士</v>
      </c>
      <c r="T434" t="str">
        <f t="shared" si="346"/>
        <v>:1</v>
      </c>
      <c r="U434" t="str">
        <f t="shared" si="320"/>
        <v>战士</v>
      </c>
      <c r="V434" t="s">
        <v>4371</v>
      </c>
      <c r="W434">
        <f>属性类型!G434</f>
        <v>10005</v>
      </c>
      <c r="X434">
        <v>1</v>
      </c>
    </row>
    <row r="435" customFormat="1" ht="16.5" spans="1:24">
      <c r="A435" s="17">
        <f t="shared" si="352"/>
        <v>12808</v>
      </c>
      <c r="B435" s="17">
        <f t="shared" si="347"/>
        <v>12800</v>
      </c>
      <c r="C435" s="17" t="str">
        <f t="shared" si="348"/>
        <v>1</v>
      </c>
      <c r="D435" s="12">
        <f t="shared" si="358"/>
        <v>10003</v>
      </c>
      <c r="E435" s="17">
        <f t="shared" si="355"/>
        <v>2</v>
      </c>
      <c r="F435" s="17">
        <f t="shared" si="349"/>
        <v>3</v>
      </c>
      <c r="G435" s="17" t="str">
        <f t="shared" si="356"/>
        <v>刀锋战士攻击百分比</v>
      </c>
      <c r="H435" s="17" t="str">
        <f t="shared" si="357"/>
        <v>bubing02_Lv3</v>
      </c>
      <c r="I435" s="20">
        <v>1.5</v>
      </c>
      <c r="J435" s="17">
        <v>8</v>
      </c>
      <c r="K435" s="17">
        <f t="shared" si="350"/>
        <v>12809</v>
      </c>
      <c r="L435" s="17" t="s">
        <v>233</v>
      </c>
      <c r="M435" s="17" t="str">
        <f t="shared" si="354"/>
        <v>1:12500:10</v>
      </c>
      <c r="N435" s="16" t="str">
        <f t="shared" si="328"/>
        <v>10005:1</v>
      </c>
      <c r="O435" s="17">
        <f t="shared" si="351"/>
        <v>9</v>
      </c>
      <c r="P435" s="21" t="s">
        <v>4380</v>
      </c>
      <c r="Q435" s="21"/>
      <c r="R435" t="str">
        <f t="shared" si="314"/>
        <v>刀锋战士</v>
      </c>
      <c r="T435" t="str">
        <f t="shared" si="346"/>
        <v>:1</v>
      </c>
      <c r="U435" t="str">
        <f t="shared" si="320"/>
        <v>战士</v>
      </c>
      <c r="V435" t="s">
        <v>4371</v>
      </c>
      <c r="W435">
        <f>属性类型!G435</f>
        <v>10005</v>
      </c>
      <c r="X435">
        <v>1</v>
      </c>
    </row>
    <row r="436" customFormat="1" ht="16.5" spans="1:24">
      <c r="A436" s="17">
        <f t="shared" si="352"/>
        <v>12809</v>
      </c>
      <c r="B436" s="17">
        <f t="shared" si="347"/>
        <v>12800</v>
      </c>
      <c r="C436" s="17" t="str">
        <f t="shared" si="348"/>
        <v>1</v>
      </c>
      <c r="D436" s="12">
        <f t="shared" si="358"/>
        <v>10003</v>
      </c>
      <c r="E436" s="17">
        <f t="shared" si="355"/>
        <v>2</v>
      </c>
      <c r="F436" s="17">
        <f t="shared" si="349"/>
        <v>3</v>
      </c>
      <c r="G436" s="17" t="str">
        <f t="shared" si="356"/>
        <v>刀锋战士攻击百分比</v>
      </c>
      <c r="H436" s="17" t="str">
        <f t="shared" si="357"/>
        <v>bubing02_Lv3</v>
      </c>
      <c r="I436" s="20">
        <v>1.5</v>
      </c>
      <c r="J436" s="17">
        <v>9</v>
      </c>
      <c r="K436" s="17">
        <f t="shared" si="350"/>
        <v>12810</v>
      </c>
      <c r="L436" s="17" t="s">
        <v>236</v>
      </c>
      <c r="M436" s="17" t="str">
        <f t="shared" si="354"/>
        <v>1:12500:10</v>
      </c>
      <c r="N436" s="16" t="str">
        <f t="shared" si="328"/>
        <v>10005:1</v>
      </c>
      <c r="O436" s="17">
        <f t="shared" si="351"/>
        <v>9</v>
      </c>
      <c r="P436" s="21" t="s">
        <v>4381</v>
      </c>
      <c r="Q436" s="21"/>
      <c r="R436" t="str">
        <f t="shared" si="314"/>
        <v>刀锋战士</v>
      </c>
      <c r="T436" t="str">
        <f t="shared" si="346"/>
        <v>:1</v>
      </c>
      <c r="U436" t="str">
        <f t="shared" si="320"/>
        <v>战士</v>
      </c>
      <c r="V436" t="s">
        <v>4371</v>
      </c>
      <c r="W436">
        <f>属性类型!G436</f>
        <v>10005</v>
      </c>
      <c r="X436">
        <v>1</v>
      </c>
    </row>
    <row r="437" customFormat="1" ht="16.5" spans="1:24">
      <c r="A437" s="17">
        <f t="shared" si="352"/>
        <v>12810</v>
      </c>
      <c r="B437" s="17">
        <f t="shared" ref="B437:B463" si="359">ROUND(A437,-2)</f>
        <v>12800</v>
      </c>
      <c r="C437" s="17" t="str">
        <f t="shared" ref="C437:C463" si="360">LEFT(A437,1)</f>
        <v>1</v>
      </c>
      <c r="D437" s="12">
        <f t="shared" si="358"/>
        <v>10003</v>
      </c>
      <c r="E437" s="17">
        <f t="shared" si="355"/>
        <v>2</v>
      </c>
      <c r="F437" s="17">
        <f t="shared" ref="F437:F463" si="361">MID(B437,2,1)+1</f>
        <v>3</v>
      </c>
      <c r="G437" s="17" t="str">
        <f t="shared" si="356"/>
        <v>刀锋战士攻击百分比</v>
      </c>
      <c r="H437" s="17" t="str">
        <f t="shared" si="357"/>
        <v>bubing02_Lv3</v>
      </c>
      <c r="I437" s="20">
        <v>1.5</v>
      </c>
      <c r="J437" s="17">
        <v>10</v>
      </c>
      <c r="K437" s="17">
        <f t="shared" ref="K437:K447" si="362">A438</f>
        <v>12811</v>
      </c>
      <c r="L437" s="17" t="s">
        <v>238</v>
      </c>
      <c r="M437" s="17" t="str">
        <f t="shared" ref="M437:M447" si="363">M436</f>
        <v>1:12500:10</v>
      </c>
      <c r="N437" s="16" t="str">
        <f t="shared" si="328"/>
        <v>10005:1</v>
      </c>
      <c r="O437" s="17">
        <f t="shared" ref="O437:O463" si="364">MID(A437,3,1)+1</f>
        <v>9</v>
      </c>
      <c r="P437" s="21" t="s">
        <v>4382</v>
      </c>
      <c r="Q437" s="21"/>
      <c r="R437" t="str">
        <f t="shared" si="314"/>
        <v>刀锋战士</v>
      </c>
      <c r="T437" t="str">
        <f t="shared" ref="T437:T463" si="365">RIGHT(N437,2)</f>
        <v>:1</v>
      </c>
      <c r="U437" t="str">
        <f t="shared" si="320"/>
        <v>战士</v>
      </c>
      <c r="V437" t="s">
        <v>4371</v>
      </c>
      <c r="W437">
        <f>属性类型!G437</f>
        <v>10005</v>
      </c>
      <c r="X437">
        <v>1</v>
      </c>
    </row>
    <row r="438" customFormat="1" ht="16.5" spans="1:24">
      <c r="A438" s="17">
        <f t="shared" si="352"/>
        <v>12811</v>
      </c>
      <c r="B438" s="17">
        <f t="shared" si="359"/>
        <v>12800</v>
      </c>
      <c r="C438" s="17" t="str">
        <f t="shared" si="360"/>
        <v>1</v>
      </c>
      <c r="D438" s="12">
        <f t="shared" si="358"/>
        <v>10003</v>
      </c>
      <c r="E438" s="17">
        <f t="shared" si="355"/>
        <v>2</v>
      </c>
      <c r="F438" s="17">
        <f t="shared" si="361"/>
        <v>3</v>
      </c>
      <c r="G438" s="17" t="str">
        <f t="shared" si="356"/>
        <v>刀锋战士攻击百分比</v>
      </c>
      <c r="H438" s="17" t="str">
        <f t="shared" si="357"/>
        <v>bubing02_Lv3</v>
      </c>
      <c r="I438" s="20">
        <v>1.5</v>
      </c>
      <c r="J438" s="17">
        <v>11</v>
      </c>
      <c r="K438" s="17">
        <f t="shared" si="362"/>
        <v>12812</v>
      </c>
      <c r="L438" s="17" t="s">
        <v>529</v>
      </c>
      <c r="M438" s="17" t="str">
        <f t="shared" si="363"/>
        <v>1:12500:10</v>
      </c>
      <c r="N438" s="16" t="str">
        <f t="shared" si="328"/>
        <v>10005:1</v>
      </c>
      <c r="O438" s="17">
        <f t="shared" si="364"/>
        <v>9</v>
      </c>
      <c r="P438" s="21" t="s">
        <v>4383</v>
      </c>
      <c r="Q438" s="21"/>
      <c r="R438" t="str">
        <f t="shared" si="314"/>
        <v>刀锋战士</v>
      </c>
      <c r="T438" t="str">
        <f t="shared" si="365"/>
        <v>:1</v>
      </c>
      <c r="U438" t="str">
        <f t="shared" si="320"/>
        <v>战士</v>
      </c>
      <c r="V438" t="s">
        <v>4371</v>
      </c>
      <c r="W438">
        <f>属性类型!G438</f>
        <v>10005</v>
      </c>
      <c r="X438">
        <v>1</v>
      </c>
    </row>
    <row r="439" customFormat="1" ht="16.5" spans="1:24">
      <c r="A439" s="17">
        <f t="shared" si="352"/>
        <v>12812</v>
      </c>
      <c r="B439" s="17">
        <f t="shared" si="359"/>
        <v>12800</v>
      </c>
      <c r="C439" s="17" t="str">
        <f t="shared" si="360"/>
        <v>1</v>
      </c>
      <c r="D439" s="12">
        <f t="shared" si="358"/>
        <v>10003</v>
      </c>
      <c r="E439" s="17">
        <f t="shared" si="355"/>
        <v>2</v>
      </c>
      <c r="F439" s="17">
        <f t="shared" si="361"/>
        <v>3</v>
      </c>
      <c r="G439" s="17" t="str">
        <f t="shared" si="356"/>
        <v>刀锋战士攻击百分比</v>
      </c>
      <c r="H439" s="17" t="str">
        <f t="shared" si="357"/>
        <v>bubing02_Lv3</v>
      </c>
      <c r="I439" s="20">
        <v>1.5</v>
      </c>
      <c r="J439" s="17">
        <v>12</v>
      </c>
      <c r="K439" s="17">
        <f t="shared" si="362"/>
        <v>12813</v>
      </c>
      <c r="L439" s="17" t="s">
        <v>532</v>
      </c>
      <c r="M439" s="17" t="str">
        <f t="shared" si="363"/>
        <v>1:12500:10</v>
      </c>
      <c r="N439" s="16" t="str">
        <f t="shared" si="328"/>
        <v>10005:1</v>
      </c>
      <c r="O439" s="17">
        <f t="shared" si="364"/>
        <v>9</v>
      </c>
      <c r="P439" s="21" t="s">
        <v>4384</v>
      </c>
      <c r="Q439" s="21"/>
      <c r="R439" t="str">
        <f t="shared" si="314"/>
        <v>刀锋战士</v>
      </c>
      <c r="T439" t="str">
        <f t="shared" si="365"/>
        <v>:1</v>
      </c>
      <c r="U439" t="str">
        <f t="shared" si="320"/>
        <v>战士</v>
      </c>
      <c r="V439" t="s">
        <v>4371</v>
      </c>
      <c r="W439">
        <f>属性类型!G439</f>
        <v>10005</v>
      </c>
      <c r="X439">
        <v>1</v>
      </c>
    </row>
    <row r="440" customFormat="1" ht="16.5" spans="1:24">
      <c r="A440" s="17">
        <f t="shared" si="352"/>
        <v>12813</v>
      </c>
      <c r="B440" s="17">
        <f t="shared" si="359"/>
        <v>12800</v>
      </c>
      <c r="C440" s="17" t="str">
        <f t="shared" si="360"/>
        <v>1</v>
      </c>
      <c r="D440" s="12">
        <f t="shared" si="358"/>
        <v>10003</v>
      </c>
      <c r="E440" s="17">
        <f t="shared" si="355"/>
        <v>2</v>
      </c>
      <c r="F440" s="17">
        <f t="shared" si="361"/>
        <v>3</v>
      </c>
      <c r="G440" s="17" t="str">
        <f t="shared" si="356"/>
        <v>刀锋战士攻击百分比</v>
      </c>
      <c r="H440" s="17" t="str">
        <f t="shared" si="357"/>
        <v>bubing02_Lv3</v>
      </c>
      <c r="I440" s="20">
        <v>1.5</v>
      </c>
      <c r="J440" s="17">
        <v>13</v>
      </c>
      <c r="K440" s="17">
        <f t="shared" si="362"/>
        <v>12814</v>
      </c>
      <c r="L440" s="17" t="s">
        <v>561</v>
      </c>
      <c r="M440" s="17" t="str">
        <f t="shared" si="363"/>
        <v>1:12500:10</v>
      </c>
      <c r="N440" s="16" t="str">
        <f t="shared" si="328"/>
        <v>10005:1</v>
      </c>
      <c r="O440" s="17">
        <f t="shared" si="364"/>
        <v>9</v>
      </c>
      <c r="P440" s="21" t="s">
        <v>4385</v>
      </c>
      <c r="Q440" s="21"/>
      <c r="R440" t="str">
        <f t="shared" si="314"/>
        <v>刀锋战士</v>
      </c>
      <c r="T440" t="str">
        <f t="shared" si="365"/>
        <v>:1</v>
      </c>
      <c r="U440" t="str">
        <f t="shared" si="320"/>
        <v>战士</v>
      </c>
      <c r="V440" t="s">
        <v>4371</v>
      </c>
      <c r="W440">
        <f>属性类型!G440</f>
        <v>10005</v>
      </c>
      <c r="X440">
        <v>1</v>
      </c>
    </row>
    <row r="441" customFormat="1" ht="16.5" spans="1:24">
      <c r="A441" s="17">
        <f t="shared" si="352"/>
        <v>12814</v>
      </c>
      <c r="B441" s="17">
        <f t="shared" si="359"/>
        <v>12800</v>
      </c>
      <c r="C441" s="17" t="str">
        <f t="shared" si="360"/>
        <v>1</v>
      </c>
      <c r="D441" s="12">
        <f t="shared" si="358"/>
        <v>10003</v>
      </c>
      <c r="E441" s="17">
        <f t="shared" si="355"/>
        <v>2</v>
      </c>
      <c r="F441" s="17">
        <f t="shared" si="361"/>
        <v>3</v>
      </c>
      <c r="G441" s="17" t="str">
        <f t="shared" si="356"/>
        <v>刀锋战士攻击百分比</v>
      </c>
      <c r="H441" s="17" t="str">
        <f t="shared" si="357"/>
        <v>bubing02_Lv3</v>
      </c>
      <c r="I441" s="20">
        <v>1.5</v>
      </c>
      <c r="J441" s="17">
        <v>14</v>
      </c>
      <c r="K441" s="17">
        <f t="shared" si="362"/>
        <v>12815</v>
      </c>
      <c r="L441" s="17" t="s">
        <v>564</v>
      </c>
      <c r="M441" s="17" t="str">
        <f t="shared" si="363"/>
        <v>1:12500:10</v>
      </c>
      <c r="N441" s="16" t="str">
        <f t="shared" si="328"/>
        <v>10005:1</v>
      </c>
      <c r="O441" s="17">
        <f t="shared" si="364"/>
        <v>9</v>
      </c>
      <c r="P441" s="21" t="s">
        <v>4386</v>
      </c>
      <c r="Q441" s="21"/>
      <c r="R441" t="str">
        <f t="shared" si="314"/>
        <v>刀锋战士</v>
      </c>
      <c r="T441" t="str">
        <f t="shared" si="365"/>
        <v>:1</v>
      </c>
      <c r="U441" t="str">
        <f t="shared" si="320"/>
        <v>战士</v>
      </c>
      <c r="V441" t="s">
        <v>4371</v>
      </c>
      <c r="W441">
        <f>属性类型!G441</f>
        <v>10005</v>
      </c>
      <c r="X441">
        <v>1</v>
      </c>
    </row>
    <row r="442" customFormat="1" ht="16.5" spans="1:24">
      <c r="A442" s="17">
        <f t="shared" si="352"/>
        <v>12815</v>
      </c>
      <c r="B442" s="17">
        <f t="shared" si="359"/>
        <v>12800</v>
      </c>
      <c r="C442" s="17" t="str">
        <f t="shared" si="360"/>
        <v>1</v>
      </c>
      <c r="D442" s="12">
        <f t="shared" si="358"/>
        <v>10003</v>
      </c>
      <c r="E442" s="17">
        <f t="shared" si="355"/>
        <v>2</v>
      </c>
      <c r="F442" s="17">
        <f t="shared" si="361"/>
        <v>3</v>
      </c>
      <c r="G442" s="17" t="str">
        <f t="shared" si="356"/>
        <v>刀锋战士攻击百分比</v>
      </c>
      <c r="H442" s="17" t="str">
        <f t="shared" si="357"/>
        <v>bubing02_Lv3</v>
      </c>
      <c r="I442" s="20">
        <v>1.5</v>
      </c>
      <c r="J442" s="17">
        <v>15</v>
      </c>
      <c r="K442" s="17">
        <f t="shared" si="362"/>
        <v>12816</v>
      </c>
      <c r="L442" s="17" t="s">
        <v>630</v>
      </c>
      <c r="M442" s="17" t="str">
        <f t="shared" si="363"/>
        <v>1:12500:10</v>
      </c>
      <c r="N442" s="16" t="str">
        <f t="shared" si="328"/>
        <v>10005:1</v>
      </c>
      <c r="O442" s="17">
        <f t="shared" si="364"/>
        <v>9</v>
      </c>
      <c r="P442" s="21" t="s">
        <v>4387</v>
      </c>
      <c r="Q442" s="21"/>
      <c r="R442" t="str">
        <f t="shared" si="314"/>
        <v>刀锋战士</v>
      </c>
      <c r="T442" t="str">
        <f t="shared" si="365"/>
        <v>:1</v>
      </c>
      <c r="U442" t="str">
        <f t="shared" si="320"/>
        <v>战士</v>
      </c>
      <c r="V442" t="s">
        <v>4371</v>
      </c>
      <c r="W442">
        <f>属性类型!G442</f>
        <v>10005</v>
      </c>
      <c r="X442">
        <v>1</v>
      </c>
    </row>
    <row r="443" customFormat="1" ht="16.5" spans="1:24">
      <c r="A443" s="17">
        <f t="shared" si="352"/>
        <v>12816</v>
      </c>
      <c r="B443" s="17">
        <f t="shared" si="359"/>
        <v>12800</v>
      </c>
      <c r="C443" s="17" t="str">
        <f t="shared" si="360"/>
        <v>1</v>
      </c>
      <c r="D443" s="12">
        <f t="shared" si="358"/>
        <v>10003</v>
      </c>
      <c r="E443" s="17">
        <f t="shared" si="355"/>
        <v>2</v>
      </c>
      <c r="F443" s="17">
        <f t="shared" si="361"/>
        <v>3</v>
      </c>
      <c r="G443" s="17" t="str">
        <f t="shared" si="356"/>
        <v>刀锋战士攻击百分比</v>
      </c>
      <c r="H443" s="17" t="str">
        <f t="shared" si="357"/>
        <v>bubing02_Lv3</v>
      </c>
      <c r="I443" s="20">
        <v>1.5</v>
      </c>
      <c r="J443" s="17">
        <v>16</v>
      </c>
      <c r="K443" s="17">
        <f t="shared" si="362"/>
        <v>12817</v>
      </c>
      <c r="L443" s="17" t="s">
        <v>633</v>
      </c>
      <c r="M443" s="17" t="str">
        <f t="shared" si="363"/>
        <v>1:12500:10</v>
      </c>
      <c r="N443" s="16" t="str">
        <f t="shared" si="328"/>
        <v>10005:1</v>
      </c>
      <c r="O443" s="17">
        <f t="shared" si="364"/>
        <v>9</v>
      </c>
      <c r="P443" s="21" t="s">
        <v>4388</v>
      </c>
      <c r="Q443" s="21"/>
      <c r="R443" t="str">
        <f t="shared" si="314"/>
        <v>刀锋战士</v>
      </c>
      <c r="T443" t="str">
        <f t="shared" si="365"/>
        <v>:1</v>
      </c>
      <c r="U443" t="str">
        <f t="shared" si="320"/>
        <v>战士</v>
      </c>
      <c r="V443" t="s">
        <v>4371</v>
      </c>
      <c r="W443">
        <f>属性类型!G443</f>
        <v>10005</v>
      </c>
      <c r="X443">
        <v>1</v>
      </c>
    </row>
    <row r="444" customFormat="1" ht="16.5" spans="1:24">
      <c r="A444" s="17">
        <f t="shared" si="352"/>
        <v>12817</v>
      </c>
      <c r="B444" s="17">
        <f t="shared" si="359"/>
        <v>12800</v>
      </c>
      <c r="C444" s="17" t="str">
        <f t="shared" si="360"/>
        <v>1</v>
      </c>
      <c r="D444" s="12">
        <f t="shared" si="358"/>
        <v>10003</v>
      </c>
      <c r="E444" s="17">
        <f t="shared" si="355"/>
        <v>2</v>
      </c>
      <c r="F444" s="17">
        <f t="shared" si="361"/>
        <v>3</v>
      </c>
      <c r="G444" s="17" t="str">
        <f t="shared" si="356"/>
        <v>刀锋战士攻击百分比</v>
      </c>
      <c r="H444" s="17" t="str">
        <f t="shared" si="357"/>
        <v>bubing02_Lv3</v>
      </c>
      <c r="I444" s="20">
        <v>1.5</v>
      </c>
      <c r="J444" s="17">
        <v>17</v>
      </c>
      <c r="K444" s="17">
        <f t="shared" si="362"/>
        <v>12818</v>
      </c>
      <c r="L444" s="17" t="s">
        <v>637</v>
      </c>
      <c r="M444" s="17" t="str">
        <f t="shared" si="363"/>
        <v>1:12500:10</v>
      </c>
      <c r="N444" s="16" t="str">
        <f t="shared" si="328"/>
        <v>10005:1</v>
      </c>
      <c r="O444" s="17">
        <f t="shared" si="364"/>
        <v>9</v>
      </c>
      <c r="P444" s="21" t="s">
        <v>4389</v>
      </c>
      <c r="Q444" s="21"/>
      <c r="R444" t="str">
        <f t="shared" si="314"/>
        <v>刀锋战士</v>
      </c>
      <c r="T444" t="str">
        <f t="shared" si="365"/>
        <v>:1</v>
      </c>
      <c r="U444" t="str">
        <f t="shared" si="320"/>
        <v>战士</v>
      </c>
      <c r="V444" t="s">
        <v>4371</v>
      </c>
      <c r="W444">
        <f>属性类型!G444</f>
        <v>10005</v>
      </c>
      <c r="X444">
        <v>1</v>
      </c>
    </row>
    <row r="445" customFormat="1" ht="16.5" spans="1:24">
      <c r="A445" s="17">
        <f t="shared" si="352"/>
        <v>12818</v>
      </c>
      <c r="B445" s="17">
        <f t="shared" si="359"/>
        <v>12800</v>
      </c>
      <c r="C445" s="17" t="str">
        <f t="shared" si="360"/>
        <v>1</v>
      </c>
      <c r="D445" s="12">
        <f t="shared" si="358"/>
        <v>10003</v>
      </c>
      <c r="E445" s="17">
        <f t="shared" si="355"/>
        <v>2</v>
      </c>
      <c r="F445" s="17">
        <f t="shared" si="361"/>
        <v>3</v>
      </c>
      <c r="G445" s="17" t="str">
        <f t="shared" si="356"/>
        <v>刀锋战士攻击百分比</v>
      </c>
      <c r="H445" s="17" t="str">
        <f t="shared" si="357"/>
        <v>bubing02_Lv3</v>
      </c>
      <c r="I445" s="20">
        <v>1.5</v>
      </c>
      <c r="J445" s="17">
        <v>18</v>
      </c>
      <c r="K445" s="17">
        <f t="shared" si="362"/>
        <v>12819</v>
      </c>
      <c r="L445" s="17" t="s">
        <v>641</v>
      </c>
      <c r="M445" s="17" t="str">
        <f t="shared" si="363"/>
        <v>1:12500:10</v>
      </c>
      <c r="N445" s="16" t="str">
        <f t="shared" si="328"/>
        <v>10005:1</v>
      </c>
      <c r="O445" s="17">
        <f t="shared" si="364"/>
        <v>9</v>
      </c>
      <c r="P445" s="21" t="s">
        <v>4390</v>
      </c>
      <c r="Q445" s="21"/>
      <c r="R445" t="str">
        <f t="shared" si="314"/>
        <v>刀锋战士</v>
      </c>
      <c r="T445" t="str">
        <f t="shared" si="365"/>
        <v>:1</v>
      </c>
      <c r="U445" t="str">
        <f t="shared" si="320"/>
        <v>战士</v>
      </c>
      <c r="V445" t="s">
        <v>4371</v>
      </c>
      <c r="W445">
        <f>属性类型!G445</f>
        <v>10005</v>
      </c>
      <c r="X445">
        <v>1</v>
      </c>
    </row>
    <row r="446" customFormat="1" ht="16.5" spans="1:24">
      <c r="A446" s="17">
        <f t="shared" si="352"/>
        <v>12819</v>
      </c>
      <c r="B446" s="17">
        <f t="shared" si="359"/>
        <v>12800</v>
      </c>
      <c r="C446" s="17" t="str">
        <f t="shared" si="360"/>
        <v>1</v>
      </c>
      <c r="D446" s="12">
        <f t="shared" si="358"/>
        <v>10003</v>
      </c>
      <c r="E446" s="17">
        <f t="shared" si="355"/>
        <v>2</v>
      </c>
      <c r="F446" s="17">
        <f t="shared" si="361"/>
        <v>3</v>
      </c>
      <c r="G446" s="17" t="str">
        <f t="shared" si="356"/>
        <v>刀锋战士攻击百分比</v>
      </c>
      <c r="H446" s="17" t="str">
        <f t="shared" si="357"/>
        <v>bubing02_Lv3</v>
      </c>
      <c r="I446" s="20">
        <v>1.5</v>
      </c>
      <c r="J446" s="17">
        <v>19</v>
      </c>
      <c r="K446" s="17">
        <f t="shared" si="362"/>
        <v>12820</v>
      </c>
      <c r="L446" s="17" t="s">
        <v>645</v>
      </c>
      <c r="M446" s="17" t="str">
        <f t="shared" si="363"/>
        <v>1:12500:10</v>
      </c>
      <c r="N446" s="16" t="str">
        <f t="shared" si="328"/>
        <v>10005:1</v>
      </c>
      <c r="O446" s="17">
        <f t="shared" si="364"/>
        <v>9</v>
      </c>
      <c r="P446" s="21" t="s">
        <v>4391</v>
      </c>
      <c r="Q446" s="21"/>
      <c r="R446" t="str">
        <f t="shared" si="314"/>
        <v>刀锋战士</v>
      </c>
      <c r="T446" t="str">
        <f t="shared" si="365"/>
        <v>:1</v>
      </c>
      <c r="U446" t="str">
        <f t="shared" si="320"/>
        <v>战士</v>
      </c>
      <c r="V446" t="s">
        <v>4371</v>
      </c>
      <c r="W446">
        <f>属性类型!G446</f>
        <v>10005</v>
      </c>
      <c r="X446">
        <v>1</v>
      </c>
    </row>
    <row r="447" customFormat="1" ht="16.5" spans="1:24">
      <c r="A447" s="17">
        <f t="shared" si="352"/>
        <v>12820</v>
      </c>
      <c r="B447" s="17">
        <f t="shared" si="359"/>
        <v>12800</v>
      </c>
      <c r="C447" s="17" t="str">
        <f t="shared" si="360"/>
        <v>1</v>
      </c>
      <c r="D447" s="12">
        <f t="shared" si="358"/>
        <v>10003</v>
      </c>
      <c r="E447" s="17">
        <f t="shared" si="355"/>
        <v>2</v>
      </c>
      <c r="F447" s="17">
        <f t="shared" si="361"/>
        <v>3</v>
      </c>
      <c r="G447" s="17" t="str">
        <f t="shared" si="356"/>
        <v>刀锋战士攻击百分比</v>
      </c>
      <c r="H447" s="17" t="str">
        <f t="shared" si="357"/>
        <v>bubing02_Lv3</v>
      </c>
      <c r="I447" s="20">
        <v>1.5</v>
      </c>
      <c r="J447" s="17">
        <v>20</v>
      </c>
      <c r="K447" s="17">
        <v>0</v>
      </c>
      <c r="L447" s="17">
        <v>0</v>
      </c>
      <c r="M447" s="17" t="str">
        <f t="shared" si="363"/>
        <v>1:12500:10</v>
      </c>
      <c r="N447" s="16" t="str">
        <f t="shared" si="328"/>
        <v>10005:1</v>
      </c>
      <c r="O447" s="17">
        <f t="shared" si="364"/>
        <v>9</v>
      </c>
      <c r="P447" s="21" t="s">
        <v>4391</v>
      </c>
      <c r="Q447" s="21"/>
      <c r="R447" t="str">
        <f t="shared" si="314"/>
        <v>刀锋战士</v>
      </c>
      <c r="T447" t="str">
        <f t="shared" si="365"/>
        <v>:1</v>
      </c>
      <c r="U447" t="str">
        <f t="shared" si="320"/>
        <v>战士</v>
      </c>
      <c r="V447" t="s">
        <v>4371</v>
      </c>
      <c r="W447">
        <f>属性类型!G447</f>
        <v>10005</v>
      </c>
      <c r="X447">
        <v>1</v>
      </c>
    </row>
    <row r="448" customFormat="1" ht="16.5" spans="1:24">
      <c r="A448" s="18">
        <f>A427+100</f>
        <v>12900</v>
      </c>
      <c r="B448" s="18">
        <f t="shared" si="359"/>
        <v>12900</v>
      </c>
      <c r="C448" s="18" t="str">
        <f t="shared" si="360"/>
        <v>1</v>
      </c>
      <c r="D448" s="12">
        <f t="shared" si="358"/>
        <v>10003</v>
      </c>
      <c r="E448" s="17">
        <v>2</v>
      </c>
      <c r="F448" s="18">
        <f t="shared" si="361"/>
        <v>3</v>
      </c>
      <c r="G448" s="18" t="s">
        <v>4392</v>
      </c>
      <c r="H448" s="18" t="s">
        <v>242</v>
      </c>
      <c r="I448" s="20">
        <v>1.5</v>
      </c>
      <c r="J448" s="18">
        <v>0</v>
      </c>
      <c r="K448" s="18">
        <f t="shared" ref="K448:K457" si="366">A449</f>
        <v>12901</v>
      </c>
      <c r="L448" s="18" t="s">
        <v>206</v>
      </c>
      <c r="M448" s="18" t="s">
        <v>773</v>
      </c>
      <c r="N448" s="16" t="str">
        <f t="shared" si="328"/>
        <v>10006:1</v>
      </c>
      <c r="O448" s="18">
        <f t="shared" si="364"/>
        <v>10</v>
      </c>
      <c r="P448" s="21" t="s">
        <v>4393</v>
      </c>
      <c r="Q448" s="21"/>
      <c r="R448" t="s">
        <v>4351</v>
      </c>
      <c r="T448" t="str">
        <f>RIGHT(N448,1)</f>
        <v>1</v>
      </c>
      <c r="U448" t="str">
        <f t="shared" si="320"/>
        <v>战士</v>
      </c>
      <c r="V448" t="s">
        <v>4392</v>
      </c>
      <c r="W448">
        <f>属性类型!G448</f>
        <v>10006</v>
      </c>
      <c r="X448">
        <v>1</v>
      </c>
    </row>
    <row r="449" customFormat="1" ht="16.5" spans="1:24">
      <c r="A449" s="17">
        <f t="shared" ref="A449:A468" si="367">A448+1</f>
        <v>12901</v>
      </c>
      <c r="B449" s="17">
        <f t="shared" si="359"/>
        <v>12900</v>
      </c>
      <c r="C449" s="17" t="str">
        <f t="shared" si="360"/>
        <v>1</v>
      </c>
      <c r="D449" s="12">
        <f t="shared" si="358"/>
        <v>10003</v>
      </c>
      <c r="E449" s="17">
        <f t="shared" si="355"/>
        <v>2</v>
      </c>
      <c r="F449" s="17">
        <f t="shared" si="361"/>
        <v>3</v>
      </c>
      <c r="G449" s="17" t="str">
        <f t="shared" ref="G449:G468" si="368">G448</f>
        <v>刀锋战士魔防百分比</v>
      </c>
      <c r="H449" s="17" t="str">
        <f t="shared" ref="H449:H468" si="369">H448</f>
        <v>bubing02_Lv3</v>
      </c>
      <c r="I449" s="20">
        <v>1.5</v>
      </c>
      <c r="J449" s="17">
        <v>1</v>
      </c>
      <c r="K449" s="17">
        <f t="shared" si="366"/>
        <v>12902</v>
      </c>
      <c r="L449" s="17" t="s">
        <v>211</v>
      </c>
      <c r="M449" s="17" t="str">
        <f t="shared" ref="M449:M458" si="370">M448</f>
        <v>1:12600:10</v>
      </c>
      <c r="N449" s="16" t="str">
        <f t="shared" si="328"/>
        <v>10006:1</v>
      </c>
      <c r="O449" s="17">
        <f t="shared" si="364"/>
        <v>10</v>
      </c>
      <c r="P449" s="21" t="s">
        <v>4394</v>
      </c>
      <c r="Q449" s="21"/>
      <c r="R449" t="s">
        <v>4351</v>
      </c>
      <c r="T449" t="str">
        <f t="shared" si="365"/>
        <v>:1</v>
      </c>
      <c r="U449" t="str">
        <f t="shared" si="320"/>
        <v>战士</v>
      </c>
      <c r="V449" t="s">
        <v>4392</v>
      </c>
      <c r="W449">
        <f>属性类型!G449</f>
        <v>10006</v>
      </c>
      <c r="X449">
        <v>1</v>
      </c>
    </row>
    <row r="450" customFormat="1" ht="16.5" spans="1:24">
      <c r="A450" s="17">
        <f t="shared" si="367"/>
        <v>12902</v>
      </c>
      <c r="B450" s="17">
        <f t="shared" si="359"/>
        <v>12900</v>
      </c>
      <c r="C450" s="17" t="str">
        <f t="shared" si="360"/>
        <v>1</v>
      </c>
      <c r="D450" s="12">
        <f t="shared" si="358"/>
        <v>10003</v>
      </c>
      <c r="E450" s="17">
        <f t="shared" si="355"/>
        <v>2</v>
      </c>
      <c r="F450" s="17">
        <f t="shared" si="361"/>
        <v>3</v>
      </c>
      <c r="G450" s="17" t="str">
        <f t="shared" si="368"/>
        <v>刀锋战士魔防百分比</v>
      </c>
      <c r="H450" s="17" t="str">
        <f t="shared" si="369"/>
        <v>bubing02_Lv3</v>
      </c>
      <c r="I450" s="20">
        <v>1.5</v>
      </c>
      <c r="J450" s="17">
        <v>2</v>
      </c>
      <c r="K450" s="17">
        <f t="shared" si="366"/>
        <v>12903</v>
      </c>
      <c r="L450" s="17" t="s">
        <v>215</v>
      </c>
      <c r="M450" s="17" t="str">
        <f t="shared" si="370"/>
        <v>1:12600:10</v>
      </c>
      <c r="N450" s="16" t="str">
        <f t="shared" si="328"/>
        <v>10006:1</v>
      </c>
      <c r="O450" s="17">
        <f t="shared" si="364"/>
        <v>10</v>
      </c>
      <c r="P450" s="21" t="s">
        <v>4395</v>
      </c>
      <c r="Q450" s="21"/>
      <c r="R450" t="s">
        <v>4351</v>
      </c>
      <c r="T450" t="str">
        <f t="shared" si="365"/>
        <v>:1</v>
      </c>
      <c r="U450" t="str">
        <f t="shared" si="320"/>
        <v>战士</v>
      </c>
      <c r="V450" t="s">
        <v>4392</v>
      </c>
      <c r="W450">
        <f>属性类型!G450</f>
        <v>10006</v>
      </c>
      <c r="X450">
        <v>1</v>
      </c>
    </row>
    <row r="451" customFormat="1" ht="16.5" spans="1:24">
      <c r="A451" s="17">
        <f t="shared" si="367"/>
        <v>12903</v>
      </c>
      <c r="B451" s="17">
        <f t="shared" si="359"/>
        <v>12900</v>
      </c>
      <c r="C451" s="17" t="str">
        <f t="shared" si="360"/>
        <v>1</v>
      </c>
      <c r="D451" s="12">
        <f t="shared" si="358"/>
        <v>10003</v>
      </c>
      <c r="E451" s="17">
        <f t="shared" si="355"/>
        <v>2</v>
      </c>
      <c r="F451" s="17">
        <f t="shared" si="361"/>
        <v>3</v>
      </c>
      <c r="G451" s="17" t="str">
        <f t="shared" si="368"/>
        <v>刀锋战士魔防百分比</v>
      </c>
      <c r="H451" s="17" t="str">
        <f t="shared" si="369"/>
        <v>bubing02_Lv3</v>
      </c>
      <c r="I451" s="20">
        <v>1.5</v>
      </c>
      <c r="J451" s="17">
        <v>3</v>
      </c>
      <c r="K451" s="17">
        <f t="shared" si="366"/>
        <v>12904</v>
      </c>
      <c r="L451" s="17" t="s">
        <v>218</v>
      </c>
      <c r="M451" s="17" t="str">
        <f t="shared" si="370"/>
        <v>1:12600:10</v>
      </c>
      <c r="N451" s="16" t="str">
        <f t="shared" si="328"/>
        <v>10006:1</v>
      </c>
      <c r="O451" s="17">
        <f t="shared" si="364"/>
        <v>10</v>
      </c>
      <c r="P451" s="21" t="s">
        <v>4396</v>
      </c>
      <c r="Q451" s="21"/>
      <c r="R451" t="s">
        <v>4351</v>
      </c>
      <c r="T451" t="str">
        <f t="shared" si="365"/>
        <v>:1</v>
      </c>
      <c r="U451" t="str">
        <f t="shared" si="320"/>
        <v>战士</v>
      </c>
      <c r="V451" t="s">
        <v>4392</v>
      </c>
      <c r="W451">
        <f>属性类型!G451</f>
        <v>10006</v>
      </c>
      <c r="X451">
        <v>1</v>
      </c>
    </row>
    <row r="452" customFormat="1" ht="16.5" spans="1:24">
      <c r="A452" s="17">
        <f t="shared" si="367"/>
        <v>12904</v>
      </c>
      <c r="B452" s="17">
        <f t="shared" si="359"/>
        <v>12900</v>
      </c>
      <c r="C452" s="17" t="str">
        <f t="shared" si="360"/>
        <v>1</v>
      </c>
      <c r="D452" s="12">
        <f t="shared" si="358"/>
        <v>10003</v>
      </c>
      <c r="E452" s="17">
        <f t="shared" si="355"/>
        <v>2</v>
      </c>
      <c r="F452" s="17">
        <f t="shared" si="361"/>
        <v>3</v>
      </c>
      <c r="G452" s="17" t="str">
        <f t="shared" si="368"/>
        <v>刀锋战士魔防百分比</v>
      </c>
      <c r="H452" s="17" t="str">
        <f t="shared" si="369"/>
        <v>bubing02_Lv3</v>
      </c>
      <c r="I452" s="20">
        <v>1.5</v>
      </c>
      <c r="J452" s="17">
        <v>4</v>
      </c>
      <c r="K452" s="17">
        <f t="shared" si="366"/>
        <v>12905</v>
      </c>
      <c r="L452" s="17" t="s">
        <v>221</v>
      </c>
      <c r="M452" s="17" t="str">
        <f t="shared" si="370"/>
        <v>1:12600:10</v>
      </c>
      <c r="N452" s="16" t="str">
        <f t="shared" si="328"/>
        <v>10006:1</v>
      </c>
      <c r="O452" s="17">
        <f t="shared" si="364"/>
        <v>10</v>
      </c>
      <c r="P452" s="21" t="s">
        <v>4397</v>
      </c>
      <c r="Q452" s="21"/>
      <c r="R452" t="s">
        <v>4351</v>
      </c>
      <c r="T452" t="str">
        <f t="shared" si="365"/>
        <v>:1</v>
      </c>
      <c r="U452" t="str">
        <f t="shared" si="320"/>
        <v>战士</v>
      </c>
      <c r="V452" t="s">
        <v>4392</v>
      </c>
      <c r="W452">
        <f>属性类型!G452</f>
        <v>10006</v>
      </c>
      <c r="X452">
        <v>1</v>
      </c>
    </row>
    <row r="453" customFormat="1" ht="16.5" spans="1:24">
      <c r="A453" s="17">
        <f t="shared" si="367"/>
        <v>12905</v>
      </c>
      <c r="B453" s="17">
        <f t="shared" si="359"/>
        <v>12900</v>
      </c>
      <c r="C453" s="17" t="str">
        <f t="shared" si="360"/>
        <v>1</v>
      </c>
      <c r="D453" s="12">
        <f t="shared" si="358"/>
        <v>10003</v>
      </c>
      <c r="E453" s="17">
        <f t="shared" si="355"/>
        <v>2</v>
      </c>
      <c r="F453" s="17">
        <f t="shared" si="361"/>
        <v>3</v>
      </c>
      <c r="G453" s="17" t="str">
        <f t="shared" si="368"/>
        <v>刀锋战士魔防百分比</v>
      </c>
      <c r="H453" s="17" t="str">
        <f t="shared" si="369"/>
        <v>bubing02_Lv3</v>
      </c>
      <c r="I453" s="20">
        <v>1.5</v>
      </c>
      <c r="J453" s="17">
        <v>5</v>
      </c>
      <c r="K453" s="17">
        <f t="shared" si="366"/>
        <v>12906</v>
      </c>
      <c r="L453" s="17" t="s">
        <v>224</v>
      </c>
      <c r="M453" s="17" t="str">
        <f t="shared" si="370"/>
        <v>1:12600:10</v>
      </c>
      <c r="N453" s="16" t="str">
        <f t="shared" si="328"/>
        <v>10006:1</v>
      </c>
      <c r="O453" s="17">
        <f t="shared" si="364"/>
        <v>10</v>
      </c>
      <c r="P453" s="21" t="s">
        <v>4398</v>
      </c>
      <c r="Q453" s="21"/>
      <c r="R453" t="s">
        <v>4351</v>
      </c>
      <c r="T453" t="str">
        <f t="shared" si="365"/>
        <v>:1</v>
      </c>
      <c r="U453" t="str">
        <f t="shared" ref="U453:U516" si="371">MID(P453,3,2)</f>
        <v>战士</v>
      </c>
      <c r="V453" t="s">
        <v>4392</v>
      </c>
      <c r="W453">
        <f>属性类型!G453</f>
        <v>10006</v>
      </c>
      <c r="X453">
        <v>1</v>
      </c>
    </row>
    <row r="454" customFormat="1" ht="16.5" spans="1:24">
      <c r="A454" s="17">
        <f t="shared" si="367"/>
        <v>12906</v>
      </c>
      <c r="B454" s="17">
        <f t="shared" si="359"/>
        <v>12900</v>
      </c>
      <c r="C454" s="17" t="str">
        <f t="shared" si="360"/>
        <v>1</v>
      </c>
      <c r="D454" s="12">
        <f t="shared" si="358"/>
        <v>10003</v>
      </c>
      <c r="E454" s="17">
        <f t="shared" si="355"/>
        <v>2</v>
      </c>
      <c r="F454" s="17">
        <f t="shared" si="361"/>
        <v>3</v>
      </c>
      <c r="G454" s="17" t="str">
        <f t="shared" si="368"/>
        <v>刀锋战士魔防百分比</v>
      </c>
      <c r="H454" s="17" t="str">
        <f t="shared" si="369"/>
        <v>bubing02_Lv3</v>
      </c>
      <c r="I454" s="20">
        <v>1.5</v>
      </c>
      <c r="J454" s="17">
        <v>6</v>
      </c>
      <c r="K454" s="17">
        <f t="shared" si="366"/>
        <v>12907</v>
      </c>
      <c r="L454" s="17" t="s">
        <v>227</v>
      </c>
      <c r="M454" s="17" t="str">
        <f t="shared" si="370"/>
        <v>1:12600:10</v>
      </c>
      <c r="N454" s="16" t="str">
        <f t="shared" si="328"/>
        <v>10006:1</v>
      </c>
      <c r="O454" s="17">
        <f t="shared" si="364"/>
        <v>10</v>
      </c>
      <c r="P454" s="21" t="s">
        <v>4399</v>
      </c>
      <c r="Q454" s="21"/>
      <c r="R454" t="s">
        <v>4351</v>
      </c>
      <c r="T454" t="str">
        <f t="shared" si="365"/>
        <v>:1</v>
      </c>
      <c r="U454" t="str">
        <f t="shared" si="371"/>
        <v>战士</v>
      </c>
      <c r="V454" t="s">
        <v>4392</v>
      </c>
      <c r="W454">
        <f>属性类型!G454</f>
        <v>10006</v>
      </c>
      <c r="X454">
        <v>1</v>
      </c>
    </row>
    <row r="455" customFormat="1" ht="16.5" spans="1:24">
      <c r="A455" s="17">
        <f t="shared" si="367"/>
        <v>12907</v>
      </c>
      <c r="B455" s="17">
        <f t="shared" si="359"/>
        <v>12900</v>
      </c>
      <c r="C455" s="17" t="str">
        <f t="shared" si="360"/>
        <v>1</v>
      </c>
      <c r="D455" s="12">
        <f t="shared" si="358"/>
        <v>10003</v>
      </c>
      <c r="E455" s="17">
        <f t="shared" si="355"/>
        <v>2</v>
      </c>
      <c r="F455" s="17">
        <f t="shared" si="361"/>
        <v>3</v>
      </c>
      <c r="G455" s="17" t="str">
        <f t="shared" si="368"/>
        <v>刀锋战士魔防百分比</v>
      </c>
      <c r="H455" s="17" t="str">
        <f t="shared" si="369"/>
        <v>bubing02_Lv3</v>
      </c>
      <c r="I455" s="20">
        <v>1.5</v>
      </c>
      <c r="J455" s="17">
        <v>7</v>
      </c>
      <c r="K455" s="17">
        <f t="shared" si="366"/>
        <v>12908</v>
      </c>
      <c r="L455" s="17" t="s">
        <v>230</v>
      </c>
      <c r="M455" s="17" t="str">
        <f t="shared" si="370"/>
        <v>1:12600:10</v>
      </c>
      <c r="N455" s="16" t="str">
        <f t="shared" si="328"/>
        <v>10006:1</v>
      </c>
      <c r="O455" s="17">
        <f t="shared" si="364"/>
        <v>10</v>
      </c>
      <c r="P455" s="21" t="s">
        <v>4400</v>
      </c>
      <c r="Q455" s="21"/>
      <c r="R455" t="s">
        <v>4351</v>
      </c>
      <c r="T455" t="str">
        <f t="shared" si="365"/>
        <v>:1</v>
      </c>
      <c r="U455" t="str">
        <f t="shared" si="371"/>
        <v>战士</v>
      </c>
      <c r="V455" t="s">
        <v>4392</v>
      </c>
      <c r="W455">
        <f>属性类型!G455</f>
        <v>10006</v>
      </c>
      <c r="X455">
        <v>1</v>
      </c>
    </row>
    <row r="456" customFormat="1" ht="16.5" spans="1:24">
      <c r="A456" s="17">
        <f t="shared" si="367"/>
        <v>12908</v>
      </c>
      <c r="B456" s="17">
        <f t="shared" si="359"/>
        <v>12900</v>
      </c>
      <c r="C456" s="17" t="str">
        <f t="shared" si="360"/>
        <v>1</v>
      </c>
      <c r="D456" s="12">
        <f t="shared" si="358"/>
        <v>10003</v>
      </c>
      <c r="E456" s="17">
        <f t="shared" si="355"/>
        <v>2</v>
      </c>
      <c r="F456" s="17">
        <f t="shared" si="361"/>
        <v>3</v>
      </c>
      <c r="G456" s="17" t="str">
        <f t="shared" si="368"/>
        <v>刀锋战士魔防百分比</v>
      </c>
      <c r="H456" s="17" t="str">
        <f t="shared" si="369"/>
        <v>bubing02_Lv3</v>
      </c>
      <c r="I456" s="20">
        <v>1.5</v>
      </c>
      <c r="J456" s="17">
        <v>8</v>
      </c>
      <c r="K456" s="17">
        <f t="shared" si="366"/>
        <v>12909</v>
      </c>
      <c r="L456" s="17" t="s">
        <v>233</v>
      </c>
      <c r="M456" s="17" t="str">
        <f t="shared" si="370"/>
        <v>1:12600:10</v>
      </c>
      <c r="N456" s="16" t="str">
        <f t="shared" si="328"/>
        <v>10006:1</v>
      </c>
      <c r="O456" s="17">
        <f t="shared" si="364"/>
        <v>10</v>
      </c>
      <c r="P456" s="21" t="s">
        <v>4401</v>
      </c>
      <c r="Q456" s="21"/>
      <c r="R456" t="s">
        <v>4351</v>
      </c>
      <c r="T456" t="str">
        <f t="shared" si="365"/>
        <v>:1</v>
      </c>
      <c r="U456" t="str">
        <f t="shared" si="371"/>
        <v>战士</v>
      </c>
      <c r="V456" t="s">
        <v>4392</v>
      </c>
      <c r="W456">
        <f>属性类型!G456</f>
        <v>10006</v>
      </c>
      <c r="X456">
        <v>1</v>
      </c>
    </row>
    <row r="457" customFormat="1" ht="16.5" spans="1:24">
      <c r="A457" s="17">
        <f t="shared" si="367"/>
        <v>12909</v>
      </c>
      <c r="B457" s="17">
        <f t="shared" si="359"/>
        <v>12900</v>
      </c>
      <c r="C457" s="17" t="str">
        <f t="shared" si="360"/>
        <v>1</v>
      </c>
      <c r="D457" s="12">
        <f t="shared" si="358"/>
        <v>10003</v>
      </c>
      <c r="E457" s="17">
        <f t="shared" si="355"/>
        <v>2</v>
      </c>
      <c r="F457" s="17">
        <f t="shared" si="361"/>
        <v>3</v>
      </c>
      <c r="G457" s="17" t="str">
        <f t="shared" si="368"/>
        <v>刀锋战士魔防百分比</v>
      </c>
      <c r="H457" s="17" t="str">
        <f t="shared" si="369"/>
        <v>bubing02_Lv3</v>
      </c>
      <c r="I457" s="20">
        <v>1.5</v>
      </c>
      <c r="J457" s="17">
        <v>9</v>
      </c>
      <c r="K457" s="17">
        <f t="shared" si="366"/>
        <v>12910</v>
      </c>
      <c r="L457" s="17" t="s">
        <v>236</v>
      </c>
      <c r="M457" s="17" t="str">
        <f t="shared" si="370"/>
        <v>1:12600:10</v>
      </c>
      <c r="N457" s="16" t="str">
        <f t="shared" si="328"/>
        <v>10006:1</v>
      </c>
      <c r="O457" s="17">
        <f t="shared" si="364"/>
        <v>10</v>
      </c>
      <c r="P457" s="21" t="s">
        <v>4402</v>
      </c>
      <c r="Q457" s="21"/>
      <c r="R457" t="s">
        <v>4351</v>
      </c>
      <c r="T457" t="str">
        <f t="shared" si="365"/>
        <v>:1</v>
      </c>
      <c r="U457" t="str">
        <f t="shared" si="371"/>
        <v>战士</v>
      </c>
      <c r="V457" t="s">
        <v>4392</v>
      </c>
      <c r="W457">
        <f>属性类型!G457</f>
        <v>10006</v>
      </c>
      <c r="X457">
        <v>1</v>
      </c>
    </row>
    <row r="458" customFormat="1" ht="16.5" spans="1:24">
      <c r="A458" s="17">
        <f t="shared" si="367"/>
        <v>12910</v>
      </c>
      <c r="B458" s="17">
        <f t="shared" si="359"/>
        <v>12900</v>
      </c>
      <c r="C458" s="17" t="str">
        <f t="shared" si="360"/>
        <v>1</v>
      </c>
      <c r="D458" s="12">
        <f t="shared" si="358"/>
        <v>10003</v>
      </c>
      <c r="E458" s="17">
        <f t="shared" si="355"/>
        <v>2</v>
      </c>
      <c r="F458" s="17">
        <f t="shared" si="361"/>
        <v>3</v>
      </c>
      <c r="G458" s="17" t="str">
        <f t="shared" si="368"/>
        <v>刀锋战士魔防百分比</v>
      </c>
      <c r="H458" s="17" t="str">
        <f t="shared" si="369"/>
        <v>bubing02_Lv3</v>
      </c>
      <c r="I458" s="20">
        <v>1.5</v>
      </c>
      <c r="J458" s="17">
        <v>10</v>
      </c>
      <c r="K458" s="17">
        <f t="shared" ref="K458:K473" si="372">A459</f>
        <v>12911</v>
      </c>
      <c r="L458" s="17" t="s">
        <v>238</v>
      </c>
      <c r="M458" s="17" t="str">
        <f t="shared" ref="M458:M468" si="373">M457</f>
        <v>1:12600:10</v>
      </c>
      <c r="N458" s="16" t="str">
        <f t="shared" si="328"/>
        <v>10006:1</v>
      </c>
      <c r="O458" s="17">
        <f t="shared" si="364"/>
        <v>10</v>
      </c>
      <c r="P458" s="21" t="s">
        <v>4403</v>
      </c>
      <c r="Q458" s="21"/>
      <c r="R458" t="s">
        <v>4351</v>
      </c>
      <c r="T458" t="str">
        <f t="shared" si="365"/>
        <v>:1</v>
      </c>
      <c r="U458" t="str">
        <f t="shared" si="371"/>
        <v>战士</v>
      </c>
      <c r="V458" t="s">
        <v>4392</v>
      </c>
      <c r="W458">
        <f>属性类型!G458</f>
        <v>10006</v>
      </c>
      <c r="X458">
        <v>1</v>
      </c>
    </row>
    <row r="459" ht="16.5" spans="1:24">
      <c r="A459" s="17">
        <f t="shared" si="367"/>
        <v>12911</v>
      </c>
      <c r="B459" s="17">
        <f t="shared" si="359"/>
        <v>12900</v>
      </c>
      <c r="C459" s="17" t="str">
        <f t="shared" si="360"/>
        <v>1</v>
      </c>
      <c r="D459" s="12">
        <f t="shared" si="358"/>
        <v>10003</v>
      </c>
      <c r="E459" s="17">
        <f t="shared" si="355"/>
        <v>2</v>
      </c>
      <c r="F459" s="17">
        <f t="shared" si="361"/>
        <v>3</v>
      </c>
      <c r="G459" s="17" t="str">
        <f t="shared" si="368"/>
        <v>刀锋战士魔防百分比</v>
      </c>
      <c r="H459" s="17" t="str">
        <f t="shared" si="369"/>
        <v>bubing02_Lv3</v>
      </c>
      <c r="I459" s="20">
        <v>1.5</v>
      </c>
      <c r="J459" s="17">
        <v>11</v>
      </c>
      <c r="K459" s="17">
        <f t="shared" si="372"/>
        <v>12912</v>
      </c>
      <c r="L459" s="17" t="s">
        <v>529</v>
      </c>
      <c r="M459" s="17" t="str">
        <f t="shared" si="373"/>
        <v>1:12600:10</v>
      </c>
      <c r="N459" s="16" t="str">
        <f t="shared" ref="N459:N522" si="374">W459&amp;$W$2&amp;X459</f>
        <v>10006:1</v>
      </c>
      <c r="O459" s="17">
        <f t="shared" si="364"/>
        <v>10</v>
      </c>
      <c r="P459" s="21" t="s">
        <v>4404</v>
      </c>
      <c r="Q459" s="21"/>
      <c r="R459" t="s">
        <v>4351</v>
      </c>
      <c r="T459" t="str">
        <f t="shared" si="365"/>
        <v>:1</v>
      </c>
      <c r="U459" t="str">
        <f t="shared" si="371"/>
        <v>战士</v>
      </c>
      <c r="V459" t="s">
        <v>4392</v>
      </c>
      <c r="W459">
        <f>属性类型!G459</f>
        <v>10006</v>
      </c>
      <c r="X459">
        <v>1</v>
      </c>
    </row>
    <row r="460" ht="16.5" spans="1:24">
      <c r="A460" s="17">
        <f t="shared" si="367"/>
        <v>12912</v>
      </c>
      <c r="B460" s="17">
        <f t="shared" si="359"/>
        <v>12900</v>
      </c>
      <c r="C460" s="17" t="str">
        <f t="shared" si="360"/>
        <v>1</v>
      </c>
      <c r="D460" s="12">
        <f t="shared" si="358"/>
        <v>10003</v>
      </c>
      <c r="E460" s="17">
        <f t="shared" si="355"/>
        <v>2</v>
      </c>
      <c r="F460" s="17">
        <f t="shared" si="361"/>
        <v>3</v>
      </c>
      <c r="G460" s="17" t="str">
        <f t="shared" si="368"/>
        <v>刀锋战士魔防百分比</v>
      </c>
      <c r="H460" s="17" t="str">
        <f t="shared" si="369"/>
        <v>bubing02_Lv3</v>
      </c>
      <c r="I460" s="20">
        <v>1.5</v>
      </c>
      <c r="J460" s="17">
        <v>12</v>
      </c>
      <c r="K460" s="17">
        <f t="shared" si="372"/>
        <v>12913</v>
      </c>
      <c r="L460" s="17" t="s">
        <v>532</v>
      </c>
      <c r="M460" s="17" t="str">
        <f t="shared" si="373"/>
        <v>1:12600:10</v>
      </c>
      <c r="N460" s="16" t="str">
        <f t="shared" si="374"/>
        <v>10006:1</v>
      </c>
      <c r="O460" s="17">
        <f t="shared" si="364"/>
        <v>10</v>
      </c>
      <c r="P460" s="21" t="s">
        <v>4405</v>
      </c>
      <c r="Q460" s="21"/>
      <c r="R460" t="s">
        <v>4351</v>
      </c>
      <c r="T460" t="str">
        <f t="shared" si="365"/>
        <v>:1</v>
      </c>
      <c r="U460" t="str">
        <f t="shared" si="371"/>
        <v>战士</v>
      </c>
      <c r="V460" t="s">
        <v>4392</v>
      </c>
      <c r="W460">
        <f>属性类型!G460</f>
        <v>10006</v>
      </c>
      <c r="X460">
        <v>1</v>
      </c>
    </row>
    <row r="461" ht="16.5" spans="1:24">
      <c r="A461" s="17">
        <f t="shared" si="367"/>
        <v>12913</v>
      </c>
      <c r="B461" s="17">
        <f t="shared" si="359"/>
        <v>12900</v>
      </c>
      <c r="C461" s="17" t="str">
        <f t="shared" si="360"/>
        <v>1</v>
      </c>
      <c r="D461" s="12">
        <f t="shared" si="358"/>
        <v>10003</v>
      </c>
      <c r="E461" s="17">
        <f t="shared" si="355"/>
        <v>2</v>
      </c>
      <c r="F461" s="17">
        <f t="shared" si="361"/>
        <v>3</v>
      </c>
      <c r="G461" s="17" t="str">
        <f t="shared" si="368"/>
        <v>刀锋战士魔防百分比</v>
      </c>
      <c r="H461" s="17" t="str">
        <f t="shared" si="369"/>
        <v>bubing02_Lv3</v>
      </c>
      <c r="I461" s="20">
        <v>1.5</v>
      </c>
      <c r="J461" s="17">
        <v>13</v>
      </c>
      <c r="K461" s="17">
        <f t="shared" si="372"/>
        <v>12914</v>
      </c>
      <c r="L461" s="17" t="s">
        <v>561</v>
      </c>
      <c r="M461" s="17" t="str">
        <f t="shared" si="373"/>
        <v>1:12600:10</v>
      </c>
      <c r="N461" s="16" t="str">
        <f t="shared" si="374"/>
        <v>10006:1</v>
      </c>
      <c r="O461" s="17">
        <f t="shared" si="364"/>
        <v>10</v>
      </c>
      <c r="P461" s="21" t="s">
        <v>4406</v>
      </c>
      <c r="Q461" s="21"/>
      <c r="R461" t="s">
        <v>4351</v>
      </c>
      <c r="T461" t="str">
        <f t="shared" si="365"/>
        <v>:1</v>
      </c>
      <c r="U461" t="str">
        <f t="shared" si="371"/>
        <v>战士</v>
      </c>
      <c r="V461" t="s">
        <v>4392</v>
      </c>
      <c r="W461">
        <f>属性类型!G461</f>
        <v>10006</v>
      </c>
      <c r="X461">
        <v>1</v>
      </c>
    </row>
    <row r="462" ht="16.5" spans="1:24">
      <c r="A462" s="17">
        <f t="shared" si="367"/>
        <v>12914</v>
      </c>
      <c r="B462" s="17">
        <f t="shared" si="359"/>
        <v>12900</v>
      </c>
      <c r="C462" s="17" t="str">
        <f t="shared" si="360"/>
        <v>1</v>
      </c>
      <c r="D462" s="12">
        <f t="shared" si="358"/>
        <v>10003</v>
      </c>
      <c r="E462" s="17">
        <f t="shared" si="355"/>
        <v>2</v>
      </c>
      <c r="F462" s="17">
        <f t="shared" si="361"/>
        <v>3</v>
      </c>
      <c r="G462" s="17" t="str">
        <f t="shared" si="368"/>
        <v>刀锋战士魔防百分比</v>
      </c>
      <c r="H462" s="17" t="str">
        <f t="shared" si="369"/>
        <v>bubing02_Lv3</v>
      </c>
      <c r="I462" s="20">
        <v>1.5</v>
      </c>
      <c r="J462" s="17">
        <v>14</v>
      </c>
      <c r="K462" s="17">
        <f t="shared" si="372"/>
        <v>12915</v>
      </c>
      <c r="L462" s="17" t="s">
        <v>564</v>
      </c>
      <c r="M462" s="17" t="str">
        <f t="shared" si="373"/>
        <v>1:12600:10</v>
      </c>
      <c r="N462" s="16" t="str">
        <f t="shared" si="374"/>
        <v>10006:1</v>
      </c>
      <c r="O462" s="17">
        <f t="shared" si="364"/>
        <v>10</v>
      </c>
      <c r="P462" s="21" t="s">
        <v>4407</v>
      </c>
      <c r="Q462" s="21"/>
      <c r="R462" t="s">
        <v>4351</v>
      </c>
      <c r="T462" t="str">
        <f t="shared" si="365"/>
        <v>:1</v>
      </c>
      <c r="U462" t="str">
        <f t="shared" si="371"/>
        <v>战士</v>
      </c>
      <c r="V462" t="s">
        <v>4392</v>
      </c>
      <c r="W462">
        <f>属性类型!G462</f>
        <v>10006</v>
      </c>
      <c r="X462">
        <v>1</v>
      </c>
    </row>
    <row r="463" ht="16.5" spans="1:24">
      <c r="A463" s="17">
        <f t="shared" si="367"/>
        <v>12915</v>
      </c>
      <c r="B463" s="17">
        <f t="shared" si="359"/>
        <v>12900</v>
      </c>
      <c r="C463" s="17" t="str">
        <f t="shared" si="360"/>
        <v>1</v>
      </c>
      <c r="D463" s="12">
        <f t="shared" si="358"/>
        <v>10003</v>
      </c>
      <c r="E463" s="17">
        <f t="shared" si="355"/>
        <v>2</v>
      </c>
      <c r="F463" s="17">
        <f t="shared" si="361"/>
        <v>3</v>
      </c>
      <c r="G463" s="17" t="str">
        <f t="shared" si="368"/>
        <v>刀锋战士魔防百分比</v>
      </c>
      <c r="H463" s="17" t="str">
        <f t="shared" si="369"/>
        <v>bubing02_Lv3</v>
      </c>
      <c r="I463" s="20">
        <v>1.5</v>
      </c>
      <c r="J463" s="17">
        <v>15</v>
      </c>
      <c r="K463" s="17">
        <f t="shared" si="372"/>
        <v>12916</v>
      </c>
      <c r="L463" s="17" t="s">
        <v>630</v>
      </c>
      <c r="M463" s="17" t="str">
        <f t="shared" si="373"/>
        <v>1:12600:10</v>
      </c>
      <c r="N463" s="16" t="str">
        <f t="shared" si="374"/>
        <v>10006:1</v>
      </c>
      <c r="O463" s="17">
        <f t="shared" si="364"/>
        <v>10</v>
      </c>
      <c r="P463" s="21" t="s">
        <v>4408</v>
      </c>
      <c r="Q463" s="21"/>
      <c r="R463" t="s">
        <v>4351</v>
      </c>
      <c r="T463" t="str">
        <f t="shared" si="365"/>
        <v>:1</v>
      </c>
      <c r="U463" t="str">
        <f t="shared" si="371"/>
        <v>战士</v>
      </c>
      <c r="V463" t="s">
        <v>4392</v>
      </c>
      <c r="W463">
        <f>属性类型!G463</f>
        <v>10006</v>
      </c>
      <c r="X463">
        <v>1</v>
      </c>
    </row>
    <row r="464" ht="16.5" spans="1:24">
      <c r="A464" s="17">
        <f t="shared" si="367"/>
        <v>12916</v>
      </c>
      <c r="B464" s="17">
        <f t="shared" ref="B464:B527" si="375">ROUND(A464,-2)</f>
        <v>12900</v>
      </c>
      <c r="C464" s="17" t="str">
        <f t="shared" ref="C464:C527" si="376">LEFT(A464,1)</f>
        <v>1</v>
      </c>
      <c r="D464" s="12">
        <f t="shared" si="358"/>
        <v>10003</v>
      </c>
      <c r="E464" s="17">
        <f t="shared" si="355"/>
        <v>2</v>
      </c>
      <c r="F464" s="17">
        <f t="shared" ref="F464:F527" si="377">MID(B464,2,1)+1</f>
        <v>3</v>
      </c>
      <c r="G464" s="17" t="str">
        <f t="shared" si="368"/>
        <v>刀锋战士魔防百分比</v>
      </c>
      <c r="H464" s="17" t="str">
        <f t="shared" si="369"/>
        <v>bubing02_Lv3</v>
      </c>
      <c r="I464" s="20">
        <v>1.5</v>
      </c>
      <c r="J464" s="17">
        <v>16</v>
      </c>
      <c r="K464" s="17">
        <f t="shared" si="372"/>
        <v>12917</v>
      </c>
      <c r="L464" s="17" t="s">
        <v>633</v>
      </c>
      <c r="M464" s="17" t="str">
        <f t="shared" si="373"/>
        <v>1:12600:10</v>
      </c>
      <c r="N464" s="16" t="str">
        <f t="shared" si="374"/>
        <v>10006:1</v>
      </c>
      <c r="O464" s="17">
        <f t="shared" ref="O464:O527" si="378">MID(A464,3,1)+1</f>
        <v>10</v>
      </c>
      <c r="P464" s="21" t="s">
        <v>4409</v>
      </c>
      <c r="Q464" s="21"/>
      <c r="R464" t="s">
        <v>4351</v>
      </c>
      <c r="T464" t="str">
        <f t="shared" ref="T464:T492" si="379">RIGHT(N464,2)</f>
        <v>:1</v>
      </c>
      <c r="U464" t="str">
        <f t="shared" si="371"/>
        <v>战士</v>
      </c>
      <c r="V464" t="s">
        <v>4392</v>
      </c>
      <c r="W464">
        <f>属性类型!G464</f>
        <v>10006</v>
      </c>
      <c r="X464">
        <v>1</v>
      </c>
    </row>
    <row r="465" ht="16.5" spans="1:24">
      <c r="A465" s="17">
        <f t="shared" si="367"/>
        <v>12917</v>
      </c>
      <c r="B465" s="17">
        <f t="shared" si="375"/>
        <v>12900</v>
      </c>
      <c r="C465" s="17" t="str">
        <f t="shared" si="376"/>
        <v>1</v>
      </c>
      <c r="D465" s="12">
        <f t="shared" si="358"/>
        <v>10003</v>
      </c>
      <c r="E465" s="17">
        <f t="shared" si="355"/>
        <v>2</v>
      </c>
      <c r="F465" s="17">
        <f t="shared" si="377"/>
        <v>3</v>
      </c>
      <c r="G465" s="17" t="str">
        <f t="shared" si="368"/>
        <v>刀锋战士魔防百分比</v>
      </c>
      <c r="H465" s="17" t="str">
        <f t="shared" si="369"/>
        <v>bubing02_Lv3</v>
      </c>
      <c r="I465" s="20">
        <v>1.5</v>
      </c>
      <c r="J465" s="17">
        <v>17</v>
      </c>
      <c r="K465" s="17">
        <f t="shared" si="372"/>
        <v>12918</v>
      </c>
      <c r="L465" s="17" t="s">
        <v>637</v>
      </c>
      <c r="M465" s="17" t="str">
        <f t="shared" si="373"/>
        <v>1:12600:10</v>
      </c>
      <c r="N465" s="16" t="str">
        <f t="shared" si="374"/>
        <v>10006:1</v>
      </c>
      <c r="O465" s="17">
        <f t="shared" si="378"/>
        <v>10</v>
      </c>
      <c r="P465" s="21" t="s">
        <v>4410</v>
      </c>
      <c r="Q465" s="21"/>
      <c r="R465" t="s">
        <v>4351</v>
      </c>
      <c r="T465" t="str">
        <f t="shared" si="379"/>
        <v>:1</v>
      </c>
      <c r="U465" t="str">
        <f t="shared" si="371"/>
        <v>战士</v>
      </c>
      <c r="V465" t="s">
        <v>4392</v>
      </c>
      <c r="W465">
        <f>属性类型!G465</f>
        <v>10006</v>
      </c>
      <c r="X465">
        <v>1</v>
      </c>
    </row>
    <row r="466" ht="16.5" spans="1:24">
      <c r="A466" s="17">
        <f t="shared" si="367"/>
        <v>12918</v>
      </c>
      <c r="B466" s="17">
        <f t="shared" si="375"/>
        <v>12900</v>
      </c>
      <c r="C466" s="17" t="str">
        <f t="shared" si="376"/>
        <v>1</v>
      </c>
      <c r="D466" s="12">
        <f t="shared" si="358"/>
        <v>10003</v>
      </c>
      <c r="E466" s="17">
        <f t="shared" si="355"/>
        <v>2</v>
      </c>
      <c r="F466" s="17">
        <f t="shared" si="377"/>
        <v>3</v>
      </c>
      <c r="G466" s="17" t="str">
        <f t="shared" si="368"/>
        <v>刀锋战士魔防百分比</v>
      </c>
      <c r="H466" s="17" t="str">
        <f t="shared" si="369"/>
        <v>bubing02_Lv3</v>
      </c>
      <c r="I466" s="20">
        <v>1.5</v>
      </c>
      <c r="J466" s="17">
        <v>18</v>
      </c>
      <c r="K466" s="17">
        <f t="shared" si="372"/>
        <v>12919</v>
      </c>
      <c r="L466" s="17" t="s">
        <v>641</v>
      </c>
      <c r="M466" s="17" t="str">
        <f t="shared" si="373"/>
        <v>1:12600:10</v>
      </c>
      <c r="N466" s="16" t="str">
        <f t="shared" si="374"/>
        <v>10006:1</v>
      </c>
      <c r="O466" s="17">
        <f t="shared" si="378"/>
        <v>10</v>
      </c>
      <c r="P466" s="21" t="s">
        <v>4411</v>
      </c>
      <c r="Q466" s="21"/>
      <c r="R466" t="s">
        <v>4351</v>
      </c>
      <c r="T466" t="str">
        <f t="shared" si="379"/>
        <v>:1</v>
      </c>
      <c r="U466" t="str">
        <f t="shared" si="371"/>
        <v>战士</v>
      </c>
      <c r="V466" t="s">
        <v>4392</v>
      </c>
      <c r="W466">
        <f>属性类型!G466</f>
        <v>10006</v>
      </c>
      <c r="X466">
        <v>1</v>
      </c>
    </row>
    <row r="467" ht="16.5" spans="1:24">
      <c r="A467" s="17">
        <f t="shared" si="367"/>
        <v>12919</v>
      </c>
      <c r="B467" s="17">
        <f t="shared" si="375"/>
        <v>12900</v>
      </c>
      <c r="C467" s="17" t="str">
        <f t="shared" si="376"/>
        <v>1</v>
      </c>
      <c r="D467" s="12">
        <f t="shared" si="358"/>
        <v>10003</v>
      </c>
      <c r="E467" s="17">
        <f t="shared" si="355"/>
        <v>2</v>
      </c>
      <c r="F467" s="17">
        <f t="shared" si="377"/>
        <v>3</v>
      </c>
      <c r="G467" s="17" t="str">
        <f t="shared" si="368"/>
        <v>刀锋战士魔防百分比</v>
      </c>
      <c r="H467" s="17" t="str">
        <f t="shared" si="369"/>
        <v>bubing02_Lv3</v>
      </c>
      <c r="I467" s="20">
        <v>1.5</v>
      </c>
      <c r="J467" s="17">
        <v>19</v>
      </c>
      <c r="K467" s="17">
        <f t="shared" si="372"/>
        <v>12920</v>
      </c>
      <c r="L467" s="17" t="s">
        <v>645</v>
      </c>
      <c r="M467" s="17" t="str">
        <f t="shared" si="373"/>
        <v>1:12600:10</v>
      </c>
      <c r="N467" s="16" t="str">
        <f t="shared" si="374"/>
        <v>10006:1</v>
      </c>
      <c r="O467" s="17">
        <f t="shared" si="378"/>
        <v>10</v>
      </c>
      <c r="P467" s="21" t="s">
        <v>4412</v>
      </c>
      <c r="Q467" s="21"/>
      <c r="R467" t="s">
        <v>4351</v>
      </c>
      <c r="T467" t="str">
        <f t="shared" si="379"/>
        <v>:1</v>
      </c>
      <c r="U467" t="str">
        <f t="shared" si="371"/>
        <v>战士</v>
      </c>
      <c r="V467" t="s">
        <v>4392</v>
      </c>
      <c r="W467">
        <f>属性类型!G467</f>
        <v>10006</v>
      </c>
      <c r="X467">
        <v>1</v>
      </c>
    </row>
    <row r="468" ht="16.5" spans="1:24">
      <c r="A468" s="17">
        <f t="shared" si="367"/>
        <v>12920</v>
      </c>
      <c r="B468" s="17">
        <f t="shared" si="375"/>
        <v>12900</v>
      </c>
      <c r="C468" s="17" t="str">
        <f t="shared" si="376"/>
        <v>1</v>
      </c>
      <c r="D468" s="12">
        <f t="shared" si="358"/>
        <v>10003</v>
      </c>
      <c r="E468" s="17">
        <f t="shared" si="355"/>
        <v>2</v>
      </c>
      <c r="F468" s="17">
        <f t="shared" si="377"/>
        <v>3</v>
      </c>
      <c r="G468" s="17" t="str">
        <f t="shared" si="368"/>
        <v>刀锋战士魔防百分比</v>
      </c>
      <c r="H468" s="17" t="str">
        <f t="shared" si="369"/>
        <v>bubing02_Lv3</v>
      </c>
      <c r="I468" s="20">
        <v>1.5</v>
      </c>
      <c r="J468" s="17">
        <v>20</v>
      </c>
      <c r="K468" s="17">
        <f t="shared" si="372"/>
        <v>20000</v>
      </c>
      <c r="L468" s="17">
        <v>0</v>
      </c>
      <c r="M468" s="17" t="str">
        <f t="shared" si="373"/>
        <v>1:12600:10</v>
      </c>
      <c r="N468" s="16" t="str">
        <f t="shared" si="374"/>
        <v>10006:1</v>
      </c>
      <c r="O468" s="17">
        <f t="shared" si="378"/>
        <v>10</v>
      </c>
      <c r="P468" s="21" t="s">
        <v>4412</v>
      </c>
      <c r="Q468" s="21"/>
      <c r="R468" t="s">
        <v>4351</v>
      </c>
      <c r="T468" t="str">
        <f t="shared" si="379"/>
        <v>:1</v>
      </c>
      <c r="U468" t="str">
        <f t="shared" si="371"/>
        <v>战士</v>
      </c>
      <c r="V468" t="s">
        <v>4392</v>
      </c>
      <c r="W468">
        <f>属性类型!G468</f>
        <v>10006</v>
      </c>
      <c r="X468">
        <v>1</v>
      </c>
    </row>
    <row r="469" s="15" customFormat="1" ht="16.5" spans="1:24">
      <c r="A469" s="23">
        <v>20000</v>
      </c>
      <c r="B469" s="23">
        <f t="shared" si="375"/>
        <v>20000</v>
      </c>
      <c r="C469" s="23" t="str">
        <f t="shared" si="376"/>
        <v>2</v>
      </c>
      <c r="D469" s="23">
        <f>$A$469+F469</f>
        <v>20001</v>
      </c>
      <c r="E469" s="17">
        <v>1</v>
      </c>
      <c r="F469" s="18">
        <f t="shared" si="377"/>
        <v>1</v>
      </c>
      <c r="G469" s="18" t="s">
        <v>37</v>
      </c>
      <c r="H469" s="18" t="s">
        <v>38</v>
      </c>
      <c r="I469" s="20">
        <v>0</v>
      </c>
      <c r="J469" s="18">
        <v>0</v>
      </c>
      <c r="K469" s="18">
        <f t="shared" si="372"/>
        <v>20001</v>
      </c>
      <c r="L469" s="18" t="s">
        <v>40</v>
      </c>
      <c r="M469" s="18">
        <v>0</v>
      </c>
      <c r="N469" s="16" t="str">
        <f t="shared" si="374"/>
        <v>111:1</v>
      </c>
      <c r="O469" s="18">
        <f t="shared" si="378"/>
        <v>1</v>
      </c>
      <c r="P469" s="21" t="str">
        <f>$R$2&amp;R469&amp;$Q$1&amp;T469</f>
        <v>所有骑兵生命增加:1</v>
      </c>
      <c r="Q469" s="21"/>
      <c r="R469" t="s">
        <v>4270</v>
      </c>
      <c r="S469"/>
      <c r="T469" t="str">
        <f t="shared" si="379"/>
        <v>:1</v>
      </c>
      <c r="U469" t="str">
        <f t="shared" si="371"/>
        <v>骑兵</v>
      </c>
      <c r="V469" t="s">
        <v>4416</v>
      </c>
      <c r="W469">
        <f>属性类型!G469</f>
        <v>111</v>
      </c>
      <c r="X469">
        <v>1</v>
      </c>
    </row>
    <row r="470" customFormat="1" ht="16.5" spans="1:24">
      <c r="A470" s="17">
        <f t="shared" ref="A470:A474" si="380">A469+1</f>
        <v>20001</v>
      </c>
      <c r="B470" s="17">
        <f t="shared" si="375"/>
        <v>20000</v>
      </c>
      <c r="C470" s="17" t="str">
        <f t="shared" si="376"/>
        <v>2</v>
      </c>
      <c r="D470" s="12">
        <f t="shared" ref="D470:D533" si="381">$A$469+F470</f>
        <v>20001</v>
      </c>
      <c r="E470" s="17">
        <v>1</v>
      </c>
      <c r="F470" s="17">
        <f t="shared" si="377"/>
        <v>1</v>
      </c>
      <c r="G470" s="17" t="str">
        <f>G469</f>
        <v>初级生命</v>
      </c>
      <c r="H470" s="17" t="str">
        <f>H469</f>
        <v>icon_01</v>
      </c>
      <c r="I470" s="20">
        <v>0</v>
      </c>
      <c r="J470" s="17">
        <v>1</v>
      </c>
      <c r="K470" s="17">
        <f t="shared" si="372"/>
        <v>20002</v>
      </c>
      <c r="L470" s="17" t="s">
        <v>44</v>
      </c>
      <c r="M470" s="17">
        <f>M469</f>
        <v>0</v>
      </c>
      <c r="N470" s="16" t="str">
        <f t="shared" si="374"/>
        <v>111:1</v>
      </c>
      <c r="O470" s="17">
        <f t="shared" si="378"/>
        <v>1</v>
      </c>
      <c r="P470" s="21" t="str">
        <f t="shared" ref="P470:P533" si="382">$R$2&amp;R470&amp;$Q$1&amp;T470</f>
        <v>所有骑兵生命增加:1</v>
      </c>
      <c r="Q470" s="21"/>
      <c r="R470" t="str">
        <f t="shared" ref="R465:R474" si="383">R469</f>
        <v>生命</v>
      </c>
      <c r="T470" t="str">
        <f t="shared" si="379"/>
        <v>:1</v>
      </c>
      <c r="U470" t="str">
        <f t="shared" si="371"/>
        <v>骑兵</v>
      </c>
      <c r="V470" t="s">
        <v>4416</v>
      </c>
      <c r="W470">
        <f>属性类型!G470</f>
        <v>111</v>
      </c>
      <c r="X470">
        <v>1</v>
      </c>
    </row>
    <row r="471" customFormat="1" ht="16.5" spans="1:24">
      <c r="A471" s="17">
        <f t="shared" si="380"/>
        <v>20002</v>
      </c>
      <c r="B471" s="17">
        <f t="shared" si="375"/>
        <v>20000</v>
      </c>
      <c r="C471" s="17" t="str">
        <f t="shared" si="376"/>
        <v>2</v>
      </c>
      <c r="D471" s="12">
        <f t="shared" si="381"/>
        <v>20001</v>
      </c>
      <c r="E471" s="17">
        <v>1</v>
      </c>
      <c r="F471" s="17">
        <f t="shared" si="377"/>
        <v>1</v>
      </c>
      <c r="G471" s="17" t="str">
        <f>G470</f>
        <v>初级生命</v>
      </c>
      <c r="H471" s="17" t="str">
        <f>H470</f>
        <v>icon_01</v>
      </c>
      <c r="I471" s="20">
        <v>0</v>
      </c>
      <c r="J471" s="17">
        <v>2</v>
      </c>
      <c r="K471" s="17">
        <f t="shared" si="372"/>
        <v>20003</v>
      </c>
      <c r="L471" s="17" t="s">
        <v>49</v>
      </c>
      <c r="M471" s="17">
        <f>M470</f>
        <v>0</v>
      </c>
      <c r="N471" s="16" t="str">
        <f t="shared" si="374"/>
        <v>111:1</v>
      </c>
      <c r="O471" s="17">
        <f t="shared" si="378"/>
        <v>1</v>
      </c>
      <c r="P471" s="21" t="str">
        <f t="shared" si="382"/>
        <v>所有骑兵生命增加:1</v>
      </c>
      <c r="Q471" s="21"/>
      <c r="R471" t="str">
        <f t="shared" si="383"/>
        <v>生命</v>
      </c>
      <c r="T471" t="str">
        <f t="shared" si="379"/>
        <v>:1</v>
      </c>
      <c r="U471" t="str">
        <f t="shared" si="371"/>
        <v>骑兵</v>
      </c>
      <c r="V471" t="s">
        <v>4416</v>
      </c>
      <c r="W471">
        <f>属性类型!G471</f>
        <v>111</v>
      </c>
      <c r="X471">
        <v>1</v>
      </c>
    </row>
    <row r="472" customFormat="1" ht="16.5" spans="1:24">
      <c r="A472" s="17">
        <f t="shared" si="380"/>
        <v>20003</v>
      </c>
      <c r="B472" s="17">
        <f t="shared" si="375"/>
        <v>20000</v>
      </c>
      <c r="C472" s="17" t="str">
        <f t="shared" si="376"/>
        <v>2</v>
      </c>
      <c r="D472" s="12">
        <f t="shared" si="381"/>
        <v>20001</v>
      </c>
      <c r="E472" s="17">
        <v>1</v>
      </c>
      <c r="F472" s="17">
        <f t="shared" si="377"/>
        <v>1</v>
      </c>
      <c r="G472" s="17" t="str">
        <f>G471</f>
        <v>初级生命</v>
      </c>
      <c r="H472" s="17" t="str">
        <f>H471</f>
        <v>icon_01</v>
      </c>
      <c r="I472" s="20">
        <v>0</v>
      </c>
      <c r="J472" s="17">
        <v>3</v>
      </c>
      <c r="K472" s="17">
        <f t="shared" si="372"/>
        <v>20004</v>
      </c>
      <c r="L472" s="17" t="s">
        <v>53</v>
      </c>
      <c r="M472" s="17">
        <f>M471</f>
        <v>0</v>
      </c>
      <c r="N472" s="16" t="str">
        <f t="shared" si="374"/>
        <v>111:1</v>
      </c>
      <c r="O472" s="17">
        <f t="shared" si="378"/>
        <v>1</v>
      </c>
      <c r="P472" s="21" t="str">
        <f t="shared" si="382"/>
        <v>所有骑兵生命增加:1</v>
      </c>
      <c r="Q472" s="21"/>
      <c r="R472" t="str">
        <f t="shared" si="383"/>
        <v>生命</v>
      </c>
      <c r="T472" t="str">
        <f t="shared" si="379"/>
        <v>:1</v>
      </c>
      <c r="U472" t="str">
        <f t="shared" si="371"/>
        <v>骑兵</v>
      </c>
      <c r="V472" t="s">
        <v>4416</v>
      </c>
      <c r="W472">
        <f>属性类型!G472</f>
        <v>111</v>
      </c>
      <c r="X472">
        <v>1</v>
      </c>
    </row>
    <row r="473" customFormat="1" ht="16.5" spans="1:24">
      <c r="A473" s="17">
        <f t="shared" si="380"/>
        <v>20004</v>
      </c>
      <c r="B473" s="17">
        <f t="shared" si="375"/>
        <v>20000</v>
      </c>
      <c r="C473" s="17" t="str">
        <f t="shared" si="376"/>
        <v>2</v>
      </c>
      <c r="D473" s="12">
        <f t="shared" si="381"/>
        <v>20001</v>
      </c>
      <c r="E473" s="17">
        <v>1</v>
      </c>
      <c r="F473" s="17">
        <f t="shared" si="377"/>
        <v>1</v>
      </c>
      <c r="G473" s="17" t="str">
        <f>G472</f>
        <v>初级生命</v>
      </c>
      <c r="H473" s="17" t="str">
        <f>H472</f>
        <v>icon_01</v>
      </c>
      <c r="I473" s="20">
        <v>0</v>
      </c>
      <c r="J473" s="17">
        <v>4</v>
      </c>
      <c r="K473" s="17">
        <f t="shared" si="372"/>
        <v>20005</v>
      </c>
      <c r="L473" s="17" t="s">
        <v>57</v>
      </c>
      <c r="M473" s="17">
        <f>M472</f>
        <v>0</v>
      </c>
      <c r="N473" s="16" t="str">
        <f t="shared" si="374"/>
        <v>111:1</v>
      </c>
      <c r="O473" s="17">
        <f t="shared" si="378"/>
        <v>1</v>
      </c>
      <c r="P473" s="21" t="str">
        <f t="shared" si="382"/>
        <v>所有骑兵生命增加:1</v>
      </c>
      <c r="Q473" s="21"/>
      <c r="R473" t="str">
        <f t="shared" si="383"/>
        <v>生命</v>
      </c>
      <c r="T473" t="str">
        <f t="shared" si="379"/>
        <v>:1</v>
      </c>
      <c r="U473" t="str">
        <f t="shared" si="371"/>
        <v>骑兵</v>
      </c>
      <c r="V473" t="s">
        <v>4416</v>
      </c>
      <c r="W473">
        <f>属性类型!G473</f>
        <v>111</v>
      </c>
      <c r="X473">
        <v>1</v>
      </c>
    </row>
    <row r="474" customFormat="1" ht="16.5" spans="1:24">
      <c r="A474" s="17">
        <f t="shared" si="380"/>
        <v>20005</v>
      </c>
      <c r="B474" s="17">
        <f t="shared" si="375"/>
        <v>20000</v>
      </c>
      <c r="C474" s="17" t="str">
        <f t="shared" si="376"/>
        <v>2</v>
      </c>
      <c r="D474" s="12">
        <f t="shared" si="381"/>
        <v>20001</v>
      </c>
      <c r="E474" s="17">
        <v>1</v>
      </c>
      <c r="F474" s="17">
        <f t="shared" si="377"/>
        <v>1</v>
      </c>
      <c r="G474" s="17" t="str">
        <f>G473</f>
        <v>初级生命</v>
      </c>
      <c r="H474" s="17" t="str">
        <f>H473</f>
        <v>icon_01</v>
      </c>
      <c r="I474" s="20">
        <v>0</v>
      </c>
      <c r="J474" s="17">
        <v>5</v>
      </c>
      <c r="K474" s="17">
        <v>0</v>
      </c>
      <c r="L474" s="17">
        <v>0</v>
      </c>
      <c r="M474" s="17">
        <f>M473</f>
        <v>0</v>
      </c>
      <c r="N474" s="16" t="str">
        <f t="shared" si="374"/>
        <v>111:1</v>
      </c>
      <c r="O474" s="17">
        <f t="shared" si="378"/>
        <v>1</v>
      </c>
      <c r="P474" s="21" t="str">
        <f t="shared" si="382"/>
        <v>所有骑兵生命增加:1</v>
      </c>
      <c r="Q474" s="21"/>
      <c r="R474" t="str">
        <f t="shared" si="383"/>
        <v>生命</v>
      </c>
      <c r="T474" t="str">
        <f t="shared" si="379"/>
        <v>:1</v>
      </c>
      <c r="U474" t="str">
        <f t="shared" si="371"/>
        <v>骑兵</v>
      </c>
      <c r="V474" t="s">
        <v>4416</v>
      </c>
      <c r="W474">
        <f>属性类型!G474</f>
        <v>111</v>
      </c>
      <c r="X474">
        <v>1</v>
      </c>
    </row>
    <row r="475" customFormat="1" ht="16.5" spans="1:24">
      <c r="A475" s="18">
        <f>A469+100</f>
        <v>20100</v>
      </c>
      <c r="B475" s="18">
        <f t="shared" si="375"/>
        <v>20100</v>
      </c>
      <c r="C475" s="18" t="str">
        <f t="shared" si="376"/>
        <v>2</v>
      </c>
      <c r="D475" s="12">
        <f t="shared" si="381"/>
        <v>20001</v>
      </c>
      <c r="E475" s="17">
        <v>1</v>
      </c>
      <c r="F475" s="18">
        <f t="shared" si="377"/>
        <v>1</v>
      </c>
      <c r="G475" s="18" t="s">
        <v>62</v>
      </c>
      <c r="H475" s="18" t="s">
        <v>63</v>
      </c>
      <c r="I475" s="20">
        <v>0</v>
      </c>
      <c r="J475" s="18">
        <v>0</v>
      </c>
      <c r="K475" s="18">
        <f t="shared" ref="K475:K479" si="384">A476</f>
        <v>20101</v>
      </c>
      <c r="L475" s="18" t="s">
        <v>40</v>
      </c>
      <c r="M475" s="18" t="s">
        <v>65</v>
      </c>
      <c r="N475" s="16" t="str">
        <f t="shared" si="374"/>
        <v>113:1</v>
      </c>
      <c r="O475" s="18">
        <f t="shared" si="378"/>
        <v>2</v>
      </c>
      <c r="P475" s="21" t="str">
        <f t="shared" si="382"/>
        <v>所有骑兵防御增加:1</v>
      </c>
      <c r="Q475" s="21"/>
      <c r="R475" t="s">
        <v>4272</v>
      </c>
      <c r="T475" t="str">
        <f t="shared" si="379"/>
        <v>:1</v>
      </c>
      <c r="U475" t="str">
        <f t="shared" si="371"/>
        <v>骑兵</v>
      </c>
      <c r="V475" t="s">
        <v>4417</v>
      </c>
      <c r="W475">
        <f>属性类型!G475</f>
        <v>113</v>
      </c>
      <c r="X475">
        <v>1</v>
      </c>
    </row>
    <row r="476" customFormat="1" ht="16.5" spans="1:24">
      <c r="A476" s="17">
        <f t="shared" ref="A476:A480" si="385">A475+1</f>
        <v>20101</v>
      </c>
      <c r="B476" s="17">
        <f t="shared" si="375"/>
        <v>20100</v>
      </c>
      <c r="C476" s="17" t="str">
        <f t="shared" si="376"/>
        <v>2</v>
      </c>
      <c r="D476" s="12">
        <f t="shared" si="381"/>
        <v>20001</v>
      </c>
      <c r="E476" s="17">
        <v>1</v>
      </c>
      <c r="F476" s="17">
        <f t="shared" si="377"/>
        <v>1</v>
      </c>
      <c r="G476" s="17" t="str">
        <f>G475</f>
        <v>初级防御</v>
      </c>
      <c r="H476" s="17" t="str">
        <f>H475</f>
        <v>icon_02</v>
      </c>
      <c r="I476" s="20">
        <v>0</v>
      </c>
      <c r="J476" s="17">
        <v>1</v>
      </c>
      <c r="K476" s="17">
        <f t="shared" si="384"/>
        <v>20102</v>
      </c>
      <c r="L476" s="17" t="s">
        <v>44</v>
      </c>
      <c r="M476" s="17" t="str">
        <f>M475</f>
        <v>1:10000:1</v>
      </c>
      <c r="N476" s="16" t="str">
        <f t="shared" si="374"/>
        <v>113:1</v>
      </c>
      <c r="O476" s="17">
        <f t="shared" si="378"/>
        <v>2</v>
      </c>
      <c r="P476" s="21" t="str">
        <f t="shared" si="382"/>
        <v>所有骑兵防御增加:1</v>
      </c>
      <c r="Q476" s="21"/>
      <c r="R476" t="str">
        <f t="shared" ref="R476:R480" si="386">R475</f>
        <v>防御</v>
      </c>
      <c r="T476" t="str">
        <f t="shared" si="379"/>
        <v>:1</v>
      </c>
      <c r="U476" t="str">
        <f t="shared" si="371"/>
        <v>骑兵</v>
      </c>
      <c r="V476" t="s">
        <v>4417</v>
      </c>
      <c r="W476">
        <f>属性类型!G476</f>
        <v>113</v>
      </c>
      <c r="X476">
        <v>1</v>
      </c>
    </row>
    <row r="477" customFormat="1" ht="16.5" spans="1:24">
      <c r="A477" s="17">
        <f t="shared" si="385"/>
        <v>20102</v>
      </c>
      <c r="B477" s="17">
        <f t="shared" si="375"/>
        <v>20100</v>
      </c>
      <c r="C477" s="17" t="str">
        <f t="shared" si="376"/>
        <v>2</v>
      </c>
      <c r="D477" s="12">
        <f t="shared" si="381"/>
        <v>20001</v>
      </c>
      <c r="E477" s="17">
        <v>1</v>
      </c>
      <c r="F477" s="17">
        <f t="shared" si="377"/>
        <v>1</v>
      </c>
      <c r="G477" s="17" t="str">
        <f>G476</f>
        <v>初级防御</v>
      </c>
      <c r="H477" s="17" t="str">
        <f>H476</f>
        <v>icon_02</v>
      </c>
      <c r="I477" s="20">
        <v>0</v>
      </c>
      <c r="J477" s="17">
        <v>2</v>
      </c>
      <c r="K477" s="17">
        <f t="shared" si="384"/>
        <v>20103</v>
      </c>
      <c r="L477" s="17" t="s">
        <v>49</v>
      </c>
      <c r="M477" s="17" t="str">
        <f>M476</f>
        <v>1:10000:1</v>
      </c>
      <c r="N477" s="16" t="str">
        <f t="shared" si="374"/>
        <v>113:1</v>
      </c>
      <c r="O477" s="17">
        <f t="shared" si="378"/>
        <v>2</v>
      </c>
      <c r="P477" s="21" t="str">
        <f t="shared" si="382"/>
        <v>所有骑兵防御增加:1</v>
      </c>
      <c r="Q477" s="21"/>
      <c r="R477" t="str">
        <f t="shared" si="386"/>
        <v>防御</v>
      </c>
      <c r="T477" t="str">
        <f t="shared" si="379"/>
        <v>:1</v>
      </c>
      <c r="U477" t="str">
        <f t="shared" si="371"/>
        <v>骑兵</v>
      </c>
      <c r="V477" t="s">
        <v>4417</v>
      </c>
      <c r="W477">
        <f>属性类型!G477</f>
        <v>113</v>
      </c>
      <c r="X477">
        <v>1</v>
      </c>
    </row>
    <row r="478" customFormat="1" ht="16.5" spans="1:24">
      <c r="A478" s="17">
        <f t="shared" si="385"/>
        <v>20103</v>
      </c>
      <c r="B478" s="17">
        <f t="shared" si="375"/>
        <v>20100</v>
      </c>
      <c r="C478" s="17" t="str">
        <f t="shared" si="376"/>
        <v>2</v>
      </c>
      <c r="D478" s="12">
        <f t="shared" si="381"/>
        <v>20001</v>
      </c>
      <c r="E478" s="17">
        <v>1</v>
      </c>
      <c r="F478" s="17">
        <f t="shared" si="377"/>
        <v>1</v>
      </c>
      <c r="G478" s="17" t="str">
        <f>G477</f>
        <v>初级防御</v>
      </c>
      <c r="H478" s="17" t="str">
        <f>H477</f>
        <v>icon_02</v>
      </c>
      <c r="I478" s="20">
        <v>0</v>
      </c>
      <c r="J478" s="17">
        <v>3</v>
      </c>
      <c r="K478" s="17">
        <f t="shared" si="384"/>
        <v>20104</v>
      </c>
      <c r="L478" s="17" t="s">
        <v>53</v>
      </c>
      <c r="M478" s="17" t="str">
        <f>M477</f>
        <v>1:10000:1</v>
      </c>
      <c r="N478" s="16" t="str">
        <f t="shared" si="374"/>
        <v>113:1</v>
      </c>
      <c r="O478" s="17">
        <f t="shared" si="378"/>
        <v>2</v>
      </c>
      <c r="P478" s="21" t="str">
        <f t="shared" si="382"/>
        <v>所有骑兵防御增加:1</v>
      </c>
      <c r="Q478" s="21"/>
      <c r="R478" t="str">
        <f t="shared" si="386"/>
        <v>防御</v>
      </c>
      <c r="T478" t="str">
        <f t="shared" si="379"/>
        <v>:1</v>
      </c>
      <c r="U478" t="str">
        <f t="shared" si="371"/>
        <v>骑兵</v>
      </c>
      <c r="V478" t="s">
        <v>4417</v>
      </c>
      <c r="W478">
        <f>属性类型!G478</f>
        <v>113</v>
      </c>
      <c r="X478">
        <v>1</v>
      </c>
    </row>
    <row r="479" customFormat="1" ht="16.5" spans="1:24">
      <c r="A479" s="17">
        <f t="shared" si="385"/>
        <v>20104</v>
      </c>
      <c r="B479" s="17">
        <f t="shared" si="375"/>
        <v>20100</v>
      </c>
      <c r="C479" s="17" t="str">
        <f t="shared" si="376"/>
        <v>2</v>
      </c>
      <c r="D479" s="12">
        <f t="shared" si="381"/>
        <v>20001</v>
      </c>
      <c r="E479" s="17">
        <v>1</v>
      </c>
      <c r="F479" s="17">
        <f t="shared" si="377"/>
        <v>1</v>
      </c>
      <c r="G479" s="17" t="str">
        <f>G478</f>
        <v>初级防御</v>
      </c>
      <c r="H479" s="17" t="str">
        <f>H478</f>
        <v>icon_02</v>
      </c>
      <c r="I479" s="20">
        <v>0</v>
      </c>
      <c r="J479" s="17">
        <v>4</v>
      </c>
      <c r="K479" s="17">
        <f t="shared" si="384"/>
        <v>20105</v>
      </c>
      <c r="L479" s="17" t="s">
        <v>57</v>
      </c>
      <c r="M479" s="17" t="str">
        <f>M478</f>
        <v>1:10000:1</v>
      </c>
      <c r="N479" s="16" t="str">
        <f t="shared" si="374"/>
        <v>113:1</v>
      </c>
      <c r="O479" s="17">
        <f t="shared" si="378"/>
        <v>2</v>
      </c>
      <c r="P479" s="21" t="str">
        <f t="shared" si="382"/>
        <v>所有骑兵防御增加:1</v>
      </c>
      <c r="Q479" s="21"/>
      <c r="R479" t="str">
        <f t="shared" si="386"/>
        <v>防御</v>
      </c>
      <c r="T479" t="str">
        <f t="shared" si="379"/>
        <v>:1</v>
      </c>
      <c r="U479" t="str">
        <f t="shared" si="371"/>
        <v>骑兵</v>
      </c>
      <c r="V479" t="s">
        <v>4417</v>
      </c>
      <c r="W479">
        <f>属性类型!G479</f>
        <v>113</v>
      </c>
      <c r="X479">
        <v>1</v>
      </c>
    </row>
    <row r="480" customFormat="1" ht="16.5" spans="1:24">
      <c r="A480" s="17">
        <f t="shared" si="385"/>
        <v>20105</v>
      </c>
      <c r="B480" s="17">
        <f t="shared" si="375"/>
        <v>20100</v>
      </c>
      <c r="C480" s="17" t="str">
        <f t="shared" si="376"/>
        <v>2</v>
      </c>
      <c r="D480" s="12">
        <f t="shared" si="381"/>
        <v>20001</v>
      </c>
      <c r="E480" s="17">
        <v>1</v>
      </c>
      <c r="F480" s="17">
        <f t="shared" si="377"/>
        <v>1</v>
      </c>
      <c r="G480" s="17" t="str">
        <f>G479</f>
        <v>初级防御</v>
      </c>
      <c r="H480" s="17" t="str">
        <f>H479</f>
        <v>icon_02</v>
      </c>
      <c r="I480" s="20">
        <v>0</v>
      </c>
      <c r="J480" s="17">
        <v>5</v>
      </c>
      <c r="K480" s="17">
        <v>0</v>
      </c>
      <c r="L480" s="17">
        <v>0</v>
      </c>
      <c r="M480" s="17" t="str">
        <f>M479</f>
        <v>1:10000:1</v>
      </c>
      <c r="N480" s="16" t="str">
        <f t="shared" si="374"/>
        <v>113:1</v>
      </c>
      <c r="O480" s="17">
        <f t="shared" si="378"/>
        <v>2</v>
      </c>
      <c r="P480" s="21" t="str">
        <f t="shared" si="382"/>
        <v>所有骑兵防御增加:1</v>
      </c>
      <c r="Q480" s="21"/>
      <c r="R480" t="str">
        <f t="shared" si="386"/>
        <v>防御</v>
      </c>
      <c r="T480" t="str">
        <f t="shared" si="379"/>
        <v>:1</v>
      </c>
      <c r="U480" t="str">
        <f t="shared" si="371"/>
        <v>骑兵</v>
      </c>
      <c r="V480" t="s">
        <v>4417</v>
      </c>
      <c r="W480">
        <f>属性类型!G480</f>
        <v>113</v>
      </c>
      <c r="X480">
        <v>1</v>
      </c>
    </row>
    <row r="481" customFormat="1" ht="16.5" spans="1:24">
      <c r="A481" s="18">
        <f>A475+100</f>
        <v>20200</v>
      </c>
      <c r="B481" s="18">
        <f t="shared" si="375"/>
        <v>20200</v>
      </c>
      <c r="C481" s="18" t="str">
        <f t="shared" si="376"/>
        <v>2</v>
      </c>
      <c r="D481" s="12">
        <f t="shared" si="381"/>
        <v>20001</v>
      </c>
      <c r="E481" s="17">
        <v>1</v>
      </c>
      <c r="F481" s="18">
        <f t="shared" si="377"/>
        <v>1</v>
      </c>
      <c r="G481" s="18" t="s">
        <v>79</v>
      </c>
      <c r="H481" s="18" t="s">
        <v>80</v>
      </c>
      <c r="I481" s="20">
        <v>0</v>
      </c>
      <c r="J481" s="18">
        <v>0</v>
      </c>
      <c r="K481" s="18">
        <f t="shared" ref="K481:K485" si="387">A482</f>
        <v>20201</v>
      </c>
      <c r="L481" s="18" t="s">
        <v>40</v>
      </c>
      <c r="M481" s="18" t="s">
        <v>65</v>
      </c>
      <c r="N481" s="16" t="str">
        <f t="shared" si="374"/>
        <v>112:1</v>
      </c>
      <c r="O481" s="18">
        <f t="shared" si="378"/>
        <v>3</v>
      </c>
      <c r="P481" s="21" t="str">
        <f t="shared" si="382"/>
        <v>所有骑兵攻击增加:1</v>
      </c>
      <c r="Q481" s="21"/>
      <c r="R481" t="s">
        <v>4274</v>
      </c>
      <c r="T481" t="str">
        <f t="shared" si="379"/>
        <v>:1</v>
      </c>
      <c r="U481" t="str">
        <f t="shared" si="371"/>
        <v>骑兵</v>
      </c>
      <c r="V481" t="s">
        <v>4418</v>
      </c>
      <c r="W481">
        <f>属性类型!G481</f>
        <v>112</v>
      </c>
      <c r="X481">
        <v>1</v>
      </c>
    </row>
    <row r="482" customFormat="1" ht="16.5" spans="1:24">
      <c r="A482" s="17">
        <f t="shared" ref="A482:A486" si="388">A481+1</f>
        <v>20201</v>
      </c>
      <c r="B482" s="17">
        <f t="shared" si="375"/>
        <v>20200</v>
      </c>
      <c r="C482" s="17" t="str">
        <f t="shared" si="376"/>
        <v>2</v>
      </c>
      <c r="D482" s="12">
        <f t="shared" si="381"/>
        <v>20001</v>
      </c>
      <c r="E482" s="17">
        <v>1</v>
      </c>
      <c r="F482" s="17">
        <f t="shared" si="377"/>
        <v>1</v>
      </c>
      <c r="G482" s="17" t="str">
        <f>G481</f>
        <v>初级攻击</v>
      </c>
      <c r="H482" s="17" t="str">
        <f>H481</f>
        <v>icon_03</v>
      </c>
      <c r="I482" s="20">
        <v>0</v>
      </c>
      <c r="J482" s="17">
        <v>1</v>
      </c>
      <c r="K482" s="17">
        <f t="shared" si="387"/>
        <v>20202</v>
      </c>
      <c r="L482" s="17" t="s">
        <v>44</v>
      </c>
      <c r="M482" s="17" t="str">
        <f>M481</f>
        <v>1:10000:1</v>
      </c>
      <c r="N482" s="16" t="str">
        <f t="shared" si="374"/>
        <v>112:1</v>
      </c>
      <c r="O482" s="17">
        <f t="shared" si="378"/>
        <v>3</v>
      </c>
      <c r="P482" s="21" t="str">
        <f t="shared" si="382"/>
        <v>所有骑兵攻击增加:1</v>
      </c>
      <c r="Q482" s="21"/>
      <c r="R482" t="str">
        <f t="shared" ref="R482:R486" si="389">R481</f>
        <v>攻击</v>
      </c>
      <c r="T482" t="str">
        <f t="shared" si="379"/>
        <v>:1</v>
      </c>
      <c r="U482" t="str">
        <f t="shared" si="371"/>
        <v>骑兵</v>
      </c>
      <c r="V482" t="s">
        <v>4418</v>
      </c>
      <c r="W482">
        <f>属性类型!G482</f>
        <v>112</v>
      </c>
      <c r="X482">
        <v>1</v>
      </c>
    </row>
    <row r="483" customFormat="1" ht="16.5" spans="1:24">
      <c r="A483" s="17">
        <f t="shared" si="388"/>
        <v>20202</v>
      </c>
      <c r="B483" s="17">
        <f t="shared" si="375"/>
        <v>20200</v>
      </c>
      <c r="C483" s="17" t="str">
        <f t="shared" si="376"/>
        <v>2</v>
      </c>
      <c r="D483" s="12">
        <f t="shared" si="381"/>
        <v>20001</v>
      </c>
      <c r="E483" s="17">
        <v>1</v>
      </c>
      <c r="F483" s="17">
        <f t="shared" si="377"/>
        <v>1</v>
      </c>
      <c r="G483" s="17" t="str">
        <f>G482</f>
        <v>初级攻击</v>
      </c>
      <c r="H483" s="17" t="str">
        <f>H482</f>
        <v>icon_03</v>
      </c>
      <c r="I483" s="20">
        <v>0</v>
      </c>
      <c r="J483" s="17">
        <v>2</v>
      </c>
      <c r="K483" s="17">
        <f t="shared" si="387"/>
        <v>20203</v>
      </c>
      <c r="L483" s="17" t="s">
        <v>49</v>
      </c>
      <c r="M483" s="17" t="str">
        <f>M482</f>
        <v>1:10000:1</v>
      </c>
      <c r="N483" s="16" t="str">
        <f t="shared" si="374"/>
        <v>112:1</v>
      </c>
      <c r="O483" s="17">
        <f t="shared" si="378"/>
        <v>3</v>
      </c>
      <c r="P483" s="21" t="str">
        <f t="shared" si="382"/>
        <v>所有骑兵攻击增加:1</v>
      </c>
      <c r="Q483" s="21"/>
      <c r="R483" t="str">
        <f t="shared" si="389"/>
        <v>攻击</v>
      </c>
      <c r="T483" t="str">
        <f t="shared" si="379"/>
        <v>:1</v>
      </c>
      <c r="U483" t="str">
        <f t="shared" si="371"/>
        <v>骑兵</v>
      </c>
      <c r="V483" t="s">
        <v>4418</v>
      </c>
      <c r="W483">
        <f>属性类型!G483</f>
        <v>112</v>
      </c>
      <c r="X483">
        <v>1</v>
      </c>
    </row>
    <row r="484" customFormat="1" ht="16.5" spans="1:24">
      <c r="A484" s="17">
        <f t="shared" si="388"/>
        <v>20203</v>
      </c>
      <c r="B484" s="17">
        <f t="shared" si="375"/>
        <v>20200</v>
      </c>
      <c r="C484" s="17" t="str">
        <f t="shared" si="376"/>
        <v>2</v>
      </c>
      <c r="D484" s="12">
        <f t="shared" si="381"/>
        <v>20001</v>
      </c>
      <c r="E484" s="17">
        <v>1</v>
      </c>
      <c r="F484" s="17">
        <f t="shared" si="377"/>
        <v>1</v>
      </c>
      <c r="G484" s="17" t="str">
        <f>G483</f>
        <v>初级攻击</v>
      </c>
      <c r="H484" s="17" t="str">
        <f>H483</f>
        <v>icon_03</v>
      </c>
      <c r="I484" s="20">
        <v>0</v>
      </c>
      <c r="J484" s="17">
        <v>3</v>
      </c>
      <c r="K484" s="17">
        <f t="shared" si="387"/>
        <v>20204</v>
      </c>
      <c r="L484" s="17" t="s">
        <v>53</v>
      </c>
      <c r="M484" s="17" t="str">
        <f>M483</f>
        <v>1:10000:1</v>
      </c>
      <c r="N484" s="16" t="str">
        <f t="shared" si="374"/>
        <v>112:1</v>
      </c>
      <c r="O484" s="17">
        <f t="shared" si="378"/>
        <v>3</v>
      </c>
      <c r="P484" s="21" t="str">
        <f t="shared" si="382"/>
        <v>所有骑兵攻击增加:1</v>
      </c>
      <c r="Q484" s="21"/>
      <c r="R484" t="str">
        <f t="shared" si="389"/>
        <v>攻击</v>
      </c>
      <c r="T484" t="str">
        <f t="shared" si="379"/>
        <v>:1</v>
      </c>
      <c r="U484" t="str">
        <f t="shared" si="371"/>
        <v>骑兵</v>
      </c>
      <c r="V484" t="s">
        <v>4418</v>
      </c>
      <c r="W484">
        <f>属性类型!G484</f>
        <v>112</v>
      </c>
      <c r="X484">
        <v>1</v>
      </c>
    </row>
    <row r="485" customFormat="1" ht="16.5" spans="1:24">
      <c r="A485" s="17">
        <f t="shared" si="388"/>
        <v>20204</v>
      </c>
      <c r="B485" s="17">
        <f t="shared" si="375"/>
        <v>20200</v>
      </c>
      <c r="C485" s="17" t="str">
        <f t="shared" si="376"/>
        <v>2</v>
      </c>
      <c r="D485" s="12">
        <f t="shared" si="381"/>
        <v>20001</v>
      </c>
      <c r="E485" s="17">
        <v>1</v>
      </c>
      <c r="F485" s="17">
        <f t="shared" si="377"/>
        <v>1</v>
      </c>
      <c r="G485" s="17" t="str">
        <f>G484</f>
        <v>初级攻击</v>
      </c>
      <c r="H485" s="17" t="str">
        <f>H484</f>
        <v>icon_03</v>
      </c>
      <c r="I485" s="20">
        <v>0</v>
      </c>
      <c r="J485" s="17">
        <v>4</v>
      </c>
      <c r="K485" s="17">
        <f t="shared" si="387"/>
        <v>20205</v>
      </c>
      <c r="L485" s="17" t="s">
        <v>57</v>
      </c>
      <c r="M485" s="17" t="str">
        <f>M484</f>
        <v>1:10000:1</v>
      </c>
      <c r="N485" s="16" t="str">
        <f t="shared" si="374"/>
        <v>112:1</v>
      </c>
      <c r="O485" s="17">
        <f t="shared" si="378"/>
        <v>3</v>
      </c>
      <c r="P485" s="21" t="str">
        <f t="shared" si="382"/>
        <v>所有骑兵攻击增加:1</v>
      </c>
      <c r="Q485" s="21"/>
      <c r="R485" t="str">
        <f t="shared" si="389"/>
        <v>攻击</v>
      </c>
      <c r="T485" t="str">
        <f t="shared" si="379"/>
        <v>:1</v>
      </c>
      <c r="U485" t="str">
        <f t="shared" si="371"/>
        <v>骑兵</v>
      </c>
      <c r="V485" t="s">
        <v>4418</v>
      </c>
      <c r="W485">
        <f>属性类型!G485</f>
        <v>112</v>
      </c>
      <c r="X485">
        <v>1</v>
      </c>
    </row>
    <row r="486" customFormat="1" ht="16.5" spans="1:24">
      <c r="A486" s="17">
        <f t="shared" si="388"/>
        <v>20205</v>
      </c>
      <c r="B486" s="17">
        <f t="shared" si="375"/>
        <v>20200</v>
      </c>
      <c r="C486" s="17" t="str">
        <f t="shared" si="376"/>
        <v>2</v>
      </c>
      <c r="D486" s="12">
        <f t="shared" si="381"/>
        <v>20001</v>
      </c>
      <c r="E486" s="17">
        <v>1</v>
      </c>
      <c r="F486" s="17">
        <f t="shared" si="377"/>
        <v>1</v>
      </c>
      <c r="G486" s="17" t="str">
        <f>G485</f>
        <v>初级攻击</v>
      </c>
      <c r="H486" s="17" t="str">
        <f>H485</f>
        <v>icon_03</v>
      </c>
      <c r="I486" s="20">
        <v>0</v>
      </c>
      <c r="J486" s="17">
        <v>5</v>
      </c>
      <c r="K486" s="17">
        <v>0</v>
      </c>
      <c r="L486" s="17">
        <v>0</v>
      </c>
      <c r="M486" s="17" t="str">
        <f>M485</f>
        <v>1:10000:1</v>
      </c>
      <c r="N486" s="16" t="str">
        <f t="shared" si="374"/>
        <v>112:1</v>
      </c>
      <c r="O486" s="17">
        <f t="shared" si="378"/>
        <v>3</v>
      </c>
      <c r="P486" s="21" t="str">
        <f t="shared" si="382"/>
        <v>所有骑兵攻击增加:1</v>
      </c>
      <c r="Q486" s="21"/>
      <c r="R486" t="str">
        <f t="shared" si="389"/>
        <v>攻击</v>
      </c>
      <c r="T486" t="str">
        <f t="shared" si="379"/>
        <v>:1</v>
      </c>
      <c r="U486" t="str">
        <f t="shared" si="371"/>
        <v>骑兵</v>
      </c>
      <c r="V486" t="s">
        <v>4418</v>
      </c>
      <c r="W486">
        <f>属性类型!G486</f>
        <v>112</v>
      </c>
      <c r="X486">
        <v>1</v>
      </c>
    </row>
    <row r="487" customFormat="1" ht="16.5" spans="1:24">
      <c r="A487" s="18">
        <f>A481+100</f>
        <v>20300</v>
      </c>
      <c r="B487" s="18">
        <f t="shared" si="375"/>
        <v>20300</v>
      </c>
      <c r="C487" s="18" t="str">
        <f t="shared" si="376"/>
        <v>2</v>
      </c>
      <c r="D487" s="12">
        <f t="shared" si="381"/>
        <v>20001</v>
      </c>
      <c r="E487" s="17">
        <v>1</v>
      </c>
      <c r="F487" s="18">
        <f t="shared" si="377"/>
        <v>1</v>
      </c>
      <c r="G487" s="18" t="s">
        <v>95</v>
      </c>
      <c r="H487" s="18" t="s">
        <v>96</v>
      </c>
      <c r="I487" s="20">
        <v>0</v>
      </c>
      <c r="J487" s="18">
        <v>0</v>
      </c>
      <c r="K487" s="18">
        <f t="shared" ref="K487:K491" si="390">A488</f>
        <v>20301</v>
      </c>
      <c r="L487" s="18" t="s">
        <v>40</v>
      </c>
      <c r="M487" s="18" t="s">
        <v>65</v>
      </c>
      <c r="N487" s="16" t="str">
        <f t="shared" si="374"/>
        <v>114:1</v>
      </c>
      <c r="O487" s="18">
        <f t="shared" si="378"/>
        <v>4</v>
      </c>
      <c r="P487" s="21" t="str">
        <f t="shared" si="382"/>
        <v>所有骑兵魔防增加:1</v>
      </c>
      <c r="Q487" s="21"/>
      <c r="R487" t="s">
        <v>4276</v>
      </c>
      <c r="T487" t="str">
        <f t="shared" si="379"/>
        <v>:1</v>
      </c>
      <c r="U487" t="str">
        <f t="shared" si="371"/>
        <v>骑兵</v>
      </c>
      <c r="V487" t="s">
        <v>4419</v>
      </c>
      <c r="W487">
        <f>属性类型!G487</f>
        <v>114</v>
      </c>
      <c r="X487">
        <v>1</v>
      </c>
    </row>
    <row r="488" customFormat="1" ht="16.5" spans="1:24">
      <c r="A488" s="17">
        <f t="shared" ref="A488:A492" si="391">A487+1</f>
        <v>20301</v>
      </c>
      <c r="B488" s="17">
        <f t="shared" si="375"/>
        <v>20300</v>
      </c>
      <c r="C488" s="17" t="str">
        <f t="shared" si="376"/>
        <v>2</v>
      </c>
      <c r="D488" s="12">
        <f t="shared" si="381"/>
        <v>20001</v>
      </c>
      <c r="E488" s="17">
        <v>1</v>
      </c>
      <c r="F488" s="17">
        <f t="shared" si="377"/>
        <v>1</v>
      </c>
      <c r="G488" s="17" t="str">
        <f>G487</f>
        <v>初级魔防</v>
      </c>
      <c r="H488" s="17" t="str">
        <f>H487</f>
        <v>icon_04</v>
      </c>
      <c r="I488" s="20">
        <v>0</v>
      </c>
      <c r="J488" s="17">
        <v>1</v>
      </c>
      <c r="K488" s="17">
        <f t="shared" si="390"/>
        <v>20302</v>
      </c>
      <c r="L488" s="17" t="s">
        <v>44</v>
      </c>
      <c r="M488" s="17" t="str">
        <f>M487</f>
        <v>1:10000:1</v>
      </c>
      <c r="N488" s="16" t="str">
        <f t="shared" si="374"/>
        <v>114:1</v>
      </c>
      <c r="O488" s="17">
        <f t="shared" si="378"/>
        <v>4</v>
      </c>
      <c r="P488" s="21" t="str">
        <f t="shared" si="382"/>
        <v>所有骑兵魔防增加:1</v>
      </c>
      <c r="Q488" s="21"/>
      <c r="R488" t="str">
        <f t="shared" ref="R488:R492" si="392">R487</f>
        <v>魔防</v>
      </c>
      <c r="T488" t="str">
        <f t="shared" si="379"/>
        <v>:1</v>
      </c>
      <c r="U488" t="str">
        <f t="shared" si="371"/>
        <v>骑兵</v>
      </c>
      <c r="V488" t="s">
        <v>4419</v>
      </c>
      <c r="W488">
        <f>属性类型!G488</f>
        <v>114</v>
      </c>
      <c r="X488">
        <v>1</v>
      </c>
    </row>
    <row r="489" customFormat="1" ht="16.5" spans="1:24">
      <c r="A489" s="17">
        <f t="shared" si="391"/>
        <v>20302</v>
      </c>
      <c r="B489" s="17">
        <f t="shared" si="375"/>
        <v>20300</v>
      </c>
      <c r="C489" s="17" t="str">
        <f t="shared" si="376"/>
        <v>2</v>
      </c>
      <c r="D489" s="12">
        <f t="shared" si="381"/>
        <v>20001</v>
      </c>
      <c r="E489" s="17">
        <v>1</v>
      </c>
      <c r="F489" s="17">
        <f t="shared" si="377"/>
        <v>1</v>
      </c>
      <c r="G489" s="17" t="str">
        <f>G488</f>
        <v>初级魔防</v>
      </c>
      <c r="H489" s="17" t="str">
        <f>H488</f>
        <v>icon_04</v>
      </c>
      <c r="I489" s="20">
        <v>0</v>
      </c>
      <c r="J489" s="17">
        <v>2</v>
      </c>
      <c r="K489" s="17">
        <f t="shared" si="390"/>
        <v>20303</v>
      </c>
      <c r="L489" s="17" t="s">
        <v>49</v>
      </c>
      <c r="M489" s="17" t="str">
        <f>M488</f>
        <v>1:10000:1</v>
      </c>
      <c r="N489" s="16" t="str">
        <f t="shared" si="374"/>
        <v>114:1</v>
      </c>
      <c r="O489" s="17">
        <f t="shared" si="378"/>
        <v>4</v>
      </c>
      <c r="P489" s="21" t="str">
        <f t="shared" si="382"/>
        <v>所有骑兵魔防增加:1</v>
      </c>
      <c r="Q489" s="21"/>
      <c r="R489" t="str">
        <f t="shared" si="392"/>
        <v>魔防</v>
      </c>
      <c r="T489" t="str">
        <f t="shared" si="379"/>
        <v>:1</v>
      </c>
      <c r="U489" t="str">
        <f t="shared" si="371"/>
        <v>骑兵</v>
      </c>
      <c r="V489" t="s">
        <v>4419</v>
      </c>
      <c r="W489">
        <f>属性类型!G489</f>
        <v>114</v>
      </c>
      <c r="X489">
        <v>1</v>
      </c>
    </row>
    <row r="490" customFormat="1" ht="16.5" spans="1:24">
      <c r="A490" s="17">
        <f t="shared" si="391"/>
        <v>20303</v>
      </c>
      <c r="B490" s="17">
        <f t="shared" si="375"/>
        <v>20300</v>
      </c>
      <c r="C490" s="17" t="str">
        <f t="shared" si="376"/>
        <v>2</v>
      </c>
      <c r="D490" s="12">
        <f t="shared" si="381"/>
        <v>20001</v>
      </c>
      <c r="E490" s="17">
        <v>1</v>
      </c>
      <c r="F490" s="17">
        <f t="shared" si="377"/>
        <v>1</v>
      </c>
      <c r="G490" s="17" t="str">
        <f>G489</f>
        <v>初级魔防</v>
      </c>
      <c r="H490" s="17" t="str">
        <f>H489</f>
        <v>icon_04</v>
      </c>
      <c r="I490" s="20">
        <v>0</v>
      </c>
      <c r="J490" s="17">
        <v>3</v>
      </c>
      <c r="K490" s="17">
        <f t="shared" si="390"/>
        <v>20304</v>
      </c>
      <c r="L490" s="17" t="s">
        <v>53</v>
      </c>
      <c r="M490" s="17" t="str">
        <f>M489</f>
        <v>1:10000:1</v>
      </c>
      <c r="N490" s="16" t="str">
        <f t="shared" si="374"/>
        <v>114:1</v>
      </c>
      <c r="O490" s="17">
        <f t="shared" si="378"/>
        <v>4</v>
      </c>
      <c r="P490" s="21" t="str">
        <f t="shared" si="382"/>
        <v>所有骑兵魔防增加:1</v>
      </c>
      <c r="Q490" s="21"/>
      <c r="R490" t="str">
        <f t="shared" si="392"/>
        <v>魔防</v>
      </c>
      <c r="T490" t="str">
        <f t="shared" si="379"/>
        <v>:1</v>
      </c>
      <c r="U490" t="str">
        <f t="shared" si="371"/>
        <v>骑兵</v>
      </c>
      <c r="V490" t="s">
        <v>4419</v>
      </c>
      <c r="W490">
        <f>属性类型!G490</f>
        <v>114</v>
      </c>
      <c r="X490">
        <v>1</v>
      </c>
    </row>
    <row r="491" customFormat="1" ht="16.5" spans="1:24">
      <c r="A491" s="17">
        <f t="shared" si="391"/>
        <v>20304</v>
      </c>
      <c r="B491" s="17">
        <f t="shared" si="375"/>
        <v>20300</v>
      </c>
      <c r="C491" s="17" t="str">
        <f t="shared" si="376"/>
        <v>2</v>
      </c>
      <c r="D491" s="12">
        <f t="shared" si="381"/>
        <v>20001</v>
      </c>
      <c r="E491" s="17">
        <v>1</v>
      </c>
      <c r="F491" s="17">
        <f t="shared" si="377"/>
        <v>1</v>
      </c>
      <c r="G491" s="17" t="str">
        <f>G490</f>
        <v>初级魔防</v>
      </c>
      <c r="H491" s="17" t="str">
        <f>H490</f>
        <v>icon_04</v>
      </c>
      <c r="I491" s="20">
        <v>0</v>
      </c>
      <c r="J491" s="17">
        <v>4</v>
      </c>
      <c r="K491" s="17">
        <f t="shared" si="390"/>
        <v>20305</v>
      </c>
      <c r="L491" s="17" t="s">
        <v>57</v>
      </c>
      <c r="M491" s="17" t="str">
        <f>M490</f>
        <v>1:10000:1</v>
      </c>
      <c r="N491" s="16" t="str">
        <f t="shared" si="374"/>
        <v>114:1</v>
      </c>
      <c r="O491" s="17">
        <f t="shared" si="378"/>
        <v>4</v>
      </c>
      <c r="P491" s="21" t="str">
        <f t="shared" si="382"/>
        <v>所有骑兵魔防增加:1</v>
      </c>
      <c r="Q491" s="21"/>
      <c r="R491" t="str">
        <f t="shared" si="392"/>
        <v>魔防</v>
      </c>
      <c r="T491" t="str">
        <f t="shared" si="379"/>
        <v>:1</v>
      </c>
      <c r="U491" t="str">
        <f t="shared" si="371"/>
        <v>骑兵</v>
      </c>
      <c r="V491" t="s">
        <v>4419</v>
      </c>
      <c r="W491">
        <f>属性类型!G491</f>
        <v>114</v>
      </c>
      <c r="X491">
        <v>1</v>
      </c>
    </row>
    <row r="492" customFormat="1" ht="16.5" spans="1:24">
      <c r="A492" s="17">
        <f t="shared" si="391"/>
        <v>20305</v>
      </c>
      <c r="B492" s="17">
        <f t="shared" si="375"/>
        <v>20300</v>
      </c>
      <c r="C492" s="17" t="str">
        <f t="shared" si="376"/>
        <v>2</v>
      </c>
      <c r="D492" s="12">
        <f t="shared" si="381"/>
        <v>20001</v>
      </c>
      <c r="E492" s="17">
        <v>1</v>
      </c>
      <c r="F492" s="17">
        <f t="shared" si="377"/>
        <v>1</v>
      </c>
      <c r="G492" s="17" t="str">
        <f>G491</f>
        <v>初级魔防</v>
      </c>
      <c r="H492" s="17" t="str">
        <f>H491</f>
        <v>icon_04</v>
      </c>
      <c r="I492" s="20">
        <v>0</v>
      </c>
      <c r="J492" s="17">
        <v>5</v>
      </c>
      <c r="K492" s="17">
        <v>0</v>
      </c>
      <c r="L492" s="17">
        <v>0</v>
      </c>
      <c r="M492" s="17" t="str">
        <f>M491</f>
        <v>1:10000:1</v>
      </c>
      <c r="N492" s="16" t="str">
        <f t="shared" si="374"/>
        <v>114:1</v>
      </c>
      <c r="O492" s="17">
        <f t="shared" si="378"/>
        <v>4</v>
      </c>
      <c r="P492" s="21" t="str">
        <f t="shared" si="382"/>
        <v>所有骑兵魔防增加:1</v>
      </c>
      <c r="Q492" s="21"/>
      <c r="R492" t="str">
        <f t="shared" si="392"/>
        <v>魔防</v>
      </c>
      <c r="T492" t="str">
        <f t="shared" si="379"/>
        <v>:1</v>
      </c>
      <c r="U492" t="str">
        <f t="shared" si="371"/>
        <v>骑兵</v>
      </c>
      <c r="V492" t="s">
        <v>4419</v>
      </c>
      <c r="W492">
        <f>属性类型!G492</f>
        <v>114</v>
      </c>
      <c r="X492">
        <v>1</v>
      </c>
    </row>
    <row r="493" customFormat="1" ht="16.5" spans="1:24">
      <c r="A493" s="18">
        <f>A487+100</f>
        <v>20400</v>
      </c>
      <c r="B493" s="18">
        <f t="shared" si="375"/>
        <v>20400</v>
      </c>
      <c r="C493" s="18" t="str">
        <f t="shared" si="376"/>
        <v>2</v>
      </c>
      <c r="D493" s="12">
        <f t="shared" si="381"/>
        <v>20001</v>
      </c>
      <c r="E493" s="17">
        <v>1</v>
      </c>
      <c r="F493" s="18">
        <f t="shared" si="377"/>
        <v>1</v>
      </c>
      <c r="G493" s="18" t="s">
        <v>111</v>
      </c>
      <c r="H493" s="18" t="s">
        <v>112</v>
      </c>
      <c r="I493" s="20">
        <v>0</v>
      </c>
      <c r="J493" s="18">
        <v>0</v>
      </c>
      <c r="K493" s="18">
        <f t="shared" ref="K493:K502" si="393">A494</f>
        <v>20401</v>
      </c>
      <c r="L493" s="18" t="s">
        <v>40</v>
      </c>
      <c r="M493" s="18" t="s">
        <v>114</v>
      </c>
      <c r="N493" s="16" t="str">
        <f t="shared" si="374"/>
        <v>118:1</v>
      </c>
      <c r="O493" s="18">
        <f t="shared" si="378"/>
        <v>5</v>
      </c>
      <c r="P493" s="21" t="str">
        <f t="shared" si="382"/>
        <v>所有骑兵防御百分比增加1</v>
      </c>
      <c r="Q493" s="21"/>
      <c r="R493" t="s">
        <v>4278</v>
      </c>
      <c r="T493" t="str">
        <f>RIGHT(N493,1)</f>
        <v>1</v>
      </c>
      <c r="U493" t="str">
        <f t="shared" si="371"/>
        <v>骑兵</v>
      </c>
      <c r="V493" t="s">
        <v>4420</v>
      </c>
      <c r="W493">
        <f>属性类型!G493</f>
        <v>118</v>
      </c>
      <c r="X493">
        <v>1</v>
      </c>
    </row>
    <row r="494" customFormat="1" ht="16.5" spans="1:24">
      <c r="A494" s="17">
        <f t="shared" ref="A494:A503" si="394">A493+1</f>
        <v>20401</v>
      </c>
      <c r="B494" s="17">
        <f t="shared" si="375"/>
        <v>20400</v>
      </c>
      <c r="C494" s="17" t="str">
        <f t="shared" si="376"/>
        <v>2</v>
      </c>
      <c r="D494" s="12">
        <f t="shared" si="381"/>
        <v>20001</v>
      </c>
      <c r="E494" s="17">
        <v>1</v>
      </c>
      <c r="F494" s="17">
        <f t="shared" si="377"/>
        <v>1</v>
      </c>
      <c r="G494" s="17" t="str">
        <f t="shared" ref="G494:G503" si="395">G493</f>
        <v>初级防御百分比</v>
      </c>
      <c r="H494" s="17" t="str">
        <f t="shared" ref="H494:H503" si="396">H493</f>
        <v>icon_05</v>
      </c>
      <c r="I494" s="20">
        <v>0</v>
      </c>
      <c r="J494" s="17">
        <v>1</v>
      </c>
      <c r="K494" s="17">
        <f t="shared" si="393"/>
        <v>20402</v>
      </c>
      <c r="L494" s="17" t="s">
        <v>44</v>
      </c>
      <c r="M494" s="17" t="str">
        <f t="shared" ref="M494:M503" si="397">M493</f>
        <v>1:10100:5</v>
      </c>
      <c r="N494" s="16" t="str">
        <f t="shared" si="374"/>
        <v>118:1</v>
      </c>
      <c r="O494" s="17">
        <f t="shared" si="378"/>
        <v>5</v>
      </c>
      <c r="P494" s="21" t="str">
        <f t="shared" si="382"/>
        <v>所有骑兵防御百分比增加:1</v>
      </c>
      <c r="Q494" s="21"/>
      <c r="R494" t="str">
        <f t="shared" ref="R494:R503" si="398">R493</f>
        <v>防御百分比</v>
      </c>
      <c r="T494" t="str">
        <f t="shared" ref="T494:T503" si="399">RIGHT(N494,2)</f>
        <v>:1</v>
      </c>
      <c r="U494" t="str">
        <f t="shared" si="371"/>
        <v>骑兵</v>
      </c>
      <c r="V494" t="s">
        <v>4420</v>
      </c>
      <c r="W494">
        <f>属性类型!G494</f>
        <v>118</v>
      </c>
      <c r="X494">
        <v>1</v>
      </c>
    </row>
    <row r="495" customFormat="1" ht="16.5" spans="1:24">
      <c r="A495" s="17">
        <f t="shared" si="394"/>
        <v>20402</v>
      </c>
      <c r="B495" s="17">
        <f t="shared" si="375"/>
        <v>20400</v>
      </c>
      <c r="C495" s="17" t="str">
        <f t="shared" si="376"/>
        <v>2</v>
      </c>
      <c r="D495" s="12">
        <f t="shared" si="381"/>
        <v>20001</v>
      </c>
      <c r="E495" s="17">
        <v>1</v>
      </c>
      <c r="F495" s="17">
        <f t="shared" si="377"/>
        <v>1</v>
      </c>
      <c r="G495" s="17" t="str">
        <f t="shared" si="395"/>
        <v>初级防御百分比</v>
      </c>
      <c r="H495" s="17" t="str">
        <f t="shared" si="396"/>
        <v>icon_05</v>
      </c>
      <c r="I495" s="20">
        <v>0</v>
      </c>
      <c r="J495" s="17">
        <v>2</v>
      </c>
      <c r="K495" s="17">
        <f t="shared" si="393"/>
        <v>20403</v>
      </c>
      <c r="L495" s="17" t="s">
        <v>49</v>
      </c>
      <c r="M495" s="17" t="str">
        <f t="shared" si="397"/>
        <v>1:10100:5</v>
      </c>
      <c r="N495" s="16" t="str">
        <f t="shared" si="374"/>
        <v>118:1</v>
      </c>
      <c r="O495" s="17">
        <f t="shared" si="378"/>
        <v>5</v>
      </c>
      <c r="P495" s="21" t="str">
        <f t="shared" si="382"/>
        <v>所有骑兵防御百分比增加:1</v>
      </c>
      <c r="Q495" s="21"/>
      <c r="R495" t="str">
        <f t="shared" si="398"/>
        <v>防御百分比</v>
      </c>
      <c r="T495" t="str">
        <f t="shared" si="399"/>
        <v>:1</v>
      </c>
      <c r="U495" t="str">
        <f t="shared" si="371"/>
        <v>骑兵</v>
      </c>
      <c r="V495" t="s">
        <v>4420</v>
      </c>
      <c r="W495">
        <f>属性类型!G495</f>
        <v>118</v>
      </c>
      <c r="X495">
        <v>1</v>
      </c>
    </row>
    <row r="496" customFormat="1" ht="16.5" spans="1:24">
      <c r="A496" s="17">
        <f t="shared" si="394"/>
        <v>20403</v>
      </c>
      <c r="B496" s="17">
        <f t="shared" si="375"/>
        <v>20400</v>
      </c>
      <c r="C496" s="17" t="str">
        <f t="shared" si="376"/>
        <v>2</v>
      </c>
      <c r="D496" s="12">
        <f t="shared" si="381"/>
        <v>20001</v>
      </c>
      <c r="E496" s="17">
        <v>1</v>
      </c>
      <c r="F496" s="17">
        <f t="shared" si="377"/>
        <v>1</v>
      </c>
      <c r="G496" s="17" t="str">
        <f t="shared" si="395"/>
        <v>初级防御百分比</v>
      </c>
      <c r="H496" s="17" t="str">
        <f t="shared" si="396"/>
        <v>icon_05</v>
      </c>
      <c r="I496" s="20">
        <v>0</v>
      </c>
      <c r="J496" s="17">
        <v>3</v>
      </c>
      <c r="K496" s="17">
        <f t="shared" si="393"/>
        <v>20404</v>
      </c>
      <c r="L496" s="17" t="s">
        <v>53</v>
      </c>
      <c r="M496" s="17" t="str">
        <f t="shared" si="397"/>
        <v>1:10100:5</v>
      </c>
      <c r="N496" s="16" t="str">
        <f t="shared" si="374"/>
        <v>118:1</v>
      </c>
      <c r="O496" s="17">
        <f t="shared" si="378"/>
        <v>5</v>
      </c>
      <c r="P496" s="21" t="str">
        <f t="shared" si="382"/>
        <v>所有骑兵防御百分比增加:1</v>
      </c>
      <c r="Q496" s="21"/>
      <c r="R496" t="str">
        <f t="shared" si="398"/>
        <v>防御百分比</v>
      </c>
      <c r="T496" t="str">
        <f t="shared" si="399"/>
        <v>:1</v>
      </c>
      <c r="U496" t="str">
        <f t="shared" si="371"/>
        <v>骑兵</v>
      </c>
      <c r="V496" t="s">
        <v>4420</v>
      </c>
      <c r="W496">
        <f>属性类型!G496</f>
        <v>118</v>
      </c>
      <c r="X496">
        <v>1</v>
      </c>
    </row>
    <row r="497" customFormat="1" ht="16.5" spans="1:24">
      <c r="A497" s="17">
        <f t="shared" si="394"/>
        <v>20404</v>
      </c>
      <c r="B497" s="17">
        <f t="shared" si="375"/>
        <v>20400</v>
      </c>
      <c r="C497" s="17" t="str">
        <f t="shared" si="376"/>
        <v>2</v>
      </c>
      <c r="D497" s="12">
        <f t="shared" si="381"/>
        <v>20001</v>
      </c>
      <c r="E497" s="17">
        <v>1</v>
      </c>
      <c r="F497" s="17">
        <f t="shared" si="377"/>
        <v>1</v>
      </c>
      <c r="G497" s="17" t="str">
        <f t="shared" si="395"/>
        <v>初级防御百分比</v>
      </c>
      <c r="H497" s="17" t="str">
        <f t="shared" si="396"/>
        <v>icon_05</v>
      </c>
      <c r="I497" s="20">
        <v>0</v>
      </c>
      <c r="J497" s="17">
        <v>4</v>
      </c>
      <c r="K497" s="17">
        <f t="shared" si="393"/>
        <v>20405</v>
      </c>
      <c r="L497" s="17" t="s">
        <v>57</v>
      </c>
      <c r="M497" s="17" t="str">
        <f t="shared" si="397"/>
        <v>1:10100:5</v>
      </c>
      <c r="N497" s="16" t="str">
        <f t="shared" si="374"/>
        <v>118:1</v>
      </c>
      <c r="O497" s="17">
        <f t="shared" si="378"/>
        <v>5</v>
      </c>
      <c r="P497" s="21" t="str">
        <f t="shared" si="382"/>
        <v>所有骑兵防御百分比增加:1</v>
      </c>
      <c r="Q497" s="21"/>
      <c r="R497" t="str">
        <f t="shared" si="398"/>
        <v>防御百分比</v>
      </c>
      <c r="T497" t="str">
        <f t="shared" si="399"/>
        <v>:1</v>
      </c>
      <c r="U497" t="str">
        <f t="shared" si="371"/>
        <v>骑兵</v>
      </c>
      <c r="V497" t="s">
        <v>4420</v>
      </c>
      <c r="W497">
        <f>属性类型!G497</f>
        <v>118</v>
      </c>
      <c r="X497">
        <v>1</v>
      </c>
    </row>
    <row r="498" customFormat="1" ht="16.5" spans="1:24">
      <c r="A498" s="17">
        <f t="shared" si="394"/>
        <v>20405</v>
      </c>
      <c r="B498" s="17">
        <f t="shared" si="375"/>
        <v>20400</v>
      </c>
      <c r="C498" s="17" t="str">
        <f t="shared" si="376"/>
        <v>2</v>
      </c>
      <c r="D498" s="12">
        <f t="shared" si="381"/>
        <v>20001</v>
      </c>
      <c r="E498" s="17">
        <v>1</v>
      </c>
      <c r="F498" s="17">
        <f t="shared" si="377"/>
        <v>1</v>
      </c>
      <c r="G498" s="17" t="str">
        <f t="shared" si="395"/>
        <v>初级防御百分比</v>
      </c>
      <c r="H498" s="17" t="str">
        <f t="shared" si="396"/>
        <v>icon_05</v>
      </c>
      <c r="I498" s="20">
        <v>0</v>
      </c>
      <c r="J498" s="17">
        <v>5</v>
      </c>
      <c r="K498" s="17">
        <f t="shared" si="393"/>
        <v>20406</v>
      </c>
      <c r="L498" s="17" t="s">
        <v>127</v>
      </c>
      <c r="M498" s="17" t="str">
        <f t="shared" si="397"/>
        <v>1:10100:5</v>
      </c>
      <c r="N498" s="16" t="str">
        <f t="shared" si="374"/>
        <v>118:1</v>
      </c>
      <c r="O498" s="17">
        <f t="shared" si="378"/>
        <v>5</v>
      </c>
      <c r="P498" s="21" t="str">
        <f t="shared" si="382"/>
        <v>所有骑兵防御百分比增加:1</v>
      </c>
      <c r="Q498" s="21"/>
      <c r="R498" t="str">
        <f t="shared" si="398"/>
        <v>防御百分比</v>
      </c>
      <c r="T498" t="str">
        <f t="shared" si="399"/>
        <v>:1</v>
      </c>
      <c r="U498" t="str">
        <f t="shared" si="371"/>
        <v>骑兵</v>
      </c>
      <c r="V498" t="s">
        <v>4420</v>
      </c>
      <c r="W498">
        <f>属性类型!G498</f>
        <v>118</v>
      </c>
      <c r="X498">
        <v>1</v>
      </c>
    </row>
    <row r="499" customFormat="1" ht="16.5" spans="1:24">
      <c r="A499" s="17">
        <f t="shared" si="394"/>
        <v>20406</v>
      </c>
      <c r="B499" s="17">
        <f t="shared" si="375"/>
        <v>20400</v>
      </c>
      <c r="C499" s="17" t="str">
        <f t="shared" si="376"/>
        <v>2</v>
      </c>
      <c r="D499" s="12">
        <f t="shared" si="381"/>
        <v>20001</v>
      </c>
      <c r="E499" s="17">
        <v>1</v>
      </c>
      <c r="F499" s="17">
        <f t="shared" si="377"/>
        <v>1</v>
      </c>
      <c r="G499" s="17" t="str">
        <f t="shared" si="395"/>
        <v>初级防御百分比</v>
      </c>
      <c r="H499" s="17" t="str">
        <f t="shared" si="396"/>
        <v>icon_05</v>
      </c>
      <c r="I499" s="20">
        <v>0</v>
      </c>
      <c r="J499" s="17">
        <v>6</v>
      </c>
      <c r="K499" s="17">
        <f t="shared" si="393"/>
        <v>20407</v>
      </c>
      <c r="L499" s="17" t="s">
        <v>131</v>
      </c>
      <c r="M499" s="17" t="str">
        <f t="shared" si="397"/>
        <v>1:10100:5</v>
      </c>
      <c r="N499" s="16" t="str">
        <f t="shared" si="374"/>
        <v>118:1</v>
      </c>
      <c r="O499" s="17">
        <f t="shared" si="378"/>
        <v>5</v>
      </c>
      <c r="P499" s="21" t="str">
        <f t="shared" si="382"/>
        <v>所有骑兵防御百分比增加:1</v>
      </c>
      <c r="Q499" s="21"/>
      <c r="R499" t="str">
        <f t="shared" si="398"/>
        <v>防御百分比</v>
      </c>
      <c r="T499" t="str">
        <f t="shared" si="399"/>
        <v>:1</v>
      </c>
      <c r="U499" t="str">
        <f t="shared" si="371"/>
        <v>骑兵</v>
      </c>
      <c r="V499" t="s">
        <v>4420</v>
      </c>
      <c r="W499">
        <f>属性类型!G499</f>
        <v>118</v>
      </c>
      <c r="X499">
        <v>1</v>
      </c>
    </row>
    <row r="500" customFormat="1" ht="16.5" spans="1:24">
      <c r="A500" s="17">
        <f t="shared" si="394"/>
        <v>20407</v>
      </c>
      <c r="B500" s="17">
        <f t="shared" si="375"/>
        <v>20400</v>
      </c>
      <c r="C500" s="17" t="str">
        <f t="shared" si="376"/>
        <v>2</v>
      </c>
      <c r="D500" s="12">
        <f t="shared" si="381"/>
        <v>20001</v>
      </c>
      <c r="E500" s="17">
        <v>1</v>
      </c>
      <c r="F500" s="17">
        <f t="shared" si="377"/>
        <v>1</v>
      </c>
      <c r="G500" s="17" t="str">
        <f t="shared" si="395"/>
        <v>初级防御百分比</v>
      </c>
      <c r="H500" s="17" t="str">
        <f t="shared" si="396"/>
        <v>icon_05</v>
      </c>
      <c r="I500" s="20">
        <v>0</v>
      </c>
      <c r="J500" s="17">
        <v>7</v>
      </c>
      <c r="K500" s="17">
        <f t="shared" si="393"/>
        <v>20408</v>
      </c>
      <c r="L500" s="17" t="s">
        <v>135</v>
      </c>
      <c r="M500" s="17" t="str">
        <f t="shared" si="397"/>
        <v>1:10100:5</v>
      </c>
      <c r="N500" s="16" t="str">
        <f t="shared" si="374"/>
        <v>118:1</v>
      </c>
      <c r="O500" s="17">
        <f t="shared" si="378"/>
        <v>5</v>
      </c>
      <c r="P500" s="21" t="str">
        <f t="shared" si="382"/>
        <v>所有骑兵防御百分比增加:1</v>
      </c>
      <c r="Q500" s="21"/>
      <c r="R500" t="str">
        <f t="shared" si="398"/>
        <v>防御百分比</v>
      </c>
      <c r="T500" t="str">
        <f t="shared" si="399"/>
        <v>:1</v>
      </c>
      <c r="U500" t="str">
        <f t="shared" si="371"/>
        <v>骑兵</v>
      </c>
      <c r="V500" t="s">
        <v>4420</v>
      </c>
      <c r="W500">
        <f>属性类型!G500</f>
        <v>118</v>
      </c>
      <c r="X500">
        <v>1</v>
      </c>
    </row>
    <row r="501" customFormat="1" ht="16.5" spans="1:24">
      <c r="A501" s="17">
        <f t="shared" si="394"/>
        <v>20408</v>
      </c>
      <c r="B501" s="17">
        <f t="shared" si="375"/>
        <v>20400</v>
      </c>
      <c r="C501" s="17" t="str">
        <f t="shared" si="376"/>
        <v>2</v>
      </c>
      <c r="D501" s="12">
        <f t="shared" si="381"/>
        <v>20001</v>
      </c>
      <c r="E501" s="17">
        <v>1</v>
      </c>
      <c r="F501" s="17">
        <f t="shared" si="377"/>
        <v>1</v>
      </c>
      <c r="G501" s="17" t="str">
        <f t="shared" si="395"/>
        <v>初级防御百分比</v>
      </c>
      <c r="H501" s="17" t="str">
        <f t="shared" si="396"/>
        <v>icon_05</v>
      </c>
      <c r="I501" s="20">
        <v>0</v>
      </c>
      <c r="J501" s="17">
        <v>8</v>
      </c>
      <c r="K501" s="17">
        <f t="shared" si="393"/>
        <v>20409</v>
      </c>
      <c r="L501" s="17" t="s">
        <v>139</v>
      </c>
      <c r="M501" s="17" t="str">
        <f t="shared" si="397"/>
        <v>1:10100:5</v>
      </c>
      <c r="N501" s="16" t="str">
        <f t="shared" si="374"/>
        <v>118:1</v>
      </c>
      <c r="O501" s="17">
        <f t="shared" si="378"/>
        <v>5</v>
      </c>
      <c r="P501" s="21" t="str">
        <f t="shared" si="382"/>
        <v>所有骑兵防御百分比增加:1</v>
      </c>
      <c r="Q501" s="21"/>
      <c r="R501" t="str">
        <f t="shared" si="398"/>
        <v>防御百分比</v>
      </c>
      <c r="T501" t="str">
        <f t="shared" si="399"/>
        <v>:1</v>
      </c>
      <c r="U501" t="str">
        <f t="shared" si="371"/>
        <v>骑兵</v>
      </c>
      <c r="V501" t="s">
        <v>4420</v>
      </c>
      <c r="W501">
        <f>属性类型!G501</f>
        <v>118</v>
      </c>
      <c r="X501">
        <v>1</v>
      </c>
    </row>
    <row r="502" customFormat="1" ht="16.5" spans="1:24">
      <c r="A502" s="17">
        <f t="shared" si="394"/>
        <v>20409</v>
      </c>
      <c r="B502" s="17">
        <f t="shared" si="375"/>
        <v>20400</v>
      </c>
      <c r="C502" s="17" t="str">
        <f t="shared" si="376"/>
        <v>2</v>
      </c>
      <c r="D502" s="12">
        <f t="shared" si="381"/>
        <v>20001</v>
      </c>
      <c r="E502" s="17">
        <v>1</v>
      </c>
      <c r="F502" s="17">
        <f t="shared" si="377"/>
        <v>1</v>
      </c>
      <c r="G502" s="17" t="str">
        <f t="shared" si="395"/>
        <v>初级防御百分比</v>
      </c>
      <c r="H502" s="17" t="str">
        <f t="shared" si="396"/>
        <v>icon_05</v>
      </c>
      <c r="I502" s="20">
        <v>0</v>
      </c>
      <c r="J502" s="17">
        <v>9</v>
      </c>
      <c r="K502" s="17">
        <f t="shared" si="393"/>
        <v>20410</v>
      </c>
      <c r="L502" s="17" t="s">
        <v>143</v>
      </c>
      <c r="M502" s="17" t="str">
        <f t="shared" si="397"/>
        <v>1:10100:5</v>
      </c>
      <c r="N502" s="16" t="str">
        <f t="shared" si="374"/>
        <v>118:1</v>
      </c>
      <c r="O502" s="17">
        <f t="shared" si="378"/>
        <v>5</v>
      </c>
      <c r="P502" s="21" t="str">
        <f t="shared" si="382"/>
        <v>所有骑兵防御百分比增加:1</v>
      </c>
      <c r="Q502" s="21"/>
      <c r="R502" t="str">
        <f t="shared" si="398"/>
        <v>防御百分比</v>
      </c>
      <c r="T502" t="str">
        <f t="shared" si="399"/>
        <v>:1</v>
      </c>
      <c r="U502" t="str">
        <f t="shared" si="371"/>
        <v>骑兵</v>
      </c>
      <c r="V502" t="s">
        <v>4420</v>
      </c>
      <c r="W502">
        <f>属性类型!G502</f>
        <v>118</v>
      </c>
      <c r="X502">
        <v>1</v>
      </c>
    </row>
    <row r="503" customFormat="1" ht="16.5" spans="1:24">
      <c r="A503" s="17">
        <f t="shared" si="394"/>
        <v>20410</v>
      </c>
      <c r="B503" s="17">
        <f t="shared" si="375"/>
        <v>20400</v>
      </c>
      <c r="C503" s="17" t="str">
        <f t="shared" si="376"/>
        <v>2</v>
      </c>
      <c r="D503" s="12">
        <f t="shared" si="381"/>
        <v>20001</v>
      </c>
      <c r="E503" s="17">
        <v>1</v>
      </c>
      <c r="F503" s="17">
        <f t="shared" si="377"/>
        <v>1</v>
      </c>
      <c r="G503" s="17" t="str">
        <f t="shared" si="395"/>
        <v>初级防御百分比</v>
      </c>
      <c r="H503" s="17" t="str">
        <f t="shared" si="396"/>
        <v>icon_05</v>
      </c>
      <c r="I503" s="20">
        <v>0</v>
      </c>
      <c r="J503" s="17">
        <v>10</v>
      </c>
      <c r="K503" s="17">
        <v>0</v>
      </c>
      <c r="L503" s="17">
        <v>0</v>
      </c>
      <c r="M503" s="17" t="str">
        <f t="shared" si="397"/>
        <v>1:10100:5</v>
      </c>
      <c r="N503" s="16" t="str">
        <f t="shared" si="374"/>
        <v>118:1</v>
      </c>
      <c r="O503" s="17">
        <f t="shared" si="378"/>
        <v>5</v>
      </c>
      <c r="P503" s="21" t="str">
        <f t="shared" si="382"/>
        <v>所有骑兵防御百分比增加:1</v>
      </c>
      <c r="Q503" s="21"/>
      <c r="R503" t="str">
        <f t="shared" si="398"/>
        <v>防御百分比</v>
      </c>
      <c r="T503" t="str">
        <f t="shared" si="399"/>
        <v>:1</v>
      </c>
      <c r="U503" t="str">
        <f t="shared" si="371"/>
        <v>骑兵</v>
      </c>
      <c r="V503" t="s">
        <v>4420</v>
      </c>
      <c r="W503">
        <f>属性类型!G503</f>
        <v>118</v>
      </c>
      <c r="X503">
        <v>1</v>
      </c>
    </row>
    <row r="504" customFormat="1" ht="16.5" spans="1:24">
      <c r="A504" s="18">
        <f>A493+100</f>
        <v>20500</v>
      </c>
      <c r="B504" s="18">
        <f t="shared" si="375"/>
        <v>20500</v>
      </c>
      <c r="C504" s="18" t="str">
        <f t="shared" si="376"/>
        <v>2</v>
      </c>
      <c r="D504" s="12">
        <f t="shared" si="381"/>
        <v>20001</v>
      </c>
      <c r="E504" s="17">
        <v>1</v>
      </c>
      <c r="F504" s="18">
        <f t="shared" si="377"/>
        <v>1</v>
      </c>
      <c r="G504" s="18" t="s">
        <v>148</v>
      </c>
      <c r="H504" s="18" t="s">
        <v>149</v>
      </c>
      <c r="I504" s="20">
        <v>0</v>
      </c>
      <c r="J504" s="18">
        <v>0</v>
      </c>
      <c r="K504" s="18">
        <f t="shared" ref="K504:K513" si="400">A505</f>
        <v>20501</v>
      </c>
      <c r="L504" s="18" t="s">
        <v>40</v>
      </c>
      <c r="M504" s="18" t="s">
        <v>151</v>
      </c>
      <c r="N504" s="16" t="str">
        <f t="shared" si="374"/>
        <v>117:1</v>
      </c>
      <c r="O504" s="18">
        <f t="shared" si="378"/>
        <v>6</v>
      </c>
      <c r="P504" s="21" t="str">
        <f t="shared" si="382"/>
        <v>所有骑兵攻击百分比增加1</v>
      </c>
      <c r="Q504" s="21"/>
      <c r="R504" t="s">
        <v>4280</v>
      </c>
      <c r="T504" t="str">
        <f>RIGHT(N504,1)</f>
        <v>1</v>
      </c>
      <c r="U504" t="str">
        <f t="shared" si="371"/>
        <v>骑兵</v>
      </c>
      <c r="V504" t="s">
        <v>4421</v>
      </c>
      <c r="W504">
        <f>属性类型!G504</f>
        <v>117</v>
      </c>
      <c r="X504">
        <v>1</v>
      </c>
    </row>
    <row r="505" customFormat="1" ht="16.5" spans="1:24">
      <c r="A505" s="17">
        <f t="shared" ref="A505:A514" si="401">A504+1</f>
        <v>20501</v>
      </c>
      <c r="B505" s="17">
        <f t="shared" si="375"/>
        <v>20500</v>
      </c>
      <c r="C505" s="17" t="str">
        <f t="shared" si="376"/>
        <v>2</v>
      </c>
      <c r="D505" s="12">
        <f t="shared" si="381"/>
        <v>20001</v>
      </c>
      <c r="E505" s="17">
        <v>1</v>
      </c>
      <c r="F505" s="17">
        <f t="shared" si="377"/>
        <v>1</v>
      </c>
      <c r="G505" s="17" t="str">
        <f t="shared" ref="G505:G514" si="402">G504</f>
        <v>初级攻击百分比</v>
      </c>
      <c r="H505" s="17" t="str">
        <f t="shared" ref="H505:H514" si="403">H504</f>
        <v>icon_06</v>
      </c>
      <c r="I505" s="20">
        <v>0</v>
      </c>
      <c r="J505" s="17">
        <v>1</v>
      </c>
      <c r="K505" s="17">
        <f t="shared" si="400"/>
        <v>20502</v>
      </c>
      <c r="L505" s="17" t="s">
        <v>44</v>
      </c>
      <c r="M505" s="17" t="str">
        <f t="shared" ref="M505:M514" si="404">M504</f>
        <v>1:10200:5</v>
      </c>
      <c r="N505" s="16" t="str">
        <f t="shared" si="374"/>
        <v>117:1</v>
      </c>
      <c r="O505" s="17">
        <f t="shared" si="378"/>
        <v>6</v>
      </c>
      <c r="P505" s="21" t="str">
        <f t="shared" si="382"/>
        <v>所有骑兵攻击百分比增加:1</v>
      </c>
      <c r="Q505" s="21"/>
      <c r="R505" t="str">
        <f t="shared" ref="R505:R514" si="405">R504</f>
        <v>攻击百分比</v>
      </c>
      <c r="T505" t="str">
        <f t="shared" ref="T505:T514" si="406">RIGHT(N505,2)</f>
        <v>:1</v>
      </c>
      <c r="U505" t="str">
        <f t="shared" si="371"/>
        <v>骑兵</v>
      </c>
      <c r="V505" t="s">
        <v>4421</v>
      </c>
      <c r="W505">
        <f>属性类型!G505</f>
        <v>117</v>
      </c>
      <c r="X505">
        <v>1</v>
      </c>
    </row>
    <row r="506" customFormat="1" ht="16.5" spans="1:24">
      <c r="A506" s="17">
        <f t="shared" si="401"/>
        <v>20502</v>
      </c>
      <c r="B506" s="17">
        <f t="shared" si="375"/>
        <v>20500</v>
      </c>
      <c r="C506" s="17" t="str">
        <f t="shared" si="376"/>
        <v>2</v>
      </c>
      <c r="D506" s="12">
        <f t="shared" si="381"/>
        <v>20001</v>
      </c>
      <c r="E506" s="17">
        <v>1</v>
      </c>
      <c r="F506" s="17">
        <f t="shared" si="377"/>
        <v>1</v>
      </c>
      <c r="G506" s="17" t="str">
        <f t="shared" si="402"/>
        <v>初级攻击百分比</v>
      </c>
      <c r="H506" s="17" t="str">
        <f t="shared" si="403"/>
        <v>icon_06</v>
      </c>
      <c r="I506" s="20">
        <v>0</v>
      </c>
      <c r="J506" s="17">
        <v>2</v>
      </c>
      <c r="K506" s="17">
        <f t="shared" si="400"/>
        <v>20503</v>
      </c>
      <c r="L506" s="17" t="s">
        <v>49</v>
      </c>
      <c r="M506" s="17" t="str">
        <f t="shared" si="404"/>
        <v>1:10200:5</v>
      </c>
      <c r="N506" s="16" t="str">
        <f t="shared" si="374"/>
        <v>117:1</v>
      </c>
      <c r="O506" s="17">
        <f t="shared" si="378"/>
        <v>6</v>
      </c>
      <c r="P506" s="21" t="str">
        <f t="shared" si="382"/>
        <v>所有骑兵攻击百分比增加:1</v>
      </c>
      <c r="Q506" s="21"/>
      <c r="R506" t="str">
        <f t="shared" si="405"/>
        <v>攻击百分比</v>
      </c>
      <c r="T506" t="str">
        <f t="shared" si="406"/>
        <v>:1</v>
      </c>
      <c r="U506" t="str">
        <f t="shared" si="371"/>
        <v>骑兵</v>
      </c>
      <c r="V506" t="s">
        <v>4421</v>
      </c>
      <c r="W506">
        <f>属性类型!G506</f>
        <v>117</v>
      </c>
      <c r="X506">
        <v>1</v>
      </c>
    </row>
    <row r="507" customFormat="1" ht="16.5" spans="1:24">
      <c r="A507" s="17">
        <f t="shared" si="401"/>
        <v>20503</v>
      </c>
      <c r="B507" s="17">
        <f t="shared" si="375"/>
        <v>20500</v>
      </c>
      <c r="C507" s="17" t="str">
        <f t="shared" si="376"/>
        <v>2</v>
      </c>
      <c r="D507" s="12">
        <f t="shared" si="381"/>
        <v>20001</v>
      </c>
      <c r="E507" s="17">
        <v>1</v>
      </c>
      <c r="F507" s="17">
        <f t="shared" si="377"/>
        <v>1</v>
      </c>
      <c r="G507" s="17" t="str">
        <f t="shared" si="402"/>
        <v>初级攻击百分比</v>
      </c>
      <c r="H507" s="17" t="str">
        <f t="shared" si="403"/>
        <v>icon_06</v>
      </c>
      <c r="I507" s="20">
        <v>0</v>
      </c>
      <c r="J507" s="17">
        <v>3</v>
      </c>
      <c r="K507" s="17">
        <f t="shared" si="400"/>
        <v>20504</v>
      </c>
      <c r="L507" s="17" t="s">
        <v>53</v>
      </c>
      <c r="M507" s="17" t="str">
        <f t="shared" si="404"/>
        <v>1:10200:5</v>
      </c>
      <c r="N507" s="16" t="str">
        <f t="shared" si="374"/>
        <v>117:1</v>
      </c>
      <c r="O507" s="17">
        <f t="shared" si="378"/>
        <v>6</v>
      </c>
      <c r="P507" s="21" t="str">
        <f t="shared" si="382"/>
        <v>所有骑兵攻击百分比增加:1</v>
      </c>
      <c r="Q507" s="21"/>
      <c r="R507" t="str">
        <f t="shared" si="405"/>
        <v>攻击百分比</v>
      </c>
      <c r="T507" t="str">
        <f t="shared" si="406"/>
        <v>:1</v>
      </c>
      <c r="U507" t="str">
        <f t="shared" si="371"/>
        <v>骑兵</v>
      </c>
      <c r="V507" t="s">
        <v>4421</v>
      </c>
      <c r="W507">
        <f>属性类型!G507</f>
        <v>117</v>
      </c>
      <c r="X507">
        <v>1</v>
      </c>
    </row>
    <row r="508" customFormat="1" ht="16.5" spans="1:24">
      <c r="A508" s="17">
        <f t="shared" si="401"/>
        <v>20504</v>
      </c>
      <c r="B508" s="17">
        <f t="shared" si="375"/>
        <v>20500</v>
      </c>
      <c r="C508" s="17" t="str">
        <f t="shared" si="376"/>
        <v>2</v>
      </c>
      <c r="D508" s="12">
        <f t="shared" si="381"/>
        <v>20001</v>
      </c>
      <c r="E508" s="17">
        <v>1</v>
      </c>
      <c r="F508" s="17">
        <f t="shared" si="377"/>
        <v>1</v>
      </c>
      <c r="G508" s="17" t="str">
        <f t="shared" si="402"/>
        <v>初级攻击百分比</v>
      </c>
      <c r="H508" s="17" t="str">
        <f t="shared" si="403"/>
        <v>icon_06</v>
      </c>
      <c r="I508" s="20">
        <v>0</v>
      </c>
      <c r="J508" s="17">
        <v>4</v>
      </c>
      <c r="K508" s="17">
        <f t="shared" si="400"/>
        <v>20505</v>
      </c>
      <c r="L508" s="17" t="s">
        <v>57</v>
      </c>
      <c r="M508" s="17" t="str">
        <f t="shared" si="404"/>
        <v>1:10200:5</v>
      </c>
      <c r="N508" s="16" t="str">
        <f t="shared" si="374"/>
        <v>117:1</v>
      </c>
      <c r="O508" s="17">
        <f t="shared" si="378"/>
        <v>6</v>
      </c>
      <c r="P508" s="21" t="str">
        <f t="shared" si="382"/>
        <v>所有骑兵攻击百分比增加:1</v>
      </c>
      <c r="Q508" s="21"/>
      <c r="R508" t="str">
        <f t="shared" si="405"/>
        <v>攻击百分比</v>
      </c>
      <c r="T508" t="str">
        <f t="shared" si="406"/>
        <v>:1</v>
      </c>
      <c r="U508" t="str">
        <f t="shared" si="371"/>
        <v>骑兵</v>
      </c>
      <c r="V508" t="s">
        <v>4421</v>
      </c>
      <c r="W508">
        <f>属性类型!G508</f>
        <v>117</v>
      </c>
      <c r="X508">
        <v>1</v>
      </c>
    </row>
    <row r="509" customFormat="1" ht="16.5" spans="1:24">
      <c r="A509" s="17">
        <f t="shared" si="401"/>
        <v>20505</v>
      </c>
      <c r="B509" s="17">
        <f t="shared" si="375"/>
        <v>20500</v>
      </c>
      <c r="C509" s="17" t="str">
        <f t="shared" si="376"/>
        <v>2</v>
      </c>
      <c r="D509" s="12">
        <f t="shared" si="381"/>
        <v>20001</v>
      </c>
      <c r="E509" s="17">
        <v>1</v>
      </c>
      <c r="F509" s="17">
        <f t="shared" si="377"/>
        <v>1</v>
      </c>
      <c r="G509" s="17" t="str">
        <f t="shared" si="402"/>
        <v>初级攻击百分比</v>
      </c>
      <c r="H509" s="17" t="str">
        <f t="shared" si="403"/>
        <v>icon_06</v>
      </c>
      <c r="I509" s="20">
        <v>0</v>
      </c>
      <c r="J509" s="17">
        <v>5</v>
      </c>
      <c r="K509" s="17">
        <f t="shared" si="400"/>
        <v>20506</v>
      </c>
      <c r="L509" s="17" t="s">
        <v>127</v>
      </c>
      <c r="M509" s="17" t="str">
        <f t="shared" si="404"/>
        <v>1:10200:5</v>
      </c>
      <c r="N509" s="16" t="str">
        <f t="shared" si="374"/>
        <v>117:1</v>
      </c>
      <c r="O509" s="17">
        <f t="shared" si="378"/>
        <v>6</v>
      </c>
      <c r="P509" s="21" t="str">
        <f t="shared" si="382"/>
        <v>所有骑兵攻击百分比增加:1</v>
      </c>
      <c r="Q509" s="21"/>
      <c r="R509" t="str">
        <f t="shared" si="405"/>
        <v>攻击百分比</v>
      </c>
      <c r="T509" t="str">
        <f t="shared" si="406"/>
        <v>:1</v>
      </c>
      <c r="U509" t="str">
        <f t="shared" si="371"/>
        <v>骑兵</v>
      </c>
      <c r="V509" t="s">
        <v>4421</v>
      </c>
      <c r="W509">
        <f>属性类型!G509</f>
        <v>117</v>
      </c>
      <c r="X509">
        <v>1</v>
      </c>
    </row>
    <row r="510" customFormat="1" ht="16.5" spans="1:24">
      <c r="A510" s="17">
        <f t="shared" si="401"/>
        <v>20506</v>
      </c>
      <c r="B510" s="17">
        <f t="shared" si="375"/>
        <v>20500</v>
      </c>
      <c r="C510" s="17" t="str">
        <f t="shared" si="376"/>
        <v>2</v>
      </c>
      <c r="D510" s="12">
        <f t="shared" si="381"/>
        <v>20001</v>
      </c>
      <c r="E510" s="17">
        <v>1</v>
      </c>
      <c r="F510" s="17">
        <f t="shared" si="377"/>
        <v>1</v>
      </c>
      <c r="G510" s="17" t="str">
        <f t="shared" si="402"/>
        <v>初级攻击百分比</v>
      </c>
      <c r="H510" s="17" t="str">
        <f t="shared" si="403"/>
        <v>icon_06</v>
      </c>
      <c r="I510" s="20">
        <v>0</v>
      </c>
      <c r="J510" s="17">
        <v>6</v>
      </c>
      <c r="K510" s="17">
        <f t="shared" si="400"/>
        <v>20507</v>
      </c>
      <c r="L510" s="17" t="s">
        <v>131</v>
      </c>
      <c r="M510" s="17" t="str">
        <f t="shared" si="404"/>
        <v>1:10200:5</v>
      </c>
      <c r="N510" s="16" t="str">
        <f t="shared" si="374"/>
        <v>117:1</v>
      </c>
      <c r="O510" s="17">
        <f t="shared" si="378"/>
        <v>6</v>
      </c>
      <c r="P510" s="21" t="str">
        <f t="shared" si="382"/>
        <v>所有骑兵攻击百分比增加:1</v>
      </c>
      <c r="Q510" s="21"/>
      <c r="R510" t="str">
        <f t="shared" si="405"/>
        <v>攻击百分比</v>
      </c>
      <c r="T510" t="str">
        <f t="shared" si="406"/>
        <v>:1</v>
      </c>
      <c r="U510" t="str">
        <f t="shared" si="371"/>
        <v>骑兵</v>
      </c>
      <c r="V510" t="s">
        <v>4421</v>
      </c>
      <c r="W510">
        <f>属性类型!G510</f>
        <v>117</v>
      </c>
      <c r="X510">
        <v>1</v>
      </c>
    </row>
    <row r="511" customFormat="1" ht="16.5" spans="1:24">
      <c r="A511" s="17">
        <f t="shared" si="401"/>
        <v>20507</v>
      </c>
      <c r="B511" s="17">
        <f t="shared" si="375"/>
        <v>20500</v>
      </c>
      <c r="C511" s="17" t="str">
        <f t="shared" si="376"/>
        <v>2</v>
      </c>
      <c r="D511" s="12">
        <f t="shared" si="381"/>
        <v>20001</v>
      </c>
      <c r="E511" s="17">
        <v>1</v>
      </c>
      <c r="F511" s="17">
        <f t="shared" si="377"/>
        <v>1</v>
      </c>
      <c r="G511" s="17" t="str">
        <f t="shared" si="402"/>
        <v>初级攻击百分比</v>
      </c>
      <c r="H511" s="17" t="str">
        <f t="shared" si="403"/>
        <v>icon_06</v>
      </c>
      <c r="I511" s="20">
        <v>0</v>
      </c>
      <c r="J511" s="17">
        <v>7</v>
      </c>
      <c r="K511" s="17">
        <f t="shared" si="400"/>
        <v>20508</v>
      </c>
      <c r="L511" s="17" t="s">
        <v>135</v>
      </c>
      <c r="M511" s="17" t="str">
        <f t="shared" si="404"/>
        <v>1:10200:5</v>
      </c>
      <c r="N511" s="16" t="str">
        <f t="shared" si="374"/>
        <v>117:1</v>
      </c>
      <c r="O511" s="17">
        <f t="shared" si="378"/>
        <v>6</v>
      </c>
      <c r="P511" s="21" t="str">
        <f t="shared" si="382"/>
        <v>所有骑兵攻击百分比增加:1</v>
      </c>
      <c r="Q511" s="21"/>
      <c r="R511" t="str">
        <f t="shared" si="405"/>
        <v>攻击百分比</v>
      </c>
      <c r="T511" t="str">
        <f t="shared" si="406"/>
        <v>:1</v>
      </c>
      <c r="U511" t="str">
        <f t="shared" si="371"/>
        <v>骑兵</v>
      </c>
      <c r="V511" t="s">
        <v>4421</v>
      </c>
      <c r="W511">
        <f>属性类型!G511</f>
        <v>117</v>
      </c>
      <c r="X511">
        <v>1</v>
      </c>
    </row>
    <row r="512" customFormat="1" ht="16.5" spans="1:24">
      <c r="A512" s="17">
        <f t="shared" si="401"/>
        <v>20508</v>
      </c>
      <c r="B512" s="17">
        <f t="shared" si="375"/>
        <v>20500</v>
      </c>
      <c r="C512" s="17" t="str">
        <f t="shared" si="376"/>
        <v>2</v>
      </c>
      <c r="D512" s="12">
        <f t="shared" si="381"/>
        <v>20001</v>
      </c>
      <c r="E512" s="17">
        <v>1</v>
      </c>
      <c r="F512" s="17">
        <f t="shared" si="377"/>
        <v>1</v>
      </c>
      <c r="G512" s="17" t="str">
        <f t="shared" si="402"/>
        <v>初级攻击百分比</v>
      </c>
      <c r="H512" s="17" t="str">
        <f t="shared" si="403"/>
        <v>icon_06</v>
      </c>
      <c r="I512" s="20">
        <v>0</v>
      </c>
      <c r="J512" s="17">
        <v>8</v>
      </c>
      <c r="K512" s="17">
        <f t="shared" si="400"/>
        <v>20509</v>
      </c>
      <c r="L512" s="17" t="s">
        <v>139</v>
      </c>
      <c r="M512" s="17" t="str">
        <f t="shared" si="404"/>
        <v>1:10200:5</v>
      </c>
      <c r="N512" s="16" t="str">
        <f t="shared" si="374"/>
        <v>117:1</v>
      </c>
      <c r="O512" s="17">
        <f t="shared" si="378"/>
        <v>6</v>
      </c>
      <c r="P512" s="21" t="str">
        <f t="shared" si="382"/>
        <v>所有骑兵攻击百分比增加:1</v>
      </c>
      <c r="Q512" s="21"/>
      <c r="R512" t="str">
        <f t="shared" si="405"/>
        <v>攻击百分比</v>
      </c>
      <c r="T512" t="str">
        <f t="shared" si="406"/>
        <v>:1</v>
      </c>
      <c r="U512" t="str">
        <f t="shared" si="371"/>
        <v>骑兵</v>
      </c>
      <c r="V512" t="s">
        <v>4421</v>
      </c>
      <c r="W512">
        <f>属性类型!G512</f>
        <v>117</v>
      </c>
      <c r="X512">
        <v>1</v>
      </c>
    </row>
    <row r="513" customFormat="1" ht="16.5" spans="1:24">
      <c r="A513" s="17">
        <f t="shared" si="401"/>
        <v>20509</v>
      </c>
      <c r="B513" s="17">
        <f t="shared" si="375"/>
        <v>20500</v>
      </c>
      <c r="C513" s="17" t="str">
        <f t="shared" si="376"/>
        <v>2</v>
      </c>
      <c r="D513" s="12">
        <f t="shared" si="381"/>
        <v>20001</v>
      </c>
      <c r="E513" s="17">
        <v>1</v>
      </c>
      <c r="F513" s="17">
        <f t="shared" si="377"/>
        <v>1</v>
      </c>
      <c r="G513" s="17" t="str">
        <f t="shared" si="402"/>
        <v>初级攻击百分比</v>
      </c>
      <c r="H513" s="17" t="str">
        <f t="shared" si="403"/>
        <v>icon_06</v>
      </c>
      <c r="I513" s="20">
        <v>0</v>
      </c>
      <c r="J513" s="17">
        <v>9</v>
      </c>
      <c r="K513" s="17">
        <f t="shared" si="400"/>
        <v>20510</v>
      </c>
      <c r="L513" s="17" t="s">
        <v>143</v>
      </c>
      <c r="M513" s="17" t="str">
        <f t="shared" si="404"/>
        <v>1:10200:5</v>
      </c>
      <c r="N513" s="16" t="str">
        <f t="shared" si="374"/>
        <v>117:1</v>
      </c>
      <c r="O513" s="17">
        <f t="shared" si="378"/>
        <v>6</v>
      </c>
      <c r="P513" s="21" t="str">
        <f t="shared" si="382"/>
        <v>所有骑兵攻击百分比增加:1</v>
      </c>
      <c r="Q513" s="21"/>
      <c r="R513" t="str">
        <f t="shared" si="405"/>
        <v>攻击百分比</v>
      </c>
      <c r="T513" t="str">
        <f t="shared" si="406"/>
        <v>:1</v>
      </c>
      <c r="U513" t="str">
        <f t="shared" si="371"/>
        <v>骑兵</v>
      </c>
      <c r="V513" t="s">
        <v>4421</v>
      </c>
      <c r="W513">
        <f>属性类型!G513</f>
        <v>117</v>
      </c>
      <c r="X513">
        <v>1</v>
      </c>
    </row>
    <row r="514" customFormat="1" ht="16.5" spans="1:24">
      <c r="A514" s="17">
        <f t="shared" si="401"/>
        <v>20510</v>
      </c>
      <c r="B514" s="17">
        <f t="shared" si="375"/>
        <v>20500</v>
      </c>
      <c r="C514" s="17" t="str">
        <f t="shared" si="376"/>
        <v>2</v>
      </c>
      <c r="D514" s="12">
        <f t="shared" si="381"/>
        <v>20001</v>
      </c>
      <c r="E514" s="17">
        <v>1</v>
      </c>
      <c r="F514" s="17">
        <f t="shared" si="377"/>
        <v>1</v>
      </c>
      <c r="G514" s="17" t="str">
        <f t="shared" si="402"/>
        <v>初级攻击百分比</v>
      </c>
      <c r="H514" s="17" t="str">
        <f t="shared" si="403"/>
        <v>icon_06</v>
      </c>
      <c r="I514" s="20">
        <v>0</v>
      </c>
      <c r="J514" s="17">
        <v>10</v>
      </c>
      <c r="K514" s="17">
        <v>0</v>
      </c>
      <c r="L514" s="17">
        <v>0</v>
      </c>
      <c r="M514" s="17" t="str">
        <f t="shared" si="404"/>
        <v>1:10200:5</v>
      </c>
      <c r="N514" s="16" t="str">
        <f t="shared" si="374"/>
        <v>117:1</v>
      </c>
      <c r="O514" s="17">
        <f t="shared" si="378"/>
        <v>6</v>
      </c>
      <c r="P514" s="21" t="str">
        <f t="shared" si="382"/>
        <v>所有骑兵攻击百分比增加:1</v>
      </c>
      <c r="Q514" s="21"/>
      <c r="R514" t="str">
        <f t="shared" si="405"/>
        <v>攻击百分比</v>
      </c>
      <c r="T514" t="str">
        <f t="shared" si="406"/>
        <v>:1</v>
      </c>
      <c r="U514" t="str">
        <f t="shared" si="371"/>
        <v>骑兵</v>
      </c>
      <c r="V514" t="s">
        <v>4421</v>
      </c>
      <c r="W514">
        <f>属性类型!G514</f>
        <v>117</v>
      </c>
      <c r="X514">
        <v>1</v>
      </c>
    </row>
    <row r="515" customFormat="1" ht="16.5" spans="1:24">
      <c r="A515" s="18">
        <f>A504+100</f>
        <v>20600</v>
      </c>
      <c r="B515" s="18">
        <f t="shared" si="375"/>
        <v>20600</v>
      </c>
      <c r="C515" s="18" t="str">
        <f t="shared" si="376"/>
        <v>2</v>
      </c>
      <c r="D515" s="12">
        <f t="shared" si="381"/>
        <v>20001</v>
      </c>
      <c r="E515" s="17">
        <v>1</v>
      </c>
      <c r="F515" s="18">
        <f t="shared" si="377"/>
        <v>1</v>
      </c>
      <c r="G515" s="18" t="s">
        <v>175</v>
      </c>
      <c r="H515" s="18" t="s">
        <v>176</v>
      </c>
      <c r="I515" s="20">
        <v>0</v>
      </c>
      <c r="J515" s="18">
        <v>0</v>
      </c>
      <c r="K515" s="18">
        <f t="shared" ref="K515:K524" si="407">A516</f>
        <v>20601</v>
      </c>
      <c r="L515" s="18" t="s">
        <v>40</v>
      </c>
      <c r="M515" s="18" t="s">
        <v>178</v>
      </c>
      <c r="N515" s="16" t="str">
        <f t="shared" si="374"/>
        <v>119:1</v>
      </c>
      <c r="O515" s="18">
        <f t="shared" si="378"/>
        <v>7</v>
      </c>
      <c r="P515" s="21" t="str">
        <f t="shared" si="382"/>
        <v>所有骑兵魔防百分比增加1</v>
      </c>
      <c r="Q515" s="21"/>
      <c r="R515" t="s">
        <v>4282</v>
      </c>
      <c r="T515" t="str">
        <f>RIGHT(N515,1)</f>
        <v>1</v>
      </c>
      <c r="U515" t="str">
        <f t="shared" si="371"/>
        <v>骑兵</v>
      </c>
      <c r="V515" t="s">
        <v>4422</v>
      </c>
      <c r="W515">
        <f>属性类型!G515</f>
        <v>119</v>
      </c>
      <c r="X515">
        <v>1</v>
      </c>
    </row>
    <row r="516" customFormat="1" ht="16.5" spans="1:24">
      <c r="A516" s="17">
        <f t="shared" ref="A516:A525" si="408">A515+1</f>
        <v>20601</v>
      </c>
      <c r="B516" s="17">
        <f t="shared" si="375"/>
        <v>20600</v>
      </c>
      <c r="C516" s="17" t="str">
        <f t="shared" si="376"/>
        <v>2</v>
      </c>
      <c r="D516" s="12">
        <f t="shared" si="381"/>
        <v>20001</v>
      </c>
      <c r="E516" s="17">
        <v>1</v>
      </c>
      <c r="F516" s="17">
        <f t="shared" si="377"/>
        <v>1</v>
      </c>
      <c r="G516" s="17" t="str">
        <f t="shared" ref="G516:G525" si="409">G515</f>
        <v>初级魔防百分比</v>
      </c>
      <c r="H516" s="17" t="str">
        <f t="shared" ref="H516:H525" si="410">H515</f>
        <v>icon_07</v>
      </c>
      <c r="I516" s="20">
        <v>0</v>
      </c>
      <c r="J516" s="17">
        <v>1</v>
      </c>
      <c r="K516" s="17">
        <f t="shared" si="407"/>
        <v>20602</v>
      </c>
      <c r="L516" s="17" t="s">
        <v>44</v>
      </c>
      <c r="M516" s="17" t="str">
        <f t="shared" ref="M516:M525" si="411">M515</f>
        <v>1:10300:5</v>
      </c>
      <c r="N516" s="16" t="str">
        <f t="shared" si="374"/>
        <v>119:1</v>
      </c>
      <c r="O516" s="17">
        <f t="shared" si="378"/>
        <v>7</v>
      </c>
      <c r="P516" s="21" t="str">
        <f t="shared" si="382"/>
        <v>所有骑兵魔防百分比增加:1</v>
      </c>
      <c r="Q516" s="21"/>
      <c r="R516" t="str">
        <f t="shared" ref="R516:R525" si="412">R515</f>
        <v>魔防百分比</v>
      </c>
      <c r="T516" t="str">
        <f t="shared" ref="T516:T525" si="413">RIGHT(N516,2)</f>
        <v>:1</v>
      </c>
      <c r="U516" t="str">
        <f t="shared" si="371"/>
        <v>骑兵</v>
      </c>
      <c r="V516" t="s">
        <v>4422</v>
      </c>
      <c r="W516">
        <f>属性类型!G516</f>
        <v>119</v>
      </c>
      <c r="X516">
        <v>1</v>
      </c>
    </row>
    <row r="517" customFormat="1" ht="16.5" spans="1:24">
      <c r="A517" s="17">
        <f t="shared" si="408"/>
        <v>20602</v>
      </c>
      <c r="B517" s="17">
        <f t="shared" si="375"/>
        <v>20600</v>
      </c>
      <c r="C517" s="17" t="str">
        <f t="shared" si="376"/>
        <v>2</v>
      </c>
      <c r="D517" s="12">
        <f t="shared" si="381"/>
        <v>20001</v>
      </c>
      <c r="E517" s="17">
        <v>1</v>
      </c>
      <c r="F517" s="17">
        <f t="shared" si="377"/>
        <v>1</v>
      </c>
      <c r="G517" s="17" t="str">
        <f t="shared" si="409"/>
        <v>初级魔防百分比</v>
      </c>
      <c r="H517" s="17" t="str">
        <f t="shared" si="410"/>
        <v>icon_07</v>
      </c>
      <c r="I517" s="20">
        <v>0</v>
      </c>
      <c r="J517" s="17">
        <v>2</v>
      </c>
      <c r="K517" s="17">
        <f t="shared" si="407"/>
        <v>20603</v>
      </c>
      <c r="L517" s="17" t="s">
        <v>49</v>
      </c>
      <c r="M517" s="17" t="str">
        <f t="shared" si="411"/>
        <v>1:10300:5</v>
      </c>
      <c r="N517" s="16" t="str">
        <f t="shared" si="374"/>
        <v>119:1</v>
      </c>
      <c r="O517" s="17">
        <f t="shared" si="378"/>
        <v>7</v>
      </c>
      <c r="P517" s="21" t="str">
        <f t="shared" si="382"/>
        <v>所有骑兵魔防百分比增加:1</v>
      </c>
      <c r="Q517" s="21"/>
      <c r="R517" t="str">
        <f t="shared" si="412"/>
        <v>魔防百分比</v>
      </c>
      <c r="T517" t="str">
        <f t="shared" si="413"/>
        <v>:1</v>
      </c>
      <c r="U517" t="str">
        <f t="shared" ref="U517:U580" si="414">MID(P517,3,2)</f>
        <v>骑兵</v>
      </c>
      <c r="V517" t="s">
        <v>4422</v>
      </c>
      <c r="W517">
        <f>属性类型!G517</f>
        <v>119</v>
      </c>
      <c r="X517">
        <v>1</v>
      </c>
    </row>
    <row r="518" customFormat="1" ht="16.5" spans="1:24">
      <c r="A518" s="17">
        <f t="shared" si="408"/>
        <v>20603</v>
      </c>
      <c r="B518" s="17">
        <f t="shared" si="375"/>
        <v>20600</v>
      </c>
      <c r="C518" s="17" t="str">
        <f t="shared" si="376"/>
        <v>2</v>
      </c>
      <c r="D518" s="12">
        <f t="shared" si="381"/>
        <v>20001</v>
      </c>
      <c r="E518" s="17">
        <v>1</v>
      </c>
      <c r="F518" s="17">
        <f t="shared" si="377"/>
        <v>1</v>
      </c>
      <c r="G518" s="17" t="str">
        <f t="shared" si="409"/>
        <v>初级魔防百分比</v>
      </c>
      <c r="H518" s="17" t="str">
        <f t="shared" si="410"/>
        <v>icon_07</v>
      </c>
      <c r="I518" s="20">
        <v>0</v>
      </c>
      <c r="J518" s="17">
        <v>3</v>
      </c>
      <c r="K518" s="17">
        <f t="shared" si="407"/>
        <v>20604</v>
      </c>
      <c r="L518" s="17" t="s">
        <v>53</v>
      </c>
      <c r="M518" s="17" t="str">
        <f t="shared" si="411"/>
        <v>1:10300:5</v>
      </c>
      <c r="N518" s="16" t="str">
        <f t="shared" si="374"/>
        <v>119:1</v>
      </c>
      <c r="O518" s="17">
        <f t="shared" si="378"/>
        <v>7</v>
      </c>
      <c r="P518" s="21" t="str">
        <f t="shared" si="382"/>
        <v>所有骑兵魔防百分比增加:1</v>
      </c>
      <c r="Q518" s="21"/>
      <c r="R518" t="str">
        <f t="shared" si="412"/>
        <v>魔防百分比</v>
      </c>
      <c r="T518" t="str">
        <f t="shared" si="413"/>
        <v>:1</v>
      </c>
      <c r="U518" t="str">
        <f t="shared" si="414"/>
        <v>骑兵</v>
      </c>
      <c r="V518" t="s">
        <v>4422</v>
      </c>
      <c r="W518">
        <f>属性类型!G518</f>
        <v>119</v>
      </c>
      <c r="X518">
        <v>1</v>
      </c>
    </row>
    <row r="519" customFormat="1" ht="16.5" spans="1:24">
      <c r="A519" s="17">
        <f t="shared" si="408"/>
        <v>20604</v>
      </c>
      <c r="B519" s="17">
        <f t="shared" si="375"/>
        <v>20600</v>
      </c>
      <c r="C519" s="17" t="str">
        <f t="shared" si="376"/>
        <v>2</v>
      </c>
      <c r="D519" s="12">
        <f t="shared" si="381"/>
        <v>20001</v>
      </c>
      <c r="E519" s="17">
        <v>1</v>
      </c>
      <c r="F519" s="17">
        <f t="shared" si="377"/>
        <v>1</v>
      </c>
      <c r="G519" s="17" t="str">
        <f t="shared" si="409"/>
        <v>初级魔防百分比</v>
      </c>
      <c r="H519" s="17" t="str">
        <f t="shared" si="410"/>
        <v>icon_07</v>
      </c>
      <c r="I519" s="20">
        <v>0</v>
      </c>
      <c r="J519" s="17">
        <v>4</v>
      </c>
      <c r="K519" s="17">
        <f t="shared" si="407"/>
        <v>20605</v>
      </c>
      <c r="L519" s="17" t="s">
        <v>57</v>
      </c>
      <c r="M519" s="17" t="str">
        <f t="shared" si="411"/>
        <v>1:10300:5</v>
      </c>
      <c r="N519" s="16" t="str">
        <f t="shared" si="374"/>
        <v>119:1</v>
      </c>
      <c r="O519" s="17">
        <f t="shared" si="378"/>
        <v>7</v>
      </c>
      <c r="P519" s="21" t="str">
        <f t="shared" si="382"/>
        <v>所有骑兵魔防百分比增加:1</v>
      </c>
      <c r="Q519" s="21"/>
      <c r="R519" t="str">
        <f t="shared" si="412"/>
        <v>魔防百分比</v>
      </c>
      <c r="T519" t="str">
        <f t="shared" si="413"/>
        <v>:1</v>
      </c>
      <c r="U519" t="str">
        <f t="shared" si="414"/>
        <v>骑兵</v>
      </c>
      <c r="V519" t="s">
        <v>4422</v>
      </c>
      <c r="W519">
        <f>属性类型!G519</f>
        <v>119</v>
      </c>
      <c r="X519">
        <v>1</v>
      </c>
    </row>
    <row r="520" customFormat="1" ht="16.5" spans="1:24">
      <c r="A520" s="17">
        <f t="shared" si="408"/>
        <v>20605</v>
      </c>
      <c r="B520" s="17">
        <f t="shared" si="375"/>
        <v>20600</v>
      </c>
      <c r="C520" s="17" t="str">
        <f t="shared" si="376"/>
        <v>2</v>
      </c>
      <c r="D520" s="12">
        <f t="shared" si="381"/>
        <v>20001</v>
      </c>
      <c r="E520" s="17">
        <v>1</v>
      </c>
      <c r="F520" s="17">
        <f t="shared" si="377"/>
        <v>1</v>
      </c>
      <c r="G520" s="17" t="str">
        <f t="shared" si="409"/>
        <v>初级魔防百分比</v>
      </c>
      <c r="H520" s="17" t="str">
        <f t="shared" si="410"/>
        <v>icon_07</v>
      </c>
      <c r="I520" s="20">
        <v>0</v>
      </c>
      <c r="J520" s="17">
        <v>5</v>
      </c>
      <c r="K520" s="17">
        <f t="shared" si="407"/>
        <v>20606</v>
      </c>
      <c r="L520" s="17" t="s">
        <v>127</v>
      </c>
      <c r="M520" s="17" t="str">
        <f t="shared" si="411"/>
        <v>1:10300:5</v>
      </c>
      <c r="N520" s="16" t="str">
        <f t="shared" si="374"/>
        <v>119:1</v>
      </c>
      <c r="O520" s="17">
        <f t="shared" si="378"/>
        <v>7</v>
      </c>
      <c r="P520" s="21" t="str">
        <f t="shared" si="382"/>
        <v>所有骑兵魔防百分比增加:1</v>
      </c>
      <c r="Q520" s="21"/>
      <c r="R520" t="str">
        <f t="shared" si="412"/>
        <v>魔防百分比</v>
      </c>
      <c r="T520" t="str">
        <f t="shared" si="413"/>
        <v>:1</v>
      </c>
      <c r="U520" t="str">
        <f t="shared" si="414"/>
        <v>骑兵</v>
      </c>
      <c r="V520" t="s">
        <v>4422</v>
      </c>
      <c r="W520">
        <f>属性类型!G520</f>
        <v>119</v>
      </c>
      <c r="X520">
        <v>1</v>
      </c>
    </row>
    <row r="521" customFormat="1" ht="16.5" spans="1:24">
      <c r="A521" s="17">
        <f t="shared" si="408"/>
        <v>20606</v>
      </c>
      <c r="B521" s="17">
        <f t="shared" si="375"/>
        <v>20600</v>
      </c>
      <c r="C521" s="17" t="str">
        <f t="shared" si="376"/>
        <v>2</v>
      </c>
      <c r="D521" s="12">
        <f t="shared" si="381"/>
        <v>20001</v>
      </c>
      <c r="E521" s="17">
        <v>1</v>
      </c>
      <c r="F521" s="17">
        <f t="shared" si="377"/>
        <v>1</v>
      </c>
      <c r="G521" s="17" t="str">
        <f t="shared" si="409"/>
        <v>初级魔防百分比</v>
      </c>
      <c r="H521" s="17" t="str">
        <f t="shared" si="410"/>
        <v>icon_07</v>
      </c>
      <c r="I521" s="20">
        <v>0</v>
      </c>
      <c r="J521" s="17">
        <v>6</v>
      </c>
      <c r="K521" s="17">
        <f t="shared" si="407"/>
        <v>20607</v>
      </c>
      <c r="L521" s="17" t="s">
        <v>131</v>
      </c>
      <c r="M521" s="17" t="str">
        <f t="shared" si="411"/>
        <v>1:10300:5</v>
      </c>
      <c r="N521" s="16" t="str">
        <f t="shared" si="374"/>
        <v>119:1</v>
      </c>
      <c r="O521" s="17">
        <f t="shared" si="378"/>
        <v>7</v>
      </c>
      <c r="P521" s="21" t="str">
        <f t="shared" si="382"/>
        <v>所有骑兵魔防百分比增加:1</v>
      </c>
      <c r="Q521" s="21"/>
      <c r="R521" t="str">
        <f t="shared" si="412"/>
        <v>魔防百分比</v>
      </c>
      <c r="T521" t="str">
        <f t="shared" si="413"/>
        <v>:1</v>
      </c>
      <c r="U521" t="str">
        <f t="shared" si="414"/>
        <v>骑兵</v>
      </c>
      <c r="V521" t="s">
        <v>4422</v>
      </c>
      <c r="W521">
        <f>属性类型!G521</f>
        <v>119</v>
      </c>
      <c r="X521">
        <v>1</v>
      </c>
    </row>
    <row r="522" customFormat="1" ht="16.5" spans="1:24">
      <c r="A522" s="17">
        <f t="shared" si="408"/>
        <v>20607</v>
      </c>
      <c r="B522" s="17">
        <f t="shared" si="375"/>
        <v>20600</v>
      </c>
      <c r="C522" s="17" t="str">
        <f t="shared" si="376"/>
        <v>2</v>
      </c>
      <c r="D522" s="12">
        <f t="shared" si="381"/>
        <v>20001</v>
      </c>
      <c r="E522" s="17">
        <v>1</v>
      </c>
      <c r="F522" s="17">
        <f t="shared" si="377"/>
        <v>1</v>
      </c>
      <c r="G522" s="17" t="str">
        <f t="shared" si="409"/>
        <v>初级魔防百分比</v>
      </c>
      <c r="H522" s="17" t="str">
        <f t="shared" si="410"/>
        <v>icon_07</v>
      </c>
      <c r="I522" s="20">
        <v>0</v>
      </c>
      <c r="J522" s="17">
        <v>7</v>
      </c>
      <c r="K522" s="17">
        <f t="shared" si="407"/>
        <v>20608</v>
      </c>
      <c r="L522" s="17" t="s">
        <v>135</v>
      </c>
      <c r="M522" s="17" t="str">
        <f t="shared" si="411"/>
        <v>1:10300:5</v>
      </c>
      <c r="N522" s="16" t="str">
        <f t="shared" si="374"/>
        <v>119:1</v>
      </c>
      <c r="O522" s="17">
        <f t="shared" si="378"/>
        <v>7</v>
      </c>
      <c r="P522" s="21" t="str">
        <f t="shared" si="382"/>
        <v>所有骑兵魔防百分比增加:1</v>
      </c>
      <c r="Q522" s="21"/>
      <c r="R522" t="str">
        <f t="shared" si="412"/>
        <v>魔防百分比</v>
      </c>
      <c r="T522" t="str">
        <f t="shared" si="413"/>
        <v>:1</v>
      </c>
      <c r="U522" t="str">
        <f t="shared" si="414"/>
        <v>骑兵</v>
      </c>
      <c r="V522" t="s">
        <v>4422</v>
      </c>
      <c r="W522">
        <f>属性类型!G522</f>
        <v>119</v>
      </c>
      <c r="X522">
        <v>1</v>
      </c>
    </row>
    <row r="523" customFormat="1" ht="16.5" spans="1:24">
      <c r="A523" s="17">
        <f t="shared" si="408"/>
        <v>20608</v>
      </c>
      <c r="B523" s="17">
        <f t="shared" si="375"/>
        <v>20600</v>
      </c>
      <c r="C523" s="17" t="str">
        <f t="shared" si="376"/>
        <v>2</v>
      </c>
      <c r="D523" s="12">
        <f t="shared" si="381"/>
        <v>20001</v>
      </c>
      <c r="E523" s="17">
        <v>1</v>
      </c>
      <c r="F523" s="17">
        <f t="shared" si="377"/>
        <v>1</v>
      </c>
      <c r="G523" s="17" t="str">
        <f t="shared" si="409"/>
        <v>初级魔防百分比</v>
      </c>
      <c r="H523" s="17" t="str">
        <f t="shared" si="410"/>
        <v>icon_07</v>
      </c>
      <c r="I523" s="20">
        <v>0</v>
      </c>
      <c r="J523" s="17">
        <v>8</v>
      </c>
      <c r="K523" s="17">
        <f t="shared" si="407"/>
        <v>20609</v>
      </c>
      <c r="L523" s="17" t="s">
        <v>139</v>
      </c>
      <c r="M523" s="17" t="str">
        <f t="shared" si="411"/>
        <v>1:10300:5</v>
      </c>
      <c r="N523" s="16" t="str">
        <f t="shared" ref="N523:N586" si="415">W523&amp;$W$2&amp;X523</f>
        <v>119:1</v>
      </c>
      <c r="O523" s="17">
        <f t="shared" si="378"/>
        <v>7</v>
      </c>
      <c r="P523" s="21" t="str">
        <f t="shared" si="382"/>
        <v>所有骑兵魔防百分比增加:1</v>
      </c>
      <c r="Q523" s="21"/>
      <c r="R523" t="str">
        <f t="shared" si="412"/>
        <v>魔防百分比</v>
      </c>
      <c r="T523" t="str">
        <f t="shared" si="413"/>
        <v>:1</v>
      </c>
      <c r="U523" t="str">
        <f t="shared" si="414"/>
        <v>骑兵</v>
      </c>
      <c r="V523" t="s">
        <v>4422</v>
      </c>
      <c r="W523">
        <f>属性类型!G523</f>
        <v>119</v>
      </c>
      <c r="X523">
        <v>1</v>
      </c>
    </row>
    <row r="524" customFormat="1" ht="16.5" spans="1:24">
      <c r="A524" s="17">
        <f t="shared" si="408"/>
        <v>20609</v>
      </c>
      <c r="B524" s="17">
        <f t="shared" si="375"/>
        <v>20600</v>
      </c>
      <c r="C524" s="17" t="str">
        <f t="shared" si="376"/>
        <v>2</v>
      </c>
      <c r="D524" s="12">
        <f t="shared" si="381"/>
        <v>20001</v>
      </c>
      <c r="E524" s="17">
        <v>1</v>
      </c>
      <c r="F524" s="17">
        <f t="shared" si="377"/>
        <v>1</v>
      </c>
      <c r="G524" s="17" t="str">
        <f t="shared" si="409"/>
        <v>初级魔防百分比</v>
      </c>
      <c r="H524" s="17" t="str">
        <f t="shared" si="410"/>
        <v>icon_07</v>
      </c>
      <c r="I524" s="20">
        <v>0</v>
      </c>
      <c r="J524" s="17">
        <v>9</v>
      </c>
      <c r="K524" s="17">
        <f t="shared" si="407"/>
        <v>20610</v>
      </c>
      <c r="L524" s="17" t="s">
        <v>143</v>
      </c>
      <c r="M524" s="17" t="str">
        <f t="shared" si="411"/>
        <v>1:10300:5</v>
      </c>
      <c r="N524" s="16" t="str">
        <f t="shared" si="415"/>
        <v>119:1</v>
      </c>
      <c r="O524" s="17">
        <f t="shared" si="378"/>
        <v>7</v>
      </c>
      <c r="P524" s="21" t="str">
        <f t="shared" si="382"/>
        <v>所有骑兵魔防百分比增加:1</v>
      </c>
      <c r="Q524" s="21"/>
      <c r="R524" t="str">
        <f t="shared" si="412"/>
        <v>魔防百分比</v>
      </c>
      <c r="T524" t="str">
        <f t="shared" si="413"/>
        <v>:1</v>
      </c>
      <c r="U524" t="str">
        <f t="shared" si="414"/>
        <v>骑兵</v>
      </c>
      <c r="V524" t="s">
        <v>4422</v>
      </c>
      <c r="W524">
        <f>属性类型!G524</f>
        <v>119</v>
      </c>
      <c r="X524">
        <v>1</v>
      </c>
    </row>
    <row r="525" customFormat="1" ht="16.5" spans="1:24">
      <c r="A525" s="17">
        <f t="shared" si="408"/>
        <v>20610</v>
      </c>
      <c r="B525" s="17">
        <f t="shared" si="375"/>
        <v>20600</v>
      </c>
      <c r="C525" s="17" t="str">
        <f t="shared" si="376"/>
        <v>2</v>
      </c>
      <c r="D525" s="12">
        <f t="shared" si="381"/>
        <v>20001</v>
      </c>
      <c r="E525" s="17">
        <v>1</v>
      </c>
      <c r="F525" s="17">
        <f t="shared" si="377"/>
        <v>1</v>
      </c>
      <c r="G525" s="17" t="str">
        <f t="shared" si="409"/>
        <v>初级魔防百分比</v>
      </c>
      <c r="H525" s="17" t="str">
        <f t="shared" si="410"/>
        <v>icon_07</v>
      </c>
      <c r="I525" s="20">
        <v>0</v>
      </c>
      <c r="J525" s="17">
        <v>10</v>
      </c>
      <c r="K525" s="17">
        <v>0</v>
      </c>
      <c r="L525" s="17">
        <v>0</v>
      </c>
      <c r="M525" s="17" t="str">
        <f t="shared" si="411"/>
        <v>1:10300:5</v>
      </c>
      <c r="N525" s="16" t="str">
        <f t="shared" si="415"/>
        <v>119:1</v>
      </c>
      <c r="O525" s="17">
        <f t="shared" si="378"/>
        <v>7</v>
      </c>
      <c r="P525" s="21" t="str">
        <f t="shared" si="382"/>
        <v>所有骑兵魔防百分比增加:1</v>
      </c>
      <c r="Q525" s="21"/>
      <c r="R525" t="str">
        <f t="shared" si="412"/>
        <v>魔防百分比</v>
      </c>
      <c r="T525" t="str">
        <f t="shared" si="413"/>
        <v>:1</v>
      </c>
      <c r="U525" t="str">
        <f t="shared" si="414"/>
        <v>骑兵</v>
      </c>
      <c r="V525" t="s">
        <v>4422</v>
      </c>
      <c r="W525">
        <f>属性类型!G525</f>
        <v>119</v>
      </c>
      <c r="X525">
        <v>1</v>
      </c>
    </row>
    <row r="526" customFormat="1" ht="16.5" spans="1:24">
      <c r="A526" s="18">
        <f>A515+100</f>
        <v>20700</v>
      </c>
      <c r="B526" s="18">
        <f t="shared" si="375"/>
        <v>20700</v>
      </c>
      <c r="C526" s="18" t="str">
        <f t="shared" si="376"/>
        <v>2</v>
      </c>
      <c r="D526" s="12">
        <f t="shared" si="381"/>
        <v>20001</v>
      </c>
      <c r="E526" s="17">
        <v>2</v>
      </c>
      <c r="F526" s="18">
        <f t="shared" si="377"/>
        <v>1</v>
      </c>
      <c r="G526" s="18" t="s">
        <v>4423</v>
      </c>
      <c r="H526" s="18" t="s">
        <v>943</v>
      </c>
      <c r="I526" s="20">
        <v>1.5</v>
      </c>
      <c r="J526" s="18">
        <v>0</v>
      </c>
      <c r="K526" s="18">
        <f t="shared" ref="K526:K545" si="416">A527</f>
        <v>20701</v>
      </c>
      <c r="L526" s="18" t="s">
        <v>206</v>
      </c>
      <c r="M526" s="18" t="s">
        <v>207</v>
      </c>
      <c r="N526" s="16" t="str">
        <f t="shared" si="415"/>
        <v>10013:1</v>
      </c>
      <c r="O526" s="18">
        <f t="shared" si="378"/>
        <v>8</v>
      </c>
      <c r="P526" s="21" t="s">
        <v>4424</v>
      </c>
      <c r="Q526" s="21"/>
      <c r="R526" t="s">
        <v>4425</v>
      </c>
      <c r="T526" t="str">
        <f>RIGHT(N526,1)</f>
        <v>1</v>
      </c>
      <c r="U526" t="str">
        <f t="shared" si="414"/>
        <v>骑士</v>
      </c>
      <c r="V526" t="s">
        <v>4423</v>
      </c>
      <c r="W526">
        <f>属性类型!G526</f>
        <v>10013</v>
      </c>
      <c r="X526">
        <v>1</v>
      </c>
    </row>
    <row r="527" customFormat="1" ht="16.5" spans="1:24">
      <c r="A527" s="17">
        <f t="shared" ref="A527:A536" si="417">A526+1</f>
        <v>20701</v>
      </c>
      <c r="B527" s="17">
        <f t="shared" si="375"/>
        <v>20700</v>
      </c>
      <c r="C527" s="17" t="str">
        <f t="shared" si="376"/>
        <v>2</v>
      </c>
      <c r="D527" s="12">
        <f t="shared" si="381"/>
        <v>20001</v>
      </c>
      <c r="E527" s="17">
        <f t="shared" ref="E527:H527" si="418">E526</f>
        <v>2</v>
      </c>
      <c r="F527" s="17">
        <f t="shared" si="377"/>
        <v>1</v>
      </c>
      <c r="G527" s="17" t="str">
        <f t="shared" si="418"/>
        <v>皇家骑士防御百分比</v>
      </c>
      <c r="H527" s="17" t="str">
        <f t="shared" si="418"/>
        <v>qibing01_Lv3</v>
      </c>
      <c r="I527" s="20">
        <v>1.5</v>
      </c>
      <c r="J527" s="17">
        <v>1</v>
      </c>
      <c r="K527" s="17">
        <f t="shared" si="416"/>
        <v>20702</v>
      </c>
      <c r="L527" s="17" t="s">
        <v>211</v>
      </c>
      <c r="M527" s="17" t="str">
        <f t="shared" ref="M527:M546" si="419">M526</f>
        <v>1:10400:5</v>
      </c>
      <c r="N527" s="16" t="str">
        <f t="shared" si="415"/>
        <v>10013:1</v>
      </c>
      <c r="O527" s="17">
        <f t="shared" si="378"/>
        <v>8</v>
      </c>
      <c r="P527" s="21" t="s">
        <v>4426</v>
      </c>
      <c r="Q527" s="21"/>
      <c r="R527" t="s">
        <v>4425</v>
      </c>
      <c r="T527" t="str">
        <f t="shared" ref="T527:T536" si="420">RIGHT(N527,2)</f>
        <v>:1</v>
      </c>
      <c r="U527" t="str">
        <f t="shared" si="414"/>
        <v>骑士</v>
      </c>
      <c r="V527" t="s">
        <v>4423</v>
      </c>
      <c r="W527">
        <f>属性类型!G527</f>
        <v>10013</v>
      </c>
      <c r="X527">
        <v>1</v>
      </c>
    </row>
    <row r="528" customFormat="1" ht="16.5" spans="1:24">
      <c r="A528" s="17">
        <f t="shared" si="417"/>
        <v>20702</v>
      </c>
      <c r="B528" s="17">
        <f t="shared" ref="B528:B536" si="421">ROUND(A528,-2)</f>
        <v>20700</v>
      </c>
      <c r="C528" s="17" t="str">
        <f t="shared" ref="C528:C536" si="422">LEFT(A528,1)</f>
        <v>2</v>
      </c>
      <c r="D528" s="12">
        <f t="shared" si="381"/>
        <v>20001</v>
      </c>
      <c r="E528" s="17">
        <f t="shared" ref="E528:H528" si="423">E527</f>
        <v>2</v>
      </c>
      <c r="F528" s="17">
        <f t="shared" ref="F528:F591" si="424">MID(B528,2,1)+1</f>
        <v>1</v>
      </c>
      <c r="G528" s="17" t="str">
        <f t="shared" si="423"/>
        <v>皇家骑士防御百分比</v>
      </c>
      <c r="H528" s="17" t="str">
        <f t="shared" si="423"/>
        <v>qibing01_Lv3</v>
      </c>
      <c r="I528" s="20">
        <v>1.5</v>
      </c>
      <c r="J528" s="17">
        <v>2</v>
      </c>
      <c r="K528" s="17">
        <f t="shared" si="416"/>
        <v>20703</v>
      </c>
      <c r="L528" s="17" t="s">
        <v>215</v>
      </c>
      <c r="M528" s="17" t="str">
        <f t="shared" si="419"/>
        <v>1:10400:5</v>
      </c>
      <c r="N528" s="16" t="str">
        <f t="shared" si="415"/>
        <v>10013:1</v>
      </c>
      <c r="O528" s="17">
        <f t="shared" ref="O528:O591" si="425">MID(A528,3,1)+1</f>
        <v>8</v>
      </c>
      <c r="P528" s="21" t="s">
        <v>4427</v>
      </c>
      <c r="Q528" s="21"/>
      <c r="R528" t="s">
        <v>4425</v>
      </c>
      <c r="T528" t="str">
        <f t="shared" si="420"/>
        <v>:1</v>
      </c>
      <c r="U528" t="str">
        <f t="shared" si="414"/>
        <v>骑士</v>
      </c>
      <c r="V528" t="s">
        <v>4423</v>
      </c>
      <c r="W528">
        <f>属性类型!G528</f>
        <v>10013</v>
      </c>
      <c r="X528">
        <v>1</v>
      </c>
    </row>
    <row r="529" customFormat="1" ht="16.5" spans="1:24">
      <c r="A529" s="17">
        <f t="shared" si="417"/>
        <v>20703</v>
      </c>
      <c r="B529" s="17">
        <f t="shared" si="421"/>
        <v>20700</v>
      </c>
      <c r="C529" s="17" t="str">
        <f t="shared" si="422"/>
        <v>2</v>
      </c>
      <c r="D529" s="12">
        <f t="shared" si="381"/>
        <v>20001</v>
      </c>
      <c r="E529" s="17">
        <f t="shared" ref="E529:H529" si="426">E528</f>
        <v>2</v>
      </c>
      <c r="F529" s="17">
        <f t="shared" si="424"/>
        <v>1</v>
      </c>
      <c r="G529" s="17" t="str">
        <f t="shared" si="426"/>
        <v>皇家骑士防御百分比</v>
      </c>
      <c r="H529" s="17" t="str">
        <f t="shared" si="426"/>
        <v>qibing01_Lv3</v>
      </c>
      <c r="I529" s="20">
        <v>1.5</v>
      </c>
      <c r="J529" s="17">
        <v>3</v>
      </c>
      <c r="K529" s="17">
        <f t="shared" si="416"/>
        <v>20704</v>
      </c>
      <c r="L529" s="17" t="s">
        <v>218</v>
      </c>
      <c r="M529" s="17" t="str">
        <f t="shared" si="419"/>
        <v>1:10400:5</v>
      </c>
      <c r="N529" s="16" t="str">
        <f t="shared" si="415"/>
        <v>10013:1</v>
      </c>
      <c r="O529" s="17">
        <f t="shared" si="425"/>
        <v>8</v>
      </c>
      <c r="P529" s="21" t="s">
        <v>4428</v>
      </c>
      <c r="Q529" s="21"/>
      <c r="R529" t="s">
        <v>4425</v>
      </c>
      <c r="T529" t="str">
        <f t="shared" si="420"/>
        <v>:1</v>
      </c>
      <c r="U529" t="str">
        <f t="shared" si="414"/>
        <v>骑士</v>
      </c>
      <c r="V529" t="s">
        <v>4423</v>
      </c>
      <c r="W529">
        <f>属性类型!G529</f>
        <v>10013</v>
      </c>
      <c r="X529">
        <v>1</v>
      </c>
    </row>
    <row r="530" customFormat="1" ht="16.5" spans="1:24">
      <c r="A530" s="17">
        <f t="shared" si="417"/>
        <v>20704</v>
      </c>
      <c r="B530" s="17">
        <f t="shared" si="421"/>
        <v>20700</v>
      </c>
      <c r="C530" s="17" t="str">
        <f t="shared" si="422"/>
        <v>2</v>
      </c>
      <c r="D530" s="12">
        <f t="shared" si="381"/>
        <v>20001</v>
      </c>
      <c r="E530" s="17">
        <f t="shared" ref="E530:H530" si="427">E529</f>
        <v>2</v>
      </c>
      <c r="F530" s="17">
        <f t="shared" si="424"/>
        <v>1</v>
      </c>
      <c r="G530" s="17" t="str">
        <f t="shared" si="427"/>
        <v>皇家骑士防御百分比</v>
      </c>
      <c r="H530" s="17" t="str">
        <f t="shared" si="427"/>
        <v>qibing01_Lv3</v>
      </c>
      <c r="I530" s="20">
        <v>1.5</v>
      </c>
      <c r="J530" s="17">
        <v>4</v>
      </c>
      <c r="K530" s="17">
        <f t="shared" si="416"/>
        <v>20705</v>
      </c>
      <c r="L530" s="17" t="s">
        <v>221</v>
      </c>
      <c r="M530" s="17" t="str">
        <f t="shared" si="419"/>
        <v>1:10400:5</v>
      </c>
      <c r="N530" s="16" t="str">
        <f t="shared" si="415"/>
        <v>10013:1</v>
      </c>
      <c r="O530" s="17">
        <f t="shared" si="425"/>
        <v>8</v>
      </c>
      <c r="P530" s="21" t="s">
        <v>4429</v>
      </c>
      <c r="Q530" s="21"/>
      <c r="R530" t="s">
        <v>4425</v>
      </c>
      <c r="T530" t="str">
        <f t="shared" si="420"/>
        <v>:1</v>
      </c>
      <c r="U530" t="str">
        <f t="shared" si="414"/>
        <v>骑士</v>
      </c>
      <c r="V530" t="s">
        <v>4423</v>
      </c>
      <c r="W530">
        <f>属性类型!G530</f>
        <v>10013</v>
      </c>
      <c r="X530">
        <v>1</v>
      </c>
    </row>
    <row r="531" customFormat="1" ht="16.5" spans="1:24">
      <c r="A531" s="17">
        <f t="shared" si="417"/>
        <v>20705</v>
      </c>
      <c r="B531" s="17">
        <f t="shared" si="421"/>
        <v>20700</v>
      </c>
      <c r="C531" s="17" t="str">
        <f t="shared" si="422"/>
        <v>2</v>
      </c>
      <c r="D531" s="12">
        <f t="shared" si="381"/>
        <v>20001</v>
      </c>
      <c r="E531" s="17">
        <f t="shared" ref="E531:H531" si="428">E530</f>
        <v>2</v>
      </c>
      <c r="F531" s="17">
        <f t="shared" si="424"/>
        <v>1</v>
      </c>
      <c r="G531" s="17" t="str">
        <f t="shared" si="428"/>
        <v>皇家骑士防御百分比</v>
      </c>
      <c r="H531" s="17" t="str">
        <f t="shared" si="428"/>
        <v>qibing01_Lv3</v>
      </c>
      <c r="I531" s="20">
        <v>1.5</v>
      </c>
      <c r="J531" s="17">
        <v>5</v>
      </c>
      <c r="K531" s="17">
        <f t="shared" si="416"/>
        <v>20706</v>
      </c>
      <c r="L531" s="17" t="s">
        <v>224</v>
      </c>
      <c r="M531" s="17" t="str">
        <f t="shared" si="419"/>
        <v>1:10400:5</v>
      </c>
      <c r="N531" s="16" t="str">
        <f t="shared" si="415"/>
        <v>10013:1</v>
      </c>
      <c r="O531" s="17">
        <f t="shared" si="425"/>
        <v>8</v>
      </c>
      <c r="P531" s="21" t="s">
        <v>4430</v>
      </c>
      <c r="Q531" s="21"/>
      <c r="R531" t="s">
        <v>4425</v>
      </c>
      <c r="T531" t="str">
        <f t="shared" si="420"/>
        <v>:1</v>
      </c>
      <c r="U531" t="str">
        <f t="shared" si="414"/>
        <v>骑士</v>
      </c>
      <c r="V531" t="s">
        <v>4423</v>
      </c>
      <c r="W531">
        <f>属性类型!G531</f>
        <v>10013</v>
      </c>
      <c r="X531">
        <v>1</v>
      </c>
    </row>
    <row r="532" customFormat="1" ht="16.5" spans="1:24">
      <c r="A532" s="17">
        <f t="shared" ref="A532:A547" si="429">A531+1</f>
        <v>20706</v>
      </c>
      <c r="B532" s="17">
        <f t="shared" si="421"/>
        <v>20700</v>
      </c>
      <c r="C532" s="17" t="str">
        <f t="shared" si="422"/>
        <v>2</v>
      </c>
      <c r="D532" s="12">
        <f t="shared" si="381"/>
        <v>20001</v>
      </c>
      <c r="E532" s="17">
        <f t="shared" ref="E532:H532" si="430">E531</f>
        <v>2</v>
      </c>
      <c r="F532" s="17">
        <f t="shared" si="424"/>
        <v>1</v>
      </c>
      <c r="G532" s="17" t="str">
        <f t="shared" si="430"/>
        <v>皇家骑士防御百分比</v>
      </c>
      <c r="H532" s="17" t="str">
        <f t="shared" si="430"/>
        <v>qibing01_Lv3</v>
      </c>
      <c r="I532" s="20">
        <v>1.5</v>
      </c>
      <c r="J532" s="17">
        <v>6</v>
      </c>
      <c r="K532" s="17">
        <f t="shared" si="416"/>
        <v>20707</v>
      </c>
      <c r="L532" s="17" t="s">
        <v>227</v>
      </c>
      <c r="M532" s="17" t="str">
        <f t="shared" si="419"/>
        <v>1:10400:5</v>
      </c>
      <c r="N532" s="16" t="str">
        <f t="shared" si="415"/>
        <v>10013:1</v>
      </c>
      <c r="O532" s="17">
        <f t="shared" si="425"/>
        <v>8</v>
      </c>
      <c r="P532" s="21" t="s">
        <v>4431</v>
      </c>
      <c r="Q532" s="21"/>
      <c r="R532" t="s">
        <v>4425</v>
      </c>
      <c r="T532" t="str">
        <f t="shared" si="420"/>
        <v>:1</v>
      </c>
      <c r="U532" t="str">
        <f t="shared" si="414"/>
        <v>骑士</v>
      </c>
      <c r="V532" t="s">
        <v>4423</v>
      </c>
      <c r="W532">
        <f>属性类型!G532</f>
        <v>10013</v>
      </c>
      <c r="X532">
        <v>1</v>
      </c>
    </row>
    <row r="533" customFormat="1" ht="16.5" spans="1:24">
      <c r="A533" s="17">
        <f t="shared" si="429"/>
        <v>20707</v>
      </c>
      <c r="B533" s="17">
        <f t="shared" si="421"/>
        <v>20700</v>
      </c>
      <c r="C533" s="17" t="str">
        <f t="shared" si="422"/>
        <v>2</v>
      </c>
      <c r="D533" s="12">
        <f t="shared" si="381"/>
        <v>20001</v>
      </c>
      <c r="E533" s="17">
        <f t="shared" ref="E533:H533" si="431">E532</f>
        <v>2</v>
      </c>
      <c r="F533" s="17">
        <f t="shared" si="424"/>
        <v>1</v>
      </c>
      <c r="G533" s="17" t="str">
        <f t="shared" si="431"/>
        <v>皇家骑士防御百分比</v>
      </c>
      <c r="H533" s="17" t="str">
        <f t="shared" si="431"/>
        <v>qibing01_Lv3</v>
      </c>
      <c r="I533" s="20">
        <v>1.5</v>
      </c>
      <c r="J533" s="17">
        <v>7</v>
      </c>
      <c r="K533" s="17">
        <f t="shared" si="416"/>
        <v>20708</v>
      </c>
      <c r="L533" s="17" t="s">
        <v>230</v>
      </c>
      <c r="M533" s="17" t="str">
        <f t="shared" si="419"/>
        <v>1:10400:5</v>
      </c>
      <c r="N533" s="16" t="str">
        <f t="shared" si="415"/>
        <v>10013:1</v>
      </c>
      <c r="O533" s="17">
        <f t="shared" si="425"/>
        <v>8</v>
      </c>
      <c r="P533" s="21" t="s">
        <v>4432</v>
      </c>
      <c r="Q533" s="21"/>
      <c r="R533" t="s">
        <v>4425</v>
      </c>
      <c r="T533" t="str">
        <f t="shared" si="420"/>
        <v>:1</v>
      </c>
      <c r="U533" t="str">
        <f t="shared" si="414"/>
        <v>骑士</v>
      </c>
      <c r="V533" t="s">
        <v>4423</v>
      </c>
      <c r="W533">
        <f>属性类型!G533</f>
        <v>10013</v>
      </c>
      <c r="X533">
        <v>1</v>
      </c>
    </row>
    <row r="534" customFormat="1" ht="16.5" spans="1:24">
      <c r="A534" s="17">
        <f t="shared" si="429"/>
        <v>20708</v>
      </c>
      <c r="B534" s="17">
        <f t="shared" si="421"/>
        <v>20700</v>
      </c>
      <c r="C534" s="17" t="str">
        <f t="shared" si="422"/>
        <v>2</v>
      </c>
      <c r="D534" s="12">
        <f>$A$469+F534</f>
        <v>20001</v>
      </c>
      <c r="E534" s="17">
        <f t="shared" ref="E534:H534" si="432">E533</f>
        <v>2</v>
      </c>
      <c r="F534" s="17">
        <f t="shared" si="424"/>
        <v>1</v>
      </c>
      <c r="G534" s="17" t="str">
        <f t="shared" si="432"/>
        <v>皇家骑士防御百分比</v>
      </c>
      <c r="H534" s="17" t="str">
        <f t="shared" si="432"/>
        <v>qibing01_Lv3</v>
      </c>
      <c r="I534" s="20">
        <v>1.5</v>
      </c>
      <c r="J534" s="17">
        <v>8</v>
      </c>
      <c r="K534" s="17">
        <f t="shared" si="416"/>
        <v>20709</v>
      </c>
      <c r="L534" s="17" t="s">
        <v>233</v>
      </c>
      <c r="M534" s="17" t="str">
        <f t="shared" si="419"/>
        <v>1:10400:5</v>
      </c>
      <c r="N534" s="16" t="str">
        <f t="shared" si="415"/>
        <v>10013:1</v>
      </c>
      <c r="O534" s="17">
        <f t="shared" si="425"/>
        <v>8</v>
      </c>
      <c r="P534" s="21" t="s">
        <v>4433</v>
      </c>
      <c r="Q534" s="21"/>
      <c r="R534" t="s">
        <v>4425</v>
      </c>
      <c r="T534" t="str">
        <f t="shared" si="420"/>
        <v>:1</v>
      </c>
      <c r="U534" t="str">
        <f t="shared" si="414"/>
        <v>骑士</v>
      </c>
      <c r="V534" t="s">
        <v>4423</v>
      </c>
      <c r="W534">
        <f>属性类型!G534</f>
        <v>10013</v>
      </c>
      <c r="X534">
        <v>1</v>
      </c>
    </row>
    <row r="535" customFormat="1" ht="16.5" spans="1:24">
      <c r="A535" s="17">
        <f t="shared" si="429"/>
        <v>20709</v>
      </c>
      <c r="B535" s="17">
        <f t="shared" si="421"/>
        <v>20700</v>
      </c>
      <c r="C535" s="17" t="str">
        <f t="shared" si="422"/>
        <v>2</v>
      </c>
      <c r="D535" s="12">
        <f>$A$469+F535</f>
        <v>20001</v>
      </c>
      <c r="E535" s="17">
        <f t="shared" ref="E535:H535" si="433">E534</f>
        <v>2</v>
      </c>
      <c r="F535" s="17">
        <f t="shared" si="424"/>
        <v>1</v>
      </c>
      <c r="G535" s="17" t="str">
        <f t="shared" si="433"/>
        <v>皇家骑士防御百分比</v>
      </c>
      <c r="H535" s="17" t="str">
        <f t="shared" si="433"/>
        <v>qibing01_Lv3</v>
      </c>
      <c r="I535" s="20">
        <v>1.5</v>
      </c>
      <c r="J535" s="17">
        <v>9</v>
      </c>
      <c r="K535" s="17">
        <f t="shared" si="416"/>
        <v>20710</v>
      </c>
      <c r="L535" s="17" t="s">
        <v>236</v>
      </c>
      <c r="M535" s="17" t="str">
        <f t="shared" si="419"/>
        <v>1:10400:5</v>
      </c>
      <c r="N535" s="16" t="str">
        <f t="shared" si="415"/>
        <v>10013:1</v>
      </c>
      <c r="O535" s="17">
        <f t="shared" si="425"/>
        <v>8</v>
      </c>
      <c r="P535" s="21" t="s">
        <v>4434</v>
      </c>
      <c r="Q535" s="21"/>
      <c r="R535" t="s">
        <v>4425</v>
      </c>
      <c r="T535" t="str">
        <f t="shared" si="420"/>
        <v>:1</v>
      </c>
      <c r="U535" t="str">
        <f t="shared" si="414"/>
        <v>骑士</v>
      </c>
      <c r="V535" t="s">
        <v>4423</v>
      </c>
      <c r="W535">
        <f>属性类型!G535</f>
        <v>10013</v>
      </c>
      <c r="X535">
        <v>1</v>
      </c>
    </row>
    <row r="536" customFormat="1" ht="16.5" spans="1:24">
      <c r="A536" s="17">
        <f t="shared" si="429"/>
        <v>20710</v>
      </c>
      <c r="B536" s="17">
        <f t="shared" si="421"/>
        <v>20700</v>
      </c>
      <c r="C536" s="17" t="str">
        <f t="shared" si="422"/>
        <v>2</v>
      </c>
      <c r="D536" s="12">
        <f>$A$469+F536</f>
        <v>20001</v>
      </c>
      <c r="E536" s="17">
        <f t="shared" ref="E536:H536" si="434">E535</f>
        <v>2</v>
      </c>
      <c r="F536" s="17">
        <f t="shared" si="424"/>
        <v>1</v>
      </c>
      <c r="G536" s="17" t="str">
        <f t="shared" si="434"/>
        <v>皇家骑士防御百分比</v>
      </c>
      <c r="H536" s="17" t="str">
        <f t="shared" si="434"/>
        <v>qibing01_Lv3</v>
      </c>
      <c r="I536" s="20">
        <v>1.5</v>
      </c>
      <c r="J536" s="17">
        <v>10</v>
      </c>
      <c r="K536" s="17">
        <f t="shared" si="416"/>
        <v>20711</v>
      </c>
      <c r="L536" s="17" t="s">
        <v>238</v>
      </c>
      <c r="M536" s="17" t="str">
        <f t="shared" si="419"/>
        <v>1:10400:5</v>
      </c>
      <c r="N536" s="16" t="str">
        <f t="shared" si="415"/>
        <v>10013:1</v>
      </c>
      <c r="O536" s="17">
        <f t="shared" si="425"/>
        <v>8</v>
      </c>
      <c r="P536" s="21" t="s">
        <v>4435</v>
      </c>
      <c r="Q536" s="21"/>
      <c r="R536" t="s">
        <v>4425</v>
      </c>
      <c r="T536" t="str">
        <f t="shared" si="420"/>
        <v>:1</v>
      </c>
      <c r="U536" t="str">
        <f t="shared" si="414"/>
        <v>骑士</v>
      </c>
      <c r="V536" t="s">
        <v>4423</v>
      </c>
      <c r="W536">
        <f>属性类型!G536</f>
        <v>10013</v>
      </c>
      <c r="X536">
        <v>1</v>
      </c>
    </row>
    <row r="537" customFormat="1" ht="16.5" spans="1:24">
      <c r="A537" s="17">
        <f t="shared" si="429"/>
        <v>20711</v>
      </c>
      <c r="B537" s="17">
        <f t="shared" ref="B537:B557" si="435">ROUND(A537,-2)</f>
        <v>20700</v>
      </c>
      <c r="C537" s="17" t="str">
        <f t="shared" ref="C537:C557" si="436">LEFT(A537,1)</f>
        <v>2</v>
      </c>
      <c r="D537" s="12">
        <f t="shared" ref="D537:D557" si="437">$A$469+F537</f>
        <v>20001</v>
      </c>
      <c r="E537" s="17">
        <f t="shared" ref="E537:H537" si="438">E536</f>
        <v>2</v>
      </c>
      <c r="F537" s="17">
        <f t="shared" si="424"/>
        <v>1</v>
      </c>
      <c r="G537" s="17" t="str">
        <f t="shared" si="438"/>
        <v>皇家骑士防御百分比</v>
      </c>
      <c r="H537" s="17" t="str">
        <f t="shared" si="438"/>
        <v>qibing01_Lv3</v>
      </c>
      <c r="I537" s="20">
        <v>1.5</v>
      </c>
      <c r="J537" s="17">
        <v>11</v>
      </c>
      <c r="K537" s="17">
        <f t="shared" si="416"/>
        <v>20712</v>
      </c>
      <c r="L537" s="17" t="s">
        <v>529</v>
      </c>
      <c r="M537" s="17" t="str">
        <f t="shared" si="419"/>
        <v>1:10400:5</v>
      </c>
      <c r="N537" s="16" t="str">
        <f t="shared" si="415"/>
        <v>10013:1</v>
      </c>
      <c r="O537" s="17">
        <f t="shared" si="425"/>
        <v>8</v>
      </c>
      <c r="P537" s="21" t="s">
        <v>4436</v>
      </c>
      <c r="Q537" s="21"/>
      <c r="R537" t="s">
        <v>4425</v>
      </c>
      <c r="U537" t="str">
        <f t="shared" si="414"/>
        <v>骑士</v>
      </c>
      <c r="V537" t="s">
        <v>4423</v>
      </c>
      <c r="W537">
        <f>属性类型!G537</f>
        <v>10013</v>
      </c>
      <c r="X537">
        <v>1</v>
      </c>
    </row>
    <row r="538" customFormat="1" ht="16.5" spans="1:24">
      <c r="A538" s="17">
        <f t="shared" si="429"/>
        <v>20712</v>
      </c>
      <c r="B538" s="17">
        <f t="shared" si="435"/>
        <v>20700</v>
      </c>
      <c r="C538" s="17" t="str">
        <f t="shared" si="436"/>
        <v>2</v>
      </c>
      <c r="D538" s="12">
        <f t="shared" si="437"/>
        <v>20001</v>
      </c>
      <c r="E538" s="17">
        <f t="shared" ref="E538:H538" si="439">E537</f>
        <v>2</v>
      </c>
      <c r="F538" s="17">
        <f t="shared" si="424"/>
        <v>1</v>
      </c>
      <c r="G538" s="17" t="str">
        <f t="shared" si="439"/>
        <v>皇家骑士防御百分比</v>
      </c>
      <c r="H538" s="17" t="str">
        <f t="shared" si="439"/>
        <v>qibing01_Lv3</v>
      </c>
      <c r="I538" s="20">
        <v>1.5</v>
      </c>
      <c r="J538" s="17">
        <v>12</v>
      </c>
      <c r="K538" s="17">
        <f t="shared" si="416"/>
        <v>20713</v>
      </c>
      <c r="L538" s="17" t="s">
        <v>532</v>
      </c>
      <c r="M538" s="17" t="str">
        <f t="shared" si="419"/>
        <v>1:10400:5</v>
      </c>
      <c r="N538" s="16" t="str">
        <f t="shared" si="415"/>
        <v>10013:1</v>
      </c>
      <c r="O538" s="17">
        <f t="shared" si="425"/>
        <v>8</v>
      </c>
      <c r="P538" s="21" t="s">
        <v>4437</v>
      </c>
      <c r="Q538" s="21"/>
      <c r="R538" t="s">
        <v>4425</v>
      </c>
      <c r="U538" t="str">
        <f t="shared" si="414"/>
        <v>骑士</v>
      </c>
      <c r="V538" t="s">
        <v>4423</v>
      </c>
      <c r="W538">
        <f>属性类型!G538</f>
        <v>10013</v>
      </c>
      <c r="X538">
        <v>1</v>
      </c>
    </row>
    <row r="539" customFormat="1" ht="16.5" spans="1:24">
      <c r="A539" s="17">
        <f t="shared" si="429"/>
        <v>20713</v>
      </c>
      <c r="B539" s="17">
        <f t="shared" si="435"/>
        <v>20700</v>
      </c>
      <c r="C539" s="17" t="str">
        <f t="shared" si="436"/>
        <v>2</v>
      </c>
      <c r="D539" s="12">
        <f t="shared" si="437"/>
        <v>20001</v>
      </c>
      <c r="E539" s="17">
        <f t="shared" ref="E539:H539" si="440">E538</f>
        <v>2</v>
      </c>
      <c r="F539" s="17">
        <f t="shared" si="424"/>
        <v>1</v>
      </c>
      <c r="G539" s="17" t="str">
        <f t="shared" si="440"/>
        <v>皇家骑士防御百分比</v>
      </c>
      <c r="H539" s="17" t="str">
        <f t="shared" si="440"/>
        <v>qibing01_Lv3</v>
      </c>
      <c r="I539" s="20">
        <v>1.5</v>
      </c>
      <c r="J539" s="17">
        <v>13</v>
      </c>
      <c r="K539" s="17">
        <f t="shared" si="416"/>
        <v>20714</v>
      </c>
      <c r="L539" s="17" t="s">
        <v>561</v>
      </c>
      <c r="M539" s="17" t="str">
        <f t="shared" si="419"/>
        <v>1:10400:5</v>
      </c>
      <c r="N539" s="16" t="str">
        <f t="shared" si="415"/>
        <v>10013:1</v>
      </c>
      <c r="O539" s="17">
        <f t="shared" si="425"/>
        <v>8</v>
      </c>
      <c r="P539" s="21" t="s">
        <v>4438</v>
      </c>
      <c r="Q539" s="21"/>
      <c r="R539" t="s">
        <v>4425</v>
      </c>
      <c r="U539" t="str">
        <f t="shared" si="414"/>
        <v>骑士</v>
      </c>
      <c r="V539" t="s">
        <v>4423</v>
      </c>
      <c r="W539">
        <f>属性类型!G539</f>
        <v>10013</v>
      </c>
      <c r="X539">
        <v>1</v>
      </c>
    </row>
    <row r="540" customFormat="1" ht="16.5" spans="1:24">
      <c r="A540" s="17">
        <f t="shared" si="429"/>
        <v>20714</v>
      </c>
      <c r="B540" s="17">
        <f t="shared" si="435"/>
        <v>20700</v>
      </c>
      <c r="C540" s="17" t="str">
        <f t="shared" si="436"/>
        <v>2</v>
      </c>
      <c r="D540" s="12">
        <f t="shared" si="437"/>
        <v>20001</v>
      </c>
      <c r="E540" s="17">
        <f t="shared" ref="E540:H540" si="441">E539</f>
        <v>2</v>
      </c>
      <c r="F540" s="17">
        <f t="shared" si="424"/>
        <v>1</v>
      </c>
      <c r="G540" s="17" t="str">
        <f t="shared" si="441"/>
        <v>皇家骑士防御百分比</v>
      </c>
      <c r="H540" s="17" t="str">
        <f t="shared" si="441"/>
        <v>qibing01_Lv3</v>
      </c>
      <c r="I540" s="20">
        <v>1.5</v>
      </c>
      <c r="J540" s="17">
        <v>14</v>
      </c>
      <c r="K540" s="17">
        <f t="shared" si="416"/>
        <v>20715</v>
      </c>
      <c r="L540" s="17" t="s">
        <v>564</v>
      </c>
      <c r="M540" s="17" t="str">
        <f t="shared" si="419"/>
        <v>1:10400:5</v>
      </c>
      <c r="N540" s="16" t="str">
        <f t="shared" si="415"/>
        <v>10013:1</v>
      </c>
      <c r="O540" s="17">
        <f t="shared" si="425"/>
        <v>8</v>
      </c>
      <c r="P540" s="21" t="s">
        <v>4439</v>
      </c>
      <c r="Q540" s="21"/>
      <c r="R540" t="s">
        <v>4425</v>
      </c>
      <c r="U540" t="str">
        <f t="shared" si="414"/>
        <v>骑士</v>
      </c>
      <c r="V540" t="s">
        <v>4423</v>
      </c>
      <c r="W540">
        <f>属性类型!G540</f>
        <v>10013</v>
      </c>
      <c r="X540">
        <v>1</v>
      </c>
    </row>
    <row r="541" customFormat="1" ht="16.5" spans="1:24">
      <c r="A541" s="17">
        <f t="shared" si="429"/>
        <v>20715</v>
      </c>
      <c r="B541" s="17">
        <f t="shared" si="435"/>
        <v>20700</v>
      </c>
      <c r="C541" s="17" t="str">
        <f t="shared" si="436"/>
        <v>2</v>
      </c>
      <c r="D541" s="12">
        <f t="shared" si="437"/>
        <v>20001</v>
      </c>
      <c r="E541" s="17">
        <f t="shared" ref="E541:H541" si="442">E540</f>
        <v>2</v>
      </c>
      <c r="F541" s="17">
        <f t="shared" si="424"/>
        <v>1</v>
      </c>
      <c r="G541" s="17" t="str">
        <f t="shared" si="442"/>
        <v>皇家骑士防御百分比</v>
      </c>
      <c r="H541" s="17" t="str">
        <f t="shared" si="442"/>
        <v>qibing01_Lv3</v>
      </c>
      <c r="I541" s="20">
        <v>1.5</v>
      </c>
      <c r="J541" s="17">
        <v>15</v>
      </c>
      <c r="K541" s="17">
        <f t="shared" si="416"/>
        <v>20716</v>
      </c>
      <c r="L541" s="17" t="s">
        <v>630</v>
      </c>
      <c r="M541" s="17" t="str">
        <f t="shared" si="419"/>
        <v>1:10400:5</v>
      </c>
      <c r="N541" s="16" t="str">
        <f t="shared" si="415"/>
        <v>10013:1</v>
      </c>
      <c r="O541" s="17">
        <f t="shared" si="425"/>
        <v>8</v>
      </c>
      <c r="P541" s="21" t="s">
        <v>4440</v>
      </c>
      <c r="Q541" s="21"/>
      <c r="R541" t="s">
        <v>4425</v>
      </c>
      <c r="U541" t="str">
        <f t="shared" si="414"/>
        <v>骑士</v>
      </c>
      <c r="V541" t="s">
        <v>4423</v>
      </c>
      <c r="W541">
        <f>属性类型!G541</f>
        <v>10013</v>
      </c>
      <c r="X541">
        <v>1</v>
      </c>
    </row>
    <row r="542" customFormat="1" ht="16.5" spans="1:24">
      <c r="A542" s="17">
        <f t="shared" si="429"/>
        <v>20716</v>
      </c>
      <c r="B542" s="17">
        <f t="shared" si="435"/>
        <v>20700</v>
      </c>
      <c r="C542" s="17" t="str">
        <f t="shared" si="436"/>
        <v>2</v>
      </c>
      <c r="D542" s="12">
        <f t="shared" si="437"/>
        <v>20001</v>
      </c>
      <c r="E542" s="17">
        <f t="shared" ref="E542:H542" si="443">E541</f>
        <v>2</v>
      </c>
      <c r="F542" s="17">
        <f t="shared" si="424"/>
        <v>1</v>
      </c>
      <c r="G542" s="17" t="str">
        <f t="shared" si="443"/>
        <v>皇家骑士防御百分比</v>
      </c>
      <c r="H542" s="17" t="str">
        <f t="shared" si="443"/>
        <v>qibing01_Lv3</v>
      </c>
      <c r="I542" s="20">
        <v>1.5</v>
      </c>
      <c r="J542" s="17">
        <v>16</v>
      </c>
      <c r="K542" s="17">
        <f t="shared" si="416"/>
        <v>20717</v>
      </c>
      <c r="L542" s="17" t="s">
        <v>633</v>
      </c>
      <c r="M542" s="17" t="str">
        <f t="shared" si="419"/>
        <v>1:10400:5</v>
      </c>
      <c r="N542" s="16" t="str">
        <f t="shared" si="415"/>
        <v>10013:1</v>
      </c>
      <c r="O542" s="17">
        <f t="shared" si="425"/>
        <v>8</v>
      </c>
      <c r="P542" s="21" t="s">
        <v>4441</v>
      </c>
      <c r="Q542" s="21"/>
      <c r="R542" t="s">
        <v>4425</v>
      </c>
      <c r="U542" t="str">
        <f t="shared" si="414"/>
        <v>骑士</v>
      </c>
      <c r="V542" t="s">
        <v>4423</v>
      </c>
      <c r="W542">
        <f>属性类型!G542</f>
        <v>10013</v>
      </c>
      <c r="X542">
        <v>1</v>
      </c>
    </row>
    <row r="543" customFormat="1" ht="16.5" spans="1:24">
      <c r="A543" s="17">
        <f t="shared" si="429"/>
        <v>20717</v>
      </c>
      <c r="B543" s="17">
        <f t="shared" si="435"/>
        <v>20700</v>
      </c>
      <c r="C543" s="17" t="str">
        <f t="shared" si="436"/>
        <v>2</v>
      </c>
      <c r="D543" s="12">
        <f t="shared" si="437"/>
        <v>20001</v>
      </c>
      <c r="E543" s="17">
        <f t="shared" ref="E543:H543" si="444">E542</f>
        <v>2</v>
      </c>
      <c r="F543" s="17">
        <f t="shared" si="424"/>
        <v>1</v>
      </c>
      <c r="G543" s="17" t="str">
        <f t="shared" si="444"/>
        <v>皇家骑士防御百分比</v>
      </c>
      <c r="H543" s="17" t="str">
        <f t="shared" si="444"/>
        <v>qibing01_Lv3</v>
      </c>
      <c r="I543" s="20">
        <v>1.5</v>
      </c>
      <c r="J543" s="17">
        <v>17</v>
      </c>
      <c r="K543" s="17">
        <f t="shared" si="416"/>
        <v>20718</v>
      </c>
      <c r="L543" s="17" t="s">
        <v>637</v>
      </c>
      <c r="M543" s="17" t="str">
        <f t="shared" si="419"/>
        <v>1:10400:5</v>
      </c>
      <c r="N543" s="16" t="str">
        <f t="shared" si="415"/>
        <v>10013:1</v>
      </c>
      <c r="O543" s="17">
        <f t="shared" si="425"/>
        <v>8</v>
      </c>
      <c r="P543" s="21" t="s">
        <v>4442</v>
      </c>
      <c r="Q543" s="21"/>
      <c r="R543" t="s">
        <v>4425</v>
      </c>
      <c r="U543" t="str">
        <f t="shared" si="414"/>
        <v>骑士</v>
      </c>
      <c r="V543" t="s">
        <v>4423</v>
      </c>
      <c r="W543">
        <f>属性类型!G543</f>
        <v>10013</v>
      </c>
      <c r="X543">
        <v>1</v>
      </c>
    </row>
    <row r="544" customFormat="1" ht="16.5" spans="1:24">
      <c r="A544" s="17">
        <f t="shared" si="429"/>
        <v>20718</v>
      </c>
      <c r="B544" s="17">
        <f t="shared" si="435"/>
        <v>20700</v>
      </c>
      <c r="C544" s="17" t="str">
        <f t="shared" si="436"/>
        <v>2</v>
      </c>
      <c r="D544" s="12">
        <f t="shared" si="437"/>
        <v>20001</v>
      </c>
      <c r="E544" s="17">
        <f t="shared" ref="E544:H544" si="445">E543</f>
        <v>2</v>
      </c>
      <c r="F544" s="17">
        <f t="shared" si="424"/>
        <v>1</v>
      </c>
      <c r="G544" s="17" t="str">
        <f t="shared" si="445"/>
        <v>皇家骑士防御百分比</v>
      </c>
      <c r="H544" s="17" t="str">
        <f t="shared" si="445"/>
        <v>qibing01_Lv3</v>
      </c>
      <c r="I544" s="20">
        <v>1.5</v>
      </c>
      <c r="J544" s="17">
        <v>18</v>
      </c>
      <c r="K544" s="17">
        <f t="shared" si="416"/>
        <v>20719</v>
      </c>
      <c r="L544" s="17" t="s">
        <v>641</v>
      </c>
      <c r="M544" s="17" t="str">
        <f t="shared" si="419"/>
        <v>1:10400:5</v>
      </c>
      <c r="N544" s="16" t="str">
        <f t="shared" si="415"/>
        <v>10013:1</v>
      </c>
      <c r="O544" s="17">
        <f t="shared" si="425"/>
        <v>8</v>
      </c>
      <c r="P544" s="21" t="s">
        <v>4443</v>
      </c>
      <c r="Q544" s="21"/>
      <c r="R544" t="s">
        <v>4425</v>
      </c>
      <c r="U544" t="str">
        <f t="shared" si="414"/>
        <v>骑士</v>
      </c>
      <c r="V544" t="s">
        <v>4423</v>
      </c>
      <c r="W544">
        <f>属性类型!G544</f>
        <v>10013</v>
      </c>
      <c r="X544">
        <v>1</v>
      </c>
    </row>
    <row r="545" customFormat="1" ht="16.5" spans="1:24">
      <c r="A545" s="17">
        <f t="shared" si="429"/>
        <v>20719</v>
      </c>
      <c r="B545" s="17">
        <f t="shared" si="435"/>
        <v>20700</v>
      </c>
      <c r="C545" s="17" t="str">
        <f t="shared" si="436"/>
        <v>2</v>
      </c>
      <c r="D545" s="12">
        <f t="shared" si="437"/>
        <v>20001</v>
      </c>
      <c r="E545" s="17">
        <f t="shared" ref="E545:H545" si="446">E544</f>
        <v>2</v>
      </c>
      <c r="F545" s="17">
        <f t="shared" si="424"/>
        <v>1</v>
      </c>
      <c r="G545" s="17" t="str">
        <f t="shared" si="446"/>
        <v>皇家骑士防御百分比</v>
      </c>
      <c r="H545" s="17" t="str">
        <f t="shared" si="446"/>
        <v>qibing01_Lv3</v>
      </c>
      <c r="I545" s="20">
        <v>1.5</v>
      </c>
      <c r="J545" s="17">
        <v>19</v>
      </c>
      <c r="K545" s="17">
        <f t="shared" si="416"/>
        <v>20720</v>
      </c>
      <c r="L545" s="17" t="s">
        <v>645</v>
      </c>
      <c r="M545" s="17" t="str">
        <f t="shared" si="419"/>
        <v>1:10400:5</v>
      </c>
      <c r="N545" s="16" t="str">
        <f t="shared" si="415"/>
        <v>10013:1</v>
      </c>
      <c r="O545" s="17">
        <f t="shared" si="425"/>
        <v>8</v>
      </c>
      <c r="P545" s="21" t="s">
        <v>4444</v>
      </c>
      <c r="Q545" s="21"/>
      <c r="R545" t="s">
        <v>4425</v>
      </c>
      <c r="U545" t="str">
        <f t="shared" si="414"/>
        <v>骑士</v>
      </c>
      <c r="V545" t="s">
        <v>4423</v>
      </c>
      <c r="W545">
        <f>属性类型!G545</f>
        <v>10013</v>
      </c>
      <c r="X545">
        <v>1</v>
      </c>
    </row>
    <row r="546" customFormat="1" ht="16.5" spans="1:24">
      <c r="A546" s="17">
        <f t="shared" si="429"/>
        <v>20720</v>
      </c>
      <c r="B546" s="17">
        <f t="shared" si="435"/>
        <v>20700</v>
      </c>
      <c r="C546" s="17" t="str">
        <f t="shared" si="436"/>
        <v>2</v>
      </c>
      <c r="D546" s="12">
        <f t="shared" si="437"/>
        <v>20001</v>
      </c>
      <c r="E546" s="17">
        <f t="shared" ref="E546:H546" si="447">E545</f>
        <v>2</v>
      </c>
      <c r="F546" s="17">
        <f t="shared" si="424"/>
        <v>1</v>
      </c>
      <c r="G546" s="17" t="str">
        <f t="shared" si="447"/>
        <v>皇家骑士防御百分比</v>
      </c>
      <c r="H546" s="17" t="str">
        <f t="shared" si="447"/>
        <v>qibing01_Lv3</v>
      </c>
      <c r="I546" s="20">
        <v>1.5</v>
      </c>
      <c r="J546" s="17">
        <v>20</v>
      </c>
      <c r="K546" s="17">
        <v>0</v>
      </c>
      <c r="L546" s="17">
        <v>0</v>
      </c>
      <c r="M546" s="17" t="str">
        <f t="shared" si="419"/>
        <v>1:10400:5</v>
      </c>
      <c r="N546" s="16" t="str">
        <f t="shared" si="415"/>
        <v>10013:1</v>
      </c>
      <c r="O546" s="17">
        <f t="shared" si="425"/>
        <v>8</v>
      </c>
      <c r="P546" s="21" t="s">
        <v>4444</v>
      </c>
      <c r="Q546" s="21"/>
      <c r="R546" t="s">
        <v>4425</v>
      </c>
      <c r="U546" t="str">
        <f t="shared" si="414"/>
        <v>骑士</v>
      </c>
      <c r="V546" t="s">
        <v>4423</v>
      </c>
      <c r="W546">
        <f>属性类型!G546</f>
        <v>10013</v>
      </c>
      <c r="X546">
        <v>1</v>
      </c>
    </row>
    <row r="547" customFormat="1" ht="16.5" spans="1:24">
      <c r="A547" s="18">
        <f>A526+100</f>
        <v>20800</v>
      </c>
      <c r="B547" s="18">
        <f t="shared" si="435"/>
        <v>20800</v>
      </c>
      <c r="C547" s="18" t="str">
        <f t="shared" si="436"/>
        <v>2</v>
      </c>
      <c r="D547" s="12">
        <f t="shared" si="437"/>
        <v>20001</v>
      </c>
      <c r="E547" s="17">
        <v>2</v>
      </c>
      <c r="F547" s="18">
        <f t="shared" si="424"/>
        <v>1</v>
      </c>
      <c r="G547" s="18" t="s">
        <v>4445</v>
      </c>
      <c r="H547" s="18" t="s">
        <v>943</v>
      </c>
      <c r="I547" s="20">
        <v>1.5</v>
      </c>
      <c r="J547" s="18">
        <v>0</v>
      </c>
      <c r="K547" s="18">
        <f t="shared" ref="K547:K566" si="448">A548</f>
        <v>20801</v>
      </c>
      <c r="L547" s="18" t="s">
        <v>206</v>
      </c>
      <c r="M547" s="18" t="s">
        <v>244</v>
      </c>
      <c r="N547" s="16" t="str">
        <f t="shared" si="415"/>
        <v>10014:1</v>
      </c>
      <c r="O547" s="18">
        <f t="shared" si="425"/>
        <v>9</v>
      </c>
      <c r="P547" s="21" t="s">
        <v>4446</v>
      </c>
      <c r="Q547" s="21"/>
      <c r="R547" t="s">
        <v>4425</v>
      </c>
      <c r="T547" t="str">
        <f>RIGHT(N547,1)</f>
        <v>1</v>
      </c>
      <c r="U547" t="str">
        <f t="shared" si="414"/>
        <v>骑士</v>
      </c>
      <c r="V547" t="s">
        <v>4445</v>
      </c>
      <c r="W547">
        <f>属性类型!G547</f>
        <v>10014</v>
      </c>
      <c r="X547">
        <v>1</v>
      </c>
    </row>
    <row r="548" customFormat="1" ht="16.5" spans="1:24">
      <c r="A548" s="17">
        <f t="shared" ref="A548:A557" si="449">A547+1</f>
        <v>20801</v>
      </c>
      <c r="B548" s="17">
        <f t="shared" si="435"/>
        <v>20800</v>
      </c>
      <c r="C548" s="17" t="str">
        <f t="shared" si="436"/>
        <v>2</v>
      </c>
      <c r="D548" s="12">
        <f t="shared" si="437"/>
        <v>20001</v>
      </c>
      <c r="E548" s="17">
        <f t="shared" ref="E548:H548" si="450">E547</f>
        <v>2</v>
      </c>
      <c r="F548" s="17">
        <f t="shared" si="424"/>
        <v>1</v>
      </c>
      <c r="G548" s="17" t="str">
        <f t="shared" si="450"/>
        <v>皇家骑士攻击百分比</v>
      </c>
      <c r="H548" s="17" t="str">
        <f t="shared" si="450"/>
        <v>qibing01_Lv3</v>
      </c>
      <c r="I548" s="20">
        <v>1.5</v>
      </c>
      <c r="J548" s="17">
        <v>1</v>
      </c>
      <c r="K548" s="17">
        <f t="shared" si="448"/>
        <v>20802</v>
      </c>
      <c r="L548" s="17" t="s">
        <v>211</v>
      </c>
      <c r="M548" s="17" t="str">
        <f t="shared" ref="M548:M567" si="451">M547</f>
        <v>1:10500:5</v>
      </c>
      <c r="N548" s="16" t="str">
        <f t="shared" si="415"/>
        <v>10014:1</v>
      </c>
      <c r="O548" s="17">
        <f t="shared" si="425"/>
        <v>9</v>
      </c>
      <c r="P548" s="21" t="s">
        <v>4447</v>
      </c>
      <c r="Q548" s="21"/>
      <c r="R548" t="s">
        <v>4425</v>
      </c>
      <c r="T548" t="str">
        <f t="shared" ref="T548:T557" si="452">RIGHT(N548,2)</f>
        <v>:1</v>
      </c>
      <c r="U548" t="str">
        <f t="shared" si="414"/>
        <v>骑士</v>
      </c>
      <c r="V548" t="s">
        <v>4445</v>
      </c>
      <c r="W548">
        <f>属性类型!G548</f>
        <v>10014</v>
      </c>
      <c r="X548">
        <v>1</v>
      </c>
    </row>
    <row r="549" customFormat="1" ht="16.5" spans="1:24">
      <c r="A549" s="17">
        <f t="shared" si="449"/>
        <v>20802</v>
      </c>
      <c r="B549" s="17">
        <f t="shared" si="435"/>
        <v>20800</v>
      </c>
      <c r="C549" s="17" t="str">
        <f t="shared" si="436"/>
        <v>2</v>
      </c>
      <c r="D549" s="12">
        <f t="shared" si="437"/>
        <v>20001</v>
      </c>
      <c r="E549" s="17">
        <f t="shared" ref="E549:H549" si="453">E548</f>
        <v>2</v>
      </c>
      <c r="F549" s="17">
        <f t="shared" si="424"/>
        <v>1</v>
      </c>
      <c r="G549" s="17" t="str">
        <f t="shared" si="453"/>
        <v>皇家骑士攻击百分比</v>
      </c>
      <c r="H549" s="17" t="str">
        <f t="shared" si="453"/>
        <v>qibing01_Lv3</v>
      </c>
      <c r="I549" s="20">
        <v>1.5</v>
      </c>
      <c r="J549" s="17">
        <v>2</v>
      </c>
      <c r="K549" s="17">
        <f t="shared" si="448"/>
        <v>20803</v>
      </c>
      <c r="L549" s="17" t="s">
        <v>215</v>
      </c>
      <c r="M549" s="17" t="str">
        <f t="shared" si="451"/>
        <v>1:10500:5</v>
      </c>
      <c r="N549" s="16" t="str">
        <f t="shared" si="415"/>
        <v>10014:1</v>
      </c>
      <c r="O549" s="17">
        <f t="shared" si="425"/>
        <v>9</v>
      </c>
      <c r="P549" s="21" t="s">
        <v>4448</v>
      </c>
      <c r="Q549" s="21"/>
      <c r="R549" t="s">
        <v>4425</v>
      </c>
      <c r="T549" t="str">
        <f t="shared" si="452"/>
        <v>:1</v>
      </c>
      <c r="U549" t="str">
        <f t="shared" si="414"/>
        <v>骑士</v>
      </c>
      <c r="V549" t="s">
        <v>4445</v>
      </c>
      <c r="W549">
        <f>属性类型!G549</f>
        <v>10014</v>
      </c>
      <c r="X549">
        <v>1</v>
      </c>
    </row>
    <row r="550" customFormat="1" ht="16.5" spans="1:24">
      <c r="A550" s="17">
        <f t="shared" si="449"/>
        <v>20803</v>
      </c>
      <c r="B550" s="17">
        <f t="shared" si="435"/>
        <v>20800</v>
      </c>
      <c r="C550" s="17" t="str">
        <f t="shared" si="436"/>
        <v>2</v>
      </c>
      <c r="D550" s="12">
        <f t="shared" si="437"/>
        <v>20001</v>
      </c>
      <c r="E550" s="17">
        <f t="shared" ref="E550:H550" si="454">E549</f>
        <v>2</v>
      </c>
      <c r="F550" s="17">
        <f t="shared" si="424"/>
        <v>1</v>
      </c>
      <c r="G550" s="17" t="str">
        <f t="shared" si="454"/>
        <v>皇家骑士攻击百分比</v>
      </c>
      <c r="H550" s="17" t="str">
        <f t="shared" si="454"/>
        <v>qibing01_Lv3</v>
      </c>
      <c r="I550" s="20">
        <v>1.5</v>
      </c>
      <c r="J550" s="17">
        <v>3</v>
      </c>
      <c r="K550" s="17">
        <f t="shared" si="448"/>
        <v>20804</v>
      </c>
      <c r="L550" s="17" t="s">
        <v>218</v>
      </c>
      <c r="M550" s="17" t="str">
        <f t="shared" si="451"/>
        <v>1:10500:5</v>
      </c>
      <c r="N550" s="16" t="str">
        <f t="shared" si="415"/>
        <v>10014:1</v>
      </c>
      <c r="O550" s="17">
        <f t="shared" si="425"/>
        <v>9</v>
      </c>
      <c r="P550" s="21" t="s">
        <v>4449</v>
      </c>
      <c r="Q550" s="21"/>
      <c r="R550" t="s">
        <v>4425</v>
      </c>
      <c r="T550" t="str">
        <f t="shared" si="452"/>
        <v>:1</v>
      </c>
      <c r="U550" t="str">
        <f t="shared" si="414"/>
        <v>骑士</v>
      </c>
      <c r="V550" t="s">
        <v>4445</v>
      </c>
      <c r="W550">
        <f>属性类型!G550</f>
        <v>10014</v>
      </c>
      <c r="X550">
        <v>1</v>
      </c>
    </row>
    <row r="551" customFormat="1" ht="16.5" spans="1:24">
      <c r="A551" s="17">
        <f t="shared" si="449"/>
        <v>20804</v>
      </c>
      <c r="B551" s="17">
        <f t="shared" si="435"/>
        <v>20800</v>
      </c>
      <c r="C551" s="17" t="str">
        <f t="shared" si="436"/>
        <v>2</v>
      </c>
      <c r="D551" s="12">
        <f t="shared" si="437"/>
        <v>20001</v>
      </c>
      <c r="E551" s="17">
        <f t="shared" ref="E551:H551" si="455">E550</f>
        <v>2</v>
      </c>
      <c r="F551" s="17">
        <f t="shared" si="424"/>
        <v>1</v>
      </c>
      <c r="G551" s="17" t="str">
        <f t="shared" si="455"/>
        <v>皇家骑士攻击百分比</v>
      </c>
      <c r="H551" s="17" t="str">
        <f t="shared" si="455"/>
        <v>qibing01_Lv3</v>
      </c>
      <c r="I551" s="20">
        <v>1.5</v>
      </c>
      <c r="J551" s="17">
        <v>4</v>
      </c>
      <c r="K551" s="17">
        <f t="shared" si="448"/>
        <v>20805</v>
      </c>
      <c r="L551" s="17" t="s">
        <v>221</v>
      </c>
      <c r="M551" s="17" t="str">
        <f t="shared" si="451"/>
        <v>1:10500:5</v>
      </c>
      <c r="N551" s="16" t="str">
        <f t="shared" si="415"/>
        <v>10014:1</v>
      </c>
      <c r="O551" s="17">
        <f t="shared" si="425"/>
        <v>9</v>
      </c>
      <c r="P551" s="21" t="s">
        <v>4450</v>
      </c>
      <c r="Q551" s="21"/>
      <c r="R551" t="s">
        <v>4425</v>
      </c>
      <c r="T551" t="str">
        <f t="shared" si="452"/>
        <v>:1</v>
      </c>
      <c r="U551" t="str">
        <f t="shared" si="414"/>
        <v>骑士</v>
      </c>
      <c r="V551" t="s">
        <v>4445</v>
      </c>
      <c r="W551">
        <f>属性类型!G551</f>
        <v>10014</v>
      </c>
      <c r="X551">
        <v>1</v>
      </c>
    </row>
    <row r="552" customFormat="1" ht="16.5" spans="1:24">
      <c r="A552" s="17">
        <f t="shared" si="449"/>
        <v>20805</v>
      </c>
      <c r="B552" s="17">
        <f t="shared" si="435"/>
        <v>20800</v>
      </c>
      <c r="C552" s="17" t="str">
        <f t="shared" si="436"/>
        <v>2</v>
      </c>
      <c r="D552" s="12">
        <f t="shared" si="437"/>
        <v>20001</v>
      </c>
      <c r="E552" s="17">
        <f t="shared" ref="E552:H552" si="456">E551</f>
        <v>2</v>
      </c>
      <c r="F552" s="17">
        <f t="shared" si="424"/>
        <v>1</v>
      </c>
      <c r="G552" s="17" t="str">
        <f t="shared" si="456"/>
        <v>皇家骑士攻击百分比</v>
      </c>
      <c r="H552" s="17" t="str">
        <f t="shared" si="456"/>
        <v>qibing01_Lv3</v>
      </c>
      <c r="I552" s="20">
        <v>1.5</v>
      </c>
      <c r="J552" s="17">
        <v>5</v>
      </c>
      <c r="K552" s="17">
        <f t="shared" si="448"/>
        <v>20806</v>
      </c>
      <c r="L552" s="17" t="s">
        <v>224</v>
      </c>
      <c r="M552" s="17" t="str">
        <f t="shared" si="451"/>
        <v>1:10500:5</v>
      </c>
      <c r="N552" s="16" t="str">
        <f t="shared" si="415"/>
        <v>10014:1</v>
      </c>
      <c r="O552" s="17">
        <f t="shared" si="425"/>
        <v>9</v>
      </c>
      <c r="P552" s="21" t="s">
        <v>4451</v>
      </c>
      <c r="Q552" s="21"/>
      <c r="R552" t="s">
        <v>4425</v>
      </c>
      <c r="T552" t="str">
        <f t="shared" si="452"/>
        <v>:1</v>
      </c>
      <c r="U552" t="str">
        <f t="shared" si="414"/>
        <v>骑士</v>
      </c>
      <c r="V552" t="s">
        <v>4445</v>
      </c>
      <c r="W552">
        <f>属性类型!G552</f>
        <v>10014</v>
      </c>
      <c r="X552">
        <v>1</v>
      </c>
    </row>
    <row r="553" customFormat="1" ht="16.5" spans="1:24">
      <c r="A553" s="17">
        <f t="shared" si="449"/>
        <v>20806</v>
      </c>
      <c r="B553" s="17">
        <f t="shared" si="435"/>
        <v>20800</v>
      </c>
      <c r="C553" s="17" t="str">
        <f t="shared" si="436"/>
        <v>2</v>
      </c>
      <c r="D553" s="12">
        <f t="shared" si="437"/>
        <v>20001</v>
      </c>
      <c r="E553" s="17">
        <f t="shared" ref="E553:H553" si="457">E552</f>
        <v>2</v>
      </c>
      <c r="F553" s="17">
        <f t="shared" si="424"/>
        <v>1</v>
      </c>
      <c r="G553" s="17" t="str">
        <f t="shared" si="457"/>
        <v>皇家骑士攻击百分比</v>
      </c>
      <c r="H553" s="17" t="str">
        <f t="shared" si="457"/>
        <v>qibing01_Lv3</v>
      </c>
      <c r="I553" s="20">
        <v>1.5</v>
      </c>
      <c r="J553" s="17">
        <v>6</v>
      </c>
      <c r="K553" s="17">
        <f t="shared" si="448"/>
        <v>20807</v>
      </c>
      <c r="L553" s="17" t="s">
        <v>227</v>
      </c>
      <c r="M553" s="17" t="str">
        <f t="shared" si="451"/>
        <v>1:10500:5</v>
      </c>
      <c r="N553" s="16" t="str">
        <f t="shared" si="415"/>
        <v>10014:1</v>
      </c>
      <c r="O553" s="17">
        <f t="shared" si="425"/>
        <v>9</v>
      </c>
      <c r="P553" s="21" t="s">
        <v>4452</v>
      </c>
      <c r="Q553" s="21"/>
      <c r="R553" t="s">
        <v>4425</v>
      </c>
      <c r="T553" t="str">
        <f t="shared" si="452"/>
        <v>:1</v>
      </c>
      <c r="U553" t="str">
        <f t="shared" si="414"/>
        <v>骑士</v>
      </c>
      <c r="V553" t="s">
        <v>4445</v>
      </c>
      <c r="W553">
        <f>属性类型!G553</f>
        <v>10014</v>
      </c>
      <c r="X553">
        <v>1</v>
      </c>
    </row>
    <row r="554" customFormat="1" ht="16.5" spans="1:24">
      <c r="A554" s="17">
        <f t="shared" si="449"/>
        <v>20807</v>
      </c>
      <c r="B554" s="17">
        <f t="shared" si="435"/>
        <v>20800</v>
      </c>
      <c r="C554" s="17" t="str">
        <f t="shared" si="436"/>
        <v>2</v>
      </c>
      <c r="D554" s="12">
        <f t="shared" si="437"/>
        <v>20001</v>
      </c>
      <c r="E554" s="17">
        <f t="shared" ref="E554:H554" si="458">E553</f>
        <v>2</v>
      </c>
      <c r="F554" s="17">
        <f t="shared" si="424"/>
        <v>1</v>
      </c>
      <c r="G554" s="17" t="str">
        <f t="shared" si="458"/>
        <v>皇家骑士攻击百分比</v>
      </c>
      <c r="H554" s="17" t="str">
        <f t="shared" si="458"/>
        <v>qibing01_Lv3</v>
      </c>
      <c r="I554" s="20">
        <v>1.5</v>
      </c>
      <c r="J554" s="17">
        <v>7</v>
      </c>
      <c r="K554" s="17">
        <f t="shared" si="448"/>
        <v>20808</v>
      </c>
      <c r="L554" s="17" t="s">
        <v>230</v>
      </c>
      <c r="M554" s="17" t="str">
        <f t="shared" si="451"/>
        <v>1:10500:5</v>
      </c>
      <c r="N554" s="16" t="str">
        <f t="shared" si="415"/>
        <v>10014:1</v>
      </c>
      <c r="O554" s="17">
        <f t="shared" si="425"/>
        <v>9</v>
      </c>
      <c r="P554" s="21" t="s">
        <v>4453</v>
      </c>
      <c r="Q554" s="21"/>
      <c r="R554" t="s">
        <v>4425</v>
      </c>
      <c r="T554" t="str">
        <f t="shared" si="452"/>
        <v>:1</v>
      </c>
      <c r="U554" t="str">
        <f t="shared" si="414"/>
        <v>骑士</v>
      </c>
      <c r="V554" t="s">
        <v>4445</v>
      </c>
      <c r="W554">
        <f>属性类型!G554</f>
        <v>10014</v>
      </c>
      <c r="X554">
        <v>1</v>
      </c>
    </row>
    <row r="555" customFormat="1" ht="16.5" spans="1:24">
      <c r="A555" s="17">
        <f t="shared" si="449"/>
        <v>20808</v>
      </c>
      <c r="B555" s="17">
        <f t="shared" si="435"/>
        <v>20800</v>
      </c>
      <c r="C555" s="17" t="str">
        <f t="shared" si="436"/>
        <v>2</v>
      </c>
      <c r="D555" s="12">
        <f t="shared" si="437"/>
        <v>20001</v>
      </c>
      <c r="E555" s="17">
        <f t="shared" ref="E555:H555" si="459">E554</f>
        <v>2</v>
      </c>
      <c r="F555" s="17">
        <f t="shared" si="424"/>
        <v>1</v>
      </c>
      <c r="G555" s="17" t="str">
        <f t="shared" si="459"/>
        <v>皇家骑士攻击百分比</v>
      </c>
      <c r="H555" s="17" t="str">
        <f t="shared" si="459"/>
        <v>qibing01_Lv3</v>
      </c>
      <c r="I555" s="20">
        <v>1.5</v>
      </c>
      <c r="J555" s="17">
        <v>8</v>
      </c>
      <c r="K555" s="17">
        <f t="shared" si="448"/>
        <v>20809</v>
      </c>
      <c r="L555" s="17" t="s">
        <v>233</v>
      </c>
      <c r="M555" s="17" t="str">
        <f t="shared" si="451"/>
        <v>1:10500:5</v>
      </c>
      <c r="N555" s="16" t="str">
        <f t="shared" si="415"/>
        <v>10014:1</v>
      </c>
      <c r="O555" s="17">
        <f t="shared" si="425"/>
        <v>9</v>
      </c>
      <c r="P555" s="21" t="s">
        <v>4454</v>
      </c>
      <c r="Q555" s="21"/>
      <c r="R555" t="s">
        <v>4425</v>
      </c>
      <c r="T555" t="str">
        <f t="shared" si="452"/>
        <v>:1</v>
      </c>
      <c r="U555" t="str">
        <f t="shared" si="414"/>
        <v>骑士</v>
      </c>
      <c r="V555" t="s">
        <v>4445</v>
      </c>
      <c r="W555">
        <f>属性类型!G555</f>
        <v>10014</v>
      </c>
      <c r="X555">
        <v>1</v>
      </c>
    </row>
    <row r="556" customFormat="1" ht="16.5" spans="1:24">
      <c r="A556" s="17">
        <f t="shared" si="449"/>
        <v>20809</v>
      </c>
      <c r="B556" s="17">
        <f t="shared" si="435"/>
        <v>20800</v>
      </c>
      <c r="C556" s="17" t="str">
        <f t="shared" si="436"/>
        <v>2</v>
      </c>
      <c r="D556" s="12">
        <f t="shared" si="437"/>
        <v>20001</v>
      </c>
      <c r="E556" s="17">
        <f t="shared" ref="E556:H556" si="460">E555</f>
        <v>2</v>
      </c>
      <c r="F556" s="17">
        <f t="shared" si="424"/>
        <v>1</v>
      </c>
      <c r="G556" s="17" t="str">
        <f t="shared" si="460"/>
        <v>皇家骑士攻击百分比</v>
      </c>
      <c r="H556" s="17" t="str">
        <f t="shared" si="460"/>
        <v>qibing01_Lv3</v>
      </c>
      <c r="I556" s="20">
        <v>1.5</v>
      </c>
      <c r="J556" s="17">
        <v>9</v>
      </c>
      <c r="K556" s="17">
        <f t="shared" si="448"/>
        <v>20810</v>
      </c>
      <c r="L556" s="17" t="s">
        <v>236</v>
      </c>
      <c r="M556" s="17" t="str">
        <f t="shared" si="451"/>
        <v>1:10500:5</v>
      </c>
      <c r="N556" s="16" t="str">
        <f t="shared" si="415"/>
        <v>10014:1</v>
      </c>
      <c r="O556" s="17">
        <f t="shared" si="425"/>
        <v>9</v>
      </c>
      <c r="P556" s="21" t="s">
        <v>4455</v>
      </c>
      <c r="Q556" s="21"/>
      <c r="R556" t="s">
        <v>4425</v>
      </c>
      <c r="T556" t="str">
        <f t="shared" si="452"/>
        <v>:1</v>
      </c>
      <c r="U556" t="str">
        <f t="shared" si="414"/>
        <v>骑士</v>
      </c>
      <c r="V556" t="s">
        <v>4445</v>
      </c>
      <c r="W556">
        <f>属性类型!G556</f>
        <v>10014</v>
      </c>
      <c r="X556">
        <v>1</v>
      </c>
    </row>
    <row r="557" customFormat="1" ht="16.5" spans="1:24">
      <c r="A557" s="17">
        <f t="shared" ref="A557:A568" si="461">A556+1</f>
        <v>20810</v>
      </c>
      <c r="B557" s="17">
        <f t="shared" si="435"/>
        <v>20800</v>
      </c>
      <c r="C557" s="17" t="str">
        <f t="shared" si="436"/>
        <v>2</v>
      </c>
      <c r="D557" s="12">
        <f t="shared" si="437"/>
        <v>20001</v>
      </c>
      <c r="E557" s="17">
        <f t="shared" ref="E557:H557" si="462">E556</f>
        <v>2</v>
      </c>
      <c r="F557" s="17">
        <f t="shared" si="424"/>
        <v>1</v>
      </c>
      <c r="G557" s="17" t="str">
        <f t="shared" si="462"/>
        <v>皇家骑士攻击百分比</v>
      </c>
      <c r="H557" s="17" t="str">
        <f t="shared" si="462"/>
        <v>qibing01_Lv3</v>
      </c>
      <c r="I557" s="20">
        <v>1.5</v>
      </c>
      <c r="J557" s="17">
        <v>10</v>
      </c>
      <c r="K557" s="17">
        <f t="shared" si="448"/>
        <v>20811</v>
      </c>
      <c r="L557" s="17" t="s">
        <v>238</v>
      </c>
      <c r="M557" s="17" t="str">
        <f t="shared" si="451"/>
        <v>1:10500:5</v>
      </c>
      <c r="N557" s="16" t="str">
        <f t="shared" si="415"/>
        <v>10014:1</v>
      </c>
      <c r="O557" s="17">
        <f t="shared" si="425"/>
        <v>9</v>
      </c>
      <c r="P557" s="21" t="s">
        <v>4456</v>
      </c>
      <c r="Q557" s="21"/>
      <c r="R557" t="s">
        <v>4425</v>
      </c>
      <c r="T557" t="str">
        <f t="shared" si="452"/>
        <v>:1</v>
      </c>
      <c r="U557" t="str">
        <f t="shared" si="414"/>
        <v>骑士</v>
      </c>
      <c r="V557" t="s">
        <v>4445</v>
      </c>
      <c r="W557">
        <f>属性类型!G557</f>
        <v>10014</v>
      </c>
      <c r="X557">
        <v>1</v>
      </c>
    </row>
    <row r="558" customFormat="1" ht="16.5" spans="1:24">
      <c r="A558" s="17">
        <f t="shared" si="461"/>
        <v>20811</v>
      </c>
      <c r="B558" s="17">
        <f t="shared" ref="B558:B578" si="463">ROUND(A558,-2)</f>
        <v>20800</v>
      </c>
      <c r="C558" s="17" t="str">
        <f t="shared" ref="C558:C578" si="464">LEFT(A558,1)</f>
        <v>2</v>
      </c>
      <c r="D558" s="12">
        <f t="shared" ref="D558:D578" si="465">$A$469+F558</f>
        <v>20001</v>
      </c>
      <c r="E558" s="17">
        <f t="shared" ref="E558:H558" si="466">E557</f>
        <v>2</v>
      </c>
      <c r="F558" s="17">
        <f t="shared" si="424"/>
        <v>1</v>
      </c>
      <c r="G558" s="17" t="str">
        <f t="shared" si="466"/>
        <v>皇家骑士攻击百分比</v>
      </c>
      <c r="H558" s="17" t="str">
        <f t="shared" si="466"/>
        <v>qibing01_Lv3</v>
      </c>
      <c r="I558" s="20">
        <v>1.5</v>
      </c>
      <c r="J558" s="17">
        <v>11</v>
      </c>
      <c r="K558" s="17">
        <f t="shared" si="448"/>
        <v>20812</v>
      </c>
      <c r="L558" s="17" t="s">
        <v>529</v>
      </c>
      <c r="M558" s="17" t="str">
        <f t="shared" si="451"/>
        <v>1:10500:5</v>
      </c>
      <c r="N558" s="16" t="str">
        <f t="shared" si="415"/>
        <v>10014:1</v>
      </c>
      <c r="O558" s="17">
        <f t="shared" si="425"/>
        <v>9</v>
      </c>
      <c r="P558" s="21" t="s">
        <v>4457</v>
      </c>
      <c r="Q558" s="21"/>
      <c r="R558" t="s">
        <v>4425</v>
      </c>
      <c r="U558" t="str">
        <f t="shared" si="414"/>
        <v>骑士</v>
      </c>
      <c r="V558" t="s">
        <v>4445</v>
      </c>
      <c r="W558">
        <f>属性类型!G558</f>
        <v>10014</v>
      </c>
      <c r="X558">
        <v>1</v>
      </c>
    </row>
    <row r="559" customFormat="1" ht="16.5" spans="1:24">
      <c r="A559" s="17">
        <f t="shared" si="461"/>
        <v>20812</v>
      </c>
      <c r="B559" s="17">
        <f t="shared" si="463"/>
        <v>20800</v>
      </c>
      <c r="C559" s="17" t="str">
        <f t="shared" si="464"/>
        <v>2</v>
      </c>
      <c r="D559" s="12">
        <f t="shared" si="465"/>
        <v>20001</v>
      </c>
      <c r="E559" s="17">
        <f t="shared" ref="E559:H559" si="467">E558</f>
        <v>2</v>
      </c>
      <c r="F559" s="17">
        <f t="shared" si="424"/>
        <v>1</v>
      </c>
      <c r="G559" s="17" t="str">
        <f t="shared" si="467"/>
        <v>皇家骑士攻击百分比</v>
      </c>
      <c r="H559" s="17" t="str">
        <f t="shared" si="467"/>
        <v>qibing01_Lv3</v>
      </c>
      <c r="I559" s="20">
        <v>1.5</v>
      </c>
      <c r="J559" s="17">
        <v>12</v>
      </c>
      <c r="K559" s="17">
        <f t="shared" si="448"/>
        <v>20813</v>
      </c>
      <c r="L559" s="17" t="s">
        <v>532</v>
      </c>
      <c r="M559" s="17" t="str">
        <f t="shared" si="451"/>
        <v>1:10500:5</v>
      </c>
      <c r="N559" s="16" t="str">
        <f t="shared" si="415"/>
        <v>10014:1</v>
      </c>
      <c r="O559" s="17">
        <f t="shared" si="425"/>
        <v>9</v>
      </c>
      <c r="P559" s="21" t="s">
        <v>4458</v>
      </c>
      <c r="Q559" s="21"/>
      <c r="R559" t="s">
        <v>4425</v>
      </c>
      <c r="U559" t="str">
        <f t="shared" si="414"/>
        <v>骑士</v>
      </c>
      <c r="V559" t="s">
        <v>4445</v>
      </c>
      <c r="W559">
        <f>属性类型!G559</f>
        <v>10014</v>
      </c>
      <c r="X559">
        <v>1</v>
      </c>
    </row>
    <row r="560" customFormat="1" ht="16.5" spans="1:24">
      <c r="A560" s="17">
        <f t="shared" si="461"/>
        <v>20813</v>
      </c>
      <c r="B560" s="17">
        <f t="shared" si="463"/>
        <v>20800</v>
      </c>
      <c r="C560" s="17" t="str">
        <f t="shared" si="464"/>
        <v>2</v>
      </c>
      <c r="D560" s="12">
        <f t="shared" si="465"/>
        <v>20001</v>
      </c>
      <c r="E560" s="17">
        <f t="shared" ref="E560:H560" si="468">E559</f>
        <v>2</v>
      </c>
      <c r="F560" s="17">
        <f t="shared" si="424"/>
        <v>1</v>
      </c>
      <c r="G560" s="17" t="str">
        <f t="shared" si="468"/>
        <v>皇家骑士攻击百分比</v>
      </c>
      <c r="H560" s="17" t="str">
        <f t="shared" si="468"/>
        <v>qibing01_Lv3</v>
      </c>
      <c r="I560" s="20">
        <v>1.5</v>
      </c>
      <c r="J560" s="17">
        <v>13</v>
      </c>
      <c r="K560" s="17">
        <f t="shared" si="448"/>
        <v>20814</v>
      </c>
      <c r="L560" s="17" t="s">
        <v>561</v>
      </c>
      <c r="M560" s="17" t="str">
        <f t="shared" si="451"/>
        <v>1:10500:5</v>
      </c>
      <c r="N560" s="16" t="str">
        <f t="shared" si="415"/>
        <v>10014:1</v>
      </c>
      <c r="O560" s="17">
        <f t="shared" si="425"/>
        <v>9</v>
      </c>
      <c r="P560" s="21" t="s">
        <v>4459</v>
      </c>
      <c r="Q560" s="21"/>
      <c r="R560" t="s">
        <v>4425</v>
      </c>
      <c r="U560" t="str">
        <f t="shared" si="414"/>
        <v>骑士</v>
      </c>
      <c r="V560" t="s">
        <v>4445</v>
      </c>
      <c r="W560">
        <f>属性类型!G560</f>
        <v>10014</v>
      </c>
      <c r="X560">
        <v>1</v>
      </c>
    </row>
    <row r="561" customFormat="1" ht="16.5" spans="1:24">
      <c r="A561" s="17">
        <f t="shared" si="461"/>
        <v>20814</v>
      </c>
      <c r="B561" s="17">
        <f t="shared" si="463"/>
        <v>20800</v>
      </c>
      <c r="C561" s="17" t="str">
        <f t="shared" si="464"/>
        <v>2</v>
      </c>
      <c r="D561" s="12">
        <f t="shared" si="465"/>
        <v>20001</v>
      </c>
      <c r="E561" s="17">
        <f t="shared" ref="E561:H561" si="469">E560</f>
        <v>2</v>
      </c>
      <c r="F561" s="17">
        <f t="shared" si="424"/>
        <v>1</v>
      </c>
      <c r="G561" s="17" t="str">
        <f t="shared" si="469"/>
        <v>皇家骑士攻击百分比</v>
      </c>
      <c r="H561" s="17" t="str">
        <f t="shared" si="469"/>
        <v>qibing01_Lv3</v>
      </c>
      <c r="I561" s="20">
        <v>1.5</v>
      </c>
      <c r="J561" s="17">
        <v>14</v>
      </c>
      <c r="K561" s="17">
        <f t="shared" si="448"/>
        <v>20815</v>
      </c>
      <c r="L561" s="17" t="s">
        <v>564</v>
      </c>
      <c r="M561" s="17" t="str">
        <f t="shared" si="451"/>
        <v>1:10500:5</v>
      </c>
      <c r="N561" s="16" t="str">
        <f t="shared" si="415"/>
        <v>10014:1</v>
      </c>
      <c r="O561" s="17">
        <f t="shared" si="425"/>
        <v>9</v>
      </c>
      <c r="P561" s="21" t="s">
        <v>4460</v>
      </c>
      <c r="Q561" s="21"/>
      <c r="R561" t="s">
        <v>4425</v>
      </c>
      <c r="U561" t="str">
        <f t="shared" si="414"/>
        <v>骑士</v>
      </c>
      <c r="V561" t="s">
        <v>4445</v>
      </c>
      <c r="W561">
        <f>属性类型!G561</f>
        <v>10014</v>
      </c>
      <c r="X561">
        <v>1</v>
      </c>
    </row>
    <row r="562" customFormat="1" ht="16.5" spans="1:24">
      <c r="A562" s="17">
        <f t="shared" si="461"/>
        <v>20815</v>
      </c>
      <c r="B562" s="17">
        <f t="shared" si="463"/>
        <v>20800</v>
      </c>
      <c r="C562" s="17" t="str">
        <f t="shared" si="464"/>
        <v>2</v>
      </c>
      <c r="D562" s="12">
        <f t="shared" si="465"/>
        <v>20001</v>
      </c>
      <c r="E562" s="17">
        <f t="shared" ref="E562:H562" si="470">E561</f>
        <v>2</v>
      </c>
      <c r="F562" s="17">
        <f t="shared" si="424"/>
        <v>1</v>
      </c>
      <c r="G562" s="17" t="str">
        <f t="shared" si="470"/>
        <v>皇家骑士攻击百分比</v>
      </c>
      <c r="H562" s="17" t="str">
        <f t="shared" si="470"/>
        <v>qibing01_Lv3</v>
      </c>
      <c r="I562" s="20">
        <v>1.5</v>
      </c>
      <c r="J562" s="17">
        <v>15</v>
      </c>
      <c r="K562" s="17">
        <f t="shared" si="448"/>
        <v>20816</v>
      </c>
      <c r="L562" s="17" t="s">
        <v>630</v>
      </c>
      <c r="M562" s="17" t="str">
        <f t="shared" si="451"/>
        <v>1:10500:5</v>
      </c>
      <c r="N562" s="16" t="str">
        <f t="shared" si="415"/>
        <v>10014:1</v>
      </c>
      <c r="O562" s="17">
        <f t="shared" si="425"/>
        <v>9</v>
      </c>
      <c r="P562" s="21" t="s">
        <v>4461</v>
      </c>
      <c r="Q562" s="21"/>
      <c r="R562" t="s">
        <v>4425</v>
      </c>
      <c r="U562" t="str">
        <f t="shared" si="414"/>
        <v>骑士</v>
      </c>
      <c r="V562" t="s">
        <v>4445</v>
      </c>
      <c r="W562">
        <f>属性类型!G562</f>
        <v>10014</v>
      </c>
      <c r="X562">
        <v>1</v>
      </c>
    </row>
    <row r="563" customFormat="1" ht="16.5" spans="1:24">
      <c r="A563" s="17">
        <f t="shared" si="461"/>
        <v>20816</v>
      </c>
      <c r="B563" s="17">
        <f t="shared" si="463"/>
        <v>20800</v>
      </c>
      <c r="C563" s="17" t="str">
        <f t="shared" si="464"/>
        <v>2</v>
      </c>
      <c r="D563" s="12">
        <f t="shared" si="465"/>
        <v>20001</v>
      </c>
      <c r="E563" s="17">
        <f t="shared" ref="E563:H563" si="471">E562</f>
        <v>2</v>
      </c>
      <c r="F563" s="17">
        <f t="shared" si="424"/>
        <v>1</v>
      </c>
      <c r="G563" s="17" t="str">
        <f t="shared" si="471"/>
        <v>皇家骑士攻击百分比</v>
      </c>
      <c r="H563" s="17" t="str">
        <f t="shared" si="471"/>
        <v>qibing01_Lv3</v>
      </c>
      <c r="I563" s="20">
        <v>1.5</v>
      </c>
      <c r="J563" s="17">
        <v>16</v>
      </c>
      <c r="K563" s="17">
        <f t="shared" si="448"/>
        <v>20817</v>
      </c>
      <c r="L563" s="17" t="s">
        <v>633</v>
      </c>
      <c r="M563" s="17" t="str">
        <f t="shared" si="451"/>
        <v>1:10500:5</v>
      </c>
      <c r="N563" s="16" t="str">
        <f t="shared" si="415"/>
        <v>10014:1</v>
      </c>
      <c r="O563" s="17">
        <f t="shared" si="425"/>
        <v>9</v>
      </c>
      <c r="P563" s="21" t="s">
        <v>4462</v>
      </c>
      <c r="Q563" s="21"/>
      <c r="R563" t="s">
        <v>4425</v>
      </c>
      <c r="U563" t="str">
        <f t="shared" si="414"/>
        <v>骑士</v>
      </c>
      <c r="V563" t="s">
        <v>4445</v>
      </c>
      <c r="W563">
        <f>属性类型!G563</f>
        <v>10014</v>
      </c>
      <c r="X563">
        <v>1</v>
      </c>
    </row>
    <row r="564" customFormat="1" ht="16.5" spans="1:24">
      <c r="A564" s="17">
        <f t="shared" si="461"/>
        <v>20817</v>
      </c>
      <c r="B564" s="17">
        <f t="shared" si="463"/>
        <v>20800</v>
      </c>
      <c r="C564" s="17" t="str">
        <f t="shared" si="464"/>
        <v>2</v>
      </c>
      <c r="D564" s="12">
        <f t="shared" si="465"/>
        <v>20001</v>
      </c>
      <c r="E564" s="17">
        <f t="shared" ref="E564:H564" si="472">E563</f>
        <v>2</v>
      </c>
      <c r="F564" s="17">
        <f t="shared" si="424"/>
        <v>1</v>
      </c>
      <c r="G564" s="17" t="str">
        <f t="shared" si="472"/>
        <v>皇家骑士攻击百分比</v>
      </c>
      <c r="H564" s="17" t="str">
        <f t="shared" si="472"/>
        <v>qibing01_Lv3</v>
      </c>
      <c r="I564" s="20">
        <v>1.5</v>
      </c>
      <c r="J564" s="17">
        <v>17</v>
      </c>
      <c r="K564" s="17">
        <f t="shared" si="448"/>
        <v>20818</v>
      </c>
      <c r="L564" s="17" t="s">
        <v>637</v>
      </c>
      <c r="M564" s="17" t="str">
        <f t="shared" si="451"/>
        <v>1:10500:5</v>
      </c>
      <c r="N564" s="16" t="str">
        <f t="shared" si="415"/>
        <v>10014:1</v>
      </c>
      <c r="O564" s="17">
        <f t="shared" si="425"/>
        <v>9</v>
      </c>
      <c r="P564" s="21" t="s">
        <v>4463</v>
      </c>
      <c r="Q564" s="21"/>
      <c r="R564" t="s">
        <v>4425</v>
      </c>
      <c r="U564" t="str">
        <f t="shared" si="414"/>
        <v>骑士</v>
      </c>
      <c r="V564" t="s">
        <v>4445</v>
      </c>
      <c r="W564">
        <f>属性类型!G564</f>
        <v>10014</v>
      </c>
      <c r="X564">
        <v>1</v>
      </c>
    </row>
    <row r="565" customFormat="1" ht="16.5" spans="1:24">
      <c r="A565" s="17">
        <f t="shared" si="461"/>
        <v>20818</v>
      </c>
      <c r="B565" s="17">
        <f t="shared" si="463"/>
        <v>20800</v>
      </c>
      <c r="C565" s="17" t="str">
        <f t="shared" si="464"/>
        <v>2</v>
      </c>
      <c r="D565" s="12">
        <f t="shared" si="465"/>
        <v>20001</v>
      </c>
      <c r="E565" s="17">
        <f t="shared" ref="E565:H565" si="473">E564</f>
        <v>2</v>
      </c>
      <c r="F565" s="17">
        <f t="shared" si="424"/>
        <v>1</v>
      </c>
      <c r="G565" s="17" t="str">
        <f t="shared" si="473"/>
        <v>皇家骑士攻击百分比</v>
      </c>
      <c r="H565" s="17" t="str">
        <f t="shared" si="473"/>
        <v>qibing01_Lv3</v>
      </c>
      <c r="I565" s="20">
        <v>1.5</v>
      </c>
      <c r="J565" s="17">
        <v>18</v>
      </c>
      <c r="K565" s="17">
        <f t="shared" si="448"/>
        <v>20819</v>
      </c>
      <c r="L565" s="17" t="s">
        <v>641</v>
      </c>
      <c r="M565" s="17" t="str">
        <f t="shared" si="451"/>
        <v>1:10500:5</v>
      </c>
      <c r="N565" s="16" t="str">
        <f t="shared" si="415"/>
        <v>10014:1</v>
      </c>
      <c r="O565" s="17">
        <f t="shared" si="425"/>
        <v>9</v>
      </c>
      <c r="P565" s="21" t="s">
        <v>4464</v>
      </c>
      <c r="Q565" s="21"/>
      <c r="R565" t="s">
        <v>4425</v>
      </c>
      <c r="U565" t="str">
        <f t="shared" si="414"/>
        <v>骑士</v>
      </c>
      <c r="V565" t="s">
        <v>4445</v>
      </c>
      <c r="W565">
        <f>属性类型!G565</f>
        <v>10014</v>
      </c>
      <c r="X565">
        <v>1</v>
      </c>
    </row>
    <row r="566" customFormat="1" ht="16.5" spans="1:24">
      <c r="A566" s="17">
        <f t="shared" si="461"/>
        <v>20819</v>
      </c>
      <c r="B566" s="17">
        <f t="shared" si="463"/>
        <v>20800</v>
      </c>
      <c r="C566" s="17" t="str">
        <f t="shared" si="464"/>
        <v>2</v>
      </c>
      <c r="D566" s="12">
        <f t="shared" si="465"/>
        <v>20001</v>
      </c>
      <c r="E566" s="17">
        <f t="shared" ref="E566:H566" si="474">E565</f>
        <v>2</v>
      </c>
      <c r="F566" s="17">
        <f t="shared" si="424"/>
        <v>1</v>
      </c>
      <c r="G566" s="17" t="str">
        <f t="shared" si="474"/>
        <v>皇家骑士攻击百分比</v>
      </c>
      <c r="H566" s="17" t="str">
        <f t="shared" si="474"/>
        <v>qibing01_Lv3</v>
      </c>
      <c r="I566" s="20">
        <v>1.5</v>
      </c>
      <c r="J566" s="17">
        <v>19</v>
      </c>
      <c r="K566" s="17">
        <f t="shared" si="448"/>
        <v>20820</v>
      </c>
      <c r="L566" s="17" t="s">
        <v>645</v>
      </c>
      <c r="M566" s="17" t="str">
        <f t="shared" si="451"/>
        <v>1:10500:5</v>
      </c>
      <c r="N566" s="16" t="str">
        <f t="shared" si="415"/>
        <v>10014:1</v>
      </c>
      <c r="O566" s="17">
        <f t="shared" si="425"/>
        <v>9</v>
      </c>
      <c r="P566" s="21" t="s">
        <v>4465</v>
      </c>
      <c r="Q566" s="21"/>
      <c r="R566" t="s">
        <v>4425</v>
      </c>
      <c r="U566" t="str">
        <f t="shared" si="414"/>
        <v>骑士</v>
      </c>
      <c r="V566" t="s">
        <v>4445</v>
      </c>
      <c r="W566">
        <f>属性类型!G566</f>
        <v>10014</v>
      </c>
      <c r="X566">
        <v>1</v>
      </c>
    </row>
    <row r="567" customFormat="1" ht="16.5" spans="1:24">
      <c r="A567" s="17">
        <f t="shared" si="461"/>
        <v>20820</v>
      </c>
      <c r="B567" s="17">
        <f t="shared" si="463"/>
        <v>20800</v>
      </c>
      <c r="C567" s="17" t="str">
        <f t="shared" si="464"/>
        <v>2</v>
      </c>
      <c r="D567" s="12">
        <f t="shared" si="465"/>
        <v>20001</v>
      </c>
      <c r="E567" s="17">
        <f t="shared" ref="E567:H567" si="475">E566</f>
        <v>2</v>
      </c>
      <c r="F567" s="17">
        <f t="shared" si="424"/>
        <v>1</v>
      </c>
      <c r="G567" s="17" t="str">
        <f t="shared" si="475"/>
        <v>皇家骑士攻击百分比</v>
      </c>
      <c r="H567" s="17" t="str">
        <f t="shared" si="475"/>
        <v>qibing01_Lv3</v>
      </c>
      <c r="I567" s="20">
        <v>1.5</v>
      </c>
      <c r="J567" s="17">
        <v>20</v>
      </c>
      <c r="K567" s="17">
        <v>0</v>
      </c>
      <c r="L567" s="17">
        <v>0</v>
      </c>
      <c r="M567" s="17" t="str">
        <f t="shared" si="451"/>
        <v>1:10500:5</v>
      </c>
      <c r="N567" s="16" t="str">
        <f t="shared" si="415"/>
        <v>10014:1</v>
      </c>
      <c r="O567" s="17">
        <f t="shared" si="425"/>
        <v>9</v>
      </c>
      <c r="P567" s="21" t="s">
        <v>4465</v>
      </c>
      <c r="Q567" s="21"/>
      <c r="R567" t="s">
        <v>4425</v>
      </c>
      <c r="U567" t="str">
        <f t="shared" si="414"/>
        <v>骑士</v>
      </c>
      <c r="V567" t="s">
        <v>4445</v>
      </c>
      <c r="W567">
        <f>属性类型!G567</f>
        <v>10014</v>
      </c>
      <c r="X567">
        <v>1</v>
      </c>
    </row>
    <row r="568" customFormat="1" ht="16.5" spans="1:24">
      <c r="A568" s="18">
        <f>A547+100</f>
        <v>20900</v>
      </c>
      <c r="B568" s="18">
        <f t="shared" si="463"/>
        <v>20900</v>
      </c>
      <c r="C568" s="18" t="str">
        <f t="shared" si="464"/>
        <v>2</v>
      </c>
      <c r="D568" s="12">
        <f t="shared" si="465"/>
        <v>20001</v>
      </c>
      <c r="E568" s="17">
        <v>2</v>
      </c>
      <c r="F568" s="18">
        <f t="shared" si="424"/>
        <v>1</v>
      </c>
      <c r="G568" s="18" t="s">
        <v>4466</v>
      </c>
      <c r="H568" s="18" t="s">
        <v>943</v>
      </c>
      <c r="I568" s="20">
        <v>1.5</v>
      </c>
      <c r="J568" s="18">
        <v>0</v>
      </c>
      <c r="K568" s="18">
        <f t="shared" ref="K568:K587" si="476">A569</f>
        <v>20901</v>
      </c>
      <c r="L568" s="18" t="s">
        <v>206</v>
      </c>
      <c r="M568" s="18" t="s">
        <v>271</v>
      </c>
      <c r="N568" s="16" t="str">
        <f t="shared" si="415"/>
        <v>10015:1</v>
      </c>
      <c r="O568" s="18">
        <f t="shared" si="425"/>
        <v>10</v>
      </c>
      <c r="P568" s="21" t="s">
        <v>4467</v>
      </c>
      <c r="Q568" s="21"/>
      <c r="R568" t="s">
        <v>4425</v>
      </c>
      <c r="T568" t="str">
        <f>RIGHT(N568,1)</f>
        <v>1</v>
      </c>
      <c r="U568" t="str">
        <f t="shared" si="414"/>
        <v>骑士</v>
      </c>
      <c r="V568" t="s">
        <v>4466</v>
      </c>
      <c r="W568">
        <f>属性类型!G568</f>
        <v>10015</v>
      </c>
      <c r="X568">
        <v>1</v>
      </c>
    </row>
    <row r="569" customFormat="1" ht="16.5" spans="1:24">
      <c r="A569" s="17">
        <f t="shared" ref="A569:A578" si="477">A568+1</f>
        <v>20901</v>
      </c>
      <c r="B569" s="17">
        <f t="shared" si="463"/>
        <v>20900</v>
      </c>
      <c r="C569" s="17" t="str">
        <f t="shared" si="464"/>
        <v>2</v>
      </c>
      <c r="D569" s="12">
        <f t="shared" si="465"/>
        <v>20001</v>
      </c>
      <c r="E569" s="17">
        <f t="shared" ref="E569:H569" si="478">E568</f>
        <v>2</v>
      </c>
      <c r="F569" s="17">
        <f t="shared" si="424"/>
        <v>1</v>
      </c>
      <c r="G569" s="17" t="str">
        <f t="shared" si="478"/>
        <v>皇家骑士魔防百分比</v>
      </c>
      <c r="H569" s="17" t="str">
        <f t="shared" si="478"/>
        <v>qibing01_Lv3</v>
      </c>
      <c r="I569" s="20">
        <v>1.5</v>
      </c>
      <c r="J569" s="17">
        <v>1</v>
      </c>
      <c r="K569" s="17">
        <f t="shared" si="476"/>
        <v>20902</v>
      </c>
      <c r="L569" s="17" t="s">
        <v>211</v>
      </c>
      <c r="M569" s="17" t="str">
        <f t="shared" ref="M569:M588" si="479">M568</f>
        <v>1:10600:5</v>
      </c>
      <c r="N569" s="16" t="str">
        <f t="shared" si="415"/>
        <v>10015:1</v>
      </c>
      <c r="O569" s="17">
        <f t="shared" si="425"/>
        <v>10</v>
      </c>
      <c r="P569" s="21" t="s">
        <v>4468</v>
      </c>
      <c r="Q569" s="21"/>
      <c r="R569" t="s">
        <v>4425</v>
      </c>
      <c r="T569" t="str">
        <f t="shared" ref="T569:T578" si="480">RIGHT(N569,2)</f>
        <v>:1</v>
      </c>
      <c r="U569" t="str">
        <f t="shared" si="414"/>
        <v>骑士</v>
      </c>
      <c r="V569" t="s">
        <v>4466</v>
      </c>
      <c r="W569">
        <f>属性类型!G569</f>
        <v>10015</v>
      </c>
      <c r="X569">
        <v>1</v>
      </c>
    </row>
    <row r="570" customFormat="1" ht="16.5" spans="1:24">
      <c r="A570" s="17">
        <f t="shared" si="477"/>
        <v>20902</v>
      </c>
      <c r="B570" s="17">
        <f t="shared" si="463"/>
        <v>20900</v>
      </c>
      <c r="C570" s="17" t="str">
        <f t="shared" si="464"/>
        <v>2</v>
      </c>
      <c r="D570" s="12">
        <f t="shared" si="465"/>
        <v>20001</v>
      </c>
      <c r="E570" s="17">
        <f t="shared" ref="E570:H570" si="481">E569</f>
        <v>2</v>
      </c>
      <c r="F570" s="17">
        <f t="shared" si="424"/>
        <v>1</v>
      </c>
      <c r="G570" s="17" t="str">
        <f t="shared" si="481"/>
        <v>皇家骑士魔防百分比</v>
      </c>
      <c r="H570" s="17" t="str">
        <f t="shared" si="481"/>
        <v>qibing01_Lv3</v>
      </c>
      <c r="I570" s="20">
        <v>1.5</v>
      </c>
      <c r="J570" s="17">
        <v>2</v>
      </c>
      <c r="K570" s="17">
        <f t="shared" si="476"/>
        <v>20903</v>
      </c>
      <c r="L570" s="17" t="s">
        <v>215</v>
      </c>
      <c r="M570" s="17" t="str">
        <f t="shared" si="479"/>
        <v>1:10600:5</v>
      </c>
      <c r="N570" s="16" t="str">
        <f t="shared" si="415"/>
        <v>10015:1</v>
      </c>
      <c r="O570" s="17">
        <f t="shared" si="425"/>
        <v>10</v>
      </c>
      <c r="P570" s="21" t="s">
        <v>4469</v>
      </c>
      <c r="Q570" s="21"/>
      <c r="R570" t="s">
        <v>4425</v>
      </c>
      <c r="T570" t="str">
        <f t="shared" si="480"/>
        <v>:1</v>
      </c>
      <c r="U570" t="str">
        <f t="shared" si="414"/>
        <v>骑士</v>
      </c>
      <c r="V570" t="s">
        <v>4466</v>
      </c>
      <c r="W570">
        <f>属性类型!G570</f>
        <v>10015</v>
      </c>
      <c r="X570">
        <v>1</v>
      </c>
    </row>
    <row r="571" customFormat="1" ht="16.5" spans="1:24">
      <c r="A571" s="17">
        <f t="shared" si="477"/>
        <v>20903</v>
      </c>
      <c r="B571" s="17">
        <f t="shared" si="463"/>
        <v>20900</v>
      </c>
      <c r="C571" s="17" t="str">
        <f t="shared" si="464"/>
        <v>2</v>
      </c>
      <c r="D571" s="12">
        <f t="shared" si="465"/>
        <v>20001</v>
      </c>
      <c r="E571" s="17">
        <f t="shared" ref="E571:H571" si="482">E570</f>
        <v>2</v>
      </c>
      <c r="F571" s="17">
        <f t="shared" si="424"/>
        <v>1</v>
      </c>
      <c r="G571" s="17" t="str">
        <f t="shared" si="482"/>
        <v>皇家骑士魔防百分比</v>
      </c>
      <c r="H571" s="17" t="str">
        <f t="shared" si="482"/>
        <v>qibing01_Lv3</v>
      </c>
      <c r="I571" s="20">
        <v>1.5</v>
      </c>
      <c r="J571" s="17">
        <v>3</v>
      </c>
      <c r="K571" s="17">
        <f t="shared" si="476"/>
        <v>20904</v>
      </c>
      <c r="L571" s="17" t="s">
        <v>218</v>
      </c>
      <c r="M571" s="17" t="str">
        <f t="shared" si="479"/>
        <v>1:10600:5</v>
      </c>
      <c r="N571" s="16" t="str">
        <f t="shared" si="415"/>
        <v>10015:1</v>
      </c>
      <c r="O571" s="17">
        <f t="shared" si="425"/>
        <v>10</v>
      </c>
      <c r="P571" s="21" t="s">
        <v>4470</v>
      </c>
      <c r="Q571" s="21"/>
      <c r="R571" t="s">
        <v>4425</v>
      </c>
      <c r="T571" t="str">
        <f t="shared" si="480"/>
        <v>:1</v>
      </c>
      <c r="U571" t="str">
        <f t="shared" si="414"/>
        <v>骑士</v>
      </c>
      <c r="V571" t="s">
        <v>4466</v>
      </c>
      <c r="W571">
        <f>属性类型!G571</f>
        <v>10015</v>
      </c>
      <c r="X571">
        <v>1</v>
      </c>
    </row>
    <row r="572" customFormat="1" ht="16.5" spans="1:24">
      <c r="A572" s="17">
        <f t="shared" si="477"/>
        <v>20904</v>
      </c>
      <c r="B572" s="17">
        <f t="shared" si="463"/>
        <v>20900</v>
      </c>
      <c r="C572" s="17" t="str">
        <f t="shared" si="464"/>
        <v>2</v>
      </c>
      <c r="D572" s="12">
        <f t="shared" si="465"/>
        <v>20001</v>
      </c>
      <c r="E572" s="17">
        <f t="shared" ref="E572:H572" si="483">E571</f>
        <v>2</v>
      </c>
      <c r="F572" s="17">
        <f t="shared" si="424"/>
        <v>1</v>
      </c>
      <c r="G572" s="17" t="str">
        <f t="shared" si="483"/>
        <v>皇家骑士魔防百分比</v>
      </c>
      <c r="H572" s="17" t="str">
        <f t="shared" si="483"/>
        <v>qibing01_Lv3</v>
      </c>
      <c r="I572" s="20">
        <v>1.5</v>
      </c>
      <c r="J572" s="17">
        <v>4</v>
      </c>
      <c r="K572" s="17">
        <f t="shared" si="476"/>
        <v>20905</v>
      </c>
      <c r="L572" s="17" t="s">
        <v>221</v>
      </c>
      <c r="M572" s="17" t="str">
        <f t="shared" si="479"/>
        <v>1:10600:5</v>
      </c>
      <c r="N572" s="16" t="str">
        <f t="shared" si="415"/>
        <v>10015:1</v>
      </c>
      <c r="O572" s="17">
        <f t="shared" si="425"/>
        <v>10</v>
      </c>
      <c r="P572" s="21" t="s">
        <v>4471</v>
      </c>
      <c r="Q572" s="21"/>
      <c r="R572" t="s">
        <v>4425</v>
      </c>
      <c r="T572" t="str">
        <f t="shared" si="480"/>
        <v>:1</v>
      </c>
      <c r="U572" t="str">
        <f t="shared" si="414"/>
        <v>骑士</v>
      </c>
      <c r="V572" t="s">
        <v>4466</v>
      </c>
      <c r="W572">
        <f>属性类型!G572</f>
        <v>10015</v>
      </c>
      <c r="X572">
        <v>1</v>
      </c>
    </row>
    <row r="573" customFormat="1" ht="16.5" spans="1:24">
      <c r="A573" s="17">
        <f t="shared" si="477"/>
        <v>20905</v>
      </c>
      <c r="B573" s="17">
        <f t="shared" si="463"/>
        <v>20900</v>
      </c>
      <c r="C573" s="17" t="str">
        <f t="shared" si="464"/>
        <v>2</v>
      </c>
      <c r="D573" s="12">
        <f t="shared" si="465"/>
        <v>20001</v>
      </c>
      <c r="E573" s="17">
        <f t="shared" ref="E573:H573" si="484">E572</f>
        <v>2</v>
      </c>
      <c r="F573" s="17">
        <f t="shared" si="424"/>
        <v>1</v>
      </c>
      <c r="G573" s="17" t="str">
        <f t="shared" si="484"/>
        <v>皇家骑士魔防百分比</v>
      </c>
      <c r="H573" s="17" t="str">
        <f t="shared" si="484"/>
        <v>qibing01_Lv3</v>
      </c>
      <c r="I573" s="20">
        <v>1.5</v>
      </c>
      <c r="J573" s="17">
        <v>5</v>
      </c>
      <c r="K573" s="17">
        <f t="shared" si="476"/>
        <v>20906</v>
      </c>
      <c r="L573" s="17" t="s">
        <v>224</v>
      </c>
      <c r="M573" s="17" t="str">
        <f t="shared" si="479"/>
        <v>1:10600:5</v>
      </c>
      <c r="N573" s="16" t="str">
        <f t="shared" si="415"/>
        <v>10015:1</v>
      </c>
      <c r="O573" s="17">
        <f t="shared" si="425"/>
        <v>10</v>
      </c>
      <c r="P573" s="21" t="s">
        <v>4472</v>
      </c>
      <c r="Q573" s="21"/>
      <c r="R573" t="s">
        <v>4425</v>
      </c>
      <c r="T573" t="str">
        <f t="shared" si="480"/>
        <v>:1</v>
      </c>
      <c r="U573" t="str">
        <f t="shared" si="414"/>
        <v>骑士</v>
      </c>
      <c r="V573" t="s">
        <v>4466</v>
      </c>
      <c r="W573">
        <f>属性类型!G573</f>
        <v>10015</v>
      </c>
      <c r="X573">
        <v>1</v>
      </c>
    </row>
    <row r="574" customFormat="1" ht="16.5" spans="1:24">
      <c r="A574" s="17">
        <f t="shared" si="477"/>
        <v>20906</v>
      </c>
      <c r="B574" s="17">
        <f t="shared" si="463"/>
        <v>20900</v>
      </c>
      <c r="C574" s="17" t="str">
        <f t="shared" si="464"/>
        <v>2</v>
      </c>
      <c r="D574" s="12">
        <f t="shared" si="465"/>
        <v>20001</v>
      </c>
      <c r="E574" s="17">
        <f t="shared" ref="E574:H574" si="485">E573</f>
        <v>2</v>
      </c>
      <c r="F574" s="17">
        <f t="shared" si="424"/>
        <v>1</v>
      </c>
      <c r="G574" s="17" t="str">
        <f t="shared" si="485"/>
        <v>皇家骑士魔防百分比</v>
      </c>
      <c r="H574" s="17" t="str">
        <f t="shared" si="485"/>
        <v>qibing01_Lv3</v>
      </c>
      <c r="I574" s="20">
        <v>1.5</v>
      </c>
      <c r="J574" s="17">
        <v>6</v>
      </c>
      <c r="K574" s="17">
        <f t="shared" si="476"/>
        <v>20907</v>
      </c>
      <c r="L574" s="17" t="s">
        <v>227</v>
      </c>
      <c r="M574" s="17" t="str">
        <f t="shared" si="479"/>
        <v>1:10600:5</v>
      </c>
      <c r="N574" s="16" t="str">
        <f t="shared" si="415"/>
        <v>10015:1</v>
      </c>
      <c r="O574" s="17">
        <f t="shared" si="425"/>
        <v>10</v>
      </c>
      <c r="P574" s="21" t="s">
        <v>4473</v>
      </c>
      <c r="Q574" s="21"/>
      <c r="R574" t="s">
        <v>4425</v>
      </c>
      <c r="T574" t="str">
        <f t="shared" si="480"/>
        <v>:1</v>
      </c>
      <c r="U574" t="str">
        <f t="shared" si="414"/>
        <v>骑士</v>
      </c>
      <c r="V574" t="s">
        <v>4466</v>
      </c>
      <c r="W574">
        <f>属性类型!G574</f>
        <v>10015</v>
      </c>
      <c r="X574">
        <v>1</v>
      </c>
    </row>
    <row r="575" customFormat="1" ht="16.5" spans="1:24">
      <c r="A575" s="17">
        <f t="shared" si="477"/>
        <v>20907</v>
      </c>
      <c r="B575" s="17">
        <f t="shared" si="463"/>
        <v>20900</v>
      </c>
      <c r="C575" s="17" t="str">
        <f t="shared" si="464"/>
        <v>2</v>
      </c>
      <c r="D575" s="12">
        <f t="shared" si="465"/>
        <v>20001</v>
      </c>
      <c r="E575" s="17">
        <f t="shared" ref="E575:H575" si="486">E574</f>
        <v>2</v>
      </c>
      <c r="F575" s="17">
        <f t="shared" si="424"/>
        <v>1</v>
      </c>
      <c r="G575" s="17" t="str">
        <f t="shared" si="486"/>
        <v>皇家骑士魔防百分比</v>
      </c>
      <c r="H575" s="17" t="str">
        <f t="shared" si="486"/>
        <v>qibing01_Lv3</v>
      </c>
      <c r="I575" s="20">
        <v>1.5</v>
      </c>
      <c r="J575" s="17">
        <v>7</v>
      </c>
      <c r="K575" s="17">
        <f t="shared" si="476"/>
        <v>20908</v>
      </c>
      <c r="L575" s="17" t="s">
        <v>230</v>
      </c>
      <c r="M575" s="17" t="str">
        <f t="shared" si="479"/>
        <v>1:10600:5</v>
      </c>
      <c r="N575" s="16" t="str">
        <f t="shared" si="415"/>
        <v>10015:1</v>
      </c>
      <c r="O575" s="17">
        <f t="shared" si="425"/>
        <v>10</v>
      </c>
      <c r="P575" s="21" t="s">
        <v>4474</v>
      </c>
      <c r="Q575" s="21"/>
      <c r="R575" t="s">
        <v>4425</v>
      </c>
      <c r="T575" t="str">
        <f t="shared" si="480"/>
        <v>:1</v>
      </c>
      <c r="U575" t="str">
        <f t="shared" si="414"/>
        <v>骑士</v>
      </c>
      <c r="V575" t="s">
        <v>4466</v>
      </c>
      <c r="W575">
        <f>属性类型!G575</f>
        <v>10015</v>
      </c>
      <c r="X575">
        <v>1</v>
      </c>
    </row>
    <row r="576" customFormat="1" ht="16.5" spans="1:24">
      <c r="A576" s="17">
        <f t="shared" si="477"/>
        <v>20908</v>
      </c>
      <c r="B576" s="17">
        <f t="shared" si="463"/>
        <v>20900</v>
      </c>
      <c r="C576" s="17" t="str">
        <f t="shared" si="464"/>
        <v>2</v>
      </c>
      <c r="D576" s="12">
        <f t="shared" si="465"/>
        <v>20001</v>
      </c>
      <c r="E576" s="17">
        <f t="shared" ref="E576:H576" si="487">E575</f>
        <v>2</v>
      </c>
      <c r="F576" s="17">
        <f t="shared" si="424"/>
        <v>1</v>
      </c>
      <c r="G576" s="17" t="str">
        <f t="shared" si="487"/>
        <v>皇家骑士魔防百分比</v>
      </c>
      <c r="H576" s="17" t="str">
        <f t="shared" si="487"/>
        <v>qibing01_Lv3</v>
      </c>
      <c r="I576" s="20">
        <v>1.5</v>
      </c>
      <c r="J576" s="17">
        <v>8</v>
      </c>
      <c r="K576" s="17">
        <f t="shared" si="476"/>
        <v>20909</v>
      </c>
      <c r="L576" s="17" t="s">
        <v>233</v>
      </c>
      <c r="M576" s="17" t="str">
        <f t="shared" si="479"/>
        <v>1:10600:5</v>
      </c>
      <c r="N576" s="16" t="str">
        <f t="shared" si="415"/>
        <v>10015:1</v>
      </c>
      <c r="O576" s="17">
        <f t="shared" si="425"/>
        <v>10</v>
      </c>
      <c r="P576" s="21" t="s">
        <v>4475</v>
      </c>
      <c r="Q576" s="21"/>
      <c r="R576" t="s">
        <v>4425</v>
      </c>
      <c r="T576" t="str">
        <f t="shared" si="480"/>
        <v>:1</v>
      </c>
      <c r="U576" t="str">
        <f t="shared" si="414"/>
        <v>骑士</v>
      </c>
      <c r="V576" t="s">
        <v>4466</v>
      </c>
      <c r="W576">
        <f>属性类型!G576</f>
        <v>10015</v>
      </c>
      <c r="X576">
        <v>1</v>
      </c>
    </row>
    <row r="577" customFormat="1" ht="16.5" spans="1:24">
      <c r="A577" s="17">
        <f t="shared" si="477"/>
        <v>20909</v>
      </c>
      <c r="B577" s="17">
        <f t="shared" si="463"/>
        <v>20900</v>
      </c>
      <c r="C577" s="17" t="str">
        <f t="shared" si="464"/>
        <v>2</v>
      </c>
      <c r="D577" s="12">
        <f t="shared" si="465"/>
        <v>20001</v>
      </c>
      <c r="E577" s="17">
        <f t="shared" ref="E577:H577" si="488">E576</f>
        <v>2</v>
      </c>
      <c r="F577" s="17">
        <f t="shared" si="424"/>
        <v>1</v>
      </c>
      <c r="G577" s="17" t="str">
        <f t="shared" si="488"/>
        <v>皇家骑士魔防百分比</v>
      </c>
      <c r="H577" s="17" t="str">
        <f t="shared" si="488"/>
        <v>qibing01_Lv3</v>
      </c>
      <c r="I577" s="20">
        <v>1.5</v>
      </c>
      <c r="J577" s="17">
        <v>9</v>
      </c>
      <c r="K577" s="17">
        <f t="shared" si="476"/>
        <v>20910</v>
      </c>
      <c r="L577" s="17" t="s">
        <v>236</v>
      </c>
      <c r="M577" s="17" t="str">
        <f t="shared" si="479"/>
        <v>1:10600:5</v>
      </c>
      <c r="N577" s="16" t="str">
        <f t="shared" si="415"/>
        <v>10015:1</v>
      </c>
      <c r="O577" s="17">
        <f t="shared" si="425"/>
        <v>10</v>
      </c>
      <c r="P577" s="21" t="s">
        <v>4476</v>
      </c>
      <c r="Q577" s="21"/>
      <c r="R577" t="s">
        <v>4425</v>
      </c>
      <c r="T577" t="str">
        <f t="shared" si="480"/>
        <v>:1</v>
      </c>
      <c r="U577" t="str">
        <f t="shared" si="414"/>
        <v>骑士</v>
      </c>
      <c r="V577" t="s">
        <v>4466</v>
      </c>
      <c r="W577">
        <f>属性类型!G577</f>
        <v>10015</v>
      </c>
      <c r="X577">
        <v>1</v>
      </c>
    </row>
    <row r="578" customFormat="1" ht="16.5" spans="1:24">
      <c r="A578" s="17">
        <f t="shared" ref="A578:A593" si="489">A577+1</f>
        <v>20910</v>
      </c>
      <c r="B578" s="17">
        <f t="shared" si="463"/>
        <v>20900</v>
      </c>
      <c r="C578" s="17" t="str">
        <f t="shared" si="464"/>
        <v>2</v>
      </c>
      <c r="D578" s="12">
        <f t="shared" si="465"/>
        <v>20001</v>
      </c>
      <c r="E578" s="17">
        <f t="shared" ref="E578:H578" si="490">E577</f>
        <v>2</v>
      </c>
      <c r="F578" s="17">
        <f t="shared" si="424"/>
        <v>1</v>
      </c>
      <c r="G578" s="17" t="str">
        <f t="shared" si="490"/>
        <v>皇家骑士魔防百分比</v>
      </c>
      <c r="H578" s="17" t="str">
        <f t="shared" si="490"/>
        <v>qibing01_Lv3</v>
      </c>
      <c r="I578" s="20">
        <v>1.5</v>
      </c>
      <c r="J578" s="17">
        <v>10</v>
      </c>
      <c r="K578" s="17">
        <f t="shared" si="476"/>
        <v>20911</v>
      </c>
      <c r="L578" s="17" t="s">
        <v>238</v>
      </c>
      <c r="M578" s="17" t="str">
        <f t="shared" si="479"/>
        <v>1:10600:5</v>
      </c>
      <c r="N578" s="16" t="str">
        <f t="shared" si="415"/>
        <v>10015:1</v>
      </c>
      <c r="O578" s="17">
        <f t="shared" si="425"/>
        <v>10</v>
      </c>
      <c r="P578" s="21" t="s">
        <v>4477</v>
      </c>
      <c r="Q578" s="21"/>
      <c r="R578" t="s">
        <v>4425</v>
      </c>
      <c r="T578" t="str">
        <f t="shared" si="480"/>
        <v>:1</v>
      </c>
      <c r="U578" t="str">
        <f t="shared" si="414"/>
        <v>骑士</v>
      </c>
      <c r="V578" t="s">
        <v>4466</v>
      </c>
      <c r="W578">
        <f>属性类型!G578</f>
        <v>10015</v>
      </c>
      <c r="X578">
        <v>1</v>
      </c>
    </row>
    <row r="579" customFormat="1" ht="16.5" spans="1:24">
      <c r="A579" s="17">
        <f t="shared" si="489"/>
        <v>20911</v>
      </c>
      <c r="B579" s="17">
        <f t="shared" ref="B579:B588" si="491">ROUND(A579,-2)</f>
        <v>20900</v>
      </c>
      <c r="C579" s="17" t="str">
        <f t="shared" ref="C579:C588" si="492">LEFT(A579,1)</f>
        <v>2</v>
      </c>
      <c r="D579" s="12">
        <f t="shared" ref="D579:D588" si="493">$A$469+F579</f>
        <v>20001</v>
      </c>
      <c r="E579" s="17">
        <f t="shared" ref="E579:H579" si="494">E578</f>
        <v>2</v>
      </c>
      <c r="F579" s="17">
        <f t="shared" si="424"/>
        <v>1</v>
      </c>
      <c r="G579" s="17" t="str">
        <f t="shared" si="494"/>
        <v>皇家骑士魔防百分比</v>
      </c>
      <c r="H579" s="17" t="str">
        <f t="shared" si="494"/>
        <v>qibing01_Lv3</v>
      </c>
      <c r="I579" s="20">
        <v>1.5</v>
      </c>
      <c r="J579" s="17">
        <v>11</v>
      </c>
      <c r="K579" s="17">
        <f t="shared" si="476"/>
        <v>20912</v>
      </c>
      <c r="L579" s="17" t="s">
        <v>529</v>
      </c>
      <c r="M579" s="17" t="str">
        <f t="shared" si="479"/>
        <v>1:10600:5</v>
      </c>
      <c r="N579" s="16" t="str">
        <f t="shared" si="415"/>
        <v>10015:1</v>
      </c>
      <c r="O579" s="17">
        <f t="shared" si="425"/>
        <v>10</v>
      </c>
      <c r="P579" s="21" t="s">
        <v>4478</v>
      </c>
      <c r="Q579" s="21"/>
      <c r="R579" t="s">
        <v>4425</v>
      </c>
      <c r="U579" t="str">
        <f t="shared" si="414"/>
        <v>骑士</v>
      </c>
      <c r="V579" t="s">
        <v>4466</v>
      </c>
      <c r="W579">
        <f>属性类型!G579</f>
        <v>10015</v>
      </c>
      <c r="X579">
        <v>1</v>
      </c>
    </row>
    <row r="580" customFormat="1" ht="16.5" spans="1:24">
      <c r="A580" s="17">
        <f t="shared" si="489"/>
        <v>20912</v>
      </c>
      <c r="B580" s="17">
        <f t="shared" si="491"/>
        <v>20900</v>
      </c>
      <c r="C580" s="17" t="str">
        <f t="shared" si="492"/>
        <v>2</v>
      </c>
      <c r="D580" s="12">
        <f t="shared" si="493"/>
        <v>20001</v>
      </c>
      <c r="E580" s="17">
        <f t="shared" ref="E580:H580" si="495">E579</f>
        <v>2</v>
      </c>
      <c r="F580" s="17">
        <f t="shared" si="424"/>
        <v>1</v>
      </c>
      <c r="G580" s="17" t="str">
        <f t="shared" si="495"/>
        <v>皇家骑士魔防百分比</v>
      </c>
      <c r="H580" s="17" t="str">
        <f t="shared" si="495"/>
        <v>qibing01_Lv3</v>
      </c>
      <c r="I580" s="20">
        <v>1.5</v>
      </c>
      <c r="J580" s="17">
        <v>12</v>
      </c>
      <c r="K580" s="17">
        <f t="shared" si="476"/>
        <v>20913</v>
      </c>
      <c r="L580" s="17" t="s">
        <v>532</v>
      </c>
      <c r="M580" s="17" t="str">
        <f t="shared" si="479"/>
        <v>1:10600:5</v>
      </c>
      <c r="N580" s="16" t="str">
        <f t="shared" si="415"/>
        <v>10015:1</v>
      </c>
      <c r="O580" s="17">
        <f t="shared" si="425"/>
        <v>10</v>
      </c>
      <c r="P580" s="21" t="s">
        <v>4479</v>
      </c>
      <c r="Q580" s="21"/>
      <c r="R580" t="s">
        <v>4425</v>
      </c>
      <c r="U580" t="str">
        <f t="shared" si="414"/>
        <v>骑士</v>
      </c>
      <c r="V580" t="s">
        <v>4466</v>
      </c>
      <c r="W580">
        <f>属性类型!G580</f>
        <v>10015</v>
      </c>
      <c r="X580">
        <v>1</v>
      </c>
    </row>
    <row r="581" customFormat="1" ht="16.5" spans="1:24">
      <c r="A581" s="17">
        <f t="shared" si="489"/>
        <v>20913</v>
      </c>
      <c r="B581" s="17">
        <f t="shared" si="491"/>
        <v>20900</v>
      </c>
      <c r="C581" s="17" t="str">
        <f t="shared" si="492"/>
        <v>2</v>
      </c>
      <c r="D581" s="12">
        <f t="shared" si="493"/>
        <v>20001</v>
      </c>
      <c r="E581" s="17">
        <f t="shared" ref="E581:H581" si="496">E580</f>
        <v>2</v>
      </c>
      <c r="F581" s="17">
        <f t="shared" si="424"/>
        <v>1</v>
      </c>
      <c r="G581" s="17" t="str">
        <f t="shared" si="496"/>
        <v>皇家骑士魔防百分比</v>
      </c>
      <c r="H581" s="17" t="str">
        <f t="shared" si="496"/>
        <v>qibing01_Lv3</v>
      </c>
      <c r="I581" s="20">
        <v>1.5</v>
      </c>
      <c r="J581" s="17">
        <v>13</v>
      </c>
      <c r="K581" s="17">
        <f t="shared" si="476"/>
        <v>20914</v>
      </c>
      <c r="L581" s="17" t="s">
        <v>561</v>
      </c>
      <c r="M581" s="17" t="str">
        <f t="shared" si="479"/>
        <v>1:10600:5</v>
      </c>
      <c r="N581" s="16" t="str">
        <f t="shared" si="415"/>
        <v>10015:1</v>
      </c>
      <c r="O581" s="17">
        <f t="shared" si="425"/>
        <v>10</v>
      </c>
      <c r="P581" s="21" t="s">
        <v>4480</v>
      </c>
      <c r="Q581" s="21"/>
      <c r="R581" t="s">
        <v>4425</v>
      </c>
      <c r="U581" t="str">
        <f t="shared" ref="U581:U644" si="497">MID(P581,3,2)</f>
        <v>骑士</v>
      </c>
      <c r="V581" t="s">
        <v>4466</v>
      </c>
      <c r="W581">
        <f>属性类型!G581</f>
        <v>10015</v>
      </c>
      <c r="X581">
        <v>1</v>
      </c>
    </row>
    <row r="582" customFormat="1" ht="16.5" spans="1:24">
      <c r="A582" s="17">
        <f t="shared" si="489"/>
        <v>20914</v>
      </c>
      <c r="B582" s="17">
        <f t="shared" si="491"/>
        <v>20900</v>
      </c>
      <c r="C582" s="17" t="str">
        <f t="shared" si="492"/>
        <v>2</v>
      </c>
      <c r="D582" s="12">
        <f t="shared" si="493"/>
        <v>20001</v>
      </c>
      <c r="E582" s="17">
        <f t="shared" ref="E582:H582" si="498">E581</f>
        <v>2</v>
      </c>
      <c r="F582" s="17">
        <f t="shared" si="424"/>
        <v>1</v>
      </c>
      <c r="G582" s="17" t="str">
        <f t="shared" si="498"/>
        <v>皇家骑士魔防百分比</v>
      </c>
      <c r="H582" s="17" t="str">
        <f t="shared" si="498"/>
        <v>qibing01_Lv3</v>
      </c>
      <c r="I582" s="20">
        <v>1.5</v>
      </c>
      <c r="J582" s="17">
        <v>14</v>
      </c>
      <c r="K582" s="17">
        <f t="shared" si="476"/>
        <v>20915</v>
      </c>
      <c r="L582" s="17" t="s">
        <v>564</v>
      </c>
      <c r="M582" s="17" t="str">
        <f t="shared" si="479"/>
        <v>1:10600:5</v>
      </c>
      <c r="N582" s="16" t="str">
        <f t="shared" si="415"/>
        <v>10015:1</v>
      </c>
      <c r="O582" s="17">
        <f t="shared" si="425"/>
        <v>10</v>
      </c>
      <c r="P582" s="21" t="s">
        <v>4481</v>
      </c>
      <c r="Q582" s="21"/>
      <c r="R582" t="s">
        <v>4425</v>
      </c>
      <c r="U582" t="str">
        <f t="shared" si="497"/>
        <v>骑士</v>
      </c>
      <c r="V582" t="s">
        <v>4466</v>
      </c>
      <c r="W582">
        <f>属性类型!G582</f>
        <v>10015</v>
      </c>
      <c r="X582">
        <v>1</v>
      </c>
    </row>
    <row r="583" customFormat="1" ht="16.5" spans="1:24">
      <c r="A583" s="17">
        <f t="shared" si="489"/>
        <v>20915</v>
      </c>
      <c r="B583" s="17">
        <f t="shared" si="491"/>
        <v>20900</v>
      </c>
      <c r="C583" s="17" t="str">
        <f t="shared" si="492"/>
        <v>2</v>
      </c>
      <c r="D583" s="12">
        <f t="shared" si="493"/>
        <v>20001</v>
      </c>
      <c r="E583" s="17">
        <f t="shared" ref="E583:H583" si="499">E582</f>
        <v>2</v>
      </c>
      <c r="F583" s="17">
        <f t="shared" si="424"/>
        <v>1</v>
      </c>
      <c r="G583" s="17" t="str">
        <f t="shared" si="499"/>
        <v>皇家骑士魔防百分比</v>
      </c>
      <c r="H583" s="17" t="str">
        <f t="shared" si="499"/>
        <v>qibing01_Lv3</v>
      </c>
      <c r="I583" s="20">
        <v>1.5</v>
      </c>
      <c r="J583" s="17">
        <v>15</v>
      </c>
      <c r="K583" s="17">
        <f t="shared" si="476"/>
        <v>20916</v>
      </c>
      <c r="L583" s="17" t="s">
        <v>630</v>
      </c>
      <c r="M583" s="17" t="str">
        <f t="shared" si="479"/>
        <v>1:10600:5</v>
      </c>
      <c r="N583" s="16" t="str">
        <f t="shared" si="415"/>
        <v>10015:1</v>
      </c>
      <c r="O583" s="17">
        <f t="shared" si="425"/>
        <v>10</v>
      </c>
      <c r="P583" s="21" t="s">
        <v>4482</v>
      </c>
      <c r="Q583" s="21"/>
      <c r="R583" t="s">
        <v>4425</v>
      </c>
      <c r="U583" t="str">
        <f t="shared" si="497"/>
        <v>骑士</v>
      </c>
      <c r="V583" t="s">
        <v>4466</v>
      </c>
      <c r="W583">
        <f>属性类型!G583</f>
        <v>10015</v>
      </c>
      <c r="X583">
        <v>1</v>
      </c>
    </row>
    <row r="584" customFormat="1" ht="16.5" spans="1:24">
      <c r="A584" s="17">
        <f t="shared" si="489"/>
        <v>20916</v>
      </c>
      <c r="B584" s="17">
        <f t="shared" si="491"/>
        <v>20900</v>
      </c>
      <c r="C584" s="17" t="str">
        <f t="shared" si="492"/>
        <v>2</v>
      </c>
      <c r="D584" s="12">
        <f t="shared" si="493"/>
        <v>20001</v>
      </c>
      <c r="E584" s="17">
        <f t="shared" ref="E584:H584" si="500">E583</f>
        <v>2</v>
      </c>
      <c r="F584" s="17">
        <f t="shared" si="424"/>
        <v>1</v>
      </c>
      <c r="G584" s="17" t="str">
        <f t="shared" si="500"/>
        <v>皇家骑士魔防百分比</v>
      </c>
      <c r="H584" s="17" t="str">
        <f t="shared" si="500"/>
        <v>qibing01_Lv3</v>
      </c>
      <c r="I584" s="20">
        <v>1.5</v>
      </c>
      <c r="J584" s="17">
        <v>16</v>
      </c>
      <c r="K584" s="17">
        <f t="shared" si="476"/>
        <v>20917</v>
      </c>
      <c r="L584" s="17" t="s">
        <v>633</v>
      </c>
      <c r="M584" s="17" t="str">
        <f t="shared" si="479"/>
        <v>1:10600:5</v>
      </c>
      <c r="N584" s="16" t="str">
        <f t="shared" si="415"/>
        <v>10015:1</v>
      </c>
      <c r="O584" s="17">
        <f t="shared" si="425"/>
        <v>10</v>
      </c>
      <c r="P584" s="21" t="s">
        <v>4483</v>
      </c>
      <c r="Q584" s="21"/>
      <c r="R584" t="s">
        <v>4425</v>
      </c>
      <c r="U584" t="str">
        <f t="shared" si="497"/>
        <v>骑士</v>
      </c>
      <c r="V584" t="s">
        <v>4466</v>
      </c>
      <c r="W584">
        <f>属性类型!G584</f>
        <v>10015</v>
      </c>
      <c r="X584">
        <v>1</v>
      </c>
    </row>
    <row r="585" customFormat="1" ht="16.5" spans="1:24">
      <c r="A585" s="17">
        <f t="shared" si="489"/>
        <v>20917</v>
      </c>
      <c r="B585" s="17">
        <f t="shared" si="491"/>
        <v>20900</v>
      </c>
      <c r="C585" s="17" t="str">
        <f t="shared" si="492"/>
        <v>2</v>
      </c>
      <c r="D585" s="12">
        <f t="shared" si="493"/>
        <v>20001</v>
      </c>
      <c r="E585" s="17">
        <f t="shared" ref="E585:H585" si="501">E584</f>
        <v>2</v>
      </c>
      <c r="F585" s="17">
        <f t="shared" si="424"/>
        <v>1</v>
      </c>
      <c r="G585" s="17" t="str">
        <f t="shared" si="501"/>
        <v>皇家骑士魔防百分比</v>
      </c>
      <c r="H585" s="17" t="str">
        <f t="shared" si="501"/>
        <v>qibing01_Lv3</v>
      </c>
      <c r="I585" s="20">
        <v>1.5</v>
      </c>
      <c r="J585" s="17">
        <v>17</v>
      </c>
      <c r="K585" s="17">
        <f t="shared" si="476"/>
        <v>20918</v>
      </c>
      <c r="L585" s="17" t="s">
        <v>637</v>
      </c>
      <c r="M585" s="17" t="str">
        <f t="shared" si="479"/>
        <v>1:10600:5</v>
      </c>
      <c r="N585" s="16" t="str">
        <f t="shared" si="415"/>
        <v>10015:1</v>
      </c>
      <c r="O585" s="17">
        <f t="shared" si="425"/>
        <v>10</v>
      </c>
      <c r="P585" s="21" t="s">
        <v>4484</v>
      </c>
      <c r="Q585" s="21"/>
      <c r="R585" t="s">
        <v>4425</v>
      </c>
      <c r="U585" t="str">
        <f t="shared" si="497"/>
        <v>骑士</v>
      </c>
      <c r="V585" t="s">
        <v>4466</v>
      </c>
      <c r="W585">
        <f>属性类型!G585</f>
        <v>10015</v>
      </c>
      <c r="X585">
        <v>1</v>
      </c>
    </row>
    <row r="586" customFormat="1" ht="16.5" spans="1:24">
      <c r="A586" s="17">
        <f t="shared" si="489"/>
        <v>20918</v>
      </c>
      <c r="B586" s="17">
        <f t="shared" si="491"/>
        <v>20900</v>
      </c>
      <c r="C586" s="17" t="str">
        <f t="shared" si="492"/>
        <v>2</v>
      </c>
      <c r="D586" s="12">
        <f t="shared" si="493"/>
        <v>20001</v>
      </c>
      <c r="E586" s="17">
        <f t="shared" ref="E586:H586" si="502">E585</f>
        <v>2</v>
      </c>
      <c r="F586" s="17">
        <f t="shared" si="424"/>
        <v>1</v>
      </c>
      <c r="G586" s="17" t="str">
        <f t="shared" si="502"/>
        <v>皇家骑士魔防百分比</v>
      </c>
      <c r="H586" s="17" t="str">
        <f t="shared" si="502"/>
        <v>qibing01_Lv3</v>
      </c>
      <c r="I586" s="20">
        <v>1.5</v>
      </c>
      <c r="J586" s="17">
        <v>18</v>
      </c>
      <c r="K586" s="17">
        <f t="shared" si="476"/>
        <v>20919</v>
      </c>
      <c r="L586" s="17" t="s">
        <v>641</v>
      </c>
      <c r="M586" s="17" t="str">
        <f t="shared" si="479"/>
        <v>1:10600:5</v>
      </c>
      <c r="N586" s="16" t="str">
        <f t="shared" si="415"/>
        <v>10015:1</v>
      </c>
      <c r="O586" s="17">
        <f t="shared" si="425"/>
        <v>10</v>
      </c>
      <c r="P586" s="21" t="s">
        <v>4485</v>
      </c>
      <c r="Q586" s="21"/>
      <c r="R586" t="s">
        <v>4425</v>
      </c>
      <c r="U586" t="str">
        <f t="shared" si="497"/>
        <v>骑士</v>
      </c>
      <c r="V586" t="s">
        <v>4466</v>
      </c>
      <c r="W586">
        <f>属性类型!G586</f>
        <v>10015</v>
      </c>
      <c r="X586">
        <v>1</v>
      </c>
    </row>
    <row r="587" customFormat="1" ht="16.5" spans="1:24">
      <c r="A587" s="17">
        <f t="shared" si="489"/>
        <v>20919</v>
      </c>
      <c r="B587" s="17">
        <f t="shared" si="491"/>
        <v>20900</v>
      </c>
      <c r="C587" s="17" t="str">
        <f t="shared" si="492"/>
        <v>2</v>
      </c>
      <c r="D587" s="12">
        <f t="shared" si="493"/>
        <v>20001</v>
      </c>
      <c r="E587" s="17">
        <f t="shared" ref="E587:H587" si="503">E586</f>
        <v>2</v>
      </c>
      <c r="F587" s="17">
        <f t="shared" si="424"/>
        <v>1</v>
      </c>
      <c r="G587" s="17" t="str">
        <f t="shared" si="503"/>
        <v>皇家骑士魔防百分比</v>
      </c>
      <c r="H587" s="17" t="str">
        <f t="shared" si="503"/>
        <v>qibing01_Lv3</v>
      </c>
      <c r="I587" s="20">
        <v>1.5</v>
      </c>
      <c r="J587" s="17">
        <v>19</v>
      </c>
      <c r="K587" s="17">
        <f t="shared" si="476"/>
        <v>20920</v>
      </c>
      <c r="L587" s="17" t="s">
        <v>645</v>
      </c>
      <c r="M587" s="17" t="str">
        <f t="shared" si="479"/>
        <v>1:10600:5</v>
      </c>
      <c r="N587" s="16" t="str">
        <f t="shared" ref="N587:N650" si="504">W587&amp;$W$2&amp;X587</f>
        <v>10015:1</v>
      </c>
      <c r="O587" s="17">
        <f t="shared" si="425"/>
        <v>10</v>
      </c>
      <c r="P587" s="21" t="s">
        <v>4486</v>
      </c>
      <c r="Q587" s="21"/>
      <c r="R587" t="s">
        <v>4425</v>
      </c>
      <c r="U587" t="str">
        <f t="shared" si="497"/>
        <v>骑士</v>
      </c>
      <c r="V587" t="s">
        <v>4466</v>
      </c>
      <c r="W587">
        <f>属性类型!G587</f>
        <v>10015</v>
      </c>
      <c r="X587">
        <v>1</v>
      </c>
    </row>
    <row r="588" customFormat="1" ht="16.5" spans="1:24">
      <c r="A588" s="17">
        <f t="shared" si="489"/>
        <v>20920</v>
      </c>
      <c r="B588" s="17">
        <f t="shared" si="491"/>
        <v>20900</v>
      </c>
      <c r="C588" s="17" t="str">
        <f t="shared" si="492"/>
        <v>2</v>
      </c>
      <c r="D588" s="12">
        <f t="shared" si="493"/>
        <v>20001</v>
      </c>
      <c r="E588" s="17">
        <f t="shared" ref="E588:H588" si="505">E587</f>
        <v>2</v>
      </c>
      <c r="F588" s="17">
        <f t="shared" si="424"/>
        <v>1</v>
      </c>
      <c r="G588" s="17" t="str">
        <f t="shared" si="505"/>
        <v>皇家骑士魔防百分比</v>
      </c>
      <c r="H588" s="17" t="str">
        <f t="shared" si="505"/>
        <v>qibing01_Lv3</v>
      </c>
      <c r="I588" s="20">
        <v>1.5</v>
      </c>
      <c r="J588" s="17">
        <v>20</v>
      </c>
      <c r="K588" s="17">
        <v>0</v>
      </c>
      <c r="L588" s="17">
        <v>0</v>
      </c>
      <c r="M588" s="17" t="str">
        <f t="shared" si="479"/>
        <v>1:10600:5</v>
      </c>
      <c r="N588" s="16" t="str">
        <f t="shared" si="504"/>
        <v>10015:1</v>
      </c>
      <c r="O588" s="17">
        <f t="shared" si="425"/>
        <v>10</v>
      </c>
      <c r="P588" s="21" t="s">
        <v>4486</v>
      </c>
      <c r="Q588" s="21"/>
      <c r="R588" t="s">
        <v>4425</v>
      </c>
      <c r="U588" t="str">
        <f t="shared" si="497"/>
        <v>骑士</v>
      </c>
      <c r="V588" t="s">
        <v>4466</v>
      </c>
      <c r="W588">
        <f>属性类型!G588</f>
        <v>10015</v>
      </c>
      <c r="X588">
        <v>1</v>
      </c>
    </row>
    <row r="589" s="14" customFormat="1" ht="16.5" spans="1:24">
      <c r="A589" s="18">
        <f>A568+100</f>
        <v>21000</v>
      </c>
      <c r="B589" s="18">
        <f t="shared" ref="B589:B621" si="506">ROUND(A589,-2)</f>
        <v>21000</v>
      </c>
      <c r="C589" s="18" t="str">
        <f t="shared" ref="C589:C621" si="507">LEFT(A589,1)</f>
        <v>2</v>
      </c>
      <c r="D589" s="12">
        <f t="shared" ref="D589:D627" si="508">$A$469+F589</f>
        <v>20002</v>
      </c>
      <c r="E589" s="18">
        <v>1</v>
      </c>
      <c r="F589" s="18">
        <f t="shared" si="424"/>
        <v>2</v>
      </c>
      <c r="G589" s="18" t="s">
        <v>295</v>
      </c>
      <c r="H589" s="18" t="s">
        <v>38</v>
      </c>
      <c r="I589" s="20">
        <v>0</v>
      </c>
      <c r="J589" s="18">
        <v>0</v>
      </c>
      <c r="K589" s="18">
        <f t="shared" ref="K589:K598" si="509">A590</f>
        <v>21001</v>
      </c>
      <c r="L589" s="18" t="s">
        <v>297</v>
      </c>
      <c r="M589" s="18" t="s">
        <v>298</v>
      </c>
      <c r="N589" s="16" t="str">
        <f t="shared" si="504"/>
        <v>111:1</v>
      </c>
      <c r="O589" s="18">
        <f t="shared" si="425"/>
        <v>1</v>
      </c>
      <c r="P589" s="21" t="str">
        <f>$R$2&amp;R589&amp;$Q$1&amp;T589</f>
        <v>所有骑兵生命增加1</v>
      </c>
      <c r="Q589" s="22"/>
      <c r="R589" t="s">
        <v>4270</v>
      </c>
      <c r="T589" t="str">
        <f>RIGHT(N589,1)</f>
        <v>1</v>
      </c>
      <c r="U589" t="str">
        <f t="shared" si="497"/>
        <v>骑兵</v>
      </c>
      <c r="V589" t="s">
        <v>4416</v>
      </c>
      <c r="W589">
        <f>属性类型!G589</f>
        <v>111</v>
      </c>
      <c r="X589">
        <v>1</v>
      </c>
    </row>
    <row r="590" customFormat="1" ht="16.5" spans="1:24">
      <c r="A590" s="17">
        <f t="shared" ref="A590:A599" si="510">A589+1</f>
        <v>21001</v>
      </c>
      <c r="B590" s="17">
        <f t="shared" si="506"/>
        <v>21000</v>
      </c>
      <c r="C590" s="17" t="str">
        <f t="shared" si="507"/>
        <v>2</v>
      </c>
      <c r="D590" s="12">
        <f t="shared" si="508"/>
        <v>20002</v>
      </c>
      <c r="E590" s="17">
        <v>1</v>
      </c>
      <c r="F590" s="17">
        <f t="shared" si="424"/>
        <v>2</v>
      </c>
      <c r="G590" s="17" t="str">
        <f t="shared" ref="G590:G599" si="511">G589</f>
        <v>中级生命</v>
      </c>
      <c r="H590" s="17" t="str">
        <f t="shared" ref="H590:H599" si="512">H589</f>
        <v>icon_01</v>
      </c>
      <c r="I590" s="20">
        <v>0</v>
      </c>
      <c r="J590" s="17">
        <v>1</v>
      </c>
      <c r="K590" s="17">
        <f t="shared" si="509"/>
        <v>21002</v>
      </c>
      <c r="L590" s="17" t="s">
        <v>300</v>
      </c>
      <c r="M590" s="17" t="str">
        <f t="shared" ref="M590:M599" si="513">M589</f>
        <v>2:10001:30</v>
      </c>
      <c r="N590" s="16" t="str">
        <f t="shared" si="504"/>
        <v>111:1</v>
      </c>
      <c r="O590" s="17">
        <f t="shared" si="425"/>
        <v>1</v>
      </c>
      <c r="P590" s="21" t="str">
        <f>$R$2&amp;R590&amp;$Q$1&amp;T590</f>
        <v>所有骑兵生命增加:1</v>
      </c>
      <c r="Q590" s="21"/>
      <c r="R590" t="str">
        <f t="shared" ref="R590:R599" si="514">R589</f>
        <v>生命</v>
      </c>
      <c r="T590" t="str">
        <f t="shared" ref="T590:T599" si="515">RIGHT(N590,2)</f>
        <v>:1</v>
      </c>
      <c r="U590" t="str">
        <f t="shared" si="497"/>
        <v>骑兵</v>
      </c>
      <c r="V590" t="s">
        <v>4416</v>
      </c>
      <c r="W590">
        <f>属性类型!G590</f>
        <v>111</v>
      </c>
      <c r="X590">
        <v>1</v>
      </c>
    </row>
    <row r="591" customFormat="1" ht="16.5" spans="1:24">
      <c r="A591" s="17">
        <f t="shared" si="510"/>
        <v>21002</v>
      </c>
      <c r="B591" s="17">
        <f t="shared" si="506"/>
        <v>21000</v>
      </c>
      <c r="C591" s="17" t="str">
        <f t="shared" si="507"/>
        <v>2</v>
      </c>
      <c r="D591" s="12">
        <f t="shared" si="508"/>
        <v>20002</v>
      </c>
      <c r="E591" s="17">
        <v>1</v>
      </c>
      <c r="F591" s="17">
        <f t="shared" si="424"/>
        <v>2</v>
      </c>
      <c r="G591" s="17" t="str">
        <f t="shared" si="511"/>
        <v>中级生命</v>
      </c>
      <c r="H591" s="17" t="str">
        <f t="shared" si="512"/>
        <v>icon_01</v>
      </c>
      <c r="I591" s="20">
        <v>0</v>
      </c>
      <c r="J591" s="17">
        <v>2</v>
      </c>
      <c r="K591" s="17">
        <f t="shared" si="509"/>
        <v>21003</v>
      </c>
      <c r="L591" s="17" t="s">
        <v>304</v>
      </c>
      <c r="M591" s="17" t="str">
        <f t="shared" si="513"/>
        <v>2:10001:30</v>
      </c>
      <c r="N591" s="16" t="str">
        <f t="shared" si="504"/>
        <v>111:1</v>
      </c>
      <c r="O591" s="17">
        <f t="shared" si="425"/>
        <v>1</v>
      </c>
      <c r="P591" s="21" t="str">
        <f>$R$2&amp;R591&amp;$Q$1&amp;T591</f>
        <v>所有骑兵生命增加:1</v>
      </c>
      <c r="Q591" s="21"/>
      <c r="R591" t="str">
        <f t="shared" si="514"/>
        <v>生命</v>
      </c>
      <c r="T591" t="str">
        <f t="shared" si="515"/>
        <v>:1</v>
      </c>
      <c r="U591" t="str">
        <f t="shared" si="497"/>
        <v>骑兵</v>
      </c>
      <c r="V591" t="s">
        <v>4416</v>
      </c>
      <c r="W591">
        <f>属性类型!G591</f>
        <v>111</v>
      </c>
      <c r="X591">
        <v>1</v>
      </c>
    </row>
    <row r="592" customFormat="1" ht="16.5" spans="1:24">
      <c r="A592" s="17">
        <f t="shared" si="510"/>
        <v>21003</v>
      </c>
      <c r="B592" s="17">
        <f t="shared" si="506"/>
        <v>21000</v>
      </c>
      <c r="C592" s="17" t="str">
        <f t="shared" si="507"/>
        <v>2</v>
      </c>
      <c r="D592" s="12">
        <f t="shared" si="508"/>
        <v>20002</v>
      </c>
      <c r="E592" s="17">
        <v>1</v>
      </c>
      <c r="F592" s="17">
        <f t="shared" ref="F592:F655" si="516">MID(B592,2,1)+1</f>
        <v>2</v>
      </c>
      <c r="G592" s="17" t="str">
        <f t="shared" si="511"/>
        <v>中级生命</v>
      </c>
      <c r="H592" s="17" t="str">
        <f t="shared" si="512"/>
        <v>icon_01</v>
      </c>
      <c r="I592" s="20">
        <v>0</v>
      </c>
      <c r="J592" s="17">
        <v>3</v>
      </c>
      <c r="K592" s="17">
        <f t="shared" si="509"/>
        <v>21004</v>
      </c>
      <c r="L592" s="17" t="s">
        <v>307</v>
      </c>
      <c r="M592" s="17" t="str">
        <f t="shared" si="513"/>
        <v>2:10001:30</v>
      </c>
      <c r="N592" s="16" t="str">
        <f t="shared" si="504"/>
        <v>111:1</v>
      </c>
      <c r="O592" s="17">
        <f t="shared" ref="O592:O655" si="517">MID(A592,3,1)+1</f>
        <v>1</v>
      </c>
      <c r="P592" s="21" t="str">
        <f>$R$2&amp;R592&amp;$Q$1&amp;T592</f>
        <v>所有骑兵生命增加:1</v>
      </c>
      <c r="Q592" s="21"/>
      <c r="R592" t="str">
        <f t="shared" si="514"/>
        <v>生命</v>
      </c>
      <c r="T592" t="str">
        <f t="shared" si="515"/>
        <v>:1</v>
      </c>
      <c r="U592" t="str">
        <f t="shared" si="497"/>
        <v>骑兵</v>
      </c>
      <c r="V592" t="s">
        <v>4416</v>
      </c>
      <c r="W592">
        <f>属性类型!G592</f>
        <v>111</v>
      </c>
      <c r="X592">
        <v>1</v>
      </c>
    </row>
    <row r="593" customFormat="1" ht="16.5" spans="1:24">
      <c r="A593" s="17">
        <f t="shared" si="510"/>
        <v>21004</v>
      </c>
      <c r="B593" s="17">
        <f t="shared" si="506"/>
        <v>21000</v>
      </c>
      <c r="C593" s="17" t="str">
        <f t="shared" si="507"/>
        <v>2</v>
      </c>
      <c r="D593" s="12">
        <f t="shared" si="508"/>
        <v>20002</v>
      </c>
      <c r="E593" s="17">
        <v>1</v>
      </c>
      <c r="F593" s="17">
        <f t="shared" si="516"/>
        <v>2</v>
      </c>
      <c r="G593" s="17" t="str">
        <f t="shared" si="511"/>
        <v>中级生命</v>
      </c>
      <c r="H593" s="17" t="str">
        <f t="shared" si="512"/>
        <v>icon_01</v>
      </c>
      <c r="I593" s="20">
        <v>0</v>
      </c>
      <c r="J593" s="17">
        <v>4</v>
      </c>
      <c r="K593" s="17">
        <f t="shared" si="509"/>
        <v>21005</v>
      </c>
      <c r="L593" s="17" t="s">
        <v>309</v>
      </c>
      <c r="M593" s="17" t="str">
        <f t="shared" si="513"/>
        <v>2:10001:30</v>
      </c>
      <c r="N593" s="16" t="str">
        <f t="shared" si="504"/>
        <v>111:1</v>
      </c>
      <c r="O593" s="17">
        <f t="shared" si="517"/>
        <v>1</v>
      </c>
      <c r="P593" s="21" t="str">
        <f>$R$2&amp;R593&amp;$Q$1&amp;T593</f>
        <v>所有骑兵生命增加:1</v>
      </c>
      <c r="Q593" s="21"/>
      <c r="R593" t="str">
        <f t="shared" si="514"/>
        <v>生命</v>
      </c>
      <c r="T593" t="str">
        <f t="shared" si="515"/>
        <v>:1</v>
      </c>
      <c r="U593" t="str">
        <f t="shared" si="497"/>
        <v>骑兵</v>
      </c>
      <c r="V593" t="s">
        <v>4416</v>
      </c>
      <c r="W593">
        <f>属性类型!G593</f>
        <v>111</v>
      </c>
      <c r="X593">
        <v>1</v>
      </c>
    </row>
    <row r="594" customFormat="1" ht="16.5" spans="1:24">
      <c r="A594" s="17">
        <f t="shared" si="510"/>
        <v>21005</v>
      </c>
      <c r="B594" s="17">
        <f t="shared" si="506"/>
        <v>21000</v>
      </c>
      <c r="C594" s="17" t="str">
        <f t="shared" si="507"/>
        <v>2</v>
      </c>
      <c r="D594" s="12">
        <f t="shared" si="508"/>
        <v>20002</v>
      </c>
      <c r="E594" s="17">
        <v>1</v>
      </c>
      <c r="F594" s="17">
        <f t="shared" si="516"/>
        <v>2</v>
      </c>
      <c r="G594" s="17" t="str">
        <f t="shared" si="511"/>
        <v>中级生命</v>
      </c>
      <c r="H594" s="17" t="str">
        <f t="shared" si="512"/>
        <v>icon_01</v>
      </c>
      <c r="I594" s="20">
        <v>0</v>
      </c>
      <c r="J594" s="17">
        <v>5</v>
      </c>
      <c r="K594" s="17">
        <f t="shared" si="509"/>
        <v>21006</v>
      </c>
      <c r="L594" s="17" t="s">
        <v>312</v>
      </c>
      <c r="M594" s="17" t="str">
        <f t="shared" si="513"/>
        <v>2:10001:30</v>
      </c>
      <c r="N594" s="16" t="str">
        <f t="shared" si="504"/>
        <v>111:1</v>
      </c>
      <c r="O594" s="17">
        <f t="shared" si="517"/>
        <v>1</v>
      </c>
      <c r="P594" s="21" t="str">
        <f>$R$2&amp;R594&amp;$Q$1&amp;T594</f>
        <v>所有骑兵生命增加:1</v>
      </c>
      <c r="Q594" s="21"/>
      <c r="R594" t="str">
        <f t="shared" si="514"/>
        <v>生命</v>
      </c>
      <c r="T594" t="str">
        <f t="shared" si="515"/>
        <v>:1</v>
      </c>
      <c r="U594" t="str">
        <f t="shared" si="497"/>
        <v>骑兵</v>
      </c>
      <c r="V594" t="s">
        <v>4416</v>
      </c>
      <c r="W594">
        <f>属性类型!G594</f>
        <v>111</v>
      </c>
      <c r="X594">
        <v>1</v>
      </c>
    </row>
    <row r="595" customFormat="1" ht="16.5" spans="1:24">
      <c r="A595" s="17">
        <f t="shared" si="510"/>
        <v>21006</v>
      </c>
      <c r="B595" s="17">
        <f t="shared" si="506"/>
        <v>21000</v>
      </c>
      <c r="C595" s="17" t="str">
        <f t="shared" si="507"/>
        <v>2</v>
      </c>
      <c r="D595" s="12">
        <f t="shared" si="508"/>
        <v>20002</v>
      </c>
      <c r="E595" s="17">
        <v>1</v>
      </c>
      <c r="F595" s="17">
        <f t="shared" si="516"/>
        <v>2</v>
      </c>
      <c r="G595" s="17" t="str">
        <f t="shared" si="511"/>
        <v>中级生命</v>
      </c>
      <c r="H595" s="17" t="str">
        <f t="shared" si="512"/>
        <v>icon_01</v>
      </c>
      <c r="I595" s="20">
        <v>0</v>
      </c>
      <c r="J595" s="17">
        <v>6</v>
      </c>
      <c r="K595" s="17">
        <f t="shared" si="509"/>
        <v>21007</v>
      </c>
      <c r="L595" s="17" t="s">
        <v>315</v>
      </c>
      <c r="M595" s="17" t="str">
        <f t="shared" si="513"/>
        <v>2:10001:30</v>
      </c>
      <c r="N595" s="16" t="str">
        <f t="shared" si="504"/>
        <v>111:1</v>
      </c>
      <c r="O595" s="17">
        <f t="shared" si="517"/>
        <v>1</v>
      </c>
      <c r="P595" s="21" t="str">
        <f>$R$2&amp;R595&amp;$Q$1&amp;T595</f>
        <v>所有骑兵生命增加:1</v>
      </c>
      <c r="Q595" s="21"/>
      <c r="R595" t="str">
        <f t="shared" si="514"/>
        <v>生命</v>
      </c>
      <c r="T595" t="str">
        <f t="shared" si="515"/>
        <v>:1</v>
      </c>
      <c r="U595" t="str">
        <f t="shared" si="497"/>
        <v>骑兵</v>
      </c>
      <c r="V595" t="s">
        <v>4416</v>
      </c>
      <c r="W595">
        <f>属性类型!G595</f>
        <v>111</v>
      </c>
      <c r="X595">
        <v>1</v>
      </c>
    </row>
    <row r="596" customFormat="1" ht="16.5" spans="1:24">
      <c r="A596" s="17">
        <f t="shared" si="510"/>
        <v>21007</v>
      </c>
      <c r="B596" s="17">
        <f t="shared" si="506"/>
        <v>21000</v>
      </c>
      <c r="C596" s="17" t="str">
        <f t="shared" si="507"/>
        <v>2</v>
      </c>
      <c r="D596" s="12">
        <f t="shared" si="508"/>
        <v>20002</v>
      </c>
      <c r="E596" s="17">
        <v>1</v>
      </c>
      <c r="F596" s="17">
        <f t="shared" si="516"/>
        <v>2</v>
      </c>
      <c r="G596" s="17" t="str">
        <f t="shared" si="511"/>
        <v>中级生命</v>
      </c>
      <c r="H596" s="17" t="str">
        <f t="shared" si="512"/>
        <v>icon_01</v>
      </c>
      <c r="I596" s="20">
        <v>0</v>
      </c>
      <c r="J596" s="17">
        <v>7</v>
      </c>
      <c r="K596" s="17">
        <f t="shared" si="509"/>
        <v>21008</v>
      </c>
      <c r="L596" s="17" t="s">
        <v>317</v>
      </c>
      <c r="M596" s="17" t="str">
        <f t="shared" si="513"/>
        <v>2:10001:30</v>
      </c>
      <c r="N596" s="16" t="str">
        <f t="shared" si="504"/>
        <v>111:1</v>
      </c>
      <c r="O596" s="17">
        <f t="shared" si="517"/>
        <v>1</v>
      </c>
      <c r="P596" s="21" t="str">
        <f>$R$2&amp;R596&amp;$Q$1&amp;T596</f>
        <v>所有骑兵生命增加:1</v>
      </c>
      <c r="Q596" s="21"/>
      <c r="R596" t="str">
        <f t="shared" si="514"/>
        <v>生命</v>
      </c>
      <c r="T596" t="str">
        <f t="shared" si="515"/>
        <v>:1</v>
      </c>
      <c r="U596" t="str">
        <f t="shared" si="497"/>
        <v>骑兵</v>
      </c>
      <c r="V596" t="s">
        <v>4416</v>
      </c>
      <c r="W596">
        <f>属性类型!G596</f>
        <v>111</v>
      </c>
      <c r="X596">
        <v>1</v>
      </c>
    </row>
    <row r="597" customFormat="1" ht="16.5" spans="1:24">
      <c r="A597" s="17">
        <f t="shared" si="510"/>
        <v>21008</v>
      </c>
      <c r="B597" s="17">
        <f t="shared" si="506"/>
        <v>21000</v>
      </c>
      <c r="C597" s="17" t="str">
        <f t="shared" si="507"/>
        <v>2</v>
      </c>
      <c r="D597" s="12">
        <f t="shared" si="508"/>
        <v>20002</v>
      </c>
      <c r="E597" s="17">
        <v>1</v>
      </c>
      <c r="F597" s="17">
        <f t="shared" si="516"/>
        <v>2</v>
      </c>
      <c r="G597" s="17" t="str">
        <f t="shared" si="511"/>
        <v>中级生命</v>
      </c>
      <c r="H597" s="17" t="str">
        <f t="shared" si="512"/>
        <v>icon_01</v>
      </c>
      <c r="I597" s="20">
        <v>0</v>
      </c>
      <c r="J597" s="17">
        <v>8</v>
      </c>
      <c r="K597" s="17">
        <f t="shared" si="509"/>
        <v>21009</v>
      </c>
      <c r="L597" s="17" t="s">
        <v>320</v>
      </c>
      <c r="M597" s="17" t="str">
        <f t="shared" si="513"/>
        <v>2:10001:30</v>
      </c>
      <c r="N597" s="16" t="str">
        <f t="shared" si="504"/>
        <v>111:1</v>
      </c>
      <c r="O597" s="17">
        <f t="shared" si="517"/>
        <v>1</v>
      </c>
      <c r="P597" s="21" t="str">
        <f>$R$2&amp;R597&amp;$Q$1&amp;T597</f>
        <v>所有骑兵生命增加:1</v>
      </c>
      <c r="Q597" s="21"/>
      <c r="R597" t="str">
        <f t="shared" si="514"/>
        <v>生命</v>
      </c>
      <c r="T597" t="str">
        <f t="shared" si="515"/>
        <v>:1</v>
      </c>
      <c r="U597" t="str">
        <f t="shared" si="497"/>
        <v>骑兵</v>
      </c>
      <c r="V597" t="s">
        <v>4416</v>
      </c>
      <c r="W597">
        <f>属性类型!G597</f>
        <v>111</v>
      </c>
      <c r="X597">
        <v>1</v>
      </c>
    </row>
    <row r="598" customFormat="1" ht="16.5" spans="1:24">
      <c r="A598" s="17">
        <f t="shared" si="510"/>
        <v>21009</v>
      </c>
      <c r="B598" s="17">
        <f t="shared" si="506"/>
        <v>21000</v>
      </c>
      <c r="C598" s="17" t="str">
        <f t="shared" si="507"/>
        <v>2</v>
      </c>
      <c r="D598" s="12">
        <f t="shared" si="508"/>
        <v>20002</v>
      </c>
      <c r="E598" s="17">
        <v>1</v>
      </c>
      <c r="F598" s="17">
        <f t="shared" si="516"/>
        <v>2</v>
      </c>
      <c r="G598" s="17" t="str">
        <f t="shared" si="511"/>
        <v>中级生命</v>
      </c>
      <c r="H598" s="17" t="str">
        <f t="shared" si="512"/>
        <v>icon_01</v>
      </c>
      <c r="I598" s="20">
        <v>0</v>
      </c>
      <c r="J598" s="17">
        <v>9</v>
      </c>
      <c r="K598" s="17">
        <f t="shared" si="509"/>
        <v>21010</v>
      </c>
      <c r="L598" s="17" t="s">
        <v>323</v>
      </c>
      <c r="M598" s="17" t="str">
        <f t="shared" si="513"/>
        <v>2:10001:30</v>
      </c>
      <c r="N598" s="16" t="str">
        <f t="shared" si="504"/>
        <v>111:1</v>
      </c>
      <c r="O598" s="17">
        <f t="shared" si="517"/>
        <v>1</v>
      </c>
      <c r="P598" s="21" t="str">
        <f t="shared" ref="P598:P661" si="518">$R$2&amp;R598&amp;$Q$1&amp;T598</f>
        <v>所有骑兵生命增加:1</v>
      </c>
      <c r="Q598" s="21"/>
      <c r="R598" t="str">
        <f t="shared" si="514"/>
        <v>生命</v>
      </c>
      <c r="T598" t="str">
        <f t="shared" si="515"/>
        <v>:1</v>
      </c>
      <c r="U598" t="str">
        <f t="shared" si="497"/>
        <v>骑兵</v>
      </c>
      <c r="V598" t="s">
        <v>4416</v>
      </c>
      <c r="W598">
        <f>属性类型!G598</f>
        <v>111</v>
      </c>
      <c r="X598">
        <v>1</v>
      </c>
    </row>
    <row r="599" customFormat="1" ht="16.5" spans="1:24">
      <c r="A599" s="17">
        <f t="shared" si="510"/>
        <v>21010</v>
      </c>
      <c r="B599" s="17">
        <f t="shared" si="506"/>
        <v>21000</v>
      </c>
      <c r="C599" s="17" t="str">
        <f t="shared" si="507"/>
        <v>2</v>
      </c>
      <c r="D599" s="12">
        <f t="shared" si="508"/>
        <v>20002</v>
      </c>
      <c r="E599" s="17">
        <v>1</v>
      </c>
      <c r="F599" s="17">
        <f t="shared" si="516"/>
        <v>2</v>
      </c>
      <c r="G599" s="17" t="str">
        <f t="shared" si="511"/>
        <v>中级生命</v>
      </c>
      <c r="H599" s="17" t="str">
        <f t="shared" si="512"/>
        <v>icon_01</v>
      </c>
      <c r="I599" s="20">
        <v>0</v>
      </c>
      <c r="J599" s="17">
        <v>10</v>
      </c>
      <c r="K599" s="17">
        <v>0</v>
      </c>
      <c r="L599" s="17">
        <v>0</v>
      </c>
      <c r="M599" s="17" t="str">
        <f t="shared" si="513"/>
        <v>2:10001:30</v>
      </c>
      <c r="N599" s="16" t="str">
        <f t="shared" si="504"/>
        <v>111:1</v>
      </c>
      <c r="O599" s="17">
        <f t="shared" si="517"/>
        <v>1</v>
      </c>
      <c r="P599" s="21" t="str">
        <f t="shared" si="518"/>
        <v>所有骑兵生命增加:1</v>
      </c>
      <c r="Q599" s="21"/>
      <c r="R599" t="str">
        <f t="shared" si="514"/>
        <v>生命</v>
      </c>
      <c r="T599" t="str">
        <f t="shared" si="515"/>
        <v>:1</v>
      </c>
      <c r="U599" t="str">
        <f t="shared" si="497"/>
        <v>骑兵</v>
      </c>
      <c r="V599" t="s">
        <v>4416</v>
      </c>
      <c r="W599">
        <f>属性类型!G599</f>
        <v>111</v>
      </c>
      <c r="X599">
        <v>1</v>
      </c>
    </row>
    <row r="600" customFormat="1" ht="16.5" spans="1:24">
      <c r="A600" s="18">
        <f>A589+100</f>
        <v>21100</v>
      </c>
      <c r="B600" s="18">
        <f t="shared" si="506"/>
        <v>21100</v>
      </c>
      <c r="C600" s="18" t="str">
        <f t="shared" si="507"/>
        <v>2</v>
      </c>
      <c r="D600" s="12">
        <f t="shared" si="508"/>
        <v>20002</v>
      </c>
      <c r="E600" s="17">
        <v>1</v>
      </c>
      <c r="F600" s="18">
        <f t="shared" si="516"/>
        <v>2</v>
      </c>
      <c r="G600" s="18" t="s">
        <v>327</v>
      </c>
      <c r="H600" s="18" t="s">
        <v>63</v>
      </c>
      <c r="I600" s="20">
        <v>0</v>
      </c>
      <c r="J600" s="18">
        <v>0</v>
      </c>
      <c r="K600" s="18">
        <f t="shared" ref="K600:K609" si="519">A601</f>
        <v>21101</v>
      </c>
      <c r="L600" s="18" t="s">
        <v>297</v>
      </c>
      <c r="M600" s="18" t="s">
        <v>329</v>
      </c>
      <c r="N600" s="16" t="str">
        <f t="shared" si="504"/>
        <v>113:1</v>
      </c>
      <c r="O600" s="18">
        <f t="shared" si="517"/>
        <v>2</v>
      </c>
      <c r="P600" s="21" t="str">
        <f t="shared" si="518"/>
        <v>所有骑兵防御增加1</v>
      </c>
      <c r="Q600" s="21"/>
      <c r="R600" t="s">
        <v>4272</v>
      </c>
      <c r="T600" t="str">
        <f>RIGHT(N600,1)</f>
        <v>1</v>
      </c>
      <c r="U600" t="str">
        <f t="shared" si="497"/>
        <v>骑兵</v>
      </c>
      <c r="V600" t="s">
        <v>4417</v>
      </c>
      <c r="W600">
        <f>属性类型!G600</f>
        <v>113</v>
      </c>
      <c r="X600">
        <v>1</v>
      </c>
    </row>
    <row r="601" customFormat="1" ht="16.5" spans="1:24">
      <c r="A601" s="17">
        <f t="shared" ref="A601:A610" si="520">A600+1</f>
        <v>21101</v>
      </c>
      <c r="B601" s="17">
        <f t="shared" si="506"/>
        <v>21100</v>
      </c>
      <c r="C601" s="17" t="str">
        <f t="shared" si="507"/>
        <v>2</v>
      </c>
      <c r="D601" s="12">
        <f t="shared" si="508"/>
        <v>20002</v>
      </c>
      <c r="E601" s="17">
        <v>1</v>
      </c>
      <c r="F601" s="17">
        <f t="shared" si="516"/>
        <v>2</v>
      </c>
      <c r="G601" s="17" t="str">
        <f t="shared" ref="G601:G610" si="521">G600</f>
        <v>中级防御</v>
      </c>
      <c r="H601" s="17" t="str">
        <f t="shared" ref="H601:H610" si="522">H600</f>
        <v>icon_02</v>
      </c>
      <c r="I601" s="20">
        <v>0</v>
      </c>
      <c r="J601" s="17">
        <v>1</v>
      </c>
      <c r="K601" s="17">
        <f t="shared" si="519"/>
        <v>21102</v>
      </c>
      <c r="L601" s="17" t="s">
        <v>300</v>
      </c>
      <c r="M601" s="17" t="str">
        <f t="shared" ref="M601:M610" si="523">M600</f>
        <v>1:11000:5</v>
      </c>
      <c r="N601" s="16" t="str">
        <f t="shared" si="504"/>
        <v>113:1</v>
      </c>
      <c r="O601" s="17">
        <f t="shared" si="517"/>
        <v>2</v>
      </c>
      <c r="P601" s="21" t="str">
        <f t="shared" si="518"/>
        <v>所有骑兵防御增加:1</v>
      </c>
      <c r="Q601" s="21"/>
      <c r="R601" t="str">
        <f t="shared" ref="R601:R610" si="524">R600</f>
        <v>防御</v>
      </c>
      <c r="T601" t="str">
        <f t="shared" ref="T601:T610" si="525">RIGHT(N601,2)</f>
        <v>:1</v>
      </c>
      <c r="U601" t="str">
        <f t="shared" si="497"/>
        <v>骑兵</v>
      </c>
      <c r="V601" t="s">
        <v>4417</v>
      </c>
      <c r="W601">
        <f>属性类型!G601</f>
        <v>113</v>
      </c>
      <c r="X601">
        <v>1</v>
      </c>
    </row>
    <row r="602" customFormat="1" ht="16.5" spans="1:24">
      <c r="A602" s="17">
        <f t="shared" si="520"/>
        <v>21102</v>
      </c>
      <c r="B602" s="17">
        <f t="shared" si="506"/>
        <v>21100</v>
      </c>
      <c r="C602" s="17" t="str">
        <f t="shared" si="507"/>
        <v>2</v>
      </c>
      <c r="D602" s="12">
        <f t="shared" si="508"/>
        <v>20002</v>
      </c>
      <c r="E602" s="17">
        <v>1</v>
      </c>
      <c r="F602" s="17">
        <f t="shared" si="516"/>
        <v>2</v>
      </c>
      <c r="G602" s="17" t="str">
        <f t="shared" si="521"/>
        <v>中级防御</v>
      </c>
      <c r="H602" s="17" t="str">
        <f t="shared" si="522"/>
        <v>icon_02</v>
      </c>
      <c r="I602" s="20">
        <v>0</v>
      </c>
      <c r="J602" s="17">
        <v>2</v>
      </c>
      <c r="K602" s="17">
        <f t="shared" si="519"/>
        <v>21103</v>
      </c>
      <c r="L602" s="17" t="s">
        <v>304</v>
      </c>
      <c r="M602" s="17" t="str">
        <f t="shared" si="523"/>
        <v>1:11000:5</v>
      </c>
      <c r="N602" s="16" t="str">
        <f t="shared" si="504"/>
        <v>113:1</v>
      </c>
      <c r="O602" s="17">
        <f t="shared" si="517"/>
        <v>2</v>
      </c>
      <c r="P602" s="21" t="str">
        <f t="shared" si="518"/>
        <v>所有骑兵防御增加:1</v>
      </c>
      <c r="Q602" s="21"/>
      <c r="R602" t="str">
        <f t="shared" si="524"/>
        <v>防御</v>
      </c>
      <c r="T602" t="str">
        <f t="shared" si="525"/>
        <v>:1</v>
      </c>
      <c r="U602" t="str">
        <f t="shared" si="497"/>
        <v>骑兵</v>
      </c>
      <c r="V602" t="s">
        <v>4417</v>
      </c>
      <c r="W602">
        <f>属性类型!G602</f>
        <v>113</v>
      </c>
      <c r="X602">
        <v>1</v>
      </c>
    </row>
    <row r="603" customFormat="1" ht="16.5" spans="1:24">
      <c r="A603" s="17">
        <f t="shared" si="520"/>
        <v>21103</v>
      </c>
      <c r="B603" s="17">
        <f t="shared" si="506"/>
        <v>21100</v>
      </c>
      <c r="C603" s="17" t="str">
        <f t="shared" si="507"/>
        <v>2</v>
      </c>
      <c r="D603" s="12">
        <f t="shared" si="508"/>
        <v>20002</v>
      </c>
      <c r="E603" s="17">
        <v>1</v>
      </c>
      <c r="F603" s="17">
        <f t="shared" si="516"/>
        <v>2</v>
      </c>
      <c r="G603" s="17" t="str">
        <f t="shared" si="521"/>
        <v>中级防御</v>
      </c>
      <c r="H603" s="17" t="str">
        <f t="shared" si="522"/>
        <v>icon_02</v>
      </c>
      <c r="I603" s="20">
        <v>0</v>
      </c>
      <c r="J603" s="17">
        <v>3</v>
      </c>
      <c r="K603" s="17">
        <f t="shared" si="519"/>
        <v>21104</v>
      </c>
      <c r="L603" s="17" t="s">
        <v>307</v>
      </c>
      <c r="M603" s="17" t="str">
        <f t="shared" si="523"/>
        <v>1:11000:5</v>
      </c>
      <c r="N603" s="16" t="str">
        <f t="shared" si="504"/>
        <v>113:1</v>
      </c>
      <c r="O603" s="17">
        <f t="shared" si="517"/>
        <v>2</v>
      </c>
      <c r="P603" s="21" t="str">
        <f t="shared" si="518"/>
        <v>所有骑兵防御增加:1</v>
      </c>
      <c r="Q603" s="21"/>
      <c r="R603" t="str">
        <f t="shared" si="524"/>
        <v>防御</v>
      </c>
      <c r="T603" t="str">
        <f t="shared" si="525"/>
        <v>:1</v>
      </c>
      <c r="U603" t="str">
        <f t="shared" si="497"/>
        <v>骑兵</v>
      </c>
      <c r="V603" t="s">
        <v>4417</v>
      </c>
      <c r="W603">
        <f>属性类型!G603</f>
        <v>113</v>
      </c>
      <c r="X603">
        <v>1</v>
      </c>
    </row>
    <row r="604" customFormat="1" ht="16.5" spans="1:24">
      <c r="A604" s="17">
        <f t="shared" si="520"/>
        <v>21104</v>
      </c>
      <c r="B604" s="17">
        <f t="shared" si="506"/>
        <v>21100</v>
      </c>
      <c r="C604" s="17" t="str">
        <f t="shared" si="507"/>
        <v>2</v>
      </c>
      <c r="D604" s="12">
        <f t="shared" si="508"/>
        <v>20002</v>
      </c>
      <c r="E604" s="17">
        <v>1</v>
      </c>
      <c r="F604" s="17">
        <f t="shared" si="516"/>
        <v>2</v>
      </c>
      <c r="G604" s="17" t="str">
        <f t="shared" si="521"/>
        <v>中级防御</v>
      </c>
      <c r="H604" s="17" t="str">
        <f t="shared" si="522"/>
        <v>icon_02</v>
      </c>
      <c r="I604" s="20">
        <v>0</v>
      </c>
      <c r="J604" s="17">
        <v>4</v>
      </c>
      <c r="K604" s="17">
        <f t="shared" si="519"/>
        <v>21105</v>
      </c>
      <c r="L604" s="17" t="s">
        <v>309</v>
      </c>
      <c r="M604" s="17" t="str">
        <f t="shared" si="523"/>
        <v>1:11000:5</v>
      </c>
      <c r="N604" s="16" t="str">
        <f t="shared" si="504"/>
        <v>113:1</v>
      </c>
      <c r="O604" s="17">
        <f t="shared" si="517"/>
        <v>2</v>
      </c>
      <c r="P604" s="21" t="str">
        <f t="shared" si="518"/>
        <v>所有骑兵防御增加:1</v>
      </c>
      <c r="Q604" s="21"/>
      <c r="R604" t="str">
        <f t="shared" si="524"/>
        <v>防御</v>
      </c>
      <c r="T604" t="str">
        <f t="shared" si="525"/>
        <v>:1</v>
      </c>
      <c r="U604" t="str">
        <f t="shared" si="497"/>
        <v>骑兵</v>
      </c>
      <c r="V604" t="s">
        <v>4417</v>
      </c>
      <c r="W604">
        <f>属性类型!G604</f>
        <v>113</v>
      </c>
      <c r="X604">
        <v>1</v>
      </c>
    </row>
    <row r="605" customFormat="1" ht="16.5" spans="1:24">
      <c r="A605" s="17">
        <f t="shared" si="520"/>
        <v>21105</v>
      </c>
      <c r="B605" s="17">
        <f t="shared" si="506"/>
        <v>21100</v>
      </c>
      <c r="C605" s="17" t="str">
        <f t="shared" si="507"/>
        <v>2</v>
      </c>
      <c r="D605" s="12">
        <f t="shared" si="508"/>
        <v>20002</v>
      </c>
      <c r="E605" s="17">
        <v>1</v>
      </c>
      <c r="F605" s="17">
        <f t="shared" si="516"/>
        <v>2</v>
      </c>
      <c r="G605" s="17" t="str">
        <f t="shared" si="521"/>
        <v>中级防御</v>
      </c>
      <c r="H605" s="17" t="str">
        <f t="shared" si="522"/>
        <v>icon_02</v>
      </c>
      <c r="I605" s="20">
        <v>0</v>
      </c>
      <c r="J605" s="17">
        <v>5</v>
      </c>
      <c r="K605" s="17">
        <f t="shared" si="519"/>
        <v>21106</v>
      </c>
      <c r="L605" s="17" t="s">
        <v>312</v>
      </c>
      <c r="M605" s="17" t="str">
        <f t="shared" si="523"/>
        <v>1:11000:5</v>
      </c>
      <c r="N605" s="16" t="str">
        <f t="shared" si="504"/>
        <v>113:1</v>
      </c>
      <c r="O605" s="17">
        <f t="shared" si="517"/>
        <v>2</v>
      </c>
      <c r="P605" s="21" t="str">
        <f t="shared" si="518"/>
        <v>所有骑兵防御增加:1</v>
      </c>
      <c r="Q605" s="21"/>
      <c r="R605" t="str">
        <f t="shared" si="524"/>
        <v>防御</v>
      </c>
      <c r="T605" t="str">
        <f t="shared" si="525"/>
        <v>:1</v>
      </c>
      <c r="U605" t="str">
        <f t="shared" si="497"/>
        <v>骑兵</v>
      </c>
      <c r="V605" t="s">
        <v>4417</v>
      </c>
      <c r="W605">
        <f>属性类型!G605</f>
        <v>113</v>
      </c>
      <c r="X605">
        <v>1</v>
      </c>
    </row>
    <row r="606" customFormat="1" ht="16.5" spans="1:24">
      <c r="A606" s="17">
        <f t="shared" si="520"/>
        <v>21106</v>
      </c>
      <c r="B606" s="17">
        <f t="shared" si="506"/>
        <v>21100</v>
      </c>
      <c r="C606" s="17" t="str">
        <f t="shared" si="507"/>
        <v>2</v>
      </c>
      <c r="D606" s="12">
        <f t="shared" si="508"/>
        <v>20002</v>
      </c>
      <c r="E606" s="17">
        <v>1</v>
      </c>
      <c r="F606" s="17">
        <f t="shared" si="516"/>
        <v>2</v>
      </c>
      <c r="G606" s="17" t="str">
        <f t="shared" si="521"/>
        <v>中级防御</v>
      </c>
      <c r="H606" s="17" t="str">
        <f t="shared" si="522"/>
        <v>icon_02</v>
      </c>
      <c r="I606" s="20">
        <v>0</v>
      </c>
      <c r="J606" s="17">
        <v>6</v>
      </c>
      <c r="K606" s="17">
        <f t="shared" si="519"/>
        <v>21107</v>
      </c>
      <c r="L606" s="17" t="s">
        <v>315</v>
      </c>
      <c r="M606" s="17" t="str">
        <f t="shared" si="523"/>
        <v>1:11000:5</v>
      </c>
      <c r="N606" s="16" t="str">
        <f t="shared" si="504"/>
        <v>113:1</v>
      </c>
      <c r="O606" s="17">
        <f t="shared" si="517"/>
        <v>2</v>
      </c>
      <c r="P606" s="21" t="str">
        <f t="shared" si="518"/>
        <v>所有骑兵防御增加:1</v>
      </c>
      <c r="Q606" s="21"/>
      <c r="R606" t="str">
        <f t="shared" si="524"/>
        <v>防御</v>
      </c>
      <c r="T606" t="str">
        <f t="shared" si="525"/>
        <v>:1</v>
      </c>
      <c r="U606" t="str">
        <f t="shared" si="497"/>
        <v>骑兵</v>
      </c>
      <c r="V606" t="s">
        <v>4417</v>
      </c>
      <c r="W606">
        <f>属性类型!G606</f>
        <v>113</v>
      </c>
      <c r="X606">
        <v>1</v>
      </c>
    </row>
    <row r="607" customFormat="1" ht="16.5" spans="1:24">
      <c r="A607" s="17">
        <f t="shared" si="520"/>
        <v>21107</v>
      </c>
      <c r="B607" s="17">
        <f t="shared" si="506"/>
        <v>21100</v>
      </c>
      <c r="C607" s="17" t="str">
        <f t="shared" si="507"/>
        <v>2</v>
      </c>
      <c r="D607" s="12">
        <f t="shared" si="508"/>
        <v>20002</v>
      </c>
      <c r="E607" s="17">
        <v>1</v>
      </c>
      <c r="F607" s="17">
        <f t="shared" si="516"/>
        <v>2</v>
      </c>
      <c r="G607" s="17" t="str">
        <f t="shared" si="521"/>
        <v>中级防御</v>
      </c>
      <c r="H607" s="17" t="str">
        <f t="shared" si="522"/>
        <v>icon_02</v>
      </c>
      <c r="I607" s="20">
        <v>0</v>
      </c>
      <c r="J607" s="17">
        <v>7</v>
      </c>
      <c r="K607" s="17">
        <f t="shared" si="519"/>
        <v>21108</v>
      </c>
      <c r="L607" s="17" t="s">
        <v>317</v>
      </c>
      <c r="M607" s="17" t="str">
        <f t="shared" si="523"/>
        <v>1:11000:5</v>
      </c>
      <c r="N607" s="16" t="str">
        <f t="shared" si="504"/>
        <v>113:1</v>
      </c>
      <c r="O607" s="17">
        <f t="shared" si="517"/>
        <v>2</v>
      </c>
      <c r="P607" s="21" t="str">
        <f t="shared" si="518"/>
        <v>所有骑兵防御增加:1</v>
      </c>
      <c r="Q607" s="21"/>
      <c r="R607" t="str">
        <f t="shared" si="524"/>
        <v>防御</v>
      </c>
      <c r="T607" t="str">
        <f t="shared" si="525"/>
        <v>:1</v>
      </c>
      <c r="U607" t="str">
        <f t="shared" si="497"/>
        <v>骑兵</v>
      </c>
      <c r="V607" t="s">
        <v>4417</v>
      </c>
      <c r="W607">
        <f>属性类型!G607</f>
        <v>113</v>
      </c>
      <c r="X607">
        <v>1</v>
      </c>
    </row>
    <row r="608" customFormat="1" ht="16.5" spans="1:24">
      <c r="A608" s="17">
        <f t="shared" si="520"/>
        <v>21108</v>
      </c>
      <c r="B608" s="17">
        <f t="shared" si="506"/>
        <v>21100</v>
      </c>
      <c r="C608" s="17" t="str">
        <f t="shared" si="507"/>
        <v>2</v>
      </c>
      <c r="D608" s="12">
        <f t="shared" si="508"/>
        <v>20002</v>
      </c>
      <c r="E608" s="17">
        <v>1</v>
      </c>
      <c r="F608" s="17">
        <f t="shared" si="516"/>
        <v>2</v>
      </c>
      <c r="G608" s="17" t="str">
        <f t="shared" si="521"/>
        <v>中级防御</v>
      </c>
      <c r="H608" s="17" t="str">
        <f t="shared" si="522"/>
        <v>icon_02</v>
      </c>
      <c r="I608" s="20">
        <v>0</v>
      </c>
      <c r="J608" s="17">
        <v>8</v>
      </c>
      <c r="K608" s="17">
        <f t="shared" si="519"/>
        <v>21109</v>
      </c>
      <c r="L608" s="17" t="s">
        <v>320</v>
      </c>
      <c r="M608" s="17" t="str">
        <f t="shared" si="523"/>
        <v>1:11000:5</v>
      </c>
      <c r="N608" s="16" t="str">
        <f t="shared" si="504"/>
        <v>113:1</v>
      </c>
      <c r="O608" s="17">
        <f t="shared" si="517"/>
        <v>2</v>
      </c>
      <c r="P608" s="21" t="str">
        <f t="shared" si="518"/>
        <v>所有骑兵防御增加:1</v>
      </c>
      <c r="Q608" s="21"/>
      <c r="R608" t="str">
        <f t="shared" si="524"/>
        <v>防御</v>
      </c>
      <c r="T608" t="str">
        <f t="shared" si="525"/>
        <v>:1</v>
      </c>
      <c r="U608" t="str">
        <f t="shared" si="497"/>
        <v>骑兵</v>
      </c>
      <c r="V608" t="s">
        <v>4417</v>
      </c>
      <c r="W608">
        <f>属性类型!G608</f>
        <v>113</v>
      </c>
      <c r="X608">
        <v>1</v>
      </c>
    </row>
    <row r="609" customFormat="1" ht="16.5" spans="1:24">
      <c r="A609" s="17">
        <f t="shared" si="520"/>
        <v>21109</v>
      </c>
      <c r="B609" s="17">
        <f t="shared" si="506"/>
        <v>21100</v>
      </c>
      <c r="C609" s="17" t="str">
        <f t="shared" si="507"/>
        <v>2</v>
      </c>
      <c r="D609" s="12">
        <f t="shared" si="508"/>
        <v>20002</v>
      </c>
      <c r="E609" s="17">
        <v>1</v>
      </c>
      <c r="F609" s="17">
        <f t="shared" si="516"/>
        <v>2</v>
      </c>
      <c r="G609" s="17" t="str">
        <f t="shared" si="521"/>
        <v>中级防御</v>
      </c>
      <c r="H609" s="17" t="str">
        <f t="shared" si="522"/>
        <v>icon_02</v>
      </c>
      <c r="I609" s="20">
        <v>0</v>
      </c>
      <c r="J609" s="17">
        <v>9</v>
      </c>
      <c r="K609" s="17">
        <f t="shared" si="519"/>
        <v>21110</v>
      </c>
      <c r="L609" s="17" t="s">
        <v>323</v>
      </c>
      <c r="M609" s="17" t="str">
        <f t="shared" si="523"/>
        <v>1:11000:5</v>
      </c>
      <c r="N609" s="16" t="str">
        <f t="shared" si="504"/>
        <v>113:1</v>
      </c>
      <c r="O609" s="17">
        <f t="shared" si="517"/>
        <v>2</v>
      </c>
      <c r="P609" s="21" t="str">
        <f t="shared" si="518"/>
        <v>所有骑兵防御增加:1</v>
      </c>
      <c r="Q609" s="21"/>
      <c r="R609" t="str">
        <f t="shared" si="524"/>
        <v>防御</v>
      </c>
      <c r="T609" t="str">
        <f t="shared" si="525"/>
        <v>:1</v>
      </c>
      <c r="U609" t="str">
        <f t="shared" si="497"/>
        <v>骑兵</v>
      </c>
      <c r="V609" t="s">
        <v>4417</v>
      </c>
      <c r="W609">
        <f>属性类型!G609</f>
        <v>113</v>
      </c>
      <c r="X609">
        <v>1</v>
      </c>
    </row>
    <row r="610" customFormat="1" ht="16.5" spans="1:24">
      <c r="A610" s="17">
        <f t="shared" si="520"/>
        <v>21110</v>
      </c>
      <c r="B610" s="17">
        <f t="shared" si="506"/>
        <v>21100</v>
      </c>
      <c r="C610" s="17" t="str">
        <f t="shared" si="507"/>
        <v>2</v>
      </c>
      <c r="D610" s="12">
        <f t="shared" si="508"/>
        <v>20002</v>
      </c>
      <c r="E610" s="17">
        <v>1</v>
      </c>
      <c r="F610" s="17">
        <f t="shared" si="516"/>
        <v>2</v>
      </c>
      <c r="G610" s="17" t="str">
        <f t="shared" si="521"/>
        <v>中级防御</v>
      </c>
      <c r="H610" s="17" t="str">
        <f t="shared" si="522"/>
        <v>icon_02</v>
      </c>
      <c r="I610" s="20">
        <v>0</v>
      </c>
      <c r="J610" s="17">
        <v>10</v>
      </c>
      <c r="K610" s="17">
        <v>0</v>
      </c>
      <c r="L610" s="17">
        <v>0</v>
      </c>
      <c r="M610" s="17" t="str">
        <f t="shared" si="523"/>
        <v>1:11000:5</v>
      </c>
      <c r="N610" s="16" t="str">
        <f t="shared" si="504"/>
        <v>113:1</v>
      </c>
      <c r="O610" s="17">
        <f t="shared" si="517"/>
        <v>2</v>
      </c>
      <c r="P610" s="21" t="str">
        <f t="shared" si="518"/>
        <v>所有骑兵防御增加:1</v>
      </c>
      <c r="Q610" s="21"/>
      <c r="R610" t="str">
        <f t="shared" si="524"/>
        <v>防御</v>
      </c>
      <c r="T610" t="str">
        <f t="shared" si="525"/>
        <v>:1</v>
      </c>
      <c r="U610" t="str">
        <f t="shared" si="497"/>
        <v>骑兵</v>
      </c>
      <c r="V610" t="s">
        <v>4417</v>
      </c>
      <c r="W610">
        <f>属性类型!G610</f>
        <v>113</v>
      </c>
      <c r="X610">
        <v>1</v>
      </c>
    </row>
    <row r="611" customFormat="1" ht="16.5" spans="1:24">
      <c r="A611" s="18">
        <f>A600+100</f>
        <v>21200</v>
      </c>
      <c r="B611" s="18">
        <f t="shared" si="506"/>
        <v>21200</v>
      </c>
      <c r="C611" s="18" t="str">
        <f t="shared" si="507"/>
        <v>2</v>
      </c>
      <c r="D611" s="12">
        <f t="shared" si="508"/>
        <v>20002</v>
      </c>
      <c r="E611" s="17">
        <v>1</v>
      </c>
      <c r="F611" s="18">
        <f t="shared" si="516"/>
        <v>2</v>
      </c>
      <c r="G611" s="18" t="s">
        <v>350</v>
      </c>
      <c r="H611" s="18" t="s">
        <v>80</v>
      </c>
      <c r="I611" s="20">
        <v>0</v>
      </c>
      <c r="J611" s="18">
        <v>0</v>
      </c>
      <c r="K611" s="18">
        <f t="shared" ref="K611:K620" si="526">A612</f>
        <v>21201</v>
      </c>
      <c r="L611" s="18" t="s">
        <v>297</v>
      </c>
      <c r="M611" s="18" t="s">
        <v>329</v>
      </c>
      <c r="N611" s="16" t="str">
        <f t="shared" si="504"/>
        <v>112:1</v>
      </c>
      <c r="O611" s="18">
        <f t="shared" si="517"/>
        <v>3</v>
      </c>
      <c r="P611" s="21" t="str">
        <f t="shared" si="518"/>
        <v>所有骑兵攻击增加1</v>
      </c>
      <c r="Q611" s="21"/>
      <c r="R611" t="s">
        <v>4274</v>
      </c>
      <c r="T611" t="str">
        <f>RIGHT(N611,1)</f>
        <v>1</v>
      </c>
      <c r="U611" t="str">
        <f t="shared" si="497"/>
        <v>骑兵</v>
      </c>
      <c r="V611" t="s">
        <v>4418</v>
      </c>
      <c r="W611">
        <f>属性类型!G611</f>
        <v>112</v>
      </c>
      <c r="X611">
        <v>1</v>
      </c>
    </row>
    <row r="612" customFormat="1" ht="16.5" spans="1:24">
      <c r="A612" s="17">
        <f t="shared" ref="A612:A621" si="527">A611+1</f>
        <v>21201</v>
      </c>
      <c r="B612" s="17">
        <f t="shared" si="506"/>
        <v>21200</v>
      </c>
      <c r="C612" s="17" t="str">
        <f t="shared" si="507"/>
        <v>2</v>
      </c>
      <c r="D612" s="12">
        <f t="shared" si="508"/>
        <v>20002</v>
      </c>
      <c r="E612" s="17">
        <v>1</v>
      </c>
      <c r="F612" s="17">
        <f t="shared" si="516"/>
        <v>2</v>
      </c>
      <c r="G612" s="17" t="str">
        <f t="shared" ref="G612:G621" si="528">G611</f>
        <v>中级攻击</v>
      </c>
      <c r="H612" s="17" t="str">
        <f t="shared" ref="H612:H621" si="529">H611</f>
        <v>icon_03</v>
      </c>
      <c r="I612" s="20">
        <v>0</v>
      </c>
      <c r="J612" s="17">
        <v>1</v>
      </c>
      <c r="K612" s="17">
        <f t="shared" si="526"/>
        <v>21202</v>
      </c>
      <c r="L612" s="17" t="s">
        <v>300</v>
      </c>
      <c r="M612" s="17" t="str">
        <f t="shared" ref="M612:M621" si="530">M611</f>
        <v>1:11000:5</v>
      </c>
      <c r="N612" s="16" t="str">
        <f t="shared" si="504"/>
        <v>112:1</v>
      </c>
      <c r="O612" s="17">
        <f t="shared" si="517"/>
        <v>3</v>
      </c>
      <c r="P612" s="21" t="str">
        <f t="shared" si="518"/>
        <v>所有骑兵攻击增加:1</v>
      </c>
      <c r="Q612" s="21"/>
      <c r="R612" t="str">
        <f t="shared" ref="R612:R621" si="531">R611</f>
        <v>攻击</v>
      </c>
      <c r="T612" t="str">
        <f t="shared" ref="T612:T621" si="532">RIGHT(N612,2)</f>
        <v>:1</v>
      </c>
      <c r="U612" t="str">
        <f t="shared" si="497"/>
        <v>骑兵</v>
      </c>
      <c r="V612" t="s">
        <v>4418</v>
      </c>
      <c r="W612">
        <f>属性类型!G612</f>
        <v>112</v>
      </c>
      <c r="X612">
        <v>1</v>
      </c>
    </row>
    <row r="613" customFormat="1" ht="16.5" spans="1:24">
      <c r="A613" s="17">
        <f t="shared" si="527"/>
        <v>21202</v>
      </c>
      <c r="B613" s="17">
        <f t="shared" si="506"/>
        <v>21200</v>
      </c>
      <c r="C613" s="17" t="str">
        <f t="shared" si="507"/>
        <v>2</v>
      </c>
      <c r="D613" s="12">
        <f t="shared" si="508"/>
        <v>20002</v>
      </c>
      <c r="E613" s="17">
        <v>1</v>
      </c>
      <c r="F613" s="17">
        <f t="shared" si="516"/>
        <v>2</v>
      </c>
      <c r="G613" s="17" t="str">
        <f t="shared" si="528"/>
        <v>中级攻击</v>
      </c>
      <c r="H613" s="17" t="str">
        <f t="shared" si="529"/>
        <v>icon_03</v>
      </c>
      <c r="I613" s="20">
        <v>0</v>
      </c>
      <c r="J613" s="17">
        <v>2</v>
      </c>
      <c r="K613" s="17">
        <f t="shared" si="526"/>
        <v>21203</v>
      </c>
      <c r="L613" s="17" t="s">
        <v>304</v>
      </c>
      <c r="M613" s="17" t="str">
        <f t="shared" si="530"/>
        <v>1:11000:5</v>
      </c>
      <c r="N613" s="16" t="str">
        <f t="shared" si="504"/>
        <v>112:1</v>
      </c>
      <c r="O613" s="17">
        <f t="shared" si="517"/>
        <v>3</v>
      </c>
      <c r="P613" s="21" t="str">
        <f t="shared" si="518"/>
        <v>所有骑兵攻击增加:1</v>
      </c>
      <c r="Q613" s="21"/>
      <c r="R613" t="str">
        <f t="shared" si="531"/>
        <v>攻击</v>
      </c>
      <c r="T613" t="str">
        <f t="shared" si="532"/>
        <v>:1</v>
      </c>
      <c r="U613" t="str">
        <f t="shared" si="497"/>
        <v>骑兵</v>
      </c>
      <c r="V613" t="s">
        <v>4418</v>
      </c>
      <c r="W613">
        <f>属性类型!G613</f>
        <v>112</v>
      </c>
      <c r="X613">
        <v>1</v>
      </c>
    </row>
    <row r="614" customFormat="1" ht="16.5" spans="1:24">
      <c r="A614" s="17">
        <f t="shared" si="527"/>
        <v>21203</v>
      </c>
      <c r="B614" s="17">
        <f t="shared" si="506"/>
        <v>21200</v>
      </c>
      <c r="C614" s="17" t="str">
        <f t="shared" si="507"/>
        <v>2</v>
      </c>
      <c r="D614" s="12">
        <f t="shared" si="508"/>
        <v>20002</v>
      </c>
      <c r="E614" s="17">
        <v>1</v>
      </c>
      <c r="F614" s="17">
        <f t="shared" si="516"/>
        <v>2</v>
      </c>
      <c r="G614" s="17" t="str">
        <f t="shared" si="528"/>
        <v>中级攻击</v>
      </c>
      <c r="H614" s="17" t="str">
        <f t="shared" si="529"/>
        <v>icon_03</v>
      </c>
      <c r="I614" s="20">
        <v>0</v>
      </c>
      <c r="J614" s="17">
        <v>3</v>
      </c>
      <c r="K614" s="17">
        <f t="shared" si="526"/>
        <v>21204</v>
      </c>
      <c r="L614" s="17" t="s">
        <v>307</v>
      </c>
      <c r="M614" s="17" t="str">
        <f t="shared" si="530"/>
        <v>1:11000:5</v>
      </c>
      <c r="N614" s="16" t="str">
        <f t="shared" si="504"/>
        <v>112:1</v>
      </c>
      <c r="O614" s="17">
        <f t="shared" si="517"/>
        <v>3</v>
      </c>
      <c r="P614" s="21" t="str">
        <f t="shared" si="518"/>
        <v>所有骑兵攻击增加:1</v>
      </c>
      <c r="Q614" s="21"/>
      <c r="R614" t="str">
        <f t="shared" si="531"/>
        <v>攻击</v>
      </c>
      <c r="T614" t="str">
        <f t="shared" si="532"/>
        <v>:1</v>
      </c>
      <c r="U614" t="str">
        <f t="shared" si="497"/>
        <v>骑兵</v>
      </c>
      <c r="V614" t="s">
        <v>4418</v>
      </c>
      <c r="W614">
        <f>属性类型!G614</f>
        <v>112</v>
      </c>
      <c r="X614">
        <v>1</v>
      </c>
    </row>
    <row r="615" customFormat="1" ht="16.5" spans="1:24">
      <c r="A615" s="17">
        <f t="shared" si="527"/>
        <v>21204</v>
      </c>
      <c r="B615" s="17">
        <f t="shared" si="506"/>
        <v>21200</v>
      </c>
      <c r="C615" s="17" t="str">
        <f t="shared" si="507"/>
        <v>2</v>
      </c>
      <c r="D615" s="12">
        <f t="shared" si="508"/>
        <v>20002</v>
      </c>
      <c r="E615" s="17">
        <v>1</v>
      </c>
      <c r="F615" s="17">
        <f t="shared" si="516"/>
        <v>2</v>
      </c>
      <c r="G615" s="17" t="str">
        <f t="shared" si="528"/>
        <v>中级攻击</v>
      </c>
      <c r="H615" s="17" t="str">
        <f t="shared" si="529"/>
        <v>icon_03</v>
      </c>
      <c r="I615" s="20">
        <v>0</v>
      </c>
      <c r="J615" s="17">
        <v>4</v>
      </c>
      <c r="K615" s="17">
        <f t="shared" si="526"/>
        <v>21205</v>
      </c>
      <c r="L615" s="17" t="s">
        <v>309</v>
      </c>
      <c r="M615" s="17" t="str">
        <f t="shared" si="530"/>
        <v>1:11000:5</v>
      </c>
      <c r="N615" s="16" t="str">
        <f t="shared" si="504"/>
        <v>112:1</v>
      </c>
      <c r="O615" s="17">
        <f t="shared" si="517"/>
        <v>3</v>
      </c>
      <c r="P615" s="21" t="str">
        <f t="shared" si="518"/>
        <v>所有骑兵攻击增加:1</v>
      </c>
      <c r="Q615" s="21"/>
      <c r="R615" t="str">
        <f t="shared" si="531"/>
        <v>攻击</v>
      </c>
      <c r="T615" t="str">
        <f t="shared" si="532"/>
        <v>:1</v>
      </c>
      <c r="U615" t="str">
        <f t="shared" si="497"/>
        <v>骑兵</v>
      </c>
      <c r="V615" t="s">
        <v>4418</v>
      </c>
      <c r="W615">
        <f>属性类型!G615</f>
        <v>112</v>
      </c>
      <c r="X615">
        <v>1</v>
      </c>
    </row>
    <row r="616" customFormat="1" ht="16.5" spans="1:24">
      <c r="A616" s="17">
        <f t="shared" si="527"/>
        <v>21205</v>
      </c>
      <c r="B616" s="17">
        <f t="shared" si="506"/>
        <v>21200</v>
      </c>
      <c r="C616" s="17" t="str">
        <f t="shared" si="507"/>
        <v>2</v>
      </c>
      <c r="D616" s="12">
        <f t="shared" si="508"/>
        <v>20002</v>
      </c>
      <c r="E616" s="17">
        <v>1</v>
      </c>
      <c r="F616" s="17">
        <f t="shared" si="516"/>
        <v>2</v>
      </c>
      <c r="G616" s="17" t="str">
        <f t="shared" si="528"/>
        <v>中级攻击</v>
      </c>
      <c r="H616" s="17" t="str">
        <f t="shared" si="529"/>
        <v>icon_03</v>
      </c>
      <c r="I616" s="20">
        <v>0</v>
      </c>
      <c r="J616" s="17">
        <v>5</v>
      </c>
      <c r="K616" s="17">
        <f t="shared" si="526"/>
        <v>21206</v>
      </c>
      <c r="L616" s="17" t="s">
        <v>312</v>
      </c>
      <c r="M616" s="17" t="str">
        <f t="shared" si="530"/>
        <v>1:11000:5</v>
      </c>
      <c r="N616" s="16" t="str">
        <f t="shared" si="504"/>
        <v>112:1</v>
      </c>
      <c r="O616" s="17">
        <f t="shared" si="517"/>
        <v>3</v>
      </c>
      <c r="P616" s="21" t="str">
        <f t="shared" si="518"/>
        <v>所有骑兵攻击增加:1</v>
      </c>
      <c r="Q616" s="21"/>
      <c r="R616" t="str">
        <f t="shared" si="531"/>
        <v>攻击</v>
      </c>
      <c r="T616" t="str">
        <f t="shared" si="532"/>
        <v>:1</v>
      </c>
      <c r="U616" t="str">
        <f t="shared" si="497"/>
        <v>骑兵</v>
      </c>
      <c r="V616" t="s">
        <v>4418</v>
      </c>
      <c r="W616">
        <f>属性类型!G616</f>
        <v>112</v>
      </c>
      <c r="X616">
        <v>1</v>
      </c>
    </row>
    <row r="617" customFormat="1" ht="16.5" spans="1:24">
      <c r="A617" s="17">
        <f t="shared" si="527"/>
        <v>21206</v>
      </c>
      <c r="B617" s="17">
        <f t="shared" si="506"/>
        <v>21200</v>
      </c>
      <c r="C617" s="17" t="str">
        <f t="shared" si="507"/>
        <v>2</v>
      </c>
      <c r="D617" s="12">
        <f t="shared" si="508"/>
        <v>20002</v>
      </c>
      <c r="E617" s="17">
        <v>1</v>
      </c>
      <c r="F617" s="17">
        <f t="shared" si="516"/>
        <v>2</v>
      </c>
      <c r="G617" s="17" t="str">
        <f t="shared" si="528"/>
        <v>中级攻击</v>
      </c>
      <c r="H617" s="17" t="str">
        <f t="shared" si="529"/>
        <v>icon_03</v>
      </c>
      <c r="I617" s="20">
        <v>0</v>
      </c>
      <c r="J617" s="17">
        <v>6</v>
      </c>
      <c r="K617" s="17">
        <f t="shared" si="526"/>
        <v>21207</v>
      </c>
      <c r="L617" s="17" t="s">
        <v>315</v>
      </c>
      <c r="M617" s="17" t="str">
        <f t="shared" si="530"/>
        <v>1:11000:5</v>
      </c>
      <c r="N617" s="16" t="str">
        <f t="shared" si="504"/>
        <v>112:1</v>
      </c>
      <c r="O617" s="17">
        <f t="shared" si="517"/>
        <v>3</v>
      </c>
      <c r="P617" s="21" t="str">
        <f t="shared" si="518"/>
        <v>所有骑兵攻击增加:1</v>
      </c>
      <c r="Q617" s="21"/>
      <c r="R617" t="str">
        <f t="shared" si="531"/>
        <v>攻击</v>
      </c>
      <c r="T617" t="str">
        <f t="shared" si="532"/>
        <v>:1</v>
      </c>
      <c r="U617" t="str">
        <f t="shared" si="497"/>
        <v>骑兵</v>
      </c>
      <c r="V617" t="s">
        <v>4418</v>
      </c>
      <c r="W617">
        <f>属性类型!G617</f>
        <v>112</v>
      </c>
      <c r="X617">
        <v>1</v>
      </c>
    </row>
    <row r="618" customFormat="1" ht="16.5" spans="1:24">
      <c r="A618" s="17">
        <f t="shared" si="527"/>
        <v>21207</v>
      </c>
      <c r="B618" s="17">
        <f t="shared" si="506"/>
        <v>21200</v>
      </c>
      <c r="C618" s="17" t="str">
        <f t="shared" si="507"/>
        <v>2</v>
      </c>
      <c r="D618" s="12">
        <f t="shared" si="508"/>
        <v>20002</v>
      </c>
      <c r="E618" s="17">
        <v>1</v>
      </c>
      <c r="F618" s="17">
        <f t="shared" si="516"/>
        <v>2</v>
      </c>
      <c r="G618" s="17" t="str">
        <f t="shared" si="528"/>
        <v>中级攻击</v>
      </c>
      <c r="H618" s="17" t="str">
        <f t="shared" si="529"/>
        <v>icon_03</v>
      </c>
      <c r="I618" s="20">
        <v>0</v>
      </c>
      <c r="J618" s="17">
        <v>7</v>
      </c>
      <c r="K618" s="17">
        <f t="shared" si="526"/>
        <v>21208</v>
      </c>
      <c r="L618" s="17" t="s">
        <v>317</v>
      </c>
      <c r="M618" s="17" t="str">
        <f t="shared" si="530"/>
        <v>1:11000:5</v>
      </c>
      <c r="N618" s="16" t="str">
        <f t="shared" si="504"/>
        <v>112:1</v>
      </c>
      <c r="O618" s="17">
        <f t="shared" si="517"/>
        <v>3</v>
      </c>
      <c r="P618" s="21" t="str">
        <f t="shared" si="518"/>
        <v>所有骑兵攻击增加:1</v>
      </c>
      <c r="Q618" s="21"/>
      <c r="R618" t="str">
        <f t="shared" si="531"/>
        <v>攻击</v>
      </c>
      <c r="T618" t="str">
        <f t="shared" si="532"/>
        <v>:1</v>
      </c>
      <c r="U618" t="str">
        <f t="shared" si="497"/>
        <v>骑兵</v>
      </c>
      <c r="V618" t="s">
        <v>4418</v>
      </c>
      <c r="W618">
        <f>属性类型!G618</f>
        <v>112</v>
      </c>
      <c r="X618">
        <v>1</v>
      </c>
    </row>
    <row r="619" customFormat="1" ht="16.5" spans="1:24">
      <c r="A619" s="17">
        <f t="shared" si="527"/>
        <v>21208</v>
      </c>
      <c r="B619" s="17">
        <f t="shared" si="506"/>
        <v>21200</v>
      </c>
      <c r="C619" s="17" t="str">
        <f t="shared" si="507"/>
        <v>2</v>
      </c>
      <c r="D619" s="12">
        <f t="shared" si="508"/>
        <v>20002</v>
      </c>
      <c r="E619" s="17">
        <v>1</v>
      </c>
      <c r="F619" s="17">
        <f t="shared" si="516"/>
        <v>2</v>
      </c>
      <c r="G619" s="17" t="str">
        <f t="shared" si="528"/>
        <v>中级攻击</v>
      </c>
      <c r="H619" s="17" t="str">
        <f t="shared" si="529"/>
        <v>icon_03</v>
      </c>
      <c r="I619" s="20">
        <v>0</v>
      </c>
      <c r="J619" s="17">
        <v>8</v>
      </c>
      <c r="K619" s="17">
        <f t="shared" si="526"/>
        <v>21209</v>
      </c>
      <c r="L619" s="17" t="s">
        <v>320</v>
      </c>
      <c r="M619" s="17" t="str">
        <f t="shared" si="530"/>
        <v>1:11000:5</v>
      </c>
      <c r="N619" s="16" t="str">
        <f t="shared" si="504"/>
        <v>112:1</v>
      </c>
      <c r="O619" s="17">
        <f t="shared" si="517"/>
        <v>3</v>
      </c>
      <c r="P619" s="21" t="str">
        <f t="shared" si="518"/>
        <v>所有骑兵攻击增加:1</v>
      </c>
      <c r="Q619" s="21"/>
      <c r="R619" t="str">
        <f t="shared" si="531"/>
        <v>攻击</v>
      </c>
      <c r="T619" t="str">
        <f t="shared" si="532"/>
        <v>:1</v>
      </c>
      <c r="U619" t="str">
        <f t="shared" si="497"/>
        <v>骑兵</v>
      </c>
      <c r="V619" t="s">
        <v>4418</v>
      </c>
      <c r="W619">
        <f>属性类型!G619</f>
        <v>112</v>
      </c>
      <c r="X619">
        <v>1</v>
      </c>
    </row>
    <row r="620" customFormat="1" ht="16.5" spans="1:24">
      <c r="A620" s="17">
        <f t="shared" si="527"/>
        <v>21209</v>
      </c>
      <c r="B620" s="17">
        <f t="shared" si="506"/>
        <v>21200</v>
      </c>
      <c r="C620" s="17" t="str">
        <f t="shared" si="507"/>
        <v>2</v>
      </c>
      <c r="D620" s="12">
        <f t="shared" si="508"/>
        <v>20002</v>
      </c>
      <c r="E620" s="17">
        <v>1</v>
      </c>
      <c r="F620" s="17">
        <f t="shared" si="516"/>
        <v>2</v>
      </c>
      <c r="G620" s="17" t="str">
        <f t="shared" si="528"/>
        <v>中级攻击</v>
      </c>
      <c r="H620" s="17" t="str">
        <f t="shared" si="529"/>
        <v>icon_03</v>
      </c>
      <c r="I620" s="20">
        <v>0</v>
      </c>
      <c r="J620" s="17">
        <v>9</v>
      </c>
      <c r="K620" s="17">
        <f t="shared" si="526"/>
        <v>21210</v>
      </c>
      <c r="L620" s="17" t="s">
        <v>323</v>
      </c>
      <c r="M620" s="17" t="str">
        <f t="shared" si="530"/>
        <v>1:11000:5</v>
      </c>
      <c r="N620" s="16" t="str">
        <f t="shared" si="504"/>
        <v>112:1</v>
      </c>
      <c r="O620" s="17">
        <f t="shared" si="517"/>
        <v>3</v>
      </c>
      <c r="P620" s="21" t="str">
        <f t="shared" si="518"/>
        <v>所有骑兵攻击增加:1</v>
      </c>
      <c r="Q620" s="21"/>
      <c r="R620" t="str">
        <f t="shared" si="531"/>
        <v>攻击</v>
      </c>
      <c r="T620" t="str">
        <f t="shared" si="532"/>
        <v>:1</v>
      </c>
      <c r="U620" t="str">
        <f t="shared" si="497"/>
        <v>骑兵</v>
      </c>
      <c r="V620" t="s">
        <v>4418</v>
      </c>
      <c r="W620">
        <f>属性类型!G620</f>
        <v>112</v>
      </c>
      <c r="X620">
        <v>1</v>
      </c>
    </row>
    <row r="621" customFormat="1" ht="16.5" spans="1:24">
      <c r="A621" s="17">
        <f t="shared" si="527"/>
        <v>21210</v>
      </c>
      <c r="B621" s="17">
        <f t="shared" si="506"/>
        <v>21200</v>
      </c>
      <c r="C621" s="17" t="str">
        <f t="shared" si="507"/>
        <v>2</v>
      </c>
      <c r="D621" s="12">
        <f t="shared" si="508"/>
        <v>20002</v>
      </c>
      <c r="E621" s="17">
        <v>1</v>
      </c>
      <c r="F621" s="17">
        <f t="shared" si="516"/>
        <v>2</v>
      </c>
      <c r="G621" s="17" t="str">
        <f t="shared" si="528"/>
        <v>中级攻击</v>
      </c>
      <c r="H621" s="17" t="str">
        <f t="shared" si="529"/>
        <v>icon_03</v>
      </c>
      <c r="I621" s="20">
        <v>0</v>
      </c>
      <c r="J621" s="17">
        <v>10</v>
      </c>
      <c r="K621" s="17">
        <v>0</v>
      </c>
      <c r="L621" s="17">
        <v>0</v>
      </c>
      <c r="M621" s="17" t="str">
        <f t="shared" si="530"/>
        <v>1:11000:5</v>
      </c>
      <c r="N621" s="16" t="str">
        <f t="shared" si="504"/>
        <v>112:1</v>
      </c>
      <c r="O621" s="17">
        <f t="shared" si="517"/>
        <v>3</v>
      </c>
      <c r="P621" s="21" t="str">
        <f t="shared" si="518"/>
        <v>所有骑兵攻击增加:1</v>
      </c>
      <c r="Q621" s="21"/>
      <c r="R621" t="str">
        <f t="shared" si="531"/>
        <v>攻击</v>
      </c>
      <c r="T621" t="str">
        <f t="shared" si="532"/>
        <v>:1</v>
      </c>
      <c r="U621" t="str">
        <f t="shared" si="497"/>
        <v>骑兵</v>
      </c>
      <c r="V621" t="s">
        <v>4418</v>
      </c>
      <c r="W621">
        <f>属性类型!G621</f>
        <v>112</v>
      </c>
      <c r="X621">
        <v>1</v>
      </c>
    </row>
    <row r="622" customFormat="1" ht="16.5" spans="1:24">
      <c r="A622" s="18">
        <f>A611+100</f>
        <v>21300</v>
      </c>
      <c r="B622" s="18">
        <f t="shared" ref="B622:B685" si="533">ROUND(A622,-2)</f>
        <v>21300</v>
      </c>
      <c r="C622" s="18" t="str">
        <f t="shared" ref="C622:C685" si="534">LEFT(A622,1)</f>
        <v>2</v>
      </c>
      <c r="D622" s="12">
        <f t="shared" si="508"/>
        <v>20002</v>
      </c>
      <c r="E622" s="17">
        <v>1</v>
      </c>
      <c r="F622" s="18">
        <f t="shared" si="516"/>
        <v>2</v>
      </c>
      <c r="G622" s="18" t="s">
        <v>372</v>
      </c>
      <c r="H622" s="18" t="s">
        <v>96</v>
      </c>
      <c r="I622" s="20">
        <v>0</v>
      </c>
      <c r="J622" s="18">
        <v>0</v>
      </c>
      <c r="K622" s="18">
        <f t="shared" ref="K622:K631" si="535">A623</f>
        <v>21301</v>
      </c>
      <c r="L622" s="18" t="s">
        <v>297</v>
      </c>
      <c r="M622" s="18" t="s">
        <v>329</v>
      </c>
      <c r="N622" s="16" t="str">
        <f t="shared" si="504"/>
        <v>114:1</v>
      </c>
      <c r="O622" s="18">
        <f t="shared" si="517"/>
        <v>4</v>
      </c>
      <c r="P622" s="21" t="str">
        <f t="shared" si="518"/>
        <v>所有骑兵魔防增加1</v>
      </c>
      <c r="Q622" s="21"/>
      <c r="R622" t="s">
        <v>4276</v>
      </c>
      <c r="T622" t="str">
        <f>RIGHT(N622,1)</f>
        <v>1</v>
      </c>
      <c r="U622" t="str">
        <f t="shared" si="497"/>
        <v>骑兵</v>
      </c>
      <c r="V622" t="s">
        <v>4419</v>
      </c>
      <c r="W622">
        <f>属性类型!G622</f>
        <v>114</v>
      </c>
      <c r="X622">
        <v>1</v>
      </c>
    </row>
    <row r="623" customFormat="1" ht="16.5" spans="1:24">
      <c r="A623" s="17">
        <f t="shared" ref="A623:A632" si="536">A622+1</f>
        <v>21301</v>
      </c>
      <c r="B623" s="17">
        <f t="shared" si="533"/>
        <v>21300</v>
      </c>
      <c r="C623" s="17" t="str">
        <f t="shared" si="534"/>
        <v>2</v>
      </c>
      <c r="D623" s="12">
        <f t="shared" si="508"/>
        <v>20002</v>
      </c>
      <c r="E623" s="17">
        <v>1</v>
      </c>
      <c r="F623" s="17">
        <f t="shared" si="516"/>
        <v>2</v>
      </c>
      <c r="G623" s="17" t="str">
        <f t="shared" ref="G623:G632" si="537">G622</f>
        <v>中级魔防</v>
      </c>
      <c r="H623" s="17" t="str">
        <f t="shared" ref="H623:H632" si="538">H622</f>
        <v>icon_04</v>
      </c>
      <c r="I623" s="20">
        <v>0</v>
      </c>
      <c r="J623" s="17">
        <v>1</v>
      </c>
      <c r="K623" s="17">
        <f t="shared" si="535"/>
        <v>21302</v>
      </c>
      <c r="L623" s="17" t="s">
        <v>300</v>
      </c>
      <c r="M623" s="17" t="str">
        <f t="shared" ref="M623:M632" si="539">M622</f>
        <v>1:11000:5</v>
      </c>
      <c r="N623" s="16" t="str">
        <f t="shared" si="504"/>
        <v>114:1</v>
      </c>
      <c r="O623" s="17">
        <f t="shared" si="517"/>
        <v>4</v>
      </c>
      <c r="P623" s="21" t="str">
        <f t="shared" si="518"/>
        <v>所有骑兵魔防增加:1</v>
      </c>
      <c r="Q623" s="21"/>
      <c r="R623" t="str">
        <f t="shared" ref="R623:R632" si="540">R622</f>
        <v>魔防</v>
      </c>
      <c r="T623" t="str">
        <f t="shared" ref="T623:T632" si="541">RIGHT(N623,2)</f>
        <v>:1</v>
      </c>
      <c r="U623" t="str">
        <f t="shared" si="497"/>
        <v>骑兵</v>
      </c>
      <c r="V623" t="s">
        <v>4419</v>
      </c>
      <c r="W623">
        <f>属性类型!G623</f>
        <v>114</v>
      </c>
      <c r="X623">
        <v>1</v>
      </c>
    </row>
    <row r="624" customFormat="1" ht="16.5" spans="1:24">
      <c r="A624" s="17">
        <f t="shared" si="536"/>
        <v>21302</v>
      </c>
      <c r="B624" s="17">
        <f t="shared" si="533"/>
        <v>21300</v>
      </c>
      <c r="C624" s="17" t="str">
        <f t="shared" si="534"/>
        <v>2</v>
      </c>
      <c r="D624" s="12">
        <f t="shared" si="508"/>
        <v>20002</v>
      </c>
      <c r="E624" s="17">
        <v>1</v>
      </c>
      <c r="F624" s="17">
        <f t="shared" si="516"/>
        <v>2</v>
      </c>
      <c r="G624" s="17" t="str">
        <f t="shared" si="537"/>
        <v>中级魔防</v>
      </c>
      <c r="H624" s="17" t="str">
        <f t="shared" si="538"/>
        <v>icon_04</v>
      </c>
      <c r="I624" s="20">
        <v>0</v>
      </c>
      <c r="J624" s="17">
        <v>2</v>
      </c>
      <c r="K624" s="17">
        <f t="shared" si="535"/>
        <v>21303</v>
      </c>
      <c r="L624" s="17" t="s">
        <v>304</v>
      </c>
      <c r="M624" s="17" t="str">
        <f t="shared" si="539"/>
        <v>1:11000:5</v>
      </c>
      <c r="N624" s="16" t="str">
        <f t="shared" si="504"/>
        <v>114:1</v>
      </c>
      <c r="O624" s="17">
        <f t="shared" si="517"/>
        <v>4</v>
      </c>
      <c r="P624" s="21" t="str">
        <f t="shared" si="518"/>
        <v>所有骑兵魔防增加:1</v>
      </c>
      <c r="Q624" s="21"/>
      <c r="R624" t="str">
        <f t="shared" si="540"/>
        <v>魔防</v>
      </c>
      <c r="T624" t="str">
        <f t="shared" si="541"/>
        <v>:1</v>
      </c>
      <c r="U624" t="str">
        <f t="shared" si="497"/>
        <v>骑兵</v>
      </c>
      <c r="V624" t="s">
        <v>4419</v>
      </c>
      <c r="W624">
        <f>属性类型!G624</f>
        <v>114</v>
      </c>
      <c r="X624">
        <v>1</v>
      </c>
    </row>
    <row r="625" customFormat="1" ht="16.5" spans="1:24">
      <c r="A625" s="17">
        <f t="shared" si="536"/>
        <v>21303</v>
      </c>
      <c r="B625" s="17">
        <f t="shared" si="533"/>
        <v>21300</v>
      </c>
      <c r="C625" s="17" t="str">
        <f t="shared" si="534"/>
        <v>2</v>
      </c>
      <c r="D625" s="12">
        <f t="shared" si="508"/>
        <v>20002</v>
      </c>
      <c r="E625" s="17">
        <v>1</v>
      </c>
      <c r="F625" s="17">
        <f t="shared" si="516"/>
        <v>2</v>
      </c>
      <c r="G625" s="17" t="str">
        <f t="shared" si="537"/>
        <v>中级魔防</v>
      </c>
      <c r="H625" s="17" t="str">
        <f t="shared" si="538"/>
        <v>icon_04</v>
      </c>
      <c r="I625" s="20">
        <v>0</v>
      </c>
      <c r="J625" s="17">
        <v>3</v>
      </c>
      <c r="K625" s="17">
        <f t="shared" si="535"/>
        <v>21304</v>
      </c>
      <c r="L625" s="17" t="s">
        <v>307</v>
      </c>
      <c r="M625" s="17" t="str">
        <f t="shared" si="539"/>
        <v>1:11000:5</v>
      </c>
      <c r="N625" s="16" t="str">
        <f t="shared" si="504"/>
        <v>114:1</v>
      </c>
      <c r="O625" s="17">
        <f t="shared" si="517"/>
        <v>4</v>
      </c>
      <c r="P625" s="21" t="str">
        <f t="shared" si="518"/>
        <v>所有骑兵魔防增加:1</v>
      </c>
      <c r="Q625" s="21"/>
      <c r="R625" t="str">
        <f t="shared" si="540"/>
        <v>魔防</v>
      </c>
      <c r="T625" t="str">
        <f t="shared" si="541"/>
        <v>:1</v>
      </c>
      <c r="U625" t="str">
        <f t="shared" si="497"/>
        <v>骑兵</v>
      </c>
      <c r="V625" t="s">
        <v>4419</v>
      </c>
      <c r="W625">
        <f>属性类型!G625</f>
        <v>114</v>
      </c>
      <c r="X625">
        <v>1</v>
      </c>
    </row>
    <row r="626" customFormat="1" ht="16.5" spans="1:24">
      <c r="A626" s="17">
        <f t="shared" si="536"/>
        <v>21304</v>
      </c>
      <c r="B626" s="17">
        <f t="shared" si="533"/>
        <v>21300</v>
      </c>
      <c r="C626" s="17" t="str">
        <f t="shared" si="534"/>
        <v>2</v>
      </c>
      <c r="D626" s="12">
        <f t="shared" si="508"/>
        <v>20002</v>
      </c>
      <c r="E626" s="17">
        <v>1</v>
      </c>
      <c r="F626" s="17">
        <f t="shared" si="516"/>
        <v>2</v>
      </c>
      <c r="G626" s="17" t="str">
        <f t="shared" si="537"/>
        <v>中级魔防</v>
      </c>
      <c r="H626" s="17" t="str">
        <f t="shared" si="538"/>
        <v>icon_04</v>
      </c>
      <c r="I626" s="20">
        <v>0</v>
      </c>
      <c r="J626" s="17">
        <v>4</v>
      </c>
      <c r="K626" s="17">
        <f t="shared" si="535"/>
        <v>21305</v>
      </c>
      <c r="L626" s="17" t="s">
        <v>309</v>
      </c>
      <c r="M626" s="17" t="str">
        <f t="shared" si="539"/>
        <v>1:11000:5</v>
      </c>
      <c r="N626" s="16" t="str">
        <f t="shared" si="504"/>
        <v>114:1</v>
      </c>
      <c r="O626" s="17">
        <f t="shared" si="517"/>
        <v>4</v>
      </c>
      <c r="P626" s="21" t="str">
        <f t="shared" si="518"/>
        <v>所有骑兵魔防增加:1</v>
      </c>
      <c r="Q626" s="21"/>
      <c r="R626" t="str">
        <f t="shared" si="540"/>
        <v>魔防</v>
      </c>
      <c r="T626" t="str">
        <f t="shared" si="541"/>
        <v>:1</v>
      </c>
      <c r="U626" t="str">
        <f t="shared" si="497"/>
        <v>骑兵</v>
      </c>
      <c r="V626" t="s">
        <v>4419</v>
      </c>
      <c r="W626">
        <f>属性类型!G626</f>
        <v>114</v>
      </c>
      <c r="X626">
        <v>1</v>
      </c>
    </row>
    <row r="627" customFormat="1" ht="16.5" spans="1:24">
      <c r="A627" s="17">
        <f t="shared" si="536"/>
        <v>21305</v>
      </c>
      <c r="B627" s="17">
        <f t="shared" si="533"/>
        <v>21300</v>
      </c>
      <c r="C627" s="17" t="str">
        <f t="shared" si="534"/>
        <v>2</v>
      </c>
      <c r="D627" s="12">
        <f t="shared" si="508"/>
        <v>20002</v>
      </c>
      <c r="E627" s="17">
        <v>1</v>
      </c>
      <c r="F627" s="17">
        <f t="shared" si="516"/>
        <v>2</v>
      </c>
      <c r="G627" s="17" t="str">
        <f t="shared" si="537"/>
        <v>中级魔防</v>
      </c>
      <c r="H627" s="17" t="str">
        <f t="shared" si="538"/>
        <v>icon_04</v>
      </c>
      <c r="I627" s="20">
        <v>0</v>
      </c>
      <c r="J627" s="17">
        <v>5</v>
      </c>
      <c r="K627" s="17">
        <f t="shared" si="535"/>
        <v>21306</v>
      </c>
      <c r="L627" s="17" t="s">
        <v>312</v>
      </c>
      <c r="M627" s="17" t="str">
        <f t="shared" si="539"/>
        <v>1:11000:5</v>
      </c>
      <c r="N627" s="16" t="str">
        <f t="shared" si="504"/>
        <v>114:1</v>
      </c>
      <c r="O627" s="17">
        <f t="shared" si="517"/>
        <v>4</v>
      </c>
      <c r="P627" s="21" t="str">
        <f t="shared" si="518"/>
        <v>所有骑兵魔防增加:1</v>
      </c>
      <c r="Q627" s="21"/>
      <c r="R627" t="str">
        <f t="shared" si="540"/>
        <v>魔防</v>
      </c>
      <c r="T627" t="str">
        <f t="shared" si="541"/>
        <v>:1</v>
      </c>
      <c r="U627" t="str">
        <f t="shared" si="497"/>
        <v>骑兵</v>
      </c>
      <c r="V627" t="s">
        <v>4419</v>
      </c>
      <c r="W627">
        <f>属性类型!G627</f>
        <v>114</v>
      </c>
      <c r="X627">
        <v>1</v>
      </c>
    </row>
    <row r="628" customFormat="1" ht="16.5" spans="1:24">
      <c r="A628" s="17">
        <f t="shared" si="536"/>
        <v>21306</v>
      </c>
      <c r="B628" s="17">
        <f t="shared" si="533"/>
        <v>21300</v>
      </c>
      <c r="C628" s="17" t="str">
        <f t="shared" si="534"/>
        <v>2</v>
      </c>
      <c r="D628" s="12">
        <f t="shared" ref="D628:D691" si="542">$A$469+F628</f>
        <v>20002</v>
      </c>
      <c r="E628" s="17">
        <v>1</v>
      </c>
      <c r="F628" s="17">
        <f t="shared" si="516"/>
        <v>2</v>
      </c>
      <c r="G628" s="17" t="str">
        <f t="shared" si="537"/>
        <v>中级魔防</v>
      </c>
      <c r="H628" s="17" t="str">
        <f t="shared" si="538"/>
        <v>icon_04</v>
      </c>
      <c r="I628" s="20">
        <v>0</v>
      </c>
      <c r="J628" s="17">
        <v>6</v>
      </c>
      <c r="K628" s="17">
        <f t="shared" si="535"/>
        <v>21307</v>
      </c>
      <c r="L628" s="17" t="s">
        <v>315</v>
      </c>
      <c r="M628" s="17" t="str">
        <f t="shared" si="539"/>
        <v>1:11000:5</v>
      </c>
      <c r="N628" s="16" t="str">
        <f t="shared" si="504"/>
        <v>114:1</v>
      </c>
      <c r="O628" s="17">
        <f t="shared" si="517"/>
        <v>4</v>
      </c>
      <c r="P628" s="21" t="str">
        <f t="shared" si="518"/>
        <v>所有骑兵魔防增加:1</v>
      </c>
      <c r="Q628" s="21"/>
      <c r="R628" t="str">
        <f t="shared" si="540"/>
        <v>魔防</v>
      </c>
      <c r="T628" t="str">
        <f t="shared" si="541"/>
        <v>:1</v>
      </c>
      <c r="U628" t="str">
        <f t="shared" si="497"/>
        <v>骑兵</v>
      </c>
      <c r="V628" t="s">
        <v>4419</v>
      </c>
      <c r="W628">
        <f>属性类型!G628</f>
        <v>114</v>
      </c>
      <c r="X628">
        <v>1</v>
      </c>
    </row>
    <row r="629" customFormat="1" ht="16.5" spans="1:24">
      <c r="A629" s="17">
        <f t="shared" si="536"/>
        <v>21307</v>
      </c>
      <c r="B629" s="17">
        <f t="shared" si="533"/>
        <v>21300</v>
      </c>
      <c r="C629" s="17" t="str">
        <f t="shared" si="534"/>
        <v>2</v>
      </c>
      <c r="D629" s="12">
        <f t="shared" si="542"/>
        <v>20002</v>
      </c>
      <c r="E629" s="17">
        <v>1</v>
      </c>
      <c r="F629" s="17">
        <f t="shared" si="516"/>
        <v>2</v>
      </c>
      <c r="G629" s="17" t="str">
        <f t="shared" si="537"/>
        <v>中级魔防</v>
      </c>
      <c r="H629" s="17" t="str">
        <f t="shared" si="538"/>
        <v>icon_04</v>
      </c>
      <c r="I629" s="20">
        <v>0</v>
      </c>
      <c r="J629" s="17">
        <v>7</v>
      </c>
      <c r="K629" s="17">
        <f t="shared" si="535"/>
        <v>21308</v>
      </c>
      <c r="L629" s="17" t="s">
        <v>317</v>
      </c>
      <c r="M629" s="17" t="str">
        <f t="shared" si="539"/>
        <v>1:11000:5</v>
      </c>
      <c r="N629" s="16" t="str">
        <f t="shared" si="504"/>
        <v>114:1</v>
      </c>
      <c r="O629" s="17">
        <f t="shared" si="517"/>
        <v>4</v>
      </c>
      <c r="P629" s="21" t="str">
        <f t="shared" si="518"/>
        <v>所有骑兵魔防增加:1</v>
      </c>
      <c r="Q629" s="21"/>
      <c r="R629" t="str">
        <f t="shared" si="540"/>
        <v>魔防</v>
      </c>
      <c r="T629" t="str">
        <f t="shared" si="541"/>
        <v>:1</v>
      </c>
      <c r="U629" t="str">
        <f t="shared" si="497"/>
        <v>骑兵</v>
      </c>
      <c r="V629" t="s">
        <v>4419</v>
      </c>
      <c r="W629">
        <f>属性类型!G629</f>
        <v>114</v>
      </c>
      <c r="X629">
        <v>1</v>
      </c>
    </row>
    <row r="630" customFormat="1" ht="16.5" spans="1:24">
      <c r="A630" s="17">
        <f t="shared" si="536"/>
        <v>21308</v>
      </c>
      <c r="B630" s="17">
        <f t="shared" si="533"/>
        <v>21300</v>
      </c>
      <c r="C630" s="17" t="str">
        <f t="shared" si="534"/>
        <v>2</v>
      </c>
      <c r="D630" s="12">
        <f t="shared" si="542"/>
        <v>20002</v>
      </c>
      <c r="E630" s="17">
        <v>1</v>
      </c>
      <c r="F630" s="17">
        <f t="shared" si="516"/>
        <v>2</v>
      </c>
      <c r="G630" s="17" t="str">
        <f t="shared" si="537"/>
        <v>中级魔防</v>
      </c>
      <c r="H630" s="17" t="str">
        <f t="shared" si="538"/>
        <v>icon_04</v>
      </c>
      <c r="I630" s="20">
        <v>0</v>
      </c>
      <c r="J630" s="17">
        <v>8</v>
      </c>
      <c r="K630" s="17">
        <f t="shared" si="535"/>
        <v>21309</v>
      </c>
      <c r="L630" s="17" t="s">
        <v>320</v>
      </c>
      <c r="M630" s="17" t="str">
        <f t="shared" si="539"/>
        <v>1:11000:5</v>
      </c>
      <c r="N630" s="16" t="str">
        <f t="shared" si="504"/>
        <v>114:1</v>
      </c>
      <c r="O630" s="17">
        <f t="shared" si="517"/>
        <v>4</v>
      </c>
      <c r="P630" s="21" t="str">
        <f t="shared" si="518"/>
        <v>所有骑兵魔防增加:1</v>
      </c>
      <c r="Q630" s="21"/>
      <c r="R630" t="str">
        <f t="shared" si="540"/>
        <v>魔防</v>
      </c>
      <c r="T630" t="str">
        <f t="shared" si="541"/>
        <v>:1</v>
      </c>
      <c r="U630" t="str">
        <f t="shared" si="497"/>
        <v>骑兵</v>
      </c>
      <c r="V630" t="s">
        <v>4419</v>
      </c>
      <c r="W630">
        <f>属性类型!G630</f>
        <v>114</v>
      </c>
      <c r="X630">
        <v>1</v>
      </c>
    </row>
    <row r="631" customFormat="1" ht="16.5" spans="1:24">
      <c r="A631" s="17">
        <f t="shared" si="536"/>
        <v>21309</v>
      </c>
      <c r="B631" s="17">
        <f t="shared" si="533"/>
        <v>21300</v>
      </c>
      <c r="C631" s="17" t="str">
        <f t="shared" si="534"/>
        <v>2</v>
      </c>
      <c r="D631" s="12">
        <f t="shared" si="542"/>
        <v>20002</v>
      </c>
      <c r="E631" s="17">
        <v>1</v>
      </c>
      <c r="F631" s="17">
        <f t="shared" si="516"/>
        <v>2</v>
      </c>
      <c r="G631" s="17" t="str">
        <f t="shared" si="537"/>
        <v>中级魔防</v>
      </c>
      <c r="H631" s="17" t="str">
        <f t="shared" si="538"/>
        <v>icon_04</v>
      </c>
      <c r="I631" s="20">
        <v>0</v>
      </c>
      <c r="J631" s="17">
        <v>9</v>
      </c>
      <c r="K631" s="17">
        <f t="shared" si="535"/>
        <v>21310</v>
      </c>
      <c r="L631" s="17" t="s">
        <v>323</v>
      </c>
      <c r="M631" s="17" t="str">
        <f t="shared" si="539"/>
        <v>1:11000:5</v>
      </c>
      <c r="N631" s="16" t="str">
        <f t="shared" si="504"/>
        <v>114:1</v>
      </c>
      <c r="O631" s="17">
        <f t="shared" si="517"/>
        <v>4</v>
      </c>
      <c r="P631" s="21" t="str">
        <f t="shared" si="518"/>
        <v>所有骑兵魔防增加:1</v>
      </c>
      <c r="Q631" s="21"/>
      <c r="R631" t="str">
        <f t="shared" si="540"/>
        <v>魔防</v>
      </c>
      <c r="T631" t="str">
        <f t="shared" si="541"/>
        <v>:1</v>
      </c>
      <c r="U631" t="str">
        <f t="shared" si="497"/>
        <v>骑兵</v>
      </c>
      <c r="V631" t="s">
        <v>4419</v>
      </c>
      <c r="W631">
        <f>属性类型!G631</f>
        <v>114</v>
      </c>
      <c r="X631">
        <v>1</v>
      </c>
    </row>
    <row r="632" customFormat="1" ht="16.5" spans="1:24">
      <c r="A632" s="17">
        <f t="shared" si="536"/>
        <v>21310</v>
      </c>
      <c r="B632" s="17">
        <f t="shared" si="533"/>
        <v>21300</v>
      </c>
      <c r="C632" s="17" t="str">
        <f t="shared" si="534"/>
        <v>2</v>
      </c>
      <c r="D632" s="12">
        <f t="shared" si="542"/>
        <v>20002</v>
      </c>
      <c r="E632" s="17">
        <v>1</v>
      </c>
      <c r="F632" s="17">
        <f t="shared" si="516"/>
        <v>2</v>
      </c>
      <c r="G632" s="17" t="str">
        <f t="shared" si="537"/>
        <v>中级魔防</v>
      </c>
      <c r="H632" s="17" t="str">
        <f t="shared" si="538"/>
        <v>icon_04</v>
      </c>
      <c r="I632" s="20">
        <v>0</v>
      </c>
      <c r="J632" s="17">
        <v>10</v>
      </c>
      <c r="K632" s="17">
        <v>0</v>
      </c>
      <c r="L632" s="17">
        <v>0</v>
      </c>
      <c r="M632" s="17" t="str">
        <f t="shared" si="539"/>
        <v>1:11000:5</v>
      </c>
      <c r="N632" s="16" t="str">
        <f t="shared" si="504"/>
        <v>114:1</v>
      </c>
      <c r="O632" s="17">
        <f t="shared" si="517"/>
        <v>4</v>
      </c>
      <c r="P632" s="21" t="str">
        <f t="shared" si="518"/>
        <v>所有骑兵魔防增加:1</v>
      </c>
      <c r="Q632" s="21"/>
      <c r="R632" t="str">
        <f t="shared" si="540"/>
        <v>魔防</v>
      </c>
      <c r="T632" t="str">
        <f t="shared" si="541"/>
        <v>:1</v>
      </c>
      <c r="U632" t="str">
        <f t="shared" si="497"/>
        <v>骑兵</v>
      </c>
      <c r="V632" t="s">
        <v>4419</v>
      </c>
      <c r="W632">
        <f>属性类型!G632</f>
        <v>114</v>
      </c>
      <c r="X632">
        <v>1</v>
      </c>
    </row>
    <row r="633" customFormat="1" ht="16.5" spans="1:24">
      <c r="A633" s="18">
        <f>A622+100</f>
        <v>21400</v>
      </c>
      <c r="B633" s="18">
        <f t="shared" si="533"/>
        <v>21400</v>
      </c>
      <c r="C633" s="18" t="str">
        <f t="shared" si="534"/>
        <v>2</v>
      </c>
      <c r="D633" s="12">
        <f t="shared" si="542"/>
        <v>20002</v>
      </c>
      <c r="E633" s="17">
        <v>1</v>
      </c>
      <c r="F633" s="18">
        <f t="shared" si="516"/>
        <v>2</v>
      </c>
      <c r="G633" s="18" t="s">
        <v>4348</v>
      </c>
      <c r="H633" s="18" t="s">
        <v>112</v>
      </c>
      <c r="I633" s="20">
        <v>0</v>
      </c>
      <c r="J633" s="18">
        <v>0</v>
      </c>
      <c r="K633" s="18">
        <f t="shared" ref="K633:K647" si="543">A634</f>
        <v>21401</v>
      </c>
      <c r="L633" s="18" t="s">
        <v>297</v>
      </c>
      <c r="M633" s="18" t="s">
        <v>396</v>
      </c>
      <c r="N633" s="16" t="str">
        <f t="shared" si="504"/>
        <v>116:1</v>
      </c>
      <c r="O633" s="18">
        <f t="shared" si="517"/>
        <v>5</v>
      </c>
      <c r="P633" s="21" t="str">
        <f t="shared" si="518"/>
        <v>所有骑兵生命百分比增加1</v>
      </c>
      <c r="Q633" s="21"/>
      <c r="R633" t="s">
        <v>4414</v>
      </c>
      <c r="T633" t="str">
        <f>RIGHT(N633,1)</f>
        <v>1</v>
      </c>
      <c r="U633" t="str">
        <f t="shared" si="497"/>
        <v>骑兵</v>
      </c>
      <c r="V633" t="s">
        <v>4487</v>
      </c>
      <c r="W633">
        <f>属性类型!G633</f>
        <v>116</v>
      </c>
      <c r="X633">
        <v>1</v>
      </c>
    </row>
    <row r="634" customFormat="1" ht="16.5" spans="1:24">
      <c r="A634" s="17">
        <f t="shared" ref="A634:A648" si="544">A633+1</f>
        <v>21401</v>
      </c>
      <c r="B634" s="17">
        <f t="shared" si="533"/>
        <v>21400</v>
      </c>
      <c r="C634" s="17" t="str">
        <f t="shared" si="534"/>
        <v>2</v>
      </c>
      <c r="D634" s="12">
        <f t="shared" si="542"/>
        <v>20002</v>
      </c>
      <c r="E634" s="17">
        <v>1</v>
      </c>
      <c r="F634" s="17">
        <f t="shared" si="516"/>
        <v>2</v>
      </c>
      <c r="G634" s="17" t="str">
        <f t="shared" ref="G634:G648" si="545">G633</f>
        <v>中级生命百分比</v>
      </c>
      <c r="H634" s="17" t="str">
        <f t="shared" ref="H634:H648" si="546">H633</f>
        <v>icon_05</v>
      </c>
      <c r="I634" s="20">
        <v>0</v>
      </c>
      <c r="J634" s="17">
        <v>1</v>
      </c>
      <c r="K634" s="17">
        <f t="shared" si="543"/>
        <v>21402</v>
      </c>
      <c r="L634" s="17" t="s">
        <v>300</v>
      </c>
      <c r="M634" s="17" t="str">
        <f t="shared" ref="M634:M648" si="547">M633</f>
        <v>1:11100:5</v>
      </c>
      <c r="N634" s="16" t="str">
        <f t="shared" si="504"/>
        <v>116:1</v>
      </c>
      <c r="O634" s="17">
        <f t="shared" si="517"/>
        <v>5</v>
      </c>
      <c r="P634" s="21" t="str">
        <f t="shared" si="518"/>
        <v>所有骑兵生命百分比增加:1</v>
      </c>
      <c r="Q634" s="21"/>
      <c r="R634" t="str">
        <f t="shared" ref="R634:R648" si="548">R633</f>
        <v>生命百分比</v>
      </c>
      <c r="T634" t="str">
        <f t="shared" ref="T634:T648" si="549">RIGHT(N634,2)</f>
        <v>:1</v>
      </c>
      <c r="U634" t="str">
        <f t="shared" si="497"/>
        <v>骑兵</v>
      </c>
      <c r="V634" t="s">
        <v>4487</v>
      </c>
      <c r="W634">
        <f>属性类型!G634</f>
        <v>116</v>
      </c>
      <c r="X634">
        <v>1</v>
      </c>
    </row>
    <row r="635" customFormat="1" ht="16.5" spans="1:24">
      <c r="A635" s="17">
        <f t="shared" si="544"/>
        <v>21402</v>
      </c>
      <c r="B635" s="17">
        <f t="shared" si="533"/>
        <v>21400</v>
      </c>
      <c r="C635" s="17" t="str">
        <f t="shared" si="534"/>
        <v>2</v>
      </c>
      <c r="D635" s="12">
        <f t="shared" si="542"/>
        <v>20002</v>
      </c>
      <c r="E635" s="17">
        <v>1</v>
      </c>
      <c r="F635" s="17">
        <f t="shared" si="516"/>
        <v>2</v>
      </c>
      <c r="G635" s="17" t="str">
        <f t="shared" si="545"/>
        <v>中级生命百分比</v>
      </c>
      <c r="H635" s="17" t="str">
        <f t="shared" si="546"/>
        <v>icon_05</v>
      </c>
      <c r="I635" s="20">
        <v>0</v>
      </c>
      <c r="J635" s="17">
        <v>2</v>
      </c>
      <c r="K635" s="17">
        <f t="shared" si="543"/>
        <v>21403</v>
      </c>
      <c r="L635" s="17" t="s">
        <v>304</v>
      </c>
      <c r="M635" s="17" t="str">
        <f t="shared" si="547"/>
        <v>1:11100:5</v>
      </c>
      <c r="N635" s="16" t="str">
        <f t="shared" si="504"/>
        <v>116:1</v>
      </c>
      <c r="O635" s="17">
        <f t="shared" si="517"/>
        <v>5</v>
      </c>
      <c r="P635" s="21" t="str">
        <f t="shared" si="518"/>
        <v>所有骑兵生命百分比增加:1</v>
      </c>
      <c r="Q635" s="21"/>
      <c r="R635" t="str">
        <f t="shared" si="548"/>
        <v>生命百分比</v>
      </c>
      <c r="T635" t="str">
        <f t="shared" si="549"/>
        <v>:1</v>
      </c>
      <c r="U635" t="str">
        <f t="shared" si="497"/>
        <v>骑兵</v>
      </c>
      <c r="V635" t="s">
        <v>4487</v>
      </c>
      <c r="W635">
        <f>属性类型!G635</f>
        <v>116</v>
      </c>
      <c r="X635">
        <v>1</v>
      </c>
    </row>
    <row r="636" customFormat="1" ht="16.5" spans="1:24">
      <c r="A636" s="17">
        <f t="shared" si="544"/>
        <v>21403</v>
      </c>
      <c r="B636" s="17">
        <f t="shared" si="533"/>
        <v>21400</v>
      </c>
      <c r="C636" s="17" t="str">
        <f t="shared" si="534"/>
        <v>2</v>
      </c>
      <c r="D636" s="12">
        <f t="shared" si="542"/>
        <v>20002</v>
      </c>
      <c r="E636" s="17">
        <v>1</v>
      </c>
      <c r="F636" s="17">
        <f t="shared" si="516"/>
        <v>2</v>
      </c>
      <c r="G636" s="17" t="str">
        <f t="shared" si="545"/>
        <v>中级生命百分比</v>
      </c>
      <c r="H636" s="17" t="str">
        <f t="shared" si="546"/>
        <v>icon_05</v>
      </c>
      <c r="I636" s="20">
        <v>0</v>
      </c>
      <c r="J636" s="17">
        <v>3</v>
      </c>
      <c r="K636" s="17">
        <f t="shared" si="543"/>
        <v>21404</v>
      </c>
      <c r="L636" s="17" t="s">
        <v>307</v>
      </c>
      <c r="M636" s="17" t="str">
        <f t="shared" si="547"/>
        <v>1:11100:5</v>
      </c>
      <c r="N636" s="16" t="str">
        <f t="shared" si="504"/>
        <v>116:1</v>
      </c>
      <c r="O636" s="17">
        <f t="shared" si="517"/>
        <v>5</v>
      </c>
      <c r="P636" s="21" t="str">
        <f t="shared" si="518"/>
        <v>所有骑兵生命百分比增加:1</v>
      </c>
      <c r="Q636" s="21"/>
      <c r="R636" t="str">
        <f t="shared" si="548"/>
        <v>生命百分比</v>
      </c>
      <c r="T636" t="str">
        <f t="shared" si="549"/>
        <v>:1</v>
      </c>
      <c r="U636" t="str">
        <f t="shared" si="497"/>
        <v>骑兵</v>
      </c>
      <c r="V636" t="s">
        <v>4487</v>
      </c>
      <c r="W636">
        <f>属性类型!G636</f>
        <v>116</v>
      </c>
      <c r="X636">
        <v>1</v>
      </c>
    </row>
    <row r="637" customFormat="1" ht="16.5" spans="1:24">
      <c r="A637" s="17">
        <f t="shared" si="544"/>
        <v>21404</v>
      </c>
      <c r="B637" s="17">
        <f t="shared" si="533"/>
        <v>21400</v>
      </c>
      <c r="C637" s="17" t="str">
        <f t="shared" si="534"/>
        <v>2</v>
      </c>
      <c r="D637" s="12">
        <f t="shared" si="542"/>
        <v>20002</v>
      </c>
      <c r="E637" s="17">
        <v>1</v>
      </c>
      <c r="F637" s="17">
        <f t="shared" si="516"/>
        <v>2</v>
      </c>
      <c r="G637" s="17" t="str">
        <f t="shared" si="545"/>
        <v>中级生命百分比</v>
      </c>
      <c r="H637" s="17" t="str">
        <f t="shared" si="546"/>
        <v>icon_05</v>
      </c>
      <c r="I637" s="20">
        <v>0</v>
      </c>
      <c r="J637" s="17">
        <v>4</v>
      </c>
      <c r="K637" s="17">
        <f t="shared" si="543"/>
        <v>21405</v>
      </c>
      <c r="L637" s="17" t="s">
        <v>309</v>
      </c>
      <c r="M637" s="17" t="str">
        <f t="shared" si="547"/>
        <v>1:11100:5</v>
      </c>
      <c r="N637" s="16" t="str">
        <f t="shared" si="504"/>
        <v>116:1</v>
      </c>
      <c r="O637" s="17">
        <f t="shared" si="517"/>
        <v>5</v>
      </c>
      <c r="P637" s="21" t="str">
        <f t="shared" si="518"/>
        <v>所有骑兵生命百分比增加:1</v>
      </c>
      <c r="Q637" s="21"/>
      <c r="R637" t="str">
        <f t="shared" si="548"/>
        <v>生命百分比</v>
      </c>
      <c r="T637" t="str">
        <f t="shared" si="549"/>
        <v>:1</v>
      </c>
      <c r="U637" t="str">
        <f t="shared" si="497"/>
        <v>骑兵</v>
      </c>
      <c r="V637" t="s">
        <v>4487</v>
      </c>
      <c r="W637">
        <f>属性类型!G637</f>
        <v>116</v>
      </c>
      <c r="X637">
        <v>1</v>
      </c>
    </row>
    <row r="638" customFormat="1" ht="16.5" spans="1:24">
      <c r="A638" s="17">
        <f t="shared" si="544"/>
        <v>21405</v>
      </c>
      <c r="B638" s="17">
        <f t="shared" si="533"/>
        <v>21400</v>
      </c>
      <c r="C638" s="17" t="str">
        <f t="shared" si="534"/>
        <v>2</v>
      </c>
      <c r="D638" s="12">
        <f t="shared" si="542"/>
        <v>20002</v>
      </c>
      <c r="E638" s="17">
        <v>1</v>
      </c>
      <c r="F638" s="17">
        <f t="shared" si="516"/>
        <v>2</v>
      </c>
      <c r="G638" s="17" t="str">
        <f t="shared" si="545"/>
        <v>中级生命百分比</v>
      </c>
      <c r="H638" s="17" t="str">
        <f t="shared" si="546"/>
        <v>icon_05</v>
      </c>
      <c r="I638" s="20">
        <v>0</v>
      </c>
      <c r="J638" s="17">
        <v>5</v>
      </c>
      <c r="K638" s="17">
        <f t="shared" si="543"/>
        <v>21406</v>
      </c>
      <c r="L638" s="17" t="s">
        <v>312</v>
      </c>
      <c r="M638" s="17" t="str">
        <f t="shared" si="547"/>
        <v>1:11100:5</v>
      </c>
      <c r="N638" s="16" t="str">
        <f t="shared" si="504"/>
        <v>116:1</v>
      </c>
      <c r="O638" s="17">
        <f t="shared" si="517"/>
        <v>5</v>
      </c>
      <c r="P638" s="21" t="str">
        <f t="shared" si="518"/>
        <v>所有骑兵生命百分比增加:1</v>
      </c>
      <c r="Q638" s="21"/>
      <c r="R638" t="str">
        <f t="shared" si="548"/>
        <v>生命百分比</v>
      </c>
      <c r="T638" t="str">
        <f t="shared" si="549"/>
        <v>:1</v>
      </c>
      <c r="U638" t="str">
        <f t="shared" si="497"/>
        <v>骑兵</v>
      </c>
      <c r="V638" t="s">
        <v>4487</v>
      </c>
      <c r="W638">
        <f>属性类型!G638</f>
        <v>116</v>
      </c>
      <c r="X638">
        <v>1</v>
      </c>
    </row>
    <row r="639" customFormat="1" ht="16.5" spans="1:24">
      <c r="A639" s="17">
        <f t="shared" si="544"/>
        <v>21406</v>
      </c>
      <c r="B639" s="17">
        <f t="shared" si="533"/>
        <v>21400</v>
      </c>
      <c r="C639" s="17" t="str">
        <f t="shared" si="534"/>
        <v>2</v>
      </c>
      <c r="D639" s="12">
        <f t="shared" si="542"/>
        <v>20002</v>
      </c>
      <c r="E639" s="17">
        <v>1</v>
      </c>
      <c r="F639" s="17">
        <f t="shared" si="516"/>
        <v>2</v>
      </c>
      <c r="G639" s="17" t="str">
        <f t="shared" si="545"/>
        <v>中级生命百分比</v>
      </c>
      <c r="H639" s="17" t="str">
        <f t="shared" si="546"/>
        <v>icon_05</v>
      </c>
      <c r="I639" s="20">
        <v>0</v>
      </c>
      <c r="J639" s="17">
        <v>6</v>
      </c>
      <c r="K639" s="17">
        <f t="shared" si="543"/>
        <v>21407</v>
      </c>
      <c r="L639" s="17" t="s">
        <v>315</v>
      </c>
      <c r="M639" s="17" t="str">
        <f t="shared" si="547"/>
        <v>1:11100:5</v>
      </c>
      <c r="N639" s="16" t="str">
        <f t="shared" si="504"/>
        <v>116:1</v>
      </c>
      <c r="O639" s="17">
        <f t="shared" si="517"/>
        <v>5</v>
      </c>
      <c r="P639" s="21" t="str">
        <f t="shared" si="518"/>
        <v>所有骑兵生命百分比增加:1</v>
      </c>
      <c r="Q639" s="21"/>
      <c r="R639" t="str">
        <f t="shared" si="548"/>
        <v>生命百分比</v>
      </c>
      <c r="T639" t="str">
        <f t="shared" si="549"/>
        <v>:1</v>
      </c>
      <c r="U639" t="str">
        <f t="shared" si="497"/>
        <v>骑兵</v>
      </c>
      <c r="V639" t="s">
        <v>4487</v>
      </c>
      <c r="W639">
        <f>属性类型!G639</f>
        <v>116</v>
      </c>
      <c r="X639">
        <v>1</v>
      </c>
    </row>
    <row r="640" customFormat="1" ht="16.5" spans="1:24">
      <c r="A640" s="17">
        <f t="shared" si="544"/>
        <v>21407</v>
      </c>
      <c r="B640" s="17">
        <f t="shared" si="533"/>
        <v>21400</v>
      </c>
      <c r="C640" s="17" t="str">
        <f t="shared" si="534"/>
        <v>2</v>
      </c>
      <c r="D640" s="12">
        <f t="shared" si="542"/>
        <v>20002</v>
      </c>
      <c r="E640" s="17">
        <v>1</v>
      </c>
      <c r="F640" s="17">
        <f t="shared" si="516"/>
        <v>2</v>
      </c>
      <c r="G640" s="17" t="str">
        <f t="shared" si="545"/>
        <v>中级生命百分比</v>
      </c>
      <c r="H640" s="17" t="str">
        <f t="shared" si="546"/>
        <v>icon_05</v>
      </c>
      <c r="I640" s="20">
        <v>0</v>
      </c>
      <c r="J640" s="17">
        <v>7</v>
      </c>
      <c r="K640" s="17">
        <f t="shared" si="543"/>
        <v>21408</v>
      </c>
      <c r="L640" s="17" t="s">
        <v>317</v>
      </c>
      <c r="M640" s="17" t="str">
        <f t="shared" si="547"/>
        <v>1:11100:5</v>
      </c>
      <c r="N640" s="16" t="str">
        <f t="shared" si="504"/>
        <v>116:1</v>
      </c>
      <c r="O640" s="17">
        <f t="shared" si="517"/>
        <v>5</v>
      </c>
      <c r="P640" s="21" t="str">
        <f t="shared" si="518"/>
        <v>所有骑兵生命百分比增加:1</v>
      </c>
      <c r="Q640" s="21"/>
      <c r="R640" t="str">
        <f t="shared" si="548"/>
        <v>生命百分比</v>
      </c>
      <c r="T640" t="str">
        <f t="shared" si="549"/>
        <v>:1</v>
      </c>
      <c r="U640" t="str">
        <f t="shared" si="497"/>
        <v>骑兵</v>
      </c>
      <c r="V640" t="s">
        <v>4487</v>
      </c>
      <c r="W640">
        <f>属性类型!G640</f>
        <v>116</v>
      </c>
      <c r="X640">
        <v>1</v>
      </c>
    </row>
    <row r="641" customFormat="1" ht="16.5" spans="1:24">
      <c r="A641" s="17">
        <f t="shared" si="544"/>
        <v>21408</v>
      </c>
      <c r="B641" s="17">
        <f t="shared" si="533"/>
        <v>21400</v>
      </c>
      <c r="C641" s="17" t="str">
        <f t="shared" si="534"/>
        <v>2</v>
      </c>
      <c r="D641" s="12">
        <f t="shared" si="542"/>
        <v>20002</v>
      </c>
      <c r="E641" s="17">
        <v>1</v>
      </c>
      <c r="F641" s="17">
        <f t="shared" si="516"/>
        <v>2</v>
      </c>
      <c r="G641" s="17" t="str">
        <f t="shared" si="545"/>
        <v>中级生命百分比</v>
      </c>
      <c r="H641" s="17" t="str">
        <f t="shared" si="546"/>
        <v>icon_05</v>
      </c>
      <c r="I641" s="20">
        <v>0</v>
      </c>
      <c r="J641" s="17">
        <v>8</v>
      </c>
      <c r="K641" s="17">
        <f t="shared" si="543"/>
        <v>21409</v>
      </c>
      <c r="L641" s="17" t="s">
        <v>320</v>
      </c>
      <c r="M641" s="17" t="str">
        <f t="shared" si="547"/>
        <v>1:11100:5</v>
      </c>
      <c r="N641" s="16" t="str">
        <f t="shared" si="504"/>
        <v>116:1</v>
      </c>
      <c r="O641" s="17">
        <f t="shared" si="517"/>
        <v>5</v>
      </c>
      <c r="P641" s="21" t="str">
        <f t="shared" si="518"/>
        <v>所有骑兵生命百分比增加:1</v>
      </c>
      <c r="Q641" s="21"/>
      <c r="R641" t="str">
        <f t="shared" si="548"/>
        <v>生命百分比</v>
      </c>
      <c r="T641" t="str">
        <f t="shared" si="549"/>
        <v>:1</v>
      </c>
      <c r="U641" t="str">
        <f t="shared" si="497"/>
        <v>骑兵</v>
      </c>
      <c r="V641" t="s">
        <v>4487</v>
      </c>
      <c r="W641">
        <f>属性类型!G641</f>
        <v>116</v>
      </c>
      <c r="X641">
        <v>1</v>
      </c>
    </row>
    <row r="642" customFormat="1" ht="16.5" spans="1:24">
      <c r="A642" s="17">
        <f t="shared" si="544"/>
        <v>21409</v>
      </c>
      <c r="B642" s="17">
        <f t="shared" si="533"/>
        <v>21400</v>
      </c>
      <c r="C642" s="17" t="str">
        <f t="shared" si="534"/>
        <v>2</v>
      </c>
      <c r="D642" s="12">
        <f t="shared" si="542"/>
        <v>20002</v>
      </c>
      <c r="E642" s="17">
        <v>1</v>
      </c>
      <c r="F642" s="17">
        <f t="shared" si="516"/>
        <v>2</v>
      </c>
      <c r="G642" s="17" t="str">
        <f t="shared" si="545"/>
        <v>中级生命百分比</v>
      </c>
      <c r="H642" s="17" t="str">
        <f t="shared" si="546"/>
        <v>icon_05</v>
      </c>
      <c r="I642" s="20">
        <v>0</v>
      </c>
      <c r="J642" s="17">
        <v>9</v>
      </c>
      <c r="K642" s="17">
        <f t="shared" si="543"/>
        <v>21410</v>
      </c>
      <c r="L642" s="17" t="s">
        <v>323</v>
      </c>
      <c r="M642" s="17" t="str">
        <f t="shared" si="547"/>
        <v>1:11100:5</v>
      </c>
      <c r="N642" s="16" t="str">
        <f t="shared" si="504"/>
        <v>116:1</v>
      </c>
      <c r="O642" s="17">
        <f t="shared" si="517"/>
        <v>5</v>
      </c>
      <c r="P642" s="21" t="str">
        <f t="shared" si="518"/>
        <v>所有骑兵生命百分比增加:1</v>
      </c>
      <c r="Q642" s="21"/>
      <c r="R642" t="str">
        <f t="shared" si="548"/>
        <v>生命百分比</v>
      </c>
      <c r="T642" t="str">
        <f t="shared" si="549"/>
        <v>:1</v>
      </c>
      <c r="U642" t="str">
        <f t="shared" si="497"/>
        <v>骑兵</v>
      </c>
      <c r="V642" t="s">
        <v>4487</v>
      </c>
      <c r="W642">
        <f>属性类型!G642</f>
        <v>116</v>
      </c>
      <c r="X642">
        <v>1</v>
      </c>
    </row>
    <row r="643" customFormat="1" ht="16.5" spans="1:24">
      <c r="A643" s="17">
        <f t="shared" si="544"/>
        <v>21410</v>
      </c>
      <c r="B643" s="17">
        <f t="shared" si="533"/>
        <v>21400</v>
      </c>
      <c r="C643" s="17" t="str">
        <f t="shared" si="534"/>
        <v>2</v>
      </c>
      <c r="D643" s="12">
        <f t="shared" si="542"/>
        <v>20002</v>
      </c>
      <c r="E643" s="17">
        <v>1</v>
      </c>
      <c r="F643" s="17">
        <f t="shared" si="516"/>
        <v>2</v>
      </c>
      <c r="G643" s="17" t="str">
        <f t="shared" si="545"/>
        <v>中级生命百分比</v>
      </c>
      <c r="H643" s="17" t="str">
        <f t="shared" si="546"/>
        <v>icon_05</v>
      </c>
      <c r="I643" s="20">
        <v>0</v>
      </c>
      <c r="J643" s="17">
        <v>10</v>
      </c>
      <c r="K643" s="17">
        <f t="shared" si="543"/>
        <v>21411</v>
      </c>
      <c r="L643" s="17" t="s">
        <v>407</v>
      </c>
      <c r="M643" s="17" t="str">
        <f t="shared" si="547"/>
        <v>1:11100:5</v>
      </c>
      <c r="N643" s="16" t="str">
        <f t="shared" si="504"/>
        <v>116:1</v>
      </c>
      <c r="O643" s="17">
        <f t="shared" si="517"/>
        <v>5</v>
      </c>
      <c r="P643" s="21" t="str">
        <f t="shared" si="518"/>
        <v>所有骑兵生命百分比增加:1</v>
      </c>
      <c r="Q643" s="21"/>
      <c r="R643" t="str">
        <f t="shared" si="548"/>
        <v>生命百分比</v>
      </c>
      <c r="T643" t="str">
        <f t="shared" si="549"/>
        <v>:1</v>
      </c>
      <c r="U643" t="str">
        <f t="shared" si="497"/>
        <v>骑兵</v>
      </c>
      <c r="V643" t="s">
        <v>4487</v>
      </c>
      <c r="W643">
        <f>属性类型!G643</f>
        <v>116</v>
      </c>
      <c r="X643">
        <v>1</v>
      </c>
    </row>
    <row r="644" customFormat="1" ht="16.5" spans="1:24">
      <c r="A644" s="17">
        <f t="shared" si="544"/>
        <v>21411</v>
      </c>
      <c r="B644" s="17">
        <f t="shared" si="533"/>
        <v>21400</v>
      </c>
      <c r="C644" s="17" t="str">
        <f t="shared" si="534"/>
        <v>2</v>
      </c>
      <c r="D644" s="12">
        <f t="shared" si="542"/>
        <v>20002</v>
      </c>
      <c r="E644" s="17">
        <v>1</v>
      </c>
      <c r="F644" s="17">
        <f t="shared" si="516"/>
        <v>2</v>
      </c>
      <c r="G644" s="17" t="str">
        <f t="shared" si="545"/>
        <v>中级生命百分比</v>
      </c>
      <c r="H644" s="17" t="str">
        <f t="shared" si="546"/>
        <v>icon_05</v>
      </c>
      <c r="I644" s="20">
        <v>0</v>
      </c>
      <c r="J644" s="17">
        <v>11</v>
      </c>
      <c r="K644" s="17">
        <f t="shared" si="543"/>
        <v>21412</v>
      </c>
      <c r="L644" s="17" t="s">
        <v>410</v>
      </c>
      <c r="M644" s="17" t="str">
        <f t="shared" si="547"/>
        <v>1:11100:5</v>
      </c>
      <c r="N644" s="16" t="str">
        <f t="shared" si="504"/>
        <v>116:1</v>
      </c>
      <c r="O644" s="17">
        <f t="shared" si="517"/>
        <v>5</v>
      </c>
      <c r="P644" s="21" t="str">
        <f t="shared" si="518"/>
        <v>所有骑兵生命百分比增加:1</v>
      </c>
      <c r="Q644" s="21"/>
      <c r="R644" t="str">
        <f t="shared" si="548"/>
        <v>生命百分比</v>
      </c>
      <c r="T644" t="str">
        <f t="shared" si="549"/>
        <v>:1</v>
      </c>
      <c r="U644" t="str">
        <f t="shared" si="497"/>
        <v>骑兵</v>
      </c>
      <c r="V644" t="s">
        <v>4487</v>
      </c>
      <c r="W644">
        <f>属性类型!G644</f>
        <v>116</v>
      </c>
      <c r="X644">
        <v>1</v>
      </c>
    </row>
    <row r="645" customFormat="1" ht="16.5" spans="1:24">
      <c r="A645" s="17">
        <f t="shared" si="544"/>
        <v>21412</v>
      </c>
      <c r="B645" s="17">
        <f t="shared" si="533"/>
        <v>21400</v>
      </c>
      <c r="C645" s="17" t="str">
        <f t="shared" si="534"/>
        <v>2</v>
      </c>
      <c r="D645" s="12">
        <f t="shared" si="542"/>
        <v>20002</v>
      </c>
      <c r="E645" s="17">
        <v>1</v>
      </c>
      <c r="F645" s="17">
        <f t="shared" si="516"/>
        <v>2</v>
      </c>
      <c r="G645" s="17" t="str">
        <f t="shared" si="545"/>
        <v>中级生命百分比</v>
      </c>
      <c r="H645" s="17" t="str">
        <f t="shared" si="546"/>
        <v>icon_05</v>
      </c>
      <c r="I645" s="20">
        <v>0</v>
      </c>
      <c r="J645" s="17">
        <v>12</v>
      </c>
      <c r="K645" s="17">
        <f t="shared" si="543"/>
        <v>21413</v>
      </c>
      <c r="L645" s="17" t="s">
        <v>414</v>
      </c>
      <c r="M645" s="17" t="str">
        <f t="shared" si="547"/>
        <v>1:11100:5</v>
      </c>
      <c r="N645" s="16" t="str">
        <f t="shared" si="504"/>
        <v>116:1</v>
      </c>
      <c r="O645" s="17">
        <f t="shared" si="517"/>
        <v>5</v>
      </c>
      <c r="P645" s="21" t="str">
        <f t="shared" si="518"/>
        <v>所有骑兵生命百分比增加:1</v>
      </c>
      <c r="Q645" s="21"/>
      <c r="R645" t="str">
        <f t="shared" si="548"/>
        <v>生命百分比</v>
      </c>
      <c r="T645" t="str">
        <f t="shared" si="549"/>
        <v>:1</v>
      </c>
      <c r="U645" t="str">
        <f t="shared" ref="U645:U708" si="550">MID(P645,3,2)</f>
        <v>骑兵</v>
      </c>
      <c r="V645" t="s">
        <v>4487</v>
      </c>
      <c r="W645">
        <f>属性类型!G645</f>
        <v>116</v>
      </c>
      <c r="X645">
        <v>1</v>
      </c>
    </row>
    <row r="646" customFormat="1" ht="16.5" spans="1:24">
      <c r="A646" s="17">
        <f t="shared" si="544"/>
        <v>21413</v>
      </c>
      <c r="B646" s="17">
        <f t="shared" si="533"/>
        <v>21400</v>
      </c>
      <c r="C646" s="17" t="str">
        <f t="shared" si="534"/>
        <v>2</v>
      </c>
      <c r="D646" s="12">
        <f t="shared" si="542"/>
        <v>20002</v>
      </c>
      <c r="E646" s="17">
        <v>1</v>
      </c>
      <c r="F646" s="17">
        <f t="shared" si="516"/>
        <v>2</v>
      </c>
      <c r="G646" s="17" t="str">
        <f t="shared" si="545"/>
        <v>中级生命百分比</v>
      </c>
      <c r="H646" s="17" t="str">
        <f t="shared" si="546"/>
        <v>icon_05</v>
      </c>
      <c r="I646" s="20">
        <v>0</v>
      </c>
      <c r="J646" s="17">
        <v>13</v>
      </c>
      <c r="K646" s="17">
        <f t="shared" si="543"/>
        <v>21414</v>
      </c>
      <c r="L646" s="17" t="s">
        <v>418</v>
      </c>
      <c r="M646" s="17" t="str">
        <f t="shared" si="547"/>
        <v>1:11100:5</v>
      </c>
      <c r="N646" s="16" t="str">
        <f t="shared" si="504"/>
        <v>116:1</v>
      </c>
      <c r="O646" s="17">
        <f t="shared" si="517"/>
        <v>5</v>
      </c>
      <c r="P646" s="21" t="str">
        <f t="shared" si="518"/>
        <v>所有骑兵生命百分比增加:1</v>
      </c>
      <c r="Q646" s="21"/>
      <c r="R646" t="str">
        <f t="shared" si="548"/>
        <v>生命百分比</v>
      </c>
      <c r="T646" t="str">
        <f t="shared" si="549"/>
        <v>:1</v>
      </c>
      <c r="U646" t="str">
        <f t="shared" si="550"/>
        <v>骑兵</v>
      </c>
      <c r="V646" t="s">
        <v>4487</v>
      </c>
      <c r="W646">
        <f>属性类型!G646</f>
        <v>116</v>
      </c>
      <c r="X646">
        <v>1</v>
      </c>
    </row>
    <row r="647" customFormat="1" ht="16.5" spans="1:24">
      <c r="A647" s="17">
        <f t="shared" si="544"/>
        <v>21414</v>
      </c>
      <c r="B647" s="17">
        <f t="shared" si="533"/>
        <v>21400</v>
      </c>
      <c r="C647" s="17" t="str">
        <f t="shared" si="534"/>
        <v>2</v>
      </c>
      <c r="D647" s="12">
        <f t="shared" si="542"/>
        <v>20002</v>
      </c>
      <c r="E647" s="17">
        <v>1</v>
      </c>
      <c r="F647" s="17">
        <f t="shared" si="516"/>
        <v>2</v>
      </c>
      <c r="G647" s="17" t="str">
        <f t="shared" si="545"/>
        <v>中级生命百分比</v>
      </c>
      <c r="H647" s="17" t="str">
        <f t="shared" si="546"/>
        <v>icon_05</v>
      </c>
      <c r="I647" s="20">
        <v>0</v>
      </c>
      <c r="J647" s="17">
        <v>14</v>
      </c>
      <c r="K647" s="17">
        <f t="shared" si="543"/>
        <v>21415</v>
      </c>
      <c r="L647" s="17" t="s">
        <v>422</v>
      </c>
      <c r="M647" s="17" t="str">
        <f t="shared" si="547"/>
        <v>1:11100:5</v>
      </c>
      <c r="N647" s="16" t="str">
        <f t="shared" si="504"/>
        <v>116:1</v>
      </c>
      <c r="O647" s="17">
        <f t="shared" si="517"/>
        <v>5</v>
      </c>
      <c r="P647" s="21" t="str">
        <f t="shared" si="518"/>
        <v>所有骑兵生命百分比增加:1</v>
      </c>
      <c r="Q647" s="21"/>
      <c r="R647" t="str">
        <f t="shared" si="548"/>
        <v>生命百分比</v>
      </c>
      <c r="T647" t="str">
        <f t="shared" si="549"/>
        <v>:1</v>
      </c>
      <c r="U647" t="str">
        <f t="shared" si="550"/>
        <v>骑兵</v>
      </c>
      <c r="V647" t="s">
        <v>4487</v>
      </c>
      <c r="W647">
        <f>属性类型!G647</f>
        <v>116</v>
      </c>
      <c r="X647">
        <v>1</v>
      </c>
    </row>
    <row r="648" customFormat="1" ht="16.5" spans="1:24">
      <c r="A648" s="17">
        <f t="shared" si="544"/>
        <v>21415</v>
      </c>
      <c r="B648" s="17">
        <f t="shared" si="533"/>
        <v>21400</v>
      </c>
      <c r="C648" s="17" t="str">
        <f t="shared" si="534"/>
        <v>2</v>
      </c>
      <c r="D648" s="12">
        <f t="shared" si="542"/>
        <v>20002</v>
      </c>
      <c r="E648" s="17">
        <v>1</v>
      </c>
      <c r="F648" s="17">
        <f t="shared" si="516"/>
        <v>2</v>
      </c>
      <c r="G648" s="17" t="str">
        <f t="shared" si="545"/>
        <v>中级生命百分比</v>
      </c>
      <c r="H648" s="17" t="str">
        <f t="shared" si="546"/>
        <v>icon_05</v>
      </c>
      <c r="I648" s="20">
        <v>0</v>
      </c>
      <c r="J648" s="17">
        <v>15</v>
      </c>
      <c r="K648" s="17">
        <v>0</v>
      </c>
      <c r="L648" s="17">
        <v>0</v>
      </c>
      <c r="M648" s="17" t="str">
        <f t="shared" si="547"/>
        <v>1:11100:5</v>
      </c>
      <c r="N648" s="16" t="str">
        <f t="shared" si="504"/>
        <v>116:1</v>
      </c>
      <c r="O648" s="17">
        <f t="shared" si="517"/>
        <v>5</v>
      </c>
      <c r="P648" s="21" t="str">
        <f t="shared" si="518"/>
        <v>所有骑兵生命百分比增加:1</v>
      </c>
      <c r="Q648" s="21"/>
      <c r="R648" t="str">
        <f t="shared" si="548"/>
        <v>生命百分比</v>
      </c>
      <c r="T648" t="str">
        <f t="shared" si="549"/>
        <v>:1</v>
      </c>
      <c r="U648" t="str">
        <f t="shared" si="550"/>
        <v>骑兵</v>
      </c>
      <c r="V648" t="s">
        <v>4487</v>
      </c>
      <c r="W648">
        <f>属性类型!G648</f>
        <v>116</v>
      </c>
      <c r="X648">
        <v>1</v>
      </c>
    </row>
    <row r="649" customFormat="1" ht="16.5" spans="1:24">
      <c r="A649" s="18">
        <f>A633+100</f>
        <v>21500</v>
      </c>
      <c r="B649" s="18">
        <f t="shared" si="533"/>
        <v>21500</v>
      </c>
      <c r="C649" s="18" t="str">
        <f t="shared" si="534"/>
        <v>2</v>
      </c>
      <c r="D649" s="12">
        <f t="shared" si="542"/>
        <v>20002</v>
      </c>
      <c r="E649" s="17">
        <v>1</v>
      </c>
      <c r="F649" s="18">
        <f t="shared" si="516"/>
        <v>2</v>
      </c>
      <c r="G649" s="18" t="s">
        <v>427</v>
      </c>
      <c r="H649" s="18" t="s">
        <v>149</v>
      </c>
      <c r="I649" s="20">
        <v>0</v>
      </c>
      <c r="J649" s="18">
        <v>0</v>
      </c>
      <c r="K649" s="18">
        <f t="shared" ref="K649:K663" si="551">A650</f>
        <v>21501</v>
      </c>
      <c r="L649" s="18" t="s">
        <v>297</v>
      </c>
      <c r="M649" s="18" t="s">
        <v>429</v>
      </c>
      <c r="N649" s="16" t="str">
        <f t="shared" si="504"/>
        <v>117:1</v>
      </c>
      <c r="O649" s="18">
        <f t="shared" si="517"/>
        <v>6</v>
      </c>
      <c r="P649" s="21" t="str">
        <f t="shared" si="518"/>
        <v>所有骑兵攻击百分比增加1</v>
      </c>
      <c r="Q649" s="21"/>
      <c r="R649" t="s">
        <v>4280</v>
      </c>
      <c r="T649" t="str">
        <f>RIGHT(N649,1)</f>
        <v>1</v>
      </c>
      <c r="U649" t="str">
        <f t="shared" si="550"/>
        <v>骑兵</v>
      </c>
      <c r="V649" t="s">
        <v>4421</v>
      </c>
      <c r="W649">
        <f>属性类型!G649</f>
        <v>117</v>
      </c>
      <c r="X649">
        <v>1</v>
      </c>
    </row>
    <row r="650" customFormat="1" ht="16.5" spans="1:24">
      <c r="A650" s="17">
        <f t="shared" ref="A650:A664" si="552">A649+1</f>
        <v>21501</v>
      </c>
      <c r="B650" s="17">
        <f t="shared" si="533"/>
        <v>21500</v>
      </c>
      <c r="C650" s="17" t="str">
        <f t="shared" si="534"/>
        <v>2</v>
      </c>
      <c r="D650" s="12">
        <f t="shared" si="542"/>
        <v>20002</v>
      </c>
      <c r="E650" s="17">
        <v>1</v>
      </c>
      <c r="F650" s="17">
        <f t="shared" si="516"/>
        <v>2</v>
      </c>
      <c r="G650" s="17" t="str">
        <f t="shared" ref="G650:G664" si="553">G649</f>
        <v>中级攻击百分比</v>
      </c>
      <c r="H650" s="17" t="str">
        <f t="shared" ref="H650:H664" si="554">H649</f>
        <v>icon_06</v>
      </c>
      <c r="I650" s="20">
        <v>0</v>
      </c>
      <c r="J650" s="17">
        <v>1</v>
      </c>
      <c r="K650" s="17">
        <f t="shared" si="551"/>
        <v>21502</v>
      </c>
      <c r="L650" s="17" t="s">
        <v>300</v>
      </c>
      <c r="M650" s="17" t="str">
        <f t="shared" ref="M650:M664" si="555">M649</f>
        <v>1:11200:5</v>
      </c>
      <c r="N650" s="16" t="str">
        <f t="shared" si="504"/>
        <v>117:1</v>
      </c>
      <c r="O650" s="17">
        <f t="shared" si="517"/>
        <v>6</v>
      </c>
      <c r="P650" s="21" t="str">
        <f t="shared" si="518"/>
        <v>所有骑兵攻击百分比增加:1</v>
      </c>
      <c r="Q650" s="21"/>
      <c r="R650" t="str">
        <f t="shared" ref="R650:R664" si="556">R649</f>
        <v>攻击百分比</v>
      </c>
      <c r="T650" t="str">
        <f t="shared" ref="T650:T664" si="557">RIGHT(N650,2)</f>
        <v>:1</v>
      </c>
      <c r="U650" t="str">
        <f t="shared" si="550"/>
        <v>骑兵</v>
      </c>
      <c r="V650" t="s">
        <v>4421</v>
      </c>
      <c r="W650">
        <f>属性类型!G650</f>
        <v>117</v>
      </c>
      <c r="X650">
        <v>1</v>
      </c>
    </row>
    <row r="651" customFormat="1" ht="16.5" spans="1:24">
      <c r="A651" s="17">
        <f t="shared" si="552"/>
        <v>21502</v>
      </c>
      <c r="B651" s="17">
        <f t="shared" si="533"/>
        <v>21500</v>
      </c>
      <c r="C651" s="17" t="str">
        <f t="shared" si="534"/>
        <v>2</v>
      </c>
      <c r="D651" s="12">
        <f t="shared" si="542"/>
        <v>20002</v>
      </c>
      <c r="E651" s="17">
        <v>1</v>
      </c>
      <c r="F651" s="17">
        <f t="shared" si="516"/>
        <v>2</v>
      </c>
      <c r="G651" s="17" t="str">
        <f t="shared" si="553"/>
        <v>中级攻击百分比</v>
      </c>
      <c r="H651" s="17" t="str">
        <f t="shared" si="554"/>
        <v>icon_06</v>
      </c>
      <c r="I651" s="20">
        <v>0</v>
      </c>
      <c r="J651" s="17">
        <v>2</v>
      </c>
      <c r="K651" s="17">
        <f t="shared" si="551"/>
        <v>21503</v>
      </c>
      <c r="L651" s="17" t="s">
        <v>304</v>
      </c>
      <c r="M651" s="17" t="str">
        <f t="shared" si="555"/>
        <v>1:11200:5</v>
      </c>
      <c r="N651" s="16" t="str">
        <f t="shared" ref="N651:N714" si="558">W651&amp;$W$2&amp;X651</f>
        <v>117:1</v>
      </c>
      <c r="O651" s="17">
        <f t="shared" si="517"/>
        <v>6</v>
      </c>
      <c r="P651" s="21" t="str">
        <f t="shared" si="518"/>
        <v>所有骑兵攻击百分比增加:1</v>
      </c>
      <c r="Q651" s="21"/>
      <c r="R651" t="str">
        <f t="shared" si="556"/>
        <v>攻击百分比</v>
      </c>
      <c r="T651" t="str">
        <f t="shared" si="557"/>
        <v>:1</v>
      </c>
      <c r="U651" t="str">
        <f t="shared" si="550"/>
        <v>骑兵</v>
      </c>
      <c r="V651" t="s">
        <v>4421</v>
      </c>
      <c r="W651">
        <f>属性类型!G651</f>
        <v>117</v>
      </c>
      <c r="X651">
        <v>1</v>
      </c>
    </row>
    <row r="652" customFormat="1" ht="16.5" spans="1:24">
      <c r="A652" s="17">
        <f t="shared" si="552"/>
        <v>21503</v>
      </c>
      <c r="B652" s="17">
        <f t="shared" si="533"/>
        <v>21500</v>
      </c>
      <c r="C652" s="17" t="str">
        <f t="shared" si="534"/>
        <v>2</v>
      </c>
      <c r="D652" s="12">
        <f t="shared" si="542"/>
        <v>20002</v>
      </c>
      <c r="E652" s="17">
        <v>1</v>
      </c>
      <c r="F652" s="17">
        <f t="shared" si="516"/>
        <v>2</v>
      </c>
      <c r="G652" s="17" t="str">
        <f t="shared" si="553"/>
        <v>中级攻击百分比</v>
      </c>
      <c r="H652" s="17" t="str">
        <f t="shared" si="554"/>
        <v>icon_06</v>
      </c>
      <c r="I652" s="20">
        <v>0</v>
      </c>
      <c r="J652" s="17">
        <v>3</v>
      </c>
      <c r="K652" s="17">
        <f t="shared" si="551"/>
        <v>21504</v>
      </c>
      <c r="L652" s="17" t="s">
        <v>307</v>
      </c>
      <c r="M652" s="17" t="str">
        <f t="shared" si="555"/>
        <v>1:11200:5</v>
      </c>
      <c r="N652" s="16" t="str">
        <f t="shared" si="558"/>
        <v>117:1</v>
      </c>
      <c r="O652" s="17">
        <f t="shared" si="517"/>
        <v>6</v>
      </c>
      <c r="P652" s="21" t="str">
        <f t="shared" si="518"/>
        <v>所有骑兵攻击百分比增加:1</v>
      </c>
      <c r="Q652" s="21"/>
      <c r="R652" t="str">
        <f t="shared" si="556"/>
        <v>攻击百分比</v>
      </c>
      <c r="T652" t="str">
        <f t="shared" si="557"/>
        <v>:1</v>
      </c>
      <c r="U652" t="str">
        <f t="shared" si="550"/>
        <v>骑兵</v>
      </c>
      <c r="V652" t="s">
        <v>4421</v>
      </c>
      <c r="W652">
        <f>属性类型!G652</f>
        <v>117</v>
      </c>
      <c r="X652">
        <v>1</v>
      </c>
    </row>
    <row r="653" customFormat="1" ht="16.5" spans="1:24">
      <c r="A653" s="17">
        <f t="shared" si="552"/>
        <v>21504</v>
      </c>
      <c r="B653" s="17">
        <f t="shared" si="533"/>
        <v>21500</v>
      </c>
      <c r="C653" s="17" t="str">
        <f t="shared" si="534"/>
        <v>2</v>
      </c>
      <c r="D653" s="12">
        <f t="shared" si="542"/>
        <v>20002</v>
      </c>
      <c r="E653" s="17">
        <v>1</v>
      </c>
      <c r="F653" s="17">
        <f t="shared" si="516"/>
        <v>2</v>
      </c>
      <c r="G653" s="17" t="str">
        <f t="shared" si="553"/>
        <v>中级攻击百分比</v>
      </c>
      <c r="H653" s="17" t="str">
        <f t="shared" si="554"/>
        <v>icon_06</v>
      </c>
      <c r="I653" s="20">
        <v>0</v>
      </c>
      <c r="J653" s="17">
        <v>4</v>
      </c>
      <c r="K653" s="17">
        <f t="shared" si="551"/>
        <v>21505</v>
      </c>
      <c r="L653" s="17" t="s">
        <v>309</v>
      </c>
      <c r="M653" s="17" t="str">
        <f t="shared" si="555"/>
        <v>1:11200:5</v>
      </c>
      <c r="N653" s="16" t="str">
        <f t="shared" si="558"/>
        <v>117:1</v>
      </c>
      <c r="O653" s="17">
        <f t="shared" si="517"/>
        <v>6</v>
      </c>
      <c r="P653" s="21" t="str">
        <f t="shared" si="518"/>
        <v>所有骑兵攻击百分比增加:1</v>
      </c>
      <c r="Q653" s="21"/>
      <c r="R653" t="str">
        <f t="shared" si="556"/>
        <v>攻击百分比</v>
      </c>
      <c r="T653" t="str">
        <f t="shared" si="557"/>
        <v>:1</v>
      </c>
      <c r="U653" t="str">
        <f t="shared" si="550"/>
        <v>骑兵</v>
      </c>
      <c r="V653" t="s">
        <v>4421</v>
      </c>
      <c r="W653">
        <f>属性类型!G653</f>
        <v>117</v>
      </c>
      <c r="X653">
        <v>1</v>
      </c>
    </row>
    <row r="654" customFormat="1" ht="16.5" spans="1:24">
      <c r="A654" s="17">
        <f t="shared" si="552"/>
        <v>21505</v>
      </c>
      <c r="B654" s="17">
        <f t="shared" si="533"/>
        <v>21500</v>
      </c>
      <c r="C654" s="17" t="str">
        <f t="shared" si="534"/>
        <v>2</v>
      </c>
      <c r="D654" s="12">
        <f t="shared" si="542"/>
        <v>20002</v>
      </c>
      <c r="E654" s="17">
        <v>1</v>
      </c>
      <c r="F654" s="17">
        <f t="shared" si="516"/>
        <v>2</v>
      </c>
      <c r="G654" s="17" t="str">
        <f t="shared" si="553"/>
        <v>中级攻击百分比</v>
      </c>
      <c r="H654" s="17" t="str">
        <f t="shared" si="554"/>
        <v>icon_06</v>
      </c>
      <c r="I654" s="20">
        <v>0</v>
      </c>
      <c r="J654" s="17">
        <v>5</v>
      </c>
      <c r="K654" s="17">
        <f t="shared" si="551"/>
        <v>21506</v>
      </c>
      <c r="L654" s="17" t="s">
        <v>312</v>
      </c>
      <c r="M654" s="17" t="str">
        <f t="shared" si="555"/>
        <v>1:11200:5</v>
      </c>
      <c r="N654" s="16" t="str">
        <f t="shared" si="558"/>
        <v>117:1</v>
      </c>
      <c r="O654" s="17">
        <f t="shared" si="517"/>
        <v>6</v>
      </c>
      <c r="P654" s="21" t="str">
        <f t="shared" si="518"/>
        <v>所有骑兵攻击百分比增加:1</v>
      </c>
      <c r="Q654" s="21"/>
      <c r="R654" t="str">
        <f t="shared" si="556"/>
        <v>攻击百分比</v>
      </c>
      <c r="T654" t="str">
        <f t="shared" si="557"/>
        <v>:1</v>
      </c>
      <c r="U654" t="str">
        <f t="shared" si="550"/>
        <v>骑兵</v>
      </c>
      <c r="V654" t="s">
        <v>4421</v>
      </c>
      <c r="W654">
        <f>属性类型!G654</f>
        <v>117</v>
      </c>
      <c r="X654">
        <v>1</v>
      </c>
    </row>
    <row r="655" customFormat="1" ht="16.5" spans="1:24">
      <c r="A655" s="17">
        <f t="shared" si="552"/>
        <v>21506</v>
      </c>
      <c r="B655" s="17">
        <f t="shared" si="533"/>
        <v>21500</v>
      </c>
      <c r="C655" s="17" t="str">
        <f t="shared" si="534"/>
        <v>2</v>
      </c>
      <c r="D655" s="12">
        <f t="shared" si="542"/>
        <v>20002</v>
      </c>
      <c r="E655" s="17">
        <v>1</v>
      </c>
      <c r="F655" s="17">
        <f t="shared" si="516"/>
        <v>2</v>
      </c>
      <c r="G655" s="17" t="str">
        <f t="shared" si="553"/>
        <v>中级攻击百分比</v>
      </c>
      <c r="H655" s="17" t="str">
        <f t="shared" si="554"/>
        <v>icon_06</v>
      </c>
      <c r="I655" s="20">
        <v>0</v>
      </c>
      <c r="J655" s="17">
        <v>6</v>
      </c>
      <c r="K655" s="17">
        <f t="shared" si="551"/>
        <v>21507</v>
      </c>
      <c r="L655" s="17" t="s">
        <v>315</v>
      </c>
      <c r="M655" s="17" t="str">
        <f t="shared" si="555"/>
        <v>1:11200:5</v>
      </c>
      <c r="N655" s="16" t="str">
        <f t="shared" si="558"/>
        <v>117:1</v>
      </c>
      <c r="O655" s="17">
        <f t="shared" si="517"/>
        <v>6</v>
      </c>
      <c r="P655" s="21" t="str">
        <f t="shared" si="518"/>
        <v>所有骑兵攻击百分比增加:1</v>
      </c>
      <c r="Q655" s="21"/>
      <c r="R655" t="str">
        <f t="shared" si="556"/>
        <v>攻击百分比</v>
      </c>
      <c r="T655" t="str">
        <f t="shared" si="557"/>
        <v>:1</v>
      </c>
      <c r="U655" t="str">
        <f t="shared" si="550"/>
        <v>骑兵</v>
      </c>
      <c r="V655" t="s">
        <v>4421</v>
      </c>
      <c r="W655">
        <f>属性类型!G655</f>
        <v>117</v>
      </c>
      <c r="X655">
        <v>1</v>
      </c>
    </row>
    <row r="656" customFormat="1" ht="16.5" spans="1:24">
      <c r="A656" s="17">
        <f t="shared" si="552"/>
        <v>21507</v>
      </c>
      <c r="B656" s="17">
        <f t="shared" si="533"/>
        <v>21500</v>
      </c>
      <c r="C656" s="17" t="str">
        <f t="shared" si="534"/>
        <v>2</v>
      </c>
      <c r="D656" s="12">
        <f t="shared" si="542"/>
        <v>20002</v>
      </c>
      <c r="E656" s="17">
        <v>1</v>
      </c>
      <c r="F656" s="17">
        <f t="shared" ref="F656:F719" si="559">MID(B656,2,1)+1</f>
        <v>2</v>
      </c>
      <c r="G656" s="17" t="str">
        <f t="shared" si="553"/>
        <v>中级攻击百分比</v>
      </c>
      <c r="H656" s="17" t="str">
        <f t="shared" si="554"/>
        <v>icon_06</v>
      </c>
      <c r="I656" s="20">
        <v>0</v>
      </c>
      <c r="J656" s="17">
        <v>7</v>
      </c>
      <c r="K656" s="17">
        <f t="shared" si="551"/>
        <v>21508</v>
      </c>
      <c r="L656" s="17" t="s">
        <v>317</v>
      </c>
      <c r="M656" s="17" t="str">
        <f t="shared" si="555"/>
        <v>1:11200:5</v>
      </c>
      <c r="N656" s="16" t="str">
        <f t="shared" si="558"/>
        <v>117:1</v>
      </c>
      <c r="O656" s="17">
        <f t="shared" ref="O656:O719" si="560">MID(A656,3,1)+1</f>
        <v>6</v>
      </c>
      <c r="P656" s="21" t="str">
        <f t="shared" si="518"/>
        <v>所有骑兵攻击百分比增加:1</v>
      </c>
      <c r="Q656" s="21"/>
      <c r="R656" t="str">
        <f t="shared" si="556"/>
        <v>攻击百分比</v>
      </c>
      <c r="T656" t="str">
        <f t="shared" si="557"/>
        <v>:1</v>
      </c>
      <c r="U656" t="str">
        <f t="shared" si="550"/>
        <v>骑兵</v>
      </c>
      <c r="V656" t="s">
        <v>4421</v>
      </c>
      <c r="W656">
        <f>属性类型!G656</f>
        <v>117</v>
      </c>
      <c r="X656">
        <v>1</v>
      </c>
    </row>
    <row r="657" customFormat="1" ht="16.5" spans="1:24">
      <c r="A657" s="17">
        <f t="shared" si="552"/>
        <v>21508</v>
      </c>
      <c r="B657" s="17">
        <f t="shared" si="533"/>
        <v>21500</v>
      </c>
      <c r="C657" s="17" t="str">
        <f t="shared" si="534"/>
        <v>2</v>
      </c>
      <c r="D657" s="12">
        <f t="shared" si="542"/>
        <v>20002</v>
      </c>
      <c r="E657" s="17">
        <v>1</v>
      </c>
      <c r="F657" s="17">
        <f t="shared" si="559"/>
        <v>2</v>
      </c>
      <c r="G657" s="17" t="str">
        <f t="shared" si="553"/>
        <v>中级攻击百分比</v>
      </c>
      <c r="H657" s="17" t="str">
        <f t="shared" si="554"/>
        <v>icon_06</v>
      </c>
      <c r="I657" s="20">
        <v>0</v>
      </c>
      <c r="J657" s="17">
        <v>8</v>
      </c>
      <c r="K657" s="17">
        <f t="shared" si="551"/>
        <v>21509</v>
      </c>
      <c r="L657" s="17" t="s">
        <v>320</v>
      </c>
      <c r="M657" s="17" t="str">
        <f t="shared" si="555"/>
        <v>1:11200:5</v>
      </c>
      <c r="N657" s="16" t="str">
        <f t="shared" si="558"/>
        <v>117:1</v>
      </c>
      <c r="O657" s="17">
        <f t="shared" si="560"/>
        <v>6</v>
      </c>
      <c r="P657" s="21" t="str">
        <f t="shared" si="518"/>
        <v>所有骑兵攻击百分比增加:1</v>
      </c>
      <c r="Q657" s="21"/>
      <c r="R657" t="str">
        <f t="shared" si="556"/>
        <v>攻击百分比</v>
      </c>
      <c r="T657" t="str">
        <f t="shared" si="557"/>
        <v>:1</v>
      </c>
      <c r="U657" t="str">
        <f t="shared" si="550"/>
        <v>骑兵</v>
      </c>
      <c r="V657" t="s">
        <v>4421</v>
      </c>
      <c r="W657">
        <f>属性类型!G657</f>
        <v>117</v>
      </c>
      <c r="X657">
        <v>1</v>
      </c>
    </row>
    <row r="658" customFormat="1" ht="16.5" spans="1:24">
      <c r="A658" s="17">
        <f t="shared" si="552"/>
        <v>21509</v>
      </c>
      <c r="B658" s="17">
        <f t="shared" si="533"/>
        <v>21500</v>
      </c>
      <c r="C658" s="17" t="str">
        <f t="shared" si="534"/>
        <v>2</v>
      </c>
      <c r="D658" s="12">
        <f t="shared" si="542"/>
        <v>20002</v>
      </c>
      <c r="E658" s="17">
        <v>1</v>
      </c>
      <c r="F658" s="17">
        <f t="shared" si="559"/>
        <v>2</v>
      </c>
      <c r="G658" s="17" t="str">
        <f t="shared" si="553"/>
        <v>中级攻击百分比</v>
      </c>
      <c r="H658" s="17" t="str">
        <f t="shared" si="554"/>
        <v>icon_06</v>
      </c>
      <c r="I658" s="20">
        <v>0</v>
      </c>
      <c r="J658" s="17">
        <v>9</v>
      </c>
      <c r="K658" s="17">
        <f t="shared" si="551"/>
        <v>21510</v>
      </c>
      <c r="L658" s="17" t="s">
        <v>323</v>
      </c>
      <c r="M658" s="17" t="str">
        <f t="shared" si="555"/>
        <v>1:11200:5</v>
      </c>
      <c r="N658" s="16" t="str">
        <f t="shared" si="558"/>
        <v>117:1</v>
      </c>
      <c r="O658" s="17">
        <f t="shared" si="560"/>
        <v>6</v>
      </c>
      <c r="P658" s="21" t="str">
        <f t="shared" si="518"/>
        <v>所有骑兵攻击百分比增加:1</v>
      </c>
      <c r="Q658" s="21"/>
      <c r="R658" t="str">
        <f t="shared" si="556"/>
        <v>攻击百分比</v>
      </c>
      <c r="T658" t="str">
        <f t="shared" si="557"/>
        <v>:1</v>
      </c>
      <c r="U658" t="str">
        <f t="shared" si="550"/>
        <v>骑兵</v>
      </c>
      <c r="V658" t="s">
        <v>4421</v>
      </c>
      <c r="W658">
        <f>属性类型!G658</f>
        <v>117</v>
      </c>
      <c r="X658">
        <v>1</v>
      </c>
    </row>
    <row r="659" customFormat="1" ht="16.5" spans="1:24">
      <c r="A659" s="17">
        <f t="shared" si="552"/>
        <v>21510</v>
      </c>
      <c r="B659" s="17">
        <f t="shared" si="533"/>
        <v>21500</v>
      </c>
      <c r="C659" s="17" t="str">
        <f t="shared" si="534"/>
        <v>2</v>
      </c>
      <c r="D659" s="12">
        <f t="shared" si="542"/>
        <v>20002</v>
      </c>
      <c r="E659" s="17">
        <v>1</v>
      </c>
      <c r="F659" s="17">
        <f t="shared" si="559"/>
        <v>2</v>
      </c>
      <c r="G659" s="17" t="str">
        <f t="shared" si="553"/>
        <v>中级攻击百分比</v>
      </c>
      <c r="H659" s="17" t="str">
        <f t="shared" si="554"/>
        <v>icon_06</v>
      </c>
      <c r="I659" s="20">
        <v>0</v>
      </c>
      <c r="J659" s="17">
        <v>10</v>
      </c>
      <c r="K659" s="17">
        <f t="shared" si="551"/>
        <v>21511</v>
      </c>
      <c r="L659" s="17" t="s">
        <v>407</v>
      </c>
      <c r="M659" s="17" t="str">
        <f t="shared" si="555"/>
        <v>1:11200:5</v>
      </c>
      <c r="N659" s="16" t="str">
        <f t="shared" si="558"/>
        <v>117:1</v>
      </c>
      <c r="O659" s="17">
        <f t="shared" si="560"/>
        <v>6</v>
      </c>
      <c r="P659" s="21" t="str">
        <f t="shared" si="518"/>
        <v>所有骑兵攻击百分比增加:1</v>
      </c>
      <c r="Q659" s="21"/>
      <c r="R659" t="str">
        <f t="shared" si="556"/>
        <v>攻击百分比</v>
      </c>
      <c r="T659" t="str">
        <f t="shared" si="557"/>
        <v>:1</v>
      </c>
      <c r="U659" t="str">
        <f t="shared" si="550"/>
        <v>骑兵</v>
      </c>
      <c r="V659" t="s">
        <v>4421</v>
      </c>
      <c r="W659">
        <f>属性类型!G659</f>
        <v>117</v>
      </c>
      <c r="X659">
        <v>1</v>
      </c>
    </row>
    <row r="660" customFormat="1" ht="16.5" spans="1:24">
      <c r="A660" s="17">
        <f t="shared" si="552"/>
        <v>21511</v>
      </c>
      <c r="B660" s="17">
        <f t="shared" si="533"/>
        <v>21500</v>
      </c>
      <c r="C660" s="17" t="str">
        <f t="shared" si="534"/>
        <v>2</v>
      </c>
      <c r="D660" s="12">
        <f t="shared" si="542"/>
        <v>20002</v>
      </c>
      <c r="E660" s="17">
        <v>1</v>
      </c>
      <c r="F660" s="17">
        <f t="shared" si="559"/>
        <v>2</v>
      </c>
      <c r="G660" s="17" t="str">
        <f t="shared" si="553"/>
        <v>中级攻击百分比</v>
      </c>
      <c r="H660" s="17" t="str">
        <f t="shared" si="554"/>
        <v>icon_06</v>
      </c>
      <c r="I660" s="20">
        <v>0</v>
      </c>
      <c r="J660" s="17">
        <v>11</v>
      </c>
      <c r="K660" s="17">
        <f t="shared" si="551"/>
        <v>21512</v>
      </c>
      <c r="L660" s="17" t="s">
        <v>410</v>
      </c>
      <c r="M660" s="17" t="str">
        <f t="shared" si="555"/>
        <v>1:11200:5</v>
      </c>
      <c r="N660" s="16" t="str">
        <f t="shared" si="558"/>
        <v>117:1</v>
      </c>
      <c r="O660" s="17">
        <f t="shared" si="560"/>
        <v>6</v>
      </c>
      <c r="P660" s="21" t="str">
        <f t="shared" si="518"/>
        <v>所有骑兵攻击百分比增加:1</v>
      </c>
      <c r="Q660" s="21"/>
      <c r="R660" t="str">
        <f t="shared" si="556"/>
        <v>攻击百分比</v>
      </c>
      <c r="T660" t="str">
        <f t="shared" si="557"/>
        <v>:1</v>
      </c>
      <c r="U660" t="str">
        <f t="shared" si="550"/>
        <v>骑兵</v>
      </c>
      <c r="V660" t="s">
        <v>4421</v>
      </c>
      <c r="W660">
        <f>属性类型!G660</f>
        <v>117</v>
      </c>
      <c r="X660">
        <v>1</v>
      </c>
    </row>
    <row r="661" customFormat="1" ht="16.5" spans="1:24">
      <c r="A661" s="17">
        <f t="shared" si="552"/>
        <v>21512</v>
      </c>
      <c r="B661" s="17">
        <f t="shared" si="533"/>
        <v>21500</v>
      </c>
      <c r="C661" s="17" t="str">
        <f t="shared" si="534"/>
        <v>2</v>
      </c>
      <c r="D661" s="12">
        <f t="shared" si="542"/>
        <v>20002</v>
      </c>
      <c r="E661" s="17">
        <v>1</v>
      </c>
      <c r="F661" s="17">
        <f t="shared" si="559"/>
        <v>2</v>
      </c>
      <c r="G661" s="17" t="str">
        <f t="shared" si="553"/>
        <v>中级攻击百分比</v>
      </c>
      <c r="H661" s="17" t="str">
        <f t="shared" si="554"/>
        <v>icon_06</v>
      </c>
      <c r="I661" s="20">
        <v>0</v>
      </c>
      <c r="J661" s="17">
        <v>12</v>
      </c>
      <c r="K661" s="17">
        <f t="shared" si="551"/>
        <v>21513</v>
      </c>
      <c r="L661" s="17" t="s">
        <v>414</v>
      </c>
      <c r="M661" s="17" t="str">
        <f t="shared" si="555"/>
        <v>1:11200:5</v>
      </c>
      <c r="N661" s="16" t="str">
        <f t="shared" si="558"/>
        <v>117:1</v>
      </c>
      <c r="O661" s="17">
        <f t="shared" si="560"/>
        <v>6</v>
      </c>
      <c r="P661" s="21" t="str">
        <f t="shared" si="518"/>
        <v>所有骑兵攻击百分比增加:1</v>
      </c>
      <c r="Q661" s="21"/>
      <c r="R661" t="str">
        <f t="shared" si="556"/>
        <v>攻击百分比</v>
      </c>
      <c r="T661" t="str">
        <f t="shared" si="557"/>
        <v>:1</v>
      </c>
      <c r="U661" t="str">
        <f t="shared" si="550"/>
        <v>骑兵</v>
      </c>
      <c r="V661" t="s">
        <v>4421</v>
      </c>
      <c r="W661">
        <f>属性类型!G661</f>
        <v>117</v>
      </c>
      <c r="X661">
        <v>1</v>
      </c>
    </row>
    <row r="662" customFormat="1" ht="16.5" spans="1:24">
      <c r="A662" s="17">
        <f t="shared" si="552"/>
        <v>21513</v>
      </c>
      <c r="B662" s="17">
        <f t="shared" si="533"/>
        <v>21500</v>
      </c>
      <c r="C662" s="17" t="str">
        <f t="shared" si="534"/>
        <v>2</v>
      </c>
      <c r="D662" s="12">
        <f t="shared" si="542"/>
        <v>20002</v>
      </c>
      <c r="E662" s="17">
        <v>1</v>
      </c>
      <c r="F662" s="17">
        <f t="shared" si="559"/>
        <v>2</v>
      </c>
      <c r="G662" s="17" t="str">
        <f t="shared" si="553"/>
        <v>中级攻击百分比</v>
      </c>
      <c r="H662" s="17" t="str">
        <f t="shared" si="554"/>
        <v>icon_06</v>
      </c>
      <c r="I662" s="20">
        <v>0</v>
      </c>
      <c r="J662" s="17">
        <v>13</v>
      </c>
      <c r="K662" s="17">
        <f t="shared" si="551"/>
        <v>21514</v>
      </c>
      <c r="L662" s="17" t="s">
        <v>418</v>
      </c>
      <c r="M662" s="17" t="str">
        <f t="shared" si="555"/>
        <v>1:11200:5</v>
      </c>
      <c r="N662" s="16" t="str">
        <f t="shared" si="558"/>
        <v>117:1</v>
      </c>
      <c r="O662" s="17">
        <f t="shared" si="560"/>
        <v>6</v>
      </c>
      <c r="P662" s="21" t="str">
        <f>$R$2&amp;R662&amp;$Q$1&amp;T662</f>
        <v>所有骑兵攻击百分比增加:1</v>
      </c>
      <c r="Q662" s="21"/>
      <c r="R662" t="str">
        <f t="shared" si="556"/>
        <v>攻击百分比</v>
      </c>
      <c r="T662" t="str">
        <f t="shared" si="557"/>
        <v>:1</v>
      </c>
      <c r="U662" t="str">
        <f t="shared" si="550"/>
        <v>骑兵</v>
      </c>
      <c r="V662" t="s">
        <v>4421</v>
      </c>
      <c r="W662">
        <f>属性类型!G662</f>
        <v>117</v>
      </c>
      <c r="X662">
        <v>1</v>
      </c>
    </row>
    <row r="663" customFormat="1" ht="16.5" spans="1:24">
      <c r="A663" s="17">
        <f t="shared" si="552"/>
        <v>21514</v>
      </c>
      <c r="B663" s="17">
        <f t="shared" si="533"/>
        <v>21500</v>
      </c>
      <c r="C663" s="17" t="str">
        <f t="shared" si="534"/>
        <v>2</v>
      </c>
      <c r="D663" s="12">
        <f t="shared" si="542"/>
        <v>20002</v>
      </c>
      <c r="E663" s="17">
        <v>1</v>
      </c>
      <c r="F663" s="17">
        <f t="shared" si="559"/>
        <v>2</v>
      </c>
      <c r="G663" s="17" t="str">
        <f t="shared" si="553"/>
        <v>中级攻击百分比</v>
      </c>
      <c r="H663" s="17" t="str">
        <f t="shared" si="554"/>
        <v>icon_06</v>
      </c>
      <c r="I663" s="20">
        <v>0</v>
      </c>
      <c r="J663" s="17">
        <v>14</v>
      </c>
      <c r="K663" s="17">
        <f t="shared" si="551"/>
        <v>21515</v>
      </c>
      <c r="L663" s="17" t="s">
        <v>422</v>
      </c>
      <c r="M663" s="17" t="str">
        <f t="shared" si="555"/>
        <v>1:11200:5</v>
      </c>
      <c r="N663" s="16" t="str">
        <f t="shared" si="558"/>
        <v>117:1</v>
      </c>
      <c r="O663" s="17">
        <f t="shared" si="560"/>
        <v>6</v>
      </c>
      <c r="P663" s="21" t="str">
        <f>$R$2&amp;R663&amp;$Q$1&amp;T663</f>
        <v>所有骑兵攻击百分比增加:1</v>
      </c>
      <c r="Q663" s="21"/>
      <c r="R663" t="str">
        <f t="shared" si="556"/>
        <v>攻击百分比</v>
      </c>
      <c r="T663" t="str">
        <f t="shared" si="557"/>
        <v>:1</v>
      </c>
      <c r="U663" t="str">
        <f t="shared" si="550"/>
        <v>骑兵</v>
      </c>
      <c r="V663" t="s">
        <v>4421</v>
      </c>
      <c r="W663">
        <f>属性类型!G663</f>
        <v>117</v>
      </c>
      <c r="X663">
        <v>1</v>
      </c>
    </row>
    <row r="664" customFormat="1" ht="16.5" spans="1:24">
      <c r="A664" s="17">
        <f t="shared" si="552"/>
        <v>21515</v>
      </c>
      <c r="B664" s="17">
        <f t="shared" si="533"/>
        <v>21500</v>
      </c>
      <c r="C664" s="17" t="str">
        <f t="shared" si="534"/>
        <v>2</v>
      </c>
      <c r="D664" s="12">
        <f t="shared" si="542"/>
        <v>20002</v>
      </c>
      <c r="E664" s="17">
        <v>1</v>
      </c>
      <c r="F664" s="17">
        <f t="shared" si="559"/>
        <v>2</v>
      </c>
      <c r="G664" s="17" t="str">
        <f t="shared" si="553"/>
        <v>中级攻击百分比</v>
      </c>
      <c r="H664" s="17" t="str">
        <f t="shared" si="554"/>
        <v>icon_06</v>
      </c>
      <c r="I664" s="20">
        <v>0</v>
      </c>
      <c r="J664" s="17">
        <v>15</v>
      </c>
      <c r="K664" s="17">
        <v>0</v>
      </c>
      <c r="L664" s="17">
        <v>0</v>
      </c>
      <c r="M664" s="17" t="str">
        <f t="shared" si="555"/>
        <v>1:11200:5</v>
      </c>
      <c r="N664" s="16" t="str">
        <f t="shared" si="558"/>
        <v>117:1</v>
      </c>
      <c r="O664" s="17">
        <f t="shared" si="560"/>
        <v>6</v>
      </c>
      <c r="P664" s="21" t="str">
        <f>$R$2&amp;R664&amp;$Q$1&amp;T664</f>
        <v>所有骑兵攻击百分比增加:1</v>
      </c>
      <c r="Q664" s="21"/>
      <c r="R664" t="str">
        <f t="shared" si="556"/>
        <v>攻击百分比</v>
      </c>
      <c r="T664" t="str">
        <f t="shared" si="557"/>
        <v>:1</v>
      </c>
      <c r="U664" t="str">
        <f t="shared" si="550"/>
        <v>骑兵</v>
      </c>
      <c r="V664" t="s">
        <v>4421</v>
      </c>
      <c r="W664">
        <f>属性类型!G664</f>
        <v>117</v>
      </c>
      <c r="X664">
        <v>1</v>
      </c>
    </row>
    <row r="665" customFormat="1" ht="16.5" spans="1:24">
      <c r="A665" s="18">
        <f>A649+100</f>
        <v>21600</v>
      </c>
      <c r="B665" s="18">
        <f t="shared" si="533"/>
        <v>21600</v>
      </c>
      <c r="C665" s="18" t="str">
        <f t="shared" si="534"/>
        <v>2</v>
      </c>
      <c r="D665" s="12">
        <f t="shared" si="542"/>
        <v>20002</v>
      </c>
      <c r="E665" s="17">
        <v>1</v>
      </c>
      <c r="F665" s="18">
        <f t="shared" si="559"/>
        <v>2</v>
      </c>
      <c r="G665" s="18" t="s">
        <v>450</v>
      </c>
      <c r="H665" s="18" t="s">
        <v>176</v>
      </c>
      <c r="I665" s="20">
        <v>0</v>
      </c>
      <c r="J665" s="18">
        <v>0</v>
      </c>
      <c r="K665" s="18">
        <f t="shared" ref="K665:K679" si="561">A666</f>
        <v>21601</v>
      </c>
      <c r="L665" s="18" t="s">
        <v>297</v>
      </c>
      <c r="M665" s="18" t="s">
        <v>452</v>
      </c>
      <c r="N665" s="16" t="str">
        <f t="shared" si="558"/>
        <v>119:1</v>
      </c>
      <c r="O665" s="18">
        <f t="shared" si="560"/>
        <v>7</v>
      </c>
      <c r="P665" s="21" t="str">
        <f>$R$2&amp;R665&amp;$Q$1&amp;T665</f>
        <v>所有骑兵魔防百分比增加1</v>
      </c>
      <c r="Q665" s="21"/>
      <c r="R665" t="s">
        <v>4282</v>
      </c>
      <c r="T665" t="str">
        <f>RIGHT(N665,1)</f>
        <v>1</v>
      </c>
      <c r="U665" t="str">
        <f t="shared" si="550"/>
        <v>骑兵</v>
      </c>
      <c r="V665" t="s">
        <v>4422</v>
      </c>
      <c r="W665">
        <f>属性类型!G665</f>
        <v>119</v>
      </c>
      <c r="X665">
        <v>1</v>
      </c>
    </row>
    <row r="666" customFormat="1" ht="16.5" spans="1:24">
      <c r="A666" s="17">
        <f t="shared" ref="A666:A680" si="562">A665+1</f>
        <v>21601</v>
      </c>
      <c r="B666" s="17">
        <f t="shared" si="533"/>
        <v>21600</v>
      </c>
      <c r="C666" s="17" t="str">
        <f t="shared" si="534"/>
        <v>2</v>
      </c>
      <c r="D666" s="12">
        <f t="shared" si="542"/>
        <v>20002</v>
      </c>
      <c r="E666" s="17">
        <v>1</v>
      </c>
      <c r="F666" s="17">
        <f t="shared" si="559"/>
        <v>2</v>
      </c>
      <c r="G666" s="17" t="str">
        <f t="shared" ref="G666:G680" si="563">G665</f>
        <v>中级魔防百分比</v>
      </c>
      <c r="H666" s="17" t="str">
        <f t="shared" ref="H666:H680" si="564">H665</f>
        <v>icon_07</v>
      </c>
      <c r="I666" s="20">
        <v>0</v>
      </c>
      <c r="J666" s="17">
        <v>1</v>
      </c>
      <c r="K666" s="17">
        <f t="shared" si="561"/>
        <v>21602</v>
      </c>
      <c r="L666" s="17" t="s">
        <v>300</v>
      </c>
      <c r="M666" s="17" t="str">
        <f t="shared" ref="M666:M680" si="565">M665</f>
        <v>1:11300:5</v>
      </c>
      <c r="N666" s="16" t="str">
        <f t="shared" si="558"/>
        <v>119:1</v>
      </c>
      <c r="O666" s="17">
        <f t="shared" si="560"/>
        <v>7</v>
      </c>
      <c r="P666" s="21" t="str">
        <f>$R$2&amp;R666&amp;$Q$1&amp;T666</f>
        <v>所有骑兵魔防百分比增加:1</v>
      </c>
      <c r="Q666" s="21"/>
      <c r="R666" t="str">
        <f t="shared" ref="R666:R680" si="566">R665</f>
        <v>魔防百分比</v>
      </c>
      <c r="T666" t="str">
        <f t="shared" ref="T666:T680" si="567">RIGHT(N666,2)</f>
        <v>:1</v>
      </c>
      <c r="U666" t="str">
        <f t="shared" si="550"/>
        <v>骑兵</v>
      </c>
      <c r="V666" t="s">
        <v>4422</v>
      </c>
      <c r="W666">
        <f>属性类型!G666</f>
        <v>119</v>
      </c>
      <c r="X666">
        <v>1</v>
      </c>
    </row>
    <row r="667" customFormat="1" ht="16.5" spans="1:24">
      <c r="A667" s="17">
        <f t="shared" si="562"/>
        <v>21602</v>
      </c>
      <c r="B667" s="17">
        <f t="shared" si="533"/>
        <v>21600</v>
      </c>
      <c r="C667" s="17" t="str">
        <f t="shared" si="534"/>
        <v>2</v>
      </c>
      <c r="D667" s="12">
        <f t="shared" si="542"/>
        <v>20002</v>
      </c>
      <c r="E667" s="17">
        <v>1</v>
      </c>
      <c r="F667" s="17">
        <f t="shared" si="559"/>
        <v>2</v>
      </c>
      <c r="G667" s="17" t="str">
        <f t="shared" si="563"/>
        <v>中级魔防百分比</v>
      </c>
      <c r="H667" s="17" t="str">
        <f t="shared" si="564"/>
        <v>icon_07</v>
      </c>
      <c r="I667" s="20">
        <v>0</v>
      </c>
      <c r="J667" s="17">
        <v>2</v>
      </c>
      <c r="K667" s="17">
        <f t="shared" si="561"/>
        <v>21603</v>
      </c>
      <c r="L667" s="17" t="s">
        <v>304</v>
      </c>
      <c r="M667" s="17" t="str">
        <f t="shared" si="565"/>
        <v>1:11300:5</v>
      </c>
      <c r="N667" s="16" t="str">
        <f t="shared" si="558"/>
        <v>119:1</v>
      </c>
      <c r="O667" s="17">
        <f t="shared" si="560"/>
        <v>7</v>
      </c>
      <c r="P667" s="21" t="str">
        <f>$R$2&amp;R667&amp;$Q$1&amp;T667</f>
        <v>所有骑兵魔防百分比增加:1</v>
      </c>
      <c r="Q667" s="21"/>
      <c r="R667" t="str">
        <f t="shared" si="566"/>
        <v>魔防百分比</v>
      </c>
      <c r="T667" t="str">
        <f t="shared" si="567"/>
        <v>:1</v>
      </c>
      <c r="U667" t="str">
        <f t="shared" si="550"/>
        <v>骑兵</v>
      </c>
      <c r="V667" t="s">
        <v>4422</v>
      </c>
      <c r="W667">
        <f>属性类型!G667</f>
        <v>119</v>
      </c>
      <c r="X667">
        <v>1</v>
      </c>
    </row>
    <row r="668" customFormat="1" ht="16.5" spans="1:24">
      <c r="A668" s="17">
        <f t="shared" si="562"/>
        <v>21603</v>
      </c>
      <c r="B668" s="17">
        <f t="shared" si="533"/>
        <v>21600</v>
      </c>
      <c r="C668" s="17" t="str">
        <f t="shared" si="534"/>
        <v>2</v>
      </c>
      <c r="D668" s="12">
        <f t="shared" si="542"/>
        <v>20002</v>
      </c>
      <c r="E668" s="17">
        <v>1</v>
      </c>
      <c r="F668" s="17">
        <f t="shared" si="559"/>
        <v>2</v>
      </c>
      <c r="G668" s="17" t="str">
        <f t="shared" si="563"/>
        <v>中级魔防百分比</v>
      </c>
      <c r="H668" s="17" t="str">
        <f t="shared" si="564"/>
        <v>icon_07</v>
      </c>
      <c r="I668" s="20">
        <v>0</v>
      </c>
      <c r="J668" s="17">
        <v>3</v>
      </c>
      <c r="K668" s="17">
        <f t="shared" si="561"/>
        <v>21604</v>
      </c>
      <c r="L668" s="17" t="s">
        <v>307</v>
      </c>
      <c r="M668" s="17" t="str">
        <f t="shared" si="565"/>
        <v>1:11300:5</v>
      </c>
      <c r="N668" s="16" t="str">
        <f t="shared" si="558"/>
        <v>119:1</v>
      </c>
      <c r="O668" s="17">
        <f t="shared" si="560"/>
        <v>7</v>
      </c>
      <c r="P668" s="21" t="str">
        <f>$R$2&amp;R668&amp;$Q$1&amp;T668</f>
        <v>所有骑兵魔防百分比增加:1</v>
      </c>
      <c r="Q668" s="21"/>
      <c r="R668" t="str">
        <f t="shared" si="566"/>
        <v>魔防百分比</v>
      </c>
      <c r="T668" t="str">
        <f t="shared" si="567"/>
        <v>:1</v>
      </c>
      <c r="U668" t="str">
        <f t="shared" si="550"/>
        <v>骑兵</v>
      </c>
      <c r="V668" t="s">
        <v>4422</v>
      </c>
      <c r="W668">
        <f>属性类型!G668</f>
        <v>119</v>
      </c>
      <c r="X668">
        <v>1</v>
      </c>
    </row>
    <row r="669" customFormat="1" ht="16.5" spans="1:24">
      <c r="A669" s="17">
        <f t="shared" si="562"/>
        <v>21604</v>
      </c>
      <c r="B669" s="17">
        <f t="shared" si="533"/>
        <v>21600</v>
      </c>
      <c r="C669" s="17" t="str">
        <f t="shared" si="534"/>
        <v>2</v>
      </c>
      <c r="D669" s="12">
        <f t="shared" si="542"/>
        <v>20002</v>
      </c>
      <c r="E669" s="17">
        <v>1</v>
      </c>
      <c r="F669" s="17">
        <f t="shared" si="559"/>
        <v>2</v>
      </c>
      <c r="G669" s="17" t="str">
        <f t="shared" si="563"/>
        <v>中级魔防百分比</v>
      </c>
      <c r="H669" s="17" t="str">
        <f t="shared" si="564"/>
        <v>icon_07</v>
      </c>
      <c r="I669" s="20">
        <v>0</v>
      </c>
      <c r="J669" s="17">
        <v>4</v>
      </c>
      <c r="K669" s="17">
        <f t="shared" si="561"/>
        <v>21605</v>
      </c>
      <c r="L669" s="17" t="s">
        <v>309</v>
      </c>
      <c r="M669" s="17" t="str">
        <f t="shared" si="565"/>
        <v>1:11300:5</v>
      </c>
      <c r="N669" s="16" t="str">
        <f t="shared" si="558"/>
        <v>119:1</v>
      </c>
      <c r="O669" s="17">
        <f t="shared" si="560"/>
        <v>7</v>
      </c>
      <c r="P669" s="21" t="str">
        <f>$R$2&amp;R669&amp;$Q$1&amp;T669</f>
        <v>所有骑兵魔防百分比增加:1</v>
      </c>
      <c r="Q669" s="21"/>
      <c r="R669" t="str">
        <f t="shared" si="566"/>
        <v>魔防百分比</v>
      </c>
      <c r="T669" t="str">
        <f t="shared" si="567"/>
        <v>:1</v>
      </c>
      <c r="U669" t="str">
        <f t="shared" si="550"/>
        <v>骑兵</v>
      </c>
      <c r="V669" t="s">
        <v>4422</v>
      </c>
      <c r="W669">
        <f>属性类型!G669</f>
        <v>119</v>
      </c>
      <c r="X669">
        <v>1</v>
      </c>
    </row>
    <row r="670" customFormat="1" ht="16.5" spans="1:24">
      <c r="A670" s="17">
        <f t="shared" si="562"/>
        <v>21605</v>
      </c>
      <c r="B670" s="17">
        <f t="shared" si="533"/>
        <v>21600</v>
      </c>
      <c r="C670" s="17" t="str">
        <f t="shared" si="534"/>
        <v>2</v>
      </c>
      <c r="D670" s="12">
        <f t="shared" si="542"/>
        <v>20002</v>
      </c>
      <c r="E670" s="17">
        <v>1</v>
      </c>
      <c r="F670" s="17">
        <f t="shared" si="559"/>
        <v>2</v>
      </c>
      <c r="G670" s="17" t="str">
        <f t="shared" si="563"/>
        <v>中级魔防百分比</v>
      </c>
      <c r="H670" s="17" t="str">
        <f t="shared" si="564"/>
        <v>icon_07</v>
      </c>
      <c r="I670" s="20">
        <v>0</v>
      </c>
      <c r="J670" s="17">
        <v>5</v>
      </c>
      <c r="K670" s="17">
        <f t="shared" si="561"/>
        <v>21606</v>
      </c>
      <c r="L670" s="17" t="s">
        <v>312</v>
      </c>
      <c r="M670" s="17" t="str">
        <f t="shared" si="565"/>
        <v>1:11300:5</v>
      </c>
      <c r="N670" s="16" t="str">
        <f t="shared" si="558"/>
        <v>119:1</v>
      </c>
      <c r="O670" s="17">
        <f t="shared" si="560"/>
        <v>7</v>
      </c>
      <c r="P670" s="21" t="str">
        <f>$R$2&amp;R670&amp;$Q$1&amp;T670</f>
        <v>所有骑兵魔防百分比增加:1</v>
      </c>
      <c r="Q670" s="21"/>
      <c r="R670" t="str">
        <f t="shared" si="566"/>
        <v>魔防百分比</v>
      </c>
      <c r="T670" t="str">
        <f t="shared" si="567"/>
        <v>:1</v>
      </c>
      <c r="U670" t="str">
        <f t="shared" si="550"/>
        <v>骑兵</v>
      </c>
      <c r="V670" t="s">
        <v>4422</v>
      </c>
      <c r="W670">
        <f>属性类型!G670</f>
        <v>119</v>
      </c>
      <c r="X670">
        <v>1</v>
      </c>
    </row>
    <row r="671" customFormat="1" ht="16.5" spans="1:24">
      <c r="A671" s="17">
        <f t="shared" si="562"/>
        <v>21606</v>
      </c>
      <c r="B671" s="17">
        <f t="shared" si="533"/>
        <v>21600</v>
      </c>
      <c r="C671" s="17" t="str">
        <f t="shared" si="534"/>
        <v>2</v>
      </c>
      <c r="D671" s="12">
        <f t="shared" si="542"/>
        <v>20002</v>
      </c>
      <c r="E671" s="17">
        <v>1</v>
      </c>
      <c r="F671" s="17">
        <f t="shared" si="559"/>
        <v>2</v>
      </c>
      <c r="G671" s="17" t="str">
        <f t="shared" si="563"/>
        <v>中级魔防百分比</v>
      </c>
      <c r="H671" s="17" t="str">
        <f t="shared" si="564"/>
        <v>icon_07</v>
      </c>
      <c r="I671" s="20">
        <v>0</v>
      </c>
      <c r="J671" s="17">
        <v>6</v>
      </c>
      <c r="K671" s="17">
        <f t="shared" si="561"/>
        <v>21607</v>
      </c>
      <c r="L671" s="17" t="s">
        <v>315</v>
      </c>
      <c r="M671" s="17" t="str">
        <f t="shared" si="565"/>
        <v>1:11300:5</v>
      </c>
      <c r="N671" s="16" t="str">
        <f t="shared" si="558"/>
        <v>119:1</v>
      </c>
      <c r="O671" s="17">
        <f t="shared" si="560"/>
        <v>7</v>
      </c>
      <c r="P671" s="21" t="str">
        <f>$R$2&amp;R671&amp;$Q$1&amp;T671</f>
        <v>所有骑兵魔防百分比增加:1</v>
      </c>
      <c r="Q671" s="21"/>
      <c r="R671" t="str">
        <f t="shared" si="566"/>
        <v>魔防百分比</v>
      </c>
      <c r="T671" t="str">
        <f t="shared" si="567"/>
        <v>:1</v>
      </c>
      <c r="U671" t="str">
        <f t="shared" si="550"/>
        <v>骑兵</v>
      </c>
      <c r="V671" t="s">
        <v>4422</v>
      </c>
      <c r="W671">
        <f>属性类型!G671</f>
        <v>119</v>
      </c>
      <c r="X671">
        <v>1</v>
      </c>
    </row>
    <row r="672" customFormat="1" ht="16.5" spans="1:24">
      <c r="A672" s="17">
        <f t="shared" si="562"/>
        <v>21607</v>
      </c>
      <c r="B672" s="17">
        <f t="shared" si="533"/>
        <v>21600</v>
      </c>
      <c r="C672" s="17" t="str">
        <f t="shared" si="534"/>
        <v>2</v>
      </c>
      <c r="D672" s="12">
        <f t="shared" si="542"/>
        <v>20002</v>
      </c>
      <c r="E672" s="17">
        <v>1</v>
      </c>
      <c r="F672" s="17">
        <f t="shared" si="559"/>
        <v>2</v>
      </c>
      <c r="G672" s="17" t="str">
        <f t="shared" si="563"/>
        <v>中级魔防百分比</v>
      </c>
      <c r="H672" s="17" t="str">
        <f t="shared" si="564"/>
        <v>icon_07</v>
      </c>
      <c r="I672" s="20">
        <v>0</v>
      </c>
      <c r="J672" s="17">
        <v>7</v>
      </c>
      <c r="K672" s="17">
        <f t="shared" si="561"/>
        <v>21608</v>
      </c>
      <c r="L672" s="17" t="s">
        <v>317</v>
      </c>
      <c r="M672" s="17" t="str">
        <f t="shared" si="565"/>
        <v>1:11300:5</v>
      </c>
      <c r="N672" s="16" t="str">
        <f t="shared" si="558"/>
        <v>119:1</v>
      </c>
      <c r="O672" s="17">
        <f t="shared" si="560"/>
        <v>7</v>
      </c>
      <c r="P672" s="21" t="str">
        <f>$R$2&amp;R672&amp;$Q$1&amp;T672</f>
        <v>所有骑兵魔防百分比增加:1</v>
      </c>
      <c r="Q672" s="21"/>
      <c r="R672" t="str">
        <f t="shared" si="566"/>
        <v>魔防百分比</v>
      </c>
      <c r="T672" t="str">
        <f t="shared" si="567"/>
        <v>:1</v>
      </c>
      <c r="U672" t="str">
        <f t="shared" si="550"/>
        <v>骑兵</v>
      </c>
      <c r="V672" t="s">
        <v>4422</v>
      </c>
      <c r="W672">
        <f>属性类型!G672</f>
        <v>119</v>
      </c>
      <c r="X672">
        <v>1</v>
      </c>
    </row>
    <row r="673" customFormat="1" ht="16.5" spans="1:24">
      <c r="A673" s="17">
        <f t="shared" si="562"/>
        <v>21608</v>
      </c>
      <c r="B673" s="17">
        <f t="shared" si="533"/>
        <v>21600</v>
      </c>
      <c r="C673" s="17" t="str">
        <f t="shared" si="534"/>
        <v>2</v>
      </c>
      <c r="D673" s="12">
        <f t="shared" si="542"/>
        <v>20002</v>
      </c>
      <c r="E673" s="17">
        <v>1</v>
      </c>
      <c r="F673" s="17">
        <f t="shared" si="559"/>
        <v>2</v>
      </c>
      <c r="G673" s="17" t="str">
        <f t="shared" si="563"/>
        <v>中级魔防百分比</v>
      </c>
      <c r="H673" s="17" t="str">
        <f t="shared" si="564"/>
        <v>icon_07</v>
      </c>
      <c r="I673" s="20">
        <v>0</v>
      </c>
      <c r="J673" s="17">
        <v>8</v>
      </c>
      <c r="K673" s="17">
        <f t="shared" si="561"/>
        <v>21609</v>
      </c>
      <c r="L673" s="17" t="s">
        <v>320</v>
      </c>
      <c r="M673" s="17" t="str">
        <f t="shared" si="565"/>
        <v>1:11300:5</v>
      </c>
      <c r="N673" s="16" t="str">
        <f t="shared" si="558"/>
        <v>119:1</v>
      </c>
      <c r="O673" s="17">
        <f t="shared" si="560"/>
        <v>7</v>
      </c>
      <c r="P673" s="21" t="str">
        <f>$R$2&amp;R673&amp;$Q$1&amp;T673</f>
        <v>所有骑兵魔防百分比增加:1</v>
      </c>
      <c r="Q673" s="21"/>
      <c r="R673" t="str">
        <f t="shared" si="566"/>
        <v>魔防百分比</v>
      </c>
      <c r="T673" t="str">
        <f t="shared" si="567"/>
        <v>:1</v>
      </c>
      <c r="U673" t="str">
        <f t="shared" si="550"/>
        <v>骑兵</v>
      </c>
      <c r="V673" t="s">
        <v>4422</v>
      </c>
      <c r="W673">
        <f>属性类型!G673</f>
        <v>119</v>
      </c>
      <c r="X673">
        <v>1</v>
      </c>
    </row>
    <row r="674" customFormat="1" ht="16.5" spans="1:24">
      <c r="A674" s="17">
        <f t="shared" si="562"/>
        <v>21609</v>
      </c>
      <c r="B674" s="17">
        <f t="shared" si="533"/>
        <v>21600</v>
      </c>
      <c r="C674" s="17" t="str">
        <f t="shared" si="534"/>
        <v>2</v>
      </c>
      <c r="D674" s="12">
        <f t="shared" si="542"/>
        <v>20002</v>
      </c>
      <c r="E674" s="17">
        <v>1</v>
      </c>
      <c r="F674" s="17">
        <f t="shared" si="559"/>
        <v>2</v>
      </c>
      <c r="G674" s="17" t="str">
        <f t="shared" si="563"/>
        <v>中级魔防百分比</v>
      </c>
      <c r="H674" s="17" t="str">
        <f t="shared" si="564"/>
        <v>icon_07</v>
      </c>
      <c r="I674" s="20">
        <v>0</v>
      </c>
      <c r="J674" s="17">
        <v>9</v>
      </c>
      <c r="K674" s="17">
        <f t="shared" si="561"/>
        <v>21610</v>
      </c>
      <c r="L674" s="17" t="s">
        <v>323</v>
      </c>
      <c r="M674" s="17" t="str">
        <f t="shared" si="565"/>
        <v>1:11300:5</v>
      </c>
      <c r="N674" s="16" t="str">
        <f t="shared" si="558"/>
        <v>119:1</v>
      </c>
      <c r="O674" s="17">
        <f t="shared" si="560"/>
        <v>7</v>
      </c>
      <c r="P674" s="21" t="str">
        <f>$R$2&amp;R674&amp;$Q$1&amp;T674</f>
        <v>所有骑兵魔防百分比增加:1</v>
      </c>
      <c r="Q674" s="21"/>
      <c r="R674" t="str">
        <f t="shared" si="566"/>
        <v>魔防百分比</v>
      </c>
      <c r="T674" t="str">
        <f t="shared" si="567"/>
        <v>:1</v>
      </c>
      <c r="U674" t="str">
        <f t="shared" si="550"/>
        <v>骑兵</v>
      </c>
      <c r="V674" t="s">
        <v>4422</v>
      </c>
      <c r="W674">
        <f>属性类型!G674</f>
        <v>119</v>
      </c>
      <c r="X674">
        <v>1</v>
      </c>
    </row>
    <row r="675" customFormat="1" ht="16.5" spans="1:24">
      <c r="A675" s="17">
        <f t="shared" si="562"/>
        <v>21610</v>
      </c>
      <c r="B675" s="17">
        <f t="shared" si="533"/>
        <v>21600</v>
      </c>
      <c r="C675" s="17" t="str">
        <f t="shared" si="534"/>
        <v>2</v>
      </c>
      <c r="D675" s="12">
        <f t="shared" si="542"/>
        <v>20002</v>
      </c>
      <c r="E675" s="17">
        <v>1</v>
      </c>
      <c r="F675" s="17">
        <f t="shared" si="559"/>
        <v>2</v>
      </c>
      <c r="G675" s="17" t="str">
        <f t="shared" si="563"/>
        <v>中级魔防百分比</v>
      </c>
      <c r="H675" s="17" t="str">
        <f t="shared" si="564"/>
        <v>icon_07</v>
      </c>
      <c r="I675" s="20">
        <v>0</v>
      </c>
      <c r="J675" s="17">
        <v>10</v>
      </c>
      <c r="K675" s="17">
        <f t="shared" si="561"/>
        <v>21611</v>
      </c>
      <c r="L675" s="17" t="s">
        <v>407</v>
      </c>
      <c r="M675" s="17" t="str">
        <f t="shared" si="565"/>
        <v>1:11300:5</v>
      </c>
      <c r="N675" s="16" t="str">
        <f t="shared" si="558"/>
        <v>119:1</v>
      </c>
      <c r="O675" s="17">
        <f t="shared" si="560"/>
        <v>7</v>
      </c>
      <c r="P675" s="21" t="str">
        <f>$R$2&amp;R675&amp;$Q$1&amp;T675</f>
        <v>所有骑兵魔防百分比增加:1</v>
      </c>
      <c r="Q675" s="21"/>
      <c r="R675" t="str">
        <f t="shared" si="566"/>
        <v>魔防百分比</v>
      </c>
      <c r="T675" t="str">
        <f t="shared" si="567"/>
        <v>:1</v>
      </c>
      <c r="U675" t="str">
        <f t="shared" si="550"/>
        <v>骑兵</v>
      </c>
      <c r="V675" t="s">
        <v>4422</v>
      </c>
      <c r="W675">
        <f>属性类型!G675</f>
        <v>119</v>
      </c>
      <c r="X675">
        <v>1</v>
      </c>
    </row>
    <row r="676" customFormat="1" ht="16.5" spans="1:24">
      <c r="A676" s="17">
        <f t="shared" si="562"/>
        <v>21611</v>
      </c>
      <c r="B676" s="17">
        <f t="shared" si="533"/>
        <v>21600</v>
      </c>
      <c r="C676" s="17" t="str">
        <f t="shared" si="534"/>
        <v>2</v>
      </c>
      <c r="D676" s="12">
        <f t="shared" si="542"/>
        <v>20002</v>
      </c>
      <c r="E676" s="17">
        <v>1</v>
      </c>
      <c r="F676" s="17">
        <f t="shared" si="559"/>
        <v>2</v>
      </c>
      <c r="G676" s="17" t="str">
        <f t="shared" si="563"/>
        <v>中级魔防百分比</v>
      </c>
      <c r="H676" s="17" t="str">
        <f t="shared" si="564"/>
        <v>icon_07</v>
      </c>
      <c r="I676" s="20">
        <v>0</v>
      </c>
      <c r="J676" s="17">
        <v>11</v>
      </c>
      <c r="K676" s="17">
        <f t="shared" si="561"/>
        <v>21612</v>
      </c>
      <c r="L676" s="17" t="s">
        <v>410</v>
      </c>
      <c r="M676" s="17" t="str">
        <f t="shared" si="565"/>
        <v>1:11300:5</v>
      </c>
      <c r="N676" s="16" t="str">
        <f t="shared" si="558"/>
        <v>119:1</v>
      </c>
      <c r="O676" s="17">
        <f t="shared" si="560"/>
        <v>7</v>
      </c>
      <c r="P676" s="21" t="str">
        <f>$R$2&amp;R676&amp;$Q$1&amp;T676</f>
        <v>所有骑兵魔防百分比增加:1</v>
      </c>
      <c r="Q676" s="21"/>
      <c r="R676" t="str">
        <f t="shared" si="566"/>
        <v>魔防百分比</v>
      </c>
      <c r="T676" t="str">
        <f t="shared" si="567"/>
        <v>:1</v>
      </c>
      <c r="U676" t="str">
        <f t="shared" si="550"/>
        <v>骑兵</v>
      </c>
      <c r="V676" t="s">
        <v>4422</v>
      </c>
      <c r="W676">
        <f>属性类型!G676</f>
        <v>119</v>
      </c>
      <c r="X676">
        <v>1</v>
      </c>
    </row>
    <row r="677" customFormat="1" ht="16.5" spans="1:24">
      <c r="A677" s="17">
        <f t="shared" si="562"/>
        <v>21612</v>
      </c>
      <c r="B677" s="17">
        <f t="shared" si="533"/>
        <v>21600</v>
      </c>
      <c r="C677" s="17" t="str">
        <f t="shared" si="534"/>
        <v>2</v>
      </c>
      <c r="D677" s="12">
        <f t="shared" si="542"/>
        <v>20002</v>
      </c>
      <c r="E677" s="17">
        <v>1</v>
      </c>
      <c r="F677" s="17">
        <f t="shared" si="559"/>
        <v>2</v>
      </c>
      <c r="G677" s="17" t="str">
        <f t="shared" si="563"/>
        <v>中级魔防百分比</v>
      </c>
      <c r="H677" s="17" t="str">
        <f t="shared" si="564"/>
        <v>icon_07</v>
      </c>
      <c r="I677" s="20">
        <v>0</v>
      </c>
      <c r="J677" s="17">
        <v>12</v>
      </c>
      <c r="K677" s="17">
        <f t="shared" si="561"/>
        <v>21613</v>
      </c>
      <c r="L677" s="17" t="s">
        <v>414</v>
      </c>
      <c r="M677" s="17" t="str">
        <f t="shared" si="565"/>
        <v>1:11300:5</v>
      </c>
      <c r="N677" s="16" t="str">
        <f t="shared" si="558"/>
        <v>119:1</v>
      </c>
      <c r="O677" s="17">
        <f t="shared" si="560"/>
        <v>7</v>
      </c>
      <c r="P677" s="21" t="str">
        <f>$R$2&amp;R677&amp;$Q$1&amp;T677</f>
        <v>所有骑兵魔防百分比增加:1</v>
      </c>
      <c r="Q677" s="21"/>
      <c r="R677" t="str">
        <f t="shared" si="566"/>
        <v>魔防百分比</v>
      </c>
      <c r="T677" t="str">
        <f t="shared" si="567"/>
        <v>:1</v>
      </c>
      <c r="U677" t="str">
        <f t="shared" si="550"/>
        <v>骑兵</v>
      </c>
      <c r="V677" t="s">
        <v>4422</v>
      </c>
      <c r="W677">
        <f>属性类型!G677</f>
        <v>119</v>
      </c>
      <c r="X677">
        <v>1</v>
      </c>
    </row>
    <row r="678" customFormat="1" ht="16.5" spans="1:24">
      <c r="A678" s="17">
        <f t="shared" si="562"/>
        <v>21613</v>
      </c>
      <c r="B678" s="17">
        <f t="shared" si="533"/>
        <v>21600</v>
      </c>
      <c r="C678" s="17" t="str">
        <f t="shared" si="534"/>
        <v>2</v>
      </c>
      <c r="D678" s="12">
        <f t="shared" si="542"/>
        <v>20002</v>
      </c>
      <c r="E678" s="17">
        <v>1</v>
      </c>
      <c r="F678" s="17">
        <f t="shared" si="559"/>
        <v>2</v>
      </c>
      <c r="G678" s="17" t="str">
        <f t="shared" si="563"/>
        <v>中级魔防百分比</v>
      </c>
      <c r="H678" s="17" t="str">
        <f t="shared" si="564"/>
        <v>icon_07</v>
      </c>
      <c r="I678" s="20">
        <v>0</v>
      </c>
      <c r="J678" s="17">
        <v>13</v>
      </c>
      <c r="K678" s="17">
        <f t="shared" si="561"/>
        <v>21614</v>
      </c>
      <c r="L678" s="17" t="s">
        <v>418</v>
      </c>
      <c r="M678" s="17" t="str">
        <f t="shared" si="565"/>
        <v>1:11300:5</v>
      </c>
      <c r="N678" s="16" t="str">
        <f t="shared" si="558"/>
        <v>119:1</v>
      </c>
      <c r="O678" s="17">
        <f t="shared" si="560"/>
        <v>7</v>
      </c>
      <c r="P678" s="21" t="str">
        <f>$R$2&amp;R678&amp;$Q$1&amp;T678</f>
        <v>所有骑兵魔防百分比增加:1</v>
      </c>
      <c r="Q678" s="21"/>
      <c r="R678" t="str">
        <f t="shared" si="566"/>
        <v>魔防百分比</v>
      </c>
      <c r="T678" t="str">
        <f t="shared" si="567"/>
        <v>:1</v>
      </c>
      <c r="U678" t="str">
        <f t="shared" si="550"/>
        <v>骑兵</v>
      </c>
      <c r="V678" t="s">
        <v>4422</v>
      </c>
      <c r="W678">
        <f>属性类型!G678</f>
        <v>119</v>
      </c>
      <c r="X678">
        <v>1</v>
      </c>
    </row>
    <row r="679" customFormat="1" ht="16.5" spans="1:24">
      <c r="A679" s="17">
        <f t="shared" si="562"/>
        <v>21614</v>
      </c>
      <c r="B679" s="17">
        <f t="shared" si="533"/>
        <v>21600</v>
      </c>
      <c r="C679" s="17" t="str">
        <f t="shared" si="534"/>
        <v>2</v>
      </c>
      <c r="D679" s="12">
        <f t="shared" si="542"/>
        <v>20002</v>
      </c>
      <c r="E679" s="17">
        <v>1</v>
      </c>
      <c r="F679" s="17">
        <f t="shared" si="559"/>
        <v>2</v>
      </c>
      <c r="G679" s="17" t="str">
        <f t="shared" si="563"/>
        <v>中级魔防百分比</v>
      </c>
      <c r="H679" s="17" t="str">
        <f t="shared" si="564"/>
        <v>icon_07</v>
      </c>
      <c r="I679" s="20">
        <v>0</v>
      </c>
      <c r="J679" s="17">
        <v>14</v>
      </c>
      <c r="K679" s="17">
        <f t="shared" si="561"/>
        <v>21615</v>
      </c>
      <c r="L679" s="17" t="s">
        <v>422</v>
      </c>
      <c r="M679" s="17" t="str">
        <f t="shared" si="565"/>
        <v>1:11300:5</v>
      </c>
      <c r="N679" s="16" t="str">
        <f t="shared" si="558"/>
        <v>119:1</v>
      </c>
      <c r="O679" s="17">
        <f t="shared" si="560"/>
        <v>7</v>
      </c>
      <c r="P679" s="21" t="str">
        <f>$R$2&amp;R679&amp;$Q$1&amp;T679</f>
        <v>所有骑兵魔防百分比增加:1</v>
      </c>
      <c r="Q679" s="21"/>
      <c r="R679" t="str">
        <f t="shared" si="566"/>
        <v>魔防百分比</v>
      </c>
      <c r="T679" t="str">
        <f t="shared" si="567"/>
        <v>:1</v>
      </c>
      <c r="U679" t="str">
        <f t="shared" si="550"/>
        <v>骑兵</v>
      </c>
      <c r="V679" t="s">
        <v>4422</v>
      </c>
      <c r="W679">
        <f>属性类型!G679</f>
        <v>119</v>
      </c>
      <c r="X679">
        <v>1</v>
      </c>
    </row>
    <row r="680" customFormat="1" ht="16.5" spans="1:24">
      <c r="A680" s="17">
        <f t="shared" si="562"/>
        <v>21615</v>
      </c>
      <c r="B680" s="17">
        <f t="shared" si="533"/>
        <v>21600</v>
      </c>
      <c r="C680" s="17" t="str">
        <f t="shared" si="534"/>
        <v>2</v>
      </c>
      <c r="D680" s="12">
        <f t="shared" si="542"/>
        <v>20002</v>
      </c>
      <c r="E680" s="17">
        <v>1</v>
      </c>
      <c r="F680" s="17">
        <f t="shared" si="559"/>
        <v>2</v>
      </c>
      <c r="G680" s="17" t="str">
        <f t="shared" si="563"/>
        <v>中级魔防百分比</v>
      </c>
      <c r="H680" s="17" t="str">
        <f t="shared" si="564"/>
        <v>icon_07</v>
      </c>
      <c r="I680" s="20">
        <v>0</v>
      </c>
      <c r="J680" s="17">
        <v>15</v>
      </c>
      <c r="K680" s="17">
        <v>0</v>
      </c>
      <c r="L680" s="17">
        <v>0</v>
      </c>
      <c r="M680" s="17" t="str">
        <f t="shared" si="565"/>
        <v>1:11300:5</v>
      </c>
      <c r="N680" s="16" t="str">
        <f t="shared" si="558"/>
        <v>119:1</v>
      </c>
      <c r="O680" s="17">
        <f t="shared" si="560"/>
        <v>7</v>
      </c>
      <c r="P680" s="21" t="str">
        <f>$R$2&amp;R680&amp;$Q$1&amp;T680</f>
        <v>所有骑兵魔防百分比增加:1</v>
      </c>
      <c r="Q680" s="21"/>
      <c r="R680" t="str">
        <f t="shared" si="566"/>
        <v>魔防百分比</v>
      </c>
      <c r="T680" t="str">
        <f t="shared" si="567"/>
        <v>:1</v>
      </c>
      <c r="U680" t="str">
        <f t="shared" si="550"/>
        <v>骑兵</v>
      </c>
      <c r="V680" t="s">
        <v>4422</v>
      </c>
      <c r="W680">
        <f>属性类型!G680</f>
        <v>119</v>
      </c>
      <c r="X680">
        <v>1</v>
      </c>
    </row>
    <row r="681" customFormat="1" ht="16.5" spans="1:24">
      <c r="A681" s="18">
        <f>A665+100</f>
        <v>21700</v>
      </c>
      <c r="B681" s="18">
        <f t="shared" si="533"/>
        <v>21700</v>
      </c>
      <c r="C681" s="18" t="str">
        <f t="shared" si="534"/>
        <v>2</v>
      </c>
      <c r="D681" s="12">
        <f t="shared" si="542"/>
        <v>20002</v>
      </c>
      <c r="E681" s="17">
        <v>2</v>
      </c>
      <c r="F681" s="18">
        <f t="shared" si="559"/>
        <v>2</v>
      </c>
      <c r="G681" s="18" t="s">
        <v>4488</v>
      </c>
      <c r="H681" s="18" t="s">
        <v>980</v>
      </c>
      <c r="I681" s="20">
        <v>1.5</v>
      </c>
      <c r="J681" s="18">
        <v>0</v>
      </c>
      <c r="K681" s="18">
        <f t="shared" ref="K681:K700" si="568">A682</f>
        <v>21701</v>
      </c>
      <c r="L681" s="18" t="s">
        <v>206</v>
      </c>
      <c r="M681" s="18" t="s">
        <v>474</v>
      </c>
      <c r="N681" s="16" t="str">
        <f t="shared" si="558"/>
        <v>10016:1</v>
      </c>
      <c r="O681" s="18">
        <f t="shared" si="560"/>
        <v>8</v>
      </c>
      <c r="P681" s="21" t="s">
        <v>4489</v>
      </c>
      <c r="Q681" s="21"/>
      <c r="R681" t="s">
        <v>4490</v>
      </c>
      <c r="T681" t="str">
        <f>RIGHT(N681,1)</f>
        <v>1</v>
      </c>
      <c r="U681" t="str">
        <f t="shared" si="550"/>
        <v>骑士</v>
      </c>
      <c r="V681" t="s">
        <v>4488</v>
      </c>
      <c r="W681">
        <f>属性类型!G681</f>
        <v>10016</v>
      </c>
      <c r="X681">
        <v>1</v>
      </c>
    </row>
    <row r="682" customFormat="1" ht="16.5" spans="1:24">
      <c r="A682" s="17">
        <f t="shared" ref="A682:A701" si="569">A681+1</f>
        <v>21701</v>
      </c>
      <c r="B682" s="17">
        <f t="shared" si="533"/>
        <v>21700</v>
      </c>
      <c r="C682" s="17" t="str">
        <f t="shared" si="534"/>
        <v>2</v>
      </c>
      <c r="D682" s="12">
        <f t="shared" si="542"/>
        <v>20002</v>
      </c>
      <c r="E682" s="17">
        <v>2</v>
      </c>
      <c r="F682" s="17">
        <f t="shared" si="559"/>
        <v>2</v>
      </c>
      <c r="G682" s="17" t="str">
        <f t="shared" ref="G682:G701" si="570">G681</f>
        <v>黑暗骑士防御百分比</v>
      </c>
      <c r="H682" s="17" t="str">
        <f t="shared" ref="H682:H701" si="571">H681</f>
        <v>qibing02_Lv3</v>
      </c>
      <c r="I682" s="20">
        <v>1.5</v>
      </c>
      <c r="J682" s="17">
        <v>1</v>
      </c>
      <c r="K682" s="17">
        <f t="shared" si="568"/>
        <v>21702</v>
      </c>
      <c r="L682" s="17" t="s">
        <v>211</v>
      </c>
      <c r="M682" s="17" t="str">
        <f t="shared" ref="M682:M701" si="572">M681</f>
        <v>1:11400:5</v>
      </c>
      <c r="N682" s="16" t="str">
        <f t="shared" si="558"/>
        <v>10016:1</v>
      </c>
      <c r="O682" s="17">
        <f t="shared" si="560"/>
        <v>8</v>
      </c>
      <c r="P682" s="21" t="s">
        <v>4491</v>
      </c>
      <c r="Q682" s="21"/>
      <c r="R682" t="s">
        <v>4490</v>
      </c>
      <c r="T682" t="str">
        <f t="shared" ref="T682:T701" si="573">RIGHT(N682,2)</f>
        <v>:1</v>
      </c>
      <c r="U682" t="str">
        <f t="shared" si="550"/>
        <v>骑士</v>
      </c>
      <c r="V682" t="s">
        <v>4488</v>
      </c>
      <c r="W682">
        <f>属性类型!G682</f>
        <v>10016</v>
      </c>
      <c r="X682">
        <v>1</v>
      </c>
    </row>
    <row r="683" customFormat="1" ht="16.5" spans="1:24">
      <c r="A683" s="17">
        <f t="shared" si="569"/>
        <v>21702</v>
      </c>
      <c r="B683" s="17">
        <f t="shared" si="533"/>
        <v>21700</v>
      </c>
      <c r="C683" s="17" t="str">
        <f t="shared" si="534"/>
        <v>2</v>
      </c>
      <c r="D683" s="12">
        <f t="shared" si="542"/>
        <v>20002</v>
      </c>
      <c r="E683" s="17">
        <v>2</v>
      </c>
      <c r="F683" s="17">
        <f t="shared" si="559"/>
        <v>2</v>
      </c>
      <c r="G683" s="17" t="str">
        <f t="shared" si="570"/>
        <v>黑暗骑士防御百分比</v>
      </c>
      <c r="H683" s="17" t="str">
        <f t="shared" si="571"/>
        <v>qibing02_Lv3</v>
      </c>
      <c r="I683" s="20">
        <v>1.5</v>
      </c>
      <c r="J683" s="17">
        <v>2</v>
      </c>
      <c r="K683" s="17">
        <f t="shared" si="568"/>
        <v>21703</v>
      </c>
      <c r="L683" s="17" t="s">
        <v>215</v>
      </c>
      <c r="M683" s="17" t="str">
        <f t="shared" si="572"/>
        <v>1:11400:5</v>
      </c>
      <c r="N683" s="16" t="str">
        <f t="shared" si="558"/>
        <v>10016:1</v>
      </c>
      <c r="O683" s="17">
        <f t="shared" si="560"/>
        <v>8</v>
      </c>
      <c r="P683" s="21" t="s">
        <v>4492</v>
      </c>
      <c r="Q683" s="21"/>
      <c r="R683" t="s">
        <v>4490</v>
      </c>
      <c r="T683" t="str">
        <f t="shared" si="573"/>
        <v>:1</v>
      </c>
      <c r="U683" t="str">
        <f t="shared" si="550"/>
        <v>骑士</v>
      </c>
      <c r="V683" t="s">
        <v>4488</v>
      </c>
      <c r="W683">
        <f>属性类型!G683</f>
        <v>10016</v>
      </c>
      <c r="X683">
        <v>1</v>
      </c>
    </row>
    <row r="684" customFormat="1" ht="16.5" spans="1:24">
      <c r="A684" s="17">
        <f t="shared" si="569"/>
        <v>21703</v>
      </c>
      <c r="B684" s="17">
        <f t="shared" si="533"/>
        <v>21700</v>
      </c>
      <c r="C684" s="17" t="str">
        <f t="shared" si="534"/>
        <v>2</v>
      </c>
      <c r="D684" s="12">
        <f t="shared" si="542"/>
        <v>20002</v>
      </c>
      <c r="E684" s="17">
        <v>2</v>
      </c>
      <c r="F684" s="17">
        <f t="shared" si="559"/>
        <v>2</v>
      </c>
      <c r="G684" s="17" t="str">
        <f t="shared" si="570"/>
        <v>黑暗骑士防御百分比</v>
      </c>
      <c r="H684" s="17" t="str">
        <f t="shared" si="571"/>
        <v>qibing02_Lv3</v>
      </c>
      <c r="I684" s="20">
        <v>1.5</v>
      </c>
      <c r="J684" s="17">
        <v>3</v>
      </c>
      <c r="K684" s="17">
        <f t="shared" si="568"/>
        <v>21704</v>
      </c>
      <c r="L684" s="17" t="s">
        <v>218</v>
      </c>
      <c r="M684" s="17" t="str">
        <f t="shared" si="572"/>
        <v>1:11400:5</v>
      </c>
      <c r="N684" s="16" t="str">
        <f t="shared" si="558"/>
        <v>10016:1</v>
      </c>
      <c r="O684" s="17">
        <f t="shared" si="560"/>
        <v>8</v>
      </c>
      <c r="P684" s="21" t="s">
        <v>4493</v>
      </c>
      <c r="Q684" s="21"/>
      <c r="R684" t="s">
        <v>4490</v>
      </c>
      <c r="T684" t="str">
        <f t="shared" si="573"/>
        <v>:1</v>
      </c>
      <c r="U684" t="str">
        <f t="shared" si="550"/>
        <v>骑士</v>
      </c>
      <c r="V684" t="s">
        <v>4488</v>
      </c>
      <c r="W684">
        <f>属性类型!G684</f>
        <v>10016</v>
      </c>
      <c r="X684">
        <v>1</v>
      </c>
    </row>
    <row r="685" customFormat="1" ht="16.5" spans="1:24">
      <c r="A685" s="17">
        <f t="shared" si="569"/>
        <v>21704</v>
      </c>
      <c r="B685" s="17">
        <f t="shared" si="533"/>
        <v>21700</v>
      </c>
      <c r="C685" s="17" t="str">
        <f t="shared" si="534"/>
        <v>2</v>
      </c>
      <c r="D685" s="12">
        <f t="shared" si="542"/>
        <v>20002</v>
      </c>
      <c r="E685" s="17">
        <v>2</v>
      </c>
      <c r="F685" s="17">
        <f t="shared" si="559"/>
        <v>2</v>
      </c>
      <c r="G685" s="17" t="str">
        <f t="shared" si="570"/>
        <v>黑暗骑士防御百分比</v>
      </c>
      <c r="H685" s="17" t="str">
        <f t="shared" si="571"/>
        <v>qibing02_Lv3</v>
      </c>
      <c r="I685" s="20">
        <v>1.5</v>
      </c>
      <c r="J685" s="17">
        <v>4</v>
      </c>
      <c r="K685" s="17">
        <f t="shared" si="568"/>
        <v>21705</v>
      </c>
      <c r="L685" s="17" t="s">
        <v>221</v>
      </c>
      <c r="M685" s="17" t="str">
        <f t="shared" si="572"/>
        <v>1:11400:5</v>
      </c>
      <c r="N685" s="16" t="str">
        <f t="shared" si="558"/>
        <v>10016:1</v>
      </c>
      <c r="O685" s="17">
        <f t="shared" si="560"/>
        <v>8</v>
      </c>
      <c r="P685" s="21" t="s">
        <v>4494</v>
      </c>
      <c r="Q685" s="21"/>
      <c r="R685" t="s">
        <v>4490</v>
      </c>
      <c r="T685" t="str">
        <f t="shared" si="573"/>
        <v>:1</v>
      </c>
      <c r="U685" t="str">
        <f t="shared" si="550"/>
        <v>骑士</v>
      </c>
      <c r="V685" t="s">
        <v>4488</v>
      </c>
      <c r="W685">
        <f>属性类型!G685</f>
        <v>10016</v>
      </c>
      <c r="X685">
        <v>1</v>
      </c>
    </row>
    <row r="686" customFormat="1" ht="16.5" spans="1:24">
      <c r="A686" s="17">
        <f t="shared" si="569"/>
        <v>21705</v>
      </c>
      <c r="B686" s="17">
        <f t="shared" ref="B686:B691" si="574">ROUND(A686,-2)</f>
        <v>21700</v>
      </c>
      <c r="C686" s="17" t="str">
        <f t="shared" ref="C686:C691" si="575">LEFT(A686,1)</f>
        <v>2</v>
      </c>
      <c r="D686" s="12">
        <f t="shared" si="542"/>
        <v>20002</v>
      </c>
      <c r="E686" s="17">
        <v>2</v>
      </c>
      <c r="F686" s="17">
        <f t="shared" si="559"/>
        <v>2</v>
      </c>
      <c r="G686" s="17" t="str">
        <f t="shared" si="570"/>
        <v>黑暗骑士防御百分比</v>
      </c>
      <c r="H686" s="17" t="str">
        <f t="shared" si="571"/>
        <v>qibing02_Lv3</v>
      </c>
      <c r="I686" s="20">
        <v>1.5</v>
      </c>
      <c r="J686" s="17">
        <v>5</v>
      </c>
      <c r="K686" s="17">
        <f t="shared" si="568"/>
        <v>21706</v>
      </c>
      <c r="L686" s="17" t="s">
        <v>224</v>
      </c>
      <c r="M686" s="17" t="str">
        <f t="shared" si="572"/>
        <v>1:11400:5</v>
      </c>
      <c r="N686" s="16" t="str">
        <f t="shared" si="558"/>
        <v>10016:1</v>
      </c>
      <c r="O686" s="17">
        <f t="shared" si="560"/>
        <v>8</v>
      </c>
      <c r="P686" s="21" t="s">
        <v>4495</v>
      </c>
      <c r="Q686" s="21"/>
      <c r="R686" t="s">
        <v>4490</v>
      </c>
      <c r="T686" t="str">
        <f t="shared" si="573"/>
        <v>:1</v>
      </c>
      <c r="U686" t="str">
        <f t="shared" si="550"/>
        <v>骑士</v>
      </c>
      <c r="V686" t="s">
        <v>4488</v>
      </c>
      <c r="W686">
        <f>属性类型!G686</f>
        <v>10016</v>
      </c>
      <c r="X686">
        <v>1</v>
      </c>
    </row>
    <row r="687" customFormat="1" ht="16.5" spans="1:24">
      <c r="A687" s="17">
        <f t="shared" si="569"/>
        <v>21706</v>
      </c>
      <c r="B687" s="17">
        <f t="shared" si="574"/>
        <v>21700</v>
      </c>
      <c r="C687" s="17" t="str">
        <f t="shared" si="575"/>
        <v>2</v>
      </c>
      <c r="D687" s="12">
        <f t="shared" si="542"/>
        <v>20002</v>
      </c>
      <c r="E687" s="17">
        <v>2</v>
      </c>
      <c r="F687" s="17">
        <f t="shared" si="559"/>
        <v>2</v>
      </c>
      <c r="G687" s="17" t="str">
        <f t="shared" si="570"/>
        <v>黑暗骑士防御百分比</v>
      </c>
      <c r="H687" s="17" t="str">
        <f t="shared" si="571"/>
        <v>qibing02_Lv3</v>
      </c>
      <c r="I687" s="20">
        <v>1.5</v>
      </c>
      <c r="J687" s="17">
        <v>6</v>
      </c>
      <c r="K687" s="17">
        <f t="shared" si="568"/>
        <v>21707</v>
      </c>
      <c r="L687" s="17" t="s">
        <v>227</v>
      </c>
      <c r="M687" s="17" t="str">
        <f t="shared" si="572"/>
        <v>1:11400:5</v>
      </c>
      <c r="N687" s="16" t="str">
        <f t="shared" si="558"/>
        <v>10016:1</v>
      </c>
      <c r="O687" s="17">
        <f t="shared" si="560"/>
        <v>8</v>
      </c>
      <c r="P687" s="21" t="s">
        <v>4496</v>
      </c>
      <c r="Q687" s="21"/>
      <c r="R687" t="s">
        <v>4490</v>
      </c>
      <c r="T687" t="str">
        <f t="shared" si="573"/>
        <v>:1</v>
      </c>
      <c r="U687" t="str">
        <f t="shared" si="550"/>
        <v>骑士</v>
      </c>
      <c r="V687" t="s">
        <v>4488</v>
      </c>
      <c r="W687">
        <f>属性类型!G687</f>
        <v>10016</v>
      </c>
      <c r="X687">
        <v>1</v>
      </c>
    </row>
    <row r="688" customFormat="1" ht="16.5" spans="1:24">
      <c r="A688" s="17">
        <f t="shared" si="569"/>
        <v>21707</v>
      </c>
      <c r="B688" s="17">
        <f t="shared" si="574"/>
        <v>21700</v>
      </c>
      <c r="C688" s="17" t="str">
        <f t="shared" si="575"/>
        <v>2</v>
      </c>
      <c r="D688" s="12">
        <f t="shared" si="542"/>
        <v>20002</v>
      </c>
      <c r="E688" s="17">
        <v>2</v>
      </c>
      <c r="F688" s="17">
        <f t="shared" si="559"/>
        <v>2</v>
      </c>
      <c r="G688" s="17" t="str">
        <f t="shared" si="570"/>
        <v>黑暗骑士防御百分比</v>
      </c>
      <c r="H688" s="17" t="str">
        <f t="shared" si="571"/>
        <v>qibing02_Lv3</v>
      </c>
      <c r="I688" s="20">
        <v>1.5</v>
      </c>
      <c r="J688" s="17">
        <v>7</v>
      </c>
      <c r="K688" s="17">
        <f t="shared" si="568"/>
        <v>21708</v>
      </c>
      <c r="L688" s="17" t="s">
        <v>230</v>
      </c>
      <c r="M688" s="17" t="str">
        <f t="shared" si="572"/>
        <v>1:11400:5</v>
      </c>
      <c r="N688" s="16" t="str">
        <f t="shared" si="558"/>
        <v>10016:1</v>
      </c>
      <c r="O688" s="17">
        <f t="shared" si="560"/>
        <v>8</v>
      </c>
      <c r="P688" s="21" t="s">
        <v>4497</v>
      </c>
      <c r="Q688" s="21"/>
      <c r="R688" t="s">
        <v>4490</v>
      </c>
      <c r="T688" t="str">
        <f t="shared" si="573"/>
        <v>:1</v>
      </c>
      <c r="U688" t="str">
        <f t="shared" si="550"/>
        <v>骑士</v>
      </c>
      <c r="V688" t="s">
        <v>4488</v>
      </c>
      <c r="W688">
        <f>属性类型!G688</f>
        <v>10016</v>
      </c>
      <c r="X688">
        <v>1</v>
      </c>
    </row>
    <row r="689" customFormat="1" ht="16.5" spans="1:24">
      <c r="A689" s="17">
        <f t="shared" si="569"/>
        <v>21708</v>
      </c>
      <c r="B689" s="17">
        <f t="shared" si="574"/>
        <v>21700</v>
      </c>
      <c r="C689" s="17" t="str">
        <f t="shared" si="575"/>
        <v>2</v>
      </c>
      <c r="D689" s="12">
        <f t="shared" si="542"/>
        <v>20002</v>
      </c>
      <c r="E689" s="17">
        <v>2</v>
      </c>
      <c r="F689" s="17">
        <f t="shared" si="559"/>
        <v>2</v>
      </c>
      <c r="G689" s="17" t="str">
        <f t="shared" si="570"/>
        <v>黑暗骑士防御百分比</v>
      </c>
      <c r="H689" s="17" t="str">
        <f t="shared" si="571"/>
        <v>qibing02_Lv3</v>
      </c>
      <c r="I689" s="20">
        <v>1.5</v>
      </c>
      <c r="J689" s="17">
        <v>8</v>
      </c>
      <c r="K689" s="17">
        <f t="shared" si="568"/>
        <v>21709</v>
      </c>
      <c r="L689" s="17" t="s">
        <v>233</v>
      </c>
      <c r="M689" s="17" t="str">
        <f t="shared" si="572"/>
        <v>1:11400:5</v>
      </c>
      <c r="N689" s="16" t="str">
        <f t="shared" si="558"/>
        <v>10016:1</v>
      </c>
      <c r="O689" s="17">
        <f t="shared" si="560"/>
        <v>8</v>
      </c>
      <c r="P689" s="21" t="s">
        <v>4498</v>
      </c>
      <c r="Q689" s="21"/>
      <c r="R689" t="s">
        <v>4490</v>
      </c>
      <c r="T689" t="str">
        <f t="shared" si="573"/>
        <v>:1</v>
      </c>
      <c r="U689" t="str">
        <f t="shared" si="550"/>
        <v>骑士</v>
      </c>
      <c r="V689" t="s">
        <v>4488</v>
      </c>
      <c r="W689">
        <f>属性类型!G689</f>
        <v>10016</v>
      </c>
      <c r="X689">
        <v>1</v>
      </c>
    </row>
    <row r="690" customFormat="1" ht="16.5" spans="1:24">
      <c r="A690" s="17">
        <f t="shared" si="569"/>
        <v>21709</v>
      </c>
      <c r="B690" s="17">
        <f t="shared" si="574"/>
        <v>21700</v>
      </c>
      <c r="C690" s="17" t="str">
        <f t="shared" si="575"/>
        <v>2</v>
      </c>
      <c r="D690" s="12">
        <f t="shared" si="542"/>
        <v>20002</v>
      </c>
      <c r="E690" s="17">
        <v>2</v>
      </c>
      <c r="F690" s="17">
        <f t="shared" si="559"/>
        <v>2</v>
      </c>
      <c r="G690" s="17" t="str">
        <f t="shared" si="570"/>
        <v>黑暗骑士防御百分比</v>
      </c>
      <c r="H690" s="17" t="str">
        <f t="shared" si="571"/>
        <v>qibing02_Lv3</v>
      </c>
      <c r="I690" s="20">
        <v>1.5</v>
      </c>
      <c r="J690" s="17">
        <v>9</v>
      </c>
      <c r="K690" s="17">
        <f t="shared" si="568"/>
        <v>21710</v>
      </c>
      <c r="L690" s="17" t="s">
        <v>236</v>
      </c>
      <c r="M690" s="17" t="str">
        <f t="shared" si="572"/>
        <v>1:11400:5</v>
      </c>
      <c r="N690" s="16" t="str">
        <f t="shared" si="558"/>
        <v>10016:1</v>
      </c>
      <c r="O690" s="17">
        <f t="shared" si="560"/>
        <v>8</v>
      </c>
      <c r="P690" s="21" t="s">
        <v>4499</v>
      </c>
      <c r="Q690" s="21"/>
      <c r="R690" t="s">
        <v>4490</v>
      </c>
      <c r="T690" t="str">
        <f t="shared" si="573"/>
        <v>:1</v>
      </c>
      <c r="U690" t="str">
        <f t="shared" si="550"/>
        <v>骑士</v>
      </c>
      <c r="V690" t="s">
        <v>4488</v>
      </c>
      <c r="W690">
        <f>属性类型!G690</f>
        <v>10016</v>
      </c>
      <c r="X690">
        <v>1</v>
      </c>
    </row>
    <row r="691" customFormat="1" ht="16.5" spans="1:24">
      <c r="A691" s="17">
        <f t="shared" si="569"/>
        <v>21710</v>
      </c>
      <c r="B691" s="17">
        <f t="shared" si="574"/>
        <v>21700</v>
      </c>
      <c r="C691" s="17" t="str">
        <f t="shared" si="575"/>
        <v>2</v>
      </c>
      <c r="D691" s="12">
        <f t="shared" si="542"/>
        <v>20002</v>
      </c>
      <c r="E691" s="17">
        <v>2</v>
      </c>
      <c r="F691" s="17">
        <f t="shared" si="559"/>
        <v>2</v>
      </c>
      <c r="G691" s="17" t="str">
        <f t="shared" si="570"/>
        <v>黑暗骑士防御百分比</v>
      </c>
      <c r="H691" s="17" t="str">
        <f t="shared" si="571"/>
        <v>qibing02_Lv3</v>
      </c>
      <c r="I691" s="20">
        <v>1.5</v>
      </c>
      <c r="J691" s="17">
        <v>10</v>
      </c>
      <c r="K691" s="17">
        <f t="shared" si="568"/>
        <v>21711</v>
      </c>
      <c r="L691" s="17" t="s">
        <v>238</v>
      </c>
      <c r="M691" s="17" t="str">
        <f t="shared" si="572"/>
        <v>1:11400:5</v>
      </c>
      <c r="N691" s="16" t="str">
        <f t="shared" si="558"/>
        <v>10016:1</v>
      </c>
      <c r="O691" s="17">
        <f t="shared" si="560"/>
        <v>8</v>
      </c>
      <c r="P691" s="21" t="s">
        <v>4500</v>
      </c>
      <c r="Q691" s="21"/>
      <c r="R691" t="s">
        <v>4490</v>
      </c>
      <c r="T691" t="str">
        <f t="shared" si="573"/>
        <v>:1</v>
      </c>
      <c r="U691" t="str">
        <f t="shared" si="550"/>
        <v>骑士</v>
      </c>
      <c r="V691" t="s">
        <v>4488</v>
      </c>
      <c r="W691">
        <f>属性类型!G691</f>
        <v>10016</v>
      </c>
      <c r="X691">
        <v>1</v>
      </c>
    </row>
    <row r="692" customFormat="1" ht="16.5" spans="1:24">
      <c r="A692" s="17">
        <f t="shared" si="569"/>
        <v>21711</v>
      </c>
      <c r="B692" s="17">
        <f t="shared" ref="B692:B701" si="576">ROUND(A692,-2)</f>
        <v>21700</v>
      </c>
      <c r="C692" s="17" t="str">
        <f t="shared" ref="C692:C712" si="577">LEFT(A692,1)</f>
        <v>2</v>
      </c>
      <c r="D692" s="12">
        <f t="shared" ref="D692:D712" si="578">$A$469+F692</f>
        <v>20002</v>
      </c>
      <c r="E692" s="17">
        <v>2</v>
      </c>
      <c r="F692" s="17">
        <f t="shared" si="559"/>
        <v>2</v>
      </c>
      <c r="G692" s="17" t="str">
        <f t="shared" si="570"/>
        <v>黑暗骑士防御百分比</v>
      </c>
      <c r="H692" s="17" t="str">
        <f t="shared" si="571"/>
        <v>qibing02_Lv3</v>
      </c>
      <c r="I692" s="20">
        <v>1.5</v>
      </c>
      <c r="J692" s="17">
        <v>11</v>
      </c>
      <c r="K692" s="17">
        <f t="shared" si="568"/>
        <v>21712</v>
      </c>
      <c r="L692" s="17" t="s">
        <v>529</v>
      </c>
      <c r="M692" s="17" t="str">
        <f t="shared" si="572"/>
        <v>1:11400:5</v>
      </c>
      <c r="N692" s="16" t="str">
        <f t="shared" si="558"/>
        <v>10016:1</v>
      </c>
      <c r="O692" s="17">
        <f t="shared" si="560"/>
        <v>8</v>
      </c>
      <c r="P692" s="21" t="s">
        <v>4501</v>
      </c>
      <c r="Q692" s="21"/>
      <c r="R692" t="s">
        <v>4490</v>
      </c>
      <c r="T692" t="str">
        <f t="shared" si="573"/>
        <v>:1</v>
      </c>
      <c r="U692" t="str">
        <f t="shared" si="550"/>
        <v>骑士</v>
      </c>
      <c r="V692" t="s">
        <v>4488</v>
      </c>
      <c r="W692">
        <f>属性类型!G692</f>
        <v>10016</v>
      </c>
      <c r="X692">
        <v>1</v>
      </c>
    </row>
    <row r="693" customFormat="1" ht="16.5" spans="1:24">
      <c r="A693" s="17">
        <f t="shared" si="569"/>
        <v>21712</v>
      </c>
      <c r="B693" s="17">
        <f t="shared" si="576"/>
        <v>21700</v>
      </c>
      <c r="C693" s="17" t="str">
        <f t="shared" si="577"/>
        <v>2</v>
      </c>
      <c r="D693" s="12">
        <f t="shared" si="578"/>
        <v>20002</v>
      </c>
      <c r="E693" s="17">
        <v>2</v>
      </c>
      <c r="F693" s="17">
        <f t="shared" si="559"/>
        <v>2</v>
      </c>
      <c r="G693" s="17" t="str">
        <f t="shared" si="570"/>
        <v>黑暗骑士防御百分比</v>
      </c>
      <c r="H693" s="17" t="str">
        <f t="shared" si="571"/>
        <v>qibing02_Lv3</v>
      </c>
      <c r="I693" s="20">
        <v>1.5</v>
      </c>
      <c r="J693" s="17">
        <v>12</v>
      </c>
      <c r="K693" s="17">
        <f t="shared" si="568"/>
        <v>21713</v>
      </c>
      <c r="L693" s="17" t="s">
        <v>532</v>
      </c>
      <c r="M693" s="17" t="str">
        <f t="shared" si="572"/>
        <v>1:11400:5</v>
      </c>
      <c r="N693" s="16" t="str">
        <f t="shared" si="558"/>
        <v>10016:1</v>
      </c>
      <c r="O693" s="17">
        <f t="shared" si="560"/>
        <v>8</v>
      </c>
      <c r="P693" s="21" t="s">
        <v>4502</v>
      </c>
      <c r="Q693" s="21"/>
      <c r="R693" t="s">
        <v>4490</v>
      </c>
      <c r="T693" t="str">
        <f t="shared" si="573"/>
        <v>:1</v>
      </c>
      <c r="U693" t="str">
        <f t="shared" si="550"/>
        <v>骑士</v>
      </c>
      <c r="V693" t="s">
        <v>4488</v>
      </c>
      <c r="W693">
        <f>属性类型!G693</f>
        <v>10016</v>
      </c>
      <c r="X693">
        <v>1</v>
      </c>
    </row>
    <row r="694" customFormat="1" ht="16.5" spans="1:24">
      <c r="A694" s="17">
        <f t="shared" si="569"/>
        <v>21713</v>
      </c>
      <c r="B694" s="17">
        <f t="shared" si="576"/>
        <v>21700</v>
      </c>
      <c r="C694" s="17" t="str">
        <f t="shared" si="577"/>
        <v>2</v>
      </c>
      <c r="D694" s="12">
        <f t="shared" si="578"/>
        <v>20002</v>
      </c>
      <c r="E694" s="17">
        <v>2</v>
      </c>
      <c r="F694" s="17">
        <f t="shared" si="559"/>
        <v>2</v>
      </c>
      <c r="G694" s="17" t="str">
        <f t="shared" si="570"/>
        <v>黑暗骑士防御百分比</v>
      </c>
      <c r="H694" s="17" t="str">
        <f t="shared" si="571"/>
        <v>qibing02_Lv3</v>
      </c>
      <c r="I694" s="20">
        <v>1.5</v>
      </c>
      <c r="J694" s="17">
        <v>13</v>
      </c>
      <c r="K694" s="17">
        <f t="shared" si="568"/>
        <v>21714</v>
      </c>
      <c r="L694" s="17" t="s">
        <v>561</v>
      </c>
      <c r="M694" s="17" t="str">
        <f t="shared" si="572"/>
        <v>1:11400:5</v>
      </c>
      <c r="N694" s="16" t="str">
        <f t="shared" si="558"/>
        <v>10016:1</v>
      </c>
      <c r="O694" s="17">
        <f t="shared" si="560"/>
        <v>8</v>
      </c>
      <c r="P694" s="21" t="s">
        <v>4503</v>
      </c>
      <c r="Q694" s="21"/>
      <c r="R694" t="s">
        <v>4490</v>
      </c>
      <c r="T694" t="str">
        <f t="shared" si="573"/>
        <v>:1</v>
      </c>
      <c r="U694" t="str">
        <f t="shared" si="550"/>
        <v>骑士</v>
      </c>
      <c r="V694" t="s">
        <v>4488</v>
      </c>
      <c r="W694">
        <f>属性类型!G694</f>
        <v>10016</v>
      </c>
      <c r="X694">
        <v>1</v>
      </c>
    </row>
    <row r="695" customFormat="1" ht="16.5" spans="1:24">
      <c r="A695" s="17">
        <f t="shared" si="569"/>
        <v>21714</v>
      </c>
      <c r="B695" s="17">
        <f t="shared" si="576"/>
        <v>21700</v>
      </c>
      <c r="C695" s="17" t="str">
        <f t="shared" si="577"/>
        <v>2</v>
      </c>
      <c r="D695" s="12">
        <f t="shared" si="578"/>
        <v>20002</v>
      </c>
      <c r="E695" s="17">
        <v>2</v>
      </c>
      <c r="F695" s="17">
        <f t="shared" si="559"/>
        <v>2</v>
      </c>
      <c r="G695" s="17" t="str">
        <f t="shared" si="570"/>
        <v>黑暗骑士防御百分比</v>
      </c>
      <c r="H695" s="17" t="str">
        <f t="shared" si="571"/>
        <v>qibing02_Lv3</v>
      </c>
      <c r="I695" s="20">
        <v>1.5</v>
      </c>
      <c r="J695" s="17">
        <v>14</v>
      </c>
      <c r="K695" s="17">
        <f t="shared" si="568"/>
        <v>21715</v>
      </c>
      <c r="L695" s="17" t="s">
        <v>564</v>
      </c>
      <c r="M695" s="17" t="str">
        <f t="shared" si="572"/>
        <v>1:11400:5</v>
      </c>
      <c r="N695" s="16" t="str">
        <f t="shared" si="558"/>
        <v>10016:1</v>
      </c>
      <c r="O695" s="17">
        <f t="shared" si="560"/>
        <v>8</v>
      </c>
      <c r="P695" s="21" t="s">
        <v>4504</v>
      </c>
      <c r="Q695" s="21"/>
      <c r="R695" t="s">
        <v>4490</v>
      </c>
      <c r="T695" t="str">
        <f t="shared" si="573"/>
        <v>:1</v>
      </c>
      <c r="U695" t="str">
        <f t="shared" si="550"/>
        <v>骑士</v>
      </c>
      <c r="V695" t="s">
        <v>4488</v>
      </c>
      <c r="W695">
        <f>属性类型!G695</f>
        <v>10016</v>
      </c>
      <c r="X695">
        <v>1</v>
      </c>
    </row>
    <row r="696" customFormat="1" ht="16.5" spans="1:24">
      <c r="A696" s="17">
        <f t="shared" si="569"/>
        <v>21715</v>
      </c>
      <c r="B696" s="17">
        <f t="shared" si="576"/>
        <v>21700</v>
      </c>
      <c r="C696" s="17" t="str">
        <f t="shared" si="577"/>
        <v>2</v>
      </c>
      <c r="D696" s="12">
        <f t="shared" si="578"/>
        <v>20002</v>
      </c>
      <c r="E696" s="17">
        <v>2</v>
      </c>
      <c r="F696" s="17">
        <f t="shared" si="559"/>
        <v>2</v>
      </c>
      <c r="G696" s="17" t="str">
        <f t="shared" si="570"/>
        <v>黑暗骑士防御百分比</v>
      </c>
      <c r="H696" s="17" t="str">
        <f t="shared" si="571"/>
        <v>qibing02_Lv3</v>
      </c>
      <c r="I696" s="20">
        <v>1.5</v>
      </c>
      <c r="J696" s="17">
        <v>15</v>
      </c>
      <c r="K696" s="17">
        <f t="shared" si="568"/>
        <v>21716</v>
      </c>
      <c r="L696" s="17" t="s">
        <v>630</v>
      </c>
      <c r="M696" s="17" t="str">
        <f t="shared" si="572"/>
        <v>1:11400:5</v>
      </c>
      <c r="N696" s="16" t="str">
        <f t="shared" si="558"/>
        <v>10016:1</v>
      </c>
      <c r="O696" s="17">
        <f t="shared" si="560"/>
        <v>8</v>
      </c>
      <c r="P696" s="21" t="s">
        <v>4505</v>
      </c>
      <c r="Q696" s="21"/>
      <c r="R696" t="s">
        <v>4490</v>
      </c>
      <c r="T696" t="str">
        <f t="shared" si="573"/>
        <v>:1</v>
      </c>
      <c r="U696" t="str">
        <f t="shared" si="550"/>
        <v>骑士</v>
      </c>
      <c r="V696" t="s">
        <v>4488</v>
      </c>
      <c r="W696">
        <f>属性类型!G696</f>
        <v>10016</v>
      </c>
      <c r="X696">
        <v>1</v>
      </c>
    </row>
    <row r="697" customFormat="1" ht="16.5" spans="1:24">
      <c r="A697" s="17">
        <f t="shared" si="569"/>
        <v>21716</v>
      </c>
      <c r="B697" s="17">
        <f t="shared" si="576"/>
        <v>21700</v>
      </c>
      <c r="C697" s="17" t="str">
        <f t="shared" si="577"/>
        <v>2</v>
      </c>
      <c r="D697" s="12">
        <f t="shared" si="578"/>
        <v>20002</v>
      </c>
      <c r="E697" s="17">
        <v>2</v>
      </c>
      <c r="F697" s="17">
        <f t="shared" si="559"/>
        <v>2</v>
      </c>
      <c r="G697" s="17" t="str">
        <f t="shared" si="570"/>
        <v>黑暗骑士防御百分比</v>
      </c>
      <c r="H697" s="17" t="str">
        <f t="shared" si="571"/>
        <v>qibing02_Lv3</v>
      </c>
      <c r="I697" s="20">
        <v>1.5</v>
      </c>
      <c r="J697" s="17">
        <v>16</v>
      </c>
      <c r="K697" s="17">
        <f t="shared" si="568"/>
        <v>21717</v>
      </c>
      <c r="L697" s="17" t="s">
        <v>633</v>
      </c>
      <c r="M697" s="17" t="str">
        <f t="shared" si="572"/>
        <v>1:11400:5</v>
      </c>
      <c r="N697" s="16" t="str">
        <f t="shared" si="558"/>
        <v>10016:1</v>
      </c>
      <c r="O697" s="17">
        <f t="shared" si="560"/>
        <v>8</v>
      </c>
      <c r="P697" s="21" t="s">
        <v>4506</v>
      </c>
      <c r="Q697" s="21"/>
      <c r="R697" t="s">
        <v>4490</v>
      </c>
      <c r="T697" t="str">
        <f t="shared" si="573"/>
        <v>:1</v>
      </c>
      <c r="U697" t="str">
        <f t="shared" si="550"/>
        <v>骑士</v>
      </c>
      <c r="V697" t="s">
        <v>4488</v>
      </c>
      <c r="W697">
        <f>属性类型!G697</f>
        <v>10016</v>
      </c>
      <c r="X697">
        <v>1</v>
      </c>
    </row>
    <row r="698" customFormat="1" ht="16.5" spans="1:24">
      <c r="A698" s="17">
        <f t="shared" si="569"/>
        <v>21717</v>
      </c>
      <c r="B698" s="17">
        <f t="shared" si="576"/>
        <v>21700</v>
      </c>
      <c r="C698" s="17" t="str">
        <f t="shared" si="577"/>
        <v>2</v>
      </c>
      <c r="D698" s="12">
        <f t="shared" si="578"/>
        <v>20002</v>
      </c>
      <c r="E698" s="17">
        <v>2</v>
      </c>
      <c r="F698" s="17">
        <f t="shared" si="559"/>
        <v>2</v>
      </c>
      <c r="G698" s="17" t="str">
        <f t="shared" si="570"/>
        <v>黑暗骑士防御百分比</v>
      </c>
      <c r="H698" s="17" t="str">
        <f t="shared" si="571"/>
        <v>qibing02_Lv3</v>
      </c>
      <c r="I698" s="20">
        <v>1.5</v>
      </c>
      <c r="J698" s="17">
        <v>17</v>
      </c>
      <c r="K698" s="17">
        <f t="shared" si="568"/>
        <v>21718</v>
      </c>
      <c r="L698" s="17" t="s">
        <v>637</v>
      </c>
      <c r="M698" s="17" t="str">
        <f t="shared" si="572"/>
        <v>1:11400:5</v>
      </c>
      <c r="N698" s="16" t="str">
        <f t="shared" si="558"/>
        <v>10016:1</v>
      </c>
      <c r="O698" s="17">
        <f t="shared" si="560"/>
        <v>8</v>
      </c>
      <c r="P698" s="21" t="s">
        <v>4507</v>
      </c>
      <c r="Q698" s="21"/>
      <c r="R698" t="s">
        <v>4490</v>
      </c>
      <c r="T698" t="str">
        <f t="shared" si="573"/>
        <v>:1</v>
      </c>
      <c r="U698" t="str">
        <f t="shared" si="550"/>
        <v>骑士</v>
      </c>
      <c r="V698" t="s">
        <v>4488</v>
      </c>
      <c r="W698">
        <f>属性类型!G698</f>
        <v>10016</v>
      </c>
      <c r="X698">
        <v>1</v>
      </c>
    </row>
    <row r="699" customFormat="1" ht="16.5" spans="1:24">
      <c r="A699" s="17">
        <f t="shared" si="569"/>
        <v>21718</v>
      </c>
      <c r="B699" s="17">
        <f t="shared" si="576"/>
        <v>21700</v>
      </c>
      <c r="C699" s="17" t="str">
        <f t="shared" si="577"/>
        <v>2</v>
      </c>
      <c r="D699" s="12">
        <f t="shared" si="578"/>
        <v>20002</v>
      </c>
      <c r="E699" s="17">
        <v>2</v>
      </c>
      <c r="F699" s="17">
        <f t="shared" si="559"/>
        <v>2</v>
      </c>
      <c r="G699" s="17" t="str">
        <f t="shared" si="570"/>
        <v>黑暗骑士防御百分比</v>
      </c>
      <c r="H699" s="17" t="str">
        <f t="shared" si="571"/>
        <v>qibing02_Lv3</v>
      </c>
      <c r="I699" s="20">
        <v>1.5</v>
      </c>
      <c r="J699" s="17">
        <v>18</v>
      </c>
      <c r="K699" s="17">
        <f t="shared" si="568"/>
        <v>21719</v>
      </c>
      <c r="L699" s="17" t="s">
        <v>641</v>
      </c>
      <c r="M699" s="17" t="str">
        <f t="shared" si="572"/>
        <v>1:11400:5</v>
      </c>
      <c r="N699" s="16" t="str">
        <f t="shared" si="558"/>
        <v>10016:1</v>
      </c>
      <c r="O699" s="17">
        <f t="shared" si="560"/>
        <v>8</v>
      </c>
      <c r="P699" s="21" t="s">
        <v>4508</v>
      </c>
      <c r="Q699" s="21"/>
      <c r="R699" t="s">
        <v>4490</v>
      </c>
      <c r="T699" t="str">
        <f t="shared" si="573"/>
        <v>:1</v>
      </c>
      <c r="U699" t="str">
        <f t="shared" si="550"/>
        <v>骑士</v>
      </c>
      <c r="V699" t="s">
        <v>4488</v>
      </c>
      <c r="W699">
        <f>属性类型!G699</f>
        <v>10016</v>
      </c>
      <c r="X699">
        <v>1</v>
      </c>
    </row>
    <row r="700" customFormat="1" ht="16.5" spans="1:24">
      <c r="A700" s="17">
        <f t="shared" si="569"/>
        <v>21719</v>
      </c>
      <c r="B700" s="17">
        <f t="shared" si="576"/>
        <v>21700</v>
      </c>
      <c r="C700" s="17" t="str">
        <f t="shared" si="577"/>
        <v>2</v>
      </c>
      <c r="D700" s="12">
        <f t="shared" si="578"/>
        <v>20002</v>
      </c>
      <c r="E700" s="17">
        <v>2</v>
      </c>
      <c r="F700" s="17">
        <f t="shared" si="559"/>
        <v>2</v>
      </c>
      <c r="G700" s="17" t="str">
        <f t="shared" si="570"/>
        <v>黑暗骑士防御百分比</v>
      </c>
      <c r="H700" s="17" t="str">
        <f t="shared" si="571"/>
        <v>qibing02_Lv3</v>
      </c>
      <c r="I700" s="20">
        <v>1.5</v>
      </c>
      <c r="J700" s="17">
        <v>19</v>
      </c>
      <c r="K700" s="17">
        <f t="shared" si="568"/>
        <v>21720</v>
      </c>
      <c r="L700" s="17" t="s">
        <v>645</v>
      </c>
      <c r="M700" s="17" t="str">
        <f t="shared" si="572"/>
        <v>1:11400:5</v>
      </c>
      <c r="N700" s="16" t="str">
        <f t="shared" si="558"/>
        <v>10016:1</v>
      </c>
      <c r="O700" s="17">
        <f t="shared" si="560"/>
        <v>8</v>
      </c>
      <c r="P700" s="21" t="s">
        <v>4509</v>
      </c>
      <c r="Q700" s="21"/>
      <c r="R700" t="s">
        <v>4490</v>
      </c>
      <c r="T700" t="str">
        <f t="shared" si="573"/>
        <v>:1</v>
      </c>
      <c r="U700" t="str">
        <f t="shared" si="550"/>
        <v>骑士</v>
      </c>
      <c r="V700" t="s">
        <v>4488</v>
      </c>
      <c r="W700">
        <f>属性类型!G700</f>
        <v>10016</v>
      </c>
      <c r="X700">
        <v>1</v>
      </c>
    </row>
    <row r="701" customFormat="1" ht="16.5" spans="1:24">
      <c r="A701" s="17">
        <f t="shared" si="569"/>
        <v>21720</v>
      </c>
      <c r="B701" s="17">
        <f t="shared" si="576"/>
        <v>21700</v>
      </c>
      <c r="C701" s="17" t="str">
        <f t="shared" si="577"/>
        <v>2</v>
      </c>
      <c r="D701" s="12">
        <f t="shared" si="578"/>
        <v>20002</v>
      </c>
      <c r="E701" s="17">
        <v>2</v>
      </c>
      <c r="F701" s="17">
        <f t="shared" si="559"/>
        <v>2</v>
      </c>
      <c r="G701" s="17" t="str">
        <f t="shared" si="570"/>
        <v>黑暗骑士防御百分比</v>
      </c>
      <c r="H701" s="17" t="str">
        <f t="shared" si="571"/>
        <v>qibing02_Lv3</v>
      </c>
      <c r="I701" s="20">
        <v>1.5</v>
      </c>
      <c r="J701" s="17">
        <v>20</v>
      </c>
      <c r="K701" s="17">
        <v>0</v>
      </c>
      <c r="L701" s="17">
        <v>0</v>
      </c>
      <c r="M701" s="17" t="str">
        <f t="shared" si="572"/>
        <v>1:11400:5</v>
      </c>
      <c r="N701" s="16" t="str">
        <f t="shared" si="558"/>
        <v>10016:1</v>
      </c>
      <c r="O701" s="17">
        <f t="shared" si="560"/>
        <v>8</v>
      </c>
      <c r="P701" s="21" t="s">
        <v>4509</v>
      </c>
      <c r="Q701" s="21"/>
      <c r="R701" t="s">
        <v>4490</v>
      </c>
      <c r="T701" t="str">
        <f t="shared" si="573"/>
        <v>:1</v>
      </c>
      <c r="U701" t="str">
        <f t="shared" si="550"/>
        <v>骑士</v>
      </c>
      <c r="V701" t="s">
        <v>4488</v>
      </c>
      <c r="W701">
        <f>属性类型!G701</f>
        <v>10016</v>
      </c>
      <c r="X701">
        <v>1</v>
      </c>
    </row>
    <row r="702" customFormat="1" ht="16.5" spans="1:24">
      <c r="A702" s="18">
        <f>A681+100</f>
        <v>21800</v>
      </c>
      <c r="B702" s="18">
        <f t="shared" ref="B702:B734" si="579">ROUND(A702,-2)</f>
        <v>21800</v>
      </c>
      <c r="C702" s="18" t="str">
        <f t="shared" si="577"/>
        <v>2</v>
      </c>
      <c r="D702" s="12">
        <f t="shared" si="578"/>
        <v>20002</v>
      </c>
      <c r="E702" s="17">
        <v>2</v>
      </c>
      <c r="F702" s="18">
        <f t="shared" si="559"/>
        <v>2</v>
      </c>
      <c r="G702" s="18" t="s">
        <v>4510</v>
      </c>
      <c r="H702" s="18" t="s">
        <v>980</v>
      </c>
      <c r="I702" s="20">
        <v>1.5</v>
      </c>
      <c r="J702" s="18">
        <v>0</v>
      </c>
      <c r="K702" s="18">
        <f t="shared" ref="K702:K721" si="580">A703</f>
        <v>21801</v>
      </c>
      <c r="L702" s="18" t="s">
        <v>206</v>
      </c>
      <c r="M702" s="18" t="s">
        <v>488</v>
      </c>
      <c r="N702" s="16" t="str">
        <f t="shared" si="558"/>
        <v>10017:1</v>
      </c>
      <c r="O702" s="18">
        <f t="shared" si="560"/>
        <v>9</v>
      </c>
      <c r="P702" s="21" t="s">
        <v>4511</v>
      </c>
      <c r="Q702" s="21"/>
      <c r="R702" t="s">
        <v>4490</v>
      </c>
      <c r="T702">
        <v>1</v>
      </c>
      <c r="U702" t="str">
        <f t="shared" si="550"/>
        <v>骑士</v>
      </c>
      <c r="V702" t="s">
        <v>4510</v>
      </c>
      <c r="W702">
        <f>属性类型!G702</f>
        <v>10017</v>
      </c>
      <c r="X702">
        <v>1</v>
      </c>
    </row>
    <row r="703" customFormat="1" ht="16.5" spans="1:24">
      <c r="A703" s="17">
        <f t="shared" ref="A703:A717" si="581">A702+1</f>
        <v>21801</v>
      </c>
      <c r="B703" s="17">
        <f t="shared" si="579"/>
        <v>21800</v>
      </c>
      <c r="C703" s="17" t="str">
        <f t="shared" si="577"/>
        <v>2</v>
      </c>
      <c r="D703" s="12">
        <f t="shared" si="578"/>
        <v>20002</v>
      </c>
      <c r="E703" s="17">
        <f t="shared" ref="E703:H703" si="582">E702</f>
        <v>2</v>
      </c>
      <c r="F703" s="17">
        <f t="shared" si="559"/>
        <v>2</v>
      </c>
      <c r="G703" s="17" t="str">
        <f t="shared" si="582"/>
        <v>黑暗骑士攻击百分比</v>
      </c>
      <c r="H703" s="17" t="str">
        <f t="shared" si="582"/>
        <v>qibing02_Lv3</v>
      </c>
      <c r="I703" s="20">
        <v>1.5</v>
      </c>
      <c r="J703" s="17">
        <v>1</v>
      </c>
      <c r="K703" s="17">
        <f t="shared" si="580"/>
        <v>21802</v>
      </c>
      <c r="L703" s="17" t="s">
        <v>211</v>
      </c>
      <c r="M703" s="17" t="str">
        <f t="shared" ref="M703:M722" si="583">M702</f>
        <v>1:11500:5</v>
      </c>
      <c r="N703" s="16" t="str">
        <f t="shared" si="558"/>
        <v>10017:1</v>
      </c>
      <c r="O703" s="17">
        <f t="shared" si="560"/>
        <v>9</v>
      </c>
      <c r="P703" s="21" t="s">
        <v>4512</v>
      </c>
      <c r="Q703" s="21"/>
      <c r="R703" t="s">
        <v>4490</v>
      </c>
      <c r="T703">
        <v>2</v>
      </c>
      <c r="U703" t="str">
        <f t="shared" si="550"/>
        <v>骑士</v>
      </c>
      <c r="V703" t="s">
        <v>4510</v>
      </c>
      <c r="W703">
        <f>属性类型!G703</f>
        <v>10017</v>
      </c>
      <c r="X703">
        <v>1</v>
      </c>
    </row>
    <row r="704" customFormat="1" ht="16.5" spans="1:24">
      <c r="A704" s="17">
        <f t="shared" si="581"/>
        <v>21802</v>
      </c>
      <c r="B704" s="17">
        <f t="shared" si="579"/>
        <v>21800</v>
      </c>
      <c r="C704" s="17" t="str">
        <f t="shared" si="577"/>
        <v>2</v>
      </c>
      <c r="D704" s="12">
        <f t="shared" si="578"/>
        <v>20002</v>
      </c>
      <c r="E704" s="17">
        <f t="shared" ref="E704:H704" si="584">E703</f>
        <v>2</v>
      </c>
      <c r="F704" s="17">
        <f t="shared" si="559"/>
        <v>2</v>
      </c>
      <c r="G704" s="17" t="str">
        <f t="shared" si="584"/>
        <v>黑暗骑士攻击百分比</v>
      </c>
      <c r="H704" s="17" t="str">
        <f t="shared" si="584"/>
        <v>qibing02_Lv3</v>
      </c>
      <c r="I704" s="20">
        <v>1.5</v>
      </c>
      <c r="J704" s="17">
        <v>2</v>
      </c>
      <c r="K704" s="17">
        <f t="shared" si="580"/>
        <v>21803</v>
      </c>
      <c r="L704" s="17" t="s">
        <v>215</v>
      </c>
      <c r="M704" s="17" t="str">
        <f t="shared" si="583"/>
        <v>1:11500:5</v>
      </c>
      <c r="N704" s="16" t="str">
        <f t="shared" si="558"/>
        <v>10017:1</v>
      </c>
      <c r="O704" s="17">
        <f t="shared" si="560"/>
        <v>9</v>
      </c>
      <c r="P704" s="21" t="s">
        <v>4513</v>
      </c>
      <c r="Q704" s="21"/>
      <c r="R704" t="s">
        <v>4490</v>
      </c>
      <c r="T704">
        <v>3</v>
      </c>
      <c r="U704" t="str">
        <f t="shared" si="550"/>
        <v>骑士</v>
      </c>
      <c r="V704" t="s">
        <v>4510</v>
      </c>
      <c r="W704">
        <f>属性类型!G704</f>
        <v>10017</v>
      </c>
      <c r="X704">
        <v>1</v>
      </c>
    </row>
    <row r="705" customFormat="1" ht="16.5" spans="1:24">
      <c r="A705" s="17">
        <f t="shared" si="581"/>
        <v>21803</v>
      </c>
      <c r="B705" s="17">
        <f t="shared" si="579"/>
        <v>21800</v>
      </c>
      <c r="C705" s="17" t="str">
        <f t="shared" si="577"/>
        <v>2</v>
      </c>
      <c r="D705" s="12">
        <f t="shared" si="578"/>
        <v>20002</v>
      </c>
      <c r="E705" s="17">
        <f t="shared" ref="E705:H705" si="585">E704</f>
        <v>2</v>
      </c>
      <c r="F705" s="17">
        <f t="shared" si="559"/>
        <v>2</v>
      </c>
      <c r="G705" s="17" t="str">
        <f t="shared" si="585"/>
        <v>黑暗骑士攻击百分比</v>
      </c>
      <c r="H705" s="17" t="str">
        <f t="shared" si="585"/>
        <v>qibing02_Lv3</v>
      </c>
      <c r="I705" s="20">
        <v>1.5</v>
      </c>
      <c r="J705" s="17">
        <v>3</v>
      </c>
      <c r="K705" s="17">
        <f t="shared" si="580"/>
        <v>21804</v>
      </c>
      <c r="L705" s="17" t="s">
        <v>218</v>
      </c>
      <c r="M705" s="17" t="str">
        <f t="shared" si="583"/>
        <v>1:11500:5</v>
      </c>
      <c r="N705" s="16" t="str">
        <f t="shared" si="558"/>
        <v>10017:1</v>
      </c>
      <c r="O705" s="17">
        <f t="shared" si="560"/>
        <v>9</v>
      </c>
      <c r="P705" s="21" t="s">
        <v>4514</v>
      </c>
      <c r="Q705" s="21"/>
      <c r="R705" t="s">
        <v>4490</v>
      </c>
      <c r="T705">
        <v>4</v>
      </c>
      <c r="U705" t="str">
        <f t="shared" si="550"/>
        <v>骑士</v>
      </c>
      <c r="V705" t="s">
        <v>4510</v>
      </c>
      <c r="W705">
        <f>属性类型!G705</f>
        <v>10017</v>
      </c>
      <c r="X705">
        <v>1</v>
      </c>
    </row>
    <row r="706" customFormat="1" ht="16.5" spans="1:24">
      <c r="A706" s="17">
        <f t="shared" si="581"/>
        <v>21804</v>
      </c>
      <c r="B706" s="17">
        <f t="shared" si="579"/>
        <v>21800</v>
      </c>
      <c r="C706" s="17" t="str">
        <f t="shared" si="577"/>
        <v>2</v>
      </c>
      <c r="D706" s="12">
        <f t="shared" si="578"/>
        <v>20002</v>
      </c>
      <c r="E706" s="17">
        <f t="shared" ref="E706:H706" si="586">E705</f>
        <v>2</v>
      </c>
      <c r="F706" s="17">
        <f t="shared" si="559"/>
        <v>2</v>
      </c>
      <c r="G706" s="17" t="str">
        <f t="shared" si="586"/>
        <v>黑暗骑士攻击百分比</v>
      </c>
      <c r="H706" s="17" t="str">
        <f t="shared" si="586"/>
        <v>qibing02_Lv3</v>
      </c>
      <c r="I706" s="20">
        <v>1.5</v>
      </c>
      <c r="J706" s="17">
        <v>4</v>
      </c>
      <c r="K706" s="17">
        <f t="shared" si="580"/>
        <v>21805</v>
      </c>
      <c r="L706" s="17" t="s">
        <v>221</v>
      </c>
      <c r="M706" s="17" t="str">
        <f t="shared" si="583"/>
        <v>1:11500:5</v>
      </c>
      <c r="N706" s="16" t="str">
        <f t="shared" si="558"/>
        <v>10017:1</v>
      </c>
      <c r="O706" s="17">
        <f t="shared" si="560"/>
        <v>9</v>
      </c>
      <c r="P706" s="21" t="s">
        <v>4515</v>
      </c>
      <c r="Q706" s="21"/>
      <c r="R706" t="s">
        <v>4490</v>
      </c>
      <c r="T706">
        <v>5</v>
      </c>
      <c r="U706" t="str">
        <f t="shared" si="550"/>
        <v>骑士</v>
      </c>
      <c r="V706" t="s">
        <v>4510</v>
      </c>
      <c r="W706">
        <f>属性类型!G706</f>
        <v>10017</v>
      </c>
      <c r="X706">
        <v>1</v>
      </c>
    </row>
    <row r="707" customFormat="1" ht="16.5" spans="1:24">
      <c r="A707" s="17">
        <f t="shared" si="581"/>
        <v>21805</v>
      </c>
      <c r="B707" s="17">
        <f t="shared" si="579"/>
        <v>21800</v>
      </c>
      <c r="C707" s="17" t="str">
        <f t="shared" si="577"/>
        <v>2</v>
      </c>
      <c r="D707" s="12">
        <f t="shared" si="578"/>
        <v>20002</v>
      </c>
      <c r="E707" s="17">
        <f t="shared" ref="E707:H707" si="587">E706</f>
        <v>2</v>
      </c>
      <c r="F707" s="17">
        <f t="shared" si="559"/>
        <v>2</v>
      </c>
      <c r="G707" s="17" t="str">
        <f t="shared" si="587"/>
        <v>黑暗骑士攻击百分比</v>
      </c>
      <c r="H707" s="17" t="str">
        <f t="shared" si="587"/>
        <v>qibing02_Lv3</v>
      </c>
      <c r="I707" s="20">
        <v>1.5</v>
      </c>
      <c r="J707" s="17">
        <v>5</v>
      </c>
      <c r="K707" s="17">
        <f t="shared" si="580"/>
        <v>21806</v>
      </c>
      <c r="L707" s="17" t="s">
        <v>224</v>
      </c>
      <c r="M707" s="17" t="str">
        <f t="shared" si="583"/>
        <v>1:11500:5</v>
      </c>
      <c r="N707" s="16" t="str">
        <f t="shared" si="558"/>
        <v>10017:1</v>
      </c>
      <c r="O707" s="17">
        <f t="shared" si="560"/>
        <v>9</v>
      </c>
      <c r="P707" s="21" t="s">
        <v>4516</v>
      </c>
      <c r="Q707" s="21"/>
      <c r="R707" t="s">
        <v>4490</v>
      </c>
      <c r="T707">
        <v>6</v>
      </c>
      <c r="U707" t="str">
        <f t="shared" si="550"/>
        <v>骑士</v>
      </c>
      <c r="V707" t="s">
        <v>4510</v>
      </c>
      <c r="W707">
        <f>属性类型!G707</f>
        <v>10017</v>
      </c>
      <c r="X707">
        <v>1</v>
      </c>
    </row>
    <row r="708" customFormat="1" ht="16.5" spans="1:24">
      <c r="A708" s="17">
        <f t="shared" si="581"/>
        <v>21806</v>
      </c>
      <c r="B708" s="17">
        <f t="shared" si="579"/>
        <v>21800</v>
      </c>
      <c r="C708" s="17" t="str">
        <f t="shared" si="577"/>
        <v>2</v>
      </c>
      <c r="D708" s="12">
        <f t="shared" si="578"/>
        <v>20002</v>
      </c>
      <c r="E708" s="17">
        <f t="shared" ref="E708:H708" si="588">E707</f>
        <v>2</v>
      </c>
      <c r="F708" s="17">
        <f t="shared" si="559"/>
        <v>2</v>
      </c>
      <c r="G708" s="17" t="str">
        <f t="shared" si="588"/>
        <v>黑暗骑士攻击百分比</v>
      </c>
      <c r="H708" s="17" t="str">
        <f t="shared" si="588"/>
        <v>qibing02_Lv3</v>
      </c>
      <c r="I708" s="20">
        <v>1.5</v>
      </c>
      <c r="J708" s="17">
        <v>6</v>
      </c>
      <c r="K708" s="17">
        <f t="shared" si="580"/>
        <v>21807</v>
      </c>
      <c r="L708" s="17" t="s">
        <v>227</v>
      </c>
      <c r="M708" s="17" t="str">
        <f t="shared" si="583"/>
        <v>1:11500:5</v>
      </c>
      <c r="N708" s="16" t="str">
        <f t="shared" si="558"/>
        <v>10017:1</v>
      </c>
      <c r="O708" s="17">
        <f t="shared" si="560"/>
        <v>9</v>
      </c>
      <c r="P708" s="21" t="s">
        <v>4517</v>
      </c>
      <c r="Q708" s="21"/>
      <c r="R708" t="s">
        <v>4490</v>
      </c>
      <c r="T708">
        <v>7</v>
      </c>
      <c r="U708" t="str">
        <f t="shared" si="550"/>
        <v>骑士</v>
      </c>
      <c r="V708" t="s">
        <v>4510</v>
      </c>
      <c r="W708">
        <f>属性类型!G708</f>
        <v>10017</v>
      </c>
      <c r="X708">
        <v>1</v>
      </c>
    </row>
    <row r="709" customFormat="1" ht="16.5" spans="1:24">
      <c r="A709" s="17">
        <f t="shared" si="581"/>
        <v>21807</v>
      </c>
      <c r="B709" s="17">
        <f t="shared" si="579"/>
        <v>21800</v>
      </c>
      <c r="C709" s="17" t="str">
        <f t="shared" si="577"/>
        <v>2</v>
      </c>
      <c r="D709" s="12">
        <f t="shared" si="578"/>
        <v>20002</v>
      </c>
      <c r="E709" s="17">
        <f t="shared" ref="E709:H709" si="589">E708</f>
        <v>2</v>
      </c>
      <c r="F709" s="17">
        <f t="shared" si="559"/>
        <v>2</v>
      </c>
      <c r="G709" s="17" t="str">
        <f t="shared" si="589"/>
        <v>黑暗骑士攻击百分比</v>
      </c>
      <c r="H709" s="17" t="str">
        <f t="shared" si="589"/>
        <v>qibing02_Lv3</v>
      </c>
      <c r="I709" s="20">
        <v>1.5</v>
      </c>
      <c r="J709" s="17">
        <v>7</v>
      </c>
      <c r="K709" s="17">
        <f t="shared" si="580"/>
        <v>21808</v>
      </c>
      <c r="L709" s="17" t="s">
        <v>230</v>
      </c>
      <c r="M709" s="17" t="str">
        <f t="shared" si="583"/>
        <v>1:11500:5</v>
      </c>
      <c r="N709" s="16" t="str">
        <f t="shared" si="558"/>
        <v>10017:1</v>
      </c>
      <c r="O709" s="17">
        <f t="shared" si="560"/>
        <v>9</v>
      </c>
      <c r="P709" s="21" t="s">
        <v>4518</v>
      </c>
      <c r="Q709" s="21"/>
      <c r="R709" t="s">
        <v>4490</v>
      </c>
      <c r="T709">
        <v>8</v>
      </c>
      <c r="U709" t="str">
        <f t="shared" ref="U709:U772" si="590">MID(P709,3,2)</f>
        <v>骑士</v>
      </c>
      <c r="V709" t="s">
        <v>4510</v>
      </c>
      <c r="W709">
        <f>属性类型!G709</f>
        <v>10017</v>
      </c>
      <c r="X709">
        <v>1</v>
      </c>
    </row>
    <row r="710" customFormat="1" ht="16.5" spans="1:24">
      <c r="A710" s="17">
        <f t="shared" si="581"/>
        <v>21808</v>
      </c>
      <c r="B710" s="17">
        <f t="shared" si="579"/>
        <v>21800</v>
      </c>
      <c r="C710" s="17" t="str">
        <f t="shared" si="577"/>
        <v>2</v>
      </c>
      <c r="D710" s="12">
        <f t="shared" si="578"/>
        <v>20002</v>
      </c>
      <c r="E710" s="17">
        <f t="shared" ref="E710:H710" si="591">E709</f>
        <v>2</v>
      </c>
      <c r="F710" s="17">
        <f t="shared" si="559"/>
        <v>2</v>
      </c>
      <c r="G710" s="17" t="str">
        <f t="shared" si="591"/>
        <v>黑暗骑士攻击百分比</v>
      </c>
      <c r="H710" s="17" t="str">
        <f t="shared" si="591"/>
        <v>qibing02_Lv3</v>
      </c>
      <c r="I710" s="20">
        <v>1.5</v>
      </c>
      <c r="J710" s="17">
        <v>8</v>
      </c>
      <c r="K710" s="17">
        <f t="shared" si="580"/>
        <v>21809</v>
      </c>
      <c r="L710" s="17" t="s">
        <v>233</v>
      </c>
      <c r="M710" s="17" t="str">
        <f t="shared" si="583"/>
        <v>1:11500:5</v>
      </c>
      <c r="N710" s="16" t="str">
        <f t="shared" si="558"/>
        <v>10017:1</v>
      </c>
      <c r="O710" s="17">
        <f t="shared" si="560"/>
        <v>9</v>
      </c>
      <c r="P710" s="21" t="s">
        <v>4519</v>
      </c>
      <c r="Q710" s="21"/>
      <c r="R710" t="s">
        <v>4490</v>
      </c>
      <c r="T710">
        <v>9</v>
      </c>
      <c r="U710" t="str">
        <f t="shared" si="590"/>
        <v>骑士</v>
      </c>
      <c r="V710" t="s">
        <v>4510</v>
      </c>
      <c r="W710">
        <f>属性类型!G710</f>
        <v>10017</v>
      </c>
      <c r="X710">
        <v>1</v>
      </c>
    </row>
    <row r="711" customFormat="1" ht="16.5" spans="1:24">
      <c r="A711" s="17">
        <f t="shared" si="581"/>
        <v>21809</v>
      </c>
      <c r="B711" s="17">
        <f t="shared" si="579"/>
        <v>21800</v>
      </c>
      <c r="C711" s="17" t="str">
        <f t="shared" si="577"/>
        <v>2</v>
      </c>
      <c r="D711" s="12">
        <f t="shared" si="578"/>
        <v>20002</v>
      </c>
      <c r="E711" s="17">
        <f t="shared" ref="E711:H711" si="592">E710</f>
        <v>2</v>
      </c>
      <c r="F711" s="17">
        <f t="shared" si="559"/>
        <v>2</v>
      </c>
      <c r="G711" s="17" t="str">
        <f t="shared" si="592"/>
        <v>黑暗骑士攻击百分比</v>
      </c>
      <c r="H711" s="17" t="str">
        <f t="shared" si="592"/>
        <v>qibing02_Lv3</v>
      </c>
      <c r="I711" s="20">
        <v>1.5</v>
      </c>
      <c r="J711" s="17">
        <v>9</v>
      </c>
      <c r="K711" s="17">
        <f t="shared" si="580"/>
        <v>21810</v>
      </c>
      <c r="L711" s="17" t="s">
        <v>236</v>
      </c>
      <c r="M711" s="17" t="str">
        <f t="shared" si="583"/>
        <v>1:11500:5</v>
      </c>
      <c r="N711" s="16" t="str">
        <f t="shared" si="558"/>
        <v>10017:1</v>
      </c>
      <c r="O711" s="17">
        <f t="shared" si="560"/>
        <v>9</v>
      </c>
      <c r="P711" s="21" t="s">
        <v>4520</v>
      </c>
      <c r="Q711" s="21"/>
      <c r="R711" t="s">
        <v>4490</v>
      </c>
      <c r="T711">
        <v>10</v>
      </c>
      <c r="U711" t="str">
        <f t="shared" si="590"/>
        <v>骑士</v>
      </c>
      <c r="V711" t="s">
        <v>4510</v>
      </c>
      <c r="W711">
        <f>属性类型!G711</f>
        <v>10017</v>
      </c>
      <c r="X711">
        <v>1</v>
      </c>
    </row>
    <row r="712" customFormat="1" ht="16.5" spans="1:24">
      <c r="A712" s="17">
        <f t="shared" si="581"/>
        <v>21810</v>
      </c>
      <c r="B712" s="17">
        <f t="shared" si="579"/>
        <v>21800</v>
      </c>
      <c r="C712" s="17" t="str">
        <f t="shared" si="577"/>
        <v>2</v>
      </c>
      <c r="D712" s="12">
        <f t="shared" si="578"/>
        <v>20002</v>
      </c>
      <c r="E712" s="17">
        <f t="shared" ref="E712:H712" si="593">E711</f>
        <v>2</v>
      </c>
      <c r="F712" s="17">
        <f t="shared" si="559"/>
        <v>2</v>
      </c>
      <c r="G712" s="17" t="str">
        <f t="shared" si="593"/>
        <v>黑暗骑士攻击百分比</v>
      </c>
      <c r="H712" s="17" t="str">
        <f t="shared" si="593"/>
        <v>qibing02_Lv3</v>
      </c>
      <c r="I712" s="20">
        <v>1.5</v>
      </c>
      <c r="J712" s="17">
        <v>10</v>
      </c>
      <c r="K712" s="17">
        <f t="shared" si="580"/>
        <v>21811</v>
      </c>
      <c r="L712" s="17" t="s">
        <v>238</v>
      </c>
      <c r="M712" s="17" t="str">
        <f t="shared" si="583"/>
        <v>1:11500:5</v>
      </c>
      <c r="N712" s="16" t="str">
        <f t="shared" si="558"/>
        <v>10017:1</v>
      </c>
      <c r="O712" s="17">
        <f t="shared" si="560"/>
        <v>9</v>
      </c>
      <c r="P712" s="21" t="s">
        <v>4521</v>
      </c>
      <c r="Q712" s="21"/>
      <c r="R712" t="s">
        <v>4490</v>
      </c>
      <c r="T712">
        <v>11</v>
      </c>
      <c r="U712" t="str">
        <f t="shared" si="590"/>
        <v>骑士</v>
      </c>
      <c r="V712" t="s">
        <v>4510</v>
      </c>
      <c r="W712">
        <f>属性类型!G712</f>
        <v>10017</v>
      </c>
      <c r="X712">
        <v>1</v>
      </c>
    </row>
    <row r="713" customFormat="1" ht="16.5" spans="1:24">
      <c r="A713" s="17">
        <f t="shared" si="581"/>
        <v>21811</v>
      </c>
      <c r="B713" s="17">
        <f t="shared" si="579"/>
        <v>21800</v>
      </c>
      <c r="C713" s="17" t="str">
        <f t="shared" ref="C713:C722" si="594">LEFT(A713,1)</f>
        <v>2</v>
      </c>
      <c r="D713" s="12">
        <f t="shared" ref="D713:D722" si="595">$A$469+F713</f>
        <v>20002</v>
      </c>
      <c r="E713" s="17">
        <f t="shared" ref="E713:H713" si="596">E712</f>
        <v>2</v>
      </c>
      <c r="F713" s="17">
        <f t="shared" si="559"/>
        <v>2</v>
      </c>
      <c r="G713" s="17" t="str">
        <f t="shared" si="596"/>
        <v>黑暗骑士攻击百分比</v>
      </c>
      <c r="H713" s="17" t="str">
        <f t="shared" si="596"/>
        <v>qibing02_Lv3</v>
      </c>
      <c r="I713" s="20">
        <v>1.5</v>
      </c>
      <c r="J713" s="17">
        <v>11</v>
      </c>
      <c r="K713" s="17">
        <f t="shared" si="580"/>
        <v>21812</v>
      </c>
      <c r="L713" s="17" t="s">
        <v>529</v>
      </c>
      <c r="M713" s="17" t="str">
        <f t="shared" si="583"/>
        <v>1:11500:5</v>
      </c>
      <c r="N713" s="16" t="str">
        <f t="shared" si="558"/>
        <v>10017:1</v>
      </c>
      <c r="O713" s="17">
        <f t="shared" si="560"/>
        <v>9</v>
      </c>
      <c r="P713" s="21" t="s">
        <v>4522</v>
      </c>
      <c r="Q713" s="21"/>
      <c r="R713" t="s">
        <v>4490</v>
      </c>
      <c r="T713">
        <v>12</v>
      </c>
      <c r="U713" t="str">
        <f t="shared" si="590"/>
        <v>骑士</v>
      </c>
      <c r="V713" t="s">
        <v>4510</v>
      </c>
      <c r="W713">
        <f>属性类型!G713</f>
        <v>10017</v>
      </c>
      <c r="X713">
        <v>1</v>
      </c>
    </row>
    <row r="714" customFormat="1" ht="16.5" spans="1:24">
      <c r="A714" s="17">
        <f t="shared" si="581"/>
        <v>21812</v>
      </c>
      <c r="B714" s="17">
        <f t="shared" si="579"/>
        <v>21800</v>
      </c>
      <c r="C714" s="17" t="str">
        <f t="shared" si="594"/>
        <v>2</v>
      </c>
      <c r="D714" s="12">
        <f t="shared" si="595"/>
        <v>20002</v>
      </c>
      <c r="E714" s="17">
        <f t="shared" ref="E714:H714" si="597">E713</f>
        <v>2</v>
      </c>
      <c r="F714" s="17">
        <f t="shared" si="559"/>
        <v>2</v>
      </c>
      <c r="G714" s="17" t="str">
        <f t="shared" si="597"/>
        <v>黑暗骑士攻击百分比</v>
      </c>
      <c r="H714" s="17" t="str">
        <f t="shared" si="597"/>
        <v>qibing02_Lv3</v>
      </c>
      <c r="I714" s="20">
        <v>1.5</v>
      </c>
      <c r="J714" s="17">
        <v>12</v>
      </c>
      <c r="K714" s="17">
        <f t="shared" si="580"/>
        <v>21813</v>
      </c>
      <c r="L714" s="17" t="s">
        <v>532</v>
      </c>
      <c r="M714" s="17" t="str">
        <f t="shared" si="583"/>
        <v>1:11500:5</v>
      </c>
      <c r="N714" s="16" t="str">
        <f t="shared" si="558"/>
        <v>10017:1</v>
      </c>
      <c r="O714" s="17">
        <f t="shared" si="560"/>
        <v>9</v>
      </c>
      <c r="P714" s="21" t="s">
        <v>4523</v>
      </c>
      <c r="Q714" s="21"/>
      <c r="R714" t="s">
        <v>4490</v>
      </c>
      <c r="T714">
        <v>13</v>
      </c>
      <c r="U714" t="str">
        <f t="shared" si="590"/>
        <v>骑士</v>
      </c>
      <c r="V714" t="s">
        <v>4510</v>
      </c>
      <c r="W714">
        <f>属性类型!G714</f>
        <v>10017</v>
      </c>
      <c r="X714">
        <v>1</v>
      </c>
    </row>
    <row r="715" customFormat="1" ht="16.5" spans="1:24">
      <c r="A715" s="17">
        <f t="shared" si="581"/>
        <v>21813</v>
      </c>
      <c r="B715" s="17">
        <f t="shared" si="579"/>
        <v>21800</v>
      </c>
      <c r="C715" s="17" t="str">
        <f t="shared" si="594"/>
        <v>2</v>
      </c>
      <c r="D715" s="12">
        <f t="shared" si="595"/>
        <v>20002</v>
      </c>
      <c r="E715" s="17">
        <f t="shared" ref="E715:H715" si="598">E714</f>
        <v>2</v>
      </c>
      <c r="F715" s="17">
        <f t="shared" si="559"/>
        <v>2</v>
      </c>
      <c r="G715" s="17" t="str">
        <f t="shared" si="598"/>
        <v>黑暗骑士攻击百分比</v>
      </c>
      <c r="H715" s="17" t="str">
        <f t="shared" si="598"/>
        <v>qibing02_Lv3</v>
      </c>
      <c r="I715" s="20">
        <v>1.5</v>
      </c>
      <c r="J715" s="17">
        <v>13</v>
      </c>
      <c r="K715" s="17">
        <f t="shared" si="580"/>
        <v>21814</v>
      </c>
      <c r="L715" s="17" t="s">
        <v>561</v>
      </c>
      <c r="M715" s="17" t="str">
        <f t="shared" si="583"/>
        <v>1:11500:5</v>
      </c>
      <c r="N715" s="16" t="str">
        <f t="shared" ref="N715:N778" si="599">W715&amp;$W$2&amp;X715</f>
        <v>10017:1</v>
      </c>
      <c r="O715" s="17">
        <f t="shared" si="560"/>
        <v>9</v>
      </c>
      <c r="P715" s="21" t="s">
        <v>4524</v>
      </c>
      <c r="Q715" s="21"/>
      <c r="R715" t="s">
        <v>4490</v>
      </c>
      <c r="T715">
        <v>14</v>
      </c>
      <c r="U715" t="str">
        <f t="shared" si="590"/>
        <v>骑士</v>
      </c>
      <c r="V715" t="s">
        <v>4510</v>
      </c>
      <c r="W715">
        <f>属性类型!G715</f>
        <v>10017</v>
      </c>
      <c r="X715">
        <v>1</v>
      </c>
    </row>
    <row r="716" customFormat="1" ht="16.5" spans="1:24">
      <c r="A716" s="17">
        <f t="shared" si="581"/>
        <v>21814</v>
      </c>
      <c r="B716" s="17">
        <f t="shared" si="579"/>
        <v>21800</v>
      </c>
      <c r="C716" s="17" t="str">
        <f t="shared" si="594"/>
        <v>2</v>
      </c>
      <c r="D716" s="12">
        <f t="shared" si="595"/>
        <v>20002</v>
      </c>
      <c r="E716" s="17">
        <f t="shared" ref="E716:H716" si="600">E715</f>
        <v>2</v>
      </c>
      <c r="F716" s="17">
        <f t="shared" si="559"/>
        <v>2</v>
      </c>
      <c r="G716" s="17" t="str">
        <f t="shared" si="600"/>
        <v>黑暗骑士攻击百分比</v>
      </c>
      <c r="H716" s="17" t="str">
        <f t="shared" si="600"/>
        <v>qibing02_Lv3</v>
      </c>
      <c r="I716" s="20">
        <v>1.5</v>
      </c>
      <c r="J716" s="17">
        <v>14</v>
      </c>
      <c r="K716" s="17">
        <f t="shared" si="580"/>
        <v>21815</v>
      </c>
      <c r="L716" s="17" t="s">
        <v>564</v>
      </c>
      <c r="M716" s="17" t="str">
        <f t="shared" si="583"/>
        <v>1:11500:5</v>
      </c>
      <c r="N716" s="16" t="str">
        <f t="shared" si="599"/>
        <v>10017:1</v>
      </c>
      <c r="O716" s="17">
        <f t="shared" si="560"/>
        <v>9</v>
      </c>
      <c r="P716" s="21" t="s">
        <v>4525</v>
      </c>
      <c r="Q716" s="21"/>
      <c r="R716" t="s">
        <v>4490</v>
      </c>
      <c r="T716">
        <v>15</v>
      </c>
      <c r="U716" t="str">
        <f t="shared" si="590"/>
        <v>骑士</v>
      </c>
      <c r="V716" t="s">
        <v>4510</v>
      </c>
      <c r="W716">
        <f>属性类型!G716</f>
        <v>10017</v>
      </c>
      <c r="X716">
        <v>1</v>
      </c>
    </row>
    <row r="717" customFormat="1" ht="16.5" spans="1:24">
      <c r="A717" s="17">
        <f t="shared" ref="A717:A723" si="601">A716+1</f>
        <v>21815</v>
      </c>
      <c r="B717" s="17">
        <f t="shared" si="579"/>
        <v>21800</v>
      </c>
      <c r="C717" s="17" t="str">
        <f t="shared" si="594"/>
        <v>2</v>
      </c>
      <c r="D717" s="12">
        <f t="shared" si="595"/>
        <v>20002</v>
      </c>
      <c r="E717" s="17">
        <f t="shared" ref="E717:H717" si="602">E716</f>
        <v>2</v>
      </c>
      <c r="F717" s="17">
        <f t="shared" si="559"/>
        <v>2</v>
      </c>
      <c r="G717" s="17" t="str">
        <f t="shared" si="602"/>
        <v>黑暗骑士攻击百分比</v>
      </c>
      <c r="H717" s="17" t="str">
        <f t="shared" si="602"/>
        <v>qibing02_Lv3</v>
      </c>
      <c r="I717" s="20">
        <v>1.5</v>
      </c>
      <c r="J717" s="17">
        <v>15</v>
      </c>
      <c r="K717" s="17">
        <f t="shared" si="580"/>
        <v>21816</v>
      </c>
      <c r="L717" s="17" t="s">
        <v>630</v>
      </c>
      <c r="M717" s="17" t="str">
        <f t="shared" si="583"/>
        <v>1:11500:5</v>
      </c>
      <c r="N717" s="16" t="str">
        <f t="shared" si="599"/>
        <v>10017:1</v>
      </c>
      <c r="O717" s="17">
        <f t="shared" si="560"/>
        <v>9</v>
      </c>
      <c r="P717" s="21" t="s">
        <v>4526</v>
      </c>
      <c r="Q717" s="21"/>
      <c r="R717" t="s">
        <v>4490</v>
      </c>
      <c r="T717">
        <v>15</v>
      </c>
      <c r="U717" t="str">
        <f t="shared" si="590"/>
        <v>骑士</v>
      </c>
      <c r="V717" t="s">
        <v>4510</v>
      </c>
      <c r="W717">
        <f>属性类型!G717</f>
        <v>10017</v>
      </c>
      <c r="X717">
        <v>1</v>
      </c>
    </row>
    <row r="718" customFormat="1" ht="16.5" spans="1:24">
      <c r="A718" s="17">
        <f t="shared" si="601"/>
        <v>21816</v>
      </c>
      <c r="B718" s="17">
        <f t="shared" si="579"/>
        <v>21800</v>
      </c>
      <c r="C718" s="17" t="str">
        <f t="shared" si="594"/>
        <v>2</v>
      </c>
      <c r="D718" s="12">
        <f t="shared" si="595"/>
        <v>20002</v>
      </c>
      <c r="E718" s="17">
        <f t="shared" ref="E718:H718" si="603">E717</f>
        <v>2</v>
      </c>
      <c r="F718" s="17">
        <f t="shared" si="559"/>
        <v>2</v>
      </c>
      <c r="G718" s="17" t="str">
        <f t="shared" si="603"/>
        <v>黑暗骑士攻击百分比</v>
      </c>
      <c r="H718" s="17" t="str">
        <f t="shared" si="603"/>
        <v>qibing02_Lv3</v>
      </c>
      <c r="I718" s="20">
        <v>1.5</v>
      </c>
      <c r="J718" s="17">
        <v>16</v>
      </c>
      <c r="K718" s="17">
        <f t="shared" si="580"/>
        <v>21817</v>
      </c>
      <c r="L718" s="17" t="s">
        <v>633</v>
      </c>
      <c r="M718" s="17" t="str">
        <f t="shared" si="583"/>
        <v>1:11500:5</v>
      </c>
      <c r="N718" s="16" t="str">
        <f t="shared" si="599"/>
        <v>10017:1</v>
      </c>
      <c r="O718" s="17">
        <f t="shared" si="560"/>
        <v>9</v>
      </c>
      <c r="P718" s="21" t="s">
        <v>4527</v>
      </c>
      <c r="Q718" s="21"/>
      <c r="R718" t="s">
        <v>4490</v>
      </c>
      <c r="U718" t="str">
        <f t="shared" si="590"/>
        <v>骑士</v>
      </c>
      <c r="V718" t="s">
        <v>4510</v>
      </c>
      <c r="W718">
        <f>属性类型!G718</f>
        <v>10017</v>
      </c>
      <c r="X718">
        <v>1</v>
      </c>
    </row>
    <row r="719" customFormat="1" ht="16.5" spans="1:24">
      <c r="A719" s="17">
        <f t="shared" si="601"/>
        <v>21817</v>
      </c>
      <c r="B719" s="17">
        <f t="shared" si="579"/>
        <v>21800</v>
      </c>
      <c r="C719" s="17" t="str">
        <f t="shared" si="594"/>
        <v>2</v>
      </c>
      <c r="D719" s="12">
        <f t="shared" si="595"/>
        <v>20002</v>
      </c>
      <c r="E719" s="17">
        <f t="shared" ref="E719:H719" si="604">E718</f>
        <v>2</v>
      </c>
      <c r="F719" s="17">
        <f t="shared" si="559"/>
        <v>2</v>
      </c>
      <c r="G719" s="17" t="str">
        <f t="shared" si="604"/>
        <v>黑暗骑士攻击百分比</v>
      </c>
      <c r="H719" s="17" t="str">
        <f t="shared" si="604"/>
        <v>qibing02_Lv3</v>
      </c>
      <c r="I719" s="20">
        <v>1.5</v>
      </c>
      <c r="J719" s="17">
        <v>17</v>
      </c>
      <c r="K719" s="17">
        <f t="shared" si="580"/>
        <v>21818</v>
      </c>
      <c r="L719" s="17" t="s">
        <v>637</v>
      </c>
      <c r="M719" s="17" t="str">
        <f t="shared" si="583"/>
        <v>1:11500:5</v>
      </c>
      <c r="N719" s="16" t="str">
        <f t="shared" si="599"/>
        <v>10017:1</v>
      </c>
      <c r="O719" s="17">
        <f t="shared" si="560"/>
        <v>9</v>
      </c>
      <c r="P719" s="21" t="s">
        <v>4528</v>
      </c>
      <c r="Q719" s="21"/>
      <c r="R719" t="s">
        <v>4490</v>
      </c>
      <c r="U719" t="str">
        <f t="shared" si="590"/>
        <v>骑士</v>
      </c>
      <c r="V719" t="s">
        <v>4510</v>
      </c>
      <c r="W719">
        <f>属性类型!G719</f>
        <v>10017</v>
      </c>
      <c r="X719">
        <v>1</v>
      </c>
    </row>
    <row r="720" customFormat="1" ht="16.5" spans="1:24">
      <c r="A720" s="17">
        <f t="shared" si="601"/>
        <v>21818</v>
      </c>
      <c r="B720" s="17">
        <f t="shared" si="579"/>
        <v>21800</v>
      </c>
      <c r="C720" s="17" t="str">
        <f t="shared" si="594"/>
        <v>2</v>
      </c>
      <c r="D720" s="12">
        <f t="shared" si="595"/>
        <v>20002</v>
      </c>
      <c r="E720" s="17">
        <f t="shared" ref="E720:H720" si="605">E719</f>
        <v>2</v>
      </c>
      <c r="F720" s="17">
        <f t="shared" ref="F720:F783" si="606">MID(B720,2,1)+1</f>
        <v>2</v>
      </c>
      <c r="G720" s="17" t="str">
        <f t="shared" si="605"/>
        <v>黑暗骑士攻击百分比</v>
      </c>
      <c r="H720" s="17" t="str">
        <f t="shared" si="605"/>
        <v>qibing02_Lv3</v>
      </c>
      <c r="I720" s="20">
        <v>1.5</v>
      </c>
      <c r="J720" s="17">
        <v>18</v>
      </c>
      <c r="K720" s="17">
        <f t="shared" si="580"/>
        <v>21819</v>
      </c>
      <c r="L720" s="17" t="s">
        <v>641</v>
      </c>
      <c r="M720" s="17" t="str">
        <f t="shared" si="583"/>
        <v>1:11500:5</v>
      </c>
      <c r="N720" s="16" t="str">
        <f t="shared" si="599"/>
        <v>10017:1</v>
      </c>
      <c r="O720" s="17">
        <f t="shared" ref="O720:O783" si="607">MID(A720,3,1)+1</f>
        <v>9</v>
      </c>
      <c r="P720" s="21" t="s">
        <v>4529</v>
      </c>
      <c r="Q720" s="21"/>
      <c r="R720" t="s">
        <v>4490</v>
      </c>
      <c r="U720" t="str">
        <f t="shared" si="590"/>
        <v>骑士</v>
      </c>
      <c r="V720" t="s">
        <v>4510</v>
      </c>
      <c r="W720">
        <f>属性类型!G720</f>
        <v>10017</v>
      </c>
      <c r="X720">
        <v>1</v>
      </c>
    </row>
    <row r="721" customFormat="1" ht="16.5" spans="1:24">
      <c r="A721" s="17">
        <f t="shared" si="601"/>
        <v>21819</v>
      </c>
      <c r="B721" s="17">
        <f t="shared" si="579"/>
        <v>21800</v>
      </c>
      <c r="C721" s="17" t="str">
        <f t="shared" si="594"/>
        <v>2</v>
      </c>
      <c r="D721" s="12">
        <f t="shared" si="595"/>
        <v>20002</v>
      </c>
      <c r="E721" s="17">
        <f t="shared" ref="E721:H721" si="608">E720</f>
        <v>2</v>
      </c>
      <c r="F721" s="17">
        <f t="shared" si="606"/>
        <v>2</v>
      </c>
      <c r="G721" s="17" t="str">
        <f t="shared" si="608"/>
        <v>黑暗骑士攻击百分比</v>
      </c>
      <c r="H721" s="17" t="str">
        <f t="shared" si="608"/>
        <v>qibing02_Lv3</v>
      </c>
      <c r="I721" s="20">
        <v>1.5</v>
      </c>
      <c r="J721" s="17">
        <v>19</v>
      </c>
      <c r="K721" s="17">
        <f t="shared" si="580"/>
        <v>21820</v>
      </c>
      <c r="L721" s="17" t="s">
        <v>645</v>
      </c>
      <c r="M721" s="17" t="str">
        <f t="shared" si="583"/>
        <v>1:11500:5</v>
      </c>
      <c r="N721" s="16" t="str">
        <f t="shared" si="599"/>
        <v>10017:1</v>
      </c>
      <c r="O721" s="17">
        <f t="shared" si="607"/>
        <v>9</v>
      </c>
      <c r="P721" s="21" t="s">
        <v>4530</v>
      </c>
      <c r="Q721" s="21"/>
      <c r="R721" t="s">
        <v>4490</v>
      </c>
      <c r="U721" t="str">
        <f t="shared" si="590"/>
        <v>骑士</v>
      </c>
      <c r="V721" t="s">
        <v>4510</v>
      </c>
      <c r="W721">
        <f>属性类型!G721</f>
        <v>10017</v>
      </c>
      <c r="X721">
        <v>1</v>
      </c>
    </row>
    <row r="722" customFormat="1" ht="16.5" spans="1:24">
      <c r="A722" s="17">
        <f t="shared" si="601"/>
        <v>21820</v>
      </c>
      <c r="B722" s="17">
        <f t="shared" si="579"/>
        <v>21800</v>
      </c>
      <c r="C722" s="17" t="str">
        <f t="shared" si="594"/>
        <v>2</v>
      </c>
      <c r="D722" s="12">
        <f t="shared" si="595"/>
        <v>20002</v>
      </c>
      <c r="E722" s="17">
        <f t="shared" ref="E722:H722" si="609">E721</f>
        <v>2</v>
      </c>
      <c r="F722" s="17">
        <f t="shared" si="606"/>
        <v>2</v>
      </c>
      <c r="G722" s="17" t="str">
        <f t="shared" si="609"/>
        <v>黑暗骑士攻击百分比</v>
      </c>
      <c r="H722" s="17" t="str">
        <f t="shared" si="609"/>
        <v>qibing02_Lv3</v>
      </c>
      <c r="I722" s="20">
        <v>1.5</v>
      </c>
      <c r="J722" s="17">
        <v>20</v>
      </c>
      <c r="K722" s="17">
        <v>0</v>
      </c>
      <c r="L722" s="17">
        <v>0</v>
      </c>
      <c r="M722" s="17" t="str">
        <f t="shared" si="583"/>
        <v>1:11500:5</v>
      </c>
      <c r="N722" s="16" t="str">
        <f t="shared" si="599"/>
        <v>10017:1</v>
      </c>
      <c r="O722" s="17">
        <f t="shared" si="607"/>
        <v>9</v>
      </c>
      <c r="P722" s="21" t="s">
        <v>4530</v>
      </c>
      <c r="Q722" s="21"/>
      <c r="R722" t="s">
        <v>4490</v>
      </c>
      <c r="U722" t="str">
        <f t="shared" si="590"/>
        <v>骑士</v>
      </c>
      <c r="V722" t="s">
        <v>4510</v>
      </c>
      <c r="W722">
        <f>属性类型!G722</f>
        <v>10017</v>
      </c>
      <c r="X722">
        <v>1</v>
      </c>
    </row>
    <row r="723" customFormat="1" ht="16.5" spans="1:24">
      <c r="A723" s="18">
        <f>A702+100</f>
        <v>21900</v>
      </c>
      <c r="B723" s="18">
        <f t="shared" si="579"/>
        <v>21900</v>
      </c>
      <c r="C723" s="18" t="str">
        <f t="shared" ref="C723:C764" si="610">LEFT(A723,1)</f>
        <v>2</v>
      </c>
      <c r="D723" s="12">
        <f t="shared" ref="D723:D770" si="611">$A$469+F723</f>
        <v>20002</v>
      </c>
      <c r="E723" s="17">
        <f>E722</f>
        <v>2</v>
      </c>
      <c r="F723" s="18">
        <f t="shared" si="606"/>
        <v>2</v>
      </c>
      <c r="G723" s="18" t="s">
        <v>4531</v>
      </c>
      <c r="H723" s="18" t="s">
        <v>980</v>
      </c>
      <c r="I723" s="20">
        <v>1.5</v>
      </c>
      <c r="J723" s="18">
        <v>0</v>
      </c>
      <c r="K723" s="18">
        <f t="shared" ref="K723:K742" si="612">A724</f>
        <v>21901</v>
      </c>
      <c r="L723" s="18" t="s">
        <v>206</v>
      </c>
      <c r="M723" s="18" t="s">
        <v>502</v>
      </c>
      <c r="N723" s="16" t="str">
        <f t="shared" si="599"/>
        <v>10018:1</v>
      </c>
      <c r="O723" s="18">
        <f t="shared" si="607"/>
        <v>10</v>
      </c>
      <c r="P723" s="21" t="s">
        <v>4532</v>
      </c>
      <c r="Q723" s="21"/>
      <c r="R723" t="s">
        <v>4490</v>
      </c>
      <c r="T723" t="str">
        <f>RIGHT(N723,1)</f>
        <v>1</v>
      </c>
      <c r="U723" t="str">
        <f t="shared" si="590"/>
        <v>骑士</v>
      </c>
      <c r="V723" t="s">
        <v>4531</v>
      </c>
      <c r="W723">
        <f>属性类型!G723</f>
        <v>10018</v>
      </c>
      <c r="X723">
        <v>1</v>
      </c>
    </row>
    <row r="724" customFormat="1" ht="16.5" spans="1:24">
      <c r="A724" s="17">
        <f t="shared" ref="A724:A743" si="613">A723+1</f>
        <v>21901</v>
      </c>
      <c r="B724" s="17">
        <f t="shared" si="579"/>
        <v>21900</v>
      </c>
      <c r="C724" s="17" t="str">
        <f t="shared" si="610"/>
        <v>2</v>
      </c>
      <c r="D724" s="12">
        <f t="shared" si="611"/>
        <v>20002</v>
      </c>
      <c r="E724" s="17">
        <f t="shared" ref="E724:H724" si="614">E723</f>
        <v>2</v>
      </c>
      <c r="F724" s="17">
        <f t="shared" si="606"/>
        <v>2</v>
      </c>
      <c r="G724" s="17" t="str">
        <f t="shared" si="614"/>
        <v>黑暗骑士魔防百分比</v>
      </c>
      <c r="H724" s="17" t="str">
        <f t="shared" si="614"/>
        <v>qibing02_Lv3</v>
      </c>
      <c r="I724" s="20">
        <v>1.5</v>
      </c>
      <c r="J724" s="17">
        <v>1</v>
      </c>
      <c r="K724" s="17">
        <f t="shared" si="612"/>
        <v>21902</v>
      </c>
      <c r="L724" s="17" t="s">
        <v>211</v>
      </c>
      <c r="M724" s="17" t="str">
        <f t="shared" ref="M724:M743" si="615">M723</f>
        <v>1:11600:5</v>
      </c>
      <c r="N724" s="16" t="str">
        <f t="shared" si="599"/>
        <v>10018:1</v>
      </c>
      <c r="O724" s="17">
        <f t="shared" si="607"/>
        <v>10</v>
      </c>
      <c r="P724" s="21" t="s">
        <v>4533</v>
      </c>
      <c r="Q724" s="21"/>
      <c r="R724" t="s">
        <v>4490</v>
      </c>
      <c r="T724" t="str">
        <f t="shared" ref="T724:T743" si="616">RIGHT(N724,2)</f>
        <v>:1</v>
      </c>
      <c r="U724" t="str">
        <f t="shared" si="590"/>
        <v>骑士</v>
      </c>
      <c r="V724" t="s">
        <v>4531</v>
      </c>
      <c r="W724">
        <f>属性类型!G724</f>
        <v>10018</v>
      </c>
      <c r="X724">
        <v>1</v>
      </c>
    </row>
    <row r="725" customFormat="1" ht="16.5" spans="1:24">
      <c r="A725" s="17">
        <f t="shared" si="613"/>
        <v>21902</v>
      </c>
      <c r="B725" s="17">
        <f t="shared" si="579"/>
        <v>21900</v>
      </c>
      <c r="C725" s="17" t="str">
        <f t="shared" si="610"/>
        <v>2</v>
      </c>
      <c r="D725" s="12">
        <f t="shared" si="611"/>
        <v>20002</v>
      </c>
      <c r="E725" s="17">
        <f t="shared" ref="E725:H725" si="617">E724</f>
        <v>2</v>
      </c>
      <c r="F725" s="17">
        <f t="shared" si="606"/>
        <v>2</v>
      </c>
      <c r="G725" s="17" t="str">
        <f t="shared" si="617"/>
        <v>黑暗骑士魔防百分比</v>
      </c>
      <c r="H725" s="17" t="str">
        <f t="shared" si="617"/>
        <v>qibing02_Lv3</v>
      </c>
      <c r="I725" s="20">
        <v>1.5</v>
      </c>
      <c r="J725" s="17">
        <v>2</v>
      </c>
      <c r="K725" s="17">
        <f t="shared" si="612"/>
        <v>21903</v>
      </c>
      <c r="L725" s="17" t="s">
        <v>215</v>
      </c>
      <c r="M725" s="17" t="str">
        <f t="shared" si="615"/>
        <v>1:11600:5</v>
      </c>
      <c r="N725" s="16" t="str">
        <f t="shared" si="599"/>
        <v>10018:1</v>
      </c>
      <c r="O725" s="17">
        <f t="shared" si="607"/>
        <v>10</v>
      </c>
      <c r="P725" s="21" t="s">
        <v>4534</v>
      </c>
      <c r="Q725" s="21"/>
      <c r="R725" t="s">
        <v>4490</v>
      </c>
      <c r="T725" t="str">
        <f t="shared" si="616"/>
        <v>:1</v>
      </c>
      <c r="U725" t="str">
        <f t="shared" si="590"/>
        <v>骑士</v>
      </c>
      <c r="V725" t="s">
        <v>4531</v>
      </c>
      <c r="W725">
        <f>属性类型!G725</f>
        <v>10018</v>
      </c>
      <c r="X725">
        <v>1</v>
      </c>
    </row>
    <row r="726" customFormat="1" ht="16.5" spans="1:24">
      <c r="A726" s="17">
        <f t="shared" si="613"/>
        <v>21903</v>
      </c>
      <c r="B726" s="17">
        <f t="shared" si="579"/>
        <v>21900</v>
      </c>
      <c r="C726" s="17" t="str">
        <f t="shared" si="610"/>
        <v>2</v>
      </c>
      <c r="D726" s="12">
        <f t="shared" si="611"/>
        <v>20002</v>
      </c>
      <c r="E726" s="17">
        <f t="shared" ref="E726:H726" si="618">E725</f>
        <v>2</v>
      </c>
      <c r="F726" s="17">
        <f t="shared" si="606"/>
        <v>2</v>
      </c>
      <c r="G726" s="17" t="str">
        <f t="shared" si="618"/>
        <v>黑暗骑士魔防百分比</v>
      </c>
      <c r="H726" s="17" t="str">
        <f t="shared" si="618"/>
        <v>qibing02_Lv3</v>
      </c>
      <c r="I726" s="20">
        <v>1.5</v>
      </c>
      <c r="J726" s="17">
        <v>3</v>
      </c>
      <c r="K726" s="17">
        <f t="shared" si="612"/>
        <v>21904</v>
      </c>
      <c r="L726" s="17" t="s">
        <v>218</v>
      </c>
      <c r="M726" s="17" t="str">
        <f t="shared" si="615"/>
        <v>1:11600:5</v>
      </c>
      <c r="N726" s="16" t="str">
        <f t="shared" si="599"/>
        <v>10018:1</v>
      </c>
      <c r="O726" s="17">
        <f t="shared" si="607"/>
        <v>10</v>
      </c>
      <c r="P726" s="21" t="s">
        <v>4535</v>
      </c>
      <c r="Q726" s="21"/>
      <c r="R726" t="s">
        <v>4490</v>
      </c>
      <c r="T726" t="str">
        <f t="shared" si="616"/>
        <v>:1</v>
      </c>
      <c r="U726" t="str">
        <f t="shared" si="590"/>
        <v>骑士</v>
      </c>
      <c r="V726" t="s">
        <v>4531</v>
      </c>
      <c r="W726">
        <f>属性类型!G726</f>
        <v>10018</v>
      </c>
      <c r="X726">
        <v>1</v>
      </c>
    </row>
    <row r="727" customFormat="1" ht="16.5" spans="1:24">
      <c r="A727" s="17">
        <f t="shared" si="613"/>
        <v>21904</v>
      </c>
      <c r="B727" s="17">
        <f t="shared" si="579"/>
        <v>21900</v>
      </c>
      <c r="C727" s="17" t="str">
        <f t="shared" si="610"/>
        <v>2</v>
      </c>
      <c r="D727" s="12">
        <f t="shared" si="611"/>
        <v>20002</v>
      </c>
      <c r="E727" s="17">
        <f t="shared" ref="E727:H727" si="619">E726</f>
        <v>2</v>
      </c>
      <c r="F727" s="17">
        <f t="shared" si="606"/>
        <v>2</v>
      </c>
      <c r="G727" s="17" t="str">
        <f t="shared" si="619"/>
        <v>黑暗骑士魔防百分比</v>
      </c>
      <c r="H727" s="17" t="str">
        <f t="shared" si="619"/>
        <v>qibing02_Lv3</v>
      </c>
      <c r="I727" s="20">
        <v>1.5</v>
      </c>
      <c r="J727" s="17">
        <v>4</v>
      </c>
      <c r="K727" s="17">
        <f t="shared" si="612"/>
        <v>21905</v>
      </c>
      <c r="L727" s="17" t="s">
        <v>221</v>
      </c>
      <c r="M727" s="17" t="str">
        <f t="shared" si="615"/>
        <v>1:11600:5</v>
      </c>
      <c r="N727" s="16" t="str">
        <f t="shared" si="599"/>
        <v>10018:1</v>
      </c>
      <c r="O727" s="17">
        <f t="shared" si="607"/>
        <v>10</v>
      </c>
      <c r="P727" s="21" t="s">
        <v>4536</v>
      </c>
      <c r="Q727" s="21"/>
      <c r="R727" t="s">
        <v>4490</v>
      </c>
      <c r="T727" t="str">
        <f t="shared" si="616"/>
        <v>:1</v>
      </c>
      <c r="U727" t="str">
        <f t="shared" si="590"/>
        <v>骑士</v>
      </c>
      <c r="V727" t="s">
        <v>4531</v>
      </c>
      <c r="W727">
        <f>属性类型!G727</f>
        <v>10018</v>
      </c>
      <c r="X727">
        <v>1</v>
      </c>
    </row>
    <row r="728" customFormat="1" ht="16.5" spans="1:24">
      <c r="A728" s="17">
        <f t="shared" si="613"/>
        <v>21905</v>
      </c>
      <c r="B728" s="17">
        <f t="shared" si="579"/>
        <v>21900</v>
      </c>
      <c r="C728" s="17" t="str">
        <f t="shared" si="610"/>
        <v>2</v>
      </c>
      <c r="D728" s="12">
        <f t="shared" si="611"/>
        <v>20002</v>
      </c>
      <c r="E728" s="17">
        <f t="shared" ref="E728:H728" si="620">E727</f>
        <v>2</v>
      </c>
      <c r="F728" s="17">
        <f t="shared" si="606"/>
        <v>2</v>
      </c>
      <c r="G728" s="17" t="str">
        <f t="shared" si="620"/>
        <v>黑暗骑士魔防百分比</v>
      </c>
      <c r="H728" s="17" t="str">
        <f t="shared" si="620"/>
        <v>qibing02_Lv3</v>
      </c>
      <c r="I728" s="20">
        <v>1.5</v>
      </c>
      <c r="J728" s="17">
        <v>5</v>
      </c>
      <c r="K728" s="17">
        <f t="shared" si="612"/>
        <v>21906</v>
      </c>
      <c r="L728" s="17" t="s">
        <v>224</v>
      </c>
      <c r="M728" s="17" t="str">
        <f t="shared" si="615"/>
        <v>1:11600:5</v>
      </c>
      <c r="N728" s="16" t="str">
        <f t="shared" si="599"/>
        <v>10018:1</v>
      </c>
      <c r="O728" s="17">
        <f t="shared" si="607"/>
        <v>10</v>
      </c>
      <c r="P728" s="21" t="s">
        <v>4537</v>
      </c>
      <c r="Q728" s="21"/>
      <c r="R728" t="s">
        <v>4490</v>
      </c>
      <c r="T728" t="str">
        <f t="shared" si="616"/>
        <v>:1</v>
      </c>
      <c r="U728" t="str">
        <f t="shared" si="590"/>
        <v>骑士</v>
      </c>
      <c r="V728" t="s">
        <v>4531</v>
      </c>
      <c r="W728">
        <f>属性类型!G728</f>
        <v>10018</v>
      </c>
      <c r="X728">
        <v>1</v>
      </c>
    </row>
    <row r="729" customFormat="1" ht="16.5" spans="1:24">
      <c r="A729" s="17">
        <f t="shared" si="613"/>
        <v>21906</v>
      </c>
      <c r="B729" s="17">
        <f t="shared" si="579"/>
        <v>21900</v>
      </c>
      <c r="C729" s="17" t="str">
        <f t="shared" si="610"/>
        <v>2</v>
      </c>
      <c r="D729" s="12">
        <f t="shared" si="611"/>
        <v>20002</v>
      </c>
      <c r="E729" s="17">
        <f t="shared" ref="E729:H729" si="621">E728</f>
        <v>2</v>
      </c>
      <c r="F729" s="17">
        <f t="shared" si="606"/>
        <v>2</v>
      </c>
      <c r="G729" s="17" t="str">
        <f t="shared" si="621"/>
        <v>黑暗骑士魔防百分比</v>
      </c>
      <c r="H729" s="17" t="str">
        <f t="shared" si="621"/>
        <v>qibing02_Lv3</v>
      </c>
      <c r="I729" s="20">
        <v>1.5</v>
      </c>
      <c r="J729" s="17">
        <v>6</v>
      </c>
      <c r="K729" s="17">
        <f t="shared" si="612"/>
        <v>21907</v>
      </c>
      <c r="L729" s="17" t="s">
        <v>227</v>
      </c>
      <c r="M729" s="17" t="str">
        <f t="shared" si="615"/>
        <v>1:11600:5</v>
      </c>
      <c r="N729" s="16" t="str">
        <f t="shared" si="599"/>
        <v>10018:1</v>
      </c>
      <c r="O729" s="17">
        <f t="shared" si="607"/>
        <v>10</v>
      </c>
      <c r="P729" s="21" t="s">
        <v>4538</v>
      </c>
      <c r="Q729" s="21"/>
      <c r="R729" t="s">
        <v>4490</v>
      </c>
      <c r="T729" t="str">
        <f t="shared" si="616"/>
        <v>:1</v>
      </c>
      <c r="U729" t="str">
        <f t="shared" si="590"/>
        <v>骑士</v>
      </c>
      <c r="V729" t="s">
        <v>4531</v>
      </c>
      <c r="W729">
        <f>属性类型!G729</f>
        <v>10018</v>
      </c>
      <c r="X729">
        <v>1</v>
      </c>
    </row>
    <row r="730" customFormat="1" ht="16.5" spans="1:24">
      <c r="A730" s="17">
        <f t="shared" si="613"/>
        <v>21907</v>
      </c>
      <c r="B730" s="17">
        <f t="shared" si="579"/>
        <v>21900</v>
      </c>
      <c r="C730" s="17" t="str">
        <f t="shared" si="610"/>
        <v>2</v>
      </c>
      <c r="D730" s="12">
        <f t="shared" si="611"/>
        <v>20002</v>
      </c>
      <c r="E730" s="17">
        <f t="shared" ref="E730:H730" si="622">E729</f>
        <v>2</v>
      </c>
      <c r="F730" s="17">
        <f t="shared" si="606"/>
        <v>2</v>
      </c>
      <c r="G730" s="17" t="str">
        <f t="shared" si="622"/>
        <v>黑暗骑士魔防百分比</v>
      </c>
      <c r="H730" s="17" t="str">
        <f t="shared" si="622"/>
        <v>qibing02_Lv3</v>
      </c>
      <c r="I730" s="20">
        <v>1.5</v>
      </c>
      <c r="J730" s="17">
        <v>7</v>
      </c>
      <c r="K730" s="17">
        <f t="shared" si="612"/>
        <v>21908</v>
      </c>
      <c r="L730" s="17" t="s">
        <v>230</v>
      </c>
      <c r="M730" s="17" t="str">
        <f t="shared" si="615"/>
        <v>1:11600:5</v>
      </c>
      <c r="N730" s="16" t="str">
        <f t="shared" si="599"/>
        <v>10018:1</v>
      </c>
      <c r="O730" s="17">
        <f t="shared" si="607"/>
        <v>10</v>
      </c>
      <c r="P730" s="21" t="s">
        <v>4539</v>
      </c>
      <c r="Q730" s="21"/>
      <c r="R730" t="s">
        <v>4490</v>
      </c>
      <c r="T730" t="str">
        <f t="shared" si="616"/>
        <v>:1</v>
      </c>
      <c r="U730" t="str">
        <f t="shared" si="590"/>
        <v>骑士</v>
      </c>
      <c r="V730" t="s">
        <v>4531</v>
      </c>
      <c r="W730">
        <f>属性类型!G730</f>
        <v>10018</v>
      </c>
      <c r="X730">
        <v>1</v>
      </c>
    </row>
    <row r="731" customFormat="1" ht="16.5" spans="1:24">
      <c r="A731" s="17">
        <f t="shared" si="613"/>
        <v>21908</v>
      </c>
      <c r="B731" s="17">
        <f t="shared" si="579"/>
        <v>21900</v>
      </c>
      <c r="C731" s="17" t="str">
        <f t="shared" si="610"/>
        <v>2</v>
      </c>
      <c r="D731" s="12">
        <f t="shared" si="611"/>
        <v>20002</v>
      </c>
      <c r="E731" s="17">
        <f t="shared" ref="E731:H731" si="623">E730</f>
        <v>2</v>
      </c>
      <c r="F731" s="17">
        <f t="shared" si="606"/>
        <v>2</v>
      </c>
      <c r="G731" s="17" t="str">
        <f t="shared" si="623"/>
        <v>黑暗骑士魔防百分比</v>
      </c>
      <c r="H731" s="17" t="str">
        <f t="shared" si="623"/>
        <v>qibing02_Lv3</v>
      </c>
      <c r="I731" s="20">
        <v>1.5</v>
      </c>
      <c r="J731" s="17">
        <v>8</v>
      </c>
      <c r="K731" s="17">
        <f t="shared" si="612"/>
        <v>21909</v>
      </c>
      <c r="L731" s="17" t="s">
        <v>233</v>
      </c>
      <c r="M731" s="17" t="str">
        <f t="shared" si="615"/>
        <v>1:11600:5</v>
      </c>
      <c r="N731" s="16" t="str">
        <f t="shared" si="599"/>
        <v>10018:1</v>
      </c>
      <c r="O731" s="17">
        <f t="shared" si="607"/>
        <v>10</v>
      </c>
      <c r="P731" s="21" t="s">
        <v>4540</v>
      </c>
      <c r="Q731" s="21"/>
      <c r="R731" t="s">
        <v>4490</v>
      </c>
      <c r="T731" t="str">
        <f t="shared" si="616"/>
        <v>:1</v>
      </c>
      <c r="U731" t="str">
        <f t="shared" si="590"/>
        <v>骑士</v>
      </c>
      <c r="V731" t="s">
        <v>4531</v>
      </c>
      <c r="W731">
        <f>属性类型!G731</f>
        <v>10018</v>
      </c>
      <c r="X731">
        <v>1</v>
      </c>
    </row>
    <row r="732" customFormat="1" ht="16.5" spans="1:24">
      <c r="A732" s="17">
        <f t="shared" si="613"/>
        <v>21909</v>
      </c>
      <c r="B732" s="17">
        <f t="shared" si="579"/>
        <v>21900</v>
      </c>
      <c r="C732" s="17" t="str">
        <f t="shared" si="610"/>
        <v>2</v>
      </c>
      <c r="D732" s="12">
        <f t="shared" si="611"/>
        <v>20002</v>
      </c>
      <c r="E732" s="17">
        <f t="shared" ref="E732:H732" si="624">E731</f>
        <v>2</v>
      </c>
      <c r="F732" s="17">
        <f t="shared" si="606"/>
        <v>2</v>
      </c>
      <c r="G732" s="17" t="str">
        <f t="shared" si="624"/>
        <v>黑暗骑士魔防百分比</v>
      </c>
      <c r="H732" s="17" t="str">
        <f t="shared" si="624"/>
        <v>qibing02_Lv3</v>
      </c>
      <c r="I732" s="20">
        <v>1.5</v>
      </c>
      <c r="J732" s="17">
        <v>9</v>
      </c>
      <c r="K732" s="17">
        <f t="shared" si="612"/>
        <v>21910</v>
      </c>
      <c r="L732" s="17" t="s">
        <v>236</v>
      </c>
      <c r="M732" s="17" t="str">
        <f t="shared" si="615"/>
        <v>1:11600:5</v>
      </c>
      <c r="N732" s="16" t="str">
        <f t="shared" si="599"/>
        <v>10018:1</v>
      </c>
      <c r="O732" s="17">
        <f t="shared" si="607"/>
        <v>10</v>
      </c>
      <c r="P732" s="21" t="s">
        <v>4541</v>
      </c>
      <c r="Q732" s="21"/>
      <c r="R732" t="s">
        <v>4490</v>
      </c>
      <c r="T732" t="str">
        <f t="shared" si="616"/>
        <v>:1</v>
      </c>
      <c r="U732" t="str">
        <f t="shared" si="590"/>
        <v>骑士</v>
      </c>
      <c r="V732" t="s">
        <v>4531</v>
      </c>
      <c r="W732">
        <f>属性类型!G732</f>
        <v>10018</v>
      </c>
      <c r="X732">
        <v>1</v>
      </c>
    </row>
    <row r="733" customFormat="1" ht="16.5" spans="1:24">
      <c r="A733" s="17">
        <f t="shared" si="613"/>
        <v>21910</v>
      </c>
      <c r="B733" s="17">
        <f t="shared" si="579"/>
        <v>21900</v>
      </c>
      <c r="C733" s="17" t="str">
        <f t="shared" si="610"/>
        <v>2</v>
      </c>
      <c r="D733" s="12">
        <f t="shared" si="611"/>
        <v>20002</v>
      </c>
      <c r="E733" s="17">
        <f t="shared" ref="E733:H733" si="625">E732</f>
        <v>2</v>
      </c>
      <c r="F733" s="17">
        <f t="shared" si="606"/>
        <v>2</v>
      </c>
      <c r="G733" s="17" t="str">
        <f t="shared" si="625"/>
        <v>黑暗骑士魔防百分比</v>
      </c>
      <c r="H733" s="17" t="str">
        <f t="shared" si="625"/>
        <v>qibing02_Lv3</v>
      </c>
      <c r="I733" s="20">
        <v>1.5</v>
      </c>
      <c r="J733" s="17">
        <v>10</v>
      </c>
      <c r="K733" s="17">
        <f t="shared" si="612"/>
        <v>21911</v>
      </c>
      <c r="L733" s="17" t="s">
        <v>238</v>
      </c>
      <c r="M733" s="17" t="str">
        <f t="shared" si="615"/>
        <v>1:11600:5</v>
      </c>
      <c r="N733" s="16" t="str">
        <f t="shared" si="599"/>
        <v>10018:1</v>
      </c>
      <c r="O733" s="17">
        <f t="shared" si="607"/>
        <v>10</v>
      </c>
      <c r="P733" s="21" t="s">
        <v>4542</v>
      </c>
      <c r="Q733" s="21"/>
      <c r="R733" t="s">
        <v>4490</v>
      </c>
      <c r="T733" t="str">
        <f t="shared" si="616"/>
        <v>:1</v>
      </c>
      <c r="U733" t="str">
        <f t="shared" si="590"/>
        <v>骑士</v>
      </c>
      <c r="V733" t="s">
        <v>4531</v>
      </c>
      <c r="W733">
        <f>属性类型!G733</f>
        <v>10018</v>
      </c>
      <c r="X733">
        <v>1</v>
      </c>
    </row>
    <row r="734" customFormat="1" ht="16.5" spans="1:24">
      <c r="A734" s="17">
        <f t="shared" si="613"/>
        <v>21911</v>
      </c>
      <c r="B734" s="17">
        <f t="shared" ref="B734:B744" si="626">ROUND(A734,-2)</f>
        <v>21900</v>
      </c>
      <c r="C734" s="17" t="str">
        <f t="shared" si="610"/>
        <v>2</v>
      </c>
      <c r="D734" s="12">
        <f t="shared" si="611"/>
        <v>20002</v>
      </c>
      <c r="E734" s="17">
        <f t="shared" ref="E734:H734" si="627">E733</f>
        <v>2</v>
      </c>
      <c r="F734" s="17">
        <f t="shared" si="606"/>
        <v>2</v>
      </c>
      <c r="G734" s="17" t="str">
        <f t="shared" si="627"/>
        <v>黑暗骑士魔防百分比</v>
      </c>
      <c r="H734" s="17" t="str">
        <f t="shared" si="627"/>
        <v>qibing02_Lv3</v>
      </c>
      <c r="I734" s="20">
        <v>1.5</v>
      </c>
      <c r="J734" s="17">
        <v>11</v>
      </c>
      <c r="K734" s="17">
        <f t="shared" si="612"/>
        <v>21912</v>
      </c>
      <c r="L734" s="17" t="s">
        <v>529</v>
      </c>
      <c r="M734" s="17" t="str">
        <f t="shared" si="615"/>
        <v>1:11600:5</v>
      </c>
      <c r="N734" s="16" t="str">
        <f t="shared" si="599"/>
        <v>10018:1</v>
      </c>
      <c r="O734" s="17">
        <f t="shared" si="607"/>
        <v>10</v>
      </c>
      <c r="P734" s="21" t="s">
        <v>4543</v>
      </c>
      <c r="Q734" s="21"/>
      <c r="R734" t="s">
        <v>4490</v>
      </c>
      <c r="T734" t="str">
        <f t="shared" si="616"/>
        <v>:1</v>
      </c>
      <c r="U734" t="str">
        <f t="shared" si="590"/>
        <v>骑士</v>
      </c>
      <c r="V734" t="s">
        <v>4531</v>
      </c>
      <c r="W734">
        <f>属性类型!G734</f>
        <v>10018</v>
      </c>
      <c r="X734">
        <v>1</v>
      </c>
    </row>
    <row r="735" customFormat="1" ht="16.5" spans="1:24">
      <c r="A735" s="17">
        <f t="shared" si="613"/>
        <v>21912</v>
      </c>
      <c r="B735" s="17">
        <f t="shared" si="626"/>
        <v>21900</v>
      </c>
      <c r="C735" s="17" t="str">
        <f t="shared" si="610"/>
        <v>2</v>
      </c>
      <c r="D735" s="12">
        <f t="shared" si="611"/>
        <v>20002</v>
      </c>
      <c r="E735" s="17">
        <f t="shared" ref="E735:H735" si="628">E734</f>
        <v>2</v>
      </c>
      <c r="F735" s="17">
        <f t="shared" si="606"/>
        <v>2</v>
      </c>
      <c r="G735" s="17" t="str">
        <f t="shared" si="628"/>
        <v>黑暗骑士魔防百分比</v>
      </c>
      <c r="H735" s="17" t="str">
        <f t="shared" si="628"/>
        <v>qibing02_Lv3</v>
      </c>
      <c r="I735" s="20">
        <v>1.5</v>
      </c>
      <c r="J735" s="17">
        <v>12</v>
      </c>
      <c r="K735" s="17">
        <f t="shared" si="612"/>
        <v>21913</v>
      </c>
      <c r="L735" s="17" t="s">
        <v>532</v>
      </c>
      <c r="M735" s="17" t="str">
        <f t="shared" si="615"/>
        <v>1:11600:5</v>
      </c>
      <c r="N735" s="16" t="str">
        <f t="shared" si="599"/>
        <v>10018:1</v>
      </c>
      <c r="O735" s="17">
        <f t="shared" si="607"/>
        <v>10</v>
      </c>
      <c r="P735" s="21" t="s">
        <v>4544</v>
      </c>
      <c r="Q735" s="21"/>
      <c r="R735" t="s">
        <v>4490</v>
      </c>
      <c r="T735" t="str">
        <f t="shared" si="616"/>
        <v>:1</v>
      </c>
      <c r="U735" t="str">
        <f t="shared" si="590"/>
        <v>骑士</v>
      </c>
      <c r="V735" t="s">
        <v>4531</v>
      </c>
      <c r="W735">
        <f>属性类型!G735</f>
        <v>10018</v>
      </c>
      <c r="X735">
        <v>1</v>
      </c>
    </row>
    <row r="736" customFormat="1" ht="16.5" spans="1:24">
      <c r="A736" s="17">
        <f t="shared" si="613"/>
        <v>21913</v>
      </c>
      <c r="B736" s="17">
        <f t="shared" si="626"/>
        <v>21900</v>
      </c>
      <c r="C736" s="17" t="str">
        <f t="shared" si="610"/>
        <v>2</v>
      </c>
      <c r="D736" s="12">
        <f t="shared" si="611"/>
        <v>20002</v>
      </c>
      <c r="E736" s="17">
        <f t="shared" ref="E736:H736" si="629">E735</f>
        <v>2</v>
      </c>
      <c r="F736" s="17">
        <f t="shared" si="606"/>
        <v>2</v>
      </c>
      <c r="G736" s="17" t="str">
        <f t="shared" si="629"/>
        <v>黑暗骑士魔防百分比</v>
      </c>
      <c r="H736" s="17" t="str">
        <f t="shared" si="629"/>
        <v>qibing02_Lv3</v>
      </c>
      <c r="I736" s="20">
        <v>1.5</v>
      </c>
      <c r="J736" s="17">
        <v>13</v>
      </c>
      <c r="K736" s="17">
        <f t="shared" si="612"/>
        <v>21914</v>
      </c>
      <c r="L736" s="17" t="s">
        <v>561</v>
      </c>
      <c r="M736" s="17" t="str">
        <f t="shared" si="615"/>
        <v>1:11600:5</v>
      </c>
      <c r="N736" s="16" t="str">
        <f t="shared" si="599"/>
        <v>10018:1</v>
      </c>
      <c r="O736" s="17">
        <f t="shared" si="607"/>
        <v>10</v>
      </c>
      <c r="P736" s="21" t="s">
        <v>4545</v>
      </c>
      <c r="Q736" s="21"/>
      <c r="R736" t="s">
        <v>4490</v>
      </c>
      <c r="T736" t="str">
        <f t="shared" si="616"/>
        <v>:1</v>
      </c>
      <c r="U736" t="str">
        <f t="shared" si="590"/>
        <v>骑士</v>
      </c>
      <c r="V736" t="s">
        <v>4531</v>
      </c>
      <c r="W736">
        <f>属性类型!G736</f>
        <v>10018</v>
      </c>
      <c r="X736">
        <v>1</v>
      </c>
    </row>
    <row r="737" customFormat="1" ht="16.5" spans="1:24">
      <c r="A737" s="17">
        <f t="shared" si="613"/>
        <v>21914</v>
      </c>
      <c r="B737" s="17">
        <f t="shared" si="626"/>
        <v>21900</v>
      </c>
      <c r="C737" s="17" t="str">
        <f t="shared" si="610"/>
        <v>2</v>
      </c>
      <c r="D737" s="12">
        <f t="shared" si="611"/>
        <v>20002</v>
      </c>
      <c r="E737" s="17">
        <f t="shared" ref="E737:H737" si="630">E736</f>
        <v>2</v>
      </c>
      <c r="F737" s="17">
        <f t="shared" si="606"/>
        <v>2</v>
      </c>
      <c r="G737" s="17" t="str">
        <f t="shared" si="630"/>
        <v>黑暗骑士魔防百分比</v>
      </c>
      <c r="H737" s="17" t="str">
        <f t="shared" si="630"/>
        <v>qibing02_Lv3</v>
      </c>
      <c r="I737" s="20">
        <v>1.5</v>
      </c>
      <c r="J737" s="17">
        <v>14</v>
      </c>
      <c r="K737" s="17">
        <f t="shared" si="612"/>
        <v>21915</v>
      </c>
      <c r="L737" s="17" t="s">
        <v>564</v>
      </c>
      <c r="M737" s="17" t="str">
        <f t="shared" si="615"/>
        <v>1:11600:5</v>
      </c>
      <c r="N737" s="16" t="str">
        <f t="shared" si="599"/>
        <v>10018:1</v>
      </c>
      <c r="O737" s="17">
        <f t="shared" si="607"/>
        <v>10</v>
      </c>
      <c r="P737" s="21" t="s">
        <v>4546</v>
      </c>
      <c r="Q737" s="21"/>
      <c r="R737" t="s">
        <v>4490</v>
      </c>
      <c r="T737" t="str">
        <f t="shared" si="616"/>
        <v>:1</v>
      </c>
      <c r="U737" t="str">
        <f t="shared" si="590"/>
        <v>骑士</v>
      </c>
      <c r="V737" t="s">
        <v>4531</v>
      </c>
      <c r="W737">
        <f>属性类型!G737</f>
        <v>10018</v>
      </c>
      <c r="X737">
        <v>1</v>
      </c>
    </row>
    <row r="738" customFormat="1" ht="16.5" spans="1:24">
      <c r="A738" s="17">
        <f t="shared" si="613"/>
        <v>21915</v>
      </c>
      <c r="B738" s="17">
        <f t="shared" si="626"/>
        <v>21900</v>
      </c>
      <c r="C738" s="17" t="str">
        <f t="shared" si="610"/>
        <v>2</v>
      </c>
      <c r="D738" s="12">
        <f t="shared" si="611"/>
        <v>20002</v>
      </c>
      <c r="E738" s="17">
        <f t="shared" ref="E738:H738" si="631">E737</f>
        <v>2</v>
      </c>
      <c r="F738" s="17">
        <f t="shared" si="606"/>
        <v>2</v>
      </c>
      <c r="G738" s="17" t="str">
        <f t="shared" si="631"/>
        <v>黑暗骑士魔防百分比</v>
      </c>
      <c r="H738" s="17" t="str">
        <f t="shared" si="631"/>
        <v>qibing02_Lv3</v>
      </c>
      <c r="I738" s="20">
        <v>1.5</v>
      </c>
      <c r="J738" s="17">
        <v>15</v>
      </c>
      <c r="K738" s="17">
        <f t="shared" si="612"/>
        <v>21916</v>
      </c>
      <c r="L738" s="17" t="s">
        <v>630</v>
      </c>
      <c r="M738" s="17" t="str">
        <f t="shared" si="615"/>
        <v>1:11600:5</v>
      </c>
      <c r="N738" s="16" t="str">
        <f t="shared" si="599"/>
        <v>10018:1</v>
      </c>
      <c r="O738" s="17">
        <f t="shared" si="607"/>
        <v>10</v>
      </c>
      <c r="P738" s="21" t="s">
        <v>4547</v>
      </c>
      <c r="Q738" s="21"/>
      <c r="R738" t="s">
        <v>4490</v>
      </c>
      <c r="T738" t="str">
        <f t="shared" si="616"/>
        <v>:1</v>
      </c>
      <c r="U738" t="str">
        <f t="shared" si="590"/>
        <v>骑士</v>
      </c>
      <c r="V738" t="s">
        <v>4531</v>
      </c>
      <c r="W738">
        <f>属性类型!G738</f>
        <v>10018</v>
      </c>
      <c r="X738">
        <v>1</v>
      </c>
    </row>
    <row r="739" customFormat="1" ht="16.5" spans="1:24">
      <c r="A739" s="17">
        <f t="shared" si="613"/>
        <v>21916</v>
      </c>
      <c r="B739" s="17">
        <f t="shared" si="626"/>
        <v>21900</v>
      </c>
      <c r="C739" s="17" t="str">
        <f t="shared" si="610"/>
        <v>2</v>
      </c>
      <c r="D739" s="12">
        <f t="shared" si="611"/>
        <v>20002</v>
      </c>
      <c r="E739" s="17">
        <f t="shared" ref="E739:H739" si="632">E738</f>
        <v>2</v>
      </c>
      <c r="F739" s="17">
        <f t="shared" si="606"/>
        <v>2</v>
      </c>
      <c r="G739" s="17" t="str">
        <f t="shared" si="632"/>
        <v>黑暗骑士魔防百分比</v>
      </c>
      <c r="H739" s="17" t="str">
        <f t="shared" si="632"/>
        <v>qibing02_Lv3</v>
      </c>
      <c r="I739" s="20">
        <v>1.5</v>
      </c>
      <c r="J739" s="17">
        <v>16</v>
      </c>
      <c r="K739" s="17">
        <f t="shared" si="612"/>
        <v>21917</v>
      </c>
      <c r="L739" s="17" t="s">
        <v>633</v>
      </c>
      <c r="M739" s="17" t="str">
        <f t="shared" si="615"/>
        <v>1:11600:5</v>
      </c>
      <c r="N739" s="16" t="str">
        <f t="shared" si="599"/>
        <v>10018:1</v>
      </c>
      <c r="O739" s="17">
        <f t="shared" si="607"/>
        <v>10</v>
      </c>
      <c r="P739" s="21" t="s">
        <v>4548</v>
      </c>
      <c r="Q739" s="21"/>
      <c r="R739" t="s">
        <v>4490</v>
      </c>
      <c r="T739" t="str">
        <f t="shared" si="616"/>
        <v>:1</v>
      </c>
      <c r="U739" t="str">
        <f t="shared" si="590"/>
        <v>骑士</v>
      </c>
      <c r="V739" t="s">
        <v>4531</v>
      </c>
      <c r="W739">
        <f>属性类型!G739</f>
        <v>10018</v>
      </c>
      <c r="X739">
        <v>1</v>
      </c>
    </row>
    <row r="740" customFormat="1" ht="16.5" spans="1:24">
      <c r="A740" s="17">
        <f t="shared" si="613"/>
        <v>21917</v>
      </c>
      <c r="B740" s="17">
        <f t="shared" si="626"/>
        <v>21900</v>
      </c>
      <c r="C740" s="17" t="str">
        <f t="shared" si="610"/>
        <v>2</v>
      </c>
      <c r="D740" s="12">
        <f t="shared" si="611"/>
        <v>20002</v>
      </c>
      <c r="E740" s="17">
        <f t="shared" ref="E740:H740" si="633">E739</f>
        <v>2</v>
      </c>
      <c r="F740" s="17">
        <f t="shared" si="606"/>
        <v>2</v>
      </c>
      <c r="G740" s="17" t="str">
        <f t="shared" si="633"/>
        <v>黑暗骑士魔防百分比</v>
      </c>
      <c r="H740" s="17" t="str">
        <f t="shared" si="633"/>
        <v>qibing02_Lv3</v>
      </c>
      <c r="I740" s="20">
        <v>1.5</v>
      </c>
      <c r="J740" s="17">
        <v>17</v>
      </c>
      <c r="K740" s="17">
        <f t="shared" si="612"/>
        <v>21918</v>
      </c>
      <c r="L740" s="17" t="s">
        <v>637</v>
      </c>
      <c r="M740" s="17" t="str">
        <f t="shared" si="615"/>
        <v>1:11600:5</v>
      </c>
      <c r="N740" s="16" t="str">
        <f t="shared" si="599"/>
        <v>10018:1</v>
      </c>
      <c r="O740" s="17">
        <f t="shared" si="607"/>
        <v>10</v>
      </c>
      <c r="P740" s="21" t="s">
        <v>4549</v>
      </c>
      <c r="Q740" s="21"/>
      <c r="R740" t="s">
        <v>4490</v>
      </c>
      <c r="T740" t="str">
        <f t="shared" si="616"/>
        <v>:1</v>
      </c>
      <c r="U740" t="str">
        <f t="shared" si="590"/>
        <v>骑士</v>
      </c>
      <c r="V740" t="s">
        <v>4531</v>
      </c>
      <c r="W740">
        <f>属性类型!G740</f>
        <v>10018</v>
      </c>
      <c r="X740">
        <v>1</v>
      </c>
    </row>
    <row r="741" customFormat="1" ht="16.5" spans="1:24">
      <c r="A741" s="17">
        <f t="shared" si="613"/>
        <v>21918</v>
      </c>
      <c r="B741" s="17">
        <f t="shared" si="626"/>
        <v>21900</v>
      </c>
      <c r="C741" s="17" t="str">
        <f t="shared" si="610"/>
        <v>2</v>
      </c>
      <c r="D741" s="12">
        <f t="shared" si="611"/>
        <v>20002</v>
      </c>
      <c r="E741" s="17">
        <f t="shared" ref="E741:H741" si="634">E740</f>
        <v>2</v>
      </c>
      <c r="F741" s="17">
        <f t="shared" si="606"/>
        <v>2</v>
      </c>
      <c r="G741" s="17" t="str">
        <f t="shared" si="634"/>
        <v>黑暗骑士魔防百分比</v>
      </c>
      <c r="H741" s="17" t="str">
        <f t="shared" si="634"/>
        <v>qibing02_Lv3</v>
      </c>
      <c r="I741" s="20">
        <v>1.5</v>
      </c>
      <c r="J741" s="17">
        <v>18</v>
      </c>
      <c r="K741" s="17">
        <f t="shared" si="612"/>
        <v>21919</v>
      </c>
      <c r="L741" s="17" t="s">
        <v>641</v>
      </c>
      <c r="M741" s="17" t="str">
        <f t="shared" si="615"/>
        <v>1:11600:5</v>
      </c>
      <c r="N741" s="16" t="str">
        <f t="shared" si="599"/>
        <v>10018:1</v>
      </c>
      <c r="O741" s="17">
        <f t="shared" si="607"/>
        <v>10</v>
      </c>
      <c r="P741" s="21" t="s">
        <v>4550</v>
      </c>
      <c r="Q741" s="21"/>
      <c r="R741" t="s">
        <v>4490</v>
      </c>
      <c r="T741" t="str">
        <f t="shared" si="616"/>
        <v>:1</v>
      </c>
      <c r="U741" t="str">
        <f t="shared" si="590"/>
        <v>骑士</v>
      </c>
      <c r="V741" t="s">
        <v>4531</v>
      </c>
      <c r="W741">
        <f>属性类型!G741</f>
        <v>10018</v>
      </c>
      <c r="X741">
        <v>1</v>
      </c>
    </row>
    <row r="742" customFormat="1" ht="16.5" spans="1:24">
      <c r="A742" s="17">
        <f t="shared" si="613"/>
        <v>21919</v>
      </c>
      <c r="B742" s="17">
        <f t="shared" si="626"/>
        <v>21900</v>
      </c>
      <c r="C742" s="17" t="str">
        <f t="shared" si="610"/>
        <v>2</v>
      </c>
      <c r="D742" s="12">
        <f t="shared" si="611"/>
        <v>20002</v>
      </c>
      <c r="E742" s="17">
        <f t="shared" ref="E742:H742" si="635">E741</f>
        <v>2</v>
      </c>
      <c r="F742" s="17">
        <f t="shared" si="606"/>
        <v>2</v>
      </c>
      <c r="G742" s="17" t="str">
        <f t="shared" si="635"/>
        <v>黑暗骑士魔防百分比</v>
      </c>
      <c r="H742" s="17" t="str">
        <f t="shared" si="635"/>
        <v>qibing02_Lv3</v>
      </c>
      <c r="I742" s="20">
        <v>1.5</v>
      </c>
      <c r="J742" s="17">
        <v>19</v>
      </c>
      <c r="K742" s="17">
        <f t="shared" si="612"/>
        <v>21920</v>
      </c>
      <c r="L742" s="17" t="s">
        <v>645</v>
      </c>
      <c r="M742" s="17" t="str">
        <f t="shared" si="615"/>
        <v>1:11600:5</v>
      </c>
      <c r="N742" s="16" t="str">
        <f t="shared" si="599"/>
        <v>10018:1</v>
      </c>
      <c r="O742" s="17">
        <f t="shared" si="607"/>
        <v>10</v>
      </c>
      <c r="P742" s="21" t="s">
        <v>4551</v>
      </c>
      <c r="Q742" s="21"/>
      <c r="R742" t="s">
        <v>4490</v>
      </c>
      <c r="T742" t="str">
        <f t="shared" si="616"/>
        <v>:1</v>
      </c>
      <c r="U742" t="str">
        <f t="shared" si="590"/>
        <v>骑士</v>
      </c>
      <c r="V742" t="s">
        <v>4531</v>
      </c>
      <c r="W742">
        <f>属性类型!G742</f>
        <v>10018</v>
      </c>
      <c r="X742">
        <v>1</v>
      </c>
    </row>
    <row r="743" customFormat="1" ht="16.5" spans="1:24">
      <c r="A743" s="17">
        <f t="shared" si="613"/>
        <v>21920</v>
      </c>
      <c r="B743" s="17">
        <f t="shared" si="626"/>
        <v>21900</v>
      </c>
      <c r="C743" s="17" t="str">
        <f t="shared" si="610"/>
        <v>2</v>
      </c>
      <c r="D743" s="12">
        <f t="shared" si="611"/>
        <v>20002</v>
      </c>
      <c r="E743" s="17">
        <f t="shared" ref="E743:H743" si="636">E742</f>
        <v>2</v>
      </c>
      <c r="F743" s="17">
        <f t="shared" si="606"/>
        <v>2</v>
      </c>
      <c r="G743" s="17" t="str">
        <f t="shared" si="636"/>
        <v>黑暗骑士魔防百分比</v>
      </c>
      <c r="H743" s="17" t="str">
        <f t="shared" si="636"/>
        <v>qibing02_Lv3</v>
      </c>
      <c r="I743" s="20">
        <v>1.5</v>
      </c>
      <c r="J743" s="17">
        <v>20</v>
      </c>
      <c r="K743" s="17">
        <v>0</v>
      </c>
      <c r="L743" s="17">
        <v>0</v>
      </c>
      <c r="M743" s="17" t="str">
        <f t="shared" si="615"/>
        <v>1:11600:5</v>
      </c>
      <c r="N743" s="16" t="str">
        <f t="shared" si="599"/>
        <v>10018:1</v>
      </c>
      <c r="O743" s="17">
        <f t="shared" si="607"/>
        <v>10</v>
      </c>
      <c r="P743" s="21" t="s">
        <v>4551</v>
      </c>
      <c r="Q743" s="21"/>
      <c r="R743" t="s">
        <v>4490</v>
      </c>
      <c r="T743" t="str">
        <f t="shared" si="616"/>
        <v>:1</v>
      </c>
      <c r="U743" t="str">
        <f t="shared" si="590"/>
        <v>骑士</v>
      </c>
      <c r="V743" t="s">
        <v>4531</v>
      </c>
      <c r="W743">
        <f>属性类型!G743</f>
        <v>10018</v>
      </c>
      <c r="X743">
        <v>1</v>
      </c>
    </row>
    <row r="744" customFormat="1" ht="16.5" spans="1:24">
      <c r="A744" s="18">
        <f>A723+100</f>
        <v>22000</v>
      </c>
      <c r="B744" s="18">
        <f t="shared" si="626"/>
        <v>22000</v>
      </c>
      <c r="C744" s="18" t="str">
        <f t="shared" si="610"/>
        <v>2</v>
      </c>
      <c r="D744" s="12">
        <f t="shared" si="611"/>
        <v>20003</v>
      </c>
      <c r="E744" s="17">
        <v>1</v>
      </c>
      <c r="F744" s="18">
        <f t="shared" si="606"/>
        <v>3</v>
      </c>
      <c r="G744" s="18" t="s">
        <v>515</v>
      </c>
      <c r="H744" s="18" t="s">
        <v>38</v>
      </c>
      <c r="I744" s="20">
        <v>0</v>
      </c>
      <c r="J744" s="18">
        <v>0</v>
      </c>
      <c r="K744" s="18">
        <f t="shared" ref="K744:K758" si="637">A745</f>
        <v>22001</v>
      </c>
      <c r="L744" s="18" t="s">
        <v>206</v>
      </c>
      <c r="M744" s="18" t="s">
        <v>517</v>
      </c>
      <c r="N744" s="16" t="str">
        <f t="shared" si="599"/>
        <v>111:1</v>
      </c>
      <c r="O744" s="18">
        <f t="shared" si="607"/>
        <v>1</v>
      </c>
      <c r="P744" s="21" t="str">
        <f t="shared" ref="P726:P789" si="638">$R$2&amp;R744&amp;$Q$1&amp;T744</f>
        <v>所有骑兵生命增加1</v>
      </c>
      <c r="Q744" s="21"/>
      <c r="R744" t="s">
        <v>4270</v>
      </c>
      <c r="T744" t="str">
        <f>RIGHT(N744,1)</f>
        <v>1</v>
      </c>
      <c r="U744" t="str">
        <f t="shared" si="590"/>
        <v>骑兵</v>
      </c>
      <c r="V744" t="s">
        <v>4416</v>
      </c>
      <c r="W744">
        <f>属性类型!G744</f>
        <v>111</v>
      </c>
      <c r="X744">
        <v>1</v>
      </c>
    </row>
    <row r="745" customFormat="1" ht="16.5" spans="1:24">
      <c r="A745" s="17">
        <f t="shared" ref="A745:A759" si="639">A744+1</f>
        <v>22001</v>
      </c>
      <c r="B745" s="17">
        <f t="shared" ref="B744:B807" si="640">ROUND(A745,-2)</f>
        <v>22000</v>
      </c>
      <c r="C745" s="17" t="str">
        <f t="shared" si="610"/>
        <v>2</v>
      </c>
      <c r="D745" s="12">
        <f t="shared" si="611"/>
        <v>20003</v>
      </c>
      <c r="E745" s="17">
        <v>1</v>
      </c>
      <c r="F745" s="17">
        <f t="shared" si="606"/>
        <v>3</v>
      </c>
      <c r="G745" s="17" t="str">
        <f t="shared" ref="G745:G759" si="641">G744</f>
        <v>高级生命</v>
      </c>
      <c r="H745" s="17" t="str">
        <f t="shared" ref="H745:H759" si="642">H744</f>
        <v>icon_01</v>
      </c>
      <c r="I745" s="20">
        <v>0</v>
      </c>
      <c r="J745" s="17">
        <v>1</v>
      </c>
      <c r="K745" s="17">
        <f t="shared" si="637"/>
        <v>22002</v>
      </c>
      <c r="L745" s="17" t="s">
        <v>211</v>
      </c>
      <c r="M745" s="17" t="str">
        <f t="shared" ref="M745:M759" si="643">M744</f>
        <v>2:10001:50</v>
      </c>
      <c r="N745" s="16" t="str">
        <f t="shared" si="599"/>
        <v>111:1</v>
      </c>
      <c r="O745" s="17">
        <f t="shared" si="607"/>
        <v>1</v>
      </c>
      <c r="P745" s="21" t="str">
        <f t="shared" si="638"/>
        <v>所有骑兵生命增加:1</v>
      </c>
      <c r="Q745" s="21"/>
      <c r="R745" t="str">
        <f t="shared" ref="R745:R759" si="644">R744</f>
        <v>生命</v>
      </c>
      <c r="T745" t="str">
        <f t="shared" ref="T745:T759" si="645">RIGHT(N745,2)</f>
        <v>:1</v>
      </c>
      <c r="U745" t="str">
        <f t="shared" si="590"/>
        <v>骑兵</v>
      </c>
      <c r="V745" t="s">
        <v>4416</v>
      </c>
      <c r="W745">
        <f>属性类型!G745</f>
        <v>111</v>
      </c>
      <c r="X745">
        <v>1</v>
      </c>
    </row>
    <row r="746" customFormat="1" ht="16.5" spans="1:24">
      <c r="A746" s="17">
        <f t="shared" si="639"/>
        <v>22002</v>
      </c>
      <c r="B746" s="17">
        <f t="shared" si="640"/>
        <v>22000</v>
      </c>
      <c r="C746" s="17" t="str">
        <f t="shared" si="610"/>
        <v>2</v>
      </c>
      <c r="D746" s="12">
        <f t="shared" si="611"/>
        <v>20003</v>
      </c>
      <c r="E746" s="17">
        <v>1</v>
      </c>
      <c r="F746" s="17">
        <f t="shared" si="606"/>
        <v>3</v>
      </c>
      <c r="G746" s="17" t="str">
        <f t="shared" si="641"/>
        <v>高级生命</v>
      </c>
      <c r="H746" s="17" t="str">
        <f t="shared" si="642"/>
        <v>icon_01</v>
      </c>
      <c r="I746" s="20">
        <v>0</v>
      </c>
      <c r="J746" s="17">
        <v>2</v>
      </c>
      <c r="K746" s="17">
        <f t="shared" si="637"/>
        <v>22003</v>
      </c>
      <c r="L746" s="17" t="s">
        <v>215</v>
      </c>
      <c r="M746" s="17" t="str">
        <f t="shared" si="643"/>
        <v>2:10001:50</v>
      </c>
      <c r="N746" s="16" t="str">
        <f t="shared" si="599"/>
        <v>111:1</v>
      </c>
      <c r="O746" s="17">
        <f t="shared" si="607"/>
        <v>1</v>
      </c>
      <c r="P746" s="21" t="str">
        <f t="shared" si="638"/>
        <v>所有骑兵生命增加:1</v>
      </c>
      <c r="Q746" s="21"/>
      <c r="R746" t="str">
        <f t="shared" si="644"/>
        <v>生命</v>
      </c>
      <c r="T746" t="str">
        <f t="shared" si="645"/>
        <v>:1</v>
      </c>
      <c r="U746" t="str">
        <f t="shared" si="590"/>
        <v>骑兵</v>
      </c>
      <c r="V746" t="s">
        <v>4416</v>
      </c>
      <c r="W746">
        <f>属性类型!G746</f>
        <v>111</v>
      </c>
      <c r="X746">
        <v>1</v>
      </c>
    </row>
    <row r="747" customFormat="1" ht="16.5" spans="1:24">
      <c r="A747" s="17">
        <f t="shared" si="639"/>
        <v>22003</v>
      </c>
      <c r="B747" s="17">
        <f t="shared" si="640"/>
        <v>22000</v>
      </c>
      <c r="C747" s="17" t="str">
        <f t="shared" si="610"/>
        <v>2</v>
      </c>
      <c r="D747" s="12">
        <f t="shared" si="611"/>
        <v>20003</v>
      </c>
      <c r="E747" s="17">
        <v>1</v>
      </c>
      <c r="F747" s="17">
        <f t="shared" si="606"/>
        <v>3</v>
      </c>
      <c r="G747" s="17" t="str">
        <f t="shared" si="641"/>
        <v>高级生命</v>
      </c>
      <c r="H747" s="17" t="str">
        <f t="shared" si="642"/>
        <v>icon_01</v>
      </c>
      <c r="I747" s="20">
        <v>0</v>
      </c>
      <c r="J747" s="17">
        <v>3</v>
      </c>
      <c r="K747" s="17">
        <f t="shared" si="637"/>
        <v>22004</v>
      </c>
      <c r="L747" s="17" t="s">
        <v>218</v>
      </c>
      <c r="M747" s="17" t="str">
        <f t="shared" si="643"/>
        <v>2:10001:50</v>
      </c>
      <c r="N747" s="16" t="str">
        <f t="shared" si="599"/>
        <v>111:1</v>
      </c>
      <c r="O747" s="17">
        <f t="shared" si="607"/>
        <v>1</v>
      </c>
      <c r="P747" s="21" t="str">
        <f t="shared" si="638"/>
        <v>所有骑兵生命增加:1</v>
      </c>
      <c r="Q747" s="21"/>
      <c r="R747" t="str">
        <f t="shared" si="644"/>
        <v>生命</v>
      </c>
      <c r="T747" t="str">
        <f t="shared" si="645"/>
        <v>:1</v>
      </c>
      <c r="U747" t="str">
        <f t="shared" si="590"/>
        <v>骑兵</v>
      </c>
      <c r="V747" t="s">
        <v>4416</v>
      </c>
      <c r="W747">
        <f>属性类型!G747</f>
        <v>111</v>
      </c>
      <c r="X747">
        <v>1</v>
      </c>
    </row>
    <row r="748" customFormat="1" ht="16.5" spans="1:24">
      <c r="A748" s="17">
        <f t="shared" si="639"/>
        <v>22004</v>
      </c>
      <c r="B748" s="17">
        <f t="shared" si="640"/>
        <v>22000</v>
      </c>
      <c r="C748" s="17" t="str">
        <f t="shared" si="610"/>
        <v>2</v>
      </c>
      <c r="D748" s="12">
        <f t="shared" si="611"/>
        <v>20003</v>
      </c>
      <c r="E748" s="17">
        <v>1</v>
      </c>
      <c r="F748" s="17">
        <f t="shared" si="606"/>
        <v>3</v>
      </c>
      <c r="G748" s="17" t="str">
        <f t="shared" si="641"/>
        <v>高级生命</v>
      </c>
      <c r="H748" s="17" t="str">
        <f t="shared" si="642"/>
        <v>icon_01</v>
      </c>
      <c r="I748" s="20">
        <v>0</v>
      </c>
      <c r="J748" s="17">
        <v>4</v>
      </c>
      <c r="K748" s="17">
        <f t="shared" si="637"/>
        <v>22005</v>
      </c>
      <c r="L748" s="17" t="s">
        <v>221</v>
      </c>
      <c r="M748" s="17" t="str">
        <f t="shared" si="643"/>
        <v>2:10001:50</v>
      </c>
      <c r="N748" s="16" t="str">
        <f t="shared" si="599"/>
        <v>111:1</v>
      </c>
      <c r="O748" s="17">
        <f t="shared" si="607"/>
        <v>1</v>
      </c>
      <c r="P748" s="21" t="str">
        <f t="shared" si="638"/>
        <v>所有骑兵生命增加:1</v>
      </c>
      <c r="Q748" s="21"/>
      <c r="R748" t="str">
        <f t="shared" si="644"/>
        <v>生命</v>
      </c>
      <c r="T748" t="str">
        <f t="shared" si="645"/>
        <v>:1</v>
      </c>
      <c r="U748" t="str">
        <f t="shared" si="590"/>
        <v>骑兵</v>
      </c>
      <c r="V748" t="s">
        <v>4416</v>
      </c>
      <c r="W748">
        <f>属性类型!G748</f>
        <v>111</v>
      </c>
      <c r="X748">
        <v>1</v>
      </c>
    </row>
    <row r="749" customFormat="1" ht="16.5" spans="1:24">
      <c r="A749" s="17">
        <f t="shared" si="639"/>
        <v>22005</v>
      </c>
      <c r="B749" s="17">
        <f t="shared" si="640"/>
        <v>22000</v>
      </c>
      <c r="C749" s="17" t="str">
        <f t="shared" si="610"/>
        <v>2</v>
      </c>
      <c r="D749" s="12">
        <f t="shared" si="611"/>
        <v>20003</v>
      </c>
      <c r="E749" s="17">
        <v>1</v>
      </c>
      <c r="F749" s="17">
        <f t="shared" si="606"/>
        <v>3</v>
      </c>
      <c r="G749" s="17" t="str">
        <f t="shared" si="641"/>
        <v>高级生命</v>
      </c>
      <c r="H749" s="17" t="str">
        <f t="shared" si="642"/>
        <v>icon_01</v>
      </c>
      <c r="I749" s="20">
        <v>0</v>
      </c>
      <c r="J749" s="17">
        <v>5</v>
      </c>
      <c r="K749" s="17">
        <f t="shared" si="637"/>
        <v>22006</v>
      </c>
      <c r="L749" s="17" t="s">
        <v>224</v>
      </c>
      <c r="M749" s="17" t="str">
        <f t="shared" si="643"/>
        <v>2:10001:50</v>
      </c>
      <c r="N749" s="16" t="str">
        <f t="shared" si="599"/>
        <v>111:1</v>
      </c>
      <c r="O749" s="17">
        <f t="shared" si="607"/>
        <v>1</v>
      </c>
      <c r="P749" s="21" t="str">
        <f t="shared" si="638"/>
        <v>所有骑兵生命增加:1</v>
      </c>
      <c r="Q749" s="21"/>
      <c r="R749" t="str">
        <f t="shared" si="644"/>
        <v>生命</v>
      </c>
      <c r="T749" t="str">
        <f t="shared" si="645"/>
        <v>:1</v>
      </c>
      <c r="U749" t="str">
        <f t="shared" si="590"/>
        <v>骑兵</v>
      </c>
      <c r="V749" t="s">
        <v>4416</v>
      </c>
      <c r="W749">
        <f>属性类型!G749</f>
        <v>111</v>
      </c>
      <c r="X749">
        <v>1</v>
      </c>
    </row>
    <row r="750" customFormat="1" ht="16.5" spans="1:24">
      <c r="A750" s="17">
        <f t="shared" si="639"/>
        <v>22006</v>
      </c>
      <c r="B750" s="17">
        <f t="shared" si="640"/>
        <v>22000</v>
      </c>
      <c r="C750" s="17" t="str">
        <f t="shared" si="610"/>
        <v>2</v>
      </c>
      <c r="D750" s="12">
        <f t="shared" si="611"/>
        <v>20003</v>
      </c>
      <c r="E750" s="17">
        <v>1</v>
      </c>
      <c r="F750" s="17">
        <f t="shared" si="606"/>
        <v>3</v>
      </c>
      <c r="G750" s="17" t="str">
        <f t="shared" si="641"/>
        <v>高级生命</v>
      </c>
      <c r="H750" s="17" t="str">
        <f t="shared" si="642"/>
        <v>icon_01</v>
      </c>
      <c r="I750" s="20">
        <v>0</v>
      </c>
      <c r="J750" s="17">
        <v>6</v>
      </c>
      <c r="K750" s="17">
        <f t="shared" si="637"/>
        <v>22007</v>
      </c>
      <c r="L750" s="17" t="s">
        <v>227</v>
      </c>
      <c r="M750" s="17" t="str">
        <f t="shared" si="643"/>
        <v>2:10001:50</v>
      </c>
      <c r="N750" s="16" t="str">
        <f t="shared" si="599"/>
        <v>111:1</v>
      </c>
      <c r="O750" s="17">
        <f t="shared" si="607"/>
        <v>1</v>
      </c>
      <c r="P750" s="21" t="str">
        <f t="shared" si="638"/>
        <v>所有骑兵生命增加:1</v>
      </c>
      <c r="Q750" s="21"/>
      <c r="R750" t="str">
        <f t="shared" si="644"/>
        <v>生命</v>
      </c>
      <c r="T750" t="str">
        <f t="shared" si="645"/>
        <v>:1</v>
      </c>
      <c r="U750" t="str">
        <f t="shared" si="590"/>
        <v>骑兵</v>
      </c>
      <c r="V750" t="s">
        <v>4416</v>
      </c>
      <c r="W750">
        <f>属性类型!G750</f>
        <v>111</v>
      </c>
      <c r="X750">
        <v>1</v>
      </c>
    </row>
    <row r="751" customFormat="1" ht="16.5" spans="1:24">
      <c r="A751" s="17">
        <f t="shared" si="639"/>
        <v>22007</v>
      </c>
      <c r="B751" s="17">
        <f t="shared" si="640"/>
        <v>22000</v>
      </c>
      <c r="C751" s="17" t="str">
        <f t="shared" si="610"/>
        <v>2</v>
      </c>
      <c r="D751" s="12">
        <f t="shared" si="611"/>
        <v>20003</v>
      </c>
      <c r="E751" s="17">
        <v>1</v>
      </c>
      <c r="F751" s="17">
        <f t="shared" si="606"/>
        <v>3</v>
      </c>
      <c r="G751" s="17" t="str">
        <f t="shared" si="641"/>
        <v>高级生命</v>
      </c>
      <c r="H751" s="17" t="str">
        <f t="shared" si="642"/>
        <v>icon_01</v>
      </c>
      <c r="I751" s="20">
        <v>0</v>
      </c>
      <c r="J751" s="17">
        <v>7</v>
      </c>
      <c r="K751" s="17">
        <f t="shared" si="637"/>
        <v>22008</v>
      </c>
      <c r="L751" s="17" t="s">
        <v>230</v>
      </c>
      <c r="M751" s="17" t="str">
        <f t="shared" si="643"/>
        <v>2:10001:50</v>
      </c>
      <c r="N751" s="16" t="str">
        <f t="shared" si="599"/>
        <v>111:1</v>
      </c>
      <c r="O751" s="17">
        <f t="shared" si="607"/>
        <v>1</v>
      </c>
      <c r="P751" s="21" t="str">
        <f t="shared" si="638"/>
        <v>所有骑兵生命增加:1</v>
      </c>
      <c r="Q751" s="21"/>
      <c r="R751" t="str">
        <f t="shared" si="644"/>
        <v>生命</v>
      </c>
      <c r="T751" t="str">
        <f t="shared" si="645"/>
        <v>:1</v>
      </c>
      <c r="U751" t="str">
        <f t="shared" si="590"/>
        <v>骑兵</v>
      </c>
      <c r="V751" t="s">
        <v>4416</v>
      </c>
      <c r="W751">
        <f>属性类型!G751</f>
        <v>111</v>
      </c>
      <c r="X751">
        <v>1</v>
      </c>
    </row>
    <row r="752" customFormat="1" ht="16.5" spans="1:24">
      <c r="A752" s="17">
        <f t="shared" si="639"/>
        <v>22008</v>
      </c>
      <c r="B752" s="17">
        <f t="shared" si="640"/>
        <v>22000</v>
      </c>
      <c r="C752" s="17" t="str">
        <f t="shared" si="610"/>
        <v>2</v>
      </c>
      <c r="D752" s="12">
        <f t="shared" si="611"/>
        <v>20003</v>
      </c>
      <c r="E752" s="17">
        <v>1</v>
      </c>
      <c r="F752" s="17">
        <f t="shared" si="606"/>
        <v>3</v>
      </c>
      <c r="G752" s="17" t="str">
        <f t="shared" si="641"/>
        <v>高级生命</v>
      </c>
      <c r="H752" s="17" t="str">
        <f t="shared" si="642"/>
        <v>icon_01</v>
      </c>
      <c r="I752" s="20">
        <v>0</v>
      </c>
      <c r="J752" s="17">
        <v>8</v>
      </c>
      <c r="K752" s="17">
        <f t="shared" si="637"/>
        <v>22009</v>
      </c>
      <c r="L752" s="17" t="s">
        <v>233</v>
      </c>
      <c r="M752" s="17" t="str">
        <f t="shared" si="643"/>
        <v>2:10001:50</v>
      </c>
      <c r="N752" s="16" t="str">
        <f t="shared" si="599"/>
        <v>111:1</v>
      </c>
      <c r="O752" s="17">
        <f t="shared" si="607"/>
        <v>1</v>
      </c>
      <c r="P752" s="21" t="str">
        <f t="shared" si="638"/>
        <v>所有骑兵生命增加:1</v>
      </c>
      <c r="Q752" s="21"/>
      <c r="R752" t="str">
        <f t="shared" si="644"/>
        <v>生命</v>
      </c>
      <c r="T752" t="str">
        <f t="shared" si="645"/>
        <v>:1</v>
      </c>
      <c r="U752" t="str">
        <f t="shared" si="590"/>
        <v>骑兵</v>
      </c>
      <c r="V752" t="s">
        <v>4416</v>
      </c>
      <c r="W752">
        <f>属性类型!G752</f>
        <v>111</v>
      </c>
      <c r="X752">
        <v>1</v>
      </c>
    </row>
    <row r="753" customFormat="1" ht="16.5" spans="1:24">
      <c r="A753" s="17">
        <f t="shared" si="639"/>
        <v>22009</v>
      </c>
      <c r="B753" s="17">
        <f t="shared" si="640"/>
        <v>22000</v>
      </c>
      <c r="C753" s="17" t="str">
        <f t="shared" si="610"/>
        <v>2</v>
      </c>
      <c r="D753" s="12">
        <f t="shared" si="611"/>
        <v>20003</v>
      </c>
      <c r="E753" s="17">
        <v>1</v>
      </c>
      <c r="F753" s="17">
        <f t="shared" si="606"/>
        <v>3</v>
      </c>
      <c r="G753" s="17" t="str">
        <f t="shared" si="641"/>
        <v>高级生命</v>
      </c>
      <c r="H753" s="17" t="str">
        <f t="shared" si="642"/>
        <v>icon_01</v>
      </c>
      <c r="I753" s="20">
        <v>0</v>
      </c>
      <c r="J753" s="17">
        <v>9</v>
      </c>
      <c r="K753" s="17">
        <f t="shared" si="637"/>
        <v>22010</v>
      </c>
      <c r="L753" s="17" t="s">
        <v>236</v>
      </c>
      <c r="M753" s="17" t="str">
        <f t="shared" si="643"/>
        <v>2:10001:50</v>
      </c>
      <c r="N753" s="16" t="str">
        <f t="shared" si="599"/>
        <v>111:1</v>
      </c>
      <c r="O753" s="17">
        <f t="shared" si="607"/>
        <v>1</v>
      </c>
      <c r="P753" s="21" t="str">
        <f t="shared" si="638"/>
        <v>所有骑兵生命增加:1</v>
      </c>
      <c r="Q753" s="21"/>
      <c r="R753" t="str">
        <f t="shared" si="644"/>
        <v>生命</v>
      </c>
      <c r="T753" t="str">
        <f t="shared" si="645"/>
        <v>:1</v>
      </c>
      <c r="U753" t="str">
        <f t="shared" si="590"/>
        <v>骑兵</v>
      </c>
      <c r="V753" t="s">
        <v>4416</v>
      </c>
      <c r="W753">
        <f>属性类型!G753</f>
        <v>111</v>
      </c>
      <c r="X753">
        <v>1</v>
      </c>
    </row>
    <row r="754" customFormat="1" ht="16.5" spans="1:24">
      <c r="A754" s="17">
        <f t="shared" si="639"/>
        <v>22010</v>
      </c>
      <c r="B754" s="17">
        <f t="shared" si="640"/>
        <v>22000</v>
      </c>
      <c r="C754" s="17" t="str">
        <f t="shared" si="610"/>
        <v>2</v>
      </c>
      <c r="D754" s="12">
        <f t="shared" si="611"/>
        <v>20003</v>
      </c>
      <c r="E754" s="17">
        <v>1</v>
      </c>
      <c r="F754" s="17">
        <f t="shared" si="606"/>
        <v>3</v>
      </c>
      <c r="G754" s="17" t="str">
        <f t="shared" si="641"/>
        <v>高级生命</v>
      </c>
      <c r="H754" s="17" t="str">
        <f t="shared" si="642"/>
        <v>icon_01</v>
      </c>
      <c r="I754" s="20">
        <v>0</v>
      </c>
      <c r="J754" s="17">
        <v>10</v>
      </c>
      <c r="K754" s="17">
        <f t="shared" si="637"/>
        <v>22011</v>
      </c>
      <c r="L754" s="17" t="s">
        <v>238</v>
      </c>
      <c r="M754" s="17" t="str">
        <f t="shared" si="643"/>
        <v>2:10001:50</v>
      </c>
      <c r="N754" s="16" t="str">
        <f t="shared" si="599"/>
        <v>111:1</v>
      </c>
      <c r="O754" s="17">
        <f t="shared" si="607"/>
        <v>1</v>
      </c>
      <c r="P754" s="21" t="str">
        <f t="shared" si="638"/>
        <v>所有骑兵生命增加:1</v>
      </c>
      <c r="Q754" s="21"/>
      <c r="R754" t="str">
        <f t="shared" si="644"/>
        <v>生命</v>
      </c>
      <c r="T754" t="str">
        <f t="shared" si="645"/>
        <v>:1</v>
      </c>
      <c r="U754" t="str">
        <f t="shared" si="590"/>
        <v>骑兵</v>
      </c>
      <c r="V754" t="s">
        <v>4416</v>
      </c>
      <c r="W754">
        <f>属性类型!G754</f>
        <v>111</v>
      </c>
      <c r="X754">
        <v>1</v>
      </c>
    </row>
    <row r="755" customFormat="1" ht="16.5" spans="1:24">
      <c r="A755" s="17">
        <f t="shared" si="639"/>
        <v>22011</v>
      </c>
      <c r="B755" s="17">
        <f t="shared" si="640"/>
        <v>22000</v>
      </c>
      <c r="C755" s="17" t="str">
        <f t="shared" si="610"/>
        <v>2</v>
      </c>
      <c r="D755" s="12">
        <f t="shared" si="611"/>
        <v>20003</v>
      </c>
      <c r="E755" s="17">
        <v>1</v>
      </c>
      <c r="F755" s="17">
        <f t="shared" si="606"/>
        <v>3</v>
      </c>
      <c r="G755" s="17" t="str">
        <f t="shared" si="641"/>
        <v>高级生命</v>
      </c>
      <c r="H755" s="17" t="str">
        <f t="shared" si="642"/>
        <v>icon_01</v>
      </c>
      <c r="I755" s="20">
        <v>0</v>
      </c>
      <c r="J755" s="17">
        <v>11</v>
      </c>
      <c r="K755" s="17">
        <f t="shared" si="637"/>
        <v>22012</v>
      </c>
      <c r="L755" s="17" t="s">
        <v>529</v>
      </c>
      <c r="M755" s="17" t="str">
        <f t="shared" si="643"/>
        <v>2:10001:50</v>
      </c>
      <c r="N755" s="16" t="str">
        <f t="shared" si="599"/>
        <v>111:1</v>
      </c>
      <c r="O755" s="17">
        <f t="shared" si="607"/>
        <v>1</v>
      </c>
      <c r="P755" s="21" t="str">
        <f t="shared" si="638"/>
        <v>所有骑兵生命增加:1</v>
      </c>
      <c r="Q755" s="21"/>
      <c r="R755" t="str">
        <f t="shared" si="644"/>
        <v>生命</v>
      </c>
      <c r="T755" t="str">
        <f t="shared" si="645"/>
        <v>:1</v>
      </c>
      <c r="U755" t="str">
        <f t="shared" si="590"/>
        <v>骑兵</v>
      </c>
      <c r="V755" t="s">
        <v>4416</v>
      </c>
      <c r="W755">
        <f>属性类型!G755</f>
        <v>111</v>
      </c>
      <c r="X755">
        <v>1</v>
      </c>
    </row>
    <row r="756" customFormat="1" ht="16.5" spans="1:24">
      <c r="A756" s="17">
        <f t="shared" si="639"/>
        <v>22012</v>
      </c>
      <c r="B756" s="17">
        <f t="shared" si="640"/>
        <v>22000</v>
      </c>
      <c r="C756" s="17" t="str">
        <f t="shared" si="610"/>
        <v>2</v>
      </c>
      <c r="D756" s="12">
        <f t="shared" si="611"/>
        <v>20003</v>
      </c>
      <c r="E756" s="17">
        <v>1</v>
      </c>
      <c r="F756" s="17">
        <f t="shared" si="606"/>
        <v>3</v>
      </c>
      <c r="G756" s="17" t="str">
        <f t="shared" si="641"/>
        <v>高级生命</v>
      </c>
      <c r="H756" s="17" t="str">
        <f t="shared" si="642"/>
        <v>icon_01</v>
      </c>
      <c r="I756" s="20">
        <v>0</v>
      </c>
      <c r="J756" s="17">
        <v>12</v>
      </c>
      <c r="K756" s="17">
        <f t="shared" si="637"/>
        <v>22013</v>
      </c>
      <c r="L756" s="17" t="s">
        <v>532</v>
      </c>
      <c r="M756" s="17" t="str">
        <f t="shared" si="643"/>
        <v>2:10001:50</v>
      </c>
      <c r="N756" s="16" t="str">
        <f t="shared" si="599"/>
        <v>111:1</v>
      </c>
      <c r="O756" s="17">
        <f t="shared" si="607"/>
        <v>1</v>
      </c>
      <c r="P756" s="21" t="str">
        <f t="shared" si="638"/>
        <v>所有骑兵生命增加:1</v>
      </c>
      <c r="Q756" s="21"/>
      <c r="R756" t="str">
        <f t="shared" si="644"/>
        <v>生命</v>
      </c>
      <c r="T756" t="str">
        <f t="shared" si="645"/>
        <v>:1</v>
      </c>
      <c r="U756" t="str">
        <f t="shared" si="590"/>
        <v>骑兵</v>
      </c>
      <c r="V756" t="s">
        <v>4416</v>
      </c>
      <c r="W756">
        <f>属性类型!G756</f>
        <v>111</v>
      </c>
      <c r="X756">
        <v>1</v>
      </c>
    </row>
    <row r="757" customFormat="1" ht="16.5" spans="1:24">
      <c r="A757" s="17">
        <f t="shared" si="639"/>
        <v>22013</v>
      </c>
      <c r="B757" s="17">
        <f t="shared" si="640"/>
        <v>22000</v>
      </c>
      <c r="C757" s="17" t="str">
        <f t="shared" si="610"/>
        <v>2</v>
      </c>
      <c r="D757" s="12">
        <f t="shared" si="611"/>
        <v>20003</v>
      </c>
      <c r="E757" s="17">
        <v>1</v>
      </c>
      <c r="F757" s="17">
        <f t="shared" si="606"/>
        <v>3</v>
      </c>
      <c r="G757" s="17" t="str">
        <f t="shared" si="641"/>
        <v>高级生命</v>
      </c>
      <c r="H757" s="17" t="str">
        <f t="shared" si="642"/>
        <v>icon_01</v>
      </c>
      <c r="I757" s="20">
        <v>0</v>
      </c>
      <c r="J757" s="17">
        <v>13</v>
      </c>
      <c r="K757" s="17">
        <f t="shared" si="637"/>
        <v>22014</v>
      </c>
      <c r="L757" s="17" t="s">
        <v>535</v>
      </c>
      <c r="M757" s="17" t="str">
        <f t="shared" si="643"/>
        <v>2:10001:50</v>
      </c>
      <c r="N757" s="16" t="str">
        <f t="shared" si="599"/>
        <v>111:1</v>
      </c>
      <c r="O757" s="17">
        <f t="shared" si="607"/>
        <v>1</v>
      </c>
      <c r="P757" s="21" t="str">
        <f t="shared" si="638"/>
        <v>所有骑兵生命增加:1</v>
      </c>
      <c r="Q757" s="21"/>
      <c r="R757" t="str">
        <f t="shared" si="644"/>
        <v>生命</v>
      </c>
      <c r="T757" t="str">
        <f t="shared" si="645"/>
        <v>:1</v>
      </c>
      <c r="U757" t="str">
        <f t="shared" si="590"/>
        <v>骑兵</v>
      </c>
      <c r="V757" t="s">
        <v>4416</v>
      </c>
      <c r="W757">
        <f>属性类型!G757</f>
        <v>111</v>
      </c>
      <c r="X757">
        <v>1</v>
      </c>
    </row>
    <row r="758" customFormat="1" ht="16.5" spans="1:24">
      <c r="A758" s="17">
        <f t="shared" si="639"/>
        <v>22014</v>
      </c>
      <c r="B758" s="17">
        <f t="shared" si="640"/>
        <v>22000</v>
      </c>
      <c r="C758" s="17" t="str">
        <f t="shared" si="610"/>
        <v>2</v>
      </c>
      <c r="D758" s="12">
        <f t="shared" si="611"/>
        <v>20003</v>
      </c>
      <c r="E758" s="17">
        <v>1</v>
      </c>
      <c r="F758" s="17">
        <f t="shared" si="606"/>
        <v>3</v>
      </c>
      <c r="G758" s="17" t="str">
        <f t="shared" si="641"/>
        <v>高级生命</v>
      </c>
      <c r="H758" s="17" t="str">
        <f t="shared" si="642"/>
        <v>icon_01</v>
      </c>
      <c r="I758" s="20">
        <v>0</v>
      </c>
      <c r="J758" s="17">
        <v>14</v>
      </c>
      <c r="K758" s="17">
        <f t="shared" si="637"/>
        <v>22015</v>
      </c>
      <c r="L758" s="17" t="s">
        <v>538</v>
      </c>
      <c r="M758" s="17" t="str">
        <f t="shared" si="643"/>
        <v>2:10001:50</v>
      </c>
      <c r="N758" s="16" t="str">
        <f t="shared" si="599"/>
        <v>111:1</v>
      </c>
      <c r="O758" s="17">
        <f t="shared" si="607"/>
        <v>1</v>
      </c>
      <c r="P758" s="21" t="str">
        <f t="shared" si="638"/>
        <v>所有骑兵生命增加:1</v>
      </c>
      <c r="Q758" s="21"/>
      <c r="R758" t="str">
        <f t="shared" si="644"/>
        <v>生命</v>
      </c>
      <c r="T758" t="str">
        <f t="shared" si="645"/>
        <v>:1</v>
      </c>
      <c r="U758" t="str">
        <f t="shared" si="590"/>
        <v>骑兵</v>
      </c>
      <c r="V758" t="s">
        <v>4416</v>
      </c>
      <c r="W758">
        <f>属性类型!G758</f>
        <v>111</v>
      </c>
      <c r="X758">
        <v>1</v>
      </c>
    </row>
    <row r="759" customFormat="1" ht="16.5" spans="1:24">
      <c r="A759" s="17">
        <f t="shared" si="639"/>
        <v>22015</v>
      </c>
      <c r="B759" s="17">
        <f t="shared" si="640"/>
        <v>22000</v>
      </c>
      <c r="C759" s="17" t="str">
        <f t="shared" si="610"/>
        <v>2</v>
      </c>
      <c r="D759" s="12">
        <f t="shared" si="611"/>
        <v>20003</v>
      </c>
      <c r="E759" s="17">
        <v>1</v>
      </c>
      <c r="F759" s="17">
        <f t="shared" si="606"/>
        <v>3</v>
      </c>
      <c r="G759" s="17" t="str">
        <f t="shared" si="641"/>
        <v>高级生命</v>
      </c>
      <c r="H759" s="17" t="str">
        <f t="shared" si="642"/>
        <v>icon_01</v>
      </c>
      <c r="I759" s="20">
        <v>0</v>
      </c>
      <c r="J759" s="17">
        <v>15</v>
      </c>
      <c r="K759" s="17">
        <v>0</v>
      </c>
      <c r="L759" s="17" t="s">
        <v>540</v>
      </c>
      <c r="M759" s="17" t="str">
        <f t="shared" si="643"/>
        <v>2:10001:50</v>
      </c>
      <c r="N759" s="16" t="str">
        <f t="shared" si="599"/>
        <v>111:1</v>
      </c>
      <c r="O759" s="17">
        <f t="shared" si="607"/>
        <v>1</v>
      </c>
      <c r="P759" s="21" t="str">
        <f t="shared" si="638"/>
        <v>所有骑兵生命增加:1</v>
      </c>
      <c r="Q759" s="21"/>
      <c r="R759" t="str">
        <f t="shared" si="644"/>
        <v>生命</v>
      </c>
      <c r="T759" t="str">
        <f t="shared" si="645"/>
        <v>:1</v>
      </c>
      <c r="U759" t="str">
        <f t="shared" si="590"/>
        <v>骑兵</v>
      </c>
      <c r="V759" t="s">
        <v>4416</v>
      </c>
      <c r="W759">
        <f>属性类型!G759</f>
        <v>111</v>
      </c>
      <c r="X759">
        <v>1</v>
      </c>
    </row>
    <row r="760" customFormat="1" ht="16.5" spans="1:24">
      <c r="A760" s="18">
        <f>A744+100</f>
        <v>22100</v>
      </c>
      <c r="B760" s="18">
        <f t="shared" si="640"/>
        <v>22100</v>
      </c>
      <c r="C760" s="18" t="str">
        <f t="shared" si="610"/>
        <v>2</v>
      </c>
      <c r="D760" s="12">
        <f t="shared" si="611"/>
        <v>20003</v>
      </c>
      <c r="E760" s="17">
        <v>1</v>
      </c>
      <c r="F760" s="18">
        <f t="shared" si="606"/>
        <v>3</v>
      </c>
      <c r="G760" s="18" t="s">
        <v>543</v>
      </c>
      <c r="H760" s="18" t="s">
        <v>63</v>
      </c>
      <c r="I760" s="20">
        <v>0</v>
      </c>
      <c r="J760" s="18">
        <v>0</v>
      </c>
      <c r="K760" s="18">
        <f t="shared" ref="K760:K774" si="646">A761</f>
        <v>22101</v>
      </c>
      <c r="L760" s="18" t="s">
        <v>206</v>
      </c>
      <c r="M760" s="18" t="s">
        <v>545</v>
      </c>
      <c r="N760" s="16" t="str">
        <f t="shared" si="599"/>
        <v>113:1</v>
      </c>
      <c r="O760" s="18">
        <f t="shared" si="607"/>
        <v>2</v>
      </c>
      <c r="P760" s="21" t="str">
        <f t="shared" si="638"/>
        <v>所有骑兵防御增加1</v>
      </c>
      <c r="Q760" s="21"/>
      <c r="R760" t="s">
        <v>4272</v>
      </c>
      <c r="T760" t="str">
        <f>RIGHT(N760,1)</f>
        <v>1</v>
      </c>
      <c r="U760" t="str">
        <f t="shared" si="590"/>
        <v>骑兵</v>
      </c>
      <c r="V760" t="s">
        <v>4417</v>
      </c>
      <c r="W760">
        <f>属性类型!G760</f>
        <v>113</v>
      </c>
      <c r="X760">
        <v>1</v>
      </c>
    </row>
    <row r="761" customFormat="1" ht="16.5" spans="1:24">
      <c r="A761" s="17">
        <f t="shared" ref="A761:A775" si="647">A760+1</f>
        <v>22101</v>
      </c>
      <c r="B761" s="17">
        <f t="shared" si="640"/>
        <v>22100</v>
      </c>
      <c r="C761" s="17" t="str">
        <f t="shared" si="610"/>
        <v>2</v>
      </c>
      <c r="D761" s="12">
        <f t="shared" si="611"/>
        <v>20003</v>
      </c>
      <c r="E761" s="17">
        <v>1</v>
      </c>
      <c r="F761" s="17">
        <f t="shared" si="606"/>
        <v>3</v>
      </c>
      <c r="G761" s="17" t="str">
        <f t="shared" ref="G761:G775" si="648">G760</f>
        <v>高级防御</v>
      </c>
      <c r="H761" s="17" t="str">
        <f t="shared" ref="H761:H775" si="649">H760</f>
        <v>icon_02</v>
      </c>
      <c r="I761" s="20">
        <v>0</v>
      </c>
      <c r="J761" s="17">
        <v>1</v>
      </c>
      <c r="K761" s="17">
        <f t="shared" si="646"/>
        <v>22102</v>
      </c>
      <c r="L761" s="17" t="s">
        <v>211</v>
      </c>
      <c r="M761" s="17" t="str">
        <f t="shared" ref="M761:M775" si="650">M760</f>
        <v>1:12000:5</v>
      </c>
      <c r="N761" s="16" t="str">
        <f t="shared" si="599"/>
        <v>113:1</v>
      </c>
      <c r="O761" s="17">
        <f t="shared" si="607"/>
        <v>2</v>
      </c>
      <c r="P761" s="21" t="str">
        <f t="shared" si="638"/>
        <v>所有骑兵防御增加:1</v>
      </c>
      <c r="Q761" s="21"/>
      <c r="R761" t="str">
        <f t="shared" ref="R761:R775" si="651">R760</f>
        <v>防御</v>
      </c>
      <c r="T761" t="str">
        <f t="shared" ref="T761:T775" si="652">RIGHT(N761,2)</f>
        <v>:1</v>
      </c>
      <c r="U761" t="str">
        <f t="shared" si="590"/>
        <v>骑兵</v>
      </c>
      <c r="V761" t="s">
        <v>4417</v>
      </c>
      <c r="W761">
        <f>属性类型!G761</f>
        <v>113</v>
      </c>
      <c r="X761">
        <v>1</v>
      </c>
    </row>
    <row r="762" customFormat="1" ht="16.5" spans="1:24">
      <c r="A762" s="17">
        <f t="shared" si="647"/>
        <v>22102</v>
      </c>
      <c r="B762" s="17">
        <f t="shared" si="640"/>
        <v>22100</v>
      </c>
      <c r="C762" s="17" t="str">
        <f t="shared" si="610"/>
        <v>2</v>
      </c>
      <c r="D762" s="12">
        <f t="shared" si="611"/>
        <v>20003</v>
      </c>
      <c r="E762" s="17">
        <v>1</v>
      </c>
      <c r="F762" s="17">
        <f t="shared" si="606"/>
        <v>3</v>
      </c>
      <c r="G762" s="17" t="str">
        <f t="shared" si="648"/>
        <v>高级防御</v>
      </c>
      <c r="H762" s="17" t="str">
        <f t="shared" si="649"/>
        <v>icon_02</v>
      </c>
      <c r="I762" s="20">
        <v>0</v>
      </c>
      <c r="J762" s="17">
        <v>2</v>
      </c>
      <c r="K762" s="17">
        <f t="shared" si="646"/>
        <v>22103</v>
      </c>
      <c r="L762" s="17" t="s">
        <v>215</v>
      </c>
      <c r="M762" s="17" t="str">
        <f t="shared" si="650"/>
        <v>1:12000:5</v>
      </c>
      <c r="N762" s="16" t="str">
        <f t="shared" si="599"/>
        <v>113:1</v>
      </c>
      <c r="O762" s="17">
        <f t="shared" si="607"/>
        <v>2</v>
      </c>
      <c r="P762" s="21" t="str">
        <f t="shared" si="638"/>
        <v>所有骑兵防御增加:1</v>
      </c>
      <c r="Q762" s="21"/>
      <c r="R762" t="str">
        <f t="shared" si="651"/>
        <v>防御</v>
      </c>
      <c r="T762" t="str">
        <f t="shared" si="652"/>
        <v>:1</v>
      </c>
      <c r="U762" t="str">
        <f t="shared" si="590"/>
        <v>骑兵</v>
      </c>
      <c r="V762" t="s">
        <v>4417</v>
      </c>
      <c r="W762">
        <f>属性类型!G762</f>
        <v>113</v>
      </c>
      <c r="X762">
        <v>1</v>
      </c>
    </row>
    <row r="763" customFormat="1" ht="16.5" spans="1:24">
      <c r="A763" s="17">
        <f t="shared" si="647"/>
        <v>22103</v>
      </c>
      <c r="B763" s="17">
        <f t="shared" si="640"/>
        <v>22100</v>
      </c>
      <c r="C763" s="17" t="str">
        <f t="shared" si="610"/>
        <v>2</v>
      </c>
      <c r="D763" s="12">
        <f t="shared" si="611"/>
        <v>20003</v>
      </c>
      <c r="E763" s="17">
        <v>1</v>
      </c>
      <c r="F763" s="17">
        <f t="shared" si="606"/>
        <v>3</v>
      </c>
      <c r="G763" s="17" t="str">
        <f t="shared" si="648"/>
        <v>高级防御</v>
      </c>
      <c r="H763" s="17" t="str">
        <f t="shared" si="649"/>
        <v>icon_02</v>
      </c>
      <c r="I763" s="20">
        <v>0</v>
      </c>
      <c r="J763" s="17">
        <v>3</v>
      </c>
      <c r="K763" s="17">
        <f t="shared" si="646"/>
        <v>22104</v>
      </c>
      <c r="L763" s="17" t="s">
        <v>218</v>
      </c>
      <c r="M763" s="17" t="str">
        <f t="shared" si="650"/>
        <v>1:12000:5</v>
      </c>
      <c r="N763" s="16" t="str">
        <f t="shared" si="599"/>
        <v>113:1</v>
      </c>
      <c r="O763" s="17">
        <f t="shared" si="607"/>
        <v>2</v>
      </c>
      <c r="P763" s="21" t="str">
        <f t="shared" si="638"/>
        <v>所有骑兵防御增加:1</v>
      </c>
      <c r="Q763" s="21"/>
      <c r="R763" t="str">
        <f t="shared" si="651"/>
        <v>防御</v>
      </c>
      <c r="T763" t="str">
        <f t="shared" si="652"/>
        <v>:1</v>
      </c>
      <c r="U763" t="str">
        <f t="shared" si="590"/>
        <v>骑兵</v>
      </c>
      <c r="V763" t="s">
        <v>4417</v>
      </c>
      <c r="W763">
        <f>属性类型!G763</f>
        <v>113</v>
      </c>
      <c r="X763">
        <v>1</v>
      </c>
    </row>
    <row r="764" customFormat="1" ht="16.5" spans="1:24">
      <c r="A764" s="17">
        <f t="shared" si="647"/>
        <v>22104</v>
      </c>
      <c r="B764" s="17">
        <f t="shared" si="640"/>
        <v>22100</v>
      </c>
      <c r="C764" s="17" t="str">
        <f t="shared" si="610"/>
        <v>2</v>
      </c>
      <c r="D764" s="12">
        <f t="shared" si="611"/>
        <v>20003</v>
      </c>
      <c r="E764" s="17">
        <v>1</v>
      </c>
      <c r="F764" s="17">
        <f t="shared" si="606"/>
        <v>3</v>
      </c>
      <c r="G764" s="17" t="str">
        <f t="shared" si="648"/>
        <v>高级防御</v>
      </c>
      <c r="H764" s="17" t="str">
        <f t="shared" si="649"/>
        <v>icon_02</v>
      </c>
      <c r="I764" s="20">
        <v>0</v>
      </c>
      <c r="J764" s="17">
        <v>4</v>
      </c>
      <c r="K764" s="17">
        <f t="shared" si="646"/>
        <v>22105</v>
      </c>
      <c r="L764" s="17" t="s">
        <v>221</v>
      </c>
      <c r="M764" s="17" t="str">
        <f t="shared" si="650"/>
        <v>1:12000:5</v>
      </c>
      <c r="N764" s="16" t="str">
        <f t="shared" si="599"/>
        <v>113:1</v>
      </c>
      <c r="O764" s="17">
        <f t="shared" si="607"/>
        <v>2</v>
      </c>
      <c r="P764" s="21" t="str">
        <f t="shared" si="638"/>
        <v>所有骑兵防御增加:1</v>
      </c>
      <c r="Q764" s="21"/>
      <c r="R764" t="str">
        <f t="shared" si="651"/>
        <v>防御</v>
      </c>
      <c r="T764" t="str">
        <f t="shared" si="652"/>
        <v>:1</v>
      </c>
      <c r="U764" t="str">
        <f t="shared" si="590"/>
        <v>骑兵</v>
      </c>
      <c r="V764" t="s">
        <v>4417</v>
      </c>
      <c r="W764">
        <f>属性类型!G764</f>
        <v>113</v>
      </c>
      <c r="X764">
        <v>1</v>
      </c>
    </row>
    <row r="765" customFormat="1" ht="16.5" spans="1:24">
      <c r="A765" s="17">
        <f t="shared" si="647"/>
        <v>22105</v>
      </c>
      <c r="B765" s="17">
        <f t="shared" si="640"/>
        <v>22100</v>
      </c>
      <c r="C765" s="17" t="str">
        <f t="shared" ref="C765:C828" si="653">LEFT(A765,1)</f>
        <v>2</v>
      </c>
      <c r="D765" s="12">
        <f t="shared" si="611"/>
        <v>20003</v>
      </c>
      <c r="E765" s="17">
        <v>1</v>
      </c>
      <c r="F765" s="17">
        <f t="shared" si="606"/>
        <v>3</v>
      </c>
      <c r="G765" s="17" t="str">
        <f t="shared" si="648"/>
        <v>高级防御</v>
      </c>
      <c r="H765" s="17" t="str">
        <f t="shared" si="649"/>
        <v>icon_02</v>
      </c>
      <c r="I765" s="20">
        <v>0</v>
      </c>
      <c r="J765" s="17">
        <v>5</v>
      </c>
      <c r="K765" s="17">
        <f t="shared" si="646"/>
        <v>22106</v>
      </c>
      <c r="L765" s="17" t="s">
        <v>224</v>
      </c>
      <c r="M765" s="17" t="str">
        <f t="shared" si="650"/>
        <v>1:12000:5</v>
      </c>
      <c r="N765" s="16" t="str">
        <f t="shared" si="599"/>
        <v>113:1</v>
      </c>
      <c r="O765" s="17">
        <f t="shared" si="607"/>
        <v>2</v>
      </c>
      <c r="P765" s="21" t="str">
        <f t="shared" si="638"/>
        <v>所有骑兵防御增加:1</v>
      </c>
      <c r="Q765" s="21"/>
      <c r="R765" t="str">
        <f t="shared" si="651"/>
        <v>防御</v>
      </c>
      <c r="T765" t="str">
        <f t="shared" si="652"/>
        <v>:1</v>
      </c>
      <c r="U765" t="str">
        <f t="shared" si="590"/>
        <v>骑兵</v>
      </c>
      <c r="V765" t="s">
        <v>4417</v>
      </c>
      <c r="W765">
        <f>属性类型!G765</f>
        <v>113</v>
      </c>
      <c r="X765">
        <v>1</v>
      </c>
    </row>
    <row r="766" customFormat="1" ht="16.5" spans="1:24">
      <c r="A766" s="17">
        <f t="shared" si="647"/>
        <v>22106</v>
      </c>
      <c r="B766" s="17">
        <f t="shared" si="640"/>
        <v>22100</v>
      </c>
      <c r="C766" s="17" t="str">
        <f t="shared" si="653"/>
        <v>2</v>
      </c>
      <c r="D766" s="12">
        <f t="shared" si="611"/>
        <v>20003</v>
      </c>
      <c r="E766" s="17">
        <v>1</v>
      </c>
      <c r="F766" s="17">
        <f t="shared" si="606"/>
        <v>3</v>
      </c>
      <c r="G766" s="17" t="str">
        <f t="shared" si="648"/>
        <v>高级防御</v>
      </c>
      <c r="H766" s="17" t="str">
        <f t="shared" si="649"/>
        <v>icon_02</v>
      </c>
      <c r="I766" s="20">
        <v>0</v>
      </c>
      <c r="J766" s="17">
        <v>6</v>
      </c>
      <c r="K766" s="17">
        <f t="shared" si="646"/>
        <v>22107</v>
      </c>
      <c r="L766" s="17" t="s">
        <v>227</v>
      </c>
      <c r="M766" s="17" t="str">
        <f t="shared" si="650"/>
        <v>1:12000:5</v>
      </c>
      <c r="N766" s="16" t="str">
        <f t="shared" si="599"/>
        <v>113:1</v>
      </c>
      <c r="O766" s="17">
        <f t="shared" si="607"/>
        <v>2</v>
      </c>
      <c r="P766" s="21" t="str">
        <f t="shared" si="638"/>
        <v>所有骑兵防御增加:1</v>
      </c>
      <c r="Q766" s="21"/>
      <c r="R766" t="str">
        <f t="shared" si="651"/>
        <v>防御</v>
      </c>
      <c r="T766" t="str">
        <f t="shared" si="652"/>
        <v>:1</v>
      </c>
      <c r="U766" t="str">
        <f t="shared" si="590"/>
        <v>骑兵</v>
      </c>
      <c r="V766" t="s">
        <v>4417</v>
      </c>
      <c r="W766">
        <f>属性类型!G766</f>
        <v>113</v>
      </c>
      <c r="X766">
        <v>1</v>
      </c>
    </row>
    <row r="767" customFormat="1" ht="16.5" spans="1:24">
      <c r="A767" s="17">
        <f t="shared" si="647"/>
        <v>22107</v>
      </c>
      <c r="B767" s="17">
        <f t="shared" si="640"/>
        <v>22100</v>
      </c>
      <c r="C767" s="17" t="str">
        <f t="shared" si="653"/>
        <v>2</v>
      </c>
      <c r="D767" s="12">
        <f t="shared" si="611"/>
        <v>20003</v>
      </c>
      <c r="E767" s="17">
        <v>1</v>
      </c>
      <c r="F767" s="17">
        <f t="shared" si="606"/>
        <v>3</v>
      </c>
      <c r="G767" s="17" t="str">
        <f t="shared" si="648"/>
        <v>高级防御</v>
      </c>
      <c r="H767" s="17" t="str">
        <f t="shared" si="649"/>
        <v>icon_02</v>
      </c>
      <c r="I767" s="20">
        <v>0</v>
      </c>
      <c r="J767" s="17">
        <v>7</v>
      </c>
      <c r="K767" s="17">
        <f t="shared" si="646"/>
        <v>22108</v>
      </c>
      <c r="L767" s="17" t="s">
        <v>230</v>
      </c>
      <c r="M767" s="17" t="str">
        <f t="shared" si="650"/>
        <v>1:12000:5</v>
      </c>
      <c r="N767" s="16" t="str">
        <f t="shared" si="599"/>
        <v>113:1</v>
      </c>
      <c r="O767" s="17">
        <f t="shared" si="607"/>
        <v>2</v>
      </c>
      <c r="P767" s="21" t="str">
        <f t="shared" si="638"/>
        <v>所有骑兵防御增加:1</v>
      </c>
      <c r="Q767" s="21"/>
      <c r="R767" t="str">
        <f t="shared" si="651"/>
        <v>防御</v>
      </c>
      <c r="T767" t="str">
        <f t="shared" si="652"/>
        <v>:1</v>
      </c>
      <c r="U767" t="str">
        <f t="shared" si="590"/>
        <v>骑兵</v>
      </c>
      <c r="V767" t="s">
        <v>4417</v>
      </c>
      <c r="W767">
        <f>属性类型!G767</f>
        <v>113</v>
      </c>
      <c r="X767">
        <v>1</v>
      </c>
    </row>
    <row r="768" customFormat="1" ht="16.5" spans="1:24">
      <c r="A768" s="17">
        <f t="shared" si="647"/>
        <v>22108</v>
      </c>
      <c r="B768" s="17">
        <f t="shared" si="640"/>
        <v>22100</v>
      </c>
      <c r="C768" s="17" t="str">
        <f t="shared" si="653"/>
        <v>2</v>
      </c>
      <c r="D768" s="12">
        <f t="shared" si="611"/>
        <v>20003</v>
      </c>
      <c r="E768" s="17">
        <v>1</v>
      </c>
      <c r="F768" s="17">
        <f t="shared" si="606"/>
        <v>3</v>
      </c>
      <c r="G768" s="17" t="str">
        <f t="shared" si="648"/>
        <v>高级防御</v>
      </c>
      <c r="H768" s="17" t="str">
        <f t="shared" si="649"/>
        <v>icon_02</v>
      </c>
      <c r="I768" s="20">
        <v>0</v>
      </c>
      <c r="J768" s="17">
        <v>8</v>
      </c>
      <c r="K768" s="17">
        <f t="shared" si="646"/>
        <v>22109</v>
      </c>
      <c r="L768" s="17" t="s">
        <v>233</v>
      </c>
      <c r="M768" s="17" t="str">
        <f t="shared" si="650"/>
        <v>1:12000:5</v>
      </c>
      <c r="N768" s="16" t="str">
        <f t="shared" si="599"/>
        <v>113:1</v>
      </c>
      <c r="O768" s="17">
        <f t="shared" si="607"/>
        <v>2</v>
      </c>
      <c r="P768" s="21" t="str">
        <f t="shared" si="638"/>
        <v>所有骑兵防御增加:1</v>
      </c>
      <c r="Q768" s="21"/>
      <c r="R768" t="str">
        <f t="shared" si="651"/>
        <v>防御</v>
      </c>
      <c r="T768" t="str">
        <f t="shared" si="652"/>
        <v>:1</v>
      </c>
      <c r="U768" t="str">
        <f t="shared" si="590"/>
        <v>骑兵</v>
      </c>
      <c r="V768" t="s">
        <v>4417</v>
      </c>
      <c r="W768">
        <f>属性类型!G768</f>
        <v>113</v>
      </c>
      <c r="X768">
        <v>1</v>
      </c>
    </row>
    <row r="769" customFormat="1" ht="16.5" spans="1:24">
      <c r="A769" s="17">
        <f t="shared" si="647"/>
        <v>22109</v>
      </c>
      <c r="B769" s="17">
        <f t="shared" si="640"/>
        <v>22100</v>
      </c>
      <c r="C769" s="17" t="str">
        <f t="shared" si="653"/>
        <v>2</v>
      </c>
      <c r="D769" s="12">
        <f t="shared" si="611"/>
        <v>20003</v>
      </c>
      <c r="E769" s="17">
        <v>1</v>
      </c>
      <c r="F769" s="17">
        <f t="shared" si="606"/>
        <v>3</v>
      </c>
      <c r="G769" s="17" t="str">
        <f t="shared" si="648"/>
        <v>高级防御</v>
      </c>
      <c r="H769" s="17" t="str">
        <f t="shared" si="649"/>
        <v>icon_02</v>
      </c>
      <c r="I769" s="20">
        <v>0</v>
      </c>
      <c r="J769" s="17">
        <v>9</v>
      </c>
      <c r="K769" s="17">
        <f t="shared" si="646"/>
        <v>22110</v>
      </c>
      <c r="L769" s="17" t="s">
        <v>236</v>
      </c>
      <c r="M769" s="17" t="str">
        <f t="shared" si="650"/>
        <v>1:12000:5</v>
      </c>
      <c r="N769" s="16" t="str">
        <f t="shared" si="599"/>
        <v>113:1</v>
      </c>
      <c r="O769" s="17">
        <f t="shared" si="607"/>
        <v>2</v>
      </c>
      <c r="P769" s="21" t="str">
        <f t="shared" si="638"/>
        <v>所有骑兵防御增加:1</v>
      </c>
      <c r="Q769" s="21"/>
      <c r="R769" t="str">
        <f t="shared" si="651"/>
        <v>防御</v>
      </c>
      <c r="T769" t="str">
        <f t="shared" si="652"/>
        <v>:1</v>
      </c>
      <c r="U769" t="str">
        <f t="shared" si="590"/>
        <v>骑兵</v>
      </c>
      <c r="V769" t="s">
        <v>4417</v>
      </c>
      <c r="W769">
        <f>属性类型!G769</f>
        <v>113</v>
      </c>
      <c r="X769">
        <v>1</v>
      </c>
    </row>
    <row r="770" customFormat="1" ht="16.5" spans="1:24">
      <c r="A770" s="17">
        <f t="shared" si="647"/>
        <v>22110</v>
      </c>
      <c r="B770" s="17">
        <f t="shared" si="640"/>
        <v>22100</v>
      </c>
      <c r="C770" s="17" t="str">
        <f t="shared" si="653"/>
        <v>2</v>
      </c>
      <c r="D770" s="12">
        <f t="shared" si="611"/>
        <v>20003</v>
      </c>
      <c r="E770" s="17">
        <v>1</v>
      </c>
      <c r="F770" s="17">
        <f t="shared" si="606"/>
        <v>3</v>
      </c>
      <c r="G770" s="17" t="str">
        <f t="shared" si="648"/>
        <v>高级防御</v>
      </c>
      <c r="H770" s="17" t="str">
        <f t="shared" si="649"/>
        <v>icon_02</v>
      </c>
      <c r="I770" s="20">
        <v>0</v>
      </c>
      <c r="J770" s="17">
        <v>10</v>
      </c>
      <c r="K770" s="17">
        <f t="shared" si="646"/>
        <v>22111</v>
      </c>
      <c r="L770" s="17" t="s">
        <v>238</v>
      </c>
      <c r="M770" s="17" t="str">
        <f t="shared" si="650"/>
        <v>1:12000:5</v>
      </c>
      <c r="N770" s="16" t="str">
        <f t="shared" si="599"/>
        <v>113:1</v>
      </c>
      <c r="O770" s="17">
        <f t="shared" si="607"/>
        <v>2</v>
      </c>
      <c r="P770" s="21" t="str">
        <f t="shared" si="638"/>
        <v>所有骑兵防御增加:1</v>
      </c>
      <c r="Q770" s="21"/>
      <c r="R770" t="str">
        <f t="shared" si="651"/>
        <v>防御</v>
      </c>
      <c r="T770" t="str">
        <f t="shared" si="652"/>
        <v>:1</v>
      </c>
      <c r="U770" t="str">
        <f t="shared" si="590"/>
        <v>骑兵</v>
      </c>
      <c r="V770" t="s">
        <v>4417</v>
      </c>
      <c r="W770">
        <f>属性类型!G770</f>
        <v>113</v>
      </c>
      <c r="X770">
        <v>1</v>
      </c>
    </row>
    <row r="771" customFormat="1" ht="16.5" spans="1:24">
      <c r="A771" s="17">
        <f t="shared" si="647"/>
        <v>22111</v>
      </c>
      <c r="B771" s="17">
        <f t="shared" si="640"/>
        <v>22100</v>
      </c>
      <c r="C771" s="17" t="str">
        <f t="shared" si="653"/>
        <v>2</v>
      </c>
      <c r="D771" s="12">
        <f t="shared" ref="D771:D834" si="654">$A$469+F771</f>
        <v>20003</v>
      </c>
      <c r="E771" s="17">
        <v>1</v>
      </c>
      <c r="F771" s="17">
        <f t="shared" si="606"/>
        <v>3</v>
      </c>
      <c r="G771" s="17" t="str">
        <f t="shared" si="648"/>
        <v>高级防御</v>
      </c>
      <c r="H771" s="17" t="str">
        <f t="shared" si="649"/>
        <v>icon_02</v>
      </c>
      <c r="I771" s="20">
        <v>0</v>
      </c>
      <c r="J771" s="17">
        <v>11</v>
      </c>
      <c r="K771" s="17">
        <f t="shared" si="646"/>
        <v>22112</v>
      </c>
      <c r="L771" s="17" t="s">
        <v>529</v>
      </c>
      <c r="M771" s="17" t="str">
        <f t="shared" si="650"/>
        <v>1:12000:5</v>
      </c>
      <c r="N771" s="16" t="str">
        <f t="shared" si="599"/>
        <v>113:1</v>
      </c>
      <c r="O771" s="17">
        <f t="shared" si="607"/>
        <v>2</v>
      </c>
      <c r="P771" s="21" t="str">
        <f t="shared" si="638"/>
        <v>所有骑兵防御增加:1</v>
      </c>
      <c r="Q771" s="21"/>
      <c r="R771" t="str">
        <f t="shared" si="651"/>
        <v>防御</v>
      </c>
      <c r="T771" t="str">
        <f t="shared" si="652"/>
        <v>:1</v>
      </c>
      <c r="U771" t="str">
        <f t="shared" si="590"/>
        <v>骑兵</v>
      </c>
      <c r="V771" t="s">
        <v>4417</v>
      </c>
      <c r="W771">
        <f>属性类型!G771</f>
        <v>113</v>
      </c>
      <c r="X771">
        <v>1</v>
      </c>
    </row>
    <row r="772" customFormat="1" ht="16.5" spans="1:24">
      <c r="A772" s="17">
        <f t="shared" si="647"/>
        <v>22112</v>
      </c>
      <c r="B772" s="17">
        <f t="shared" si="640"/>
        <v>22100</v>
      </c>
      <c r="C772" s="17" t="str">
        <f t="shared" si="653"/>
        <v>2</v>
      </c>
      <c r="D772" s="12">
        <f t="shared" si="654"/>
        <v>20003</v>
      </c>
      <c r="E772" s="17">
        <v>1</v>
      </c>
      <c r="F772" s="17">
        <f t="shared" si="606"/>
        <v>3</v>
      </c>
      <c r="G772" s="17" t="str">
        <f t="shared" si="648"/>
        <v>高级防御</v>
      </c>
      <c r="H772" s="17" t="str">
        <f t="shared" si="649"/>
        <v>icon_02</v>
      </c>
      <c r="I772" s="20">
        <v>0</v>
      </c>
      <c r="J772" s="17">
        <v>12</v>
      </c>
      <c r="K772" s="17">
        <f t="shared" si="646"/>
        <v>22113</v>
      </c>
      <c r="L772" s="17" t="s">
        <v>532</v>
      </c>
      <c r="M772" s="17" t="str">
        <f t="shared" si="650"/>
        <v>1:12000:5</v>
      </c>
      <c r="N772" s="16" t="str">
        <f t="shared" si="599"/>
        <v>113:1</v>
      </c>
      <c r="O772" s="17">
        <f t="shared" si="607"/>
        <v>2</v>
      </c>
      <c r="P772" s="21" t="str">
        <f t="shared" si="638"/>
        <v>所有骑兵防御增加:1</v>
      </c>
      <c r="Q772" s="21"/>
      <c r="R772" t="str">
        <f t="shared" si="651"/>
        <v>防御</v>
      </c>
      <c r="T772" t="str">
        <f t="shared" si="652"/>
        <v>:1</v>
      </c>
      <c r="U772" t="str">
        <f t="shared" si="590"/>
        <v>骑兵</v>
      </c>
      <c r="V772" t="s">
        <v>4417</v>
      </c>
      <c r="W772">
        <f>属性类型!G772</f>
        <v>113</v>
      </c>
      <c r="X772">
        <v>1</v>
      </c>
    </row>
    <row r="773" customFormat="1" ht="16.5" spans="1:24">
      <c r="A773" s="17">
        <f t="shared" si="647"/>
        <v>22113</v>
      </c>
      <c r="B773" s="17">
        <f t="shared" si="640"/>
        <v>22100</v>
      </c>
      <c r="C773" s="17" t="str">
        <f t="shared" si="653"/>
        <v>2</v>
      </c>
      <c r="D773" s="12">
        <f t="shared" si="654"/>
        <v>20003</v>
      </c>
      <c r="E773" s="17">
        <v>1</v>
      </c>
      <c r="F773" s="17">
        <f t="shared" si="606"/>
        <v>3</v>
      </c>
      <c r="G773" s="17" t="str">
        <f t="shared" si="648"/>
        <v>高级防御</v>
      </c>
      <c r="H773" s="17" t="str">
        <f t="shared" si="649"/>
        <v>icon_02</v>
      </c>
      <c r="I773" s="20">
        <v>0</v>
      </c>
      <c r="J773" s="17">
        <v>13</v>
      </c>
      <c r="K773" s="17">
        <f t="shared" si="646"/>
        <v>22114</v>
      </c>
      <c r="L773" s="17" t="s">
        <v>561</v>
      </c>
      <c r="M773" s="17" t="str">
        <f t="shared" si="650"/>
        <v>1:12000:5</v>
      </c>
      <c r="N773" s="16" t="str">
        <f t="shared" si="599"/>
        <v>113:1</v>
      </c>
      <c r="O773" s="17">
        <f t="shared" si="607"/>
        <v>2</v>
      </c>
      <c r="P773" s="21" t="str">
        <f t="shared" si="638"/>
        <v>所有骑兵防御增加:1</v>
      </c>
      <c r="Q773" s="21"/>
      <c r="R773" t="str">
        <f t="shared" si="651"/>
        <v>防御</v>
      </c>
      <c r="T773" t="str">
        <f t="shared" si="652"/>
        <v>:1</v>
      </c>
      <c r="U773" t="str">
        <f t="shared" ref="U773:U836" si="655">MID(P773,3,2)</f>
        <v>骑兵</v>
      </c>
      <c r="V773" t="s">
        <v>4417</v>
      </c>
      <c r="W773">
        <f>属性类型!G773</f>
        <v>113</v>
      </c>
      <c r="X773">
        <v>1</v>
      </c>
    </row>
    <row r="774" customFormat="1" ht="16.5" spans="1:24">
      <c r="A774" s="17">
        <f t="shared" si="647"/>
        <v>22114</v>
      </c>
      <c r="B774" s="17">
        <f t="shared" si="640"/>
        <v>22100</v>
      </c>
      <c r="C774" s="17" t="str">
        <f t="shared" si="653"/>
        <v>2</v>
      </c>
      <c r="D774" s="12">
        <f t="shared" si="654"/>
        <v>20003</v>
      </c>
      <c r="E774" s="17">
        <v>1</v>
      </c>
      <c r="F774" s="17">
        <f t="shared" si="606"/>
        <v>3</v>
      </c>
      <c r="G774" s="17" t="str">
        <f t="shared" si="648"/>
        <v>高级防御</v>
      </c>
      <c r="H774" s="17" t="str">
        <f t="shared" si="649"/>
        <v>icon_02</v>
      </c>
      <c r="I774" s="20">
        <v>0</v>
      </c>
      <c r="J774" s="17">
        <v>14</v>
      </c>
      <c r="K774" s="17">
        <f t="shared" si="646"/>
        <v>22115</v>
      </c>
      <c r="L774" s="17" t="s">
        <v>564</v>
      </c>
      <c r="M774" s="17" t="str">
        <f t="shared" si="650"/>
        <v>1:12000:5</v>
      </c>
      <c r="N774" s="16" t="str">
        <f t="shared" si="599"/>
        <v>113:1</v>
      </c>
      <c r="O774" s="17">
        <f t="shared" si="607"/>
        <v>2</v>
      </c>
      <c r="P774" s="21" t="str">
        <f t="shared" si="638"/>
        <v>所有骑兵防御增加:1</v>
      </c>
      <c r="Q774" s="21"/>
      <c r="R774" t="str">
        <f t="shared" si="651"/>
        <v>防御</v>
      </c>
      <c r="T774" t="str">
        <f t="shared" si="652"/>
        <v>:1</v>
      </c>
      <c r="U774" t="str">
        <f t="shared" si="655"/>
        <v>骑兵</v>
      </c>
      <c r="V774" t="s">
        <v>4417</v>
      </c>
      <c r="W774">
        <f>属性类型!G774</f>
        <v>113</v>
      </c>
      <c r="X774">
        <v>1</v>
      </c>
    </row>
    <row r="775" customFormat="1" ht="16.5" spans="1:24">
      <c r="A775" s="17">
        <f t="shared" si="647"/>
        <v>22115</v>
      </c>
      <c r="B775" s="17">
        <f t="shared" si="640"/>
        <v>22100</v>
      </c>
      <c r="C775" s="17" t="str">
        <f t="shared" si="653"/>
        <v>2</v>
      </c>
      <c r="D775" s="12">
        <f t="shared" si="654"/>
        <v>20003</v>
      </c>
      <c r="E775" s="17">
        <v>1</v>
      </c>
      <c r="F775" s="17">
        <f t="shared" si="606"/>
        <v>3</v>
      </c>
      <c r="G775" s="17" t="str">
        <f t="shared" si="648"/>
        <v>高级防御</v>
      </c>
      <c r="H775" s="17" t="str">
        <f t="shared" si="649"/>
        <v>icon_02</v>
      </c>
      <c r="I775" s="20">
        <v>0</v>
      </c>
      <c r="J775" s="17">
        <v>15</v>
      </c>
      <c r="K775" s="17">
        <v>0</v>
      </c>
      <c r="L775" s="17">
        <v>0</v>
      </c>
      <c r="M775" s="17" t="str">
        <f t="shared" si="650"/>
        <v>1:12000:5</v>
      </c>
      <c r="N775" s="16" t="str">
        <f t="shared" si="599"/>
        <v>113:1</v>
      </c>
      <c r="O775" s="17">
        <f t="shared" si="607"/>
        <v>2</v>
      </c>
      <c r="P775" s="21" t="str">
        <f t="shared" si="638"/>
        <v>所有骑兵防御增加:1</v>
      </c>
      <c r="Q775" s="21"/>
      <c r="R775" t="str">
        <f t="shared" si="651"/>
        <v>防御</v>
      </c>
      <c r="T775" t="str">
        <f t="shared" si="652"/>
        <v>:1</v>
      </c>
      <c r="U775" t="str">
        <f t="shared" si="655"/>
        <v>骑兵</v>
      </c>
      <c r="V775" t="s">
        <v>4417</v>
      </c>
      <c r="W775">
        <f>属性类型!G775</f>
        <v>113</v>
      </c>
      <c r="X775">
        <v>1</v>
      </c>
    </row>
    <row r="776" customFormat="1" ht="16.5" spans="1:24">
      <c r="A776" s="18">
        <f>A760+100</f>
        <v>22200</v>
      </c>
      <c r="B776" s="18">
        <f t="shared" si="640"/>
        <v>22200</v>
      </c>
      <c r="C776" s="18" t="str">
        <f t="shared" si="653"/>
        <v>2</v>
      </c>
      <c r="D776" s="12">
        <f t="shared" si="654"/>
        <v>20003</v>
      </c>
      <c r="E776" s="17">
        <v>1</v>
      </c>
      <c r="F776" s="18">
        <f t="shared" si="606"/>
        <v>3</v>
      </c>
      <c r="G776" s="18" t="s">
        <v>568</v>
      </c>
      <c r="H776" s="18" t="s">
        <v>80</v>
      </c>
      <c r="I776" s="20">
        <v>0</v>
      </c>
      <c r="J776" s="18">
        <v>0</v>
      </c>
      <c r="K776" s="18">
        <f t="shared" ref="K776:K790" si="656">A777</f>
        <v>22201</v>
      </c>
      <c r="L776" s="18" t="s">
        <v>206</v>
      </c>
      <c r="M776" s="18" t="s">
        <v>545</v>
      </c>
      <c r="N776" s="16" t="str">
        <f t="shared" si="599"/>
        <v>112:1</v>
      </c>
      <c r="O776" s="18">
        <f t="shared" si="607"/>
        <v>3</v>
      </c>
      <c r="P776" s="21" t="str">
        <f t="shared" si="638"/>
        <v>所有骑兵攻击增加1</v>
      </c>
      <c r="Q776" s="21"/>
      <c r="R776" t="s">
        <v>4274</v>
      </c>
      <c r="T776" t="str">
        <f>RIGHT(N776,1)</f>
        <v>1</v>
      </c>
      <c r="U776" t="str">
        <f t="shared" si="655"/>
        <v>骑兵</v>
      </c>
      <c r="V776" t="s">
        <v>4418</v>
      </c>
      <c r="W776">
        <f>属性类型!G776</f>
        <v>112</v>
      </c>
      <c r="X776">
        <v>1</v>
      </c>
    </row>
    <row r="777" customFormat="1" ht="16.5" spans="1:24">
      <c r="A777" s="17">
        <f t="shared" ref="A777:A791" si="657">A776+1</f>
        <v>22201</v>
      </c>
      <c r="B777" s="17">
        <f t="shared" si="640"/>
        <v>22200</v>
      </c>
      <c r="C777" s="17" t="str">
        <f t="shared" si="653"/>
        <v>2</v>
      </c>
      <c r="D777" s="12">
        <f t="shared" si="654"/>
        <v>20003</v>
      </c>
      <c r="E777" s="17">
        <v>1</v>
      </c>
      <c r="F777" s="17">
        <f t="shared" si="606"/>
        <v>3</v>
      </c>
      <c r="G777" s="17" t="str">
        <f t="shared" ref="G777:G791" si="658">G776</f>
        <v>高级攻击</v>
      </c>
      <c r="H777" s="17" t="str">
        <f t="shared" ref="H777:H791" si="659">H776</f>
        <v>icon_03</v>
      </c>
      <c r="I777" s="20">
        <v>0</v>
      </c>
      <c r="J777" s="17">
        <v>1</v>
      </c>
      <c r="K777" s="17">
        <f t="shared" si="656"/>
        <v>22202</v>
      </c>
      <c r="L777" s="17" t="s">
        <v>211</v>
      </c>
      <c r="M777" s="17" t="str">
        <f t="shared" ref="M777:M791" si="660">M776</f>
        <v>1:12000:5</v>
      </c>
      <c r="N777" s="16" t="str">
        <f t="shared" si="599"/>
        <v>112:1</v>
      </c>
      <c r="O777" s="17">
        <f t="shared" si="607"/>
        <v>3</v>
      </c>
      <c r="P777" s="21" t="str">
        <f t="shared" si="638"/>
        <v>所有骑兵攻击增加:1</v>
      </c>
      <c r="Q777" s="21"/>
      <c r="R777" t="str">
        <f t="shared" ref="R777:R791" si="661">R776</f>
        <v>攻击</v>
      </c>
      <c r="T777" t="str">
        <f t="shared" ref="T777:T791" si="662">RIGHT(N777,2)</f>
        <v>:1</v>
      </c>
      <c r="U777" t="str">
        <f t="shared" si="655"/>
        <v>骑兵</v>
      </c>
      <c r="V777" t="s">
        <v>4418</v>
      </c>
      <c r="W777">
        <f>属性类型!G777</f>
        <v>112</v>
      </c>
      <c r="X777">
        <v>1</v>
      </c>
    </row>
    <row r="778" customFormat="1" ht="16.5" spans="1:24">
      <c r="A778" s="17">
        <f t="shared" si="657"/>
        <v>22202</v>
      </c>
      <c r="B778" s="17">
        <f t="shared" si="640"/>
        <v>22200</v>
      </c>
      <c r="C778" s="17" t="str">
        <f t="shared" si="653"/>
        <v>2</v>
      </c>
      <c r="D778" s="12">
        <f t="shared" si="654"/>
        <v>20003</v>
      </c>
      <c r="E778" s="17">
        <v>1</v>
      </c>
      <c r="F778" s="17">
        <f t="shared" si="606"/>
        <v>3</v>
      </c>
      <c r="G778" s="17" t="str">
        <f t="shared" si="658"/>
        <v>高级攻击</v>
      </c>
      <c r="H778" s="17" t="str">
        <f t="shared" si="659"/>
        <v>icon_03</v>
      </c>
      <c r="I778" s="20">
        <v>0</v>
      </c>
      <c r="J778" s="17">
        <v>2</v>
      </c>
      <c r="K778" s="17">
        <f t="shared" si="656"/>
        <v>22203</v>
      </c>
      <c r="L778" s="17" t="s">
        <v>215</v>
      </c>
      <c r="M778" s="17" t="str">
        <f t="shared" si="660"/>
        <v>1:12000:5</v>
      </c>
      <c r="N778" s="16" t="str">
        <f t="shared" si="599"/>
        <v>112:1</v>
      </c>
      <c r="O778" s="17">
        <f t="shared" si="607"/>
        <v>3</v>
      </c>
      <c r="P778" s="21" t="str">
        <f t="shared" si="638"/>
        <v>所有骑兵攻击增加:1</v>
      </c>
      <c r="Q778" s="21"/>
      <c r="R778" t="str">
        <f t="shared" si="661"/>
        <v>攻击</v>
      </c>
      <c r="T778" t="str">
        <f t="shared" si="662"/>
        <v>:1</v>
      </c>
      <c r="U778" t="str">
        <f t="shared" si="655"/>
        <v>骑兵</v>
      </c>
      <c r="V778" t="s">
        <v>4418</v>
      </c>
      <c r="W778">
        <f>属性类型!G778</f>
        <v>112</v>
      </c>
      <c r="X778">
        <v>1</v>
      </c>
    </row>
    <row r="779" customFormat="1" ht="16.5" spans="1:24">
      <c r="A779" s="17">
        <f t="shared" si="657"/>
        <v>22203</v>
      </c>
      <c r="B779" s="17">
        <f t="shared" si="640"/>
        <v>22200</v>
      </c>
      <c r="C779" s="17" t="str">
        <f t="shared" si="653"/>
        <v>2</v>
      </c>
      <c r="D779" s="12">
        <f t="shared" si="654"/>
        <v>20003</v>
      </c>
      <c r="E779" s="17">
        <v>1</v>
      </c>
      <c r="F779" s="17">
        <f t="shared" si="606"/>
        <v>3</v>
      </c>
      <c r="G779" s="17" t="str">
        <f t="shared" si="658"/>
        <v>高级攻击</v>
      </c>
      <c r="H779" s="17" t="str">
        <f t="shared" si="659"/>
        <v>icon_03</v>
      </c>
      <c r="I779" s="20">
        <v>0</v>
      </c>
      <c r="J779" s="17">
        <v>3</v>
      </c>
      <c r="K779" s="17">
        <f t="shared" si="656"/>
        <v>22204</v>
      </c>
      <c r="L779" s="17" t="s">
        <v>218</v>
      </c>
      <c r="M779" s="17" t="str">
        <f t="shared" si="660"/>
        <v>1:12000:5</v>
      </c>
      <c r="N779" s="16" t="str">
        <f t="shared" ref="N779:N842" si="663">W779&amp;$W$2&amp;X779</f>
        <v>112:1</v>
      </c>
      <c r="O779" s="17">
        <f t="shared" si="607"/>
        <v>3</v>
      </c>
      <c r="P779" s="21" t="str">
        <f t="shared" si="638"/>
        <v>所有骑兵攻击增加:1</v>
      </c>
      <c r="Q779" s="21"/>
      <c r="R779" t="str">
        <f t="shared" si="661"/>
        <v>攻击</v>
      </c>
      <c r="T779" t="str">
        <f t="shared" si="662"/>
        <v>:1</v>
      </c>
      <c r="U779" t="str">
        <f t="shared" si="655"/>
        <v>骑兵</v>
      </c>
      <c r="V779" t="s">
        <v>4418</v>
      </c>
      <c r="W779">
        <f>属性类型!G779</f>
        <v>112</v>
      </c>
      <c r="X779">
        <v>1</v>
      </c>
    </row>
    <row r="780" customFormat="1" ht="16.5" spans="1:24">
      <c r="A780" s="17">
        <f t="shared" si="657"/>
        <v>22204</v>
      </c>
      <c r="B780" s="17">
        <f t="shared" si="640"/>
        <v>22200</v>
      </c>
      <c r="C780" s="17" t="str">
        <f t="shared" si="653"/>
        <v>2</v>
      </c>
      <c r="D780" s="12">
        <f t="shared" si="654"/>
        <v>20003</v>
      </c>
      <c r="E780" s="17">
        <v>1</v>
      </c>
      <c r="F780" s="17">
        <f t="shared" si="606"/>
        <v>3</v>
      </c>
      <c r="G780" s="17" t="str">
        <f t="shared" si="658"/>
        <v>高级攻击</v>
      </c>
      <c r="H780" s="17" t="str">
        <f t="shared" si="659"/>
        <v>icon_03</v>
      </c>
      <c r="I780" s="20">
        <v>0</v>
      </c>
      <c r="J780" s="17">
        <v>4</v>
      </c>
      <c r="K780" s="17">
        <f t="shared" si="656"/>
        <v>22205</v>
      </c>
      <c r="L780" s="17" t="s">
        <v>221</v>
      </c>
      <c r="M780" s="17" t="str">
        <f t="shared" si="660"/>
        <v>1:12000:5</v>
      </c>
      <c r="N780" s="16" t="str">
        <f t="shared" si="663"/>
        <v>112:1</v>
      </c>
      <c r="O780" s="17">
        <f t="shared" si="607"/>
        <v>3</v>
      </c>
      <c r="P780" s="21" t="str">
        <f t="shared" si="638"/>
        <v>所有骑兵攻击增加:1</v>
      </c>
      <c r="Q780" s="21"/>
      <c r="R780" t="str">
        <f t="shared" si="661"/>
        <v>攻击</v>
      </c>
      <c r="T780" t="str">
        <f t="shared" si="662"/>
        <v>:1</v>
      </c>
      <c r="U780" t="str">
        <f t="shared" si="655"/>
        <v>骑兵</v>
      </c>
      <c r="V780" t="s">
        <v>4418</v>
      </c>
      <c r="W780">
        <f>属性类型!G780</f>
        <v>112</v>
      </c>
      <c r="X780">
        <v>1</v>
      </c>
    </row>
    <row r="781" customFormat="1" ht="16.5" spans="1:24">
      <c r="A781" s="17">
        <f t="shared" si="657"/>
        <v>22205</v>
      </c>
      <c r="B781" s="17">
        <f t="shared" si="640"/>
        <v>22200</v>
      </c>
      <c r="C781" s="17" t="str">
        <f t="shared" si="653"/>
        <v>2</v>
      </c>
      <c r="D781" s="12">
        <f t="shared" si="654"/>
        <v>20003</v>
      </c>
      <c r="E781" s="17">
        <v>1</v>
      </c>
      <c r="F781" s="17">
        <f t="shared" si="606"/>
        <v>3</v>
      </c>
      <c r="G781" s="17" t="str">
        <f t="shared" si="658"/>
        <v>高级攻击</v>
      </c>
      <c r="H781" s="17" t="str">
        <f t="shared" si="659"/>
        <v>icon_03</v>
      </c>
      <c r="I781" s="20">
        <v>0</v>
      </c>
      <c r="J781" s="17">
        <v>5</v>
      </c>
      <c r="K781" s="17">
        <f t="shared" si="656"/>
        <v>22206</v>
      </c>
      <c r="L781" s="17" t="s">
        <v>224</v>
      </c>
      <c r="M781" s="17" t="str">
        <f t="shared" si="660"/>
        <v>1:12000:5</v>
      </c>
      <c r="N781" s="16" t="str">
        <f t="shared" si="663"/>
        <v>112:1</v>
      </c>
      <c r="O781" s="17">
        <f t="shared" si="607"/>
        <v>3</v>
      </c>
      <c r="P781" s="21" t="str">
        <f t="shared" si="638"/>
        <v>所有骑兵攻击增加:1</v>
      </c>
      <c r="Q781" s="21"/>
      <c r="R781" t="str">
        <f t="shared" si="661"/>
        <v>攻击</v>
      </c>
      <c r="T781" t="str">
        <f t="shared" si="662"/>
        <v>:1</v>
      </c>
      <c r="U781" t="str">
        <f t="shared" si="655"/>
        <v>骑兵</v>
      </c>
      <c r="V781" t="s">
        <v>4418</v>
      </c>
      <c r="W781">
        <f>属性类型!G781</f>
        <v>112</v>
      </c>
      <c r="X781">
        <v>1</v>
      </c>
    </row>
    <row r="782" customFormat="1" ht="16.5" spans="1:24">
      <c r="A782" s="17">
        <f t="shared" si="657"/>
        <v>22206</v>
      </c>
      <c r="B782" s="17">
        <f t="shared" si="640"/>
        <v>22200</v>
      </c>
      <c r="C782" s="17" t="str">
        <f t="shared" si="653"/>
        <v>2</v>
      </c>
      <c r="D782" s="12">
        <f t="shared" si="654"/>
        <v>20003</v>
      </c>
      <c r="E782" s="17">
        <v>1</v>
      </c>
      <c r="F782" s="17">
        <f t="shared" si="606"/>
        <v>3</v>
      </c>
      <c r="G782" s="17" t="str">
        <f t="shared" si="658"/>
        <v>高级攻击</v>
      </c>
      <c r="H782" s="17" t="str">
        <f t="shared" si="659"/>
        <v>icon_03</v>
      </c>
      <c r="I782" s="20">
        <v>0</v>
      </c>
      <c r="J782" s="17">
        <v>6</v>
      </c>
      <c r="K782" s="17">
        <f t="shared" si="656"/>
        <v>22207</v>
      </c>
      <c r="L782" s="17" t="s">
        <v>227</v>
      </c>
      <c r="M782" s="17" t="str">
        <f t="shared" si="660"/>
        <v>1:12000:5</v>
      </c>
      <c r="N782" s="16" t="str">
        <f t="shared" si="663"/>
        <v>112:1</v>
      </c>
      <c r="O782" s="17">
        <f t="shared" si="607"/>
        <v>3</v>
      </c>
      <c r="P782" s="21" t="str">
        <f t="shared" si="638"/>
        <v>所有骑兵攻击增加:1</v>
      </c>
      <c r="Q782" s="21"/>
      <c r="R782" t="str">
        <f t="shared" si="661"/>
        <v>攻击</v>
      </c>
      <c r="T782" t="str">
        <f t="shared" si="662"/>
        <v>:1</v>
      </c>
      <c r="U782" t="str">
        <f t="shared" si="655"/>
        <v>骑兵</v>
      </c>
      <c r="V782" t="s">
        <v>4418</v>
      </c>
      <c r="W782">
        <f>属性类型!G782</f>
        <v>112</v>
      </c>
      <c r="X782">
        <v>1</v>
      </c>
    </row>
    <row r="783" customFormat="1" ht="16.5" spans="1:24">
      <c r="A783" s="17">
        <f t="shared" si="657"/>
        <v>22207</v>
      </c>
      <c r="B783" s="17">
        <f t="shared" si="640"/>
        <v>22200</v>
      </c>
      <c r="C783" s="17" t="str">
        <f t="shared" si="653"/>
        <v>2</v>
      </c>
      <c r="D783" s="12">
        <f t="shared" si="654"/>
        <v>20003</v>
      </c>
      <c r="E783" s="17">
        <v>1</v>
      </c>
      <c r="F783" s="17">
        <f t="shared" si="606"/>
        <v>3</v>
      </c>
      <c r="G783" s="17" t="str">
        <f t="shared" si="658"/>
        <v>高级攻击</v>
      </c>
      <c r="H783" s="17" t="str">
        <f t="shared" si="659"/>
        <v>icon_03</v>
      </c>
      <c r="I783" s="20">
        <v>0</v>
      </c>
      <c r="J783" s="17">
        <v>7</v>
      </c>
      <c r="K783" s="17">
        <f t="shared" si="656"/>
        <v>22208</v>
      </c>
      <c r="L783" s="17" t="s">
        <v>230</v>
      </c>
      <c r="M783" s="17" t="str">
        <f t="shared" si="660"/>
        <v>1:12000:5</v>
      </c>
      <c r="N783" s="16" t="str">
        <f t="shared" si="663"/>
        <v>112:1</v>
      </c>
      <c r="O783" s="17">
        <f t="shared" si="607"/>
        <v>3</v>
      </c>
      <c r="P783" s="21" t="str">
        <f t="shared" si="638"/>
        <v>所有骑兵攻击增加:1</v>
      </c>
      <c r="Q783" s="21"/>
      <c r="R783" t="str">
        <f t="shared" si="661"/>
        <v>攻击</v>
      </c>
      <c r="T783" t="str">
        <f t="shared" si="662"/>
        <v>:1</v>
      </c>
      <c r="U783" t="str">
        <f t="shared" si="655"/>
        <v>骑兵</v>
      </c>
      <c r="V783" t="s">
        <v>4418</v>
      </c>
      <c r="W783">
        <f>属性类型!G783</f>
        <v>112</v>
      </c>
      <c r="X783">
        <v>1</v>
      </c>
    </row>
    <row r="784" customFormat="1" ht="16.5" spans="1:24">
      <c r="A784" s="17">
        <f t="shared" si="657"/>
        <v>22208</v>
      </c>
      <c r="B784" s="17">
        <f t="shared" si="640"/>
        <v>22200</v>
      </c>
      <c r="C784" s="17" t="str">
        <f t="shared" si="653"/>
        <v>2</v>
      </c>
      <c r="D784" s="12">
        <f t="shared" si="654"/>
        <v>20003</v>
      </c>
      <c r="E784" s="17">
        <v>1</v>
      </c>
      <c r="F784" s="17">
        <f t="shared" ref="F784:F847" si="664">MID(B784,2,1)+1</f>
        <v>3</v>
      </c>
      <c r="G784" s="17" t="str">
        <f t="shared" si="658"/>
        <v>高级攻击</v>
      </c>
      <c r="H784" s="17" t="str">
        <f t="shared" si="659"/>
        <v>icon_03</v>
      </c>
      <c r="I784" s="20">
        <v>0</v>
      </c>
      <c r="J784" s="17">
        <v>8</v>
      </c>
      <c r="K784" s="17">
        <f t="shared" si="656"/>
        <v>22209</v>
      </c>
      <c r="L784" s="17" t="s">
        <v>233</v>
      </c>
      <c r="M784" s="17" t="str">
        <f t="shared" si="660"/>
        <v>1:12000:5</v>
      </c>
      <c r="N784" s="16" t="str">
        <f t="shared" si="663"/>
        <v>112:1</v>
      </c>
      <c r="O784" s="17">
        <f t="shared" ref="O784:O847" si="665">MID(A784,3,1)+1</f>
        <v>3</v>
      </c>
      <c r="P784" s="21" t="str">
        <f t="shared" si="638"/>
        <v>所有骑兵攻击增加:1</v>
      </c>
      <c r="Q784" s="21"/>
      <c r="R784" t="str">
        <f t="shared" si="661"/>
        <v>攻击</v>
      </c>
      <c r="T784" t="str">
        <f t="shared" si="662"/>
        <v>:1</v>
      </c>
      <c r="U784" t="str">
        <f t="shared" si="655"/>
        <v>骑兵</v>
      </c>
      <c r="V784" t="s">
        <v>4418</v>
      </c>
      <c r="W784">
        <f>属性类型!G784</f>
        <v>112</v>
      </c>
      <c r="X784">
        <v>1</v>
      </c>
    </row>
    <row r="785" customFormat="1" ht="16.5" spans="1:24">
      <c r="A785" s="17">
        <f t="shared" si="657"/>
        <v>22209</v>
      </c>
      <c r="B785" s="17">
        <f t="shared" si="640"/>
        <v>22200</v>
      </c>
      <c r="C785" s="17" t="str">
        <f t="shared" si="653"/>
        <v>2</v>
      </c>
      <c r="D785" s="12">
        <f t="shared" si="654"/>
        <v>20003</v>
      </c>
      <c r="E785" s="17">
        <v>1</v>
      </c>
      <c r="F785" s="17">
        <f t="shared" si="664"/>
        <v>3</v>
      </c>
      <c r="G785" s="17" t="str">
        <f t="shared" si="658"/>
        <v>高级攻击</v>
      </c>
      <c r="H785" s="17" t="str">
        <f t="shared" si="659"/>
        <v>icon_03</v>
      </c>
      <c r="I785" s="20">
        <v>0</v>
      </c>
      <c r="J785" s="17">
        <v>9</v>
      </c>
      <c r="K785" s="17">
        <f t="shared" si="656"/>
        <v>22210</v>
      </c>
      <c r="L785" s="17" t="s">
        <v>236</v>
      </c>
      <c r="M785" s="17" t="str">
        <f t="shared" si="660"/>
        <v>1:12000:5</v>
      </c>
      <c r="N785" s="16" t="str">
        <f t="shared" si="663"/>
        <v>112:1</v>
      </c>
      <c r="O785" s="17">
        <f t="shared" si="665"/>
        <v>3</v>
      </c>
      <c r="P785" s="21" t="str">
        <f t="shared" si="638"/>
        <v>所有骑兵攻击增加:1</v>
      </c>
      <c r="Q785" s="21"/>
      <c r="R785" t="str">
        <f t="shared" si="661"/>
        <v>攻击</v>
      </c>
      <c r="T785" t="str">
        <f t="shared" si="662"/>
        <v>:1</v>
      </c>
      <c r="U785" t="str">
        <f t="shared" si="655"/>
        <v>骑兵</v>
      </c>
      <c r="V785" t="s">
        <v>4418</v>
      </c>
      <c r="W785">
        <f>属性类型!G785</f>
        <v>112</v>
      </c>
      <c r="X785">
        <v>1</v>
      </c>
    </row>
    <row r="786" customFormat="1" ht="16.5" spans="1:24">
      <c r="A786" s="17">
        <f t="shared" si="657"/>
        <v>22210</v>
      </c>
      <c r="B786" s="17">
        <f t="shared" si="640"/>
        <v>22200</v>
      </c>
      <c r="C786" s="17" t="str">
        <f t="shared" si="653"/>
        <v>2</v>
      </c>
      <c r="D786" s="12">
        <f t="shared" si="654"/>
        <v>20003</v>
      </c>
      <c r="E786" s="17">
        <v>1</v>
      </c>
      <c r="F786" s="17">
        <f t="shared" si="664"/>
        <v>3</v>
      </c>
      <c r="G786" s="17" t="str">
        <f t="shared" si="658"/>
        <v>高级攻击</v>
      </c>
      <c r="H786" s="17" t="str">
        <f t="shared" si="659"/>
        <v>icon_03</v>
      </c>
      <c r="I786" s="20">
        <v>0</v>
      </c>
      <c r="J786" s="17">
        <v>10</v>
      </c>
      <c r="K786" s="17">
        <f t="shared" si="656"/>
        <v>22211</v>
      </c>
      <c r="L786" s="17" t="s">
        <v>238</v>
      </c>
      <c r="M786" s="17" t="str">
        <f t="shared" si="660"/>
        <v>1:12000:5</v>
      </c>
      <c r="N786" s="16" t="str">
        <f t="shared" si="663"/>
        <v>112:1</v>
      </c>
      <c r="O786" s="17">
        <f t="shared" si="665"/>
        <v>3</v>
      </c>
      <c r="P786" s="21" t="str">
        <f t="shared" si="638"/>
        <v>所有骑兵攻击增加:1</v>
      </c>
      <c r="Q786" s="21"/>
      <c r="R786" t="str">
        <f t="shared" si="661"/>
        <v>攻击</v>
      </c>
      <c r="T786" t="str">
        <f t="shared" si="662"/>
        <v>:1</v>
      </c>
      <c r="U786" t="str">
        <f t="shared" si="655"/>
        <v>骑兵</v>
      </c>
      <c r="V786" t="s">
        <v>4418</v>
      </c>
      <c r="W786">
        <f>属性类型!G786</f>
        <v>112</v>
      </c>
      <c r="X786">
        <v>1</v>
      </c>
    </row>
    <row r="787" customFormat="1" ht="16.5" spans="1:24">
      <c r="A787" s="17">
        <f t="shared" si="657"/>
        <v>22211</v>
      </c>
      <c r="B787" s="17">
        <f t="shared" si="640"/>
        <v>22200</v>
      </c>
      <c r="C787" s="17" t="str">
        <f t="shared" si="653"/>
        <v>2</v>
      </c>
      <c r="D787" s="12">
        <f t="shared" si="654"/>
        <v>20003</v>
      </c>
      <c r="E787" s="17">
        <v>1</v>
      </c>
      <c r="F787" s="17">
        <f t="shared" si="664"/>
        <v>3</v>
      </c>
      <c r="G787" s="17" t="str">
        <f t="shared" si="658"/>
        <v>高级攻击</v>
      </c>
      <c r="H787" s="17" t="str">
        <f t="shared" si="659"/>
        <v>icon_03</v>
      </c>
      <c r="I787" s="20">
        <v>0</v>
      </c>
      <c r="J787" s="17">
        <v>11</v>
      </c>
      <c r="K787" s="17">
        <f t="shared" si="656"/>
        <v>22212</v>
      </c>
      <c r="L787" s="17" t="s">
        <v>529</v>
      </c>
      <c r="M787" s="17" t="str">
        <f t="shared" si="660"/>
        <v>1:12000:5</v>
      </c>
      <c r="N787" s="16" t="str">
        <f t="shared" si="663"/>
        <v>112:1</v>
      </c>
      <c r="O787" s="17">
        <f t="shared" si="665"/>
        <v>3</v>
      </c>
      <c r="P787" s="21" t="str">
        <f t="shared" si="638"/>
        <v>所有骑兵攻击增加:1</v>
      </c>
      <c r="Q787" s="21"/>
      <c r="R787" t="str">
        <f t="shared" si="661"/>
        <v>攻击</v>
      </c>
      <c r="T787" t="str">
        <f t="shared" si="662"/>
        <v>:1</v>
      </c>
      <c r="U787" t="str">
        <f t="shared" si="655"/>
        <v>骑兵</v>
      </c>
      <c r="V787" t="s">
        <v>4418</v>
      </c>
      <c r="W787">
        <f>属性类型!G787</f>
        <v>112</v>
      </c>
      <c r="X787">
        <v>1</v>
      </c>
    </row>
    <row r="788" customFormat="1" ht="16.5" spans="1:24">
      <c r="A788" s="17">
        <f t="shared" si="657"/>
        <v>22212</v>
      </c>
      <c r="B788" s="17">
        <f t="shared" si="640"/>
        <v>22200</v>
      </c>
      <c r="C788" s="17" t="str">
        <f t="shared" si="653"/>
        <v>2</v>
      </c>
      <c r="D788" s="12">
        <f t="shared" si="654"/>
        <v>20003</v>
      </c>
      <c r="E788" s="17">
        <v>1</v>
      </c>
      <c r="F788" s="17">
        <f t="shared" si="664"/>
        <v>3</v>
      </c>
      <c r="G788" s="17" t="str">
        <f t="shared" si="658"/>
        <v>高级攻击</v>
      </c>
      <c r="H788" s="17" t="str">
        <f t="shared" si="659"/>
        <v>icon_03</v>
      </c>
      <c r="I788" s="20">
        <v>0</v>
      </c>
      <c r="J788" s="17">
        <v>12</v>
      </c>
      <c r="K788" s="17">
        <f t="shared" si="656"/>
        <v>22213</v>
      </c>
      <c r="L788" s="17" t="s">
        <v>532</v>
      </c>
      <c r="M788" s="17" t="str">
        <f t="shared" si="660"/>
        <v>1:12000:5</v>
      </c>
      <c r="N788" s="16" t="str">
        <f t="shared" si="663"/>
        <v>112:1</v>
      </c>
      <c r="O788" s="17">
        <f t="shared" si="665"/>
        <v>3</v>
      </c>
      <c r="P788" s="21" t="str">
        <f t="shared" si="638"/>
        <v>所有骑兵攻击增加:1</v>
      </c>
      <c r="Q788" s="21"/>
      <c r="R788" t="str">
        <f t="shared" si="661"/>
        <v>攻击</v>
      </c>
      <c r="T788" t="str">
        <f t="shared" si="662"/>
        <v>:1</v>
      </c>
      <c r="U788" t="str">
        <f t="shared" si="655"/>
        <v>骑兵</v>
      </c>
      <c r="V788" t="s">
        <v>4418</v>
      </c>
      <c r="W788">
        <f>属性类型!G788</f>
        <v>112</v>
      </c>
      <c r="X788">
        <v>1</v>
      </c>
    </row>
    <row r="789" customFormat="1" ht="16.5" spans="1:24">
      <c r="A789" s="17">
        <f t="shared" si="657"/>
        <v>22213</v>
      </c>
      <c r="B789" s="17">
        <f t="shared" si="640"/>
        <v>22200</v>
      </c>
      <c r="C789" s="17" t="str">
        <f t="shared" si="653"/>
        <v>2</v>
      </c>
      <c r="D789" s="12">
        <f t="shared" si="654"/>
        <v>20003</v>
      </c>
      <c r="E789" s="17">
        <v>1</v>
      </c>
      <c r="F789" s="17">
        <f t="shared" si="664"/>
        <v>3</v>
      </c>
      <c r="G789" s="17" t="str">
        <f t="shared" si="658"/>
        <v>高级攻击</v>
      </c>
      <c r="H789" s="17" t="str">
        <f t="shared" si="659"/>
        <v>icon_03</v>
      </c>
      <c r="I789" s="20">
        <v>0</v>
      </c>
      <c r="J789" s="17">
        <v>13</v>
      </c>
      <c r="K789" s="17">
        <f t="shared" si="656"/>
        <v>22214</v>
      </c>
      <c r="L789" s="17" t="s">
        <v>561</v>
      </c>
      <c r="M789" s="17" t="str">
        <f t="shared" si="660"/>
        <v>1:12000:5</v>
      </c>
      <c r="N789" s="16" t="str">
        <f t="shared" si="663"/>
        <v>112:1</v>
      </c>
      <c r="O789" s="17">
        <f t="shared" si="665"/>
        <v>3</v>
      </c>
      <c r="P789" s="21" t="str">
        <f t="shared" si="638"/>
        <v>所有骑兵攻击增加:1</v>
      </c>
      <c r="Q789" s="21"/>
      <c r="R789" t="str">
        <f t="shared" si="661"/>
        <v>攻击</v>
      </c>
      <c r="T789" t="str">
        <f t="shared" si="662"/>
        <v>:1</v>
      </c>
      <c r="U789" t="str">
        <f t="shared" si="655"/>
        <v>骑兵</v>
      </c>
      <c r="V789" t="s">
        <v>4418</v>
      </c>
      <c r="W789">
        <f>属性类型!G789</f>
        <v>112</v>
      </c>
      <c r="X789">
        <v>1</v>
      </c>
    </row>
    <row r="790" customFormat="1" ht="16.5" spans="1:24">
      <c r="A790" s="17">
        <f t="shared" si="657"/>
        <v>22214</v>
      </c>
      <c r="B790" s="17">
        <f t="shared" si="640"/>
        <v>22200</v>
      </c>
      <c r="C790" s="17" t="str">
        <f t="shared" si="653"/>
        <v>2</v>
      </c>
      <c r="D790" s="12">
        <f t="shared" si="654"/>
        <v>20003</v>
      </c>
      <c r="E790" s="17">
        <v>1</v>
      </c>
      <c r="F790" s="17">
        <f t="shared" si="664"/>
        <v>3</v>
      </c>
      <c r="G790" s="17" t="str">
        <f t="shared" si="658"/>
        <v>高级攻击</v>
      </c>
      <c r="H790" s="17" t="str">
        <f t="shared" si="659"/>
        <v>icon_03</v>
      </c>
      <c r="I790" s="20">
        <v>0</v>
      </c>
      <c r="J790" s="17">
        <v>14</v>
      </c>
      <c r="K790" s="17">
        <f t="shared" si="656"/>
        <v>22215</v>
      </c>
      <c r="L790" s="17" t="s">
        <v>564</v>
      </c>
      <c r="M790" s="17" t="str">
        <f t="shared" si="660"/>
        <v>1:12000:5</v>
      </c>
      <c r="N790" s="16" t="str">
        <f t="shared" si="663"/>
        <v>112:1</v>
      </c>
      <c r="O790" s="17">
        <f t="shared" si="665"/>
        <v>3</v>
      </c>
      <c r="P790" s="21" t="str">
        <f t="shared" ref="P790:P853" si="666">$R$2&amp;R790&amp;$Q$1&amp;T790</f>
        <v>所有骑兵攻击增加:1</v>
      </c>
      <c r="Q790" s="21"/>
      <c r="R790" t="str">
        <f t="shared" si="661"/>
        <v>攻击</v>
      </c>
      <c r="T790" t="str">
        <f t="shared" si="662"/>
        <v>:1</v>
      </c>
      <c r="U790" t="str">
        <f t="shared" si="655"/>
        <v>骑兵</v>
      </c>
      <c r="V790" t="s">
        <v>4418</v>
      </c>
      <c r="W790">
        <f>属性类型!G790</f>
        <v>112</v>
      </c>
      <c r="X790">
        <v>1</v>
      </c>
    </row>
    <row r="791" customFormat="1" ht="16.5" spans="1:24">
      <c r="A791" s="17">
        <f t="shared" si="657"/>
        <v>22215</v>
      </c>
      <c r="B791" s="17">
        <f t="shared" si="640"/>
        <v>22200</v>
      </c>
      <c r="C791" s="17" t="str">
        <f t="shared" si="653"/>
        <v>2</v>
      </c>
      <c r="D791" s="12">
        <f t="shared" si="654"/>
        <v>20003</v>
      </c>
      <c r="E791" s="17">
        <v>1</v>
      </c>
      <c r="F791" s="17">
        <f t="shared" si="664"/>
        <v>3</v>
      </c>
      <c r="G791" s="17" t="str">
        <f t="shared" si="658"/>
        <v>高级攻击</v>
      </c>
      <c r="H791" s="17" t="str">
        <f t="shared" si="659"/>
        <v>icon_03</v>
      </c>
      <c r="I791" s="20">
        <v>0</v>
      </c>
      <c r="J791" s="17">
        <v>15</v>
      </c>
      <c r="K791" s="17">
        <v>0</v>
      </c>
      <c r="L791" s="17">
        <v>0</v>
      </c>
      <c r="M791" s="17" t="str">
        <f t="shared" si="660"/>
        <v>1:12000:5</v>
      </c>
      <c r="N791" s="16" t="str">
        <f t="shared" si="663"/>
        <v>112:1</v>
      </c>
      <c r="O791" s="17">
        <f t="shared" si="665"/>
        <v>3</v>
      </c>
      <c r="P791" s="21" t="str">
        <f t="shared" si="666"/>
        <v>所有骑兵攻击增加:1</v>
      </c>
      <c r="Q791" s="21"/>
      <c r="R791" t="str">
        <f t="shared" si="661"/>
        <v>攻击</v>
      </c>
      <c r="T791" t="str">
        <f t="shared" si="662"/>
        <v>:1</v>
      </c>
      <c r="U791" t="str">
        <f t="shared" si="655"/>
        <v>骑兵</v>
      </c>
      <c r="V791" t="s">
        <v>4418</v>
      </c>
      <c r="W791">
        <f>属性类型!G791</f>
        <v>112</v>
      </c>
      <c r="X791">
        <v>1</v>
      </c>
    </row>
    <row r="792" customFormat="1" ht="16.5" spans="1:24">
      <c r="A792" s="18">
        <f>A776+100</f>
        <v>22300</v>
      </c>
      <c r="B792" s="18">
        <f t="shared" si="640"/>
        <v>22300</v>
      </c>
      <c r="C792" s="18" t="str">
        <f t="shared" si="653"/>
        <v>2</v>
      </c>
      <c r="D792" s="12">
        <f t="shared" si="654"/>
        <v>20003</v>
      </c>
      <c r="E792" s="17">
        <v>1</v>
      </c>
      <c r="F792" s="18">
        <f t="shared" si="664"/>
        <v>3</v>
      </c>
      <c r="G792" s="18" t="s">
        <v>590</v>
      </c>
      <c r="H792" s="18" t="s">
        <v>96</v>
      </c>
      <c r="I792" s="20">
        <v>0</v>
      </c>
      <c r="J792" s="18">
        <v>0</v>
      </c>
      <c r="K792" s="18">
        <f t="shared" ref="K792:K806" si="667">A793</f>
        <v>22301</v>
      </c>
      <c r="L792" s="18" t="s">
        <v>206</v>
      </c>
      <c r="M792" s="18" t="s">
        <v>545</v>
      </c>
      <c r="N792" s="16" t="str">
        <f t="shared" si="663"/>
        <v>114:1</v>
      </c>
      <c r="O792" s="18">
        <f t="shared" si="665"/>
        <v>4</v>
      </c>
      <c r="P792" s="21" t="str">
        <f t="shared" si="666"/>
        <v>所有骑兵魔防增加1</v>
      </c>
      <c r="Q792" s="21"/>
      <c r="R792" t="s">
        <v>4276</v>
      </c>
      <c r="T792" t="str">
        <f>RIGHT(N792,1)</f>
        <v>1</v>
      </c>
      <c r="U792" t="str">
        <f t="shared" si="655"/>
        <v>骑兵</v>
      </c>
      <c r="V792" t="s">
        <v>4419</v>
      </c>
      <c r="W792">
        <f>属性类型!G792</f>
        <v>114</v>
      </c>
      <c r="X792">
        <v>1</v>
      </c>
    </row>
    <row r="793" customFormat="1" ht="16.5" spans="1:24">
      <c r="A793" s="17">
        <f t="shared" ref="A793:A807" si="668">A792+1</f>
        <v>22301</v>
      </c>
      <c r="B793" s="17">
        <f t="shared" si="640"/>
        <v>22300</v>
      </c>
      <c r="C793" s="17" t="str">
        <f t="shared" si="653"/>
        <v>2</v>
      </c>
      <c r="D793" s="12">
        <f t="shared" si="654"/>
        <v>20003</v>
      </c>
      <c r="E793" s="17">
        <v>1</v>
      </c>
      <c r="F793" s="17">
        <f t="shared" si="664"/>
        <v>3</v>
      </c>
      <c r="G793" s="17" t="str">
        <f t="shared" ref="G793:G807" si="669">G792</f>
        <v>高级魔防</v>
      </c>
      <c r="H793" s="17" t="str">
        <f t="shared" ref="H793:H807" si="670">H792</f>
        <v>icon_04</v>
      </c>
      <c r="I793" s="20">
        <v>0</v>
      </c>
      <c r="J793" s="17">
        <v>1</v>
      </c>
      <c r="K793" s="17">
        <f t="shared" si="667"/>
        <v>22302</v>
      </c>
      <c r="L793" s="17" t="s">
        <v>211</v>
      </c>
      <c r="M793" s="17" t="str">
        <f t="shared" ref="M793:M807" si="671">M792</f>
        <v>1:12000:5</v>
      </c>
      <c r="N793" s="16" t="str">
        <f t="shared" si="663"/>
        <v>114:1</v>
      </c>
      <c r="O793" s="17">
        <f t="shared" si="665"/>
        <v>4</v>
      </c>
      <c r="P793" s="21" t="str">
        <f t="shared" si="666"/>
        <v>所有骑兵魔防增加:1</v>
      </c>
      <c r="Q793" s="21"/>
      <c r="R793" t="str">
        <f t="shared" ref="R793:R807" si="672">R792</f>
        <v>魔防</v>
      </c>
      <c r="T793" t="str">
        <f t="shared" ref="T793:T807" si="673">RIGHT(N793,2)</f>
        <v>:1</v>
      </c>
      <c r="U793" t="str">
        <f t="shared" si="655"/>
        <v>骑兵</v>
      </c>
      <c r="V793" t="s">
        <v>4419</v>
      </c>
      <c r="W793">
        <f>属性类型!G793</f>
        <v>114</v>
      </c>
      <c r="X793">
        <v>1</v>
      </c>
    </row>
    <row r="794" customFormat="1" ht="16.5" spans="1:24">
      <c r="A794" s="17">
        <f t="shared" si="668"/>
        <v>22302</v>
      </c>
      <c r="B794" s="17">
        <f t="shared" si="640"/>
        <v>22300</v>
      </c>
      <c r="C794" s="17" t="str">
        <f t="shared" si="653"/>
        <v>2</v>
      </c>
      <c r="D794" s="12">
        <f t="shared" si="654"/>
        <v>20003</v>
      </c>
      <c r="E794" s="17">
        <v>1</v>
      </c>
      <c r="F794" s="17">
        <f t="shared" si="664"/>
        <v>3</v>
      </c>
      <c r="G794" s="17" t="str">
        <f t="shared" si="669"/>
        <v>高级魔防</v>
      </c>
      <c r="H794" s="17" t="str">
        <f t="shared" si="670"/>
        <v>icon_04</v>
      </c>
      <c r="I794" s="20">
        <v>0</v>
      </c>
      <c r="J794" s="17">
        <v>2</v>
      </c>
      <c r="K794" s="17">
        <f t="shared" si="667"/>
        <v>22303</v>
      </c>
      <c r="L794" s="17" t="s">
        <v>215</v>
      </c>
      <c r="M794" s="17" t="str">
        <f t="shared" si="671"/>
        <v>1:12000:5</v>
      </c>
      <c r="N794" s="16" t="str">
        <f t="shared" si="663"/>
        <v>114:1</v>
      </c>
      <c r="O794" s="17">
        <f t="shared" si="665"/>
        <v>4</v>
      </c>
      <c r="P794" s="21" t="str">
        <f t="shared" si="666"/>
        <v>所有骑兵魔防增加:1</v>
      </c>
      <c r="Q794" s="21"/>
      <c r="R794" t="str">
        <f t="shared" si="672"/>
        <v>魔防</v>
      </c>
      <c r="T794" t="str">
        <f t="shared" si="673"/>
        <v>:1</v>
      </c>
      <c r="U794" t="str">
        <f t="shared" si="655"/>
        <v>骑兵</v>
      </c>
      <c r="V794" t="s">
        <v>4419</v>
      </c>
      <c r="W794">
        <f>属性类型!G794</f>
        <v>114</v>
      </c>
      <c r="X794">
        <v>1</v>
      </c>
    </row>
    <row r="795" customFormat="1" ht="16.5" spans="1:24">
      <c r="A795" s="17">
        <f t="shared" si="668"/>
        <v>22303</v>
      </c>
      <c r="B795" s="17">
        <f t="shared" si="640"/>
        <v>22300</v>
      </c>
      <c r="C795" s="17" t="str">
        <f t="shared" si="653"/>
        <v>2</v>
      </c>
      <c r="D795" s="12">
        <f t="shared" si="654"/>
        <v>20003</v>
      </c>
      <c r="E795" s="17">
        <v>1</v>
      </c>
      <c r="F795" s="17">
        <f t="shared" si="664"/>
        <v>3</v>
      </c>
      <c r="G795" s="17" t="str">
        <f t="shared" si="669"/>
        <v>高级魔防</v>
      </c>
      <c r="H795" s="17" t="str">
        <f t="shared" si="670"/>
        <v>icon_04</v>
      </c>
      <c r="I795" s="20">
        <v>0</v>
      </c>
      <c r="J795" s="17">
        <v>3</v>
      </c>
      <c r="K795" s="17">
        <f t="shared" si="667"/>
        <v>22304</v>
      </c>
      <c r="L795" s="17" t="s">
        <v>218</v>
      </c>
      <c r="M795" s="17" t="str">
        <f t="shared" si="671"/>
        <v>1:12000:5</v>
      </c>
      <c r="N795" s="16" t="str">
        <f t="shared" si="663"/>
        <v>114:1</v>
      </c>
      <c r="O795" s="17">
        <f t="shared" si="665"/>
        <v>4</v>
      </c>
      <c r="P795" s="21" t="str">
        <f t="shared" si="666"/>
        <v>所有骑兵魔防增加:1</v>
      </c>
      <c r="Q795" s="21"/>
      <c r="R795" t="str">
        <f t="shared" si="672"/>
        <v>魔防</v>
      </c>
      <c r="T795" t="str">
        <f t="shared" si="673"/>
        <v>:1</v>
      </c>
      <c r="U795" t="str">
        <f t="shared" si="655"/>
        <v>骑兵</v>
      </c>
      <c r="V795" t="s">
        <v>4419</v>
      </c>
      <c r="W795">
        <f>属性类型!G795</f>
        <v>114</v>
      </c>
      <c r="X795">
        <v>1</v>
      </c>
    </row>
    <row r="796" customFormat="1" ht="16.5" spans="1:24">
      <c r="A796" s="17">
        <f t="shared" si="668"/>
        <v>22304</v>
      </c>
      <c r="B796" s="17">
        <f t="shared" si="640"/>
        <v>22300</v>
      </c>
      <c r="C796" s="17" t="str">
        <f t="shared" si="653"/>
        <v>2</v>
      </c>
      <c r="D796" s="12">
        <f t="shared" si="654"/>
        <v>20003</v>
      </c>
      <c r="E796" s="17">
        <v>1</v>
      </c>
      <c r="F796" s="17">
        <f t="shared" si="664"/>
        <v>3</v>
      </c>
      <c r="G796" s="17" t="str">
        <f t="shared" si="669"/>
        <v>高级魔防</v>
      </c>
      <c r="H796" s="17" t="str">
        <f t="shared" si="670"/>
        <v>icon_04</v>
      </c>
      <c r="I796" s="20">
        <v>0</v>
      </c>
      <c r="J796" s="17">
        <v>4</v>
      </c>
      <c r="K796" s="17">
        <f t="shared" si="667"/>
        <v>22305</v>
      </c>
      <c r="L796" s="17" t="s">
        <v>221</v>
      </c>
      <c r="M796" s="17" t="str">
        <f t="shared" si="671"/>
        <v>1:12000:5</v>
      </c>
      <c r="N796" s="16" t="str">
        <f t="shared" si="663"/>
        <v>114:1</v>
      </c>
      <c r="O796" s="17">
        <f t="shared" si="665"/>
        <v>4</v>
      </c>
      <c r="P796" s="21" t="str">
        <f t="shared" si="666"/>
        <v>所有骑兵魔防增加:1</v>
      </c>
      <c r="Q796" s="21"/>
      <c r="R796" t="str">
        <f t="shared" si="672"/>
        <v>魔防</v>
      </c>
      <c r="T796" t="str">
        <f t="shared" si="673"/>
        <v>:1</v>
      </c>
      <c r="U796" t="str">
        <f t="shared" si="655"/>
        <v>骑兵</v>
      </c>
      <c r="V796" t="s">
        <v>4419</v>
      </c>
      <c r="W796">
        <f>属性类型!G796</f>
        <v>114</v>
      </c>
      <c r="X796">
        <v>1</v>
      </c>
    </row>
    <row r="797" customFormat="1" ht="16.5" spans="1:24">
      <c r="A797" s="17">
        <f t="shared" si="668"/>
        <v>22305</v>
      </c>
      <c r="B797" s="17">
        <f t="shared" si="640"/>
        <v>22300</v>
      </c>
      <c r="C797" s="17" t="str">
        <f t="shared" si="653"/>
        <v>2</v>
      </c>
      <c r="D797" s="12">
        <f t="shared" si="654"/>
        <v>20003</v>
      </c>
      <c r="E797" s="17">
        <v>1</v>
      </c>
      <c r="F797" s="17">
        <f t="shared" si="664"/>
        <v>3</v>
      </c>
      <c r="G797" s="17" t="str">
        <f t="shared" si="669"/>
        <v>高级魔防</v>
      </c>
      <c r="H797" s="17" t="str">
        <f t="shared" si="670"/>
        <v>icon_04</v>
      </c>
      <c r="I797" s="20">
        <v>0</v>
      </c>
      <c r="J797" s="17">
        <v>5</v>
      </c>
      <c r="K797" s="17">
        <f t="shared" si="667"/>
        <v>22306</v>
      </c>
      <c r="L797" s="17" t="s">
        <v>224</v>
      </c>
      <c r="M797" s="17" t="str">
        <f t="shared" si="671"/>
        <v>1:12000:5</v>
      </c>
      <c r="N797" s="16" t="str">
        <f t="shared" si="663"/>
        <v>114:1</v>
      </c>
      <c r="O797" s="17">
        <f t="shared" si="665"/>
        <v>4</v>
      </c>
      <c r="P797" s="21" t="str">
        <f t="shared" si="666"/>
        <v>所有骑兵魔防增加:1</v>
      </c>
      <c r="Q797" s="21"/>
      <c r="R797" t="str">
        <f t="shared" si="672"/>
        <v>魔防</v>
      </c>
      <c r="T797" t="str">
        <f t="shared" si="673"/>
        <v>:1</v>
      </c>
      <c r="U797" t="str">
        <f t="shared" si="655"/>
        <v>骑兵</v>
      </c>
      <c r="V797" t="s">
        <v>4419</v>
      </c>
      <c r="W797">
        <f>属性类型!G797</f>
        <v>114</v>
      </c>
      <c r="X797">
        <v>1</v>
      </c>
    </row>
    <row r="798" customFormat="1" ht="16.5" spans="1:24">
      <c r="A798" s="17">
        <f t="shared" si="668"/>
        <v>22306</v>
      </c>
      <c r="B798" s="17">
        <f t="shared" si="640"/>
        <v>22300</v>
      </c>
      <c r="C798" s="17" t="str">
        <f t="shared" si="653"/>
        <v>2</v>
      </c>
      <c r="D798" s="12">
        <f t="shared" si="654"/>
        <v>20003</v>
      </c>
      <c r="E798" s="17">
        <v>1</v>
      </c>
      <c r="F798" s="17">
        <f t="shared" si="664"/>
        <v>3</v>
      </c>
      <c r="G798" s="17" t="str">
        <f t="shared" si="669"/>
        <v>高级魔防</v>
      </c>
      <c r="H798" s="17" t="str">
        <f t="shared" si="670"/>
        <v>icon_04</v>
      </c>
      <c r="I798" s="20">
        <v>0</v>
      </c>
      <c r="J798" s="17">
        <v>6</v>
      </c>
      <c r="K798" s="17">
        <f t="shared" si="667"/>
        <v>22307</v>
      </c>
      <c r="L798" s="17" t="s">
        <v>227</v>
      </c>
      <c r="M798" s="17" t="str">
        <f t="shared" si="671"/>
        <v>1:12000:5</v>
      </c>
      <c r="N798" s="16" t="str">
        <f t="shared" si="663"/>
        <v>114:1</v>
      </c>
      <c r="O798" s="17">
        <f t="shared" si="665"/>
        <v>4</v>
      </c>
      <c r="P798" s="21" t="str">
        <f t="shared" si="666"/>
        <v>所有骑兵魔防增加:1</v>
      </c>
      <c r="Q798" s="21"/>
      <c r="R798" t="str">
        <f t="shared" si="672"/>
        <v>魔防</v>
      </c>
      <c r="T798" t="str">
        <f t="shared" si="673"/>
        <v>:1</v>
      </c>
      <c r="U798" t="str">
        <f t="shared" si="655"/>
        <v>骑兵</v>
      </c>
      <c r="V798" t="s">
        <v>4419</v>
      </c>
      <c r="W798">
        <f>属性类型!G798</f>
        <v>114</v>
      </c>
      <c r="X798">
        <v>1</v>
      </c>
    </row>
    <row r="799" customFormat="1" ht="16.5" spans="1:24">
      <c r="A799" s="17">
        <f t="shared" si="668"/>
        <v>22307</v>
      </c>
      <c r="B799" s="17">
        <f t="shared" si="640"/>
        <v>22300</v>
      </c>
      <c r="C799" s="17" t="str">
        <f t="shared" si="653"/>
        <v>2</v>
      </c>
      <c r="D799" s="12">
        <f t="shared" si="654"/>
        <v>20003</v>
      </c>
      <c r="E799" s="17">
        <v>1</v>
      </c>
      <c r="F799" s="17">
        <f t="shared" si="664"/>
        <v>3</v>
      </c>
      <c r="G799" s="17" t="str">
        <f t="shared" si="669"/>
        <v>高级魔防</v>
      </c>
      <c r="H799" s="17" t="str">
        <f t="shared" si="670"/>
        <v>icon_04</v>
      </c>
      <c r="I799" s="20">
        <v>0</v>
      </c>
      <c r="J799" s="17">
        <v>7</v>
      </c>
      <c r="K799" s="17">
        <f t="shared" si="667"/>
        <v>22308</v>
      </c>
      <c r="L799" s="17" t="s">
        <v>230</v>
      </c>
      <c r="M799" s="17" t="str">
        <f t="shared" si="671"/>
        <v>1:12000:5</v>
      </c>
      <c r="N799" s="16" t="str">
        <f t="shared" si="663"/>
        <v>114:1</v>
      </c>
      <c r="O799" s="17">
        <f t="shared" si="665"/>
        <v>4</v>
      </c>
      <c r="P799" s="21" t="str">
        <f t="shared" si="666"/>
        <v>所有骑兵魔防增加:1</v>
      </c>
      <c r="Q799" s="21"/>
      <c r="R799" t="str">
        <f t="shared" si="672"/>
        <v>魔防</v>
      </c>
      <c r="T799" t="str">
        <f t="shared" si="673"/>
        <v>:1</v>
      </c>
      <c r="U799" t="str">
        <f t="shared" si="655"/>
        <v>骑兵</v>
      </c>
      <c r="V799" t="s">
        <v>4419</v>
      </c>
      <c r="W799">
        <f>属性类型!G799</f>
        <v>114</v>
      </c>
      <c r="X799">
        <v>1</v>
      </c>
    </row>
    <row r="800" customFormat="1" ht="16.5" spans="1:24">
      <c r="A800" s="17">
        <f t="shared" si="668"/>
        <v>22308</v>
      </c>
      <c r="B800" s="17">
        <f t="shared" si="640"/>
        <v>22300</v>
      </c>
      <c r="C800" s="17" t="str">
        <f t="shared" si="653"/>
        <v>2</v>
      </c>
      <c r="D800" s="12">
        <f t="shared" si="654"/>
        <v>20003</v>
      </c>
      <c r="E800" s="17">
        <v>1</v>
      </c>
      <c r="F800" s="17">
        <f t="shared" si="664"/>
        <v>3</v>
      </c>
      <c r="G800" s="17" t="str">
        <f t="shared" si="669"/>
        <v>高级魔防</v>
      </c>
      <c r="H800" s="17" t="str">
        <f t="shared" si="670"/>
        <v>icon_04</v>
      </c>
      <c r="I800" s="20">
        <v>0</v>
      </c>
      <c r="J800" s="17">
        <v>8</v>
      </c>
      <c r="K800" s="17">
        <f t="shared" si="667"/>
        <v>22309</v>
      </c>
      <c r="L800" s="17" t="s">
        <v>233</v>
      </c>
      <c r="M800" s="17" t="str">
        <f t="shared" si="671"/>
        <v>1:12000:5</v>
      </c>
      <c r="N800" s="16" t="str">
        <f t="shared" si="663"/>
        <v>114:1</v>
      </c>
      <c r="O800" s="17">
        <f t="shared" si="665"/>
        <v>4</v>
      </c>
      <c r="P800" s="21" t="str">
        <f t="shared" si="666"/>
        <v>所有骑兵魔防增加:1</v>
      </c>
      <c r="Q800" s="21"/>
      <c r="R800" t="str">
        <f t="shared" si="672"/>
        <v>魔防</v>
      </c>
      <c r="T800" t="str">
        <f t="shared" si="673"/>
        <v>:1</v>
      </c>
      <c r="U800" t="str">
        <f t="shared" si="655"/>
        <v>骑兵</v>
      </c>
      <c r="V800" t="s">
        <v>4419</v>
      </c>
      <c r="W800">
        <f>属性类型!G800</f>
        <v>114</v>
      </c>
      <c r="X800">
        <v>1</v>
      </c>
    </row>
    <row r="801" customFormat="1" ht="16.5" spans="1:24">
      <c r="A801" s="17">
        <f t="shared" si="668"/>
        <v>22309</v>
      </c>
      <c r="B801" s="17">
        <f t="shared" si="640"/>
        <v>22300</v>
      </c>
      <c r="C801" s="17" t="str">
        <f t="shared" si="653"/>
        <v>2</v>
      </c>
      <c r="D801" s="12">
        <f t="shared" si="654"/>
        <v>20003</v>
      </c>
      <c r="E801" s="17">
        <v>1</v>
      </c>
      <c r="F801" s="17">
        <f t="shared" si="664"/>
        <v>3</v>
      </c>
      <c r="G801" s="17" t="str">
        <f t="shared" si="669"/>
        <v>高级魔防</v>
      </c>
      <c r="H801" s="17" t="str">
        <f t="shared" si="670"/>
        <v>icon_04</v>
      </c>
      <c r="I801" s="20">
        <v>0</v>
      </c>
      <c r="J801" s="17">
        <v>9</v>
      </c>
      <c r="K801" s="17">
        <f t="shared" si="667"/>
        <v>22310</v>
      </c>
      <c r="L801" s="17" t="s">
        <v>236</v>
      </c>
      <c r="M801" s="17" t="str">
        <f t="shared" si="671"/>
        <v>1:12000:5</v>
      </c>
      <c r="N801" s="16" t="str">
        <f t="shared" si="663"/>
        <v>114:1</v>
      </c>
      <c r="O801" s="17">
        <f t="shared" si="665"/>
        <v>4</v>
      </c>
      <c r="P801" s="21" t="str">
        <f t="shared" si="666"/>
        <v>所有骑兵魔防增加:1</v>
      </c>
      <c r="Q801" s="21"/>
      <c r="R801" t="str">
        <f t="shared" si="672"/>
        <v>魔防</v>
      </c>
      <c r="T801" t="str">
        <f t="shared" si="673"/>
        <v>:1</v>
      </c>
      <c r="U801" t="str">
        <f t="shared" si="655"/>
        <v>骑兵</v>
      </c>
      <c r="V801" t="s">
        <v>4419</v>
      </c>
      <c r="W801">
        <f>属性类型!G801</f>
        <v>114</v>
      </c>
      <c r="X801">
        <v>1</v>
      </c>
    </row>
    <row r="802" customFormat="1" ht="16.5" spans="1:24">
      <c r="A802" s="17">
        <f t="shared" si="668"/>
        <v>22310</v>
      </c>
      <c r="B802" s="17">
        <f t="shared" si="640"/>
        <v>22300</v>
      </c>
      <c r="C802" s="17" t="str">
        <f t="shared" si="653"/>
        <v>2</v>
      </c>
      <c r="D802" s="12">
        <f t="shared" si="654"/>
        <v>20003</v>
      </c>
      <c r="E802" s="17">
        <v>1</v>
      </c>
      <c r="F802" s="17">
        <f t="shared" si="664"/>
        <v>3</v>
      </c>
      <c r="G802" s="17" t="str">
        <f t="shared" si="669"/>
        <v>高级魔防</v>
      </c>
      <c r="H802" s="17" t="str">
        <f t="shared" si="670"/>
        <v>icon_04</v>
      </c>
      <c r="I802" s="20">
        <v>0</v>
      </c>
      <c r="J802" s="17">
        <v>10</v>
      </c>
      <c r="K802" s="17">
        <f t="shared" si="667"/>
        <v>22311</v>
      </c>
      <c r="L802" s="17" t="s">
        <v>238</v>
      </c>
      <c r="M802" s="17" t="str">
        <f t="shared" si="671"/>
        <v>1:12000:5</v>
      </c>
      <c r="N802" s="16" t="str">
        <f t="shared" si="663"/>
        <v>114:1</v>
      </c>
      <c r="O802" s="17">
        <f t="shared" si="665"/>
        <v>4</v>
      </c>
      <c r="P802" s="21" t="str">
        <f t="shared" si="666"/>
        <v>所有骑兵魔防增加:1</v>
      </c>
      <c r="Q802" s="21"/>
      <c r="R802" t="str">
        <f t="shared" si="672"/>
        <v>魔防</v>
      </c>
      <c r="T802" t="str">
        <f t="shared" si="673"/>
        <v>:1</v>
      </c>
      <c r="U802" t="str">
        <f t="shared" si="655"/>
        <v>骑兵</v>
      </c>
      <c r="V802" t="s">
        <v>4419</v>
      </c>
      <c r="W802">
        <f>属性类型!G802</f>
        <v>114</v>
      </c>
      <c r="X802">
        <v>1</v>
      </c>
    </row>
    <row r="803" customFormat="1" ht="16.5" spans="1:24">
      <c r="A803" s="17">
        <f t="shared" si="668"/>
        <v>22311</v>
      </c>
      <c r="B803" s="17">
        <f t="shared" si="640"/>
        <v>22300</v>
      </c>
      <c r="C803" s="17" t="str">
        <f t="shared" si="653"/>
        <v>2</v>
      </c>
      <c r="D803" s="12">
        <f t="shared" si="654"/>
        <v>20003</v>
      </c>
      <c r="E803" s="17">
        <v>1</v>
      </c>
      <c r="F803" s="17">
        <f t="shared" si="664"/>
        <v>3</v>
      </c>
      <c r="G803" s="17" t="str">
        <f t="shared" si="669"/>
        <v>高级魔防</v>
      </c>
      <c r="H803" s="17" t="str">
        <f t="shared" si="670"/>
        <v>icon_04</v>
      </c>
      <c r="I803" s="20">
        <v>0</v>
      </c>
      <c r="J803" s="17">
        <v>11</v>
      </c>
      <c r="K803" s="17">
        <f t="shared" si="667"/>
        <v>22312</v>
      </c>
      <c r="L803" s="17" t="s">
        <v>529</v>
      </c>
      <c r="M803" s="17" t="str">
        <f t="shared" si="671"/>
        <v>1:12000:5</v>
      </c>
      <c r="N803" s="16" t="str">
        <f t="shared" si="663"/>
        <v>114:1</v>
      </c>
      <c r="O803" s="17">
        <f t="shared" si="665"/>
        <v>4</v>
      </c>
      <c r="P803" s="21" t="str">
        <f t="shared" si="666"/>
        <v>所有骑兵魔防增加:1</v>
      </c>
      <c r="Q803" s="21"/>
      <c r="R803" t="str">
        <f t="shared" si="672"/>
        <v>魔防</v>
      </c>
      <c r="T803" t="str">
        <f t="shared" si="673"/>
        <v>:1</v>
      </c>
      <c r="U803" t="str">
        <f t="shared" si="655"/>
        <v>骑兵</v>
      </c>
      <c r="V803" t="s">
        <v>4419</v>
      </c>
      <c r="W803">
        <f>属性类型!G803</f>
        <v>114</v>
      </c>
      <c r="X803">
        <v>1</v>
      </c>
    </row>
    <row r="804" customFormat="1" ht="16.5" spans="1:24">
      <c r="A804" s="17">
        <f t="shared" si="668"/>
        <v>22312</v>
      </c>
      <c r="B804" s="17">
        <f t="shared" si="640"/>
        <v>22300</v>
      </c>
      <c r="C804" s="17" t="str">
        <f t="shared" si="653"/>
        <v>2</v>
      </c>
      <c r="D804" s="12">
        <f t="shared" si="654"/>
        <v>20003</v>
      </c>
      <c r="E804" s="17">
        <v>1</v>
      </c>
      <c r="F804" s="17">
        <f t="shared" si="664"/>
        <v>3</v>
      </c>
      <c r="G804" s="17" t="str">
        <f t="shared" si="669"/>
        <v>高级魔防</v>
      </c>
      <c r="H804" s="17" t="str">
        <f t="shared" si="670"/>
        <v>icon_04</v>
      </c>
      <c r="I804" s="20">
        <v>0</v>
      </c>
      <c r="J804" s="17">
        <v>12</v>
      </c>
      <c r="K804" s="17">
        <f t="shared" si="667"/>
        <v>22313</v>
      </c>
      <c r="L804" s="17" t="s">
        <v>532</v>
      </c>
      <c r="M804" s="17" t="str">
        <f t="shared" si="671"/>
        <v>1:12000:5</v>
      </c>
      <c r="N804" s="16" t="str">
        <f t="shared" si="663"/>
        <v>114:1</v>
      </c>
      <c r="O804" s="17">
        <f t="shared" si="665"/>
        <v>4</v>
      </c>
      <c r="P804" s="21" t="str">
        <f t="shared" si="666"/>
        <v>所有骑兵魔防增加:1</v>
      </c>
      <c r="Q804" s="21"/>
      <c r="R804" t="str">
        <f t="shared" si="672"/>
        <v>魔防</v>
      </c>
      <c r="T804" t="str">
        <f t="shared" si="673"/>
        <v>:1</v>
      </c>
      <c r="U804" t="str">
        <f t="shared" si="655"/>
        <v>骑兵</v>
      </c>
      <c r="V804" t="s">
        <v>4419</v>
      </c>
      <c r="W804">
        <f>属性类型!G804</f>
        <v>114</v>
      </c>
      <c r="X804">
        <v>1</v>
      </c>
    </row>
    <row r="805" customFormat="1" ht="16.5" spans="1:24">
      <c r="A805" s="17">
        <f t="shared" si="668"/>
        <v>22313</v>
      </c>
      <c r="B805" s="17">
        <f t="shared" si="640"/>
        <v>22300</v>
      </c>
      <c r="C805" s="17" t="str">
        <f t="shared" si="653"/>
        <v>2</v>
      </c>
      <c r="D805" s="12">
        <f t="shared" si="654"/>
        <v>20003</v>
      </c>
      <c r="E805" s="17">
        <v>1</v>
      </c>
      <c r="F805" s="17">
        <f t="shared" si="664"/>
        <v>3</v>
      </c>
      <c r="G805" s="17" t="str">
        <f t="shared" si="669"/>
        <v>高级魔防</v>
      </c>
      <c r="H805" s="17" t="str">
        <f t="shared" si="670"/>
        <v>icon_04</v>
      </c>
      <c r="I805" s="20">
        <v>0</v>
      </c>
      <c r="J805" s="17">
        <v>13</v>
      </c>
      <c r="K805" s="17">
        <f t="shared" si="667"/>
        <v>22314</v>
      </c>
      <c r="L805" s="17" t="s">
        <v>561</v>
      </c>
      <c r="M805" s="17" t="str">
        <f t="shared" si="671"/>
        <v>1:12000:5</v>
      </c>
      <c r="N805" s="16" t="str">
        <f t="shared" si="663"/>
        <v>114:1</v>
      </c>
      <c r="O805" s="17">
        <f t="shared" si="665"/>
        <v>4</v>
      </c>
      <c r="P805" s="21" t="str">
        <f t="shared" si="666"/>
        <v>所有骑兵魔防增加:1</v>
      </c>
      <c r="Q805" s="21"/>
      <c r="R805" t="str">
        <f t="shared" si="672"/>
        <v>魔防</v>
      </c>
      <c r="T805" t="str">
        <f t="shared" si="673"/>
        <v>:1</v>
      </c>
      <c r="U805" t="str">
        <f t="shared" si="655"/>
        <v>骑兵</v>
      </c>
      <c r="V805" t="s">
        <v>4419</v>
      </c>
      <c r="W805">
        <f>属性类型!G805</f>
        <v>114</v>
      </c>
      <c r="X805">
        <v>1</v>
      </c>
    </row>
    <row r="806" customFormat="1" ht="16.5" spans="1:24">
      <c r="A806" s="17">
        <f t="shared" si="668"/>
        <v>22314</v>
      </c>
      <c r="B806" s="17">
        <f t="shared" si="640"/>
        <v>22300</v>
      </c>
      <c r="C806" s="17" t="str">
        <f t="shared" si="653"/>
        <v>2</v>
      </c>
      <c r="D806" s="12">
        <f t="shared" si="654"/>
        <v>20003</v>
      </c>
      <c r="E806" s="17">
        <v>1</v>
      </c>
      <c r="F806" s="17">
        <f t="shared" si="664"/>
        <v>3</v>
      </c>
      <c r="G806" s="17" t="str">
        <f t="shared" si="669"/>
        <v>高级魔防</v>
      </c>
      <c r="H806" s="17" t="str">
        <f t="shared" si="670"/>
        <v>icon_04</v>
      </c>
      <c r="I806" s="20">
        <v>0</v>
      </c>
      <c r="J806" s="17">
        <v>14</v>
      </c>
      <c r="K806" s="17">
        <f t="shared" si="667"/>
        <v>22315</v>
      </c>
      <c r="L806" s="17" t="s">
        <v>564</v>
      </c>
      <c r="M806" s="17" t="str">
        <f t="shared" si="671"/>
        <v>1:12000:5</v>
      </c>
      <c r="N806" s="16" t="str">
        <f t="shared" si="663"/>
        <v>114:1</v>
      </c>
      <c r="O806" s="17">
        <f t="shared" si="665"/>
        <v>4</v>
      </c>
      <c r="P806" s="21" t="str">
        <f t="shared" si="666"/>
        <v>所有骑兵魔防增加:1</v>
      </c>
      <c r="Q806" s="21"/>
      <c r="R806" t="str">
        <f t="shared" si="672"/>
        <v>魔防</v>
      </c>
      <c r="T806" t="str">
        <f t="shared" si="673"/>
        <v>:1</v>
      </c>
      <c r="U806" t="str">
        <f t="shared" si="655"/>
        <v>骑兵</v>
      </c>
      <c r="V806" t="s">
        <v>4419</v>
      </c>
      <c r="W806">
        <f>属性类型!G806</f>
        <v>114</v>
      </c>
      <c r="X806">
        <v>1</v>
      </c>
    </row>
    <row r="807" customFormat="1" ht="16.5" spans="1:24">
      <c r="A807" s="17">
        <f t="shared" si="668"/>
        <v>22315</v>
      </c>
      <c r="B807" s="17">
        <f t="shared" si="640"/>
        <v>22300</v>
      </c>
      <c r="C807" s="17" t="str">
        <f t="shared" si="653"/>
        <v>2</v>
      </c>
      <c r="D807" s="12">
        <f t="shared" si="654"/>
        <v>20003</v>
      </c>
      <c r="E807" s="17">
        <v>1</v>
      </c>
      <c r="F807" s="17">
        <f t="shared" si="664"/>
        <v>3</v>
      </c>
      <c r="G807" s="17" t="str">
        <f t="shared" si="669"/>
        <v>高级魔防</v>
      </c>
      <c r="H807" s="17" t="str">
        <f t="shared" si="670"/>
        <v>icon_04</v>
      </c>
      <c r="I807" s="20">
        <v>0</v>
      </c>
      <c r="J807" s="17">
        <v>15</v>
      </c>
      <c r="K807" s="17">
        <v>0</v>
      </c>
      <c r="L807" s="17">
        <v>0</v>
      </c>
      <c r="M807" s="17" t="str">
        <f t="shared" si="671"/>
        <v>1:12000:5</v>
      </c>
      <c r="N807" s="16" t="str">
        <f t="shared" si="663"/>
        <v>114:1</v>
      </c>
      <c r="O807" s="17">
        <f t="shared" si="665"/>
        <v>4</v>
      </c>
      <c r="P807" s="21" t="str">
        <f t="shared" si="666"/>
        <v>所有骑兵魔防增加:1</v>
      </c>
      <c r="Q807" s="21"/>
      <c r="R807" t="str">
        <f t="shared" si="672"/>
        <v>魔防</v>
      </c>
      <c r="T807" t="str">
        <f t="shared" si="673"/>
        <v>:1</v>
      </c>
      <c r="U807" t="str">
        <f t="shared" si="655"/>
        <v>骑兵</v>
      </c>
      <c r="V807" t="s">
        <v>4419</v>
      </c>
      <c r="W807">
        <f>属性类型!G807</f>
        <v>114</v>
      </c>
      <c r="X807">
        <v>1</v>
      </c>
    </row>
    <row r="808" customFormat="1" ht="16.5" spans="1:24">
      <c r="A808" s="18">
        <f>A792+100</f>
        <v>22400</v>
      </c>
      <c r="B808" s="18">
        <f t="shared" ref="B808:B871" si="674">ROUND(A808,-2)</f>
        <v>22400</v>
      </c>
      <c r="C808" s="18" t="str">
        <f t="shared" si="653"/>
        <v>2</v>
      </c>
      <c r="D808" s="12">
        <f t="shared" si="654"/>
        <v>20003</v>
      </c>
      <c r="E808" s="17">
        <v>1</v>
      </c>
      <c r="F808" s="18">
        <f t="shared" si="664"/>
        <v>3</v>
      </c>
      <c r="G808" s="18" t="s">
        <v>612</v>
      </c>
      <c r="H808" s="18" t="s">
        <v>112</v>
      </c>
      <c r="I808" s="20">
        <v>0</v>
      </c>
      <c r="J808" s="18">
        <v>0</v>
      </c>
      <c r="K808" s="18">
        <f t="shared" ref="K808:K827" si="675">A809</f>
        <v>22401</v>
      </c>
      <c r="L808" s="18" t="s">
        <v>206</v>
      </c>
      <c r="M808" s="18" t="s">
        <v>614</v>
      </c>
      <c r="N808" s="16" t="str">
        <f t="shared" si="663"/>
        <v>118:1</v>
      </c>
      <c r="O808" s="18">
        <f t="shared" si="665"/>
        <v>5</v>
      </c>
      <c r="P808" s="21" t="str">
        <f t="shared" si="666"/>
        <v>所有骑兵防御百分比增加1</v>
      </c>
      <c r="Q808" s="21"/>
      <c r="R808" t="s">
        <v>4278</v>
      </c>
      <c r="T808" t="str">
        <f>RIGHT(N808,1)</f>
        <v>1</v>
      </c>
      <c r="U808" t="str">
        <f t="shared" si="655"/>
        <v>骑兵</v>
      </c>
      <c r="V808" t="s">
        <v>4420</v>
      </c>
      <c r="W808">
        <f>属性类型!G808</f>
        <v>118</v>
      </c>
      <c r="X808">
        <v>1</v>
      </c>
    </row>
    <row r="809" customFormat="1" ht="16.5" spans="1:24">
      <c r="A809" s="17">
        <f t="shared" ref="A809:A828" si="676">A808+1</f>
        <v>22401</v>
      </c>
      <c r="B809" s="17">
        <f t="shared" si="674"/>
        <v>22400</v>
      </c>
      <c r="C809" s="17" t="str">
        <f t="shared" si="653"/>
        <v>2</v>
      </c>
      <c r="D809" s="12">
        <f t="shared" si="654"/>
        <v>20003</v>
      </c>
      <c r="E809" s="17">
        <v>1</v>
      </c>
      <c r="F809" s="17">
        <f t="shared" si="664"/>
        <v>3</v>
      </c>
      <c r="G809" s="17" t="str">
        <f t="shared" ref="G809:G828" si="677">G808</f>
        <v>高级防御百分比</v>
      </c>
      <c r="H809" s="17" t="str">
        <f t="shared" ref="H809:H828" si="678">H808</f>
        <v>icon_05</v>
      </c>
      <c r="I809" s="20">
        <v>0</v>
      </c>
      <c r="J809" s="17">
        <v>1</v>
      </c>
      <c r="K809" s="17">
        <f t="shared" si="675"/>
        <v>22402</v>
      </c>
      <c r="L809" s="17" t="s">
        <v>211</v>
      </c>
      <c r="M809" s="17" t="str">
        <f t="shared" ref="M809:M828" si="679">M808</f>
        <v>1:12100:10</v>
      </c>
      <c r="N809" s="16" t="str">
        <f t="shared" si="663"/>
        <v>118:1</v>
      </c>
      <c r="O809" s="17">
        <f t="shared" si="665"/>
        <v>5</v>
      </c>
      <c r="P809" s="21" t="str">
        <f t="shared" si="666"/>
        <v>所有骑兵防御百分比增加:1</v>
      </c>
      <c r="Q809" s="21"/>
      <c r="R809" t="str">
        <f t="shared" ref="R809:R828" si="680">R808</f>
        <v>防御百分比</v>
      </c>
      <c r="T809" t="str">
        <f t="shared" ref="T809:T828" si="681">RIGHT(N809,2)</f>
        <v>:1</v>
      </c>
      <c r="U809" t="str">
        <f t="shared" si="655"/>
        <v>骑兵</v>
      </c>
      <c r="V809" t="s">
        <v>4420</v>
      </c>
      <c r="W809">
        <f>属性类型!G809</f>
        <v>118</v>
      </c>
      <c r="X809">
        <v>1</v>
      </c>
    </row>
    <row r="810" customFormat="1" ht="16.5" spans="1:24">
      <c r="A810" s="17">
        <f t="shared" si="676"/>
        <v>22402</v>
      </c>
      <c r="B810" s="17">
        <f t="shared" si="674"/>
        <v>22400</v>
      </c>
      <c r="C810" s="17" t="str">
        <f t="shared" si="653"/>
        <v>2</v>
      </c>
      <c r="D810" s="12">
        <f t="shared" si="654"/>
        <v>20003</v>
      </c>
      <c r="E810" s="17">
        <v>1</v>
      </c>
      <c r="F810" s="17">
        <f t="shared" si="664"/>
        <v>3</v>
      </c>
      <c r="G810" s="17" t="str">
        <f t="shared" si="677"/>
        <v>高级防御百分比</v>
      </c>
      <c r="H810" s="17" t="str">
        <f t="shared" si="678"/>
        <v>icon_05</v>
      </c>
      <c r="I810" s="20">
        <v>0</v>
      </c>
      <c r="J810" s="17">
        <v>2</v>
      </c>
      <c r="K810" s="17">
        <f t="shared" si="675"/>
        <v>22403</v>
      </c>
      <c r="L810" s="17" t="s">
        <v>215</v>
      </c>
      <c r="M810" s="17" t="str">
        <f t="shared" si="679"/>
        <v>1:12100:10</v>
      </c>
      <c r="N810" s="16" t="str">
        <f t="shared" si="663"/>
        <v>118:1</v>
      </c>
      <c r="O810" s="17">
        <f t="shared" si="665"/>
        <v>5</v>
      </c>
      <c r="P810" s="21" t="str">
        <f t="shared" si="666"/>
        <v>所有骑兵防御百分比增加:1</v>
      </c>
      <c r="Q810" s="21"/>
      <c r="R810" t="str">
        <f t="shared" si="680"/>
        <v>防御百分比</v>
      </c>
      <c r="T810" t="str">
        <f t="shared" si="681"/>
        <v>:1</v>
      </c>
      <c r="U810" t="str">
        <f t="shared" si="655"/>
        <v>骑兵</v>
      </c>
      <c r="V810" t="s">
        <v>4420</v>
      </c>
      <c r="W810">
        <f>属性类型!G810</f>
        <v>118</v>
      </c>
      <c r="X810">
        <v>1</v>
      </c>
    </row>
    <row r="811" customFormat="1" ht="16.5" spans="1:24">
      <c r="A811" s="17">
        <f t="shared" si="676"/>
        <v>22403</v>
      </c>
      <c r="B811" s="17">
        <f t="shared" si="674"/>
        <v>22400</v>
      </c>
      <c r="C811" s="17" t="str">
        <f t="shared" si="653"/>
        <v>2</v>
      </c>
      <c r="D811" s="12">
        <f t="shared" si="654"/>
        <v>20003</v>
      </c>
      <c r="E811" s="17">
        <v>1</v>
      </c>
      <c r="F811" s="17">
        <f t="shared" si="664"/>
        <v>3</v>
      </c>
      <c r="G811" s="17" t="str">
        <f t="shared" si="677"/>
        <v>高级防御百分比</v>
      </c>
      <c r="H811" s="17" t="str">
        <f t="shared" si="678"/>
        <v>icon_05</v>
      </c>
      <c r="I811" s="20">
        <v>0</v>
      </c>
      <c r="J811" s="17">
        <v>3</v>
      </c>
      <c r="K811" s="17">
        <f t="shared" si="675"/>
        <v>22404</v>
      </c>
      <c r="L811" s="17" t="s">
        <v>218</v>
      </c>
      <c r="M811" s="17" t="str">
        <f t="shared" si="679"/>
        <v>1:12100:10</v>
      </c>
      <c r="N811" s="16" t="str">
        <f t="shared" si="663"/>
        <v>118:1</v>
      </c>
      <c r="O811" s="17">
        <f t="shared" si="665"/>
        <v>5</v>
      </c>
      <c r="P811" s="21" t="str">
        <f t="shared" si="666"/>
        <v>所有骑兵防御百分比增加:1</v>
      </c>
      <c r="Q811" s="21"/>
      <c r="R811" t="str">
        <f t="shared" si="680"/>
        <v>防御百分比</v>
      </c>
      <c r="T811" t="str">
        <f t="shared" si="681"/>
        <v>:1</v>
      </c>
      <c r="U811" t="str">
        <f t="shared" si="655"/>
        <v>骑兵</v>
      </c>
      <c r="V811" t="s">
        <v>4420</v>
      </c>
      <c r="W811">
        <f>属性类型!G811</f>
        <v>118</v>
      </c>
      <c r="X811">
        <v>1</v>
      </c>
    </row>
    <row r="812" customFormat="1" ht="16.5" spans="1:24">
      <c r="A812" s="17">
        <f t="shared" si="676"/>
        <v>22404</v>
      </c>
      <c r="B812" s="17">
        <f t="shared" si="674"/>
        <v>22400</v>
      </c>
      <c r="C812" s="17" t="str">
        <f t="shared" si="653"/>
        <v>2</v>
      </c>
      <c r="D812" s="12">
        <f t="shared" si="654"/>
        <v>20003</v>
      </c>
      <c r="E812" s="17">
        <v>1</v>
      </c>
      <c r="F812" s="17">
        <f t="shared" si="664"/>
        <v>3</v>
      </c>
      <c r="G812" s="17" t="str">
        <f t="shared" si="677"/>
        <v>高级防御百分比</v>
      </c>
      <c r="H812" s="17" t="str">
        <f t="shared" si="678"/>
        <v>icon_05</v>
      </c>
      <c r="I812" s="20">
        <v>0</v>
      </c>
      <c r="J812" s="17">
        <v>4</v>
      </c>
      <c r="K812" s="17">
        <f t="shared" si="675"/>
        <v>22405</v>
      </c>
      <c r="L812" s="17" t="s">
        <v>221</v>
      </c>
      <c r="M812" s="17" t="str">
        <f t="shared" si="679"/>
        <v>1:12100:10</v>
      </c>
      <c r="N812" s="16" t="str">
        <f t="shared" si="663"/>
        <v>118:1</v>
      </c>
      <c r="O812" s="17">
        <f t="shared" si="665"/>
        <v>5</v>
      </c>
      <c r="P812" s="21" t="str">
        <f t="shared" si="666"/>
        <v>所有骑兵防御百分比增加:1</v>
      </c>
      <c r="Q812" s="21"/>
      <c r="R812" t="str">
        <f t="shared" si="680"/>
        <v>防御百分比</v>
      </c>
      <c r="T812" t="str">
        <f t="shared" si="681"/>
        <v>:1</v>
      </c>
      <c r="U812" t="str">
        <f t="shared" si="655"/>
        <v>骑兵</v>
      </c>
      <c r="V812" t="s">
        <v>4420</v>
      </c>
      <c r="W812">
        <f>属性类型!G812</f>
        <v>118</v>
      </c>
      <c r="X812">
        <v>1</v>
      </c>
    </row>
    <row r="813" customFormat="1" ht="16.5" spans="1:24">
      <c r="A813" s="17">
        <f t="shared" si="676"/>
        <v>22405</v>
      </c>
      <c r="B813" s="17">
        <f t="shared" si="674"/>
        <v>22400</v>
      </c>
      <c r="C813" s="17" t="str">
        <f t="shared" si="653"/>
        <v>2</v>
      </c>
      <c r="D813" s="12">
        <f t="shared" si="654"/>
        <v>20003</v>
      </c>
      <c r="E813" s="17">
        <v>1</v>
      </c>
      <c r="F813" s="17">
        <f t="shared" si="664"/>
        <v>3</v>
      </c>
      <c r="G813" s="17" t="str">
        <f t="shared" si="677"/>
        <v>高级防御百分比</v>
      </c>
      <c r="H813" s="17" t="str">
        <f t="shared" si="678"/>
        <v>icon_05</v>
      </c>
      <c r="I813" s="20">
        <v>0</v>
      </c>
      <c r="J813" s="17">
        <v>5</v>
      </c>
      <c r="K813" s="17">
        <f t="shared" si="675"/>
        <v>22406</v>
      </c>
      <c r="L813" s="17" t="s">
        <v>224</v>
      </c>
      <c r="M813" s="17" t="str">
        <f t="shared" si="679"/>
        <v>1:12100:10</v>
      </c>
      <c r="N813" s="16" t="str">
        <f t="shared" si="663"/>
        <v>118:1</v>
      </c>
      <c r="O813" s="17">
        <f t="shared" si="665"/>
        <v>5</v>
      </c>
      <c r="P813" s="21" t="str">
        <f t="shared" si="666"/>
        <v>所有骑兵防御百分比增加:1</v>
      </c>
      <c r="Q813" s="21"/>
      <c r="R813" t="str">
        <f t="shared" si="680"/>
        <v>防御百分比</v>
      </c>
      <c r="T813" t="str">
        <f t="shared" si="681"/>
        <v>:1</v>
      </c>
      <c r="U813" t="str">
        <f t="shared" si="655"/>
        <v>骑兵</v>
      </c>
      <c r="V813" t="s">
        <v>4420</v>
      </c>
      <c r="W813">
        <f>属性类型!G813</f>
        <v>118</v>
      </c>
      <c r="X813">
        <v>1</v>
      </c>
    </row>
    <row r="814" customFormat="1" ht="16.5" spans="1:24">
      <c r="A814" s="17">
        <f t="shared" si="676"/>
        <v>22406</v>
      </c>
      <c r="B814" s="17">
        <f t="shared" si="674"/>
        <v>22400</v>
      </c>
      <c r="C814" s="17" t="str">
        <f t="shared" si="653"/>
        <v>2</v>
      </c>
      <c r="D814" s="12">
        <f t="shared" si="654"/>
        <v>20003</v>
      </c>
      <c r="E814" s="17">
        <v>1</v>
      </c>
      <c r="F814" s="17">
        <f t="shared" si="664"/>
        <v>3</v>
      </c>
      <c r="G814" s="17" t="str">
        <f t="shared" si="677"/>
        <v>高级防御百分比</v>
      </c>
      <c r="H814" s="17" t="str">
        <f t="shared" si="678"/>
        <v>icon_05</v>
      </c>
      <c r="I814" s="20">
        <v>0</v>
      </c>
      <c r="J814" s="17">
        <v>6</v>
      </c>
      <c r="K814" s="17">
        <f t="shared" si="675"/>
        <v>22407</v>
      </c>
      <c r="L814" s="17" t="s">
        <v>227</v>
      </c>
      <c r="M814" s="17" t="str">
        <f t="shared" si="679"/>
        <v>1:12100:10</v>
      </c>
      <c r="N814" s="16" t="str">
        <f t="shared" si="663"/>
        <v>118:1</v>
      </c>
      <c r="O814" s="17">
        <f t="shared" si="665"/>
        <v>5</v>
      </c>
      <c r="P814" s="21" t="str">
        <f t="shared" si="666"/>
        <v>所有骑兵防御百分比增加:1</v>
      </c>
      <c r="Q814" s="21"/>
      <c r="R814" t="str">
        <f t="shared" si="680"/>
        <v>防御百分比</v>
      </c>
      <c r="T814" t="str">
        <f t="shared" si="681"/>
        <v>:1</v>
      </c>
      <c r="U814" t="str">
        <f t="shared" si="655"/>
        <v>骑兵</v>
      </c>
      <c r="V814" t="s">
        <v>4420</v>
      </c>
      <c r="W814">
        <f>属性类型!G814</f>
        <v>118</v>
      </c>
      <c r="X814">
        <v>1</v>
      </c>
    </row>
    <row r="815" customFormat="1" ht="16.5" spans="1:24">
      <c r="A815" s="17">
        <f t="shared" si="676"/>
        <v>22407</v>
      </c>
      <c r="B815" s="17">
        <f t="shared" si="674"/>
        <v>22400</v>
      </c>
      <c r="C815" s="17" t="str">
        <f t="shared" si="653"/>
        <v>2</v>
      </c>
      <c r="D815" s="12">
        <f t="shared" si="654"/>
        <v>20003</v>
      </c>
      <c r="E815" s="17">
        <v>1</v>
      </c>
      <c r="F815" s="17">
        <f t="shared" si="664"/>
        <v>3</v>
      </c>
      <c r="G815" s="17" t="str">
        <f t="shared" si="677"/>
        <v>高级防御百分比</v>
      </c>
      <c r="H815" s="17" t="str">
        <f t="shared" si="678"/>
        <v>icon_05</v>
      </c>
      <c r="I815" s="20">
        <v>0</v>
      </c>
      <c r="J815" s="17">
        <v>7</v>
      </c>
      <c r="K815" s="17">
        <f t="shared" si="675"/>
        <v>22408</v>
      </c>
      <c r="L815" s="17" t="s">
        <v>230</v>
      </c>
      <c r="M815" s="17" t="str">
        <f t="shared" si="679"/>
        <v>1:12100:10</v>
      </c>
      <c r="N815" s="16" t="str">
        <f t="shared" si="663"/>
        <v>118:1</v>
      </c>
      <c r="O815" s="17">
        <f t="shared" si="665"/>
        <v>5</v>
      </c>
      <c r="P815" s="21" t="str">
        <f t="shared" si="666"/>
        <v>所有骑兵防御百分比增加:1</v>
      </c>
      <c r="Q815" s="21"/>
      <c r="R815" t="str">
        <f t="shared" si="680"/>
        <v>防御百分比</v>
      </c>
      <c r="T815" t="str">
        <f t="shared" si="681"/>
        <v>:1</v>
      </c>
      <c r="U815" t="str">
        <f t="shared" si="655"/>
        <v>骑兵</v>
      </c>
      <c r="V815" t="s">
        <v>4420</v>
      </c>
      <c r="W815">
        <f>属性类型!G815</f>
        <v>118</v>
      </c>
      <c r="X815">
        <v>1</v>
      </c>
    </row>
    <row r="816" customFormat="1" ht="16.5" spans="1:24">
      <c r="A816" s="17">
        <f t="shared" si="676"/>
        <v>22408</v>
      </c>
      <c r="B816" s="17">
        <f t="shared" si="674"/>
        <v>22400</v>
      </c>
      <c r="C816" s="17" t="str">
        <f t="shared" si="653"/>
        <v>2</v>
      </c>
      <c r="D816" s="12">
        <f t="shared" si="654"/>
        <v>20003</v>
      </c>
      <c r="E816" s="17">
        <v>1</v>
      </c>
      <c r="F816" s="17">
        <f t="shared" si="664"/>
        <v>3</v>
      </c>
      <c r="G816" s="17" t="str">
        <f t="shared" si="677"/>
        <v>高级防御百分比</v>
      </c>
      <c r="H816" s="17" t="str">
        <f t="shared" si="678"/>
        <v>icon_05</v>
      </c>
      <c r="I816" s="20">
        <v>0</v>
      </c>
      <c r="J816" s="17">
        <v>8</v>
      </c>
      <c r="K816" s="17">
        <f t="shared" si="675"/>
        <v>22409</v>
      </c>
      <c r="L816" s="17" t="s">
        <v>233</v>
      </c>
      <c r="M816" s="17" t="str">
        <f t="shared" si="679"/>
        <v>1:12100:10</v>
      </c>
      <c r="N816" s="16" t="str">
        <f t="shared" si="663"/>
        <v>118:1</v>
      </c>
      <c r="O816" s="17">
        <f t="shared" si="665"/>
        <v>5</v>
      </c>
      <c r="P816" s="21" t="str">
        <f t="shared" si="666"/>
        <v>所有骑兵防御百分比增加:1</v>
      </c>
      <c r="Q816" s="21"/>
      <c r="R816" t="str">
        <f t="shared" si="680"/>
        <v>防御百分比</v>
      </c>
      <c r="T816" t="str">
        <f t="shared" si="681"/>
        <v>:1</v>
      </c>
      <c r="U816" t="str">
        <f t="shared" si="655"/>
        <v>骑兵</v>
      </c>
      <c r="V816" t="s">
        <v>4420</v>
      </c>
      <c r="W816">
        <f>属性类型!G816</f>
        <v>118</v>
      </c>
      <c r="X816">
        <v>1</v>
      </c>
    </row>
    <row r="817" customFormat="1" ht="16.5" spans="1:24">
      <c r="A817" s="17">
        <f t="shared" si="676"/>
        <v>22409</v>
      </c>
      <c r="B817" s="17">
        <f t="shared" si="674"/>
        <v>22400</v>
      </c>
      <c r="C817" s="17" t="str">
        <f t="shared" si="653"/>
        <v>2</v>
      </c>
      <c r="D817" s="12">
        <f t="shared" si="654"/>
        <v>20003</v>
      </c>
      <c r="E817" s="17">
        <v>1</v>
      </c>
      <c r="F817" s="17">
        <f t="shared" si="664"/>
        <v>3</v>
      </c>
      <c r="G817" s="17" t="str">
        <f t="shared" si="677"/>
        <v>高级防御百分比</v>
      </c>
      <c r="H817" s="17" t="str">
        <f t="shared" si="678"/>
        <v>icon_05</v>
      </c>
      <c r="I817" s="20">
        <v>0</v>
      </c>
      <c r="J817" s="17">
        <v>9</v>
      </c>
      <c r="K817" s="17">
        <f t="shared" si="675"/>
        <v>22410</v>
      </c>
      <c r="L817" s="17" t="s">
        <v>236</v>
      </c>
      <c r="M817" s="17" t="str">
        <f t="shared" si="679"/>
        <v>1:12100:10</v>
      </c>
      <c r="N817" s="16" t="str">
        <f t="shared" si="663"/>
        <v>118:1</v>
      </c>
      <c r="O817" s="17">
        <f t="shared" si="665"/>
        <v>5</v>
      </c>
      <c r="P817" s="21" t="str">
        <f t="shared" si="666"/>
        <v>所有骑兵防御百分比增加:1</v>
      </c>
      <c r="Q817" s="21"/>
      <c r="R817" t="str">
        <f t="shared" si="680"/>
        <v>防御百分比</v>
      </c>
      <c r="T817" t="str">
        <f t="shared" si="681"/>
        <v>:1</v>
      </c>
      <c r="U817" t="str">
        <f t="shared" si="655"/>
        <v>骑兵</v>
      </c>
      <c r="V817" t="s">
        <v>4420</v>
      </c>
      <c r="W817">
        <f>属性类型!G817</f>
        <v>118</v>
      </c>
      <c r="X817">
        <v>1</v>
      </c>
    </row>
    <row r="818" customFormat="1" ht="16.5" spans="1:24">
      <c r="A818" s="17">
        <f t="shared" si="676"/>
        <v>22410</v>
      </c>
      <c r="B818" s="17">
        <f t="shared" si="674"/>
        <v>22400</v>
      </c>
      <c r="C818" s="17" t="str">
        <f t="shared" si="653"/>
        <v>2</v>
      </c>
      <c r="D818" s="12">
        <f t="shared" si="654"/>
        <v>20003</v>
      </c>
      <c r="E818" s="17">
        <v>1</v>
      </c>
      <c r="F818" s="17">
        <f t="shared" si="664"/>
        <v>3</v>
      </c>
      <c r="G818" s="17" t="str">
        <f t="shared" si="677"/>
        <v>高级防御百分比</v>
      </c>
      <c r="H818" s="17" t="str">
        <f t="shared" si="678"/>
        <v>icon_05</v>
      </c>
      <c r="I818" s="20">
        <v>0</v>
      </c>
      <c r="J818" s="17">
        <v>10</v>
      </c>
      <c r="K818" s="17">
        <f t="shared" si="675"/>
        <v>22411</v>
      </c>
      <c r="L818" s="17" t="s">
        <v>238</v>
      </c>
      <c r="M818" s="17" t="str">
        <f t="shared" si="679"/>
        <v>1:12100:10</v>
      </c>
      <c r="N818" s="16" t="str">
        <f t="shared" si="663"/>
        <v>118:1</v>
      </c>
      <c r="O818" s="17">
        <f t="shared" si="665"/>
        <v>5</v>
      </c>
      <c r="P818" s="21" t="str">
        <f t="shared" si="666"/>
        <v>所有骑兵防御百分比增加:1</v>
      </c>
      <c r="Q818" s="21"/>
      <c r="R818" t="str">
        <f t="shared" si="680"/>
        <v>防御百分比</v>
      </c>
      <c r="T818" t="str">
        <f t="shared" si="681"/>
        <v>:1</v>
      </c>
      <c r="U818" t="str">
        <f t="shared" si="655"/>
        <v>骑兵</v>
      </c>
      <c r="V818" t="s">
        <v>4420</v>
      </c>
      <c r="W818">
        <f>属性类型!G818</f>
        <v>118</v>
      </c>
      <c r="X818">
        <v>1</v>
      </c>
    </row>
    <row r="819" customFormat="1" ht="16.5" spans="1:24">
      <c r="A819" s="17">
        <f t="shared" si="676"/>
        <v>22411</v>
      </c>
      <c r="B819" s="17">
        <f t="shared" si="674"/>
        <v>22400</v>
      </c>
      <c r="C819" s="17" t="str">
        <f t="shared" si="653"/>
        <v>2</v>
      </c>
      <c r="D819" s="12">
        <f t="shared" si="654"/>
        <v>20003</v>
      </c>
      <c r="E819" s="17">
        <v>1</v>
      </c>
      <c r="F819" s="17">
        <f t="shared" si="664"/>
        <v>3</v>
      </c>
      <c r="G819" s="17" t="str">
        <f t="shared" si="677"/>
        <v>高级防御百分比</v>
      </c>
      <c r="H819" s="17" t="str">
        <f t="shared" si="678"/>
        <v>icon_05</v>
      </c>
      <c r="I819" s="20">
        <v>0</v>
      </c>
      <c r="J819" s="17">
        <v>11</v>
      </c>
      <c r="K819" s="17">
        <f t="shared" si="675"/>
        <v>22412</v>
      </c>
      <c r="L819" s="17" t="s">
        <v>529</v>
      </c>
      <c r="M819" s="17" t="str">
        <f t="shared" si="679"/>
        <v>1:12100:10</v>
      </c>
      <c r="N819" s="16" t="str">
        <f t="shared" si="663"/>
        <v>118:1</v>
      </c>
      <c r="O819" s="17">
        <f t="shared" si="665"/>
        <v>5</v>
      </c>
      <c r="P819" s="21" t="str">
        <f t="shared" si="666"/>
        <v>所有骑兵防御百分比增加:1</v>
      </c>
      <c r="Q819" s="21"/>
      <c r="R819" t="str">
        <f t="shared" si="680"/>
        <v>防御百分比</v>
      </c>
      <c r="T819" t="str">
        <f t="shared" si="681"/>
        <v>:1</v>
      </c>
      <c r="U819" t="str">
        <f t="shared" si="655"/>
        <v>骑兵</v>
      </c>
      <c r="V819" t="s">
        <v>4420</v>
      </c>
      <c r="W819">
        <f>属性类型!G819</f>
        <v>118</v>
      </c>
      <c r="X819">
        <v>1</v>
      </c>
    </row>
    <row r="820" customFormat="1" ht="16.5" spans="1:24">
      <c r="A820" s="17">
        <f t="shared" si="676"/>
        <v>22412</v>
      </c>
      <c r="B820" s="17">
        <f t="shared" si="674"/>
        <v>22400</v>
      </c>
      <c r="C820" s="17" t="str">
        <f t="shared" si="653"/>
        <v>2</v>
      </c>
      <c r="D820" s="12">
        <f t="shared" si="654"/>
        <v>20003</v>
      </c>
      <c r="E820" s="17">
        <v>1</v>
      </c>
      <c r="F820" s="17">
        <f t="shared" si="664"/>
        <v>3</v>
      </c>
      <c r="G820" s="17" t="str">
        <f t="shared" si="677"/>
        <v>高级防御百分比</v>
      </c>
      <c r="H820" s="17" t="str">
        <f t="shared" si="678"/>
        <v>icon_05</v>
      </c>
      <c r="I820" s="20">
        <v>0</v>
      </c>
      <c r="J820" s="17">
        <v>12</v>
      </c>
      <c r="K820" s="17">
        <f t="shared" si="675"/>
        <v>22413</v>
      </c>
      <c r="L820" s="17" t="s">
        <v>532</v>
      </c>
      <c r="M820" s="17" t="str">
        <f t="shared" si="679"/>
        <v>1:12100:10</v>
      </c>
      <c r="N820" s="16" t="str">
        <f t="shared" si="663"/>
        <v>118:1</v>
      </c>
      <c r="O820" s="17">
        <f t="shared" si="665"/>
        <v>5</v>
      </c>
      <c r="P820" s="21" t="str">
        <f t="shared" si="666"/>
        <v>所有骑兵防御百分比增加:1</v>
      </c>
      <c r="Q820" s="21"/>
      <c r="R820" t="str">
        <f t="shared" si="680"/>
        <v>防御百分比</v>
      </c>
      <c r="T820" t="str">
        <f t="shared" si="681"/>
        <v>:1</v>
      </c>
      <c r="U820" t="str">
        <f t="shared" si="655"/>
        <v>骑兵</v>
      </c>
      <c r="V820" t="s">
        <v>4420</v>
      </c>
      <c r="W820">
        <f>属性类型!G820</f>
        <v>118</v>
      </c>
      <c r="X820">
        <v>1</v>
      </c>
    </row>
    <row r="821" customFormat="1" ht="16.5" spans="1:24">
      <c r="A821" s="17">
        <f t="shared" si="676"/>
        <v>22413</v>
      </c>
      <c r="B821" s="17">
        <f t="shared" si="674"/>
        <v>22400</v>
      </c>
      <c r="C821" s="17" t="str">
        <f t="shared" si="653"/>
        <v>2</v>
      </c>
      <c r="D821" s="12">
        <f t="shared" si="654"/>
        <v>20003</v>
      </c>
      <c r="E821" s="17">
        <v>1</v>
      </c>
      <c r="F821" s="17">
        <f t="shared" si="664"/>
        <v>3</v>
      </c>
      <c r="G821" s="17" t="str">
        <f t="shared" si="677"/>
        <v>高级防御百分比</v>
      </c>
      <c r="H821" s="17" t="str">
        <f t="shared" si="678"/>
        <v>icon_05</v>
      </c>
      <c r="I821" s="20">
        <v>0</v>
      </c>
      <c r="J821" s="17">
        <v>13</v>
      </c>
      <c r="K821" s="17">
        <f t="shared" si="675"/>
        <v>22414</v>
      </c>
      <c r="L821" s="17" t="s">
        <v>561</v>
      </c>
      <c r="M821" s="17" t="str">
        <f t="shared" si="679"/>
        <v>1:12100:10</v>
      </c>
      <c r="N821" s="16" t="str">
        <f t="shared" si="663"/>
        <v>118:1</v>
      </c>
      <c r="O821" s="17">
        <f t="shared" si="665"/>
        <v>5</v>
      </c>
      <c r="P821" s="21" t="str">
        <f t="shared" si="666"/>
        <v>所有骑兵防御百分比增加:1</v>
      </c>
      <c r="Q821" s="21"/>
      <c r="R821" t="str">
        <f t="shared" si="680"/>
        <v>防御百分比</v>
      </c>
      <c r="T821" t="str">
        <f t="shared" si="681"/>
        <v>:1</v>
      </c>
      <c r="U821" t="str">
        <f t="shared" si="655"/>
        <v>骑兵</v>
      </c>
      <c r="V821" t="s">
        <v>4420</v>
      </c>
      <c r="W821">
        <f>属性类型!G821</f>
        <v>118</v>
      </c>
      <c r="X821">
        <v>1</v>
      </c>
    </row>
    <row r="822" customFormat="1" ht="16.5" spans="1:24">
      <c r="A822" s="17">
        <f t="shared" si="676"/>
        <v>22414</v>
      </c>
      <c r="B822" s="17">
        <f t="shared" si="674"/>
        <v>22400</v>
      </c>
      <c r="C822" s="17" t="str">
        <f t="shared" si="653"/>
        <v>2</v>
      </c>
      <c r="D822" s="12">
        <f t="shared" si="654"/>
        <v>20003</v>
      </c>
      <c r="E822" s="17">
        <v>1</v>
      </c>
      <c r="F822" s="17">
        <f t="shared" si="664"/>
        <v>3</v>
      </c>
      <c r="G822" s="17" t="str">
        <f t="shared" si="677"/>
        <v>高级防御百分比</v>
      </c>
      <c r="H822" s="17" t="str">
        <f t="shared" si="678"/>
        <v>icon_05</v>
      </c>
      <c r="I822" s="20">
        <v>0</v>
      </c>
      <c r="J822" s="17">
        <v>14</v>
      </c>
      <c r="K822" s="17">
        <f t="shared" si="675"/>
        <v>22415</v>
      </c>
      <c r="L822" s="17" t="s">
        <v>564</v>
      </c>
      <c r="M822" s="17" t="str">
        <f t="shared" si="679"/>
        <v>1:12100:10</v>
      </c>
      <c r="N822" s="16" t="str">
        <f t="shared" si="663"/>
        <v>118:1</v>
      </c>
      <c r="O822" s="17">
        <f t="shared" si="665"/>
        <v>5</v>
      </c>
      <c r="P822" s="21" t="str">
        <f t="shared" si="666"/>
        <v>所有骑兵防御百分比增加:1</v>
      </c>
      <c r="Q822" s="21"/>
      <c r="R822" t="str">
        <f t="shared" si="680"/>
        <v>防御百分比</v>
      </c>
      <c r="T822" t="str">
        <f t="shared" si="681"/>
        <v>:1</v>
      </c>
      <c r="U822" t="str">
        <f t="shared" si="655"/>
        <v>骑兵</v>
      </c>
      <c r="V822" t="s">
        <v>4420</v>
      </c>
      <c r="W822">
        <f>属性类型!G822</f>
        <v>118</v>
      </c>
      <c r="X822">
        <v>1</v>
      </c>
    </row>
    <row r="823" customFormat="1" ht="16.5" spans="1:24">
      <c r="A823" s="17">
        <f t="shared" si="676"/>
        <v>22415</v>
      </c>
      <c r="B823" s="17">
        <f t="shared" si="674"/>
        <v>22400</v>
      </c>
      <c r="C823" s="17" t="str">
        <f t="shared" si="653"/>
        <v>2</v>
      </c>
      <c r="D823" s="12">
        <f t="shared" si="654"/>
        <v>20003</v>
      </c>
      <c r="E823" s="17">
        <v>1</v>
      </c>
      <c r="F823" s="17">
        <f t="shared" si="664"/>
        <v>3</v>
      </c>
      <c r="G823" s="17" t="str">
        <f t="shared" si="677"/>
        <v>高级防御百分比</v>
      </c>
      <c r="H823" s="17" t="str">
        <f t="shared" si="678"/>
        <v>icon_05</v>
      </c>
      <c r="I823" s="20">
        <v>0</v>
      </c>
      <c r="J823" s="17">
        <v>15</v>
      </c>
      <c r="K823" s="17">
        <f t="shared" si="675"/>
        <v>22416</v>
      </c>
      <c r="L823" s="17" t="s">
        <v>630</v>
      </c>
      <c r="M823" s="17" t="str">
        <f t="shared" si="679"/>
        <v>1:12100:10</v>
      </c>
      <c r="N823" s="16" t="str">
        <f t="shared" si="663"/>
        <v>118:1</v>
      </c>
      <c r="O823" s="17">
        <f t="shared" si="665"/>
        <v>5</v>
      </c>
      <c r="P823" s="21" t="str">
        <f t="shared" si="666"/>
        <v>所有骑兵防御百分比增加:1</v>
      </c>
      <c r="Q823" s="21"/>
      <c r="R823" t="str">
        <f t="shared" si="680"/>
        <v>防御百分比</v>
      </c>
      <c r="T823" t="str">
        <f t="shared" si="681"/>
        <v>:1</v>
      </c>
      <c r="U823" t="str">
        <f t="shared" si="655"/>
        <v>骑兵</v>
      </c>
      <c r="V823" t="s">
        <v>4420</v>
      </c>
      <c r="W823">
        <f>属性类型!G823</f>
        <v>118</v>
      </c>
      <c r="X823">
        <v>1</v>
      </c>
    </row>
    <row r="824" customFormat="1" ht="16.5" spans="1:24">
      <c r="A824" s="17">
        <f t="shared" si="676"/>
        <v>22416</v>
      </c>
      <c r="B824" s="17">
        <f t="shared" si="674"/>
        <v>22400</v>
      </c>
      <c r="C824" s="17" t="str">
        <f t="shared" si="653"/>
        <v>2</v>
      </c>
      <c r="D824" s="12">
        <f t="shared" si="654"/>
        <v>20003</v>
      </c>
      <c r="E824" s="17">
        <v>1</v>
      </c>
      <c r="F824" s="17">
        <f t="shared" si="664"/>
        <v>3</v>
      </c>
      <c r="G824" s="17" t="str">
        <f t="shared" si="677"/>
        <v>高级防御百分比</v>
      </c>
      <c r="H824" s="17" t="str">
        <f t="shared" si="678"/>
        <v>icon_05</v>
      </c>
      <c r="I824" s="20">
        <v>0</v>
      </c>
      <c r="J824" s="17">
        <v>16</v>
      </c>
      <c r="K824" s="17">
        <f t="shared" si="675"/>
        <v>22417</v>
      </c>
      <c r="L824" s="17" t="s">
        <v>633</v>
      </c>
      <c r="M824" s="17" t="str">
        <f t="shared" si="679"/>
        <v>1:12100:10</v>
      </c>
      <c r="N824" s="16" t="str">
        <f t="shared" si="663"/>
        <v>118:1</v>
      </c>
      <c r="O824" s="17">
        <f t="shared" si="665"/>
        <v>5</v>
      </c>
      <c r="P824" s="21" t="str">
        <f t="shared" si="666"/>
        <v>所有骑兵防御百分比增加:1</v>
      </c>
      <c r="Q824" s="21"/>
      <c r="R824" t="str">
        <f t="shared" si="680"/>
        <v>防御百分比</v>
      </c>
      <c r="T824" t="str">
        <f t="shared" si="681"/>
        <v>:1</v>
      </c>
      <c r="U824" t="str">
        <f t="shared" si="655"/>
        <v>骑兵</v>
      </c>
      <c r="V824" t="s">
        <v>4420</v>
      </c>
      <c r="W824">
        <f>属性类型!G824</f>
        <v>118</v>
      </c>
      <c r="X824">
        <v>1</v>
      </c>
    </row>
    <row r="825" customFormat="1" ht="16.5" spans="1:24">
      <c r="A825" s="17">
        <f t="shared" si="676"/>
        <v>22417</v>
      </c>
      <c r="B825" s="17">
        <f t="shared" si="674"/>
        <v>22400</v>
      </c>
      <c r="C825" s="17" t="str">
        <f t="shared" si="653"/>
        <v>2</v>
      </c>
      <c r="D825" s="12">
        <f t="shared" si="654"/>
        <v>20003</v>
      </c>
      <c r="E825" s="17">
        <v>1</v>
      </c>
      <c r="F825" s="17">
        <f t="shared" si="664"/>
        <v>3</v>
      </c>
      <c r="G825" s="17" t="str">
        <f t="shared" si="677"/>
        <v>高级防御百分比</v>
      </c>
      <c r="H825" s="17" t="str">
        <f t="shared" si="678"/>
        <v>icon_05</v>
      </c>
      <c r="I825" s="20">
        <v>0</v>
      </c>
      <c r="J825" s="17">
        <v>17</v>
      </c>
      <c r="K825" s="17">
        <f t="shared" si="675"/>
        <v>22418</v>
      </c>
      <c r="L825" s="17" t="s">
        <v>637</v>
      </c>
      <c r="M825" s="17" t="str">
        <f t="shared" si="679"/>
        <v>1:12100:10</v>
      </c>
      <c r="N825" s="16" t="str">
        <f t="shared" si="663"/>
        <v>118:1</v>
      </c>
      <c r="O825" s="17">
        <f t="shared" si="665"/>
        <v>5</v>
      </c>
      <c r="P825" s="21" t="str">
        <f t="shared" si="666"/>
        <v>所有骑兵防御百分比增加:1</v>
      </c>
      <c r="Q825" s="21"/>
      <c r="R825" t="str">
        <f t="shared" si="680"/>
        <v>防御百分比</v>
      </c>
      <c r="T825" t="str">
        <f t="shared" si="681"/>
        <v>:1</v>
      </c>
      <c r="U825" t="str">
        <f t="shared" si="655"/>
        <v>骑兵</v>
      </c>
      <c r="V825" t="s">
        <v>4420</v>
      </c>
      <c r="W825">
        <f>属性类型!G825</f>
        <v>118</v>
      </c>
      <c r="X825">
        <v>1</v>
      </c>
    </row>
    <row r="826" customFormat="1" ht="16.5" spans="1:24">
      <c r="A826" s="17">
        <f t="shared" si="676"/>
        <v>22418</v>
      </c>
      <c r="B826" s="17">
        <f t="shared" si="674"/>
        <v>22400</v>
      </c>
      <c r="C826" s="17" t="str">
        <f t="shared" si="653"/>
        <v>2</v>
      </c>
      <c r="D826" s="12">
        <f t="shared" si="654"/>
        <v>20003</v>
      </c>
      <c r="E826" s="17">
        <v>1</v>
      </c>
      <c r="F826" s="17">
        <f t="shared" si="664"/>
        <v>3</v>
      </c>
      <c r="G826" s="17" t="str">
        <f t="shared" si="677"/>
        <v>高级防御百分比</v>
      </c>
      <c r="H826" s="17" t="str">
        <f t="shared" si="678"/>
        <v>icon_05</v>
      </c>
      <c r="I826" s="20">
        <v>0</v>
      </c>
      <c r="J826" s="17">
        <v>18</v>
      </c>
      <c r="K826" s="17">
        <f t="shared" si="675"/>
        <v>22419</v>
      </c>
      <c r="L826" s="17" t="s">
        <v>641</v>
      </c>
      <c r="M826" s="17" t="str">
        <f t="shared" si="679"/>
        <v>1:12100:10</v>
      </c>
      <c r="N826" s="16" t="str">
        <f t="shared" si="663"/>
        <v>118:1</v>
      </c>
      <c r="O826" s="17">
        <f t="shared" si="665"/>
        <v>5</v>
      </c>
      <c r="P826" s="21" t="str">
        <f t="shared" si="666"/>
        <v>所有骑兵防御百分比增加:1</v>
      </c>
      <c r="Q826" s="21"/>
      <c r="R826" t="str">
        <f t="shared" si="680"/>
        <v>防御百分比</v>
      </c>
      <c r="T826" t="str">
        <f t="shared" si="681"/>
        <v>:1</v>
      </c>
      <c r="U826" t="str">
        <f t="shared" si="655"/>
        <v>骑兵</v>
      </c>
      <c r="V826" t="s">
        <v>4420</v>
      </c>
      <c r="W826">
        <f>属性类型!G826</f>
        <v>118</v>
      </c>
      <c r="X826">
        <v>1</v>
      </c>
    </row>
    <row r="827" customFormat="1" ht="16.5" spans="1:24">
      <c r="A827" s="17">
        <f t="shared" si="676"/>
        <v>22419</v>
      </c>
      <c r="B827" s="17">
        <f t="shared" si="674"/>
        <v>22400</v>
      </c>
      <c r="C827" s="17" t="str">
        <f t="shared" si="653"/>
        <v>2</v>
      </c>
      <c r="D827" s="12">
        <f t="shared" si="654"/>
        <v>20003</v>
      </c>
      <c r="E827" s="17">
        <v>1</v>
      </c>
      <c r="F827" s="17">
        <f t="shared" si="664"/>
        <v>3</v>
      </c>
      <c r="G827" s="17" t="str">
        <f t="shared" si="677"/>
        <v>高级防御百分比</v>
      </c>
      <c r="H827" s="17" t="str">
        <f t="shared" si="678"/>
        <v>icon_05</v>
      </c>
      <c r="I827" s="20">
        <v>0</v>
      </c>
      <c r="J827" s="17">
        <v>19</v>
      </c>
      <c r="K827" s="17">
        <f t="shared" si="675"/>
        <v>22420</v>
      </c>
      <c r="L827" s="17" t="s">
        <v>645</v>
      </c>
      <c r="M827" s="17" t="str">
        <f t="shared" si="679"/>
        <v>1:12100:10</v>
      </c>
      <c r="N827" s="16" t="str">
        <f t="shared" si="663"/>
        <v>118:1</v>
      </c>
      <c r="O827" s="17">
        <f t="shared" si="665"/>
        <v>5</v>
      </c>
      <c r="P827" s="21" t="str">
        <f t="shared" si="666"/>
        <v>所有骑兵防御百分比增加:1</v>
      </c>
      <c r="Q827" s="21"/>
      <c r="R827" t="str">
        <f t="shared" si="680"/>
        <v>防御百分比</v>
      </c>
      <c r="T827" t="str">
        <f t="shared" si="681"/>
        <v>:1</v>
      </c>
      <c r="U827" t="str">
        <f t="shared" si="655"/>
        <v>骑兵</v>
      </c>
      <c r="V827" t="s">
        <v>4420</v>
      </c>
      <c r="W827">
        <f>属性类型!G827</f>
        <v>118</v>
      </c>
      <c r="X827">
        <v>1</v>
      </c>
    </row>
    <row r="828" customFormat="1" ht="16.5" spans="1:24">
      <c r="A828" s="17">
        <f t="shared" si="676"/>
        <v>22420</v>
      </c>
      <c r="B828" s="17">
        <f t="shared" si="674"/>
        <v>22400</v>
      </c>
      <c r="C828" s="17" t="str">
        <f t="shared" si="653"/>
        <v>2</v>
      </c>
      <c r="D828" s="12">
        <f t="shared" si="654"/>
        <v>20003</v>
      </c>
      <c r="E828" s="17">
        <v>1</v>
      </c>
      <c r="F828" s="17">
        <f t="shared" si="664"/>
        <v>3</v>
      </c>
      <c r="G828" s="17" t="str">
        <f t="shared" si="677"/>
        <v>高级防御百分比</v>
      </c>
      <c r="H828" s="17" t="str">
        <f t="shared" si="678"/>
        <v>icon_05</v>
      </c>
      <c r="I828" s="20">
        <v>0</v>
      </c>
      <c r="J828" s="17">
        <v>20</v>
      </c>
      <c r="K828" s="17">
        <v>0</v>
      </c>
      <c r="L828" s="17">
        <v>0</v>
      </c>
      <c r="M828" s="17" t="str">
        <f t="shared" si="679"/>
        <v>1:12100:10</v>
      </c>
      <c r="N828" s="16" t="str">
        <f t="shared" si="663"/>
        <v>118:1</v>
      </c>
      <c r="O828" s="17">
        <f t="shared" si="665"/>
        <v>5</v>
      </c>
      <c r="P828" s="21" t="str">
        <f t="shared" si="666"/>
        <v>所有骑兵防御百分比增加:1</v>
      </c>
      <c r="Q828" s="21"/>
      <c r="R828" t="str">
        <f t="shared" si="680"/>
        <v>防御百分比</v>
      </c>
      <c r="T828" t="str">
        <f t="shared" si="681"/>
        <v>:1</v>
      </c>
      <c r="U828" t="str">
        <f t="shared" si="655"/>
        <v>骑兵</v>
      </c>
      <c r="V828" t="s">
        <v>4420</v>
      </c>
      <c r="W828">
        <f>属性类型!G828</f>
        <v>118</v>
      </c>
      <c r="X828">
        <v>1</v>
      </c>
    </row>
    <row r="829" customFormat="1" ht="16.5" spans="1:24">
      <c r="A829" s="18">
        <f>A808+100</f>
        <v>22500</v>
      </c>
      <c r="B829" s="18">
        <f t="shared" si="674"/>
        <v>22500</v>
      </c>
      <c r="C829" s="18" t="str">
        <f t="shared" ref="C829:C892" si="682">LEFT(A829,1)</f>
        <v>2</v>
      </c>
      <c r="D829" s="12">
        <f t="shared" si="654"/>
        <v>20003</v>
      </c>
      <c r="E829" s="17">
        <v>1</v>
      </c>
      <c r="F829" s="18">
        <f t="shared" si="664"/>
        <v>3</v>
      </c>
      <c r="G829" s="18" t="s">
        <v>650</v>
      </c>
      <c r="H829" s="18" t="s">
        <v>149</v>
      </c>
      <c r="I829" s="20">
        <v>0</v>
      </c>
      <c r="J829" s="18">
        <v>0</v>
      </c>
      <c r="K829" s="18">
        <f t="shared" ref="K829:K848" si="683">A830</f>
        <v>22501</v>
      </c>
      <c r="L829" s="18" t="s">
        <v>206</v>
      </c>
      <c r="M829" s="18" t="s">
        <v>652</v>
      </c>
      <c r="N829" s="16" t="str">
        <f t="shared" si="663"/>
        <v>117:1</v>
      </c>
      <c r="O829" s="18">
        <f t="shared" si="665"/>
        <v>6</v>
      </c>
      <c r="P829" s="21" t="str">
        <f t="shared" si="666"/>
        <v>所有骑兵攻击百分比增加1</v>
      </c>
      <c r="Q829" s="21"/>
      <c r="R829" t="s">
        <v>4280</v>
      </c>
      <c r="T829" t="str">
        <f>RIGHT(N829,1)</f>
        <v>1</v>
      </c>
      <c r="U829" t="str">
        <f t="shared" si="655"/>
        <v>骑兵</v>
      </c>
      <c r="V829" t="s">
        <v>4421</v>
      </c>
      <c r="W829">
        <f>属性类型!G829</f>
        <v>117</v>
      </c>
      <c r="X829">
        <v>1</v>
      </c>
    </row>
    <row r="830" customFormat="1" ht="16.5" spans="1:24">
      <c r="A830" s="17">
        <f t="shared" ref="A830:A849" si="684">A829+1</f>
        <v>22501</v>
      </c>
      <c r="B830" s="17">
        <f t="shared" si="674"/>
        <v>22500</v>
      </c>
      <c r="C830" s="17" t="str">
        <f t="shared" si="682"/>
        <v>2</v>
      </c>
      <c r="D830" s="12">
        <f t="shared" si="654"/>
        <v>20003</v>
      </c>
      <c r="E830" s="17">
        <v>1</v>
      </c>
      <c r="F830" s="17">
        <f t="shared" si="664"/>
        <v>3</v>
      </c>
      <c r="G830" s="17" t="str">
        <f t="shared" ref="G830:G849" si="685">G829</f>
        <v>高级攻击百分比</v>
      </c>
      <c r="H830" s="17" t="str">
        <f t="shared" ref="H830:H849" si="686">H829</f>
        <v>icon_06</v>
      </c>
      <c r="I830" s="20">
        <v>0</v>
      </c>
      <c r="J830" s="17">
        <v>1</v>
      </c>
      <c r="K830" s="17">
        <f t="shared" si="683"/>
        <v>22502</v>
      </c>
      <c r="L830" s="17" t="s">
        <v>211</v>
      </c>
      <c r="M830" s="17" t="str">
        <f t="shared" ref="M830:M849" si="687">M829</f>
        <v>1:12200:10</v>
      </c>
      <c r="N830" s="16" t="str">
        <f t="shared" si="663"/>
        <v>117:1</v>
      </c>
      <c r="O830" s="17">
        <f t="shared" si="665"/>
        <v>6</v>
      </c>
      <c r="P830" s="21" t="str">
        <f t="shared" si="666"/>
        <v>所有骑兵攻击百分比增加:1</v>
      </c>
      <c r="Q830" s="21"/>
      <c r="R830" t="str">
        <f t="shared" ref="R830:R849" si="688">R829</f>
        <v>攻击百分比</v>
      </c>
      <c r="T830" t="str">
        <f t="shared" ref="T830:T849" si="689">RIGHT(N830,2)</f>
        <v>:1</v>
      </c>
      <c r="U830" t="str">
        <f t="shared" si="655"/>
        <v>骑兵</v>
      </c>
      <c r="V830" t="s">
        <v>4421</v>
      </c>
      <c r="W830">
        <f>属性类型!G830</f>
        <v>117</v>
      </c>
      <c r="X830">
        <v>1</v>
      </c>
    </row>
    <row r="831" customFormat="1" ht="16.5" spans="1:24">
      <c r="A831" s="17">
        <f t="shared" si="684"/>
        <v>22502</v>
      </c>
      <c r="B831" s="17">
        <f t="shared" si="674"/>
        <v>22500</v>
      </c>
      <c r="C831" s="17" t="str">
        <f t="shared" si="682"/>
        <v>2</v>
      </c>
      <c r="D831" s="12">
        <f t="shared" si="654"/>
        <v>20003</v>
      </c>
      <c r="E831" s="17">
        <v>1</v>
      </c>
      <c r="F831" s="17">
        <f t="shared" si="664"/>
        <v>3</v>
      </c>
      <c r="G831" s="17" t="str">
        <f t="shared" si="685"/>
        <v>高级攻击百分比</v>
      </c>
      <c r="H831" s="17" t="str">
        <f t="shared" si="686"/>
        <v>icon_06</v>
      </c>
      <c r="I831" s="20">
        <v>0</v>
      </c>
      <c r="J831" s="17">
        <v>2</v>
      </c>
      <c r="K831" s="17">
        <f t="shared" si="683"/>
        <v>22503</v>
      </c>
      <c r="L831" s="17" t="s">
        <v>215</v>
      </c>
      <c r="M831" s="17" t="str">
        <f t="shared" si="687"/>
        <v>1:12200:10</v>
      </c>
      <c r="N831" s="16" t="str">
        <f t="shared" si="663"/>
        <v>117:1</v>
      </c>
      <c r="O831" s="17">
        <f t="shared" si="665"/>
        <v>6</v>
      </c>
      <c r="P831" s="21" t="str">
        <f t="shared" si="666"/>
        <v>所有骑兵攻击百分比增加:1</v>
      </c>
      <c r="Q831" s="21"/>
      <c r="R831" t="str">
        <f t="shared" si="688"/>
        <v>攻击百分比</v>
      </c>
      <c r="T831" t="str">
        <f t="shared" si="689"/>
        <v>:1</v>
      </c>
      <c r="U831" t="str">
        <f t="shared" si="655"/>
        <v>骑兵</v>
      </c>
      <c r="V831" t="s">
        <v>4421</v>
      </c>
      <c r="W831">
        <f>属性类型!G831</f>
        <v>117</v>
      </c>
      <c r="X831">
        <v>1</v>
      </c>
    </row>
    <row r="832" customFormat="1" ht="16.5" spans="1:24">
      <c r="A832" s="17">
        <f t="shared" si="684"/>
        <v>22503</v>
      </c>
      <c r="B832" s="17">
        <f t="shared" si="674"/>
        <v>22500</v>
      </c>
      <c r="C832" s="17" t="str">
        <f t="shared" si="682"/>
        <v>2</v>
      </c>
      <c r="D832" s="12">
        <f t="shared" si="654"/>
        <v>20003</v>
      </c>
      <c r="E832" s="17">
        <v>1</v>
      </c>
      <c r="F832" s="17">
        <f t="shared" si="664"/>
        <v>3</v>
      </c>
      <c r="G832" s="17" t="str">
        <f t="shared" si="685"/>
        <v>高级攻击百分比</v>
      </c>
      <c r="H832" s="17" t="str">
        <f t="shared" si="686"/>
        <v>icon_06</v>
      </c>
      <c r="I832" s="20">
        <v>0</v>
      </c>
      <c r="J832" s="17">
        <v>3</v>
      </c>
      <c r="K832" s="17">
        <f t="shared" si="683"/>
        <v>22504</v>
      </c>
      <c r="L832" s="17" t="s">
        <v>218</v>
      </c>
      <c r="M832" s="17" t="str">
        <f t="shared" si="687"/>
        <v>1:12200:10</v>
      </c>
      <c r="N832" s="16" t="str">
        <f t="shared" si="663"/>
        <v>117:1</v>
      </c>
      <c r="O832" s="17">
        <f t="shared" si="665"/>
        <v>6</v>
      </c>
      <c r="P832" s="21" t="str">
        <f t="shared" si="666"/>
        <v>所有骑兵攻击百分比增加:1</v>
      </c>
      <c r="Q832" s="21"/>
      <c r="R832" t="str">
        <f t="shared" si="688"/>
        <v>攻击百分比</v>
      </c>
      <c r="T832" t="str">
        <f t="shared" si="689"/>
        <v>:1</v>
      </c>
      <c r="U832" t="str">
        <f t="shared" si="655"/>
        <v>骑兵</v>
      </c>
      <c r="V832" t="s">
        <v>4421</v>
      </c>
      <c r="W832">
        <f>属性类型!G832</f>
        <v>117</v>
      </c>
      <c r="X832">
        <v>1</v>
      </c>
    </row>
    <row r="833" customFormat="1" ht="16.5" spans="1:24">
      <c r="A833" s="17">
        <f t="shared" si="684"/>
        <v>22504</v>
      </c>
      <c r="B833" s="17">
        <f t="shared" si="674"/>
        <v>22500</v>
      </c>
      <c r="C833" s="17" t="str">
        <f t="shared" si="682"/>
        <v>2</v>
      </c>
      <c r="D833" s="12">
        <f t="shared" si="654"/>
        <v>20003</v>
      </c>
      <c r="E833" s="17">
        <v>1</v>
      </c>
      <c r="F833" s="17">
        <f t="shared" si="664"/>
        <v>3</v>
      </c>
      <c r="G833" s="17" t="str">
        <f t="shared" si="685"/>
        <v>高级攻击百分比</v>
      </c>
      <c r="H833" s="17" t="str">
        <f t="shared" si="686"/>
        <v>icon_06</v>
      </c>
      <c r="I833" s="20">
        <v>0</v>
      </c>
      <c r="J833" s="17">
        <v>4</v>
      </c>
      <c r="K833" s="17">
        <f t="shared" si="683"/>
        <v>22505</v>
      </c>
      <c r="L833" s="17" t="s">
        <v>221</v>
      </c>
      <c r="M833" s="17" t="str">
        <f t="shared" si="687"/>
        <v>1:12200:10</v>
      </c>
      <c r="N833" s="16" t="str">
        <f t="shared" si="663"/>
        <v>117:1</v>
      </c>
      <c r="O833" s="17">
        <f t="shared" si="665"/>
        <v>6</v>
      </c>
      <c r="P833" s="21" t="str">
        <f t="shared" si="666"/>
        <v>所有骑兵攻击百分比增加:1</v>
      </c>
      <c r="Q833" s="21"/>
      <c r="R833" t="str">
        <f t="shared" si="688"/>
        <v>攻击百分比</v>
      </c>
      <c r="T833" t="str">
        <f t="shared" si="689"/>
        <v>:1</v>
      </c>
      <c r="U833" t="str">
        <f t="shared" si="655"/>
        <v>骑兵</v>
      </c>
      <c r="V833" t="s">
        <v>4421</v>
      </c>
      <c r="W833">
        <f>属性类型!G833</f>
        <v>117</v>
      </c>
      <c r="X833">
        <v>1</v>
      </c>
    </row>
    <row r="834" customFormat="1" ht="16.5" spans="1:24">
      <c r="A834" s="17">
        <f t="shared" si="684"/>
        <v>22505</v>
      </c>
      <c r="B834" s="17">
        <f t="shared" si="674"/>
        <v>22500</v>
      </c>
      <c r="C834" s="17" t="str">
        <f t="shared" si="682"/>
        <v>2</v>
      </c>
      <c r="D834" s="12">
        <f t="shared" si="654"/>
        <v>20003</v>
      </c>
      <c r="E834" s="17">
        <v>1</v>
      </c>
      <c r="F834" s="17">
        <f t="shared" si="664"/>
        <v>3</v>
      </c>
      <c r="G834" s="17" t="str">
        <f t="shared" si="685"/>
        <v>高级攻击百分比</v>
      </c>
      <c r="H834" s="17" t="str">
        <f t="shared" si="686"/>
        <v>icon_06</v>
      </c>
      <c r="I834" s="20">
        <v>0</v>
      </c>
      <c r="J834" s="17">
        <v>5</v>
      </c>
      <c r="K834" s="17">
        <f t="shared" si="683"/>
        <v>22506</v>
      </c>
      <c r="L834" s="17" t="s">
        <v>224</v>
      </c>
      <c r="M834" s="17" t="str">
        <f t="shared" si="687"/>
        <v>1:12200:10</v>
      </c>
      <c r="N834" s="16" t="str">
        <f t="shared" si="663"/>
        <v>117:1</v>
      </c>
      <c r="O834" s="17">
        <f t="shared" si="665"/>
        <v>6</v>
      </c>
      <c r="P834" s="21" t="str">
        <f t="shared" si="666"/>
        <v>所有骑兵攻击百分比增加:1</v>
      </c>
      <c r="Q834" s="21"/>
      <c r="R834" t="str">
        <f t="shared" si="688"/>
        <v>攻击百分比</v>
      </c>
      <c r="T834" t="str">
        <f t="shared" si="689"/>
        <v>:1</v>
      </c>
      <c r="U834" t="str">
        <f t="shared" si="655"/>
        <v>骑兵</v>
      </c>
      <c r="V834" t="s">
        <v>4421</v>
      </c>
      <c r="W834">
        <f>属性类型!G834</f>
        <v>117</v>
      </c>
      <c r="X834">
        <v>1</v>
      </c>
    </row>
    <row r="835" customFormat="1" ht="16.5" spans="1:24">
      <c r="A835" s="17">
        <f t="shared" si="684"/>
        <v>22506</v>
      </c>
      <c r="B835" s="17">
        <f t="shared" si="674"/>
        <v>22500</v>
      </c>
      <c r="C835" s="17" t="str">
        <f t="shared" si="682"/>
        <v>2</v>
      </c>
      <c r="D835" s="12">
        <f t="shared" ref="D835:D898" si="690">$A$469+F835</f>
        <v>20003</v>
      </c>
      <c r="E835" s="17">
        <v>1</v>
      </c>
      <c r="F835" s="17">
        <f t="shared" si="664"/>
        <v>3</v>
      </c>
      <c r="G835" s="17" t="str">
        <f t="shared" si="685"/>
        <v>高级攻击百分比</v>
      </c>
      <c r="H835" s="17" t="str">
        <f t="shared" si="686"/>
        <v>icon_06</v>
      </c>
      <c r="I835" s="20">
        <v>0</v>
      </c>
      <c r="J835" s="17">
        <v>6</v>
      </c>
      <c r="K835" s="17">
        <f t="shared" si="683"/>
        <v>22507</v>
      </c>
      <c r="L835" s="17" t="s">
        <v>227</v>
      </c>
      <c r="M835" s="17" t="str">
        <f t="shared" si="687"/>
        <v>1:12200:10</v>
      </c>
      <c r="N835" s="16" t="str">
        <f t="shared" si="663"/>
        <v>117:1</v>
      </c>
      <c r="O835" s="17">
        <f t="shared" si="665"/>
        <v>6</v>
      </c>
      <c r="P835" s="21" t="str">
        <f t="shared" si="666"/>
        <v>所有骑兵攻击百分比增加:1</v>
      </c>
      <c r="Q835" s="21"/>
      <c r="R835" t="str">
        <f t="shared" si="688"/>
        <v>攻击百分比</v>
      </c>
      <c r="T835" t="str">
        <f t="shared" si="689"/>
        <v>:1</v>
      </c>
      <c r="U835" t="str">
        <f t="shared" si="655"/>
        <v>骑兵</v>
      </c>
      <c r="V835" t="s">
        <v>4421</v>
      </c>
      <c r="W835">
        <f>属性类型!G835</f>
        <v>117</v>
      </c>
      <c r="X835">
        <v>1</v>
      </c>
    </row>
    <row r="836" customFormat="1" ht="16.5" spans="1:24">
      <c r="A836" s="17">
        <f t="shared" si="684"/>
        <v>22507</v>
      </c>
      <c r="B836" s="17">
        <f t="shared" si="674"/>
        <v>22500</v>
      </c>
      <c r="C836" s="17" t="str">
        <f t="shared" si="682"/>
        <v>2</v>
      </c>
      <c r="D836" s="12">
        <f t="shared" si="690"/>
        <v>20003</v>
      </c>
      <c r="E836" s="17">
        <v>1</v>
      </c>
      <c r="F836" s="17">
        <f t="shared" si="664"/>
        <v>3</v>
      </c>
      <c r="G836" s="17" t="str">
        <f t="shared" si="685"/>
        <v>高级攻击百分比</v>
      </c>
      <c r="H836" s="17" t="str">
        <f t="shared" si="686"/>
        <v>icon_06</v>
      </c>
      <c r="I836" s="20">
        <v>0</v>
      </c>
      <c r="J836" s="17">
        <v>7</v>
      </c>
      <c r="K836" s="17">
        <f t="shared" si="683"/>
        <v>22508</v>
      </c>
      <c r="L836" s="17" t="s">
        <v>230</v>
      </c>
      <c r="M836" s="17" t="str">
        <f t="shared" si="687"/>
        <v>1:12200:10</v>
      </c>
      <c r="N836" s="16" t="str">
        <f t="shared" si="663"/>
        <v>117:1</v>
      </c>
      <c r="O836" s="17">
        <f t="shared" si="665"/>
        <v>6</v>
      </c>
      <c r="P836" s="21" t="str">
        <f t="shared" si="666"/>
        <v>所有骑兵攻击百分比增加:1</v>
      </c>
      <c r="Q836" s="21"/>
      <c r="R836" t="str">
        <f t="shared" si="688"/>
        <v>攻击百分比</v>
      </c>
      <c r="T836" t="str">
        <f t="shared" si="689"/>
        <v>:1</v>
      </c>
      <c r="U836" t="str">
        <f t="shared" si="655"/>
        <v>骑兵</v>
      </c>
      <c r="V836" t="s">
        <v>4421</v>
      </c>
      <c r="W836">
        <f>属性类型!G836</f>
        <v>117</v>
      </c>
      <c r="X836">
        <v>1</v>
      </c>
    </row>
    <row r="837" customFormat="1" ht="16.5" spans="1:24">
      <c r="A837" s="17">
        <f t="shared" si="684"/>
        <v>22508</v>
      </c>
      <c r="B837" s="17">
        <f t="shared" si="674"/>
        <v>22500</v>
      </c>
      <c r="C837" s="17" t="str">
        <f t="shared" si="682"/>
        <v>2</v>
      </c>
      <c r="D837" s="12">
        <f t="shared" si="690"/>
        <v>20003</v>
      </c>
      <c r="E837" s="17">
        <v>1</v>
      </c>
      <c r="F837" s="17">
        <f t="shared" si="664"/>
        <v>3</v>
      </c>
      <c r="G837" s="17" t="str">
        <f t="shared" si="685"/>
        <v>高级攻击百分比</v>
      </c>
      <c r="H837" s="17" t="str">
        <f t="shared" si="686"/>
        <v>icon_06</v>
      </c>
      <c r="I837" s="20">
        <v>0</v>
      </c>
      <c r="J837" s="17">
        <v>8</v>
      </c>
      <c r="K837" s="17">
        <f t="shared" si="683"/>
        <v>22509</v>
      </c>
      <c r="L837" s="17" t="s">
        <v>233</v>
      </c>
      <c r="M837" s="17" t="str">
        <f t="shared" si="687"/>
        <v>1:12200:10</v>
      </c>
      <c r="N837" s="16" t="str">
        <f t="shared" si="663"/>
        <v>117:1</v>
      </c>
      <c r="O837" s="17">
        <f t="shared" si="665"/>
        <v>6</v>
      </c>
      <c r="P837" s="21" t="str">
        <f t="shared" si="666"/>
        <v>所有骑兵攻击百分比增加:1</v>
      </c>
      <c r="Q837" s="21"/>
      <c r="R837" t="str">
        <f t="shared" si="688"/>
        <v>攻击百分比</v>
      </c>
      <c r="T837" t="str">
        <f t="shared" si="689"/>
        <v>:1</v>
      </c>
      <c r="U837" t="str">
        <f t="shared" ref="U837:U900" si="691">MID(P837,3,2)</f>
        <v>骑兵</v>
      </c>
      <c r="V837" t="s">
        <v>4421</v>
      </c>
      <c r="W837">
        <f>属性类型!G837</f>
        <v>117</v>
      </c>
      <c r="X837">
        <v>1</v>
      </c>
    </row>
    <row r="838" customFormat="1" ht="16.5" spans="1:24">
      <c r="A838" s="17">
        <f t="shared" si="684"/>
        <v>22509</v>
      </c>
      <c r="B838" s="17">
        <f t="shared" si="674"/>
        <v>22500</v>
      </c>
      <c r="C838" s="17" t="str">
        <f t="shared" si="682"/>
        <v>2</v>
      </c>
      <c r="D838" s="12">
        <f t="shared" si="690"/>
        <v>20003</v>
      </c>
      <c r="E838" s="17">
        <v>1</v>
      </c>
      <c r="F838" s="17">
        <f t="shared" si="664"/>
        <v>3</v>
      </c>
      <c r="G838" s="17" t="str">
        <f t="shared" si="685"/>
        <v>高级攻击百分比</v>
      </c>
      <c r="H838" s="17" t="str">
        <f t="shared" si="686"/>
        <v>icon_06</v>
      </c>
      <c r="I838" s="20">
        <v>0</v>
      </c>
      <c r="J838" s="17">
        <v>9</v>
      </c>
      <c r="K838" s="17">
        <f t="shared" si="683"/>
        <v>22510</v>
      </c>
      <c r="L838" s="17" t="s">
        <v>236</v>
      </c>
      <c r="M838" s="17" t="str">
        <f t="shared" si="687"/>
        <v>1:12200:10</v>
      </c>
      <c r="N838" s="16" t="str">
        <f t="shared" si="663"/>
        <v>117:1</v>
      </c>
      <c r="O838" s="17">
        <f t="shared" si="665"/>
        <v>6</v>
      </c>
      <c r="P838" s="21" t="str">
        <f t="shared" si="666"/>
        <v>所有骑兵攻击百分比增加:1</v>
      </c>
      <c r="Q838" s="21"/>
      <c r="R838" t="str">
        <f t="shared" si="688"/>
        <v>攻击百分比</v>
      </c>
      <c r="T838" t="str">
        <f t="shared" si="689"/>
        <v>:1</v>
      </c>
      <c r="U838" t="str">
        <f t="shared" si="691"/>
        <v>骑兵</v>
      </c>
      <c r="V838" t="s">
        <v>4421</v>
      </c>
      <c r="W838">
        <f>属性类型!G838</f>
        <v>117</v>
      </c>
      <c r="X838">
        <v>1</v>
      </c>
    </row>
    <row r="839" customFormat="1" ht="16.5" spans="1:24">
      <c r="A839" s="17">
        <f t="shared" si="684"/>
        <v>22510</v>
      </c>
      <c r="B839" s="17">
        <f t="shared" si="674"/>
        <v>22500</v>
      </c>
      <c r="C839" s="17" t="str">
        <f t="shared" si="682"/>
        <v>2</v>
      </c>
      <c r="D839" s="12">
        <f t="shared" si="690"/>
        <v>20003</v>
      </c>
      <c r="E839" s="17">
        <v>1</v>
      </c>
      <c r="F839" s="17">
        <f t="shared" si="664"/>
        <v>3</v>
      </c>
      <c r="G839" s="17" t="str">
        <f t="shared" si="685"/>
        <v>高级攻击百分比</v>
      </c>
      <c r="H839" s="17" t="str">
        <f t="shared" si="686"/>
        <v>icon_06</v>
      </c>
      <c r="I839" s="20">
        <v>0</v>
      </c>
      <c r="J839" s="17">
        <v>10</v>
      </c>
      <c r="K839" s="17">
        <f t="shared" si="683"/>
        <v>22511</v>
      </c>
      <c r="L839" s="17" t="s">
        <v>238</v>
      </c>
      <c r="M839" s="17" t="str">
        <f t="shared" si="687"/>
        <v>1:12200:10</v>
      </c>
      <c r="N839" s="16" t="str">
        <f t="shared" si="663"/>
        <v>117:1</v>
      </c>
      <c r="O839" s="17">
        <f t="shared" si="665"/>
        <v>6</v>
      </c>
      <c r="P839" s="21" t="str">
        <f t="shared" si="666"/>
        <v>所有骑兵攻击百分比增加:1</v>
      </c>
      <c r="Q839" s="21"/>
      <c r="R839" t="str">
        <f t="shared" si="688"/>
        <v>攻击百分比</v>
      </c>
      <c r="T839" t="str">
        <f t="shared" si="689"/>
        <v>:1</v>
      </c>
      <c r="U839" t="str">
        <f t="shared" si="691"/>
        <v>骑兵</v>
      </c>
      <c r="V839" t="s">
        <v>4421</v>
      </c>
      <c r="W839">
        <f>属性类型!G839</f>
        <v>117</v>
      </c>
      <c r="X839">
        <v>1</v>
      </c>
    </row>
    <row r="840" customFormat="1" ht="16.5" spans="1:24">
      <c r="A840" s="17">
        <f t="shared" si="684"/>
        <v>22511</v>
      </c>
      <c r="B840" s="17">
        <f t="shared" si="674"/>
        <v>22500</v>
      </c>
      <c r="C840" s="17" t="str">
        <f t="shared" si="682"/>
        <v>2</v>
      </c>
      <c r="D840" s="12">
        <f t="shared" si="690"/>
        <v>20003</v>
      </c>
      <c r="E840" s="17">
        <v>1</v>
      </c>
      <c r="F840" s="17">
        <f t="shared" si="664"/>
        <v>3</v>
      </c>
      <c r="G840" s="17" t="str">
        <f t="shared" si="685"/>
        <v>高级攻击百分比</v>
      </c>
      <c r="H840" s="17" t="str">
        <f t="shared" si="686"/>
        <v>icon_06</v>
      </c>
      <c r="I840" s="20">
        <v>0</v>
      </c>
      <c r="J840" s="17">
        <v>11</v>
      </c>
      <c r="K840" s="17">
        <f t="shared" si="683"/>
        <v>22512</v>
      </c>
      <c r="L840" s="17" t="s">
        <v>529</v>
      </c>
      <c r="M840" s="17" t="str">
        <f t="shared" si="687"/>
        <v>1:12200:10</v>
      </c>
      <c r="N840" s="16" t="str">
        <f t="shared" si="663"/>
        <v>117:1</v>
      </c>
      <c r="O840" s="17">
        <f t="shared" si="665"/>
        <v>6</v>
      </c>
      <c r="P840" s="21" t="str">
        <f t="shared" si="666"/>
        <v>所有骑兵攻击百分比增加:1</v>
      </c>
      <c r="Q840" s="21"/>
      <c r="R840" t="str">
        <f t="shared" si="688"/>
        <v>攻击百分比</v>
      </c>
      <c r="T840" t="str">
        <f t="shared" si="689"/>
        <v>:1</v>
      </c>
      <c r="U840" t="str">
        <f t="shared" si="691"/>
        <v>骑兵</v>
      </c>
      <c r="V840" t="s">
        <v>4421</v>
      </c>
      <c r="W840">
        <f>属性类型!G840</f>
        <v>117</v>
      </c>
      <c r="X840">
        <v>1</v>
      </c>
    </row>
    <row r="841" customFormat="1" ht="16.5" spans="1:24">
      <c r="A841" s="17">
        <f t="shared" si="684"/>
        <v>22512</v>
      </c>
      <c r="B841" s="17">
        <f t="shared" si="674"/>
        <v>22500</v>
      </c>
      <c r="C841" s="17" t="str">
        <f t="shared" si="682"/>
        <v>2</v>
      </c>
      <c r="D841" s="12">
        <f t="shared" si="690"/>
        <v>20003</v>
      </c>
      <c r="E841" s="17">
        <v>1</v>
      </c>
      <c r="F841" s="17">
        <f t="shared" si="664"/>
        <v>3</v>
      </c>
      <c r="G841" s="17" t="str">
        <f t="shared" si="685"/>
        <v>高级攻击百分比</v>
      </c>
      <c r="H841" s="17" t="str">
        <f t="shared" si="686"/>
        <v>icon_06</v>
      </c>
      <c r="I841" s="20">
        <v>0</v>
      </c>
      <c r="J841" s="17">
        <v>12</v>
      </c>
      <c r="K841" s="17">
        <f t="shared" si="683"/>
        <v>22513</v>
      </c>
      <c r="L841" s="17" t="s">
        <v>532</v>
      </c>
      <c r="M841" s="17" t="str">
        <f t="shared" si="687"/>
        <v>1:12200:10</v>
      </c>
      <c r="N841" s="16" t="str">
        <f t="shared" si="663"/>
        <v>117:1</v>
      </c>
      <c r="O841" s="17">
        <f t="shared" si="665"/>
        <v>6</v>
      </c>
      <c r="P841" s="21" t="str">
        <f t="shared" si="666"/>
        <v>所有骑兵攻击百分比增加:1</v>
      </c>
      <c r="Q841" s="21"/>
      <c r="R841" t="str">
        <f t="shared" si="688"/>
        <v>攻击百分比</v>
      </c>
      <c r="T841" t="str">
        <f t="shared" si="689"/>
        <v>:1</v>
      </c>
      <c r="U841" t="str">
        <f t="shared" si="691"/>
        <v>骑兵</v>
      </c>
      <c r="V841" t="s">
        <v>4421</v>
      </c>
      <c r="W841">
        <f>属性类型!G841</f>
        <v>117</v>
      </c>
      <c r="X841">
        <v>1</v>
      </c>
    </row>
    <row r="842" customFormat="1" ht="16.5" spans="1:24">
      <c r="A842" s="17">
        <f t="shared" si="684"/>
        <v>22513</v>
      </c>
      <c r="B842" s="17">
        <f t="shared" si="674"/>
        <v>22500</v>
      </c>
      <c r="C842" s="17" t="str">
        <f t="shared" si="682"/>
        <v>2</v>
      </c>
      <c r="D842" s="12">
        <f t="shared" si="690"/>
        <v>20003</v>
      </c>
      <c r="E842" s="17">
        <v>1</v>
      </c>
      <c r="F842" s="17">
        <f t="shared" si="664"/>
        <v>3</v>
      </c>
      <c r="G842" s="17" t="str">
        <f t="shared" si="685"/>
        <v>高级攻击百分比</v>
      </c>
      <c r="H842" s="17" t="str">
        <f t="shared" si="686"/>
        <v>icon_06</v>
      </c>
      <c r="I842" s="20">
        <v>0</v>
      </c>
      <c r="J842" s="17">
        <v>13</v>
      </c>
      <c r="K842" s="17">
        <f t="shared" si="683"/>
        <v>22514</v>
      </c>
      <c r="L842" s="17" t="s">
        <v>561</v>
      </c>
      <c r="M842" s="17" t="str">
        <f t="shared" si="687"/>
        <v>1:12200:10</v>
      </c>
      <c r="N842" s="16" t="str">
        <f t="shared" si="663"/>
        <v>117:1</v>
      </c>
      <c r="O842" s="17">
        <f t="shared" si="665"/>
        <v>6</v>
      </c>
      <c r="P842" s="21" t="str">
        <f t="shared" si="666"/>
        <v>所有骑兵攻击百分比增加:1</v>
      </c>
      <c r="Q842" s="21"/>
      <c r="R842" t="str">
        <f t="shared" si="688"/>
        <v>攻击百分比</v>
      </c>
      <c r="T842" t="str">
        <f t="shared" si="689"/>
        <v>:1</v>
      </c>
      <c r="U842" t="str">
        <f t="shared" si="691"/>
        <v>骑兵</v>
      </c>
      <c r="V842" t="s">
        <v>4421</v>
      </c>
      <c r="W842">
        <f>属性类型!G842</f>
        <v>117</v>
      </c>
      <c r="X842">
        <v>1</v>
      </c>
    </row>
    <row r="843" customFormat="1" ht="16.5" spans="1:24">
      <c r="A843" s="17">
        <f t="shared" si="684"/>
        <v>22514</v>
      </c>
      <c r="B843" s="17">
        <f t="shared" si="674"/>
        <v>22500</v>
      </c>
      <c r="C843" s="17" t="str">
        <f t="shared" si="682"/>
        <v>2</v>
      </c>
      <c r="D843" s="12">
        <f t="shared" si="690"/>
        <v>20003</v>
      </c>
      <c r="E843" s="17">
        <v>1</v>
      </c>
      <c r="F843" s="17">
        <f t="shared" si="664"/>
        <v>3</v>
      </c>
      <c r="G843" s="17" t="str">
        <f t="shared" si="685"/>
        <v>高级攻击百分比</v>
      </c>
      <c r="H843" s="17" t="str">
        <f t="shared" si="686"/>
        <v>icon_06</v>
      </c>
      <c r="I843" s="20">
        <v>0</v>
      </c>
      <c r="J843" s="17">
        <v>14</v>
      </c>
      <c r="K843" s="17">
        <f t="shared" si="683"/>
        <v>22515</v>
      </c>
      <c r="L843" s="17" t="s">
        <v>564</v>
      </c>
      <c r="M843" s="17" t="str">
        <f t="shared" si="687"/>
        <v>1:12200:10</v>
      </c>
      <c r="N843" s="16" t="str">
        <f t="shared" ref="N843:N906" si="692">W843&amp;$W$2&amp;X843</f>
        <v>117:1</v>
      </c>
      <c r="O843" s="17">
        <f t="shared" si="665"/>
        <v>6</v>
      </c>
      <c r="P843" s="21" t="str">
        <f t="shared" si="666"/>
        <v>所有骑兵攻击百分比增加:1</v>
      </c>
      <c r="Q843" s="21"/>
      <c r="R843" t="str">
        <f t="shared" si="688"/>
        <v>攻击百分比</v>
      </c>
      <c r="T843" t="str">
        <f t="shared" si="689"/>
        <v>:1</v>
      </c>
      <c r="U843" t="str">
        <f t="shared" si="691"/>
        <v>骑兵</v>
      </c>
      <c r="V843" t="s">
        <v>4421</v>
      </c>
      <c r="W843">
        <f>属性类型!G843</f>
        <v>117</v>
      </c>
      <c r="X843">
        <v>1</v>
      </c>
    </row>
    <row r="844" customFormat="1" ht="16.5" spans="1:24">
      <c r="A844" s="17">
        <f t="shared" si="684"/>
        <v>22515</v>
      </c>
      <c r="B844" s="17">
        <f t="shared" si="674"/>
        <v>22500</v>
      </c>
      <c r="C844" s="17" t="str">
        <f t="shared" si="682"/>
        <v>2</v>
      </c>
      <c r="D844" s="12">
        <f t="shared" si="690"/>
        <v>20003</v>
      </c>
      <c r="E844" s="17">
        <v>1</v>
      </c>
      <c r="F844" s="17">
        <f t="shared" si="664"/>
        <v>3</v>
      </c>
      <c r="G844" s="17" t="str">
        <f t="shared" si="685"/>
        <v>高级攻击百分比</v>
      </c>
      <c r="H844" s="17" t="str">
        <f t="shared" si="686"/>
        <v>icon_06</v>
      </c>
      <c r="I844" s="20">
        <v>0</v>
      </c>
      <c r="J844" s="17">
        <v>15</v>
      </c>
      <c r="K844" s="17">
        <f t="shared" si="683"/>
        <v>22516</v>
      </c>
      <c r="L844" s="17" t="s">
        <v>630</v>
      </c>
      <c r="M844" s="17" t="str">
        <f t="shared" si="687"/>
        <v>1:12200:10</v>
      </c>
      <c r="N844" s="16" t="str">
        <f t="shared" si="692"/>
        <v>117:1</v>
      </c>
      <c r="O844" s="17">
        <f t="shared" si="665"/>
        <v>6</v>
      </c>
      <c r="P844" s="21" t="str">
        <f t="shared" si="666"/>
        <v>所有骑兵攻击百分比增加:1</v>
      </c>
      <c r="Q844" s="21"/>
      <c r="R844" t="str">
        <f t="shared" si="688"/>
        <v>攻击百分比</v>
      </c>
      <c r="T844" t="str">
        <f t="shared" si="689"/>
        <v>:1</v>
      </c>
      <c r="U844" t="str">
        <f t="shared" si="691"/>
        <v>骑兵</v>
      </c>
      <c r="V844" t="s">
        <v>4421</v>
      </c>
      <c r="W844">
        <f>属性类型!G844</f>
        <v>117</v>
      </c>
      <c r="X844">
        <v>1</v>
      </c>
    </row>
    <row r="845" customFormat="1" ht="16.5" spans="1:24">
      <c r="A845" s="17">
        <f t="shared" si="684"/>
        <v>22516</v>
      </c>
      <c r="B845" s="17">
        <f t="shared" si="674"/>
        <v>22500</v>
      </c>
      <c r="C845" s="17" t="str">
        <f t="shared" si="682"/>
        <v>2</v>
      </c>
      <c r="D845" s="12">
        <f t="shared" si="690"/>
        <v>20003</v>
      </c>
      <c r="E845" s="17">
        <v>1</v>
      </c>
      <c r="F845" s="17">
        <f t="shared" si="664"/>
        <v>3</v>
      </c>
      <c r="G845" s="17" t="str">
        <f t="shared" si="685"/>
        <v>高级攻击百分比</v>
      </c>
      <c r="H845" s="17" t="str">
        <f t="shared" si="686"/>
        <v>icon_06</v>
      </c>
      <c r="I845" s="20">
        <v>0</v>
      </c>
      <c r="J845" s="17">
        <v>16</v>
      </c>
      <c r="K845" s="17">
        <f t="shared" si="683"/>
        <v>22517</v>
      </c>
      <c r="L845" s="17" t="s">
        <v>633</v>
      </c>
      <c r="M845" s="17" t="str">
        <f t="shared" si="687"/>
        <v>1:12200:10</v>
      </c>
      <c r="N845" s="16" t="str">
        <f t="shared" si="692"/>
        <v>117:1</v>
      </c>
      <c r="O845" s="17">
        <f t="shared" si="665"/>
        <v>6</v>
      </c>
      <c r="P845" s="21" t="str">
        <f t="shared" si="666"/>
        <v>所有骑兵攻击百分比增加:1</v>
      </c>
      <c r="Q845" s="21"/>
      <c r="R845" t="str">
        <f t="shared" si="688"/>
        <v>攻击百分比</v>
      </c>
      <c r="T845" t="str">
        <f t="shared" si="689"/>
        <v>:1</v>
      </c>
      <c r="U845" t="str">
        <f t="shared" si="691"/>
        <v>骑兵</v>
      </c>
      <c r="V845" t="s">
        <v>4421</v>
      </c>
      <c r="W845">
        <f>属性类型!G845</f>
        <v>117</v>
      </c>
      <c r="X845">
        <v>1</v>
      </c>
    </row>
    <row r="846" customFormat="1" ht="16.5" spans="1:24">
      <c r="A846" s="17">
        <f t="shared" si="684"/>
        <v>22517</v>
      </c>
      <c r="B846" s="17">
        <f t="shared" si="674"/>
        <v>22500</v>
      </c>
      <c r="C846" s="17" t="str">
        <f t="shared" si="682"/>
        <v>2</v>
      </c>
      <c r="D846" s="12">
        <f t="shared" si="690"/>
        <v>20003</v>
      </c>
      <c r="E846" s="17">
        <v>1</v>
      </c>
      <c r="F846" s="17">
        <f t="shared" si="664"/>
        <v>3</v>
      </c>
      <c r="G846" s="17" t="str">
        <f t="shared" si="685"/>
        <v>高级攻击百分比</v>
      </c>
      <c r="H846" s="17" t="str">
        <f t="shared" si="686"/>
        <v>icon_06</v>
      </c>
      <c r="I846" s="20">
        <v>0</v>
      </c>
      <c r="J846" s="17">
        <v>17</v>
      </c>
      <c r="K846" s="17">
        <f t="shared" si="683"/>
        <v>22518</v>
      </c>
      <c r="L846" s="17" t="s">
        <v>637</v>
      </c>
      <c r="M846" s="17" t="str">
        <f t="shared" si="687"/>
        <v>1:12200:10</v>
      </c>
      <c r="N846" s="16" t="str">
        <f t="shared" si="692"/>
        <v>117:1</v>
      </c>
      <c r="O846" s="17">
        <f t="shared" si="665"/>
        <v>6</v>
      </c>
      <c r="P846" s="21" t="str">
        <f t="shared" si="666"/>
        <v>所有骑兵攻击百分比增加:1</v>
      </c>
      <c r="Q846" s="21"/>
      <c r="R846" t="str">
        <f t="shared" si="688"/>
        <v>攻击百分比</v>
      </c>
      <c r="T846" t="str">
        <f t="shared" si="689"/>
        <v>:1</v>
      </c>
      <c r="U846" t="str">
        <f t="shared" si="691"/>
        <v>骑兵</v>
      </c>
      <c r="V846" t="s">
        <v>4421</v>
      </c>
      <c r="W846">
        <f>属性类型!G846</f>
        <v>117</v>
      </c>
      <c r="X846">
        <v>1</v>
      </c>
    </row>
    <row r="847" customFormat="1" ht="16.5" spans="1:24">
      <c r="A847" s="17">
        <f t="shared" si="684"/>
        <v>22518</v>
      </c>
      <c r="B847" s="17">
        <f t="shared" si="674"/>
        <v>22500</v>
      </c>
      <c r="C847" s="17" t="str">
        <f t="shared" si="682"/>
        <v>2</v>
      </c>
      <c r="D847" s="12">
        <f t="shared" si="690"/>
        <v>20003</v>
      </c>
      <c r="E847" s="17">
        <v>1</v>
      </c>
      <c r="F847" s="17">
        <f t="shared" si="664"/>
        <v>3</v>
      </c>
      <c r="G847" s="17" t="str">
        <f t="shared" si="685"/>
        <v>高级攻击百分比</v>
      </c>
      <c r="H847" s="17" t="str">
        <f t="shared" si="686"/>
        <v>icon_06</v>
      </c>
      <c r="I847" s="20">
        <v>0</v>
      </c>
      <c r="J847" s="17">
        <v>18</v>
      </c>
      <c r="K847" s="17">
        <f t="shared" si="683"/>
        <v>22519</v>
      </c>
      <c r="L847" s="17" t="s">
        <v>641</v>
      </c>
      <c r="M847" s="17" t="str">
        <f t="shared" si="687"/>
        <v>1:12200:10</v>
      </c>
      <c r="N847" s="16" t="str">
        <f t="shared" si="692"/>
        <v>117:1</v>
      </c>
      <c r="O847" s="17">
        <f t="shared" si="665"/>
        <v>6</v>
      </c>
      <c r="P847" s="21" t="str">
        <f t="shared" si="666"/>
        <v>所有骑兵攻击百分比增加:1</v>
      </c>
      <c r="Q847" s="21"/>
      <c r="R847" t="str">
        <f t="shared" si="688"/>
        <v>攻击百分比</v>
      </c>
      <c r="T847" t="str">
        <f t="shared" si="689"/>
        <v>:1</v>
      </c>
      <c r="U847" t="str">
        <f t="shared" si="691"/>
        <v>骑兵</v>
      </c>
      <c r="V847" t="s">
        <v>4421</v>
      </c>
      <c r="W847">
        <f>属性类型!G847</f>
        <v>117</v>
      </c>
      <c r="X847">
        <v>1</v>
      </c>
    </row>
    <row r="848" customFormat="1" ht="16.5" spans="1:24">
      <c r="A848" s="17">
        <f t="shared" si="684"/>
        <v>22519</v>
      </c>
      <c r="B848" s="17">
        <f t="shared" si="674"/>
        <v>22500</v>
      </c>
      <c r="C848" s="17" t="str">
        <f t="shared" si="682"/>
        <v>2</v>
      </c>
      <c r="D848" s="12">
        <f t="shared" si="690"/>
        <v>20003</v>
      </c>
      <c r="E848" s="17">
        <v>1</v>
      </c>
      <c r="F848" s="17">
        <f t="shared" ref="F848:F911" si="693">MID(B848,2,1)+1</f>
        <v>3</v>
      </c>
      <c r="G848" s="17" t="str">
        <f t="shared" si="685"/>
        <v>高级攻击百分比</v>
      </c>
      <c r="H848" s="17" t="str">
        <f t="shared" si="686"/>
        <v>icon_06</v>
      </c>
      <c r="I848" s="20">
        <v>0</v>
      </c>
      <c r="J848" s="17">
        <v>19</v>
      </c>
      <c r="K848" s="17">
        <f t="shared" si="683"/>
        <v>22520</v>
      </c>
      <c r="L848" s="17" t="s">
        <v>645</v>
      </c>
      <c r="M848" s="17" t="str">
        <f t="shared" si="687"/>
        <v>1:12200:10</v>
      </c>
      <c r="N848" s="16" t="str">
        <f t="shared" si="692"/>
        <v>117:1</v>
      </c>
      <c r="O848" s="17">
        <f t="shared" ref="O848:O911" si="694">MID(A848,3,1)+1</f>
        <v>6</v>
      </c>
      <c r="P848" s="21" t="str">
        <f t="shared" si="666"/>
        <v>所有骑兵攻击百分比增加:1</v>
      </c>
      <c r="Q848" s="21"/>
      <c r="R848" t="str">
        <f t="shared" si="688"/>
        <v>攻击百分比</v>
      </c>
      <c r="T848" t="str">
        <f t="shared" si="689"/>
        <v>:1</v>
      </c>
      <c r="U848" t="str">
        <f t="shared" si="691"/>
        <v>骑兵</v>
      </c>
      <c r="V848" t="s">
        <v>4421</v>
      </c>
      <c r="W848">
        <f>属性类型!G848</f>
        <v>117</v>
      </c>
      <c r="X848">
        <v>1</v>
      </c>
    </row>
    <row r="849" customFormat="1" ht="16.5" spans="1:24">
      <c r="A849" s="17">
        <f t="shared" si="684"/>
        <v>22520</v>
      </c>
      <c r="B849" s="17">
        <f t="shared" si="674"/>
        <v>22500</v>
      </c>
      <c r="C849" s="17" t="str">
        <f t="shared" si="682"/>
        <v>2</v>
      </c>
      <c r="D849" s="12">
        <f t="shared" si="690"/>
        <v>20003</v>
      </c>
      <c r="E849" s="17">
        <v>1</v>
      </c>
      <c r="F849" s="17">
        <f t="shared" si="693"/>
        <v>3</v>
      </c>
      <c r="G849" s="17" t="str">
        <f t="shared" si="685"/>
        <v>高级攻击百分比</v>
      </c>
      <c r="H849" s="17" t="str">
        <f t="shared" si="686"/>
        <v>icon_06</v>
      </c>
      <c r="I849" s="20">
        <v>0</v>
      </c>
      <c r="J849" s="17">
        <v>20</v>
      </c>
      <c r="K849" s="17">
        <v>0</v>
      </c>
      <c r="L849" s="17">
        <v>0</v>
      </c>
      <c r="M849" s="17" t="str">
        <f t="shared" si="687"/>
        <v>1:12200:10</v>
      </c>
      <c r="N849" s="16" t="str">
        <f t="shared" si="692"/>
        <v>117:1</v>
      </c>
      <c r="O849" s="17">
        <f t="shared" si="694"/>
        <v>6</v>
      </c>
      <c r="P849" s="21" t="str">
        <f t="shared" si="666"/>
        <v>所有骑兵攻击百分比增加:1</v>
      </c>
      <c r="Q849" s="21"/>
      <c r="R849" t="str">
        <f t="shared" si="688"/>
        <v>攻击百分比</v>
      </c>
      <c r="T849" t="str">
        <f t="shared" si="689"/>
        <v>:1</v>
      </c>
      <c r="U849" t="str">
        <f t="shared" si="691"/>
        <v>骑兵</v>
      </c>
      <c r="V849" t="s">
        <v>4421</v>
      </c>
      <c r="W849">
        <f>属性类型!G849</f>
        <v>117</v>
      </c>
      <c r="X849">
        <v>1</v>
      </c>
    </row>
    <row r="850" customFormat="1" ht="16.5" spans="1:24">
      <c r="A850" s="18">
        <f>A829+100</f>
        <v>22600</v>
      </c>
      <c r="B850" s="18">
        <f t="shared" si="674"/>
        <v>22600</v>
      </c>
      <c r="C850" s="18" t="str">
        <f t="shared" si="682"/>
        <v>2</v>
      </c>
      <c r="D850" s="12">
        <f t="shared" si="690"/>
        <v>20003</v>
      </c>
      <c r="E850" s="17">
        <v>1</v>
      </c>
      <c r="F850" s="18">
        <f t="shared" si="693"/>
        <v>3</v>
      </c>
      <c r="G850" s="18" t="s">
        <v>4413</v>
      </c>
      <c r="H850" s="18" t="s">
        <v>176</v>
      </c>
      <c r="I850" s="20">
        <v>0</v>
      </c>
      <c r="J850" s="18">
        <v>0</v>
      </c>
      <c r="K850" s="18">
        <f t="shared" ref="K850:K869" si="695">A851</f>
        <v>22601</v>
      </c>
      <c r="L850" s="18" t="s">
        <v>206</v>
      </c>
      <c r="M850" s="18" t="s">
        <v>680</v>
      </c>
      <c r="N850" s="16" t="str">
        <f t="shared" si="692"/>
        <v>116:1</v>
      </c>
      <c r="O850" s="18">
        <f t="shared" si="694"/>
        <v>7</v>
      </c>
      <c r="P850" s="21" t="str">
        <f t="shared" si="666"/>
        <v>所有骑兵生命百分比增加1</v>
      </c>
      <c r="Q850" s="21"/>
      <c r="R850" t="s">
        <v>4414</v>
      </c>
      <c r="T850" t="str">
        <f>RIGHT(N850,1)</f>
        <v>1</v>
      </c>
      <c r="U850" t="str">
        <f t="shared" si="691"/>
        <v>骑兵</v>
      </c>
      <c r="V850" t="s">
        <v>4487</v>
      </c>
      <c r="W850">
        <f>属性类型!G850</f>
        <v>116</v>
      </c>
      <c r="X850">
        <v>1</v>
      </c>
    </row>
    <row r="851" customFormat="1" ht="16.5" spans="1:24">
      <c r="A851" s="17">
        <f t="shared" ref="A851:A870" si="696">A850+1</f>
        <v>22601</v>
      </c>
      <c r="B851" s="17">
        <f t="shared" si="674"/>
        <v>22600</v>
      </c>
      <c r="C851" s="17" t="str">
        <f t="shared" si="682"/>
        <v>2</v>
      </c>
      <c r="D851" s="12">
        <f t="shared" si="690"/>
        <v>20003</v>
      </c>
      <c r="E851" s="17">
        <v>1</v>
      </c>
      <c r="F851" s="17">
        <f t="shared" si="693"/>
        <v>3</v>
      </c>
      <c r="G851" s="17" t="str">
        <f t="shared" ref="G851:G870" si="697">G850</f>
        <v>高级生命百分比</v>
      </c>
      <c r="H851" s="17" t="str">
        <f t="shared" ref="H851:H870" si="698">H850</f>
        <v>icon_07</v>
      </c>
      <c r="I851" s="20">
        <v>0</v>
      </c>
      <c r="J851" s="17">
        <v>1</v>
      </c>
      <c r="K851" s="17">
        <f t="shared" si="695"/>
        <v>22602</v>
      </c>
      <c r="L851" s="17" t="s">
        <v>211</v>
      </c>
      <c r="M851" s="17" t="str">
        <f t="shared" ref="M851:M870" si="699">M850</f>
        <v>1:12300:10</v>
      </c>
      <c r="N851" s="16" t="str">
        <f t="shared" si="692"/>
        <v>116:1</v>
      </c>
      <c r="O851" s="17">
        <f t="shared" si="694"/>
        <v>7</v>
      </c>
      <c r="P851" s="21" t="str">
        <f t="shared" si="666"/>
        <v>所有骑兵生命百分比增加:1</v>
      </c>
      <c r="Q851" s="21"/>
      <c r="R851" t="str">
        <f t="shared" ref="R851:R870" si="700">R850</f>
        <v>生命百分比</v>
      </c>
      <c r="T851" t="str">
        <f t="shared" ref="T851:T870" si="701">RIGHT(N851,2)</f>
        <v>:1</v>
      </c>
      <c r="U851" t="str">
        <f t="shared" si="691"/>
        <v>骑兵</v>
      </c>
      <c r="V851" t="s">
        <v>4487</v>
      </c>
      <c r="W851">
        <f>属性类型!G851</f>
        <v>116</v>
      </c>
      <c r="X851">
        <v>1</v>
      </c>
    </row>
    <row r="852" customFormat="1" ht="16.5" spans="1:24">
      <c r="A852" s="17">
        <f t="shared" si="696"/>
        <v>22602</v>
      </c>
      <c r="B852" s="17">
        <f t="shared" si="674"/>
        <v>22600</v>
      </c>
      <c r="C852" s="17" t="str">
        <f t="shared" si="682"/>
        <v>2</v>
      </c>
      <c r="D852" s="12">
        <f t="shared" si="690"/>
        <v>20003</v>
      </c>
      <c r="E852" s="17">
        <v>1</v>
      </c>
      <c r="F852" s="17">
        <f t="shared" si="693"/>
        <v>3</v>
      </c>
      <c r="G852" s="17" t="str">
        <f t="shared" si="697"/>
        <v>高级生命百分比</v>
      </c>
      <c r="H852" s="17" t="str">
        <f t="shared" si="698"/>
        <v>icon_07</v>
      </c>
      <c r="I852" s="20">
        <v>0</v>
      </c>
      <c r="J852" s="17">
        <v>2</v>
      </c>
      <c r="K852" s="17">
        <f t="shared" si="695"/>
        <v>22603</v>
      </c>
      <c r="L852" s="17" t="s">
        <v>215</v>
      </c>
      <c r="M852" s="17" t="str">
        <f t="shared" si="699"/>
        <v>1:12300:10</v>
      </c>
      <c r="N852" s="16" t="str">
        <f t="shared" si="692"/>
        <v>116:1</v>
      </c>
      <c r="O852" s="17">
        <f t="shared" si="694"/>
        <v>7</v>
      </c>
      <c r="P852" s="21" t="str">
        <f t="shared" si="666"/>
        <v>所有骑兵生命百分比增加:1</v>
      </c>
      <c r="Q852" s="21"/>
      <c r="R852" t="str">
        <f t="shared" si="700"/>
        <v>生命百分比</v>
      </c>
      <c r="T852" t="str">
        <f t="shared" si="701"/>
        <v>:1</v>
      </c>
      <c r="U852" t="str">
        <f t="shared" si="691"/>
        <v>骑兵</v>
      </c>
      <c r="V852" t="s">
        <v>4487</v>
      </c>
      <c r="W852">
        <f>属性类型!G852</f>
        <v>116</v>
      </c>
      <c r="X852">
        <v>1</v>
      </c>
    </row>
    <row r="853" customFormat="1" ht="16.5" spans="1:24">
      <c r="A853" s="17">
        <f t="shared" si="696"/>
        <v>22603</v>
      </c>
      <c r="B853" s="17">
        <f t="shared" si="674"/>
        <v>22600</v>
      </c>
      <c r="C853" s="17" t="str">
        <f t="shared" si="682"/>
        <v>2</v>
      </c>
      <c r="D853" s="12">
        <f t="shared" si="690"/>
        <v>20003</v>
      </c>
      <c r="E853" s="17">
        <v>1</v>
      </c>
      <c r="F853" s="17">
        <f t="shared" si="693"/>
        <v>3</v>
      </c>
      <c r="G853" s="17" t="str">
        <f t="shared" si="697"/>
        <v>高级生命百分比</v>
      </c>
      <c r="H853" s="17" t="str">
        <f t="shared" si="698"/>
        <v>icon_07</v>
      </c>
      <c r="I853" s="20">
        <v>0</v>
      </c>
      <c r="J853" s="17">
        <v>3</v>
      </c>
      <c r="K853" s="17">
        <f t="shared" si="695"/>
        <v>22604</v>
      </c>
      <c r="L853" s="17" t="s">
        <v>218</v>
      </c>
      <c r="M853" s="17" t="str">
        <f t="shared" si="699"/>
        <v>1:12300:10</v>
      </c>
      <c r="N853" s="16" t="str">
        <f t="shared" si="692"/>
        <v>116:1</v>
      </c>
      <c r="O853" s="17">
        <f t="shared" si="694"/>
        <v>7</v>
      </c>
      <c r="P853" s="21" t="str">
        <f t="shared" si="666"/>
        <v>所有骑兵生命百分比增加:1</v>
      </c>
      <c r="Q853" s="21"/>
      <c r="R853" t="str">
        <f t="shared" si="700"/>
        <v>生命百分比</v>
      </c>
      <c r="T853" t="str">
        <f t="shared" si="701"/>
        <v>:1</v>
      </c>
      <c r="U853" t="str">
        <f t="shared" si="691"/>
        <v>骑兵</v>
      </c>
      <c r="V853" t="s">
        <v>4487</v>
      </c>
      <c r="W853">
        <f>属性类型!G853</f>
        <v>116</v>
      </c>
      <c r="X853">
        <v>1</v>
      </c>
    </row>
    <row r="854" customFormat="1" ht="16.5" spans="1:24">
      <c r="A854" s="17">
        <f t="shared" si="696"/>
        <v>22604</v>
      </c>
      <c r="B854" s="17">
        <f t="shared" si="674"/>
        <v>22600</v>
      </c>
      <c r="C854" s="17" t="str">
        <f t="shared" si="682"/>
        <v>2</v>
      </c>
      <c r="D854" s="12">
        <f t="shared" si="690"/>
        <v>20003</v>
      </c>
      <c r="E854" s="17">
        <v>1</v>
      </c>
      <c r="F854" s="17">
        <f t="shared" si="693"/>
        <v>3</v>
      </c>
      <c r="G854" s="17" t="str">
        <f t="shared" si="697"/>
        <v>高级生命百分比</v>
      </c>
      <c r="H854" s="17" t="str">
        <f t="shared" si="698"/>
        <v>icon_07</v>
      </c>
      <c r="I854" s="20">
        <v>0</v>
      </c>
      <c r="J854" s="17">
        <v>4</v>
      </c>
      <c r="K854" s="17">
        <f t="shared" si="695"/>
        <v>22605</v>
      </c>
      <c r="L854" s="17" t="s">
        <v>221</v>
      </c>
      <c r="M854" s="17" t="str">
        <f t="shared" si="699"/>
        <v>1:12300:10</v>
      </c>
      <c r="N854" s="16" t="str">
        <f t="shared" si="692"/>
        <v>116:1</v>
      </c>
      <c r="O854" s="17">
        <f t="shared" si="694"/>
        <v>7</v>
      </c>
      <c r="P854" s="21" t="str">
        <f>$R$2&amp;R854&amp;$Q$1&amp;T854</f>
        <v>所有骑兵生命百分比增加:1</v>
      </c>
      <c r="Q854" s="21"/>
      <c r="R854" t="str">
        <f t="shared" si="700"/>
        <v>生命百分比</v>
      </c>
      <c r="T854" t="str">
        <f t="shared" si="701"/>
        <v>:1</v>
      </c>
      <c r="U854" t="str">
        <f t="shared" si="691"/>
        <v>骑兵</v>
      </c>
      <c r="V854" t="s">
        <v>4487</v>
      </c>
      <c r="W854">
        <f>属性类型!G854</f>
        <v>116</v>
      </c>
      <c r="X854">
        <v>1</v>
      </c>
    </row>
    <row r="855" customFormat="1" ht="16.5" spans="1:24">
      <c r="A855" s="17">
        <f t="shared" si="696"/>
        <v>22605</v>
      </c>
      <c r="B855" s="17">
        <f t="shared" si="674"/>
        <v>22600</v>
      </c>
      <c r="C855" s="17" t="str">
        <f t="shared" si="682"/>
        <v>2</v>
      </c>
      <c r="D855" s="12">
        <f t="shared" si="690"/>
        <v>20003</v>
      </c>
      <c r="E855" s="17">
        <v>1</v>
      </c>
      <c r="F855" s="17">
        <f t="shared" si="693"/>
        <v>3</v>
      </c>
      <c r="G855" s="17" t="str">
        <f t="shared" si="697"/>
        <v>高级生命百分比</v>
      </c>
      <c r="H855" s="17" t="str">
        <f t="shared" si="698"/>
        <v>icon_07</v>
      </c>
      <c r="I855" s="20">
        <v>0</v>
      </c>
      <c r="J855" s="17">
        <v>5</v>
      </c>
      <c r="K855" s="17">
        <f t="shared" si="695"/>
        <v>22606</v>
      </c>
      <c r="L855" s="17" t="s">
        <v>224</v>
      </c>
      <c r="M855" s="17" t="str">
        <f t="shared" si="699"/>
        <v>1:12300:10</v>
      </c>
      <c r="N855" s="16" t="str">
        <f t="shared" si="692"/>
        <v>116:1</v>
      </c>
      <c r="O855" s="17">
        <f t="shared" si="694"/>
        <v>7</v>
      </c>
      <c r="P855" s="21" t="str">
        <f>$R$2&amp;R855&amp;$Q$1&amp;T855</f>
        <v>所有骑兵生命百分比增加:1</v>
      </c>
      <c r="Q855" s="21"/>
      <c r="R855" t="str">
        <f t="shared" si="700"/>
        <v>生命百分比</v>
      </c>
      <c r="T855" t="str">
        <f t="shared" si="701"/>
        <v>:1</v>
      </c>
      <c r="U855" t="str">
        <f t="shared" si="691"/>
        <v>骑兵</v>
      </c>
      <c r="V855" t="s">
        <v>4487</v>
      </c>
      <c r="W855">
        <f>属性类型!G855</f>
        <v>116</v>
      </c>
      <c r="X855">
        <v>1</v>
      </c>
    </row>
    <row r="856" customFormat="1" ht="16.5" spans="1:24">
      <c r="A856" s="17">
        <f t="shared" si="696"/>
        <v>22606</v>
      </c>
      <c r="B856" s="17">
        <f t="shared" si="674"/>
        <v>22600</v>
      </c>
      <c r="C856" s="17" t="str">
        <f t="shared" si="682"/>
        <v>2</v>
      </c>
      <c r="D856" s="12">
        <f t="shared" si="690"/>
        <v>20003</v>
      </c>
      <c r="E856" s="17">
        <v>1</v>
      </c>
      <c r="F856" s="17">
        <f t="shared" si="693"/>
        <v>3</v>
      </c>
      <c r="G856" s="17" t="str">
        <f t="shared" si="697"/>
        <v>高级生命百分比</v>
      </c>
      <c r="H856" s="17" t="str">
        <f t="shared" si="698"/>
        <v>icon_07</v>
      </c>
      <c r="I856" s="20">
        <v>0</v>
      </c>
      <c r="J856" s="17">
        <v>6</v>
      </c>
      <c r="K856" s="17">
        <f t="shared" si="695"/>
        <v>22607</v>
      </c>
      <c r="L856" s="17" t="s">
        <v>227</v>
      </c>
      <c r="M856" s="17" t="str">
        <f t="shared" si="699"/>
        <v>1:12300:10</v>
      </c>
      <c r="N856" s="16" t="str">
        <f t="shared" si="692"/>
        <v>116:1</v>
      </c>
      <c r="O856" s="17">
        <f t="shared" si="694"/>
        <v>7</v>
      </c>
      <c r="P856" s="21" t="str">
        <f>$R$2&amp;R856&amp;$Q$1&amp;T856</f>
        <v>所有骑兵生命百分比增加:1</v>
      </c>
      <c r="Q856" s="21"/>
      <c r="R856" t="str">
        <f t="shared" si="700"/>
        <v>生命百分比</v>
      </c>
      <c r="T856" t="str">
        <f t="shared" si="701"/>
        <v>:1</v>
      </c>
      <c r="U856" t="str">
        <f t="shared" si="691"/>
        <v>骑兵</v>
      </c>
      <c r="V856" t="s">
        <v>4487</v>
      </c>
      <c r="W856">
        <f>属性类型!G856</f>
        <v>116</v>
      </c>
      <c r="X856">
        <v>1</v>
      </c>
    </row>
    <row r="857" customFormat="1" ht="16.5" spans="1:24">
      <c r="A857" s="17">
        <f t="shared" si="696"/>
        <v>22607</v>
      </c>
      <c r="B857" s="17">
        <f t="shared" si="674"/>
        <v>22600</v>
      </c>
      <c r="C857" s="17" t="str">
        <f t="shared" si="682"/>
        <v>2</v>
      </c>
      <c r="D857" s="12">
        <f t="shared" si="690"/>
        <v>20003</v>
      </c>
      <c r="E857" s="17">
        <v>1</v>
      </c>
      <c r="F857" s="17">
        <f t="shared" si="693"/>
        <v>3</v>
      </c>
      <c r="G857" s="17" t="str">
        <f t="shared" si="697"/>
        <v>高级生命百分比</v>
      </c>
      <c r="H857" s="17" t="str">
        <f t="shared" si="698"/>
        <v>icon_07</v>
      </c>
      <c r="I857" s="20">
        <v>0</v>
      </c>
      <c r="J857" s="17">
        <v>7</v>
      </c>
      <c r="K857" s="17">
        <f t="shared" si="695"/>
        <v>22608</v>
      </c>
      <c r="L857" s="17" t="s">
        <v>230</v>
      </c>
      <c r="M857" s="17" t="str">
        <f t="shared" si="699"/>
        <v>1:12300:10</v>
      </c>
      <c r="N857" s="16" t="str">
        <f t="shared" si="692"/>
        <v>116:1</v>
      </c>
      <c r="O857" s="17">
        <f t="shared" si="694"/>
        <v>7</v>
      </c>
      <c r="P857" s="21" t="str">
        <f>$R$2&amp;R857&amp;$Q$1&amp;T857</f>
        <v>所有骑兵生命百分比增加:1</v>
      </c>
      <c r="Q857" s="21"/>
      <c r="R857" t="str">
        <f t="shared" si="700"/>
        <v>生命百分比</v>
      </c>
      <c r="T857" t="str">
        <f t="shared" si="701"/>
        <v>:1</v>
      </c>
      <c r="U857" t="str">
        <f t="shared" si="691"/>
        <v>骑兵</v>
      </c>
      <c r="V857" t="s">
        <v>4487</v>
      </c>
      <c r="W857">
        <f>属性类型!G857</f>
        <v>116</v>
      </c>
      <c r="X857">
        <v>1</v>
      </c>
    </row>
    <row r="858" customFormat="1" ht="16.5" spans="1:24">
      <c r="A858" s="17">
        <f t="shared" si="696"/>
        <v>22608</v>
      </c>
      <c r="B858" s="17">
        <f t="shared" si="674"/>
        <v>22600</v>
      </c>
      <c r="C858" s="17" t="str">
        <f t="shared" si="682"/>
        <v>2</v>
      </c>
      <c r="D858" s="12">
        <f t="shared" si="690"/>
        <v>20003</v>
      </c>
      <c r="E858" s="17">
        <v>1</v>
      </c>
      <c r="F858" s="17">
        <f t="shared" si="693"/>
        <v>3</v>
      </c>
      <c r="G858" s="17" t="str">
        <f t="shared" si="697"/>
        <v>高级生命百分比</v>
      </c>
      <c r="H858" s="17" t="str">
        <f t="shared" si="698"/>
        <v>icon_07</v>
      </c>
      <c r="I858" s="20">
        <v>0</v>
      </c>
      <c r="J858" s="17">
        <v>8</v>
      </c>
      <c r="K858" s="17">
        <f t="shared" si="695"/>
        <v>22609</v>
      </c>
      <c r="L858" s="17" t="s">
        <v>233</v>
      </c>
      <c r="M858" s="17" t="str">
        <f t="shared" si="699"/>
        <v>1:12300:10</v>
      </c>
      <c r="N858" s="16" t="str">
        <f t="shared" si="692"/>
        <v>116:1</v>
      </c>
      <c r="O858" s="17">
        <f t="shared" si="694"/>
        <v>7</v>
      </c>
      <c r="P858" s="21" t="str">
        <f>$R$2&amp;R858&amp;$Q$1&amp;T858</f>
        <v>所有骑兵生命百分比增加:1</v>
      </c>
      <c r="Q858" s="21"/>
      <c r="R858" t="str">
        <f t="shared" si="700"/>
        <v>生命百分比</v>
      </c>
      <c r="T858" t="str">
        <f t="shared" si="701"/>
        <v>:1</v>
      </c>
      <c r="U858" t="str">
        <f t="shared" si="691"/>
        <v>骑兵</v>
      </c>
      <c r="V858" t="s">
        <v>4487</v>
      </c>
      <c r="W858">
        <f>属性类型!G858</f>
        <v>116</v>
      </c>
      <c r="X858">
        <v>1</v>
      </c>
    </row>
    <row r="859" customFormat="1" ht="16.5" spans="1:24">
      <c r="A859" s="17">
        <f t="shared" si="696"/>
        <v>22609</v>
      </c>
      <c r="B859" s="17">
        <f t="shared" si="674"/>
        <v>22600</v>
      </c>
      <c r="C859" s="17" t="str">
        <f t="shared" si="682"/>
        <v>2</v>
      </c>
      <c r="D859" s="12">
        <f t="shared" si="690"/>
        <v>20003</v>
      </c>
      <c r="E859" s="17">
        <v>1</v>
      </c>
      <c r="F859" s="17">
        <f t="shared" si="693"/>
        <v>3</v>
      </c>
      <c r="G859" s="17" t="str">
        <f t="shared" si="697"/>
        <v>高级生命百分比</v>
      </c>
      <c r="H859" s="17" t="str">
        <f t="shared" si="698"/>
        <v>icon_07</v>
      </c>
      <c r="I859" s="20">
        <v>0</v>
      </c>
      <c r="J859" s="17">
        <v>9</v>
      </c>
      <c r="K859" s="17">
        <f t="shared" si="695"/>
        <v>22610</v>
      </c>
      <c r="L859" s="17" t="s">
        <v>236</v>
      </c>
      <c r="M859" s="17" t="str">
        <f t="shared" si="699"/>
        <v>1:12300:10</v>
      </c>
      <c r="N859" s="16" t="str">
        <f t="shared" si="692"/>
        <v>116:1</v>
      </c>
      <c r="O859" s="17">
        <f t="shared" si="694"/>
        <v>7</v>
      </c>
      <c r="P859" s="21" t="str">
        <f>$R$2&amp;R859&amp;$Q$1&amp;T859</f>
        <v>所有骑兵生命百分比增加:1</v>
      </c>
      <c r="Q859" s="21"/>
      <c r="R859" t="str">
        <f t="shared" si="700"/>
        <v>生命百分比</v>
      </c>
      <c r="T859" t="str">
        <f t="shared" si="701"/>
        <v>:1</v>
      </c>
      <c r="U859" t="str">
        <f t="shared" si="691"/>
        <v>骑兵</v>
      </c>
      <c r="V859" t="s">
        <v>4487</v>
      </c>
      <c r="W859">
        <f>属性类型!G859</f>
        <v>116</v>
      </c>
      <c r="X859">
        <v>1</v>
      </c>
    </row>
    <row r="860" customFormat="1" ht="16.5" spans="1:24">
      <c r="A860" s="17">
        <f t="shared" si="696"/>
        <v>22610</v>
      </c>
      <c r="B860" s="17">
        <f t="shared" si="674"/>
        <v>22600</v>
      </c>
      <c r="C860" s="17" t="str">
        <f t="shared" si="682"/>
        <v>2</v>
      </c>
      <c r="D860" s="12">
        <f t="shared" si="690"/>
        <v>20003</v>
      </c>
      <c r="E860" s="17">
        <v>1</v>
      </c>
      <c r="F860" s="17">
        <f t="shared" si="693"/>
        <v>3</v>
      </c>
      <c r="G860" s="17" t="str">
        <f t="shared" si="697"/>
        <v>高级生命百分比</v>
      </c>
      <c r="H860" s="17" t="str">
        <f t="shared" si="698"/>
        <v>icon_07</v>
      </c>
      <c r="I860" s="20">
        <v>0</v>
      </c>
      <c r="J860" s="17">
        <v>10</v>
      </c>
      <c r="K860" s="17">
        <f t="shared" si="695"/>
        <v>22611</v>
      </c>
      <c r="L860" s="17" t="s">
        <v>238</v>
      </c>
      <c r="M860" s="17" t="str">
        <f t="shared" si="699"/>
        <v>1:12300:10</v>
      </c>
      <c r="N860" s="16" t="str">
        <f t="shared" si="692"/>
        <v>116:1</v>
      </c>
      <c r="O860" s="17">
        <f t="shared" si="694"/>
        <v>7</v>
      </c>
      <c r="P860" s="21" t="str">
        <f>$R$2&amp;R860&amp;$Q$1&amp;T860</f>
        <v>所有骑兵生命百分比增加:1</v>
      </c>
      <c r="Q860" s="21"/>
      <c r="R860" t="str">
        <f t="shared" si="700"/>
        <v>生命百分比</v>
      </c>
      <c r="T860" t="str">
        <f t="shared" si="701"/>
        <v>:1</v>
      </c>
      <c r="U860" t="str">
        <f t="shared" si="691"/>
        <v>骑兵</v>
      </c>
      <c r="V860" t="s">
        <v>4487</v>
      </c>
      <c r="W860">
        <f>属性类型!G860</f>
        <v>116</v>
      </c>
      <c r="X860">
        <v>1</v>
      </c>
    </row>
    <row r="861" customFormat="1" ht="16.5" spans="1:24">
      <c r="A861" s="17">
        <f t="shared" si="696"/>
        <v>22611</v>
      </c>
      <c r="B861" s="17">
        <f t="shared" si="674"/>
        <v>22600</v>
      </c>
      <c r="C861" s="17" t="str">
        <f t="shared" si="682"/>
        <v>2</v>
      </c>
      <c r="D861" s="12">
        <f t="shared" si="690"/>
        <v>20003</v>
      </c>
      <c r="E861" s="17">
        <v>1</v>
      </c>
      <c r="F861" s="17">
        <f t="shared" si="693"/>
        <v>3</v>
      </c>
      <c r="G861" s="17" t="str">
        <f t="shared" si="697"/>
        <v>高级生命百分比</v>
      </c>
      <c r="H861" s="17" t="str">
        <f t="shared" si="698"/>
        <v>icon_07</v>
      </c>
      <c r="I861" s="20">
        <v>0</v>
      </c>
      <c r="J861" s="17">
        <v>11</v>
      </c>
      <c r="K861" s="17">
        <f t="shared" si="695"/>
        <v>22612</v>
      </c>
      <c r="L861" s="17" t="s">
        <v>529</v>
      </c>
      <c r="M861" s="17" t="str">
        <f t="shared" si="699"/>
        <v>1:12300:10</v>
      </c>
      <c r="N861" s="16" t="str">
        <f t="shared" si="692"/>
        <v>116:1</v>
      </c>
      <c r="O861" s="17">
        <f t="shared" si="694"/>
        <v>7</v>
      </c>
      <c r="P861" s="21" t="str">
        <f>$R$2&amp;R861&amp;$Q$1&amp;T861</f>
        <v>所有骑兵生命百分比增加:1</v>
      </c>
      <c r="Q861" s="21"/>
      <c r="R861" t="str">
        <f t="shared" si="700"/>
        <v>生命百分比</v>
      </c>
      <c r="T861" t="str">
        <f t="shared" si="701"/>
        <v>:1</v>
      </c>
      <c r="U861" t="str">
        <f t="shared" si="691"/>
        <v>骑兵</v>
      </c>
      <c r="V861" t="s">
        <v>4487</v>
      </c>
      <c r="W861">
        <f>属性类型!G861</f>
        <v>116</v>
      </c>
      <c r="X861">
        <v>1</v>
      </c>
    </row>
    <row r="862" customFormat="1" ht="16.5" spans="1:24">
      <c r="A862" s="17">
        <f t="shared" si="696"/>
        <v>22612</v>
      </c>
      <c r="B862" s="17">
        <f t="shared" si="674"/>
        <v>22600</v>
      </c>
      <c r="C862" s="17" t="str">
        <f t="shared" si="682"/>
        <v>2</v>
      </c>
      <c r="D862" s="12">
        <f t="shared" si="690"/>
        <v>20003</v>
      </c>
      <c r="E862" s="17">
        <v>1</v>
      </c>
      <c r="F862" s="17">
        <f t="shared" si="693"/>
        <v>3</v>
      </c>
      <c r="G862" s="17" t="str">
        <f t="shared" si="697"/>
        <v>高级生命百分比</v>
      </c>
      <c r="H862" s="17" t="str">
        <f t="shared" si="698"/>
        <v>icon_07</v>
      </c>
      <c r="I862" s="20">
        <v>0</v>
      </c>
      <c r="J862" s="17">
        <v>12</v>
      </c>
      <c r="K862" s="17">
        <f t="shared" si="695"/>
        <v>22613</v>
      </c>
      <c r="L862" s="17" t="s">
        <v>532</v>
      </c>
      <c r="M862" s="17" t="str">
        <f t="shared" si="699"/>
        <v>1:12300:10</v>
      </c>
      <c r="N862" s="16" t="str">
        <f t="shared" si="692"/>
        <v>116:1</v>
      </c>
      <c r="O862" s="17">
        <f t="shared" si="694"/>
        <v>7</v>
      </c>
      <c r="P862" s="21" t="str">
        <f>$R$2&amp;R862&amp;$Q$1&amp;T862</f>
        <v>所有骑兵生命百分比增加:1</v>
      </c>
      <c r="Q862" s="21"/>
      <c r="R862" t="str">
        <f t="shared" si="700"/>
        <v>生命百分比</v>
      </c>
      <c r="T862" t="str">
        <f t="shared" si="701"/>
        <v>:1</v>
      </c>
      <c r="U862" t="str">
        <f t="shared" si="691"/>
        <v>骑兵</v>
      </c>
      <c r="V862" t="s">
        <v>4487</v>
      </c>
      <c r="W862">
        <f>属性类型!G862</f>
        <v>116</v>
      </c>
      <c r="X862">
        <v>1</v>
      </c>
    </row>
    <row r="863" customFormat="1" ht="16.5" spans="1:24">
      <c r="A863" s="17">
        <f t="shared" si="696"/>
        <v>22613</v>
      </c>
      <c r="B863" s="17">
        <f t="shared" si="674"/>
        <v>22600</v>
      </c>
      <c r="C863" s="17" t="str">
        <f t="shared" si="682"/>
        <v>2</v>
      </c>
      <c r="D863" s="12">
        <f t="shared" si="690"/>
        <v>20003</v>
      </c>
      <c r="E863" s="17">
        <v>1</v>
      </c>
      <c r="F863" s="17">
        <f t="shared" si="693"/>
        <v>3</v>
      </c>
      <c r="G863" s="17" t="str">
        <f t="shared" si="697"/>
        <v>高级生命百分比</v>
      </c>
      <c r="H863" s="17" t="str">
        <f t="shared" si="698"/>
        <v>icon_07</v>
      </c>
      <c r="I863" s="20">
        <v>0</v>
      </c>
      <c r="J863" s="17">
        <v>13</v>
      </c>
      <c r="K863" s="17">
        <f t="shared" si="695"/>
        <v>22614</v>
      </c>
      <c r="L863" s="17" t="s">
        <v>561</v>
      </c>
      <c r="M863" s="17" t="str">
        <f t="shared" si="699"/>
        <v>1:12300:10</v>
      </c>
      <c r="N863" s="16" t="str">
        <f t="shared" si="692"/>
        <v>116:1</v>
      </c>
      <c r="O863" s="17">
        <f t="shared" si="694"/>
        <v>7</v>
      </c>
      <c r="P863" s="21" t="str">
        <f>$R$2&amp;R863&amp;$Q$1&amp;T863</f>
        <v>所有骑兵生命百分比增加:1</v>
      </c>
      <c r="Q863" s="21"/>
      <c r="R863" t="str">
        <f t="shared" si="700"/>
        <v>生命百分比</v>
      </c>
      <c r="T863" t="str">
        <f t="shared" si="701"/>
        <v>:1</v>
      </c>
      <c r="U863" t="str">
        <f t="shared" si="691"/>
        <v>骑兵</v>
      </c>
      <c r="V863" t="s">
        <v>4487</v>
      </c>
      <c r="W863">
        <f>属性类型!G863</f>
        <v>116</v>
      </c>
      <c r="X863">
        <v>1</v>
      </c>
    </row>
    <row r="864" customFormat="1" ht="16.5" spans="1:24">
      <c r="A864" s="17">
        <f t="shared" si="696"/>
        <v>22614</v>
      </c>
      <c r="B864" s="17">
        <f t="shared" si="674"/>
        <v>22600</v>
      </c>
      <c r="C864" s="17" t="str">
        <f t="shared" si="682"/>
        <v>2</v>
      </c>
      <c r="D864" s="12">
        <f t="shared" si="690"/>
        <v>20003</v>
      </c>
      <c r="E864" s="17">
        <v>1</v>
      </c>
      <c r="F864" s="17">
        <f t="shared" si="693"/>
        <v>3</v>
      </c>
      <c r="G864" s="17" t="str">
        <f t="shared" si="697"/>
        <v>高级生命百分比</v>
      </c>
      <c r="H864" s="17" t="str">
        <f t="shared" si="698"/>
        <v>icon_07</v>
      </c>
      <c r="I864" s="20">
        <v>0</v>
      </c>
      <c r="J864" s="17">
        <v>14</v>
      </c>
      <c r="K864" s="17">
        <f t="shared" si="695"/>
        <v>22615</v>
      </c>
      <c r="L864" s="17" t="s">
        <v>564</v>
      </c>
      <c r="M864" s="17" t="str">
        <f t="shared" si="699"/>
        <v>1:12300:10</v>
      </c>
      <c r="N864" s="16" t="str">
        <f t="shared" si="692"/>
        <v>116:1</v>
      </c>
      <c r="O864" s="17">
        <f t="shared" si="694"/>
        <v>7</v>
      </c>
      <c r="P864" s="21" t="str">
        <f>$R$2&amp;R864&amp;$Q$1&amp;T864</f>
        <v>所有骑兵生命百分比增加:1</v>
      </c>
      <c r="Q864" s="21"/>
      <c r="R864" t="str">
        <f t="shared" si="700"/>
        <v>生命百分比</v>
      </c>
      <c r="T864" t="str">
        <f t="shared" si="701"/>
        <v>:1</v>
      </c>
      <c r="U864" t="str">
        <f t="shared" si="691"/>
        <v>骑兵</v>
      </c>
      <c r="V864" t="s">
        <v>4487</v>
      </c>
      <c r="W864">
        <f>属性类型!G864</f>
        <v>116</v>
      </c>
      <c r="X864">
        <v>1</v>
      </c>
    </row>
    <row r="865" customFormat="1" ht="16.5" spans="1:24">
      <c r="A865" s="17">
        <f t="shared" si="696"/>
        <v>22615</v>
      </c>
      <c r="B865" s="17">
        <f t="shared" si="674"/>
        <v>22600</v>
      </c>
      <c r="C865" s="17" t="str">
        <f t="shared" si="682"/>
        <v>2</v>
      </c>
      <c r="D865" s="12">
        <f t="shared" si="690"/>
        <v>20003</v>
      </c>
      <c r="E865" s="17">
        <v>1</v>
      </c>
      <c r="F865" s="17">
        <f t="shared" si="693"/>
        <v>3</v>
      </c>
      <c r="G865" s="17" t="str">
        <f t="shared" si="697"/>
        <v>高级生命百分比</v>
      </c>
      <c r="H865" s="17" t="str">
        <f t="shared" si="698"/>
        <v>icon_07</v>
      </c>
      <c r="I865" s="20">
        <v>0</v>
      </c>
      <c r="J865" s="17">
        <v>15</v>
      </c>
      <c r="K865" s="17">
        <f t="shared" si="695"/>
        <v>22616</v>
      </c>
      <c r="L865" s="17" t="s">
        <v>630</v>
      </c>
      <c r="M865" s="17" t="str">
        <f t="shared" si="699"/>
        <v>1:12300:10</v>
      </c>
      <c r="N865" s="16" t="str">
        <f t="shared" si="692"/>
        <v>116:1</v>
      </c>
      <c r="O865" s="17">
        <f t="shared" si="694"/>
        <v>7</v>
      </c>
      <c r="P865" s="21" t="str">
        <f>$R$2&amp;R865&amp;$Q$1&amp;T865</f>
        <v>所有骑兵生命百分比增加:1</v>
      </c>
      <c r="Q865" s="21"/>
      <c r="R865" t="str">
        <f t="shared" si="700"/>
        <v>生命百分比</v>
      </c>
      <c r="T865" t="str">
        <f t="shared" si="701"/>
        <v>:1</v>
      </c>
      <c r="U865" t="str">
        <f t="shared" si="691"/>
        <v>骑兵</v>
      </c>
      <c r="V865" t="s">
        <v>4487</v>
      </c>
      <c r="W865">
        <f>属性类型!G865</f>
        <v>116</v>
      </c>
      <c r="X865">
        <v>1</v>
      </c>
    </row>
    <row r="866" customFormat="1" ht="16.5" spans="1:24">
      <c r="A866" s="17">
        <f t="shared" si="696"/>
        <v>22616</v>
      </c>
      <c r="B866" s="17">
        <f t="shared" si="674"/>
        <v>22600</v>
      </c>
      <c r="C866" s="17" t="str">
        <f t="shared" si="682"/>
        <v>2</v>
      </c>
      <c r="D866" s="12">
        <f t="shared" si="690"/>
        <v>20003</v>
      </c>
      <c r="E866" s="17">
        <v>1</v>
      </c>
      <c r="F866" s="17">
        <f t="shared" si="693"/>
        <v>3</v>
      </c>
      <c r="G866" s="17" t="str">
        <f t="shared" si="697"/>
        <v>高级生命百分比</v>
      </c>
      <c r="H866" s="17" t="str">
        <f t="shared" si="698"/>
        <v>icon_07</v>
      </c>
      <c r="I866" s="20">
        <v>0</v>
      </c>
      <c r="J866" s="17">
        <v>16</v>
      </c>
      <c r="K866" s="17">
        <f t="shared" si="695"/>
        <v>22617</v>
      </c>
      <c r="L866" s="17" t="s">
        <v>633</v>
      </c>
      <c r="M866" s="17" t="str">
        <f t="shared" si="699"/>
        <v>1:12300:10</v>
      </c>
      <c r="N866" s="16" t="str">
        <f t="shared" si="692"/>
        <v>116:1</v>
      </c>
      <c r="O866" s="17">
        <f t="shared" si="694"/>
        <v>7</v>
      </c>
      <c r="P866" s="21" t="str">
        <f>$R$2&amp;R866&amp;$Q$1&amp;T866</f>
        <v>所有骑兵生命百分比增加:1</v>
      </c>
      <c r="Q866" s="21"/>
      <c r="R866" t="str">
        <f t="shared" si="700"/>
        <v>生命百分比</v>
      </c>
      <c r="T866" t="str">
        <f t="shared" si="701"/>
        <v>:1</v>
      </c>
      <c r="U866" t="str">
        <f t="shared" si="691"/>
        <v>骑兵</v>
      </c>
      <c r="V866" t="s">
        <v>4487</v>
      </c>
      <c r="W866">
        <f>属性类型!G866</f>
        <v>116</v>
      </c>
      <c r="X866">
        <v>1</v>
      </c>
    </row>
    <row r="867" customFormat="1" ht="16.5" spans="1:24">
      <c r="A867" s="17">
        <f t="shared" si="696"/>
        <v>22617</v>
      </c>
      <c r="B867" s="17">
        <f t="shared" si="674"/>
        <v>22600</v>
      </c>
      <c r="C867" s="17" t="str">
        <f t="shared" si="682"/>
        <v>2</v>
      </c>
      <c r="D867" s="12">
        <f t="shared" si="690"/>
        <v>20003</v>
      </c>
      <c r="E867" s="17">
        <v>1</v>
      </c>
      <c r="F867" s="17">
        <f t="shared" si="693"/>
        <v>3</v>
      </c>
      <c r="G867" s="17" t="str">
        <f t="shared" si="697"/>
        <v>高级生命百分比</v>
      </c>
      <c r="H867" s="17" t="str">
        <f t="shared" si="698"/>
        <v>icon_07</v>
      </c>
      <c r="I867" s="20">
        <v>0</v>
      </c>
      <c r="J867" s="17">
        <v>17</v>
      </c>
      <c r="K867" s="17">
        <f t="shared" si="695"/>
        <v>22618</v>
      </c>
      <c r="L867" s="17" t="s">
        <v>637</v>
      </c>
      <c r="M867" s="17" t="str">
        <f t="shared" si="699"/>
        <v>1:12300:10</v>
      </c>
      <c r="N867" s="16" t="str">
        <f t="shared" si="692"/>
        <v>116:1</v>
      </c>
      <c r="O867" s="17">
        <f t="shared" si="694"/>
        <v>7</v>
      </c>
      <c r="P867" s="21" t="str">
        <f>$R$2&amp;R867&amp;$Q$1&amp;T867</f>
        <v>所有骑兵生命百分比增加:1</v>
      </c>
      <c r="Q867" s="21"/>
      <c r="R867" t="str">
        <f t="shared" si="700"/>
        <v>生命百分比</v>
      </c>
      <c r="T867" t="str">
        <f t="shared" si="701"/>
        <v>:1</v>
      </c>
      <c r="U867" t="str">
        <f t="shared" si="691"/>
        <v>骑兵</v>
      </c>
      <c r="V867" t="s">
        <v>4487</v>
      </c>
      <c r="W867">
        <f>属性类型!G867</f>
        <v>116</v>
      </c>
      <c r="X867">
        <v>1</v>
      </c>
    </row>
    <row r="868" customFormat="1" ht="16.5" spans="1:24">
      <c r="A868" s="17">
        <f t="shared" si="696"/>
        <v>22618</v>
      </c>
      <c r="B868" s="17">
        <f t="shared" si="674"/>
        <v>22600</v>
      </c>
      <c r="C868" s="17" t="str">
        <f t="shared" si="682"/>
        <v>2</v>
      </c>
      <c r="D868" s="12">
        <f t="shared" si="690"/>
        <v>20003</v>
      </c>
      <c r="E868" s="17">
        <v>1</v>
      </c>
      <c r="F868" s="17">
        <f t="shared" si="693"/>
        <v>3</v>
      </c>
      <c r="G868" s="17" t="str">
        <f t="shared" si="697"/>
        <v>高级生命百分比</v>
      </c>
      <c r="H868" s="17" t="str">
        <f t="shared" si="698"/>
        <v>icon_07</v>
      </c>
      <c r="I868" s="20">
        <v>0</v>
      </c>
      <c r="J868" s="17">
        <v>18</v>
      </c>
      <c r="K868" s="17">
        <f t="shared" si="695"/>
        <v>22619</v>
      </c>
      <c r="L868" s="17" t="s">
        <v>641</v>
      </c>
      <c r="M868" s="17" t="str">
        <f t="shared" si="699"/>
        <v>1:12300:10</v>
      </c>
      <c r="N868" s="16" t="str">
        <f t="shared" si="692"/>
        <v>116:1</v>
      </c>
      <c r="O868" s="17">
        <f t="shared" si="694"/>
        <v>7</v>
      </c>
      <c r="P868" s="21" t="str">
        <f>$R$2&amp;R868&amp;$Q$1&amp;T868</f>
        <v>所有骑兵生命百分比增加:1</v>
      </c>
      <c r="Q868" s="21"/>
      <c r="R868" t="str">
        <f t="shared" si="700"/>
        <v>生命百分比</v>
      </c>
      <c r="T868" t="str">
        <f t="shared" si="701"/>
        <v>:1</v>
      </c>
      <c r="U868" t="str">
        <f t="shared" si="691"/>
        <v>骑兵</v>
      </c>
      <c r="V868" t="s">
        <v>4487</v>
      </c>
      <c r="W868">
        <f>属性类型!G868</f>
        <v>116</v>
      </c>
      <c r="X868">
        <v>1</v>
      </c>
    </row>
    <row r="869" customFormat="1" ht="16.5" spans="1:24">
      <c r="A869" s="17">
        <f t="shared" si="696"/>
        <v>22619</v>
      </c>
      <c r="B869" s="17">
        <f t="shared" si="674"/>
        <v>22600</v>
      </c>
      <c r="C869" s="17" t="str">
        <f t="shared" si="682"/>
        <v>2</v>
      </c>
      <c r="D869" s="12">
        <f t="shared" si="690"/>
        <v>20003</v>
      </c>
      <c r="E869" s="17">
        <v>1</v>
      </c>
      <c r="F869" s="17">
        <f t="shared" si="693"/>
        <v>3</v>
      </c>
      <c r="G869" s="17" t="str">
        <f t="shared" si="697"/>
        <v>高级生命百分比</v>
      </c>
      <c r="H869" s="17" t="str">
        <f t="shared" si="698"/>
        <v>icon_07</v>
      </c>
      <c r="I869" s="20">
        <v>0</v>
      </c>
      <c r="J869" s="17">
        <v>19</v>
      </c>
      <c r="K869" s="17">
        <f t="shared" si="695"/>
        <v>22620</v>
      </c>
      <c r="L869" s="17" t="s">
        <v>645</v>
      </c>
      <c r="M869" s="17" t="str">
        <f t="shared" si="699"/>
        <v>1:12300:10</v>
      </c>
      <c r="N869" s="16" t="str">
        <f t="shared" si="692"/>
        <v>116:1</v>
      </c>
      <c r="O869" s="17">
        <f t="shared" si="694"/>
        <v>7</v>
      </c>
      <c r="P869" s="21" t="str">
        <f>$R$2&amp;R869&amp;$Q$1&amp;T869</f>
        <v>所有骑兵生命百分比增加:1</v>
      </c>
      <c r="Q869" s="21"/>
      <c r="R869" t="str">
        <f t="shared" si="700"/>
        <v>生命百分比</v>
      </c>
      <c r="T869" t="str">
        <f t="shared" si="701"/>
        <v>:1</v>
      </c>
      <c r="U869" t="str">
        <f t="shared" si="691"/>
        <v>骑兵</v>
      </c>
      <c r="V869" t="s">
        <v>4487</v>
      </c>
      <c r="W869">
        <f>属性类型!G869</f>
        <v>116</v>
      </c>
      <c r="X869">
        <v>1</v>
      </c>
    </row>
    <row r="870" customFormat="1" ht="16.5" spans="1:24">
      <c r="A870" s="17">
        <f t="shared" si="696"/>
        <v>22620</v>
      </c>
      <c r="B870" s="17">
        <f t="shared" si="674"/>
        <v>22600</v>
      </c>
      <c r="C870" s="17" t="str">
        <f t="shared" si="682"/>
        <v>2</v>
      </c>
      <c r="D870" s="12">
        <f t="shared" si="690"/>
        <v>20003</v>
      </c>
      <c r="E870" s="17">
        <v>1</v>
      </c>
      <c r="F870" s="17">
        <f t="shared" si="693"/>
        <v>3</v>
      </c>
      <c r="G870" s="17" t="str">
        <f t="shared" si="697"/>
        <v>高级生命百分比</v>
      </c>
      <c r="H870" s="17" t="str">
        <f t="shared" si="698"/>
        <v>icon_07</v>
      </c>
      <c r="I870" s="20">
        <v>0</v>
      </c>
      <c r="J870" s="17">
        <v>20</v>
      </c>
      <c r="K870" s="17">
        <v>0</v>
      </c>
      <c r="L870" s="17">
        <v>0</v>
      </c>
      <c r="M870" s="17" t="str">
        <f t="shared" si="699"/>
        <v>1:12300:10</v>
      </c>
      <c r="N870" s="16" t="str">
        <f t="shared" si="692"/>
        <v>116:1</v>
      </c>
      <c r="O870" s="17">
        <f t="shared" si="694"/>
        <v>7</v>
      </c>
      <c r="P870" s="21" t="str">
        <f>$R$2&amp;R870&amp;$Q$1&amp;T870</f>
        <v>所有骑兵生命百分比增加:1</v>
      </c>
      <c r="Q870" s="21"/>
      <c r="R870" t="str">
        <f t="shared" si="700"/>
        <v>生命百分比</v>
      </c>
      <c r="T870" t="str">
        <f t="shared" si="701"/>
        <v>:1</v>
      </c>
      <c r="U870" t="str">
        <f t="shared" si="691"/>
        <v>骑兵</v>
      </c>
      <c r="V870" t="s">
        <v>4487</v>
      </c>
      <c r="W870">
        <f>属性类型!G870</f>
        <v>116</v>
      </c>
      <c r="X870">
        <v>1</v>
      </c>
    </row>
    <row r="871" customFormat="1" ht="16.5" spans="1:24">
      <c r="A871" s="18">
        <f>A850+100</f>
        <v>22700</v>
      </c>
      <c r="B871" s="18">
        <f t="shared" si="674"/>
        <v>22700</v>
      </c>
      <c r="C871" s="18" t="str">
        <f t="shared" si="682"/>
        <v>2</v>
      </c>
      <c r="D871" s="12">
        <f t="shared" si="690"/>
        <v>20003</v>
      </c>
      <c r="E871" s="17">
        <v>2</v>
      </c>
      <c r="F871" s="18">
        <f t="shared" si="693"/>
        <v>3</v>
      </c>
      <c r="G871" s="18" t="s">
        <v>4488</v>
      </c>
      <c r="H871" s="18" t="s">
        <v>980</v>
      </c>
      <c r="I871" s="20">
        <v>1.5</v>
      </c>
      <c r="J871" s="18">
        <v>0</v>
      </c>
      <c r="K871" s="18">
        <f t="shared" ref="K871:K890" si="702">A872</f>
        <v>22701</v>
      </c>
      <c r="L871" s="18" t="s">
        <v>206</v>
      </c>
      <c r="M871" s="18" t="s">
        <v>709</v>
      </c>
      <c r="N871" s="16" t="str">
        <f t="shared" si="692"/>
        <v>10016:1</v>
      </c>
      <c r="O871" s="18">
        <f t="shared" si="694"/>
        <v>8</v>
      </c>
      <c r="P871" s="21" t="s">
        <v>4489</v>
      </c>
      <c r="Q871" s="21"/>
      <c r="R871" t="s">
        <v>4490</v>
      </c>
      <c r="T871" t="str">
        <f>RIGHT(N871,1)</f>
        <v>1</v>
      </c>
      <c r="U871" t="str">
        <f t="shared" si="691"/>
        <v>骑士</v>
      </c>
      <c r="V871" t="s">
        <v>4488</v>
      </c>
      <c r="W871">
        <f>属性类型!G871</f>
        <v>10016</v>
      </c>
      <c r="X871">
        <v>1</v>
      </c>
    </row>
    <row r="872" customFormat="1" ht="16.5" spans="1:24">
      <c r="A872" s="17">
        <f t="shared" ref="A872:A891" si="703">A871+1</f>
        <v>22701</v>
      </c>
      <c r="B872" s="17">
        <f t="shared" ref="B872:B935" si="704">ROUND(A872,-2)</f>
        <v>22700</v>
      </c>
      <c r="C872" s="17" t="str">
        <f t="shared" si="682"/>
        <v>2</v>
      </c>
      <c r="D872" s="12">
        <f t="shared" si="690"/>
        <v>20003</v>
      </c>
      <c r="E872" s="17">
        <v>2</v>
      </c>
      <c r="F872" s="17">
        <f t="shared" si="693"/>
        <v>3</v>
      </c>
      <c r="G872" s="17" t="s">
        <v>4488</v>
      </c>
      <c r="H872" s="17" t="s">
        <v>980</v>
      </c>
      <c r="I872" s="20">
        <v>1.5</v>
      </c>
      <c r="J872" s="17">
        <v>1</v>
      </c>
      <c r="K872" s="17">
        <f t="shared" si="702"/>
        <v>22702</v>
      </c>
      <c r="L872" s="17" t="s">
        <v>211</v>
      </c>
      <c r="M872" s="17" t="str">
        <f t="shared" ref="M872:M891" si="705">M871</f>
        <v>1:12400:10</v>
      </c>
      <c r="N872" s="16" t="str">
        <f t="shared" si="692"/>
        <v>10016:1</v>
      </c>
      <c r="O872" s="17">
        <f t="shared" si="694"/>
        <v>8</v>
      </c>
      <c r="P872" s="21" t="s">
        <v>4491</v>
      </c>
      <c r="Q872" s="21"/>
      <c r="R872" t="s">
        <v>4490</v>
      </c>
      <c r="T872" t="str">
        <f t="shared" ref="T872:T891" si="706">RIGHT(N872,2)</f>
        <v>:1</v>
      </c>
      <c r="U872" t="str">
        <f t="shared" si="691"/>
        <v>骑士</v>
      </c>
      <c r="V872" t="s">
        <v>4488</v>
      </c>
      <c r="W872">
        <f>属性类型!G872</f>
        <v>10016</v>
      </c>
      <c r="X872">
        <v>1</v>
      </c>
    </row>
    <row r="873" customFormat="1" ht="16.5" spans="1:24">
      <c r="A873" s="17">
        <f t="shared" si="703"/>
        <v>22702</v>
      </c>
      <c r="B873" s="17">
        <f t="shared" si="704"/>
        <v>22700</v>
      </c>
      <c r="C873" s="17" t="str">
        <f t="shared" si="682"/>
        <v>2</v>
      </c>
      <c r="D873" s="12">
        <f t="shared" si="690"/>
        <v>20003</v>
      </c>
      <c r="E873" s="17">
        <v>2</v>
      </c>
      <c r="F873" s="17">
        <f t="shared" si="693"/>
        <v>3</v>
      </c>
      <c r="G873" s="17" t="s">
        <v>4488</v>
      </c>
      <c r="H873" s="17" t="s">
        <v>980</v>
      </c>
      <c r="I873" s="20">
        <v>1.5</v>
      </c>
      <c r="J873" s="17">
        <v>2</v>
      </c>
      <c r="K873" s="17">
        <f t="shared" si="702"/>
        <v>22703</v>
      </c>
      <c r="L873" s="17" t="s">
        <v>215</v>
      </c>
      <c r="M873" s="17" t="str">
        <f t="shared" si="705"/>
        <v>1:12400:10</v>
      </c>
      <c r="N873" s="16" t="str">
        <f t="shared" si="692"/>
        <v>10016:1</v>
      </c>
      <c r="O873" s="17">
        <f t="shared" si="694"/>
        <v>8</v>
      </c>
      <c r="P873" s="21" t="s">
        <v>4492</v>
      </c>
      <c r="Q873" s="21"/>
      <c r="R873" t="s">
        <v>4490</v>
      </c>
      <c r="T873" t="str">
        <f t="shared" si="706"/>
        <v>:1</v>
      </c>
      <c r="U873" t="str">
        <f t="shared" si="691"/>
        <v>骑士</v>
      </c>
      <c r="V873" t="s">
        <v>4488</v>
      </c>
      <c r="W873">
        <f>属性类型!G873</f>
        <v>10016</v>
      </c>
      <c r="X873">
        <v>1</v>
      </c>
    </row>
    <row r="874" customFormat="1" ht="16.5" spans="1:24">
      <c r="A874" s="17">
        <f t="shared" si="703"/>
        <v>22703</v>
      </c>
      <c r="B874" s="17">
        <f t="shared" si="704"/>
        <v>22700</v>
      </c>
      <c r="C874" s="17" t="str">
        <f t="shared" si="682"/>
        <v>2</v>
      </c>
      <c r="D874" s="12">
        <f t="shared" si="690"/>
        <v>20003</v>
      </c>
      <c r="E874" s="17">
        <v>2</v>
      </c>
      <c r="F874" s="17">
        <f t="shared" si="693"/>
        <v>3</v>
      </c>
      <c r="G874" s="17" t="s">
        <v>4488</v>
      </c>
      <c r="H874" s="17" t="s">
        <v>980</v>
      </c>
      <c r="I874" s="20">
        <v>1.5</v>
      </c>
      <c r="J874" s="17">
        <v>3</v>
      </c>
      <c r="K874" s="17">
        <f t="shared" si="702"/>
        <v>22704</v>
      </c>
      <c r="L874" s="17" t="s">
        <v>218</v>
      </c>
      <c r="M874" s="17" t="str">
        <f t="shared" si="705"/>
        <v>1:12400:10</v>
      </c>
      <c r="N874" s="16" t="str">
        <f t="shared" si="692"/>
        <v>10016:1</v>
      </c>
      <c r="O874" s="17">
        <f t="shared" si="694"/>
        <v>8</v>
      </c>
      <c r="P874" s="21" t="s">
        <v>4493</v>
      </c>
      <c r="Q874" s="21"/>
      <c r="R874" t="s">
        <v>4490</v>
      </c>
      <c r="T874" t="str">
        <f t="shared" si="706"/>
        <v>:1</v>
      </c>
      <c r="U874" t="str">
        <f t="shared" si="691"/>
        <v>骑士</v>
      </c>
      <c r="V874" t="s">
        <v>4488</v>
      </c>
      <c r="W874">
        <f>属性类型!G874</f>
        <v>10016</v>
      </c>
      <c r="X874">
        <v>1</v>
      </c>
    </row>
    <row r="875" customFormat="1" ht="16.5" spans="1:24">
      <c r="A875" s="17">
        <f t="shared" si="703"/>
        <v>22704</v>
      </c>
      <c r="B875" s="17">
        <f t="shared" si="704"/>
        <v>22700</v>
      </c>
      <c r="C875" s="17" t="str">
        <f t="shared" si="682"/>
        <v>2</v>
      </c>
      <c r="D875" s="12">
        <f t="shared" si="690"/>
        <v>20003</v>
      </c>
      <c r="E875" s="17">
        <v>2</v>
      </c>
      <c r="F875" s="17">
        <f t="shared" si="693"/>
        <v>3</v>
      </c>
      <c r="G875" s="17" t="s">
        <v>4488</v>
      </c>
      <c r="H875" s="17" t="s">
        <v>980</v>
      </c>
      <c r="I875" s="20">
        <v>1.5</v>
      </c>
      <c r="J875" s="17">
        <v>4</v>
      </c>
      <c r="K875" s="17">
        <f t="shared" si="702"/>
        <v>22705</v>
      </c>
      <c r="L875" s="17" t="s">
        <v>221</v>
      </c>
      <c r="M875" s="17" t="str">
        <f t="shared" si="705"/>
        <v>1:12400:10</v>
      </c>
      <c r="N875" s="16" t="str">
        <f t="shared" si="692"/>
        <v>10016:1</v>
      </c>
      <c r="O875" s="17">
        <f t="shared" si="694"/>
        <v>8</v>
      </c>
      <c r="P875" s="21" t="s">
        <v>4494</v>
      </c>
      <c r="Q875" s="21"/>
      <c r="R875" t="s">
        <v>4490</v>
      </c>
      <c r="T875" t="str">
        <f t="shared" si="706"/>
        <v>:1</v>
      </c>
      <c r="U875" t="str">
        <f t="shared" si="691"/>
        <v>骑士</v>
      </c>
      <c r="V875" t="s">
        <v>4488</v>
      </c>
      <c r="W875">
        <f>属性类型!G875</f>
        <v>10016</v>
      </c>
      <c r="X875">
        <v>1</v>
      </c>
    </row>
    <row r="876" customFormat="1" ht="16.5" spans="1:24">
      <c r="A876" s="17">
        <f t="shared" si="703"/>
        <v>22705</v>
      </c>
      <c r="B876" s="17">
        <f t="shared" si="704"/>
        <v>22700</v>
      </c>
      <c r="C876" s="17" t="str">
        <f t="shared" si="682"/>
        <v>2</v>
      </c>
      <c r="D876" s="12">
        <f t="shared" si="690"/>
        <v>20003</v>
      </c>
      <c r="E876" s="17">
        <v>2</v>
      </c>
      <c r="F876" s="17">
        <f t="shared" si="693"/>
        <v>3</v>
      </c>
      <c r="G876" s="17" t="s">
        <v>4488</v>
      </c>
      <c r="H876" s="17" t="s">
        <v>980</v>
      </c>
      <c r="I876" s="20">
        <v>1.5</v>
      </c>
      <c r="J876" s="17">
        <v>5</v>
      </c>
      <c r="K876" s="17">
        <f t="shared" si="702"/>
        <v>22706</v>
      </c>
      <c r="L876" s="17" t="s">
        <v>224</v>
      </c>
      <c r="M876" s="17" t="str">
        <f t="shared" si="705"/>
        <v>1:12400:10</v>
      </c>
      <c r="N876" s="16" t="str">
        <f t="shared" si="692"/>
        <v>10016:1</v>
      </c>
      <c r="O876" s="17">
        <f t="shared" si="694"/>
        <v>8</v>
      </c>
      <c r="P876" s="21" t="s">
        <v>4495</v>
      </c>
      <c r="Q876" s="21"/>
      <c r="R876" t="s">
        <v>4490</v>
      </c>
      <c r="T876" t="str">
        <f t="shared" si="706"/>
        <v>:1</v>
      </c>
      <c r="U876" t="str">
        <f t="shared" si="691"/>
        <v>骑士</v>
      </c>
      <c r="V876" t="s">
        <v>4488</v>
      </c>
      <c r="W876">
        <f>属性类型!G876</f>
        <v>10016</v>
      </c>
      <c r="X876">
        <v>1</v>
      </c>
    </row>
    <row r="877" customFormat="1" ht="16.5" spans="1:24">
      <c r="A877" s="17">
        <f t="shared" si="703"/>
        <v>22706</v>
      </c>
      <c r="B877" s="17">
        <f t="shared" si="704"/>
        <v>22700</v>
      </c>
      <c r="C877" s="17" t="str">
        <f t="shared" si="682"/>
        <v>2</v>
      </c>
      <c r="D877" s="12">
        <f t="shared" si="690"/>
        <v>20003</v>
      </c>
      <c r="E877" s="17">
        <v>2</v>
      </c>
      <c r="F877" s="17">
        <f t="shared" si="693"/>
        <v>3</v>
      </c>
      <c r="G877" s="17" t="s">
        <v>4488</v>
      </c>
      <c r="H877" s="17" t="s">
        <v>980</v>
      </c>
      <c r="I877" s="20">
        <v>1.5</v>
      </c>
      <c r="J877" s="17">
        <v>6</v>
      </c>
      <c r="K877" s="17">
        <f t="shared" si="702"/>
        <v>22707</v>
      </c>
      <c r="L877" s="17" t="s">
        <v>227</v>
      </c>
      <c r="M877" s="17" t="str">
        <f t="shared" si="705"/>
        <v>1:12400:10</v>
      </c>
      <c r="N877" s="16" t="str">
        <f t="shared" si="692"/>
        <v>10016:1</v>
      </c>
      <c r="O877" s="17">
        <f t="shared" si="694"/>
        <v>8</v>
      </c>
      <c r="P877" s="21" t="s">
        <v>4496</v>
      </c>
      <c r="Q877" s="21"/>
      <c r="R877" t="s">
        <v>4490</v>
      </c>
      <c r="T877" t="str">
        <f t="shared" si="706"/>
        <v>:1</v>
      </c>
      <c r="U877" t="str">
        <f t="shared" si="691"/>
        <v>骑士</v>
      </c>
      <c r="V877" t="s">
        <v>4488</v>
      </c>
      <c r="W877">
        <f>属性类型!G877</f>
        <v>10016</v>
      </c>
      <c r="X877">
        <v>1</v>
      </c>
    </row>
    <row r="878" customFormat="1" ht="16.5" spans="1:24">
      <c r="A878" s="17">
        <f t="shared" si="703"/>
        <v>22707</v>
      </c>
      <c r="B878" s="17">
        <f t="shared" si="704"/>
        <v>22700</v>
      </c>
      <c r="C878" s="17" t="str">
        <f t="shared" si="682"/>
        <v>2</v>
      </c>
      <c r="D878" s="12">
        <f t="shared" si="690"/>
        <v>20003</v>
      </c>
      <c r="E878" s="17">
        <v>2</v>
      </c>
      <c r="F878" s="17">
        <f t="shared" si="693"/>
        <v>3</v>
      </c>
      <c r="G878" s="17" t="s">
        <v>4488</v>
      </c>
      <c r="H878" s="17" t="s">
        <v>980</v>
      </c>
      <c r="I878" s="20">
        <v>1.5</v>
      </c>
      <c r="J878" s="17">
        <v>7</v>
      </c>
      <c r="K878" s="17">
        <f t="shared" si="702"/>
        <v>22708</v>
      </c>
      <c r="L878" s="17" t="s">
        <v>230</v>
      </c>
      <c r="M878" s="17" t="str">
        <f t="shared" si="705"/>
        <v>1:12400:10</v>
      </c>
      <c r="N878" s="16" t="str">
        <f t="shared" si="692"/>
        <v>10016:1</v>
      </c>
      <c r="O878" s="17">
        <f t="shared" si="694"/>
        <v>8</v>
      </c>
      <c r="P878" s="21" t="s">
        <v>4497</v>
      </c>
      <c r="Q878" s="21"/>
      <c r="R878" t="s">
        <v>4490</v>
      </c>
      <c r="T878" t="str">
        <f t="shared" si="706"/>
        <v>:1</v>
      </c>
      <c r="U878" t="str">
        <f t="shared" si="691"/>
        <v>骑士</v>
      </c>
      <c r="V878" t="s">
        <v>4488</v>
      </c>
      <c r="W878">
        <f>属性类型!G878</f>
        <v>10016</v>
      </c>
      <c r="X878">
        <v>1</v>
      </c>
    </row>
    <row r="879" customFormat="1" ht="16.5" spans="1:24">
      <c r="A879" s="17">
        <f t="shared" si="703"/>
        <v>22708</v>
      </c>
      <c r="B879" s="17">
        <f t="shared" si="704"/>
        <v>22700</v>
      </c>
      <c r="C879" s="17" t="str">
        <f t="shared" si="682"/>
        <v>2</v>
      </c>
      <c r="D879" s="12">
        <f t="shared" si="690"/>
        <v>20003</v>
      </c>
      <c r="E879" s="17">
        <v>2</v>
      </c>
      <c r="F879" s="17">
        <f t="shared" si="693"/>
        <v>3</v>
      </c>
      <c r="G879" s="17" t="s">
        <v>4488</v>
      </c>
      <c r="H879" s="17" t="s">
        <v>980</v>
      </c>
      <c r="I879" s="20">
        <v>1.5</v>
      </c>
      <c r="J879" s="17">
        <v>8</v>
      </c>
      <c r="K879" s="17">
        <f t="shared" si="702"/>
        <v>22709</v>
      </c>
      <c r="L879" s="17" t="s">
        <v>233</v>
      </c>
      <c r="M879" s="17" t="str">
        <f t="shared" si="705"/>
        <v>1:12400:10</v>
      </c>
      <c r="N879" s="16" t="str">
        <f t="shared" si="692"/>
        <v>10016:1</v>
      </c>
      <c r="O879" s="17">
        <f t="shared" si="694"/>
        <v>8</v>
      </c>
      <c r="P879" s="21" t="s">
        <v>4498</v>
      </c>
      <c r="Q879" s="21"/>
      <c r="R879" t="s">
        <v>4490</v>
      </c>
      <c r="T879" t="str">
        <f t="shared" si="706"/>
        <v>:1</v>
      </c>
      <c r="U879" t="str">
        <f t="shared" si="691"/>
        <v>骑士</v>
      </c>
      <c r="V879" t="s">
        <v>4488</v>
      </c>
      <c r="W879">
        <f>属性类型!G879</f>
        <v>10016</v>
      </c>
      <c r="X879">
        <v>1</v>
      </c>
    </row>
    <row r="880" customFormat="1" ht="16.5" spans="1:24">
      <c r="A880" s="17">
        <f t="shared" si="703"/>
        <v>22709</v>
      </c>
      <c r="B880" s="17">
        <f t="shared" si="704"/>
        <v>22700</v>
      </c>
      <c r="C880" s="17" t="str">
        <f t="shared" si="682"/>
        <v>2</v>
      </c>
      <c r="D880" s="12">
        <f t="shared" si="690"/>
        <v>20003</v>
      </c>
      <c r="E880" s="17">
        <v>2</v>
      </c>
      <c r="F880" s="17">
        <f t="shared" si="693"/>
        <v>3</v>
      </c>
      <c r="G880" s="17" t="s">
        <v>4488</v>
      </c>
      <c r="H880" s="17" t="s">
        <v>980</v>
      </c>
      <c r="I880" s="20">
        <v>1.5</v>
      </c>
      <c r="J880" s="17">
        <v>9</v>
      </c>
      <c r="K880" s="17">
        <f t="shared" si="702"/>
        <v>22710</v>
      </c>
      <c r="L880" s="17" t="s">
        <v>236</v>
      </c>
      <c r="M880" s="17" t="str">
        <f t="shared" si="705"/>
        <v>1:12400:10</v>
      </c>
      <c r="N880" s="16" t="str">
        <f t="shared" si="692"/>
        <v>10016:1</v>
      </c>
      <c r="O880" s="17">
        <f t="shared" si="694"/>
        <v>8</v>
      </c>
      <c r="P880" s="21" t="s">
        <v>4499</v>
      </c>
      <c r="Q880" s="21"/>
      <c r="R880" t="s">
        <v>4490</v>
      </c>
      <c r="T880" t="str">
        <f t="shared" si="706"/>
        <v>:1</v>
      </c>
      <c r="U880" t="str">
        <f t="shared" si="691"/>
        <v>骑士</v>
      </c>
      <c r="V880" t="s">
        <v>4488</v>
      </c>
      <c r="W880">
        <f>属性类型!G880</f>
        <v>10016</v>
      </c>
      <c r="X880">
        <v>1</v>
      </c>
    </row>
    <row r="881" customFormat="1" ht="16.5" spans="1:24">
      <c r="A881" s="17">
        <f t="shared" si="703"/>
        <v>22710</v>
      </c>
      <c r="B881" s="17">
        <f t="shared" si="704"/>
        <v>22700</v>
      </c>
      <c r="C881" s="17" t="str">
        <f t="shared" si="682"/>
        <v>2</v>
      </c>
      <c r="D881" s="12">
        <f t="shared" si="690"/>
        <v>20003</v>
      </c>
      <c r="E881" s="17">
        <v>2</v>
      </c>
      <c r="F881" s="17">
        <f t="shared" si="693"/>
        <v>3</v>
      </c>
      <c r="G881" s="17" t="s">
        <v>4488</v>
      </c>
      <c r="H881" s="17" t="s">
        <v>980</v>
      </c>
      <c r="I881" s="20">
        <v>1.5</v>
      </c>
      <c r="J881" s="17">
        <v>10</v>
      </c>
      <c r="K881" s="17">
        <f t="shared" si="702"/>
        <v>22711</v>
      </c>
      <c r="L881" s="17" t="s">
        <v>238</v>
      </c>
      <c r="M881" s="17" t="str">
        <f t="shared" si="705"/>
        <v>1:12400:10</v>
      </c>
      <c r="N881" s="16" t="str">
        <f t="shared" si="692"/>
        <v>10016:1</v>
      </c>
      <c r="O881" s="17">
        <f t="shared" si="694"/>
        <v>8</v>
      </c>
      <c r="P881" s="21" t="s">
        <v>4500</v>
      </c>
      <c r="Q881" s="21"/>
      <c r="R881" t="s">
        <v>4490</v>
      </c>
      <c r="T881" t="str">
        <f t="shared" si="706"/>
        <v>:1</v>
      </c>
      <c r="U881" t="str">
        <f t="shared" si="691"/>
        <v>骑士</v>
      </c>
      <c r="V881" t="s">
        <v>4488</v>
      </c>
      <c r="W881">
        <f>属性类型!G881</f>
        <v>10016</v>
      </c>
      <c r="X881">
        <v>1</v>
      </c>
    </row>
    <row r="882" customFormat="1" ht="16.5" spans="1:24">
      <c r="A882" s="17">
        <f t="shared" si="703"/>
        <v>22711</v>
      </c>
      <c r="B882" s="17">
        <f t="shared" si="704"/>
        <v>22700</v>
      </c>
      <c r="C882" s="17" t="str">
        <f t="shared" si="682"/>
        <v>2</v>
      </c>
      <c r="D882" s="12">
        <f t="shared" si="690"/>
        <v>20003</v>
      </c>
      <c r="E882" s="17">
        <v>2</v>
      </c>
      <c r="F882" s="17">
        <f t="shared" si="693"/>
        <v>3</v>
      </c>
      <c r="G882" s="17" t="s">
        <v>4488</v>
      </c>
      <c r="H882" s="17" t="s">
        <v>980</v>
      </c>
      <c r="I882" s="20">
        <v>1.5</v>
      </c>
      <c r="J882" s="17">
        <v>11</v>
      </c>
      <c r="K882" s="17">
        <f t="shared" si="702"/>
        <v>22712</v>
      </c>
      <c r="L882" s="17" t="s">
        <v>529</v>
      </c>
      <c r="M882" s="17" t="str">
        <f t="shared" si="705"/>
        <v>1:12400:10</v>
      </c>
      <c r="N882" s="16" t="str">
        <f t="shared" si="692"/>
        <v>10016:1</v>
      </c>
      <c r="O882" s="17">
        <f t="shared" si="694"/>
        <v>8</v>
      </c>
      <c r="P882" s="21" t="s">
        <v>4501</v>
      </c>
      <c r="Q882" s="21"/>
      <c r="R882" t="s">
        <v>4490</v>
      </c>
      <c r="T882" t="str">
        <f t="shared" si="706"/>
        <v>:1</v>
      </c>
      <c r="U882" t="str">
        <f t="shared" si="691"/>
        <v>骑士</v>
      </c>
      <c r="V882" t="s">
        <v>4488</v>
      </c>
      <c r="W882">
        <f>属性类型!G882</f>
        <v>10016</v>
      </c>
      <c r="X882">
        <v>1</v>
      </c>
    </row>
    <row r="883" customFormat="1" ht="16.5" spans="1:24">
      <c r="A883" s="17">
        <f t="shared" si="703"/>
        <v>22712</v>
      </c>
      <c r="B883" s="17">
        <f t="shared" si="704"/>
        <v>22700</v>
      </c>
      <c r="C883" s="17" t="str">
        <f t="shared" si="682"/>
        <v>2</v>
      </c>
      <c r="D883" s="12">
        <f t="shared" si="690"/>
        <v>20003</v>
      </c>
      <c r="E883" s="17">
        <v>2</v>
      </c>
      <c r="F883" s="17">
        <f t="shared" si="693"/>
        <v>3</v>
      </c>
      <c r="G883" s="17" t="s">
        <v>4488</v>
      </c>
      <c r="H883" s="17" t="s">
        <v>980</v>
      </c>
      <c r="I883" s="20">
        <v>1.5</v>
      </c>
      <c r="J883" s="17">
        <v>12</v>
      </c>
      <c r="K883" s="17">
        <f t="shared" si="702"/>
        <v>22713</v>
      </c>
      <c r="L883" s="17" t="s">
        <v>532</v>
      </c>
      <c r="M883" s="17" t="str">
        <f t="shared" si="705"/>
        <v>1:12400:10</v>
      </c>
      <c r="N883" s="16" t="str">
        <f t="shared" si="692"/>
        <v>10016:1</v>
      </c>
      <c r="O883" s="17">
        <f t="shared" si="694"/>
        <v>8</v>
      </c>
      <c r="P883" s="21" t="s">
        <v>4502</v>
      </c>
      <c r="Q883" s="21"/>
      <c r="R883" t="s">
        <v>4490</v>
      </c>
      <c r="T883" t="str">
        <f t="shared" si="706"/>
        <v>:1</v>
      </c>
      <c r="U883" t="str">
        <f t="shared" si="691"/>
        <v>骑士</v>
      </c>
      <c r="V883" t="s">
        <v>4488</v>
      </c>
      <c r="W883">
        <f>属性类型!G883</f>
        <v>10016</v>
      </c>
      <c r="X883">
        <v>1</v>
      </c>
    </row>
    <row r="884" customFormat="1" ht="16.5" spans="1:24">
      <c r="A884" s="17">
        <f t="shared" si="703"/>
        <v>22713</v>
      </c>
      <c r="B884" s="17">
        <f t="shared" si="704"/>
        <v>22700</v>
      </c>
      <c r="C884" s="17" t="str">
        <f t="shared" si="682"/>
        <v>2</v>
      </c>
      <c r="D884" s="12">
        <f t="shared" si="690"/>
        <v>20003</v>
      </c>
      <c r="E884" s="17">
        <v>2</v>
      </c>
      <c r="F884" s="17">
        <f t="shared" si="693"/>
        <v>3</v>
      </c>
      <c r="G884" s="17" t="s">
        <v>4488</v>
      </c>
      <c r="H884" s="17" t="s">
        <v>980</v>
      </c>
      <c r="I884" s="20">
        <v>1.5</v>
      </c>
      <c r="J884" s="17">
        <v>13</v>
      </c>
      <c r="K884" s="17">
        <f t="shared" si="702"/>
        <v>22714</v>
      </c>
      <c r="L884" s="17" t="s">
        <v>561</v>
      </c>
      <c r="M884" s="17" t="str">
        <f t="shared" si="705"/>
        <v>1:12400:10</v>
      </c>
      <c r="N884" s="16" t="str">
        <f t="shared" si="692"/>
        <v>10016:1</v>
      </c>
      <c r="O884" s="17">
        <f t="shared" si="694"/>
        <v>8</v>
      </c>
      <c r="P884" s="21" t="s">
        <v>4503</v>
      </c>
      <c r="Q884" s="21"/>
      <c r="R884" t="s">
        <v>4490</v>
      </c>
      <c r="T884" t="str">
        <f t="shared" si="706"/>
        <v>:1</v>
      </c>
      <c r="U884" t="str">
        <f t="shared" si="691"/>
        <v>骑士</v>
      </c>
      <c r="V884" t="s">
        <v>4488</v>
      </c>
      <c r="W884">
        <f>属性类型!G884</f>
        <v>10016</v>
      </c>
      <c r="X884">
        <v>1</v>
      </c>
    </row>
    <row r="885" customFormat="1" ht="16.5" spans="1:24">
      <c r="A885" s="17">
        <f t="shared" si="703"/>
        <v>22714</v>
      </c>
      <c r="B885" s="17">
        <f t="shared" si="704"/>
        <v>22700</v>
      </c>
      <c r="C885" s="17" t="str">
        <f t="shared" si="682"/>
        <v>2</v>
      </c>
      <c r="D885" s="12">
        <f t="shared" si="690"/>
        <v>20003</v>
      </c>
      <c r="E885" s="17">
        <v>2</v>
      </c>
      <c r="F885" s="17">
        <f t="shared" si="693"/>
        <v>3</v>
      </c>
      <c r="G885" s="17" t="s">
        <v>4488</v>
      </c>
      <c r="H885" s="17" t="s">
        <v>980</v>
      </c>
      <c r="I885" s="20">
        <v>1.5</v>
      </c>
      <c r="J885" s="17">
        <v>14</v>
      </c>
      <c r="K885" s="17">
        <f t="shared" si="702"/>
        <v>22715</v>
      </c>
      <c r="L885" s="17" t="s">
        <v>564</v>
      </c>
      <c r="M885" s="17" t="str">
        <f t="shared" si="705"/>
        <v>1:12400:10</v>
      </c>
      <c r="N885" s="16" t="str">
        <f t="shared" si="692"/>
        <v>10016:1</v>
      </c>
      <c r="O885" s="17">
        <f t="shared" si="694"/>
        <v>8</v>
      </c>
      <c r="P885" s="21" t="s">
        <v>4504</v>
      </c>
      <c r="Q885" s="21"/>
      <c r="R885" t="s">
        <v>4490</v>
      </c>
      <c r="T885" t="str">
        <f t="shared" si="706"/>
        <v>:1</v>
      </c>
      <c r="U885" t="str">
        <f t="shared" si="691"/>
        <v>骑士</v>
      </c>
      <c r="V885" t="s">
        <v>4488</v>
      </c>
      <c r="W885">
        <f>属性类型!G885</f>
        <v>10016</v>
      </c>
      <c r="X885">
        <v>1</v>
      </c>
    </row>
    <row r="886" customFormat="1" ht="16.5" spans="1:24">
      <c r="A886" s="17">
        <f t="shared" si="703"/>
        <v>22715</v>
      </c>
      <c r="B886" s="17">
        <f t="shared" si="704"/>
        <v>22700</v>
      </c>
      <c r="C886" s="17" t="str">
        <f t="shared" si="682"/>
        <v>2</v>
      </c>
      <c r="D886" s="12">
        <f t="shared" si="690"/>
        <v>20003</v>
      </c>
      <c r="E886" s="17">
        <v>2</v>
      </c>
      <c r="F886" s="17">
        <f t="shared" si="693"/>
        <v>3</v>
      </c>
      <c r="G886" s="17" t="s">
        <v>4488</v>
      </c>
      <c r="H886" s="17" t="s">
        <v>980</v>
      </c>
      <c r="I886" s="20">
        <v>1.5</v>
      </c>
      <c r="J886" s="17">
        <v>15</v>
      </c>
      <c r="K886" s="17">
        <f t="shared" si="702"/>
        <v>22716</v>
      </c>
      <c r="L886" s="17" t="s">
        <v>630</v>
      </c>
      <c r="M886" s="17" t="str">
        <f t="shared" si="705"/>
        <v>1:12400:10</v>
      </c>
      <c r="N886" s="16" t="str">
        <f t="shared" si="692"/>
        <v>10016:1</v>
      </c>
      <c r="O886" s="17">
        <f t="shared" si="694"/>
        <v>8</v>
      </c>
      <c r="P886" s="21" t="s">
        <v>4505</v>
      </c>
      <c r="Q886" s="21"/>
      <c r="R886" t="s">
        <v>4490</v>
      </c>
      <c r="T886" t="str">
        <f t="shared" si="706"/>
        <v>:1</v>
      </c>
      <c r="U886" t="str">
        <f t="shared" si="691"/>
        <v>骑士</v>
      </c>
      <c r="V886" t="s">
        <v>4488</v>
      </c>
      <c r="W886">
        <f>属性类型!G886</f>
        <v>10016</v>
      </c>
      <c r="X886">
        <v>1</v>
      </c>
    </row>
    <row r="887" customFormat="1" ht="16.5" spans="1:24">
      <c r="A887" s="17">
        <f t="shared" si="703"/>
        <v>22716</v>
      </c>
      <c r="B887" s="17">
        <f t="shared" si="704"/>
        <v>22700</v>
      </c>
      <c r="C887" s="17" t="str">
        <f t="shared" si="682"/>
        <v>2</v>
      </c>
      <c r="D887" s="12">
        <f t="shared" si="690"/>
        <v>20003</v>
      </c>
      <c r="E887" s="17">
        <v>2</v>
      </c>
      <c r="F887" s="17">
        <f t="shared" si="693"/>
        <v>3</v>
      </c>
      <c r="G887" s="17" t="s">
        <v>4488</v>
      </c>
      <c r="H887" s="17" t="s">
        <v>980</v>
      </c>
      <c r="I887" s="20">
        <v>1.5</v>
      </c>
      <c r="J887" s="17">
        <v>16</v>
      </c>
      <c r="K887" s="17">
        <f t="shared" si="702"/>
        <v>22717</v>
      </c>
      <c r="L887" s="17" t="s">
        <v>633</v>
      </c>
      <c r="M887" s="17" t="str">
        <f t="shared" si="705"/>
        <v>1:12400:10</v>
      </c>
      <c r="N887" s="16" t="str">
        <f t="shared" si="692"/>
        <v>10016:1</v>
      </c>
      <c r="O887" s="17">
        <f t="shared" si="694"/>
        <v>8</v>
      </c>
      <c r="P887" s="21" t="s">
        <v>4506</v>
      </c>
      <c r="Q887" s="21"/>
      <c r="R887" t="s">
        <v>4490</v>
      </c>
      <c r="T887" t="str">
        <f t="shared" si="706"/>
        <v>:1</v>
      </c>
      <c r="U887" t="str">
        <f t="shared" si="691"/>
        <v>骑士</v>
      </c>
      <c r="V887" t="s">
        <v>4488</v>
      </c>
      <c r="W887">
        <f>属性类型!G887</f>
        <v>10016</v>
      </c>
      <c r="X887">
        <v>1</v>
      </c>
    </row>
    <row r="888" customFormat="1" ht="16.5" spans="1:24">
      <c r="A888" s="17">
        <f t="shared" si="703"/>
        <v>22717</v>
      </c>
      <c r="B888" s="17">
        <f t="shared" si="704"/>
        <v>22700</v>
      </c>
      <c r="C888" s="17" t="str">
        <f t="shared" si="682"/>
        <v>2</v>
      </c>
      <c r="D888" s="12">
        <f t="shared" si="690"/>
        <v>20003</v>
      </c>
      <c r="E888" s="17">
        <v>2</v>
      </c>
      <c r="F888" s="17">
        <f t="shared" si="693"/>
        <v>3</v>
      </c>
      <c r="G888" s="17" t="s">
        <v>4488</v>
      </c>
      <c r="H888" s="17" t="s">
        <v>980</v>
      </c>
      <c r="I888" s="20">
        <v>1.5</v>
      </c>
      <c r="J888" s="17">
        <v>17</v>
      </c>
      <c r="K888" s="17">
        <f t="shared" si="702"/>
        <v>22718</v>
      </c>
      <c r="L888" s="17" t="s">
        <v>637</v>
      </c>
      <c r="M888" s="17" t="str">
        <f t="shared" si="705"/>
        <v>1:12400:10</v>
      </c>
      <c r="N888" s="16" t="str">
        <f t="shared" si="692"/>
        <v>10016:1</v>
      </c>
      <c r="O888" s="17">
        <f t="shared" si="694"/>
        <v>8</v>
      </c>
      <c r="P888" s="21" t="s">
        <v>4507</v>
      </c>
      <c r="Q888" s="21"/>
      <c r="R888" t="s">
        <v>4490</v>
      </c>
      <c r="T888" t="str">
        <f t="shared" si="706"/>
        <v>:1</v>
      </c>
      <c r="U888" t="str">
        <f t="shared" si="691"/>
        <v>骑士</v>
      </c>
      <c r="V888" t="s">
        <v>4488</v>
      </c>
      <c r="W888">
        <f>属性类型!G888</f>
        <v>10016</v>
      </c>
      <c r="X888">
        <v>1</v>
      </c>
    </row>
    <row r="889" customFormat="1" ht="16.5" spans="1:24">
      <c r="A889" s="17">
        <f t="shared" si="703"/>
        <v>22718</v>
      </c>
      <c r="B889" s="17">
        <f t="shared" si="704"/>
        <v>22700</v>
      </c>
      <c r="C889" s="17" t="str">
        <f t="shared" si="682"/>
        <v>2</v>
      </c>
      <c r="D889" s="12">
        <f t="shared" si="690"/>
        <v>20003</v>
      </c>
      <c r="E889" s="17">
        <v>2</v>
      </c>
      <c r="F889" s="17">
        <f t="shared" si="693"/>
        <v>3</v>
      </c>
      <c r="G889" s="17" t="s">
        <v>4488</v>
      </c>
      <c r="H889" s="17" t="s">
        <v>980</v>
      </c>
      <c r="I889" s="20">
        <v>1.5</v>
      </c>
      <c r="J889" s="17">
        <v>18</v>
      </c>
      <c r="K889" s="17">
        <f t="shared" si="702"/>
        <v>22719</v>
      </c>
      <c r="L889" s="17" t="s">
        <v>641</v>
      </c>
      <c r="M889" s="17" t="str">
        <f t="shared" si="705"/>
        <v>1:12400:10</v>
      </c>
      <c r="N889" s="16" t="str">
        <f t="shared" si="692"/>
        <v>10016:1</v>
      </c>
      <c r="O889" s="17">
        <f t="shared" si="694"/>
        <v>8</v>
      </c>
      <c r="P889" s="21" t="s">
        <v>4508</v>
      </c>
      <c r="Q889" s="21"/>
      <c r="R889" t="s">
        <v>4490</v>
      </c>
      <c r="T889" t="str">
        <f t="shared" si="706"/>
        <v>:1</v>
      </c>
      <c r="U889" t="str">
        <f t="shared" si="691"/>
        <v>骑士</v>
      </c>
      <c r="V889" t="s">
        <v>4488</v>
      </c>
      <c r="W889">
        <f>属性类型!G889</f>
        <v>10016</v>
      </c>
      <c r="X889">
        <v>1</v>
      </c>
    </row>
    <row r="890" customFormat="1" ht="16.5" spans="1:24">
      <c r="A890" s="17">
        <f t="shared" si="703"/>
        <v>22719</v>
      </c>
      <c r="B890" s="17">
        <f t="shared" si="704"/>
        <v>22700</v>
      </c>
      <c r="C890" s="17" t="str">
        <f t="shared" si="682"/>
        <v>2</v>
      </c>
      <c r="D890" s="12">
        <f t="shared" si="690"/>
        <v>20003</v>
      </c>
      <c r="E890" s="17">
        <v>2</v>
      </c>
      <c r="F890" s="17">
        <f t="shared" si="693"/>
        <v>3</v>
      </c>
      <c r="G890" s="17" t="s">
        <v>4488</v>
      </c>
      <c r="H890" s="17" t="s">
        <v>980</v>
      </c>
      <c r="I890" s="20">
        <v>1.5</v>
      </c>
      <c r="J890" s="17">
        <v>19</v>
      </c>
      <c r="K890" s="17">
        <f t="shared" si="702"/>
        <v>22720</v>
      </c>
      <c r="L890" s="17" t="s">
        <v>645</v>
      </c>
      <c r="M890" s="17" t="str">
        <f t="shared" si="705"/>
        <v>1:12400:10</v>
      </c>
      <c r="N890" s="16" t="str">
        <f t="shared" si="692"/>
        <v>10016:1</v>
      </c>
      <c r="O890" s="17">
        <f t="shared" si="694"/>
        <v>8</v>
      </c>
      <c r="P890" s="21" t="s">
        <v>4509</v>
      </c>
      <c r="Q890" s="21"/>
      <c r="R890" t="s">
        <v>4490</v>
      </c>
      <c r="T890" t="str">
        <f t="shared" si="706"/>
        <v>:1</v>
      </c>
      <c r="U890" t="str">
        <f t="shared" si="691"/>
        <v>骑士</v>
      </c>
      <c r="V890" t="s">
        <v>4488</v>
      </c>
      <c r="W890">
        <f>属性类型!G890</f>
        <v>10016</v>
      </c>
      <c r="X890">
        <v>1</v>
      </c>
    </row>
    <row r="891" customFormat="1" ht="16.5" spans="1:24">
      <c r="A891" s="17">
        <f t="shared" si="703"/>
        <v>22720</v>
      </c>
      <c r="B891" s="17">
        <f t="shared" si="704"/>
        <v>22700</v>
      </c>
      <c r="C891" s="17" t="str">
        <f t="shared" si="682"/>
        <v>2</v>
      </c>
      <c r="D891" s="12">
        <f t="shared" si="690"/>
        <v>20003</v>
      </c>
      <c r="E891" s="17">
        <v>2</v>
      </c>
      <c r="F891" s="17">
        <f t="shared" si="693"/>
        <v>3</v>
      </c>
      <c r="G891" s="17" t="s">
        <v>4488</v>
      </c>
      <c r="H891" s="17" t="s">
        <v>980</v>
      </c>
      <c r="I891" s="20">
        <v>1.5</v>
      </c>
      <c r="J891" s="17">
        <v>20</v>
      </c>
      <c r="K891" s="17">
        <v>0</v>
      </c>
      <c r="L891" s="17">
        <v>0</v>
      </c>
      <c r="M891" s="17" t="str">
        <f t="shared" si="705"/>
        <v>1:12400:10</v>
      </c>
      <c r="N891" s="16" t="str">
        <f t="shared" si="692"/>
        <v>10016:1</v>
      </c>
      <c r="O891" s="17">
        <f t="shared" si="694"/>
        <v>8</v>
      </c>
      <c r="P891" s="21" t="s">
        <v>4509</v>
      </c>
      <c r="Q891" s="21"/>
      <c r="R891" t="s">
        <v>4490</v>
      </c>
      <c r="T891" t="str">
        <f t="shared" si="706"/>
        <v>:1</v>
      </c>
      <c r="U891" t="str">
        <f t="shared" si="691"/>
        <v>骑士</v>
      </c>
      <c r="V891" t="s">
        <v>4488</v>
      </c>
      <c r="W891">
        <f>属性类型!G891</f>
        <v>10016</v>
      </c>
      <c r="X891">
        <v>1</v>
      </c>
    </row>
    <row r="892" customFormat="1" ht="16.5" spans="1:24">
      <c r="A892" s="18">
        <f>A871+100</f>
        <v>22800</v>
      </c>
      <c r="B892" s="18">
        <f t="shared" si="704"/>
        <v>22800</v>
      </c>
      <c r="C892" s="18" t="str">
        <f t="shared" si="682"/>
        <v>2</v>
      </c>
      <c r="D892" s="12">
        <f t="shared" si="690"/>
        <v>20003</v>
      </c>
      <c r="E892" s="17">
        <v>2</v>
      </c>
      <c r="F892" s="18">
        <f t="shared" si="693"/>
        <v>3</v>
      </c>
      <c r="G892" s="18" t="s">
        <v>4510</v>
      </c>
      <c r="H892" s="18" t="s">
        <v>980</v>
      </c>
      <c r="I892" s="20">
        <v>1.5</v>
      </c>
      <c r="J892" s="18">
        <v>0</v>
      </c>
      <c r="K892" s="18">
        <f t="shared" ref="K892:K911" si="707">A893</f>
        <v>22801</v>
      </c>
      <c r="L892" s="18" t="s">
        <v>206</v>
      </c>
      <c r="M892" s="18" t="s">
        <v>741</v>
      </c>
      <c r="N892" s="16" t="str">
        <f t="shared" si="692"/>
        <v>10017:1</v>
      </c>
      <c r="O892" s="18">
        <f t="shared" si="694"/>
        <v>9</v>
      </c>
      <c r="P892" s="21" t="s">
        <v>4511</v>
      </c>
      <c r="Q892" s="21"/>
      <c r="R892" t="s">
        <v>4490</v>
      </c>
      <c r="T892" t="str">
        <f>RIGHT(N892,1)</f>
        <v>1</v>
      </c>
      <c r="U892" t="str">
        <f t="shared" si="691"/>
        <v>骑士</v>
      </c>
      <c r="V892" t="s">
        <v>4510</v>
      </c>
      <c r="W892">
        <f>属性类型!G892</f>
        <v>10017</v>
      </c>
      <c r="X892">
        <v>1</v>
      </c>
    </row>
    <row r="893" customFormat="1" ht="16.5" spans="1:24">
      <c r="A893" s="17">
        <f t="shared" ref="A893:A912" si="708">A892+1</f>
        <v>22801</v>
      </c>
      <c r="B893" s="17">
        <f t="shared" si="704"/>
        <v>22800</v>
      </c>
      <c r="C893" s="17" t="str">
        <f t="shared" ref="C893:C956" si="709">LEFT(A893,1)</f>
        <v>2</v>
      </c>
      <c r="D893" s="12">
        <f t="shared" si="690"/>
        <v>20003</v>
      </c>
      <c r="E893" s="17">
        <f t="shared" ref="E893:E912" si="710">E892</f>
        <v>2</v>
      </c>
      <c r="F893" s="17">
        <f t="shared" si="693"/>
        <v>3</v>
      </c>
      <c r="G893" s="17" t="s">
        <v>4510</v>
      </c>
      <c r="H893" s="17" t="s">
        <v>980</v>
      </c>
      <c r="I893" s="20">
        <v>1.5</v>
      </c>
      <c r="J893" s="17">
        <v>1</v>
      </c>
      <c r="K893" s="17">
        <f t="shared" si="707"/>
        <v>22802</v>
      </c>
      <c r="L893" s="17" t="s">
        <v>211</v>
      </c>
      <c r="M893" s="17" t="str">
        <f t="shared" ref="M893:M912" si="711">M892</f>
        <v>1:12500:10</v>
      </c>
      <c r="N893" s="16" t="str">
        <f t="shared" si="692"/>
        <v>10017:1</v>
      </c>
      <c r="O893" s="17">
        <f t="shared" si="694"/>
        <v>9</v>
      </c>
      <c r="P893" s="21" t="s">
        <v>4512</v>
      </c>
      <c r="Q893" s="21"/>
      <c r="R893" t="s">
        <v>4490</v>
      </c>
      <c r="T893" t="str">
        <f t="shared" ref="T893:T912" si="712">RIGHT(N893,2)</f>
        <v>:1</v>
      </c>
      <c r="U893" t="str">
        <f t="shared" si="691"/>
        <v>骑士</v>
      </c>
      <c r="V893" t="s">
        <v>4510</v>
      </c>
      <c r="W893">
        <f>属性类型!G893</f>
        <v>10017</v>
      </c>
      <c r="X893">
        <v>1</v>
      </c>
    </row>
    <row r="894" customFormat="1" ht="16.5" spans="1:24">
      <c r="A894" s="17">
        <f t="shared" si="708"/>
        <v>22802</v>
      </c>
      <c r="B894" s="17">
        <f t="shared" si="704"/>
        <v>22800</v>
      </c>
      <c r="C894" s="17" t="str">
        <f t="shared" si="709"/>
        <v>2</v>
      </c>
      <c r="D894" s="12">
        <f t="shared" si="690"/>
        <v>20003</v>
      </c>
      <c r="E894" s="17">
        <f t="shared" si="710"/>
        <v>2</v>
      </c>
      <c r="F894" s="17">
        <f t="shared" si="693"/>
        <v>3</v>
      </c>
      <c r="G894" s="17" t="s">
        <v>4510</v>
      </c>
      <c r="H894" s="17" t="s">
        <v>980</v>
      </c>
      <c r="I894" s="20">
        <v>1.5</v>
      </c>
      <c r="J894" s="17">
        <v>2</v>
      </c>
      <c r="K894" s="17">
        <f t="shared" si="707"/>
        <v>22803</v>
      </c>
      <c r="L894" s="17" t="s">
        <v>215</v>
      </c>
      <c r="M894" s="17" t="str">
        <f t="shared" si="711"/>
        <v>1:12500:10</v>
      </c>
      <c r="N894" s="16" t="str">
        <f t="shared" si="692"/>
        <v>10017:1</v>
      </c>
      <c r="O894" s="17">
        <f t="shared" si="694"/>
        <v>9</v>
      </c>
      <c r="P894" s="21" t="s">
        <v>4513</v>
      </c>
      <c r="Q894" s="21"/>
      <c r="R894" t="s">
        <v>4490</v>
      </c>
      <c r="T894" t="str">
        <f t="shared" si="712"/>
        <v>:1</v>
      </c>
      <c r="U894" t="str">
        <f t="shared" si="691"/>
        <v>骑士</v>
      </c>
      <c r="V894" t="s">
        <v>4510</v>
      </c>
      <c r="W894">
        <f>属性类型!G894</f>
        <v>10017</v>
      </c>
      <c r="X894">
        <v>1</v>
      </c>
    </row>
    <row r="895" customFormat="1" ht="16.5" spans="1:24">
      <c r="A895" s="17">
        <f t="shared" si="708"/>
        <v>22803</v>
      </c>
      <c r="B895" s="17">
        <f t="shared" si="704"/>
        <v>22800</v>
      </c>
      <c r="C895" s="17" t="str">
        <f t="shared" si="709"/>
        <v>2</v>
      </c>
      <c r="D895" s="12">
        <f t="shared" si="690"/>
        <v>20003</v>
      </c>
      <c r="E895" s="17">
        <f t="shared" si="710"/>
        <v>2</v>
      </c>
      <c r="F895" s="17">
        <f t="shared" si="693"/>
        <v>3</v>
      </c>
      <c r="G895" s="17" t="s">
        <v>4510</v>
      </c>
      <c r="H895" s="17" t="s">
        <v>980</v>
      </c>
      <c r="I895" s="20">
        <v>1.5</v>
      </c>
      <c r="J895" s="17">
        <v>3</v>
      </c>
      <c r="K895" s="17">
        <f t="shared" si="707"/>
        <v>22804</v>
      </c>
      <c r="L895" s="17" t="s">
        <v>218</v>
      </c>
      <c r="M895" s="17" t="str">
        <f t="shared" si="711"/>
        <v>1:12500:10</v>
      </c>
      <c r="N895" s="16" t="str">
        <f t="shared" si="692"/>
        <v>10017:1</v>
      </c>
      <c r="O895" s="17">
        <f t="shared" si="694"/>
        <v>9</v>
      </c>
      <c r="P895" s="21" t="s">
        <v>4514</v>
      </c>
      <c r="Q895" s="21"/>
      <c r="R895" t="s">
        <v>4490</v>
      </c>
      <c r="T895" t="str">
        <f t="shared" si="712"/>
        <v>:1</v>
      </c>
      <c r="U895" t="str">
        <f t="shared" si="691"/>
        <v>骑士</v>
      </c>
      <c r="V895" t="s">
        <v>4510</v>
      </c>
      <c r="W895">
        <f>属性类型!G895</f>
        <v>10017</v>
      </c>
      <c r="X895">
        <v>1</v>
      </c>
    </row>
    <row r="896" customFormat="1" ht="16.5" spans="1:24">
      <c r="A896" s="17">
        <f t="shared" si="708"/>
        <v>22804</v>
      </c>
      <c r="B896" s="17">
        <f t="shared" si="704"/>
        <v>22800</v>
      </c>
      <c r="C896" s="17" t="str">
        <f t="shared" si="709"/>
        <v>2</v>
      </c>
      <c r="D896" s="12">
        <f t="shared" si="690"/>
        <v>20003</v>
      </c>
      <c r="E896" s="17">
        <f t="shared" si="710"/>
        <v>2</v>
      </c>
      <c r="F896" s="17">
        <f t="shared" si="693"/>
        <v>3</v>
      </c>
      <c r="G896" s="17" t="s">
        <v>4510</v>
      </c>
      <c r="H896" s="17" t="s">
        <v>980</v>
      </c>
      <c r="I896" s="20">
        <v>1.5</v>
      </c>
      <c r="J896" s="17">
        <v>4</v>
      </c>
      <c r="K896" s="17">
        <f t="shared" si="707"/>
        <v>22805</v>
      </c>
      <c r="L896" s="17" t="s">
        <v>221</v>
      </c>
      <c r="M896" s="17" t="str">
        <f t="shared" si="711"/>
        <v>1:12500:10</v>
      </c>
      <c r="N896" s="16" t="str">
        <f t="shared" si="692"/>
        <v>10017:1</v>
      </c>
      <c r="O896" s="17">
        <f t="shared" si="694"/>
        <v>9</v>
      </c>
      <c r="P896" s="21" t="s">
        <v>4515</v>
      </c>
      <c r="Q896" s="21"/>
      <c r="R896" t="s">
        <v>4490</v>
      </c>
      <c r="T896" t="str">
        <f t="shared" si="712"/>
        <v>:1</v>
      </c>
      <c r="U896" t="str">
        <f t="shared" si="691"/>
        <v>骑士</v>
      </c>
      <c r="V896" t="s">
        <v>4510</v>
      </c>
      <c r="W896">
        <f>属性类型!G896</f>
        <v>10017</v>
      </c>
      <c r="X896">
        <v>1</v>
      </c>
    </row>
    <row r="897" customFormat="1" ht="16.5" spans="1:24">
      <c r="A897" s="17">
        <f t="shared" si="708"/>
        <v>22805</v>
      </c>
      <c r="B897" s="17">
        <f t="shared" si="704"/>
        <v>22800</v>
      </c>
      <c r="C897" s="17" t="str">
        <f t="shared" si="709"/>
        <v>2</v>
      </c>
      <c r="D897" s="12">
        <f t="shared" si="690"/>
        <v>20003</v>
      </c>
      <c r="E897" s="17">
        <f t="shared" si="710"/>
        <v>2</v>
      </c>
      <c r="F897" s="17">
        <f t="shared" si="693"/>
        <v>3</v>
      </c>
      <c r="G897" s="17" t="s">
        <v>4510</v>
      </c>
      <c r="H897" s="17" t="s">
        <v>980</v>
      </c>
      <c r="I897" s="20">
        <v>1.5</v>
      </c>
      <c r="J897" s="17">
        <v>5</v>
      </c>
      <c r="K897" s="17">
        <f t="shared" si="707"/>
        <v>22806</v>
      </c>
      <c r="L897" s="17" t="s">
        <v>224</v>
      </c>
      <c r="M897" s="17" t="str">
        <f t="shared" si="711"/>
        <v>1:12500:10</v>
      </c>
      <c r="N897" s="16" t="str">
        <f t="shared" si="692"/>
        <v>10017:1</v>
      </c>
      <c r="O897" s="17">
        <f t="shared" si="694"/>
        <v>9</v>
      </c>
      <c r="P897" s="21" t="s">
        <v>4516</v>
      </c>
      <c r="Q897" s="21"/>
      <c r="R897" t="s">
        <v>4490</v>
      </c>
      <c r="T897" t="str">
        <f t="shared" si="712"/>
        <v>:1</v>
      </c>
      <c r="U897" t="str">
        <f t="shared" si="691"/>
        <v>骑士</v>
      </c>
      <c r="V897" t="s">
        <v>4510</v>
      </c>
      <c r="W897">
        <f>属性类型!G897</f>
        <v>10017</v>
      </c>
      <c r="X897">
        <v>1</v>
      </c>
    </row>
    <row r="898" customFormat="1" ht="16.5" spans="1:24">
      <c r="A898" s="17">
        <f t="shared" si="708"/>
        <v>22806</v>
      </c>
      <c r="B898" s="17">
        <f t="shared" si="704"/>
        <v>22800</v>
      </c>
      <c r="C898" s="17" t="str">
        <f t="shared" si="709"/>
        <v>2</v>
      </c>
      <c r="D898" s="12">
        <f t="shared" si="690"/>
        <v>20003</v>
      </c>
      <c r="E898" s="17">
        <f t="shared" si="710"/>
        <v>2</v>
      </c>
      <c r="F898" s="17">
        <f t="shared" si="693"/>
        <v>3</v>
      </c>
      <c r="G898" s="17" t="s">
        <v>4510</v>
      </c>
      <c r="H898" s="17" t="s">
        <v>980</v>
      </c>
      <c r="I898" s="20">
        <v>1.5</v>
      </c>
      <c r="J898" s="17">
        <v>6</v>
      </c>
      <c r="K898" s="17">
        <f t="shared" si="707"/>
        <v>22807</v>
      </c>
      <c r="L898" s="17" t="s">
        <v>227</v>
      </c>
      <c r="M898" s="17" t="str">
        <f t="shared" si="711"/>
        <v>1:12500:10</v>
      </c>
      <c r="N898" s="16" t="str">
        <f t="shared" si="692"/>
        <v>10017:1</v>
      </c>
      <c r="O898" s="17">
        <f t="shared" si="694"/>
        <v>9</v>
      </c>
      <c r="P898" s="21" t="s">
        <v>4517</v>
      </c>
      <c r="Q898" s="21"/>
      <c r="R898" t="s">
        <v>4490</v>
      </c>
      <c r="T898" t="str">
        <f t="shared" si="712"/>
        <v>:1</v>
      </c>
      <c r="U898" t="str">
        <f t="shared" si="691"/>
        <v>骑士</v>
      </c>
      <c r="V898" t="s">
        <v>4510</v>
      </c>
      <c r="W898">
        <f>属性类型!G898</f>
        <v>10017</v>
      </c>
      <c r="X898">
        <v>1</v>
      </c>
    </row>
    <row r="899" customFormat="1" ht="16.5" spans="1:24">
      <c r="A899" s="17">
        <f t="shared" si="708"/>
        <v>22807</v>
      </c>
      <c r="B899" s="17">
        <f t="shared" si="704"/>
        <v>22800</v>
      </c>
      <c r="C899" s="17" t="str">
        <f t="shared" si="709"/>
        <v>2</v>
      </c>
      <c r="D899" s="12">
        <f t="shared" ref="D899:D962" si="713">$A$469+F899</f>
        <v>20003</v>
      </c>
      <c r="E899" s="17">
        <f t="shared" si="710"/>
        <v>2</v>
      </c>
      <c r="F899" s="17">
        <f t="shared" si="693"/>
        <v>3</v>
      </c>
      <c r="G899" s="17" t="s">
        <v>4510</v>
      </c>
      <c r="H899" s="17" t="s">
        <v>980</v>
      </c>
      <c r="I899" s="20">
        <v>1.5</v>
      </c>
      <c r="J899" s="17">
        <v>7</v>
      </c>
      <c r="K899" s="17">
        <f t="shared" si="707"/>
        <v>22808</v>
      </c>
      <c r="L899" s="17" t="s">
        <v>230</v>
      </c>
      <c r="M899" s="17" t="str">
        <f t="shared" si="711"/>
        <v>1:12500:10</v>
      </c>
      <c r="N899" s="16" t="str">
        <f t="shared" si="692"/>
        <v>10017:1</v>
      </c>
      <c r="O899" s="17">
        <f t="shared" si="694"/>
        <v>9</v>
      </c>
      <c r="P899" s="21" t="s">
        <v>4518</v>
      </c>
      <c r="Q899" s="21"/>
      <c r="R899" t="s">
        <v>4490</v>
      </c>
      <c r="T899" t="str">
        <f t="shared" si="712"/>
        <v>:1</v>
      </c>
      <c r="U899" t="str">
        <f t="shared" si="691"/>
        <v>骑士</v>
      </c>
      <c r="V899" t="s">
        <v>4510</v>
      </c>
      <c r="W899">
        <f>属性类型!G899</f>
        <v>10017</v>
      </c>
      <c r="X899">
        <v>1</v>
      </c>
    </row>
    <row r="900" customFormat="1" ht="16.5" spans="1:24">
      <c r="A900" s="17">
        <f t="shared" si="708"/>
        <v>22808</v>
      </c>
      <c r="B900" s="17">
        <f t="shared" si="704"/>
        <v>22800</v>
      </c>
      <c r="C900" s="17" t="str">
        <f t="shared" si="709"/>
        <v>2</v>
      </c>
      <c r="D900" s="12">
        <f t="shared" si="713"/>
        <v>20003</v>
      </c>
      <c r="E900" s="17">
        <f t="shared" si="710"/>
        <v>2</v>
      </c>
      <c r="F900" s="17">
        <f t="shared" si="693"/>
        <v>3</v>
      </c>
      <c r="G900" s="17" t="s">
        <v>4510</v>
      </c>
      <c r="H900" s="17" t="s">
        <v>980</v>
      </c>
      <c r="I900" s="20">
        <v>1.5</v>
      </c>
      <c r="J900" s="17">
        <v>8</v>
      </c>
      <c r="K900" s="17">
        <f t="shared" si="707"/>
        <v>22809</v>
      </c>
      <c r="L900" s="17" t="s">
        <v>233</v>
      </c>
      <c r="M900" s="17" t="str">
        <f t="shared" si="711"/>
        <v>1:12500:10</v>
      </c>
      <c r="N900" s="16" t="str">
        <f t="shared" si="692"/>
        <v>10017:1</v>
      </c>
      <c r="O900" s="17">
        <f t="shared" si="694"/>
        <v>9</v>
      </c>
      <c r="P900" s="21" t="s">
        <v>4519</v>
      </c>
      <c r="Q900" s="21"/>
      <c r="R900" t="s">
        <v>4490</v>
      </c>
      <c r="T900" t="str">
        <f t="shared" si="712"/>
        <v>:1</v>
      </c>
      <c r="U900" t="str">
        <f t="shared" si="691"/>
        <v>骑士</v>
      </c>
      <c r="V900" t="s">
        <v>4510</v>
      </c>
      <c r="W900">
        <f>属性类型!G900</f>
        <v>10017</v>
      </c>
      <c r="X900">
        <v>1</v>
      </c>
    </row>
    <row r="901" customFormat="1" ht="16.5" spans="1:24">
      <c r="A901" s="17">
        <f t="shared" si="708"/>
        <v>22809</v>
      </c>
      <c r="B901" s="17">
        <f t="shared" si="704"/>
        <v>22800</v>
      </c>
      <c r="C901" s="17" t="str">
        <f t="shared" si="709"/>
        <v>2</v>
      </c>
      <c r="D901" s="12">
        <f t="shared" si="713"/>
        <v>20003</v>
      </c>
      <c r="E901" s="17">
        <f t="shared" si="710"/>
        <v>2</v>
      </c>
      <c r="F901" s="17">
        <f t="shared" si="693"/>
        <v>3</v>
      </c>
      <c r="G901" s="17" t="s">
        <v>4510</v>
      </c>
      <c r="H901" s="17" t="s">
        <v>980</v>
      </c>
      <c r="I901" s="20">
        <v>1.5</v>
      </c>
      <c r="J901" s="17">
        <v>9</v>
      </c>
      <c r="K901" s="17">
        <f t="shared" si="707"/>
        <v>22810</v>
      </c>
      <c r="L901" s="17" t="s">
        <v>236</v>
      </c>
      <c r="M901" s="17" t="str">
        <f t="shared" si="711"/>
        <v>1:12500:10</v>
      </c>
      <c r="N901" s="16" t="str">
        <f t="shared" si="692"/>
        <v>10017:1</v>
      </c>
      <c r="O901" s="17">
        <f t="shared" si="694"/>
        <v>9</v>
      </c>
      <c r="P901" s="21" t="s">
        <v>4520</v>
      </c>
      <c r="Q901" s="21"/>
      <c r="R901" t="s">
        <v>4490</v>
      </c>
      <c r="T901" t="str">
        <f t="shared" si="712"/>
        <v>:1</v>
      </c>
      <c r="U901" t="str">
        <f t="shared" ref="U901:U964" si="714">MID(P901,3,2)</f>
        <v>骑士</v>
      </c>
      <c r="V901" t="s">
        <v>4510</v>
      </c>
      <c r="W901">
        <f>属性类型!G901</f>
        <v>10017</v>
      </c>
      <c r="X901">
        <v>1</v>
      </c>
    </row>
    <row r="902" customFormat="1" ht="16.5" spans="1:24">
      <c r="A902" s="17">
        <f t="shared" si="708"/>
        <v>22810</v>
      </c>
      <c r="B902" s="17">
        <f t="shared" si="704"/>
        <v>22800</v>
      </c>
      <c r="C902" s="17" t="str">
        <f t="shared" si="709"/>
        <v>2</v>
      </c>
      <c r="D902" s="12">
        <f t="shared" si="713"/>
        <v>20003</v>
      </c>
      <c r="E902" s="17">
        <f t="shared" si="710"/>
        <v>2</v>
      </c>
      <c r="F902" s="17">
        <f t="shared" si="693"/>
        <v>3</v>
      </c>
      <c r="G902" s="17" t="s">
        <v>4510</v>
      </c>
      <c r="H902" s="17" t="s">
        <v>980</v>
      </c>
      <c r="I902" s="20">
        <v>1.5</v>
      </c>
      <c r="J902" s="17">
        <v>10</v>
      </c>
      <c r="K902" s="17">
        <f t="shared" si="707"/>
        <v>22811</v>
      </c>
      <c r="L902" s="17" t="s">
        <v>238</v>
      </c>
      <c r="M902" s="17" t="str">
        <f t="shared" si="711"/>
        <v>1:12500:10</v>
      </c>
      <c r="N902" s="16" t="str">
        <f t="shared" si="692"/>
        <v>10017:1</v>
      </c>
      <c r="O902" s="17">
        <f t="shared" si="694"/>
        <v>9</v>
      </c>
      <c r="P902" s="21" t="s">
        <v>4521</v>
      </c>
      <c r="Q902" s="21"/>
      <c r="R902" t="s">
        <v>4490</v>
      </c>
      <c r="T902" t="str">
        <f t="shared" si="712"/>
        <v>:1</v>
      </c>
      <c r="U902" t="str">
        <f t="shared" si="714"/>
        <v>骑士</v>
      </c>
      <c r="V902" t="s">
        <v>4510</v>
      </c>
      <c r="W902">
        <f>属性类型!G902</f>
        <v>10017</v>
      </c>
      <c r="X902">
        <v>1</v>
      </c>
    </row>
    <row r="903" customFormat="1" ht="16.5" spans="1:24">
      <c r="A903" s="17">
        <f t="shared" si="708"/>
        <v>22811</v>
      </c>
      <c r="B903" s="17">
        <f t="shared" si="704"/>
        <v>22800</v>
      </c>
      <c r="C903" s="17" t="str">
        <f t="shared" si="709"/>
        <v>2</v>
      </c>
      <c r="D903" s="12">
        <f t="shared" si="713"/>
        <v>20003</v>
      </c>
      <c r="E903" s="17">
        <f t="shared" si="710"/>
        <v>2</v>
      </c>
      <c r="F903" s="17">
        <f t="shared" si="693"/>
        <v>3</v>
      </c>
      <c r="G903" s="17" t="s">
        <v>4510</v>
      </c>
      <c r="H903" s="17" t="s">
        <v>980</v>
      </c>
      <c r="I903" s="20">
        <v>1.5</v>
      </c>
      <c r="J903" s="17">
        <v>11</v>
      </c>
      <c r="K903" s="17">
        <f t="shared" si="707"/>
        <v>22812</v>
      </c>
      <c r="L903" s="17" t="s">
        <v>529</v>
      </c>
      <c r="M903" s="17" t="str">
        <f t="shared" si="711"/>
        <v>1:12500:10</v>
      </c>
      <c r="N903" s="16" t="str">
        <f t="shared" si="692"/>
        <v>10017:1</v>
      </c>
      <c r="O903" s="17">
        <f t="shared" si="694"/>
        <v>9</v>
      </c>
      <c r="P903" s="21" t="s">
        <v>4522</v>
      </c>
      <c r="Q903" s="21"/>
      <c r="R903" t="s">
        <v>4490</v>
      </c>
      <c r="T903" t="str">
        <f t="shared" si="712"/>
        <v>:1</v>
      </c>
      <c r="U903" t="str">
        <f t="shared" si="714"/>
        <v>骑士</v>
      </c>
      <c r="V903" t="s">
        <v>4510</v>
      </c>
      <c r="W903">
        <f>属性类型!G903</f>
        <v>10017</v>
      </c>
      <c r="X903">
        <v>1</v>
      </c>
    </row>
    <row r="904" customFormat="1" ht="16.5" spans="1:24">
      <c r="A904" s="17">
        <f t="shared" si="708"/>
        <v>22812</v>
      </c>
      <c r="B904" s="17">
        <f t="shared" si="704"/>
        <v>22800</v>
      </c>
      <c r="C904" s="17" t="str">
        <f t="shared" si="709"/>
        <v>2</v>
      </c>
      <c r="D904" s="12">
        <f t="shared" si="713"/>
        <v>20003</v>
      </c>
      <c r="E904" s="17">
        <f t="shared" si="710"/>
        <v>2</v>
      </c>
      <c r="F904" s="17">
        <f t="shared" si="693"/>
        <v>3</v>
      </c>
      <c r="G904" s="17" t="s">
        <v>4510</v>
      </c>
      <c r="H904" s="17" t="s">
        <v>980</v>
      </c>
      <c r="I904" s="20">
        <v>1.5</v>
      </c>
      <c r="J904" s="17">
        <v>12</v>
      </c>
      <c r="K904" s="17">
        <f t="shared" si="707"/>
        <v>22813</v>
      </c>
      <c r="L904" s="17" t="s">
        <v>532</v>
      </c>
      <c r="M904" s="17" t="str">
        <f t="shared" si="711"/>
        <v>1:12500:10</v>
      </c>
      <c r="N904" s="16" t="str">
        <f t="shared" si="692"/>
        <v>10017:1</v>
      </c>
      <c r="O904" s="17">
        <f t="shared" si="694"/>
        <v>9</v>
      </c>
      <c r="P904" s="21" t="s">
        <v>4523</v>
      </c>
      <c r="Q904" s="21"/>
      <c r="R904" t="s">
        <v>4490</v>
      </c>
      <c r="T904" t="str">
        <f t="shared" si="712"/>
        <v>:1</v>
      </c>
      <c r="U904" t="str">
        <f t="shared" si="714"/>
        <v>骑士</v>
      </c>
      <c r="V904" t="s">
        <v>4510</v>
      </c>
      <c r="W904">
        <f>属性类型!G904</f>
        <v>10017</v>
      </c>
      <c r="X904">
        <v>1</v>
      </c>
    </row>
    <row r="905" customFormat="1" ht="16.5" spans="1:24">
      <c r="A905" s="17">
        <f t="shared" si="708"/>
        <v>22813</v>
      </c>
      <c r="B905" s="17">
        <f t="shared" si="704"/>
        <v>22800</v>
      </c>
      <c r="C905" s="17" t="str">
        <f t="shared" si="709"/>
        <v>2</v>
      </c>
      <c r="D905" s="12">
        <f t="shared" si="713"/>
        <v>20003</v>
      </c>
      <c r="E905" s="17">
        <f t="shared" si="710"/>
        <v>2</v>
      </c>
      <c r="F905" s="17">
        <f t="shared" si="693"/>
        <v>3</v>
      </c>
      <c r="G905" s="17" t="s">
        <v>4510</v>
      </c>
      <c r="H905" s="17" t="s">
        <v>980</v>
      </c>
      <c r="I905" s="20">
        <v>1.5</v>
      </c>
      <c r="J905" s="17">
        <v>13</v>
      </c>
      <c r="K905" s="17">
        <f t="shared" si="707"/>
        <v>22814</v>
      </c>
      <c r="L905" s="17" t="s">
        <v>561</v>
      </c>
      <c r="M905" s="17" t="str">
        <f t="shared" si="711"/>
        <v>1:12500:10</v>
      </c>
      <c r="N905" s="16" t="str">
        <f t="shared" si="692"/>
        <v>10017:1</v>
      </c>
      <c r="O905" s="17">
        <f t="shared" si="694"/>
        <v>9</v>
      </c>
      <c r="P905" s="21" t="s">
        <v>4524</v>
      </c>
      <c r="Q905" s="21"/>
      <c r="R905" t="s">
        <v>4490</v>
      </c>
      <c r="T905" t="str">
        <f t="shared" si="712"/>
        <v>:1</v>
      </c>
      <c r="U905" t="str">
        <f t="shared" si="714"/>
        <v>骑士</v>
      </c>
      <c r="V905" t="s">
        <v>4510</v>
      </c>
      <c r="W905">
        <f>属性类型!G905</f>
        <v>10017</v>
      </c>
      <c r="X905">
        <v>1</v>
      </c>
    </row>
    <row r="906" customFormat="1" ht="16.5" spans="1:24">
      <c r="A906" s="17">
        <f t="shared" si="708"/>
        <v>22814</v>
      </c>
      <c r="B906" s="17">
        <f t="shared" si="704"/>
        <v>22800</v>
      </c>
      <c r="C906" s="17" t="str">
        <f t="shared" si="709"/>
        <v>2</v>
      </c>
      <c r="D906" s="12">
        <f t="shared" si="713"/>
        <v>20003</v>
      </c>
      <c r="E906" s="17">
        <f t="shared" si="710"/>
        <v>2</v>
      </c>
      <c r="F906" s="17">
        <f t="shared" si="693"/>
        <v>3</v>
      </c>
      <c r="G906" s="17" t="s">
        <v>4510</v>
      </c>
      <c r="H906" s="17" t="s">
        <v>980</v>
      </c>
      <c r="I906" s="20">
        <v>1.5</v>
      </c>
      <c r="J906" s="17">
        <v>14</v>
      </c>
      <c r="K906" s="17">
        <f t="shared" si="707"/>
        <v>22815</v>
      </c>
      <c r="L906" s="17" t="s">
        <v>564</v>
      </c>
      <c r="M906" s="17" t="str">
        <f t="shared" si="711"/>
        <v>1:12500:10</v>
      </c>
      <c r="N906" s="16" t="str">
        <f t="shared" si="692"/>
        <v>10017:1</v>
      </c>
      <c r="O906" s="17">
        <f t="shared" si="694"/>
        <v>9</v>
      </c>
      <c r="P906" s="21" t="s">
        <v>4525</v>
      </c>
      <c r="Q906" s="21"/>
      <c r="R906" t="s">
        <v>4490</v>
      </c>
      <c r="T906" t="str">
        <f t="shared" si="712"/>
        <v>:1</v>
      </c>
      <c r="U906" t="str">
        <f t="shared" si="714"/>
        <v>骑士</v>
      </c>
      <c r="V906" t="s">
        <v>4510</v>
      </c>
      <c r="W906">
        <f>属性类型!G906</f>
        <v>10017</v>
      </c>
      <c r="X906">
        <v>1</v>
      </c>
    </row>
    <row r="907" customFormat="1" ht="16.5" spans="1:24">
      <c r="A907" s="17">
        <f t="shared" si="708"/>
        <v>22815</v>
      </c>
      <c r="B907" s="17">
        <f t="shared" si="704"/>
        <v>22800</v>
      </c>
      <c r="C907" s="17" t="str">
        <f t="shared" si="709"/>
        <v>2</v>
      </c>
      <c r="D907" s="12">
        <f t="shared" si="713"/>
        <v>20003</v>
      </c>
      <c r="E907" s="17">
        <f t="shared" si="710"/>
        <v>2</v>
      </c>
      <c r="F907" s="17">
        <f t="shared" si="693"/>
        <v>3</v>
      </c>
      <c r="G907" s="17" t="s">
        <v>4510</v>
      </c>
      <c r="H907" s="17" t="s">
        <v>980</v>
      </c>
      <c r="I907" s="20">
        <v>1.5</v>
      </c>
      <c r="J907" s="17">
        <v>15</v>
      </c>
      <c r="K907" s="17">
        <f t="shared" si="707"/>
        <v>22816</v>
      </c>
      <c r="L907" s="17" t="s">
        <v>630</v>
      </c>
      <c r="M907" s="17" t="str">
        <f t="shared" si="711"/>
        <v>1:12500:10</v>
      </c>
      <c r="N907" s="16" t="str">
        <f t="shared" ref="N907:N970" si="715">W907&amp;$W$2&amp;X907</f>
        <v>10017:1</v>
      </c>
      <c r="O907" s="17">
        <f t="shared" si="694"/>
        <v>9</v>
      </c>
      <c r="P907" s="21" t="s">
        <v>4526</v>
      </c>
      <c r="Q907" s="21"/>
      <c r="R907" t="s">
        <v>4490</v>
      </c>
      <c r="T907" t="str">
        <f t="shared" si="712"/>
        <v>:1</v>
      </c>
      <c r="U907" t="str">
        <f t="shared" si="714"/>
        <v>骑士</v>
      </c>
      <c r="V907" t="s">
        <v>4510</v>
      </c>
      <c r="W907">
        <f>属性类型!G907</f>
        <v>10017</v>
      </c>
      <c r="X907">
        <v>1</v>
      </c>
    </row>
    <row r="908" customFormat="1" ht="16.5" spans="1:24">
      <c r="A908" s="17">
        <f t="shared" si="708"/>
        <v>22816</v>
      </c>
      <c r="B908" s="17">
        <f t="shared" si="704"/>
        <v>22800</v>
      </c>
      <c r="C908" s="17" t="str">
        <f t="shared" si="709"/>
        <v>2</v>
      </c>
      <c r="D908" s="12">
        <f t="shared" si="713"/>
        <v>20003</v>
      </c>
      <c r="E908" s="17">
        <f t="shared" si="710"/>
        <v>2</v>
      </c>
      <c r="F908" s="17">
        <f t="shared" si="693"/>
        <v>3</v>
      </c>
      <c r="G908" s="17" t="s">
        <v>4510</v>
      </c>
      <c r="H908" s="17" t="s">
        <v>980</v>
      </c>
      <c r="I908" s="20">
        <v>1.5</v>
      </c>
      <c r="J908" s="17">
        <v>16</v>
      </c>
      <c r="K908" s="17">
        <f t="shared" si="707"/>
        <v>22817</v>
      </c>
      <c r="L908" s="17" t="s">
        <v>633</v>
      </c>
      <c r="M908" s="17" t="str">
        <f t="shared" si="711"/>
        <v>1:12500:10</v>
      </c>
      <c r="N908" s="16" t="str">
        <f t="shared" si="715"/>
        <v>10017:1</v>
      </c>
      <c r="O908" s="17">
        <f t="shared" si="694"/>
        <v>9</v>
      </c>
      <c r="P908" s="21" t="s">
        <v>4527</v>
      </c>
      <c r="Q908" s="21"/>
      <c r="R908" t="s">
        <v>4490</v>
      </c>
      <c r="T908" t="str">
        <f t="shared" si="712"/>
        <v>:1</v>
      </c>
      <c r="U908" t="str">
        <f t="shared" si="714"/>
        <v>骑士</v>
      </c>
      <c r="V908" t="s">
        <v>4510</v>
      </c>
      <c r="W908">
        <f>属性类型!G908</f>
        <v>10017</v>
      </c>
      <c r="X908">
        <v>1</v>
      </c>
    </row>
    <row r="909" customFormat="1" ht="16.5" spans="1:24">
      <c r="A909" s="17">
        <f t="shared" si="708"/>
        <v>22817</v>
      </c>
      <c r="B909" s="17">
        <f t="shared" si="704"/>
        <v>22800</v>
      </c>
      <c r="C909" s="17" t="str">
        <f t="shared" si="709"/>
        <v>2</v>
      </c>
      <c r="D909" s="12">
        <f t="shared" si="713"/>
        <v>20003</v>
      </c>
      <c r="E909" s="17">
        <f t="shared" si="710"/>
        <v>2</v>
      </c>
      <c r="F909" s="17">
        <f t="shared" si="693"/>
        <v>3</v>
      </c>
      <c r="G909" s="17" t="s">
        <v>4510</v>
      </c>
      <c r="H909" s="17" t="s">
        <v>980</v>
      </c>
      <c r="I909" s="20">
        <v>1.5</v>
      </c>
      <c r="J909" s="17">
        <v>17</v>
      </c>
      <c r="K909" s="17">
        <f t="shared" si="707"/>
        <v>22818</v>
      </c>
      <c r="L909" s="17" t="s">
        <v>637</v>
      </c>
      <c r="M909" s="17" t="str">
        <f t="shared" si="711"/>
        <v>1:12500:10</v>
      </c>
      <c r="N909" s="16" t="str">
        <f t="shared" si="715"/>
        <v>10017:1</v>
      </c>
      <c r="O909" s="17">
        <f t="shared" si="694"/>
        <v>9</v>
      </c>
      <c r="P909" s="21" t="s">
        <v>4528</v>
      </c>
      <c r="Q909" s="21"/>
      <c r="R909" t="s">
        <v>4490</v>
      </c>
      <c r="T909" t="str">
        <f t="shared" si="712"/>
        <v>:1</v>
      </c>
      <c r="U909" t="str">
        <f t="shared" si="714"/>
        <v>骑士</v>
      </c>
      <c r="V909" t="s">
        <v>4510</v>
      </c>
      <c r="W909">
        <f>属性类型!G909</f>
        <v>10017</v>
      </c>
      <c r="X909">
        <v>1</v>
      </c>
    </row>
    <row r="910" customFormat="1" ht="16.5" spans="1:24">
      <c r="A910" s="17">
        <f t="shared" si="708"/>
        <v>22818</v>
      </c>
      <c r="B910" s="17">
        <f t="shared" si="704"/>
        <v>22800</v>
      </c>
      <c r="C910" s="17" t="str">
        <f t="shared" si="709"/>
        <v>2</v>
      </c>
      <c r="D910" s="12">
        <f t="shared" si="713"/>
        <v>20003</v>
      </c>
      <c r="E910" s="17">
        <f t="shared" si="710"/>
        <v>2</v>
      </c>
      <c r="F910" s="17">
        <f t="shared" si="693"/>
        <v>3</v>
      </c>
      <c r="G910" s="17" t="s">
        <v>4510</v>
      </c>
      <c r="H910" s="17" t="s">
        <v>980</v>
      </c>
      <c r="I910" s="20">
        <v>1.5</v>
      </c>
      <c r="J910" s="17">
        <v>18</v>
      </c>
      <c r="K910" s="17">
        <f t="shared" si="707"/>
        <v>22819</v>
      </c>
      <c r="L910" s="17" t="s">
        <v>641</v>
      </c>
      <c r="M910" s="17" t="str">
        <f t="shared" si="711"/>
        <v>1:12500:10</v>
      </c>
      <c r="N910" s="16" t="str">
        <f t="shared" si="715"/>
        <v>10017:1</v>
      </c>
      <c r="O910" s="17">
        <f t="shared" si="694"/>
        <v>9</v>
      </c>
      <c r="P910" s="21" t="s">
        <v>4529</v>
      </c>
      <c r="Q910" s="21"/>
      <c r="R910" t="s">
        <v>4490</v>
      </c>
      <c r="T910" t="str">
        <f t="shared" si="712"/>
        <v>:1</v>
      </c>
      <c r="U910" t="str">
        <f t="shared" si="714"/>
        <v>骑士</v>
      </c>
      <c r="V910" t="s">
        <v>4510</v>
      </c>
      <c r="W910">
        <f>属性类型!G910</f>
        <v>10017</v>
      </c>
      <c r="X910">
        <v>1</v>
      </c>
    </row>
    <row r="911" customFormat="1" ht="16.5" spans="1:24">
      <c r="A911" s="17">
        <f t="shared" si="708"/>
        <v>22819</v>
      </c>
      <c r="B911" s="17">
        <f t="shared" si="704"/>
        <v>22800</v>
      </c>
      <c r="C911" s="17" t="str">
        <f t="shared" si="709"/>
        <v>2</v>
      </c>
      <c r="D911" s="12">
        <f t="shared" si="713"/>
        <v>20003</v>
      </c>
      <c r="E911" s="17">
        <f t="shared" si="710"/>
        <v>2</v>
      </c>
      <c r="F911" s="17">
        <f t="shared" si="693"/>
        <v>3</v>
      </c>
      <c r="G911" s="17" t="s">
        <v>4510</v>
      </c>
      <c r="H911" s="17" t="s">
        <v>980</v>
      </c>
      <c r="I911" s="20">
        <v>1.5</v>
      </c>
      <c r="J911" s="17">
        <v>19</v>
      </c>
      <c r="K911" s="17">
        <f t="shared" si="707"/>
        <v>22820</v>
      </c>
      <c r="L911" s="17" t="s">
        <v>645</v>
      </c>
      <c r="M911" s="17" t="str">
        <f t="shared" si="711"/>
        <v>1:12500:10</v>
      </c>
      <c r="N911" s="16" t="str">
        <f t="shared" si="715"/>
        <v>10017:1</v>
      </c>
      <c r="O911" s="17">
        <f t="shared" si="694"/>
        <v>9</v>
      </c>
      <c r="P911" s="21" t="s">
        <v>4530</v>
      </c>
      <c r="Q911" s="21"/>
      <c r="R911" t="s">
        <v>4490</v>
      </c>
      <c r="T911" t="str">
        <f t="shared" si="712"/>
        <v>:1</v>
      </c>
      <c r="U911" t="str">
        <f t="shared" si="714"/>
        <v>骑士</v>
      </c>
      <c r="V911" t="s">
        <v>4510</v>
      </c>
      <c r="W911">
        <f>属性类型!G911</f>
        <v>10017</v>
      </c>
      <c r="X911">
        <v>1</v>
      </c>
    </row>
    <row r="912" customFormat="1" ht="16.5" spans="1:24">
      <c r="A912" s="17">
        <f t="shared" si="708"/>
        <v>22820</v>
      </c>
      <c r="B912" s="17">
        <f t="shared" si="704"/>
        <v>22800</v>
      </c>
      <c r="C912" s="17" t="str">
        <f t="shared" si="709"/>
        <v>2</v>
      </c>
      <c r="D912" s="12">
        <f t="shared" si="713"/>
        <v>20003</v>
      </c>
      <c r="E912" s="17">
        <f t="shared" si="710"/>
        <v>2</v>
      </c>
      <c r="F912" s="17">
        <f t="shared" ref="F912:F975" si="716">MID(B912,2,1)+1</f>
        <v>3</v>
      </c>
      <c r="G912" s="17" t="s">
        <v>4510</v>
      </c>
      <c r="H912" s="17" t="s">
        <v>980</v>
      </c>
      <c r="I912" s="20">
        <v>1.5</v>
      </c>
      <c r="J912" s="17">
        <v>20</v>
      </c>
      <c r="K912" s="17">
        <v>0</v>
      </c>
      <c r="L912" s="17">
        <v>0</v>
      </c>
      <c r="M912" s="17" t="str">
        <f t="shared" si="711"/>
        <v>1:12500:10</v>
      </c>
      <c r="N912" s="16" t="str">
        <f t="shared" si="715"/>
        <v>10017:1</v>
      </c>
      <c r="O912" s="17">
        <f t="shared" ref="O912:O975" si="717">MID(A912,3,1)+1</f>
        <v>9</v>
      </c>
      <c r="P912" s="21" t="s">
        <v>4530</v>
      </c>
      <c r="Q912" s="21"/>
      <c r="R912" t="s">
        <v>4490</v>
      </c>
      <c r="T912" t="str">
        <f t="shared" si="712"/>
        <v>:1</v>
      </c>
      <c r="U912" t="str">
        <f t="shared" si="714"/>
        <v>骑士</v>
      </c>
      <c r="V912" t="s">
        <v>4510</v>
      </c>
      <c r="W912">
        <f>属性类型!G912</f>
        <v>10017</v>
      </c>
      <c r="X912">
        <v>1</v>
      </c>
    </row>
    <row r="913" customFormat="1" ht="16.5" spans="1:24">
      <c r="A913" s="18">
        <f>A892+100</f>
        <v>22900</v>
      </c>
      <c r="B913" s="18">
        <f t="shared" si="704"/>
        <v>22900</v>
      </c>
      <c r="C913" s="18" t="str">
        <f t="shared" si="709"/>
        <v>2</v>
      </c>
      <c r="D913" s="12">
        <f t="shared" si="713"/>
        <v>20003</v>
      </c>
      <c r="E913" s="17">
        <v>2</v>
      </c>
      <c r="F913" s="18">
        <f t="shared" si="716"/>
        <v>3</v>
      </c>
      <c r="G913" s="18" t="s">
        <v>4531</v>
      </c>
      <c r="H913" s="18" t="s">
        <v>980</v>
      </c>
      <c r="I913" s="20">
        <v>1.5</v>
      </c>
      <c r="J913" s="18">
        <v>0</v>
      </c>
      <c r="K913" s="18">
        <f t="shared" ref="K913:K938" si="718">A914</f>
        <v>22901</v>
      </c>
      <c r="L913" s="18" t="s">
        <v>206</v>
      </c>
      <c r="M913" s="18" t="s">
        <v>773</v>
      </c>
      <c r="N913" s="16" t="str">
        <f t="shared" si="715"/>
        <v>10018:1</v>
      </c>
      <c r="O913" s="18">
        <f t="shared" si="717"/>
        <v>10</v>
      </c>
      <c r="P913" s="21" t="s">
        <v>4532</v>
      </c>
      <c r="Q913" s="21"/>
      <c r="R913" t="s">
        <v>4490</v>
      </c>
      <c r="T913" t="str">
        <f>RIGHT(N913,1)</f>
        <v>1</v>
      </c>
      <c r="U913" t="str">
        <f t="shared" si="714"/>
        <v>骑士</v>
      </c>
      <c r="V913" t="s">
        <v>4531</v>
      </c>
      <c r="W913">
        <f>属性类型!G913</f>
        <v>10018</v>
      </c>
      <c r="X913">
        <v>1</v>
      </c>
    </row>
    <row r="914" customFormat="1" ht="16.5" spans="1:24">
      <c r="A914" s="17">
        <f t="shared" ref="A914:A933" si="719">A913+1</f>
        <v>22901</v>
      </c>
      <c r="B914" s="17">
        <f t="shared" si="704"/>
        <v>22900</v>
      </c>
      <c r="C914" s="17" t="str">
        <f t="shared" si="709"/>
        <v>2</v>
      </c>
      <c r="D914" s="12">
        <f t="shared" si="713"/>
        <v>20003</v>
      </c>
      <c r="E914" s="17">
        <f t="shared" ref="E914:E933" si="720">E913</f>
        <v>2</v>
      </c>
      <c r="F914" s="17">
        <f t="shared" si="716"/>
        <v>3</v>
      </c>
      <c r="G914" s="17" t="s">
        <v>4531</v>
      </c>
      <c r="H914" s="17" t="s">
        <v>980</v>
      </c>
      <c r="I914" s="20">
        <v>1.5</v>
      </c>
      <c r="J914" s="17">
        <v>1</v>
      </c>
      <c r="K914" s="17">
        <f t="shared" si="718"/>
        <v>22902</v>
      </c>
      <c r="L914" s="17" t="s">
        <v>211</v>
      </c>
      <c r="M914" s="17" t="str">
        <f t="shared" ref="M914:M933" si="721">M913</f>
        <v>1:12600:10</v>
      </c>
      <c r="N914" s="16" t="str">
        <f t="shared" si="715"/>
        <v>10018:1</v>
      </c>
      <c r="O914" s="17">
        <f t="shared" si="717"/>
        <v>10</v>
      </c>
      <c r="P914" s="21" t="s">
        <v>4533</v>
      </c>
      <c r="Q914" s="21"/>
      <c r="R914" t="s">
        <v>4490</v>
      </c>
      <c r="T914" t="str">
        <f t="shared" ref="T914:T957" si="722">RIGHT(N914,2)</f>
        <v>:1</v>
      </c>
      <c r="U914" t="str">
        <f t="shared" si="714"/>
        <v>骑士</v>
      </c>
      <c r="V914" t="s">
        <v>4531</v>
      </c>
      <c r="W914">
        <f>属性类型!G914</f>
        <v>10018</v>
      </c>
      <c r="X914">
        <v>1</v>
      </c>
    </row>
    <row r="915" customFormat="1" ht="16.5" spans="1:24">
      <c r="A915" s="17">
        <f t="shared" si="719"/>
        <v>22902</v>
      </c>
      <c r="B915" s="17">
        <f t="shared" si="704"/>
        <v>22900</v>
      </c>
      <c r="C915" s="17" t="str">
        <f t="shared" si="709"/>
        <v>2</v>
      </c>
      <c r="D915" s="12">
        <f t="shared" si="713"/>
        <v>20003</v>
      </c>
      <c r="E915" s="17">
        <f t="shared" si="720"/>
        <v>2</v>
      </c>
      <c r="F915" s="17">
        <f t="shared" si="716"/>
        <v>3</v>
      </c>
      <c r="G915" s="17" t="s">
        <v>4531</v>
      </c>
      <c r="H915" s="17" t="s">
        <v>980</v>
      </c>
      <c r="I915" s="20">
        <v>1.5</v>
      </c>
      <c r="J915" s="17">
        <v>2</v>
      </c>
      <c r="K915" s="17">
        <f t="shared" si="718"/>
        <v>22903</v>
      </c>
      <c r="L915" s="17" t="s">
        <v>215</v>
      </c>
      <c r="M915" s="17" t="str">
        <f t="shared" si="721"/>
        <v>1:12600:10</v>
      </c>
      <c r="N915" s="16" t="str">
        <f t="shared" si="715"/>
        <v>10018:1</v>
      </c>
      <c r="O915" s="17">
        <f t="shared" si="717"/>
        <v>10</v>
      </c>
      <c r="P915" s="21" t="s">
        <v>4534</v>
      </c>
      <c r="Q915" s="21"/>
      <c r="R915" t="s">
        <v>4490</v>
      </c>
      <c r="T915" t="str">
        <f t="shared" si="722"/>
        <v>:1</v>
      </c>
      <c r="U915" t="str">
        <f t="shared" si="714"/>
        <v>骑士</v>
      </c>
      <c r="V915" t="s">
        <v>4531</v>
      </c>
      <c r="W915">
        <f>属性类型!G915</f>
        <v>10018</v>
      </c>
      <c r="X915">
        <v>1</v>
      </c>
    </row>
    <row r="916" customFormat="1" ht="16.5" spans="1:24">
      <c r="A916" s="17">
        <f t="shared" si="719"/>
        <v>22903</v>
      </c>
      <c r="B916" s="17">
        <f t="shared" si="704"/>
        <v>22900</v>
      </c>
      <c r="C916" s="17" t="str">
        <f t="shared" si="709"/>
        <v>2</v>
      </c>
      <c r="D916" s="12">
        <f t="shared" si="713"/>
        <v>20003</v>
      </c>
      <c r="E916" s="17">
        <f t="shared" si="720"/>
        <v>2</v>
      </c>
      <c r="F916" s="17">
        <f t="shared" si="716"/>
        <v>3</v>
      </c>
      <c r="G916" s="17" t="s">
        <v>4531</v>
      </c>
      <c r="H916" s="17" t="s">
        <v>980</v>
      </c>
      <c r="I916" s="20">
        <v>1.5</v>
      </c>
      <c r="J916" s="17">
        <v>3</v>
      </c>
      <c r="K916" s="17">
        <f t="shared" si="718"/>
        <v>22904</v>
      </c>
      <c r="L916" s="17" t="s">
        <v>218</v>
      </c>
      <c r="M916" s="17" t="str">
        <f t="shared" si="721"/>
        <v>1:12600:10</v>
      </c>
      <c r="N916" s="16" t="str">
        <f t="shared" si="715"/>
        <v>10018:1</v>
      </c>
      <c r="O916" s="17">
        <f t="shared" si="717"/>
        <v>10</v>
      </c>
      <c r="P916" s="21" t="s">
        <v>4535</v>
      </c>
      <c r="Q916" s="21"/>
      <c r="R916" t="s">
        <v>4490</v>
      </c>
      <c r="T916" t="str">
        <f t="shared" si="722"/>
        <v>:1</v>
      </c>
      <c r="U916" t="str">
        <f t="shared" si="714"/>
        <v>骑士</v>
      </c>
      <c r="V916" t="s">
        <v>4531</v>
      </c>
      <c r="W916">
        <f>属性类型!G916</f>
        <v>10018</v>
      </c>
      <c r="X916">
        <v>1</v>
      </c>
    </row>
    <row r="917" customFormat="1" ht="16.5" spans="1:24">
      <c r="A917" s="17">
        <f t="shared" si="719"/>
        <v>22904</v>
      </c>
      <c r="B917" s="17">
        <f t="shared" si="704"/>
        <v>22900</v>
      </c>
      <c r="C917" s="17" t="str">
        <f t="shared" si="709"/>
        <v>2</v>
      </c>
      <c r="D917" s="12">
        <f t="shared" si="713"/>
        <v>20003</v>
      </c>
      <c r="E917" s="17">
        <f t="shared" si="720"/>
        <v>2</v>
      </c>
      <c r="F917" s="17">
        <f t="shared" si="716"/>
        <v>3</v>
      </c>
      <c r="G917" s="17" t="s">
        <v>4531</v>
      </c>
      <c r="H917" s="17" t="s">
        <v>980</v>
      </c>
      <c r="I917" s="20">
        <v>1.5</v>
      </c>
      <c r="J917" s="17">
        <v>4</v>
      </c>
      <c r="K917" s="17">
        <f t="shared" si="718"/>
        <v>22905</v>
      </c>
      <c r="L917" s="17" t="s">
        <v>221</v>
      </c>
      <c r="M917" s="17" t="str">
        <f t="shared" si="721"/>
        <v>1:12600:10</v>
      </c>
      <c r="N917" s="16" t="str">
        <f t="shared" si="715"/>
        <v>10018:1</v>
      </c>
      <c r="O917" s="17">
        <f t="shared" si="717"/>
        <v>10</v>
      </c>
      <c r="P917" s="21" t="s">
        <v>4536</v>
      </c>
      <c r="Q917" s="21"/>
      <c r="R917" t="s">
        <v>4490</v>
      </c>
      <c r="T917" t="str">
        <f t="shared" si="722"/>
        <v>:1</v>
      </c>
      <c r="U917" t="str">
        <f t="shared" si="714"/>
        <v>骑士</v>
      </c>
      <c r="V917" t="s">
        <v>4531</v>
      </c>
      <c r="W917">
        <f>属性类型!G917</f>
        <v>10018</v>
      </c>
      <c r="X917">
        <v>1</v>
      </c>
    </row>
    <row r="918" customFormat="1" ht="16.5" spans="1:24">
      <c r="A918" s="17">
        <f t="shared" si="719"/>
        <v>22905</v>
      </c>
      <c r="B918" s="17">
        <f t="shared" si="704"/>
        <v>22900</v>
      </c>
      <c r="C918" s="17" t="str">
        <f t="shared" si="709"/>
        <v>2</v>
      </c>
      <c r="D918" s="12">
        <f t="shared" si="713"/>
        <v>20003</v>
      </c>
      <c r="E918" s="17">
        <f t="shared" si="720"/>
        <v>2</v>
      </c>
      <c r="F918" s="17">
        <f t="shared" si="716"/>
        <v>3</v>
      </c>
      <c r="G918" s="17" t="s">
        <v>4531</v>
      </c>
      <c r="H918" s="17" t="s">
        <v>980</v>
      </c>
      <c r="I918" s="20">
        <v>1.5</v>
      </c>
      <c r="J918" s="17">
        <v>5</v>
      </c>
      <c r="K918" s="17">
        <f t="shared" si="718"/>
        <v>22906</v>
      </c>
      <c r="L918" s="17" t="s">
        <v>224</v>
      </c>
      <c r="M918" s="17" t="str">
        <f t="shared" si="721"/>
        <v>1:12600:10</v>
      </c>
      <c r="N918" s="16" t="str">
        <f t="shared" si="715"/>
        <v>10018:1</v>
      </c>
      <c r="O918" s="17">
        <f t="shared" si="717"/>
        <v>10</v>
      </c>
      <c r="P918" s="21" t="s">
        <v>4537</v>
      </c>
      <c r="Q918" s="21"/>
      <c r="R918" t="s">
        <v>4490</v>
      </c>
      <c r="T918" t="str">
        <f t="shared" si="722"/>
        <v>:1</v>
      </c>
      <c r="U918" t="str">
        <f t="shared" si="714"/>
        <v>骑士</v>
      </c>
      <c r="V918" t="s">
        <v>4531</v>
      </c>
      <c r="W918">
        <f>属性类型!G918</f>
        <v>10018</v>
      </c>
      <c r="X918">
        <v>1</v>
      </c>
    </row>
    <row r="919" customFormat="1" ht="16.5" spans="1:24">
      <c r="A919" s="17">
        <f t="shared" si="719"/>
        <v>22906</v>
      </c>
      <c r="B919" s="17">
        <f t="shared" si="704"/>
        <v>22900</v>
      </c>
      <c r="C919" s="17" t="str">
        <f t="shared" si="709"/>
        <v>2</v>
      </c>
      <c r="D919" s="12">
        <f t="shared" si="713"/>
        <v>20003</v>
      </c>
      <c r="E919" s="17">
        <f t="shared" si="720"/>
        <v>2</v>
      </c>
      <c r="F919" s="17">
        <f t="shared" si="716"/>
        <v>3</v>
      </c>
      <c r="G919" s="17" t="s">
        <v>4531</v>
      </c>
      <c r="H919" s="17" t="s">
        <v>980</v>
      </c>
      <c r="I919" s="20">
        <v>1.5</v>
      </c>
      <c r="J919" s="17">
        <v>6</v>
      </c>
      <c r="K919" s="17">
        <f t="shared" si="718"/>
        <v>22907</v>
      </c>
      <c r="L919" s="17" t="s">
        <v>227</v>
      </c>
      <c r="M919" s="17" t="str">
        <f t="shared" si="721"/>
        <v>1:12600:10</v>
      </c>
      <c r="N919" s="16" t="str">
        <f t="shared" si="715"/>
        <v>10018:1</v>
      </c>
      <c r="O919" s="17">
        <f t="shared" si="717"/>
        <v>10</v>
      </c>
      <c r="P919" s="21" t="s">
        <v>4538</v>
      </c>
      <c r="Q919" s="21"/>
      <c r="R919" t="s">
        <v>4490</v>
      </c>
      <c r="T919" t="str">
        <f t="shared" si="722"/>
        <v>:1</v>
      </c>
      <c r="U919" t="str">
        <f t="shared" si="714"/>
        <v>骑士</v>
      </c>
      <c r="V919" t="s">
        <v>4531</v>
      </c>
      <c r="W919">
        <f>属性类型!G919</f>
        <v>10018</v>
      </c>
      <c r="X919">
        <v>1</v>
      </c>
    </row>
    <row r="920" customFormat="1" ht="16.5" spans="1:24">
      <c r="A920" s="17">
        <f t="shared" si="719"/>
        <v>22907</v>
      </c>
      <c r="B920" s="17">
        <f t="shared" si="704"/>
        <v>22900</v>
      </c>
      <c r="C920" s="17" t="str">
        <f t="shared" si="709"/>
        <v>2</v>
      </c>
      <c r="D920" s="12">
        <f t="shared" si="713"/>
        <v>20003</v>
      </c>
      <c r="E920" s="17">
        <f t="shared" si="720"/>
        <v>2</v>
      </c>
      <c r="F920" s="17">
        <f t="shared" si="716"/>
        <v>3</v>
      </c>
      <c r="G920" s="17" t="s">
        <v>4531</v>
      </c>
      <c r="H920" s="17" t="s">
        <v>980</v>
      </c>
      <c r="I920" s="20">
        <v>1.5</v>
      </c>
      <c r="J920" s="17">
        <v>7</v>
      </c>
      <c r="K920" s="17">
        <f t="shared" si="718"/>
        <v>22908</v>
      </c>
      <c r="L920" s="17" t="s">
        <v>230</v>
      </c>
      <c r="M920" s="17" t="str">
        <f t="shared" si="721"/>
        <v>1:12600:10</v>
      </c>
      <c r="N920" s="16" t="str">
        <f t="shared" si="715"/>
        <v>10018:1</v>
      </c>
      <c r="O920" s="17">
        <f t="shared" si="717"/>
        <v>10</v>
      </c>
      <c r="P920" s="21" t="s">
        <v>4539</v>
      </c>
      <c r="Q920" s="21"/>
      <c r="R920" t="s">
        <v>4490</v>
      </c>
      <c r="T920" t="str">
        <f t="shared" si="722"/>
        <v>:1</v>
      </c>
      <c r="U920" t="str">
        <f t="shared" si="714"/>
        <v>骑士</v>
      </c>
      <c r="V920" t="s">
        <v>4531</v>
      </c>
      <c r="W920">
        <f>属性类型!G920</f>
        <v>10018</v>
      </c>
      <c r="X920">
        <v>1</v>
      </c>
    </row>
    <row r="921" customFormat="1" ht="16.5" spans="1:24">
      <c r="A921" s="17">
        <f t="shared" si="719"/>
        <v>22908</v>
      </c>
      <c r="B921" s="17">
        <f t="shared" si="704"/>
        <v>22900</v>
      </c>
      <c r="C921" s="17" t="str">
        <f t="shared" si="709"/>
        <v>2</v>
      </c>
      <c r="D921" s="12">
        <f t="shared" si="713"/>
        <v>20003</v>
      </c>
      <c r="E921" s="17">
        <f t="shared" si="720"/>
        <v>2</v>
      </c>
      <c r="F921" s="17">
        <f t="shared" si="716"/>
        <v>3</v>
      </c>
      <c r="G921" s="17" t="s">
        <v>4531</v>
      </c>
      <c r="H921" s="17" t="s">
        <v>980</v>
      </c>
      <c r="I921" s="20">
        <v>1.5</v>
      </c>
      <c r="J921" s="17">
        <v>8</v>
      </c>
      <c r="K921" s="17">
        <f t="shared" si="718"/>
        <v>22909</v>
      </c>
      <c r="L921" s="17" t="s">
        <v>233</v>
      </c>
      <c r="M921" s="17" t="str">
        <f t="shared" si="721"/>
        <v>1:12600:10</v>
      </c>
      <c r="N921" s="16" t="str">
        <f t="shared" si="715"/>
        <v>10018:1</v>
      </c>
      <c r="O921" s="17">
        <f t="shared" si="717"/>
        <v>10</v>
      </c>
      <c r="P921" s="21" t="s">
        <v>4540</v>
      </c>
      <c r="Q921" s="21"/>
      <c r="R921" t="s">
        <v>4490</v>
      </c>
      <c r="T921" t="str">
        <f t="shared" si="722"/>
        <v>:1</v>
      </c>
      <c r="U921" t="str">
        <f t="shared" si="714"/>
        <v>骑士</v>
      </c>
      <c r="V921" t="s">
        <v>4531</v>
      </c>
      <c r="W921">
        <f>属性类型!G921</f>
        <v>10018</v>
      </c>
      <c r="X921">
        <v>1</v>
      </c>
    </row>
    <row r="922" customFormat="1" ht="16.5" spans="1:24">
      <c r="A922" s="17">
        <f t="shared" si="719"/>
        <v>22909</v>
      </c>
      <c r="B922" s="17">
        <f t="shared" si="704"/>
        <v>22900</v>
      </c>
      <c r="C922" s="17" t="str">
        <f t="shared" si="709"/>
        <v>2</v>
      </c>
      <c r="D922" s="12">
        <f t="shared" si="713"/>
        <v>20003</v>
      </c>
      <c r="E922" s="17">
        <f t="shared" si="720"/>
        <v>2</v>
      </c>
      <c r="F922" s="17">
        <f t="shared" si="716"/>
        <v>3</v>
      </c>
      <c r="G922" s="17" t="s">
        <v>4531</v>
      </c>
      <c r="H922" s="17" t="s">
        <v>980</v>
      </c>
      <c r="I922" s="20">
        <v>1.5</v>
      </c>
      <c r="J922" s="17">
        <v>9</v>
      </c>
      <c r="K922" s="17">
        <f t="shared" si="718"/>
        <v>22910</v>
      </c>
      <c r="L922" s="17" t="s">
        <v>236</v>
      </c>
      <c r="M922" s="17" t="str">
        <f t="shared" si="721"/>
        <v>1:12600:10</v>
      </c>
      <c r="N922" s="16" t="str">
        <f t="shared" si="715"/>
        <v>10018:1</v>
      </c>
      <c r="O922" s="17">
        <f t="shared" si="717"/>
        <v>10</v>
      </c>
      <c r="P922" s="21" t="s">
        <v>4541</v>
      </c>
      <c r="Q922" s="21"/>
      <c r="R922" t="s">
        <v>4490</v>
      </c>
      <c r="T922" t="str">
        <f t="shared" si="722"/>
        <v>:1</v>
      </c>
      <c r="U922" t="str">
        <f t="shared" si="714"/>
        <v>骑士</v>
      </c>
      <c r="V922" t="s">
        <v>4531</v>
      </c>
      <c r="W922">
        <f>属性类型!G922</f>
        <v>10018</v>
      </c>
      <c r="X922">
        <v>1</v>
      </c>
    </row>
    <row r="923" customFormat="1" ht="16.5" spans="1:24">
      <c r="A923" s="17">
        <f t="shared" si="719"/>
        <v>22910</v>
      </c>
      <c r="B923" s="17">
        <f t="shared" si="704"/>
        <v>22900</v>
      </c>
      <c r="C923" s="17" t="str">
        <f t="shared" si="709"/>
        <v>2</v>
      </c>
      <c r="D923" s="12">
        <f t="shared" si="713"/>
        <v>20003</v>
      </c>
      <c r="E923" s="17">
        <f t="shared" si="720"/>
        <v>2</v>
      </c>
      <c r="F923" s="17">
        <f t="shared" si="716"/>
        <v>3</v>
      </c>
      <c r="G923" s="17" t="s">
        <v>4531</v>
      </c>
      <c r="H923" s="17" t="s">
        <v>980</v>
      </c>
      <c r="I923" s="20">
        <v>1.5</v>
      </c>
      <c r="J923" s="17">
        <v>10</v>
      </c>
      <c r="K923" s="17">
        <f t="shared" si="718"/>
        <v>22911</v>
      </c>
      <c r="L923" s="17" t="s">
        <v>238</v>
      </c>
      <c r="M923" s="17" t="str">
        <f t="shared" si="721"/>
        <v>1:12600:10</v>
      </c>
      <c r="N923" s="16" t="str">
        <f t="shared" si="715"/>
        <v>10018:1</v>
      </c>
      <c r="O923" s="17">
        <f t="shared" si="717"/>
        <v>10</v>
      </c>
      <c r="P923" s="21" t="s">
        <v>4542</v>
      </c>
      <c r="Q923" s="21"/>
      <c r="R923" t="s">
        <v>4490</v>
      </c>
      <c r="T923" t="str">
        <f t="shared" si="722"/>
        <v>:1</v>
      </c>
      <c r="U923" t="str">
        <f t="shared" si="714"/>
        <v>骑士</v>
      </c>
      <c r="V923" t="s">
        <v>4531</v>
      </c>
      <c r="W923">
        <f>属性类型!G923</f>
        <v>10018</v>
      </c>
      <c r="X923">
        <v>1</v>
      </c>
    </row>
    <row r="924" ht="16.5" spans="1:24">
      <c r="A924" s="17">
        <f t="shared" si="719"/>
        <v>22911</v>
      </c>
      <c r="B924" s="17">
        <f t="shared" si="704"/>
        <v>22900</v>
      </c>
      <c r="C924" s="17" t="str">
        <f t="shared" si="709"/>
        <v>2</v>
      </c>
      <c r="D924" s="12">
        <f t="shared" si="713"/>
        <v>20003</v>
      </c>
      <c r="E924" s="17">
        <f t="shared" si="720"/>
        <v>2</v>
      </c>
      <c r="F924" s="17">
        <f t="shared" si="716"/>
        <v>3</v>
      </c>
      <c r="G924" s="17" t="s">
        <v>4531</v>
      </c>
      <c r="H924" s="17" t="s">
        <v>980</v>
      </c>
      <c r="I924" s="20">
        <v>1.5</v>
      </c>
      <c r="J924" s="17">
        <v>11</v>
      </c>
      <c r="K924" s="17">
        <f t="shared" si="718"/>
        <v>22912</v>
      </c>
      <c r="L924" s="17" t="s">
        <v>529</v>
      </c>
      <c r="M924" s="17" t="str">
        <f t="shared" si="721"/>
        <v>1:12600:10</v>
      </c>
      <c r="N924" s="16" t="str">
        <f t="shared" si="715"/>
        <v>10018:1</v>
      </c>
      <c r="O924" s="17">
        <f t="shared" si="717"/>
        <v>10</v>
      </c>
      <c r="P924" s="21" t="s">
        <v>4543</v>
      </c>
      <c r="Q924" s="21"/>
      <c r="R924" t="s">
        <v>4490</v>
      </c>
      <c r="T924" t="str">
        <f t="shared" si="722"/>
        <v>:1</v>
      </c>
      <c r="U924" t="str">
        <f t="shared" si="714"/>
        <v>骑士</v>
      </c>
      <c r="V924" t="s">
        <v>4531</v>
      </c>
      <c r="W924">
        <f>属性类型!G924</f>
        <v>10018</v>
      </c>
      <c r="X924">
        <v>1</v>
      </c>
    </row>
    <row r="925" ht="16.5" spans="1:24">
      <c r="A925" s="17">
        <f t="shared" si="719"/>
        <v>22912</v>
      </c>
      <c r="B925" s="17">
        <f t="shared" si="704"/>
        <v>22900</v>
      </c>
      <c r="C925" s="17" t="str">
        <f t="shared" si="709"/>
        <v>2</v>
      </c>
      <c r="D925" s="12">
        <f t="shared" si="713"/>
        <v>20003</v>
      </c>
      <c r="E925" s="17">
        <f t="shared" si="720"/>
        <v>2</v>
      </c>
      <c r="F925" s="17">
        <f t="shared" si="716"/>
        <v>3</v>
      </c>
      <c r="G925" s="17" t="s">
        <v>4531</v>
      </c>
      <c r="H925" s="17" t="s">
        <v>980</v>
      </c>
      <c r="I925" s="20">
        <v>1.5</v>
      </c>
      <c r="J925" s="17">
        <v>12</v>
      </c>
      <c r="K925" s="17">
        <f t="shared" si="718"/>
        <v>22913</v>
      </c>
      <c r="L925" s="17" t="s">
        <v>532</v>
      </c>
      <c r="M925" s="17" t="str">
        <f t="shared" si="721"/>
        <v>1:12600:10</v>
      </c>
      <c r="N925" s="16" t="str">
        <f t="shared" si="715"/>
        <v>10018:1</v>
      </c>
      <c r="O925" s="17">
        <f t="shared" si="717"/>
        <v>10</v>
      </c>
      <c r="P925" s="21" t="s">
        <v>4544</v>
      </c>
      <c r="Q925" s="21"/>
      <c r="R925" t="s">
        <v>4490</v>
      </c>
      <c r="T925" t="str">
        <f t="shared" si="722"/>
        <v>:1</v>
      </c>
      <c r="U925" t="str">
        <f t="shared" si="714"/>
        <v>骑士</v>
      </c>
      <c r="V925" t="s">
        <v>4531</v>
      </c>
      <c r="W925">
        <f>属性类型!G925</f>
        <v>10018</v>
      </c>
      <c r="X925">
        <v>1</v>
      </c>
    </row>
    <row r="926" ht="16.5" spans="1:24">
      <c r="A926" s="17">
        <f t="shared" si="719"/>
        <v>22913</v>
      </c>
      <c r="B926" s="17">
        <f t="shared" si="704"/>
        <v>22900</v>
      </c>
      <c r="C926" s="17" t="str">
        <f t="shared" si="709"/>
        <v>2</v>
      </c>
      <c r="D926" s="12">
        <f t="shared" si="713"/>
        <v>20003</v>
      </c>
      <c r="E926" s="17">
        <f t="shared" si="720"/>
        <v>2</v>
      </c>
      <c r="F926" s="17">
        <f t="shared" si="716"/>
        <v>3</v>
      </c>
      <c r="G926" s="17" t="s">
        <v>4531</v>
      </c>
      <c r="H926" s="17" t="s">
        <v>980</v>
      </c>
      <c r="I926" s="20">
        <v>1.5</v>
      </c>
      <c r="J926" s="17">
        <v>13</v>
      </c>
      <c r="K926" s="17">
        <f t="shared" si="718"/>
        <v>22914</v>
      </c>
      <c r="L926" s="17" t="s">
        <v>561</v>
      </c>
      <c r="M926" s="17" t="str">
        <f t="shared" si="721"/>
        <v>1:12600:10</v>
      </c>
      <c r="N926" s="16" t="str">
        <f t="shared" si="715"/>
        <v>10018:1</v>
      </c>
      <c r="O926" s="17">
        <f t="shared" si="717"/>
        <v>10</v>
      </c>
      <c r="P926" s="21" t="s">
        <v>4545</v>
      </c>
      <c r="Q926" s="21"/>
      <c r="R926" t="s">
        <v>4490</v>
      </c>
      <c r="T926" t="str">
        <f t="shared" si="722"/>
        <v>:1</v>
      </c>
      <c r="U926" t="str">
        <f t="shared" si="714"/>
        <v>骑士</v>
      </c>
      <c r="V926" t="s">
        <v>4531</v>
      </c>
      <c r="W926">
        <f>属性类型!G926</f>
        <v>10018</v>
      </c>
      <c r="X926">
        <v>1</v>
      </c>
    </row>
    <row r="927" ht="16.5" spans="1:24">
      <c r="A927" s="17">
        <f t="shared" si="719"/>
        <v>22914</v>
      </c>
      <c r="B927" s="17">
        <f t="shared" si="704"/>
        <v>22900</v>
      </c>
      <c r="C927" s="17" t="str">
        <f t="shared" si="709"/>
        <v>2</v>
      </c>
      <c r="D927" s="12">
        <f t="shared" si="713"/>
        <v>20003</v>
      </c>
      <c r="E927" s="17">
        <f t="shared" si="720"/>
        <v>2</v>
      </c>
      <c r="F927" s="17">
        <f t="shared" si="716"/>
        <v>3</v>
      </c>
      <c r="G927" s="17" t="s">
        <v>4531</v>
      </c>
      <c r="H927" s="17" t="s">
        <v>980</v>
      </c>
      <c r="I927" s="20">
        <v>1.5</v>
      </c>
      <c r="J927" s="17">
        <v>14</v>
      </c>
      <c r="K927" s="17">
        <f t="shared" si="718"/>
        <v>22915</v>
      </c>
      <c r="L927" s="17" t="s">
        <v>564</v>
      </c>
      <c r="M927" s="17" t="str">
        <f t="shared" si="721"/>
        <v>1:12600:10</v>
      </c>
      <c r="N927" s="16" t="str">
        <f t="shared" si="715"/>
        <v>10018:1</v>
      </c>
      <c r="O927" s="17">
        <f t="shared" si="717"/>
        <v>10</v>
      </c>
      <c r="P927" s="21" t="s">
        <v>4546</v>
      </c>
      <c r="Q927" s="21"/>
      <c r="R927" t="s">
        <v>4490</v>
      </c>
      <c r="T927" t="str">
        <f t="shared" si="722"/>
        <v>:1</v>
      </c>
      <c r="U927" t="str">
        <f t="shared" si="714"/>
        <v>骑士</v>
      </c>
      <c r="V927" t="s">
        <v>4531</v>
      </c>
      <c r="W927">
        <f>属性类型!G927</f>
        <v>10018</v>
      </c>
      <c r="X927">
        <v>1</v>
      </c>
    </row>
    <row r="928" ht="16.5" spans="1:24">
      <c r="A928" s="17">
        <f t="shared" si="719"/>
        <v>22915</v>
      </c>
      <c r="B928" s="17">
        <f t="shared" si="704"/>
        <v>22900</v>
      </c>
      <c r="C928" s="17" t="str">
        <f t="shared" si="709"/>
        <v>2</v>
      </c>
      <c r="D928" s="12">
        <f t="shared" si="713"/>
        <v>20003</v>
      </c>
      <c r="E928" s="17">
        <f t="shared" si="720"/>
        <v>2</v>
      </c>
      <c r="F928" s="17">
        <f t="shared" si="716"/>
        <v>3</v>
      </c>
      <c r="G928" s="17" t="s">
        <v>4531</v>
      </c>
      <c r="H928" s="17" t="s">
        <v>980</v>
      </c>
      <c r="I928" s="20">
        <v>1.5</v>
      </c>
      <c r="J928" s="17">
        <v>15</v>
      </c>
      <c r="K928" s="17">
        <f t="shared" si="718"/>
        <v>22916</v>
      </c>
      <c r="L928" s="17" t="s">
        <v>630</v>
      </c>
      <c r="M928" s="17" t="str">
        <f t="shared" si="721"/>
        <v>1:12600:10</v>
      </c>
      <c r="N928" s="16" t="str">
        <f t="shared" si="715"/>
        <v>10018:1</v>
      </c>
      <c r="O928" s="17">
        <f t="shared" si="717"/>
        <v>10</v>
      </c>
      <c r="P928" s="21" t="s">
        <v>4547</v>
      </c>
      <c r="Q928" s="21"/>
      <c r="R928" t="s">
        <v>4490</v>
      </c>
      <c r="T928" t="str">
        <f t="shared" si="722"/>
        <v>:1</v>
      </c>
      <c r="U928" t="str">
        <f t="shared" si="714"/>
        <v>骑士</v>
      </c>
      <c r="V928" t="s">
        <v>4531</v>
      </c>
      <c r="W928">
        <f>属性类型!G928</f>
        <v>10018</v>
      </c>
      <c r="X928">
        <v>1</v>
      </c>
    </row>
    <row r="929" ht="16.5" spans="1:24">
      <c r="A929" s="17">
        <f t="shared" si="719"/>
        <v>22916</v>
      </c>
      <c r="B929" s="17">
        <f t="shared" si="704"/>
        <v>22900</v>
      </c>
      <c r="C929" s="17" t="str">
        <f t="shared" si="709"/>
        <v>2</v>
      </c>
      <c r="D929" s="12">
        <f t="shared" si="713"/>
        <v>20003</v>
      </c>
      <c r="E929" s="17">
        <f t="shared" si="720"/>
        <v>2</v>
      </c>
      <c r="F929" s="17">
        <f t="shared" si="716"/>
        <v>3</v>
      </c>
      <c r="G929" s="17" t="s">
        <v>4531</v>
      </c>
      <c r="H929" s="17" t="s">
        <v>980</v>
      </c>
      <c r="I929" s="20">
        <v>1.5</v>
      </c>
      <c r="J929" s="17">
        <v>16</v>
      </c>
      <c r="K929" s="17">
        <f t="shared" si="718"/>
        <v>22917</v>
      </c>
      <c r="L929" s="17" t="s">
        <v>633</v>
      </c>
      <c r="M929" s="17" t="str">
        <f t="shared" si="721"/>
        <v>1:12600:10</v>
      </c>
      <c r="N929" s="16" t="str">
        <f t="shared" si="715"/>
        <v>10018:1</v>
      </c>
      <c r="O929" s="17">
        <f t="shared" si="717"/>
        <v>10</v>
      </c>
      <c r="P929" s="21" t="s">
        <v>4548</v>
      </c>
      <c r="Q929" s="21"/>
      <c r="R929" t="s">
        <v>4490</v>
      </c>
      <c r="T929" t="str">
        <f t="shared" si="722"/>
        <v>:1</v>
      </c>
      <c r="U929" t="str">
        <f t="shared" si="714"/>
        <v>骑士</v>
      </c>
      <c r="V929" t="s">
        <v>4531</v>
      </c>
      <c r="W929">
        <f>属性类型!G929</f>
        <v>10018</v>
      </c>
      <c r="X929">
        <v>1</v>
      </c>
    </row>
    <row r="930" ht="16.5" spans="1:24">
      <c r="A930" s="17">
        <f t="shared" si="719"/>
        <v>22917</v>
      </c>
      <c r="B930" s="17">
        <f t="shared" si="704"/>
        <v>22900</v>
      </c>
      <c r="C930" s="17" t="str">
        <f t="shared" si="709"/>
        <v>2</v>
      </c>
      <c r="D930" s="12">
        <f t="shared" si="713"/>
        <v>20003</v>
      </c>
      <c r="E930" s="17">
        <f t="shared" si="720"/>
        <v>2</v>
      </c>
      <c r="F930" s="17">
        <f t="shared" si="716"/>
        <v>3</v>
      </c>
      <c r="G930" s="17" t="s">
        <v>4531</v>
      </c>
      <c r="H930" s="17" t="s">
        <v>980</v>
      </c>
      <c r="I930" s="20">
        <v>1.5</v>
      </c>
      <c r="J930" s="17">
        <v>17</v>
      </c>
      <c r="K930" s="17">
        <f t="shared" si="718"/>
        <v>22918</v>
      </c>
      <c r="L930" s="17" t="s">
        <v>637</v>
      </c>
      <c r="M930" s="17" t="str">
        <f t="shared" si="721"/>
        <v>1:12600:10</v>
      </c>
      <c r="N930" s="16" t="str">
        <f t="shared" si="715"/>
        <v>10018:1</v>
      </c>
      <c r="O930" s="17">
        <f t="shared" si="717"/>
        <v>10</v>
      </c>
      <c r="P930" s="21" t="s">
        <v>4549</v>
      </c>
      <c r="Q930" s="21"/>
      <c r="R930" t="s">
        <v>4490</v>
      </c>
      <c r="T930" t="str">
        <f t="shared" si="722"/>
        <v>:1</v>
      </c>
      <c r="U930" t="str">
        <f t="shared" si="714"/>
        <v>骑士</v>
      </c>
      <c r="V930" t="s">
        <v>4531</v>
      </c>
      <c r="W930">
        <f>属性类型!G930</f>
        <v>10018</v>
      </c>
      <c r="X930">
        <v>1</v>
      </c>
    </row>
    <row r="931" ht="16.5" spans="1:24">
      <c r="A931" s="17">
        <f t="shared" si="719"/>
        <v>22918</v>
      </c>
      <c r="B931" s="17">
        <f t="shared" si="704"/>
        <v>22900</v>
      </c>
      <c r="C931" s="17" t="str">
        <f t="shared" si="709"/>
        <v>2</v>
      </c>
      <c r="D931" s="12">
        <f t="shared" si="713"/>
        <v>20003</v>
      </c>
      <c r="E931" s="17">
        <f t="shared" si="720"/>
        <v>2</v>
      </c>
      <c r="F931" s="17">
        <f t="shared" si="716"/>
        <v>3</v>
      </c>
      <c r="G931" s="17" t="s">
        <v>4531</v>
      </c>
      <c r="H931" s="17" t="s">
        <v>980</v>
      </c>
      <c r="I931" s="20">
        <v>1.5</v>
      </c>
      <c r="J931" s="17">
        <v>18</v>
      </c>
      <c r="K931" s="17">
        <f t="shared" si="718"/>
        <v>22919</v>
      </c>
      <c r="L931" s="17" t="s">
        <v>641</v>
      </c>
      <c r="M931" s="17" t="str">
        <f t="shared" si="721"/>
        <v>1:12600:10</v>
      </c>
      <c r="N931" s="16" t="str">
        <f t="shared" si="715"/>
        <v>10018:1</v>
      </c>
      <c r="O931" s="17">
        <f t="shared" si="717"/>
        <v>10</v>
      </c>
      <c r="P931" s="21" t="s">
        <v>4550</v>
      </c>
      <c r="Q931" s="21"/>
      <c r="R931" t="s">
        <v>4490</v>
      </c>
      <c r="T931" t="str">
        <f t="shared" si="722"/>
        <v>:1</v>
      </c>
      <c r="U931" t="str">
        <f t="shared" si="714"/>
        <v>骑士</v>
      </c>
      <c r="V931" t="s">
        <v>4531</v>
      </c>
      <c r="W931">
        <f>属性类型!G931</f>
        <v>10018</v>
      </c>
      <c r="X931">
        <v>1</v>
      </c>
    </row>
    <row r="932" ht="16.5" spans="1:24">
      <c r="A932" s="17">
        <f t="shared" si="719"/>
        <v>22919</v>
      </c>
      <c r="B932" s="17">
        <f t="shared" si="704"/>
        <v>22900</v>
      </c>
      <c r="C932" s="17" t="str">
        <f t="shared" si="709"/>
        <v>2</v>
      </c>
      <c r="D932" s="12">
        <f t="shared" si="713"/>
        <v>20003</v>
      </c>
      <c r="E932" s="17">
        <f t="shared" si="720"/>
        <v>2</v>
      </c>
      <c r="F932" s="17">
        <f t="shared" si="716"/>
        <v>3</v>
      </c>
      <c r="G932" s="17" t="s">
        <v>4531</v>
      </c>
      <c r="H932" s="17" t="s">
        <v>980</v>
      </c>
      <c r="I932" s="20">
        <v>1.5</v>
      </c>
      <c r="J932" s="17">
        <v>19</v>
      </c>
      <c r="K932" s="17">
        <f t="shared" si="718"/>
        <v>22920</v>
      </c>
      <c r="L932" s="17" t="s">
        <v>645</v>
      </c>
      <c r="M932" s="17" t="str">
        <f t="shared" si="721"/>
        <v>1:12600:10</v>
      </c>
      <c r="N932" s="16" t="str">
        <f t="shared" si="715"/>
        <v>10018:1</v>
      </c>
      <c r="O932" s="17">
        <f t="shared" si="717"/>
        <v>10</v>
      </c>
      <c r="P932" s="21" t="s">
        <v>4551</v>
      </c>
      <c r="Q932" s="21"/>
      <c r="R932" t="s">
        <v>4490</v>
      </c>
      <c r="T932" t="str">
        <f t="shared" si="722"/>
        <v>:1</v>
      </c>
      <c r="U932" t="str">
        <f t="shared" si="714"/>
        <v>骑士</v>
      </c>
      <c r="V932" t="s">
        <v>4531</v>
      </c>
      <c r="W932">
        <f>属性类型!G932</f>
        <v>10018</v>
      </c>
      <c r="X932">
        <v>1</v>
      </c>
    </row>
    <row r="933" ht="16.5" spans="1:24">
      <c r="A933" s="17">
        <f t="shared" si="719"/>
        <v>22920</v>
      </c>
      <c r="B933" s="17">
        <f t="shared" si="704"/>
        <v>22900</v>
      </c>
      <c r="C933" s="17" t="str">
        <f t="shared" si="709"/>
        <v>2</v>
      </c>
      <c r="D933" s="12">
        <f t="shared" si="713"/>
        <v>20003</v>
      </c>
      <c r="E933" s="17">
        <f t="shared" si="720"/>
        <v>2</v>
      </c>
      <c r="F933" s="17">
        <f t="shared" si="716"/>
        <v>3</v>
      </c>
      <c r="G933" s="17" t="s">
        <v>4531</v>
      </c>
      <c r="H933" s="17" t="s">
        <v>980</v>
      </c>
      <c r="I933" s="20">
        <v>1.5</v>
      </c>
      <c r="J933" s="17">
        <v>20</v>
      </c>
      <c r="K933" s="17">
        <f t="shared" si="718"/>
        <v>30000</v>
      </c>
      <c r="L933" s="17">
        <v>0</v>
      </c>
      <c r="M933" s="17" t="str">
        <f t="shared" si="721"/>
        <v>1:12600:10</v>
      </c>
      <c r="N933" s="16" t="str">
        <f t="shared" si="715"/>
        <v>10018:1</v>
      </c>
      <c r="O933" s="17">
        <f t="shared" si="717"/>
        <v>10</v>
      </c>
      <c r="P933" s="21" t="s">
        <v>4551</v>
      </c>
      <c r="Q933" s="21"/>
      <c r="R933" t="s">
        <v>4490</v>
      </c>
      <c r="T933" t="str">
        <f t="shared" si="722"/>
        <v>:1</v>
      </c>
      <c r="U933" t="str">
        <f t="shared" si="714"/>
        <v>骑士</v>
      </c>
      <c r="V933" t="s">
        <v>4531</v>
      </c>
      <c r="W933">
        <f>属性类型!G933</f>
        <v>10018</v>
      </c>
      <c r="X933">
        <v>1</v>
      </c>
    </row>
    <row r="934" s="15" customFormat="1" ht="16.5" spans="1:24">
      <c r="A934" s="23">
        <v>30000</v>
      </c>
      <c r="B934" s="23">
        <f t="shared" si="704"/>
        <v>30000</v>
      </c>
      <c r="C934" s="23" t="str">
        <f t="shared" si="709"/>
        <v>3</v>
      </c>
      <c r="D934" s="23">
        <f>$A$934+F934</f>
        <v>30001</v>
      </c>
      <c r="E934" s="23">
        <v>1</v>
      </c>
      <c r="F934" s="23">
        <f t="shared" si="716"/>
        <v>1</v>
      </c>
      <c r="G934" s="23" t="s">
        <v>37</v>
      </c>
      <c r="H934" s="23" t="s">
        <v>38</v>
      </c>
      <c r="I934" s="20">
        <v>0</v>
      </c>
      <c r="J934" s="23">
        <v>0</v>
      </c>
      <c r="K934" s="23">
        <f t="shared" si="718"/>
        <v>30001</v>
      </c>
      <c r="L934" s="23" t="s">
        <v>40</v>
      </c>
      <c r="M934" s="23">
        <v>0</v>
      </c>
      <c r="N934" s="16" t="str">
        <f t="shared" si="715"/>
        <v>121:1</v>
      </c>
      <c r="O934" s="23">
        <f t="shared" si="717"/>
        <v>1</v>
      </c>
      <c r="P934" s="24" t="str">
        <f>$R$3&amp;R934&amp;$Q$1&amp;T934</f>
        <v>所有弓兵生命增加:1</v>
      </c>
      <c r="Q934" s="24"/>
      <c r="R934" s="15" t="s">
        <v>4270</v>
      </c>
      <c r="T934" s="15" t="str">
        <f t="shared" si="722"/>
        <v>:1</v>
      </c>
      <c r="U934" t="str">
        <f t="shared" si="714"/>
        <v>弓兵</v>
      </c>
      <c r="V934" t="s">
        <v>4552</v>
      </c>
      <c r="W934">
        <f>属性类型!G934</f>
        <v>121</v>
      </c>
      <c r="X934">
        <v>1</v>
      </c>
    </row>
    <row r="935" customFormat="1" ht="16.5" spans="1:24">
      <c r="A935" s="17">
        <f t="shared" ref="A935:A939" si="723">A934+1</f>
        <v>30001</v>
      </c>
      <c r="B935" s="17">
        <f t="shared" si="704"/>
        <v>30000</v>
      </c>
      <c r="C935" s="17" t="str">
        <f t="shared" si="709"/>
        <v>3</v>
      </c>
      <c r="D935" s="17">
        <f>$A$934+F935</f>
        <v>30001</v>
      </c>
      <c r="E935" s="17">
        <v>1</v>
      </c>
      <c r="F935" s="17">
        <f t="shared" si="716"/>
        <v>1</v>
      </c>
      <c r="G935" s="17" t="str">
        <f>G934</f>
        <v>初级生命</v>
      </c>
      <c r="H935" s="17" t="str">
        <f>H934</f>
        <v>icon_01</v>
      </c>
      <c r="I935" s="20">
        <v>0</v>
      </c>
      <c r="J935" s="17">
        <v>1</v>
      </c>
      <c r="K935" s="17">
        <f t="shared" si="718"/>
        <v>30002</v>
      </c>
      <c r="L935" s="17" t="s">
        <v>44</v>
      </c>
      <c r="M935" s="17">
        <f>M934</f>
        <v>0</v>
      </c>
      <c r="N935" s="16" t="str">
        <f t="shared" si="715"/>
        <v>121:1</v>
      </c>
      <c r="O935" s="17">
        <f t="shared" si="717"/>
        <v>1</v>
      </c>
      <c r="P935" s="21" t="str">
        <f>$R$3&amp;R935&amp;$Q$1&amp;T935</f>
        <v>所有弓兵生命增加:1</v>
      </c>
      <c r="Q935" s="21"/>
      <c r="R935" t="str">
        <f t="shared" ref="R935:R939" si="724">R934</f>
        <v>生命</v>
      </c>
      <c r="T935" t="str">
        <f t="shared" si="722"/>
        <v>:1</v>
      </c>
      <c r="U935" t="str">
        <f t="shared" si="714"/>
        <v>弓兵</v>
      </c>
      <c r="V935" t="s">
        <v>4552</v>
      </c>
      <c r="W935">
        <f>属性类型!G935</f>
        <v>121</v>
      </c>
      <c r="X935">
        <v>1</v>
      </c>
    </row>
    <row r="936" customFormat="1" ht="16.5" spans="1:24">
      <c r="A936" s="17">
        <f t="shared" si="723"/>
        <v>30002</v>
      </c>
      <c r="B936" s="17">
        <f t="shared" ref="B936:B999" si="725">ROUND(A936,-2)</f>
        <v>30000</v>
      </c>
      <c r="C936" s="17" t="str">
        <f t="shared" si="709"/>
        <v>3</v>
      </c>
      <c r="D936" s="17">
        <f t="shared" ref="D936:D999" si="726">$A$934+F936</f>
        <v>30001</v>
      </c>
      <c r="E936" s="17">
        <v>1</v>
      </c>
      <c r="F936" s="17">
        <f t="shared" si="716"/>
        <v>1</v>
      </c>
      <c r="G936" s="17" t="str">
        <f>G935</f>
        <v>初级生命</v>
      </c>
      <c r="H936" s="17" t="str">
        <f>H935</f>
        <v>icon_01</v>
      </c>
      <c r="I936" s="20">
        <v>0</v>
      </c>
      <c r="J936" s="17">
        <v>2</v>
      </c>
      <c r="K936" s="17">
        <f t="shared" si="718"/>
        <v>30003</v>
      </c>
      <c r="L936" s="17" t="s">
        <v>49</v>
      </c>
      <c r="M936" s="17">
        <f>M935</f>
        <v>0</v>
      </c>
      <c r="N936" s="16" t="str">
        <f t="shared" si="715"/>
        <v>121:1</v>
      </c>
      <c r="O936" s="17">
        <f t="shared" si="717"/>
        <v>1</v>
      </c>
      <c r="P936" s="21" t="str">
        <f t="shared" ref="P936:P999" si="727">$R$3&amp;R936&amp;$Q$1&amp;T936</f>
        <v>所有弓兵生命增加:1</v>
      </c>
      <c r="Q936" s="21"/>
      <c r="R936" t="str">
        <f t="shared" si="724"/>
        <v>生命</v>
      </c>
      <c r="T936" t="str">
        <f t="shared" si="722"/>
        <v>:1</v>
      </c>
      <c r="U936" t="str">
        <f t="shared" si="714"/>
        <v>弓兵</v>
      </c>
      <c r="V936" t="s">
        <v>4552</v>
      </c>
      <c r="W936">
        <f>属性类型!G936</f>
        <v>121</v>
      </c>
      <c r="X936">
        <v>1</v>
      </c>
    </row>
    <row r="937" customFormat="1" ht="16.5" spans="1:24">
      <c r="A937" s="17">
        <f t="shared" si="723"/>
        <v>30003</v>
      </c>
      <c r="B937" s="17">
        <f t="shared" si="725"/>
        <v>30000</v>
      </c>
      <c r="C937" s="17" t="str">
        <f t="shared" si="709"/>
        <v>3</v>
      </c>
      <c r="D937" s="17">
        <f t="shared" si="726"/>
        <v>30001</v>
      </c>
      <c r="E937" s="17">
        <v>1</v>
      </c>
      <c r="F937" s="17">
        <f t="shared" si="716"/>
        <v>1</v>
      </c>
      <c r="G937" s="17" t="str">
        <f>G936</f>
        <v>初级生命</v>
      </c>
      <c r="H937" s="17" t="str">
        <f>H936</f>
        <v>icon_01</v>
      </c>
      <c r="I937" s="20">
        <v>0</v>
      </c>
      <c r="J937" s="17">
        <v>3</v>
      </c>
      <c r="K937" s="17">
        <f t="shared" si="718"/>
        <v>30004</v>
      </c>
      <c r="L937" s="17" t="s">
        <v>53</v>
      </c>
      <c r="M937" s="17">
        <f>M936</f>
        <v>0</v>
      </c>
      <c r="N937" s="16" t="str">
        <f t="shared" si="715"/>
        <v>121:1</v>
      </c>
      <c r="O937" s="17">
        <f t="shared" si="717"/>
        <v>1</v>
      </c>
      <c r="P937" s="21" t="str">
        <f t="shared" si="727"/>
        <v>所有弓兵生命增加:1</v>
      </c>
      <c r="Q937" s="21"/>
      <c r="R937" t="str">
        <f t="shared" si="724"/>
        <v>生命</v>
      </c>
      <c r="T937" t="str">
        <f t="shared" si="722"/>
        <v>:1</v>
      </c>
      <c r="U937" t="str">
        <f t="shared" si="714"/>
        <v>弓兵</v>
      </c>
      <c r="V937" t="s">
        <v>4552</v>
      </c>
      <c r="W937">
        <f>属性类型!G937</f>
        <v>121</v>
      </c>
      <c r="X937">
        <v>1</v>
      </c>
    </row>
    <row r="938" customFormat="1" ht="16.5" spans="1:24">
      <c r="A938" s="17">
        <f t="shared" si="723"/>
        <v>30004</v>
      </c>
      <c r="B938" s="17">
        <f t="shared" si="725"/>
        <v>30000</v>
      </c>
      <c r="C938" s="17" t="str">
        <f t="shared" si="709"/>
        <v>3</v>
      </c>
      <c r="D938" s="17">
        <f t="shared" si="726"/>
        <v>30001</v>
      </c>
      <c r="E938" s="17">
        <v>1</v>
      </c>
      <c r="F938" s="17">
        <f t="shared" si="716"/>
        <v>1</v>
      </c>
      <c r="G938" s="17" t="str">
        <f>G937</f>
        <v>初级生命</v>
      </c>
      <c r="H938" s="17" t="str">
        <f>H937</f>
        <v>icon_01</v>
      </c>
      <c r="I938" s="20">
        <v>0</v>
      </c>
      <c r="J938" s="17">
        <v>4</v>
      </c>
      <c r="K938" s="17">
        <f t="shared" si="718"/>
        <v>30005</v>
      </c>
      <c r="L938" s="17" t="s">
        <v>57</v>
      </c>
      <c r="M938" s="17">
        <f>M937</f>
        <v>0</v>
      </c>
      <c r="N938" s="16" t="str">
        <f t="shared" si="715"/>
        <v>121:1</v>
      </c>
      <c r="O938" s="17">
        <f t="shared" si="717"/>
        <v>1</v>
      </c>
      <c r="P938" s="21" t="str">
        <f t="shared" si="727"/>
        <v>所有弓兵生命增加:1</v>
      </c>
      <c r="Q938" s="21"/>
      <c r="R938" t="str">
        <f t="shared" si="724"/>
        <v>生命</v>
      </c>
      <c r="T938" t="str">
        <f t="shared" si="722"/>
        <v>:1</v>
      </c>
      <c r="U938" t="str">
        <f t="shared" si="714"/>
        <v>弓兵</v>
      </c>
      <c r="V938" t="s">
        <v>4552</v>
      </c>
      <c r="W938">
        <f>属性类型!G938</f>
        <v>121</v>
      </c>
      <c r="X938">
        <v>1</v>
      </c>
    </row>
    <row r="939" customFormat="1" ht="16.5" spans="1:24">
      <c r="A939" s="17">
        <f t="shared" si="723"/>
        <v>30005</v>
      </c>
      <c r="B939" s="17">
        <f t="shared" si="725"/>
        <v>30000</v>
      </c>
      <c r="C939" s="17" t="str">
        <f t="shared" si="709"/>
        <v>3</v>
      </c>
      <c r="D939" s="17">
        <f t="shared" si="726"/>
        <v>30001</v>
      </c>
      <c r="E939" s="17">
        <v>1</v>
      </c>
      <c r="F939" s="17">
        <f t="shared" si="716"/>
        <v>1</v>
      </c>
      <c r="G939" s="17" t="str">
        <f>G938</f>
        <v>初级生命</v>
      </c>
      <c r="H939" s="17" t="str">
        <f>H938</f>
        <v>icon_01</v>
      </c>
      <c r="I939" s="20">
        <v>0</v>
      </c>
      <c r="J939" s="17">
        <v>5</v>
      </c>
      <c r="K939" s="17">
        <v>0</v>
      </c>
      <c r="L939" s="17">
        <v>0</v>
      </c>
      <c r="M939" s="17">
        <f>M938</f>
        <v>0</v>
      </c>
      <c r="N939" s="16" t="str">
        <f t="shared" si="715"/>
        <v>121:1</v>
      </c>
      <c r="O939" s="17">
        <f t="shared" si="717"/>
        <v>1</v>
      </c>
      <c r="P939" s="21" t="str">
        <f t="shared" si="727"/>
        <v>所有弓兵生命增加:1</v>
      </c>
      <c r="Q939" s="21"/>
      <c r="R939" t="str">
        <f t="shared" si="724"/>
        <v>生命</v>
      </c>
      <c r="T939" t="str">
        <f t="shared" si="722"/>
        <v>:1</v>
      </c>
      <c r="U939" t="str">
        <f t="shared" si="714"/>
        <v>弓兵</v>
      </c>
      <c r="V939" t="s">
        <v>4552</v>
      </c>
      <c r="W939">
        <f>属性类型!G939</f>
        <v>121</v>
      </c>
      <c r="X939">
        <v>1</v>
      </c>
    </row>
    <row r="940" customFormat="1" ht="16.5" spans="1:24">
      <c r="A940" s="18">
        <f>A934+100</f>
        <v>30100</v>
      </c>
      <c r="B940" s="18">
        <f t="shared" si="725"/>
        <v>30100</v>
      </c>
      <c r="C940" s="18" t="str">
        <f t="shared" si="709"/>
        <v>3</v>
      </c>
      <c r="D940" s="17">
        <f t="shared" si="726"/>
        <v>30001</v>
      </c>
      <c r="E940" s="17">
        <v>1</v>
      </c>
      <c r="F940" s="18">
        <f t="shared" si="716"/>
        <v>1</v>
      </c>
      <c r="G940" s="18" t="s">
        <v>62</v>
      </c>
      <c r="H940" s="18" t="s">
        <v>63</v>
      </c>
      <c r="I940" s="20">
        <v>0</v>
      </c>
      <c r="J940" s="18">
        <v>0</v>
      </c>
      <c r="K940" s="18">
        <f t="shared" ref="K940:K944" si="728">A941</f>
        <v>30101</v>
      </c>
      <c r="L940" s="18" t="s">
        <v>40</v>
      </c>
      <c r="M940" s="18" t="s">
        <v>65</v>
      </c>
      <c r="N940" s="16" t="str">
        <f t="shared" si="715"/>
        <v>123:1</v>
      </c>
      <c r="O940" s="18">
        <f t="shared" si="717"/>
        <v>2</v>
      </c>
      <c r="P940" s="21" t="str">
        <f t="shared" si="727"/>
        <v>所有弓兵防御增加:1</v>
      </c>
      <c r="Q940" s="21"/>
      <c r="R940" t="s">
        <v>4272</v>
      </c>
      <c r="T940" t="str">
        <f t="shared" si="722"/>
        <v>:1</v>
      </c>
      <c r="U940" t="str">
        <f t="shared" si="714"/>
        <v>弓兵</v>
      </c>
      <c r="V940" t="s">
        <v>4553</v>
      </c>
      <c r="W940">
        <f>属性类型!G940</f>
        <v>123</v>
      </c>
      <c r="X940">
        <v>1</v>
      </c>
    </row>
    <row r="941" customFormat="1" ht="16.5" spans="1:24">
      <c r="A941" s="17">
        <f t="shared" ref="A941:A945" si="729">A940+1</f>
        <v>30101</v>
      </c>
      <c r="B941" s="17">
        <f t="shared" si="725"/>
        <v>30100</v>
      </c>
      <c r="C941" s="17" t="str">
        <f t="shared" si="709"/>
        <v>3</v>
      </c>
      <c r="D941" s="17">
        <f t="shared" si="726"/>
        <v>30001</v>
      </c>
      <c r="E941" s="17">
        <v>1</v>
      </c>
      <c r="F941" s="17">
        <f t="shared" si="716"/>
        <v>1</v>
      </c>
      <c r="G941" s="17" t="str">
        <f>G940</f>
        <v>初级防御</v>
      </c>
      <c r="H941" s="17" t="str">
        <f>H940</f>
        <v>icon_02</v>
      </c>
      <c r="I941" s="20">
        <v>0</v>
      </c>
      <c r="J941" s="17">
        <v>1</v>
      </c>
      <c r="K941" s="17">
        <f t="shared" si="728"/>
        <v>30102</v>
      </c>
      <c r="L941" s="17" t="s">
        <v>44</v>
      </c>
      <c r="M941" s="17" t="str">
        <f>M940</f>
        <v>1:10000:1</v>
      </c>
      <c r="N941" s="16" t="str">
        <f t="shared" si="715"/>
        <v>123:1</v>
      </c>
      <c r="O941" s="17">
        <f t="shared" si="717"/>
        <v>2</v>
      </c>
      <c r="P941" s="21" t="str">
        <f t="shared" si="727"/>
        <v>所有弓兵防御增加:1</v>
      </c>
      <c r="Q941" s="21"/>
      <c r="R941" t="str">
        <f t="shared" ref="R941:R945" si="730">R940</f>
        <v>防御</v>
      </c>
      <c r="T941" t="str">
        <f t="shared" si="722"/>
        <v>:1</v>
      </c>
      <c r="U941" t="str">
        <f t="shared" si="714"/>
        <v>弓兵</v>
      </c>
      <c r="V941" t="s">
        <v>4553</v>
      </c>
      <c r="W941">
        <f>属性类型!G941</f>
        <v>123</v>
      </c>
      <c r="X941">
        <v>1</v>
      </c>
    </row>
    <row r="942" customFormat="1" ht="16.5" spans="1:24">
      <c r="A942" s="17">
        <f t="shared" si="729"/>
        <v>30102</v>
      </c>
      <c r="B942" s="17">
        <f t="shared" si="725"/>
        <v>30100</v>
      </c>
      <c r="C942" s="17" t="str">
        <f t="shared" si="709"/>
        <v>3</v>
      </c>
      <c r="D942" s="17">
        <f t="shared" si="726"/>
        <v>30001</v>
      </c>
      <c r="E942" s="17">
        <v>1</v>
      </c>
      <c r="F942" s="17">
        <f t="shared" si="716"/>
        <v>1</v>
      </c>
      <c r="G942" s="17" t="str">
        <f>G941</f>
        <v>初级防御</v>
      </c>
      <c r="H942" s="17" t="str">
        <f>H941</f>
        <v>icon_02</v>
      </c>
      <c r="I942" s="20">
        <v>0</v>
      </c>
      <c r="J942" s="17">
        <v>2</v>
      </c>
      <c r="K942" s="17">
        <f t="shared" si="728"/>
        <v>30103</v>
      </c>
      <c r="L942" s="17" t="s">
        <v>49</v>
      </c>
      <c r="M942" s="17" t="str">
        <f>M941</f>
        <v>1:10000:1</v>
      </c>
      <c r="N942" s="16" t="str">
        <f t="shared" si="715"/>
        <v>123:1</v>
      </c>
      <c r="O942" s="17">
        <f t="shared" si="717"/>
        <v>2</v>
      </c>
      <c r="P942" s="21" t="str">
        <f t="shared" si="727"/>
        <v>所有弓兵防御增加:1</v>
      </c>
      <c r="Q942" s="21"/>
      <c r="R942" t="str">
        <f t="shared" si="730"/>
        <v>防御</v>
      </c>
      <c r="T942" t="str">
        <f t="shared" si="722"/>
        <v>:1</v>
      </c>
      <c r="U942" t="str">
        <f t="shared" si="714"/>
        <v>弓兵</v>
      </c>
      <c r="V942" t="s">
        <v>4553</v>
      </c>
      <c r="W942">
        <f>属性类型!G942</f>
        <v>123</v>
      </c>
      <c r="X942">
        <v>1</v>
      </c>
    </row>
    <row r="943" customFormat="1" ht="16.5" spans="1:24">
      <c r="A943" s="17">
        <f t="shared" si="729"/>
        <v>30103</v>
      </c>
      <c r="B943" s="17">
        <f t="shared" si="725"/>
        <v>30100</v>
      </c>
      <c r="C943" s="17" t="str">
        <f t="shared" si="709"/>
        <v>3</v>
      </c>
      <c r="D943" s="17">
        <f t="shared" si="726"/>
        <v>30001</v>
      </c>
      <c r="E943" s="17">
        <v>1</v>
      </c>
      <c r="F943" s="17">
        <f t="shared" si="716"/>
        <v>1</v>
      </c>
      <c r="G943" s="17" t="str">
        <f>G942</f>
        <v>初级防御</v>
      </c>
      <c r="H943" s="17" t="str">
        <f>H942</f>
        <v>icon_02</v>
      </c>
      <c r="I943" s="20">
        <v>0</v>
      </c>
      <c r="J943" s="17">
        <v>3</v>
      </c>
      <c r="K943" s="17">
        <f t="shared" si="728"/>
        <v>30104</v>
      </c>
      <c r="L943" s="17" t="s">
        <v>53</v>
      </c>
      <c r="M943" s="17" t="str">
        <f>M942</f>
        <v>1:10000:1</v>
      </c>
      <c r="N943" s="16" t="str">
        <f t="shared" si="715"/>
        <v>123:1</v>
      </c>
      <c r="O943" s="17">
        <f t="shared" si="717"/>
        <v>2</v>
      </c>
      <c r="P943" s="21" t="str">
        <f t="shared" si="727"/>
        <v>所有弓兵防御增加:1</v>
      </c>
      <c r="Q943" s="21"/>
      <c r="R943" t="str">
        <f t="shared" si="730"/>
        <v>防御</v>
      </c>
      <c r="T943" t="str">
        <f t="shared" si="722"/>
        <v>:1</v>
      </c>
      <c r="U943" t="str">
        <f t="shared" si="714"/>
        <v>弓兵</v>
      </c>
      <c r="V943" t="s">
        <v>4553</v>
      </c>
      <c r="W943">
        <f>属性类型!G943</f>
        <v>123</v>
      </c>
      <c r="X943">
        <v>1</v>
      </c>
    </row>
    <row r="944" customFormat="1" ht="16.5" spans="1:24">
      <c r="A944" s="17">
        <f t="shared" si="729"/>
        <v>30104</v>
      </c>
      <c r="B944" s="17">
        <f t="shared" si="725"/>
        <v>30100</v>
      </c>
      <c r="C944" s="17" t="str">
        <f t="shared" si="709"/>
        <v>3</v>
      </c>
      <c r="D944" s="17">
        <f t="shared" si="726"/>
        <v>30001</v>
      </c>
      <c r="E944" s="17">
        <v>1</v>
      </c>
      <c r="F944" s="17">
        <f t="shared" si="716"/>
        <v>1</v>
      </c>
      <c r="G944" s="17" t="str">
        <f>G943</f>
        <v>初级防御</v>
      </c>
      <c r="H944" s="17" t="str">
        <f>H943</f>
        <v>icon_02</v>
      </c>
      <c r="I944" s="20">
        <v>0</v>
      </c>
      <c r="J944" s="17">
        <v>4</v>
      </c>
      <c r="K944" s="17">
        <f t="shared" si="728"/>
        <v>30105</v>
      </c>
      <c r="L944" s="17" t="s">
        <v>57</v>
      </c>
      <c r="M944" s="17" t="str">
        <f>M943</f>
        <v>1:10000:1</v>
      </c>
      <c r="N944" s="16" t="str">
        <f t="shared" si="715"/>
        <v>123:1</v>
      </c>
      <c r="O944" s="17">
        <f t="shared" si="717"/>
        <v>2</v>
      </c>
      <c r="P944" s="21" t="str">
        <f t="shared" si="727"/>
        <v>所有弓兵防御增加:1</v>
      </c>
      <c r="Q944" s="21"/>
      <c r="R944" t="str">
        <f t="shared" si="730"/>
        <v>防御</v>
      </c>
      <c r="T944" t="str">
        <f t="shared" si="722"/>
        <v>:1</v>
      </c>
      <c r="U944" t="str">
        <f t="shared" si="714"/>
        <v>弓兵</v>
      </c>
      <c r="V944" t="s">
        <v>4553</v>
      </c>
      <c r="W944">
        <f>属性类型!G944</f>
        <v>123</v>
      </c>
      <c r="X944">
        <v>1</v>
      </c>
    </row>
    <row r="945" customFormat="1" ht="16.5" spans="1:24">
      <c r="A945" s="17">
        <f t="shared" si="729"/>
        <v>30105</v>
      </c>
      <c r="B945" s="17">
        <f t="shared" si="725"/>
        <v>30100</v>
      </c>
      <c r="C945" s="17" t="str">
        <f t="shared" si="709"/>
        <v>3</v>
      </c>
      <c r="D945" s="17">
        <f t="shared" si="726"/>
        <v>30001</v>
      </c>
      <c r="E945" s="17">
        <v>1</v>
      </c>
      <c r="F945" s="17">
        <f t="shared" si="716"/>
        <v>1</v>
      </c>
      <c r="G945" s="17" t="str">
        <f>G944</f>
        <v>初级防御</v>
      </c>
      <c r="H945" s="17" t="str">
        <f>H944</f>
        <v>icon_02</v>
      </c>
      <c r="I945" s="20">
        <v>0</v>
      </c>
      <c r="J945" s="17">
        <v>5</v>
      </c>
      <c r="K945" s="17">
        <v>0</v>
      </c>
      <c r="L945" s="17">
        <v>0</v>
      </c>
      <c r="M945" s="17" t="str">
        <f>M944</f>
        <v>1:10000:1</v>
      </c>
      <c r="N945" s="16" t="str">
        <f t="shared" si="715"/>
        <v>123:1</v>
      </c>
      <c r="O945" s="17">
        <f t="shared" si="717"/>
        <v>2</v>
      </c>
      <c r="P945" s="21" t="str">
        <f t="shared" si="727"/>
        <v>所有弓兵防御增加:1</v>
      </c>
      <c r="Q945" s="21"/>
      <c r="R945" t="str">
        <f t="shared" si="730"/>
        <v>防御</v>
      </c>
      <c r="T945" t="str">
        <f t="shared" si="722"/>
        <v>:1</v>
      </c>
      <c r="U945" t="str">
        <f t="shared" si="714"/>
        <v>弓兵</v>
      </c>
      <c r="V945" t="s">
        <v>4553</v>
      </c>
      <c r="W945">
        <f>属性类型!G945</f>
        <v>123</v>
      </c>
      <c r="X945">
        <v>1</v>
      </c>
    </row>
    <row r="946" customFormat="1" ht="16.5" spans="1:24">
      <c r="A946" s="18">
        <f>A940+100</f>
        <v>30200</v>
      </c>
      <c r="B946" s="18">
        <f t="shared" si="725"/>
        <v>30200</v>
      </c>
      <c r="C946" s="18" t="str">
        <f t="shared" si="709"/>
        <v>3</v>
      </c>
      <c r="D946" s="17">
        <f t="shared" si="726"/>
        <v>30001</v>
      </c>
      <c r="E946" s="17">
        <v>1</v>
      </c>
      <c r="F946" s="18">
        <f t="shared" si="716"/>
        <v>1</v>
      </c>
      <c r="G946" s="18" t="s">
        <v>79</v>
      </c>
      <c r="H946" s="18" t="s">
        <v>80</v>
      </c>
      <c r="I946" s="20">
        <v>0</v>
      </c>
      <c r="J946" s="18">
        <v>0</v>
      </c>
      <c r="K946" s="18">
        <f t="shared" ref="K946:K950" si="731">A947</f>
        <v>30201</v>
      </c>
      <c r="L946" s="18" t="s">
        <v>40</v>
      </c>
      <c r="M946" s="18" t="s">
        <v>65</v>
      </c>
      <c r="N946" s="16" t="str">
        <f t="shared" si="715"/>
        <v>122:1</v>
      </c>
      <c r="O946" s="18">
        <f t="shared" si="717"/>
        <v>3</v>
      </c>
      <c r="P946" s="21" t="str">
        <f t="shared" si="727"/>
        <v>所有弓兵攻击增加:1</v>
      </c>
      <c r="Q946" s="21"/>
      <c r="R946" t="s">
        <v>4274</v>
      </c>
      <c r="T946" t="str">
        <f t="shared" si="722"/>
        <v>:1</v>
      </c>
      <c r="U946" t="str">
        <f t="shared" si="714"/>
        <v>弓兵</v>
      </c>
      <c r="V946" t="s">
        <v>4554</v>
      </c>
      <c r="W946">
        <f>属性类型!G946</f>
        <v>122</v>
      </c>
      <c r="X946">
        <v>1</v>
      </c>
    </row>
    <row r="947" customFormat="1" ht="16.5" spans="1:24">
      <c r="A947" s="17">
        <f t="shared" ref="A947:A951" si="732">A946+1</f>
        <v>30201</v>
      </c>
      <c r="B947" s="17">
        <f t="shared" si="725"/>
        <v>30200</v>
      </c>
      <c r="C947" s="17" t="str">
        <f t="shared" si="709"/>
        <v>3</v>
      </c>
      <c r="D947" s="17">
        <f t="shared" si="726"/>
        <v>30001</v>
      </c>
      <c r="E947" s="17">
        <v>1</v>
      </c>
      <c r="F947" s="17">
        <f t="shared" si="716"/>
        <v>1</v>
      </c>
      <c r="G947" s="17" t="str">
        <f>G946</f>
        <v>初级攻击</v>
      </c>
      <c r="H947" s="17" t="str">
        <f>H946</f>
        <v>icon_03</v>
      </c>
      <c r="I947" s="20">
        <v>0</v>
      </c>
      <c r="J947" s="17">
        <v>1</v>
      </c>
      <c r="K947" s="17">
        <f t="shared" si="731"/>
        <v>30202</v>
      </c>
      <c r="L947" s="17" t="s">
        <v>44</v>
      </c>
      <c r="M947" s="17" t="str">
        <f>M946</f>
        <v>1:10000:1</v>
      </c>
      <c r="N947" s="16" t="str">
        <f t="shared" si="715"/>
        <v>122:1</v>
      </c>
      <c r="O947" s="17">
        <f t="shared" si="717"/>
        <v>3</v>
      </c>
      <c r="P947" s="21" t="str">
        <f t="shared" si="727"/>
        <v>所有弓兵攻击增加:1</v>
      </c>
      <c r="Q947" s="21"/>
      <c r="R947" t="str">
        <f t="shared" ref="R947:R951" si="733">R946</f>
        <v>攻击</v>
      </c>
      <c r="T947" t="str">
        <f t="shared" si="722"/>
        <v>:1</v>
      </c>
      <c r="U947" t="str">
        <f t="shared" si="714"/>
        <v>弓兵</v>
      </c>
      <c r="V947" t="s">
        <v>4554</v>
      </c>
      <c r="W947">
        <f>属性类型!G947</f>
        <v>122</v>
      </c>
      <c r="X947">
        <v>1</v>
      </c>
    </row>
    <row r="948" customFormat="1" ht="16.5" spans="1:24">
      <c r="A948" s="17">
        <f t="shared" si="732"/>
        <v>30202</v>
      </c>
      <c r="B948" s="17">
        <f t="shared" si="725"/>
        <v>30200</v>
      </c>
      <c r="C948" s="17" t="str">
        <f t="shared" si="709"/>
        <v>3</v>
      </c>
      <c r="D948" s="17">
        <f t="shared" si="726"/>
        <v>30001</v>
      </c>
      <c r="E948" s="17">
        <v>1</v>
      </c>
      <c r="F948" s="17">
        <f t="shared" si="716"/>
        <v>1</v>
      </c>
      <c r="G948" s="17" t="str">
        <f>G947</f>
        <v>初级攻击</v>
      </c>
      <c r="H948" s="17" t="str">
        <f>H947</f>
        <v>icon_03</v>
      </c>
      <c r="I948" s="20">
        <v>0</v>
      </c>
      <c r="J948" s="17">
        <v>2</v>
      </c>
      <c r="K948" s="17">
        <f t="shared" si="731"/>
        <v>30203</v>
      </c>
      <c r="L948" s="17" t="s">
        <v>49</v>
      </c>
      <c r="M948" s="17" t="str">
        <f>M947</f>
        <v>1:10000:1</v>
      </c>
      <c r="N948" s="16" t="str">
        <f t="shared" si="715"/>
        <v>122:1</v>
      </c>
      <c r="O948" s="17">
        <f t="shared" si="717"/>
        <v>3</v>
      </c>
      <c r="P948" s="21" t="str">
        <f t="shared" si="727"/>
        <v>所有弓兵攻击增加:1</v>
      </c>
      <c r="Q948" s="21"/>
      <c r="R948" t="str">
        <f t="shared" si="733"/>
        <v>攻击</v>
      </c>
      <c r="T948" t="str">
        <f t="shared" si="722"/>
        <v>:1</v>
      </c>
      <c r="U948" t="str">
        <f t="shared" si="714"/>
        <v>弓兵</v>
      </c>
      <c r="V948" t="s">
        <v>4554</v>
      </c>
      <c r="W948">
        <f>属性类型!G948</f>
        <v>122</v>
      </c>
      <c r="X948">
        <v>1</v>
      </c>
    </row>
    <row r="949" customFormat="1" ht="16.5" spans="1:24">
      <c r="A949" s="17">
        <f t="shared" si="732"/>
        <v>30203</v>
      </c>
      <c r="B949" s="17">
        <f t="shared" si="725"/>
        <v>30200</v>
      </c>
      <c r="C949" s="17" t="str">
        <f t="shared" si="709"/>
        <v>3</v>
      </c>
      <c r="D949" s="17">
        <f t="shared" si="726"/>
        <v>30001</v>
      </c>
      <c r="E949" s="17">
        <v>1</v>
      </c>
      <c r="F949" s="17">
        <f t="shared" si="716"/>
        <v>1</v>
      </c>
      <c r="G949" s="17" t="str">
        <f>G948</f>
        <v>初级攻击</v>
      </c>
      <c r="H949" s="17" t="str">
        <f>H948</f>
        <v>icon_03</v>
      </c>
      <c r="I949" s="20">
        <v>0</v>
      </c>
      <c r="J949" s="17">
        <v>3</v>
      </c>
      <c r="K949" s="17">
        <f t="shared" si="731"/>
        <v>30204</v>
      </c>
      <c r="L949" s="17" t="s">
        <v>53</v>
      </c>
      <c r="M949" s="17" t="str">
        <f>M948</f>
        <v>1:10000:1</v>
      </c>
      <c r="N949" s="16" t="str">
        <f t="shared" si="715"/>
        <v>122:1</v>
      </c>
      <c r="O949" s="17">
        <f t="shared" si="717"/>
        <v>3</v>
      </c>
      <c r="P949" s="21" t="str">
        <f t="shared" si="727"/>
        <v>所有弓兵攻击增加:1</v>
      </c>
      <c r="Q949" s="21"/>
      <c r="R949" t="str">
        <f t="shared" si="733"/>
        <v>攻击</v>
      </c>
      <c r="T949" t="str">
        <f t="shared" si="722"/>
        <v>:1</v>
      </c>
      <c r="U949" t="str">
        <f t="shared" si="714"/>
        <v>弓兵</v>
      </c>
      <c r="V949" t="s">
        <v>4554</v>
      </c>
      <c r="W949">
        <f>属性类型!G949</f>
        <v>122</v>
      </c>
      <c r="X949">
        <v>1</v>
      </c>
    </row>
    <row r="950" customFormat="1" ht="16.5" spans="1:24">
      <c r="A950" s="17">
        <f t="shared" si="732"/>
        <v>30204</v>
      </c>
      <c r="B950" s="17">
        <f t="shared" si="725"/>
        <v>30200</v>
      </c>
      <c r="C950" s="17" t="str">
        <f t="shared" si="709"/>
        <v>3</v>
      </c>
      <c r="D950" s="17">
        <f t="shared" si="726"/>
        <v>30001</v>
      </c>
      <c r="E950" s="17">
        <v>1</v>
      </c>
      <c r="F950" s="17">
        <f t="shared" si="716"/>
        <v>1</v>
      </c>
      <c r="G950" s="17" t="str">
        <f>G949</f>
        <v>初级攻击</v>
      </c>
      <c r="H950" s="17" t="str">
        <f>H949</f>
        <v>icon_03</v>
      </c>
      <c r="I950" s="20">
        <v>0</v>
      </c>
      <c r="J950" s="17">
        <v>4</v>
      </c>
      <c r="K950" s="17">
        <f t="shared" si="731"/>
        <v>30205</v>
      </c>
      <c r="L950" s="17" t="s">
        <v>57</v>
      </c>
      <c r="M950" s="17" t="str">
        <f>M949</f>
        <v>1:10000:1</v>
      </c>
      <c r="N950" s="16" t="str">
        <f t="shared" si="715"/>
        <v>122:1</v>
      </c>
      <c r="O950" s="17">
        <f t="shared" si="717"/>
        <v>3</v>
      </c>
      <c r="P950" s="21" t="str">
        <f t="shared" si="727"/>
        <v>所有弓兵攻击增加:1</v>
      </c>
      <c r="Q950" s="21"/>
      <c r="R950" t="str">
        <f t="shared" si="733"/>
        <v>攻击</v>
      </c>
      <c r="T950" t="str">
        <f t="shared" si="722"/>
        <v>:1</v>
      </c>
      <c r="U950" t="str">
        <f t="shared" si="714"/>
        <v>弓兵</v>
      </c>
      <c r="V950" t="s">
        <v>4554</v>
      </c>
      <c r="W950">
        <f>属性类型!G950</f>
        <v>122</v>
      </c>
      <c r="X950">
        <v>1</v>
      </c>
    </row>
    <row r="951" customFormat="1" ht="16.5" spans="1:24">
      <c r="A951" s="17">
        <f t="shared" si="732"/>
        <v>30205</v>
      </c>
      <c r="B951" s="17">
        <f t="shared" si="725"/>
        <v>30200</v>
      </c>
      <c r="C951" s="17" t="str">
        <f t="shared" si="709"/>
        <v>3</v>
      </c>
      <c r="D951" s="17">
        <f t="shared" si="726"/>
        <v>30001</v>
      </c>
      <c r="E951" s="17">
        <v>1</v>
      </c>
      <c r="F951" s="17">
        <f t="shared" si="716"/>
        <v>1</v>
      </c>
      <c r="G951" s="17" t="str">
        <f>G950</f>
        <v>初级攻击</v>
      </c>
      <c r="H951" s="17" t="str">
        <f>H950</f>
        <v>icon_03</v>
      </c>
      <c r="I951" s="20">
        <v>0</v>
      </c>
      <c r="J951" s="17">
        <v>5</v>
      </c>
      <c r="K951" s="17">
        <v>0</v>
      </c>
      <c r="L951" s="17">
        <v>0</v>
      </c>
      <c r="M951" s="17" t="str">
        <f>M950</f>
        <v>1:10000:1</v>
      </c>
      <c r="N951" s="16" t="str">
        <f t="shared" si="715"/>
        <v>122:1</v>
      </c>
      <c r="O951" s="17">
        <f t="shared" si="717"/>
        <v>3</v>
      </c>
      <c r="P951" s="21" t="str">
        <f t="shared" si="727"/>
        <v>所有弓兵攻击增加:1</v>
      </c>
      <c r="Q951" s="21"/>
      <c r="R951" t="str">
        <f t="shared" si="733"/>
        <v>攻击</v>
      </c>
      <c r="T951" t="str">
        <f t="shared" si="722"/>
        <v>:1</v>
      </c>
      <c r="U951" t="str">
        <f t="shared" si="714"/>
        <v>弓兵</v>
      </c>
      <c r="V951" t="s">
        <v>4554</v>
      </c>
      <c r="W951">
        <f>属性类型!G951</f>
        <v>122</v>
      </c>
      <c r="X951">
        <v>1</v>
      </c>
    </row>
    <row r="952" customFormat="1" ht="16.5" spans="1:24">
      <c r="A952" s="18">
        <f>A946+100</f>
        <v>30300</v>
      </c>
      <c r="B952" s="18">
        <f t="shared" si="725"/>
        <v>30300</v>
      </c>
      <c r="C952" s="18" t="str">
        <f t="shared" si="709"/>
        <v>3</v>
      </c>
      <c r="D952" s="17">
        <f t="shared" si="726"/>
        <v>30001</v>
      </c>
      <c r="E952" s="17">
        <v>1</v>
      </c>
      <c r="F952" s="18">
        <f t="shared" si="716"/>
        <v>1</v>
      </c>
      <c r="G952" s="18" t="s">
        <v>95</v>
      </c>
      <c r="H952" s="18" t="s">
        <v>96</v>
      </c>
      <c r="I952" s="20">
        <v>0</v>
      </c>
      <c r="J952" s="18">
        <v>0</v>
      </c>
      <c r="K952" s="18">
        <f t="shared" ref="K952:K956" si="734">A953</f>
        <v>30301</v>
      </c>
      <c r="L952" s="18" t="s">
        <v>40</v>
      </c>
      <c r="M952" s="18" t="s">
        <v>65</v>
      </c>
      <c r="N952" s="16" t="str">
        <f t="shared" si="715"/>
        <v>124:1</v>
      </c>
      <c r="O952" s="18">
        <f t="shared" si="717"/>
        <v>4</v>
      </c>
      <c r="P952" s="21" t="str">
        <f t="shared" si="727"/>
        <v>所有弓兵魔防增加:1</v>
      </c>
      <c r="Q952" s="21"/>
      <c r="R952" t="s">
        <v>4276</v>
      </c>
      <c r="T952" t="str">
        <f t="shared" si="722"/>
        <v>:1</v>
      </c>
      <c r="U952" t="str">
        <f t="shared" si="714"/>
        <v>弓兵</v>
      </c>
      <c r="V952" t="s">
        <v>4555</v>
      </c>
      <c r="W952">
        <f>属性类型!G952</f>
        <v>124</v>
      </c>
      <c r="X952">
        <v>1</v>
      </c>
    </row>
    <row r="953" customFormat="1" ht="16.5" spans="1:24">
      <c r="A953" s="17">
        <f t="shared" ref="A953:A957" si="735">A952+1</f>
        <v>30301</v>
      </c>
      <c r="B953" s="17">
        <f t="shared" si="725"/>
        <v>30300</v>
      </c>
      <c r="C953" s="17" t="str">
        <f t="shared" si="709"/>
        <v>3</v>
      </c>
      <c r="D953" s="17">
        <f t="shared" si="726"/>
        <v>30001</v>
      </c>
      <c r="E953" s="17">
        <v>1</v>
      </c>
      <c r="F953" s="17">
        <f t="shared" si="716"/>
        <v>1</v>
      </c>
      <c r="G953" s="17" t="str">
        <f>G952</f>
        <v>初级魔防</v>
      </c>
      <c r="H953" s="17" t="str">
        <f>H952</f>
        <v>icon_04</v>
      </c>
      <c r="I953" s="20">
        <v>0</v>
      </c>
      <c r="J953" s="17">
        <v>1</v>
      </c>
      <c r="K953" s="17">
        <f t="shared" si="734"/>
        <v>30302</v>
      </c>
      <c r="L953" s="17" t="s">
        <v>44</v>
      </c>
      <c r="M953" s="17" t="str">
        <f>M952</f>
        <v>1:10000:1</v>
      </c>
      <c r="N953" s="16" t="str">
        <f t="shared" si="715"/>
        <v>124:1</v>
      </c>
      <c r="O953" s="17">
        <f t="shared" si="717"/>
        <v>4</v>
      </c>
      <c r="P953" s="21" t="str">
        <f t="shared" si="727"/>
        <v>所有弓兵魔防增加:1</v>
      </c>
      <c r="Q953" s="21"/>
      <c r="R953" t="str">
        <f t="shared" ref="R953:R957" si="736">R952</f>
        <v>魔防</v>
      </c>
      <c r="T953" t="str">
        <f t="shared" si="722"/>
        <v>:1</v>
      </c>
      <c r="U953" t="str">
        <f t="shared" si="714"/>
        <v>弓兵</v>
      </c>
      <c r="V953" t="s">
        <v>4555</v>
      </c>
      <c r="W953">
        <f>属性类型!G953</f>
        <v>124</v>
      </c>
      <c r="X953">
        <v>1</v>
      </c>
    </row>
    <row r="954" customFormat="1" ht="16.5" spans="1:24">
      <c r="A954" s="17">
        <f t="shared" si="735"/>
        <v>30302</v>
      </c>
      <c r="B954" s="17">
        <f t="shared" si="725"/>
        <v>30300</v>
      </c>
      <c r="C954" s="17" t="str">
        <f t="shared" si="709"/>
        <v>3</v>
      </c>
      <c r="D954" s="17">
        <f t="shared" si="726"/>
        <v>30001</v>
      </c>
      <c r="E954" s="17">
        <v>1</v>
      </c>
      <c r="F954" s="17">
        <f t="shared" si="716"/>
        <v>1</v>
      </c>
      <c r="G954" s="17" t="str">
        <f>G953</f>
        <v>初级魔防</v>
      </c>
      <c r="H954" s="17" t="str">
        <f>H953</f>
        <v>icon_04</v>
      </c>
      <c r="I954" s="20">
        <v>0</v>
      </c>
      <c r="J954" s="17">
        <v>2</v>
      </c>
      <c r="K954" s="17">
        <f t="shared" si="734"/>
        <v>30303</v>
      </c>
      <c r="L954" s="17" t="s">
        <v>49</v>
      </c>
      <c r="M954" s="17" t="str">
        <f>M953</f>
        <v>1:10000:1</v>
      </c>
      <c r="N954" s="16" t="str">
        <f t="shared" si="715"/>
        <v>124:1</v>
      </c>
      <c r="O954" s="17">
        <f t="shared" si="717"/>
        <v>4</v>
      </c>
      <c r="P954" s="21" t="str">
        <f t="shared" si="727"/>
        <v>所有弓兵魔防增加:1</v>
      </c>
      <c r="Q954" s="21"/>
      <c r="R954" t="str">
        <f t="shared" si="736"/>
        <v>魔防</v>
      </c>
      <c r="T954" t="str">
        <f t="shared" si="722"/>
        <v>:1</v>
      </c>
      <c r="U954" t="str">
        <f t="shared" si="714"/>
        <v>弓兵</v>
      </c>
      <c r="V954" t="s">
        <v>4555</v>
      </c>
      <c r="W954">
        <f>属性类型!G954</f>
        <v>124</v>
      </c>
      <c r="X954">
        <v>1</v>
      </c>
    </row>
    <row r="955" customFormat="1" ht="16.5" spans="1:24">
      <c r="A955" s="17">
        <f t="shared" si="735"/>
        <v>30303</v>
      </c>
      <c r="B955" s="17">
        <f t="shared" si="725"/>
        <v>30300</v>
      </c>
      <c r="C955" s="17" t="str">
        <f t="shared" si="709"/>
        <v>3</v>
      </c>
      <c r="D955" s="17">
        <f t="shared" si="726"/>
        <v>30001</v>
      </c>
      <c r="E955" s="17">
        <v>1</v>
      </c>
      <c r="F955" s="17">
        <f t="shared" si="716"/>
        <v>1</v>
      </c>
      <c r="G955" s="17" t="str">
        <f>G954</f>
        <v>初级魔防</v>
      </c>
      <c r="H955" s="17" t="str">
        <f>H954</f>
        <v>icon_04</v>
      </c>
      <c r="I955" s="20">
        <v>0</v>
      </c>
      <c r="J955" s="17">
        <v>3</v>
      </c>
      <c r="K955" s="17">
        <f t="shared" si="734"/>
        <v>30304</v>
      </c>
      <c r="L955" s="17" t="s">
        <v>53</v>
      </c>
      <c r="M955" s="17" t="str">
        <f>M954</f>
        <v>1:10000:1</v>
      </c>
      <c r="N955" s="16" t="str">
        <f t="shared" si="715"/>
        <v>124:1</v>
      </c>
      <c r="O955" s="17">
        <f t="shared" si="717"/>
        <v>4</v>
      </c>
      <c r="P955" s="21" t="str">
        <f t="shared" si="727"/>
        <v>所有弓兵魔防增加:1</v>
      </c>
      <c r="Q955" s="21"/>
      <c r="R955" t="str">
        <f t="shared" si="736"/>
        <v>魔防</v>
      </c>
      <c r="T955" t="str">
        <f t="shared" si="722"/>
        <v>:1</v>
      </c>
      <c r="U955" t="str">
        <f t="shared" si="714"/>
        <v>弓兵</v>
      </c>
      <c r="V955" t="s">
        <v>4555</v>
      </c>
      <c r="W955">
        <f>属性类型!G955</f>
        <v>124</v>
      </c>
      <c r="X955">
        <v>1</v>
      </c>
    </row>
    <row r="956" customFormat="1" ht="16.5" spans="1:24">
      <c r="A956" s="17">
        <f t="shared" si="735"/>
        <v>30304</v>
      </c>
      <c r="B956" s="17">
        <f t="shared" si="725"/>
        <v>30300</v>
      </c>
      <c r="C956" s="17" t="str">
        <f t="shared" si="709"/>
        <v>3</v>
      </c>
      <c r="D956" s="17">
        <f t="shared" si="726"/>
        <v>30001</v>
      </c>
      <c r="E956" s="17">
        <v>1</v>
      </c>
      <c r="F956" s="17">
        <f t="shared" si="716"/>
        <v>1</v>
      </c>
      <c r="G956" s="17" t="str">
        <f>G955</f>
        <v>初级魔防</v>
      </c>
      <c r="H956" s="17" t="str">
        <f>H955</f>
        <v>icon_04</v>
      </c>
      <c r="I956" s="20">
        <v>0</v>
      </c>
      <c r="J956" s="17">
        <v>4</v>
      </c>
      <c r="K956" s="17">
        <f t="shared" si="734"/>
        <v>30305</v>
      </c>
      <c r="L956" s="17" t="s">
        <v>57</v>
      </c>
      <c r="M956" s="17" t="str">
        <f>M955</f>
        <v>1:10000:1</v>
      </c>
      <c r="N956" s="16" t="str">
        <f t="shared" si="715"/>
        <v>124:1</v>
      </c>
      <c r="O956" s="17">
        <f t="shared" si="717"/>
        <v>4</v>
      </c>
      <c r="P956" s="21" t="str">
        <f t="shared" si="727"/>
        <v>所有弓兵魔防增加:1</v>
      </c>
      <c r="Q956" s="21"/>
      <c r="R956" t="str">
        <f t="shared" si="736"/>
        <v>魔防</v>
      </c>
      <c r="T956" t="str">
        <f t="shared" si="722"/>
        <v>:1</v>
      </c>
      <c r="U956" t="str">
        <f t="shared" si="714"/>
        <v>弓兵</v>
      </c>
      <c r="V956" t="s">
        <v>4555</v>
      </c>
      <c r="W956">
        <f>属性类型!G956</f>
        <v>124</v>
      </c>
      <c r="X956">
        <v>1</v>
      </c>
    </row>
    <row r="957" customFormat="1" ht="16.5" spans="1:24">
      <c r="A957" s="17">
        <f t="shared" si="735"/>
        <v>30305</v>
      </c>
      <c r="B957" s="17">
        <f t="shared" si="725"/>
        <v>30300</v>
      </c>
      <c r="C957" s="17" t="str">
        <f t="shared" ref="C957:C1020" si="737">LEFT(A957,1)</f>
        <v>3</v>
      </c>
      <c r="D957" s="17">
        <f t="shared" si="726"/>
        <v>30001</v>
      </c>
      <c r="E957" s="17">
        <v>1</v>
      </c>
      <c r="F957" s="17">
        <f t="shared" si="716"/>
        <v>1</v>
      </c>
      <c r="G957" s="17" t="str">
        <f>G956</f>
        <v>初级魔防</v>
      </c>
      <c r="H957" s="17" t="str">
        <f>H956</f>
        <v>icon_04</v>
      </c>
      <c r="I957" s="20">
        <v>0</v>
      </c>
      <c r="J957" s="17">
        <v>5</v>
      </c>
      <c r="K957" s="17">
        <v>0</v>
      </c>
      <c r="L957" s="17">
        <v>0</v>
      </c>
      <c r="M957" s="17" t="str">
        <f>M956</f>
        <v>1:10000:1</v>
      </c>
      <c r="N957" s="16" t="str">
        <f t="shared" si="715"/>
        <v>124:1</v>
      </c>
      <c r="O957" s="17">
        <f t="shared" si="717"/>
        <v>4</v>
      </c>
      <c r="P957" s="21" t="str">
        <f t="shared" si="727"/>
        <v>所有弓兵魔防增加:1</v>
      </c>
      <c r="Q957" s="21"/>
      <c r="R957" t="str">
        <f t="shared" si="736"/>
        <v>魔防</v>
      </c>
      <c r="T957" t="str">
        <f t="shared" si="722"/>
        <v>:1</v>
      </c>
      <c r="U957" t="str">
        <f t="shared" si="714"/>
        <v>弓兵</v>
      </c>
      <c r="V957" t="s">
        <v>4555</v>
      </c>
      <c r="W957">
        <f>属性类型!G957</f>
        <v>124</v>
      </c>
      <c r="X957">
        <v>1</v>
      </c>
    </row>
    <row r="958" customFormat="1" ht="16.5" spans="1:24">
      <c r="A958" s="18">
        <f>A952+100</f>
        <v>30400</v>
      </c>
      <c r="B958" s="18">
        <f t="shared" si="725"/>
        <v>30400</v>
      </c>
      <c r="C958" s="18" t="str">
        <f t="shared" si="737"/>
        <v>3</v>
      </c>
      <c r="D958" s="17">
        <f t="shared" si="726"/>
        <v>30001</v>
      </c>
      <c r="E958" s="17">
        <v>1</v>
      </c>
      <c r="F958" s="18">
        <f t="shared" si="716"/>
        <v>1</v>
      </c>
      <c r="G958" s="18" t="s">
        <v>111</v>
      </c>
      <c r="H958" s="18" t="s">
        <v>112</v>
      </c>
      <c r="I958" s="20">
        <v>0</v>
      </c>
      <c r="J958" s="18">
        <v>0</v>
      </c>
      <c r="K958" s="18">
        <f t="shared" ref="K958:K967" si="738">A959</f>
        <v>30401</v>
      </c>
      <c r="L958" s="18" t="s">
        <v>40</v>
      </c>
      <c r="M958" s="18" t="s">
        <v>114</v>
      </c>
      <c r="N958" s="16" t="str">
        <f t="shared" si="715"/>
        <v>128:1</v>
      </c>
      <c r="O958" s="18">
        <f t="shared" si="717"/>
        <v>5</v>
      </c>
      <c r="P958" s="21" t="str">
        <f t="shared" si="727"/>
        <v>所有弓兵防御百分比增加1</v>
      </c>
      <c r="Q958" s="21"/>
      <c r="R958" t="s">
        <v>4278</v>
      </c>
      <c r="T958" t="str">
        <f>RIGHT(N958,1)</f>
        <v>1</v>
      </c>
      <c r="U958" t="str">
        <f t="shared" si="714"/>
        <v>弓兵</v>
      </c>
      <c r="V958" t="s">
        <v>4556</v>
      </c>
      <c r="W958">
        <f>属性类型!G958</f>
        <v>128</v>
      </c>
      <c r="X958">
        <v>1</v>
      </c>
    </row>
    <row r="959" customFormat="1" ht="16.5" spans="1:24">
      <c r="A959" s="17">
        <f t="shared" ref="A959:A968" si="739">A958+1</f>
        <v>30401</v>
      </c>
      <c r="B959" s="17">
        <f t="shared" si="725"/>
        <v>30400</v>
      </c>
      <c r="C959" s="17" t="str">
        <f t="shared" si="737"/>
        <v>3</v>
      </c>
      <c r="D959" s="17">
        <f t="shared" si="726"/>
        <v>30001</v>
      </c>
      <c r="E959" s="17">
        <v>1</v>
      </c>
      <c r="F959" s="17">
        <f t="shared" si="716"/>
        <v>1</v>
      </c>
      <c r="G959" s="17" t="str">
        <f t="shared" ref="G959:G968" si="740">G958</f>
        <v>初级防御百分比</v>
      </c>
      <c r="H959" s="17" t="str">
        <f t="shared" ref="H959:H968" si="741">H958</f>
        <v>icon_05</v>
      </c>
      <c r="I959" s="20">
        <v>0</v>
      </c>
      <c r="J959" s="17">
        <v>1</v>
      </c>
      <c r="K959" s="17">
        <f t="shared" si="738"/>
        <v>30402</v>
      </c>
      <c r="L959" s="17" t="s">
        <v>44</v>
      </c>
      <c r="M959" s="17" t="str">
        <f t="shared" ref="M959:M968" si="742">M958</f>
        <v>1:10100:5</v>
      </c>
      <c r="N959" s="16" t="str">
        <f t="shared" si="715"/>
        <v>128:1</v>
      </c>
      <c r="O959" s="17">
        <f t="shared" si="717"/>
        <v>5</v>
      </c>
      <c r="P959" s="21" t="str">
        <f t="shared" si="727"/>
        <v>所有弓兵防御百分比增加:1</v>
      </c>
      <c r="Q959" s="21"/>
      <c r="R959" t="str">
        <f t="shared" ref="R959:R968" si="743">R958</f>
        <v>防御百分比</v>
      </c>
      <c r="T959" t="str">
        <f t="shared" ref="T959:T968" si="744">RIGHT(N959,2)</f>
        <v>:1</v>
      </c>
      <c r="U959" t="str">
        <f t="shared" si="714"/>
        <v>弓兵</v>
      </c>
      <c r="V959" t="s">
        <v>4556</v>
      </c>
      <c r="W959">
        <f>属性类型!G959</f>
        <v>128</v>
      </c>
      <c r="X959">
        <v>1</v>
      </c>
    </row>
    <row r="960" customFormat="1" ht="16.5" spans="1:24">
      <c r="A960" s="17">
        <f t="shared" si="739"/>
        <v>30402</v>
      </c>
      <c r="B960" s="17">
        <f t="shared" si="725"/>
        <v>30400</v>
      </c>
      <c r="C960" s="17" t="str">
        <f t="shared" si="737"/>
        <v>3</v>
      </c>
      <c r="D960" s="17">
        <f t="shared" si="726"/>
        <v>30001</v>
      </c>
      <c r="E960" s="17">
        <v>1</v>
      </c>
      <c r="F960" s="17">
        <f t="shared" si="716"/>
        <v>1</v>
      </c>
      <c r="G960" s="17" t="str">
        <f t="shared" si="740"/>
        <v>初级防御百分比</v>
      </c>
      <c r="H960" s="17" t="str">
        <f t="shared" si="741"/>
        <v>icon_05</v>
      </c>
      <c r="I960" s="20">
        <v>0</v>
      </c>
      <c r="J960" s="17">
        <v>2</v>
      </c>
      <c r="K960" s="17">
        <f t="shared" si="738"/>
        <v>30403</v>
      </c>
      <c r="L960" s="17" t="s">
        <v>49</v>
      </c>
      <c r="M960" s="17" t="str">
        <f t="shared" si="742"/>
        <v>1:10100:5</v>
      </c>
      <c r="N960" s="16" t="str">
        <f t="shared" si="715"/>
        <v>128:1</v>
      </c>
      <c r="O960" s="17">
        <f t="shared" si="717"/>
        <v>5</v>
      </c>
      <c r="P960" s="21" t="str">
        <f t="shared" si="727"/>
        <v>所有弓兵防御百分比增加:1</v>
      </c>
      <c r="Q960" s="21"/>
      <c r="R960" t="str">
        <f t="shared" si="743"/>
        <v>防御百分比</v>
      </c>
      <c r="T960" t="str">
        <f t="shared" si="744"/>
        <v>:1</v>
      </c>
      <c r="U960" t="str">
        <f t="shared" si="714"/>
        <v>弓兵</v>
      </c>
      <c r="V960" t="s">
        <v>4556</v>
      </c>
      <c r="W960">
        <f>属性类型!G960</f>
        <v>128</v>
      </c>
      <c r="X960">
        <v>1</v>
      </c>
    </row>
    <row r="961" customFormat="1" ht="16.5" spans="1:24">
      <c r="A961" s="17">
        <f t="shared" si="739"/>
        <v>30403</v>
      </c>
      <c r="B961" s="17">
        <f t="shared" si="725"/>
        <v>30400</v>
      </c>
      <c r="C961" s="17" t="str">
        <f t="shared" si="737"/>
        <v>3</v>
      </c>
      <c r="D961" s="17">
        <f t="shared" si="726"/>
        <v>30001</v>
      </c>
      <c r="E961" s="17">
        <v>1</v>
      </c>
      <c r="F961" s="17">
        <f t="shared" si="716"/>
        <v>1</v>
      </c>
      <c r="G961" s="17" t="str">
        <f t="shared" si="740"/>
        <v>初级防御百分比</v>
      </c>
      <c r="H961" s="17" t="str">
        <f t="shared" si="741"/>
        <v>icon_05</v>
      </c>
      <c r="I961" s="20">
        <v>0</v>
      </c>
      <c r="J961" s="17">
        <v>3</v>
      </c>
      <c r="K961" s="17">
        <f t="shared" si="738"/>
        <v>30404</v>
      </c>
      <c r="L961" s="17" t="s">
        <v>53</v>
      </c>
      <c r="M961" s="17" t="str">
        <f t="shared" si="742"/>
        <v>1:10100:5</v>
      </c>
      <c r="N961" s="16" t="str">
        <f t="shared" si="715"/>
        <v>128:1</v>
      </c>
      <c r="O961" s="17">
        <f t="shared" si="717"/>
        <v>5</v>
      </c>
      <c r="P961" s="21" t="str">
        <f t="shared" si="727"/>
        <v>所有弓兵防御百分比增加:1</v>
      </c>
      <c r="Q961" s="21"/>
      <c r="R961" t="str">
        <f t="shared" si="743"/>
        <v>防御百分比</v>
      </c>
      <c r="T961" t="str">
        <f t="shared" si="744"/>
        <v>:1</v>
      </c>
      <c r="U961" t="str">
        <f t="shared" si="714"/>
        <v>弓兵</v>
      </c>
      <c r="V961" t="s">
        <v>4556</v>
      </c>
      <c r="W961">
        <f>属性类型!G961</f>
        <v>128</v>
      </c>
      <c r="X961">
        <v>1</v>
      </c>
    </row>
    <row r="962" customFormat="1" ht="16.5" spans="1:24">
      <c r="A962" s="17">
        <f t="shared" si="739"/>
        <v>30404</v>
      </c>
      <c r="B962" s="17">
        <f t="shared" si="725"/>
        <v>30400</v>
      </c>
      <c r="C962" s="17" t="str">
        <f t="shared" si="737"/>
        <v>3</v>
      </c>
      <c r="D962" s="17">
        <f t="shared" si="726"/>
        <v>30001</v>
      </c>
      <c r="E962" s="17">
        <v>1</v>
      </c>
      <c r="F962" s="17">
        <f t="shared" si="716"/>
        <v>1</v>
      </c>
      <c r="G962" s="17" t="str">
        <f t="shared" si="740"/>
        <v>初级防御百分比</v>
      </c>
      <c r="H962" s="17" t="str">
        <f t="shared" si="741"/>
        <v>icon_05</v>
      </c>
      <c r="I962" s="20">
        <v>0</v>
      </c>
      <c r="J962" s="17">
        <v>4</v>
      </c>
      <c r="K962" s="17">
        <f t="shared" si="738"/>
        <v>30405</v>
      </c>
      <c r="L962" s="17" t="s">
        <v>57</v>
      </c>
      <c r="M962" s="17" t="str">
        <f t="shared" si="742"/>
        <v>1:10100:5</v>
      </c>
      <c r="N962" s="16" t="str">
        <f t="shared" si="715"/>
        <v>128:1</v>
      </c>
      <c r="O962" s="17">
        <f t="shared" si="717"/>
        <v>5</v>
      </c>
      <c r="P962" s="21" t="str">
        <f t="shared" si="727"/>
        <v>所有弓兵防御百分比增加:1</v>
      </c>
      <c r="Q962" s="21"/>
      <c r="R962" t="str">
        <f t="shared" si="743"/>
        <v>防御百分比</v>
      </c>
      <c r="T962" t="str">
        <f t="shared" si="744"/>
        <v>:1</v>
      </c>
      <c r="U962" t="str">
        <f t="shared" si="714"/>
        <v>弓兵</v>
      </c>
      <c r="V962" t="s">
        <v>4556</v>
      </c>
      <c r="W962">
        <f>属性类型!G962</f>
        <v>128</v>
      </c>
      <c r="X962">
        <v>1</v>
      </c>
    </row>
    <row r="963" customFormat="1" ht="16.5" spans="1:24">
      <c r="A963" s="17">
        <f t="shared" si="739"/>
        <v>30405</v>
      </c>
      <c r="B963" s="17">
        <f t="shared" si="725"/>
        <v>30400</v>
      </c>
      <c r="C963" s="17" t="str">
        <f t="shared" si="737"/>
        <v>3</v>
      </c>
      <c r="D963" s="17">
        <f t="shared" si="726"/>
        <v>30001</v>
      </c>
      <c r="E963" s="17">
        <v>1</v>
      </c>
      <c r="F963" s="17">
        <f t="shared" si="716"/>
        <v>1</v>
      </c>
      <c r="G963" s="17" t="str">
        <f t="shared" si="740"/>
        <v>初级防御百分比</v>
      </c>
      <c r="H963" s="17" t="str">
        <f t="shared" si="741"/>
        <v>icon_05</v>
      </c>
      <c r="I963" s="20">
        <v>0</v>
      </c>
      <c r="J963" s="17">
        <v>5</v>
      </c>
      <c r="K963" s="17">
        <f t="shared" si="738"/>
        <v>30406</v>
      </c>
      <c r="L963" s="17" t="s">
        <v>127</v>
      </c>
      <c r="M963" s="17" t="str">
        <f t="shared" si="742"/>
        <v>1:10100:5</v>
      </c>
      <c r="N963" s="16" t="str">
        <f t="shared" si="715"/>
        <v>128:1</v>
      </c>
      <c r="O963" s="17">
        <f t="shared" si="717"/>
        <v>5</v>
      </c>
      <c r="P963" s="21" t="str">
        <f t="shared" si="727"/>
        <v>所有弓兵防御百分比增加:1</v>
      </c>
      <c r="Q963" s="21"/>
      <c r="R963" t="str">
        <f t="shared" si="743"/>
        <v>防御百分比</v>
      </c>
      <c r="T963" t="str">
        <f t="shared" si="744"/>
        <v>:1</v>
      </c>
      <c r="U963" t="str">
        <f t="shared" si="714"/>
        <v>弓兵</v>
      </c>
      <c r="V963" t="s">
        <v>4556</v>
      </c>
      <c r="W963">
        <f>属性类型!G963</f>
        <v>128</v>
      </c>
      <c r="X963">
        <v>1</v>
      </c>
    </row>
    <row r="964" customFormat="1" ht="16.5" spans="1:24">
      <c r="A964" s="17">
        <f t="shared" si="739"/>
        <v>30406</v>
      </c>
      <c r="B964" s="17">
        <f t="shared" si="725"/>
        <v>30400</v>
      </c>
      <c r="C964" s="17" t="str">
        <f t="shared" si="737"/>
        <v>3</v>
      </c>
      <c r="D964" s="17">
        <f t="shared" si="726"/>
        <v>30001</v>
      </c>
      <c r="E964" s="17">
        <v>1</v>
      </c>
      <c r="F964" s="17">
        <f t="shared" si="716"/>
        <v>1</v>
      </c>
      <c r="G964" s="17" t="str">
        <f t="shared" si="740"/>
        <v>初级防御百分比</v>
      </c>
      <c r="H964" s="17" t="str">
        <f t="shared" si="741"/>
        <v>icon_05</v>
      </c>
      <c r="I964" s="20">
        <v>0</v>
      </c>
      <c r="J964" s="17">
        <v>6</v>
      </c>
      <c r="K964" s="17">
        <f t="shared" si="738"/>
        <v>30407</v>
      </c>
      <c r="L964" s="17" t="s">
        <v>131</v>
      </c>
      <c r="M964" s="17" t="str">
        <f t="shared" si="742"/>
        <v>1:10100:5</v>
      </c>
      <c r="N964" s="16" t="str">
        <f t="shared" si="715"/>
        <v>128:1</v>
      </c>
      <c r="O964" s="17">
        <f t="shared" si="717"/>
        <v>5</v>
      </c>
      <c r="P964" s="21" t="str">
        <f t="shared" si="727"/>
        <v>所有弓兵防御百分比增加:1</v>
      </c>
      <c r="Q964" s="21"/>
      <c r="R964" t="str">
        <f t="shared" si="743"/>
        <v>防御百分比</v>
      </c>
      <c r="T964" t="str">
        <f t="shared" si="744"/>
        <v>:1</v>
      </c>
      <c r="U964" t="str">
        <f t="shared" si="714"/>
        <v>弓兵</v>
      </c>
      <c r="V964" t="s">
        <v>4556</v>
      </c>
      <c r="W964">
        <f>属性类型!G964</f>
        <v>128</v>
      </c>
      <c r="X964">
        <v>1</v>
      </c>
    </row>
    <row r="965" customFormat="1" ht="16.5" spans="1:24">
      <c r="A965" s="17">
        <f t="shared" si="739"/>
        <v>30407</v>
      </c>
      <c r="B965" s="17">
        <f t="shared" si="725"/>
        <v>30400</v>
      </c>
      <c r="C965" s="17" t="str">
        <f t="shared" si="737"/>
        <v>3</v>
      </c>
      <c r="D965" s="17">
        <f t="shared" si="726"/>
        <v>30001</v>
      </c>
      <c r="E965" s="17">
        <v>1</v>
      </c>
      <c r="F965" s="17">
        <f t="shared" si="716"/>
        <v>1</v>
      </c>
      <c r="G965" s="17" t="str">
        <f t="shared" si="740"/>
        <v>初级防御百分比</v>
      </c>
      <c r="H965" s="17" t="str">
        <f t="shared" si="741"/>
        <v>icon_05</v>
      </c>
      <c r="I965" s="20">
        <v>0</v>
      </c>
      <c r="J965" s="17">
        <v>7</v>
      </c>
      <c r="K965" s="17">
        <f t="shared" si="738"/>
        <v>30408</v>
      </c>
      <c r="L965" s="17" t="s">
        <v>135</v>
      </c>
      <c r="M965" s="17" t="str">
        <f t="shared" si="742"/>
        <v>1:10100:5</v>
      </c>
      <c r="N965" s="16" t="str">
        <f t="shared" si="715"/>
        <v>128:1</v>
      </c>
      <c r="O965" s="17">
        <f t="shared" si="717"/>
        <v>5</v>
      </c>
      <c r="P965" s="21" t="str">
        <f t="shared" si="727"/>
        <v>所有弓兵防御百分比增加:1</v>
      </c>
      <c r="Q965" s="21"/>
      <c r="R965" t="str">
        <f t="shared" si="743"/>
        <v>防御百分比</v>
      </c>
      <c r="T965" t="str">
        <f t="shared" si="744"/>
        <v>:1</v>
      </c>
      <c r="U965" t="str">
        <f t="shared" ref="U965:U1028" si="745">MID(P965,3,2)</f>
        <v>弓兵</v>
      </c>
      <c r="V965" t="s">
        <v>4556</v>
      </c>
      <c r="W965">
        <f>属性类型!G965</f>
        <v>128</v>
      </c>
      <c r="X965">
        <v>1</v>
      </c>
    </row>
    <row r="966" customFormat="1" ht="16.5" spans="1:24">
      <c r="A966" s="17">
        <f t="shared" si="739"/>
        <v>30408</v>
      </c>
      <c r="B966" s="17">
        <f t="shared" si="725"/>
        <v>30400</v>
      </c>
      <c r="C966" s="17" t="str">
        <f t="shared" si="737"/>
        <v>3</v>
      </c>
      <c r="D966" s="17">
        <f t="shared" si="726"/>
        <v>30001</v>
      </c>
      <c r="E966" s="17">
        <v>1</v>
      </c>
      <c r="F966" s="17">
        <f t="shared" si="716"/>
        <v>1</v>
      </c>
      <c r="G966" s="17" t="str">
        <f t="shared" si="740"/>
        <v>初级防御百分比</v>
      </c>
      <c r="H966" s="17" t="str">
        <f t="shared" si="741"/>
        <v>icon_05</v>
      </c>
      <c r="I966" s="20">
        <v>0</v>
      </c>
      <c r="J966" s="17">
        <v>8</v>
      </c>
      <c r="K966" s="17">
        <f t="shared" si="738"/>
        <v>30409</v>
      </c>
      <c r="L966" s="17" t="s">
        <v>139</v>
      </c>
      <c r="M966" s="17" t="str">
        <f t="shared" si="742"/>
        <v>1:10100:5</v>
      </c>
      <c r="N966" s="16" t="str">
        <f t="shared" si="715"/>
        <v>128:1</v>
      </c>
      <c r="O966" s="17">
        <f t="shared" si="717"/>
        <v>5</v>
      </c>
      <c r="P966" s="21" t="str">
        <f t="shared" si="727"/>
        <v>所有弓兵防御百分比增加:1</v>
      </c>
      <c r="Q966" s="21"/>
      <c r="R966" t="str">
        <f t="shared" si="743"/>
        <v>防御百分比</v>
      </c>
      <c r="T966" t="str">
        <f t="shared" si="744"/>
        <v>:1</v>
      </c>
      <c r="U966" t="str">
        <f t="shared" si="745"/>
        <v>弓兵</v>
      </c>
      <c r="V966" t="s">
        <v>4556</v>
      </c>
      <c r="W966">
        <f>属性类型!G966</f>
        <v>128</v>
      </c>
      <c r="X966">
        <v>1</v>
      </c>
    </row>
    <row r="967" customFormat="1" ht="16.5" spans="1:24">
      <c r="A967" s="17">
        <f t="shared" si="739"/>
        <v>30409</v>
      </c>
      <c r="B967" s="17">
        <f t="shared" si="725"/>
        <v>30400</v>
      </c>
      <c r="C967" s="17" t="str">
        <f t="shared" si="737"/>
        <v>3</v>
      </c>
      <c r="D967" s="17">
        <f t="shared" si="726"/>
        <v>30001</v>
      </c>
      <c r="E967" s="17">
        <v>1</v>
      </c>
      <c r="F967" s="17">
        <f t="shared" si="716"/>
        <v>1</v>
      </c>
      <c r="G967" s="17" t="str">
        <f t="shared" si="740"/>
        <v>初级防御百分比</v>
      </c>
      <c r="H967" s="17" t="str">
        <f t="shared" si="741"/>
        <v>icon_05</v>
      </c>
      <c r="I967" s="20">
        <v>0</v>
      </c>
      <c r="J967" s="17">
        <v>9</v>
      </c>
      <c r="K967" s="17">
        <f t="shared" si="738"/>
        <v>30410</v>
      </c>
      <c r="L967" s="17" t="s">
        <v>143</v>
      </c>
      <c r="M967" s="17" t="str">
        <f t="shared" si="742"/>
        <v>1:10100:5</v>
      </c>
      <c r="N967" s="16" t="str">
        <f t="shared" si="715"/>
        <v>128:1</v>
      </c>
      <c r="O967" s="17">
        <f t="shared" si="717"/>
        <v>5</v>
      </c>
      <c r="P967" s="21" t="str">
        <f t="shared" si="727"/>
        <v>所有弓兵防御百分比增加:1</v>
      </c>
      <c r="Q967" s="21"/>
      <c r="R967" t="str">
        <f t="shared" si="743"/>
        <v>防御百分比</v>
      </c>
      <c r="T967" t="str">
        <f t="shared" si="744"/>
        <v>:1</v>
      </c>
      <c r="U967" t="str">
        <f t="shared" si="745"/>
        <v>弓兵</v>
      </c>
      <c r="V967" t="s">
        <v>4556</v>
      </c>
      <c r="W967">
        <f>属性类型!G967</f>
        <v>128</v>
      </c>
      <c r="X967">
        <v>1</v>
      </c>
    </row>
    <row r="968" customFormat="1" ht="16.5" spans="1:24">
      <c r="A968" s="17">
        <f t="shared" si="739"/>
        <v>30410</v>
      </c>
      <c r="B968" s="17">
        <f t="shared" si="725"/>
        <v>30400</v>
      </c>
      <c r="C968" s="17" t="str">
        <f t="shared" si="737"/>
        <v>3</v>
      </c>
      <c r="D968" s="17">
        <f t="shared" si="726"/>
        <v>30001</v>
      </c>
      <c r="E968" s="17">
        <v>1</v>
      </c>
      <c r="F968" s="17">
        <f t="shared" si="716"/>
        <v>1</v>
      </c>
      <c r="G968" s="17" t="str">
        <f t="shared" si="740"/>
        <v>初级防御百分比</v>
      </c>
      <c r="H968" s="17" t="str">
        <f t="shared" si="741"/>
        <v>icon_05</v>
      </c>
      <c r="I968" s="20">
        <v>0</v>
      </c>
      <c r="J968" s="17">
        <v>10</v>
      </c>
      <c r="K968" s="17">
        <v>0</v>
      </c>
      <c r="L968" s="17">
        <v>0</v>
      </c>
      <c r="M968" s="17" t="str">
        <f t="shared" si="742"/>
        <v>1:10100:5</v>
      </c>
      <c r="N968" s="16" t="str">
        <f t="shared" si="715"/>
        <v>128:1</v>
      </c>
      <c r="O968" s="17">
        <f t="shared" si="717"/>
        <v>5</v>
      </c>
      <c r="P968" s="21" t="str">
        <f t="shared" si="727"/>
        <v>所有弓兵防御百分比增加:1</v>
      </c>
      <c r="Q968" s="21"/>
      <c r="R968" t="str">
        <f t="shared" si="743"/>
        <v>防御百分比</v>
      </c>
      <c r="T968" t="str">
        <f t="shared" si="744"/>
        <v>:1</v>
      </c>
      <c r="U968" t="str">
        <f t="shared" si="745"/>
        <v>弓兵</v>
      </c>
      <c r="V968" t="s">
        <v>4556</v>
      </c>
      <c r="W968">
        <f>属性类型!G968</f>
        <v>128</v>
      </c>
      <c r="X968">
        <v>1</v>
      </c>
    </row>
    <row r="969" customFormat="1" ht="16.5" spans="1:24">
      <c r="A969" s="18">
        <f>A958+100</f>
        <v>30500</v>
      </c>
      <c r="B969" s="18">
        <f t="shared" si="725"/>
        <v>30500</v>
      </c>
      <c r="C969" s="18" t="str">
        <f t="shared" si="737"/>
        <v>3</v>
      </c>
      <c r="D969" s="17">
        <f t="shared" si="726"/>
        <v>30001</v>
      </c>
      <c r="E969" s="17">
        <v>1</v>
      </c>
      <c r="F969" s="18">
        <f t="shared" si="716"/>
        <v>1</v>
      </c>
      <c r="G969" s="18" t="s">
        <v>148</v>
      </c>
      <c r="H969" s="18" t="s">
        <v>149</v>
      </c>
      <c r="I969" s="20">
        <v>0</v>
      </c>
      <c r="J969" s="18">
        <v>0</v>
      </c>
      <c r="K969" s="18">
        <f t="shared" ref="K969:K978" si="746">A970</f>
        <v>30501</v>
      </c>
      <c r="L969" s="18" t="s">
        <v>40</v>
      </c>
      <c r="M969" s="18" t="s">
        <v>151</v>
      </c>
      <c r="N969" s="16" t="str">
        <f t="shared" si="715"/>
        <v>127:1</v>
      </c>
      <c r="O969" s="18">
        <f t="shared" si="717"/>
        <v>6</v>
      </c>
      <c r="P969" s="21" t="str">
        <f t="shared" si="727"/>
        <v>所有弓兵攻击百分比增加1</v>
      </c>
      <c r="Q969" s="21"/>
      <c r="R969" t="s">
        <v>4280</v>
      </c>
      <c r="T969" t="str">
        <f>RIGHT(N969,1)</f>
        <v>1</v>
      </c>
      <c r="U969" t="str">
        <f t="shared" si="745"/>
        <v>弓兵</v>
      </c>
      <c r="V969" t="s">
        <v>4557</v>
      </c>
      <c r="W969">
        <f>属性类型!G969</f>
        <v>127</v>
      </c>
      <c r="X969">
        <v>1</v>
      </c>
    </row>
    <row r="970" customFormat="1" ht="16.5" spans="1:24">
      <c r="A970" s="17">
        <f t="shared" ref="A970:A979" si="747">A969+1</f>
        <v>30501</v>
      </c>
      <c r="B970" s="17">
        <f t="shared" si="725"/>
        <v>30500</v>
      </c>
      <c r="C970" s="17" t="str">
        <f t="shared" si="737"/>
        <v>3</v>
      </c>
      <c r="D970" s="17">
        <f t="shared" si="726"/>
        <v>30001</v>
      </c>
      <c r="E970" s="17">
        <v>1</v>
      </c>
      <c r="F970" s="17">
        <f t="shared" si="716"/>
        <v>1</v>
      </c>
      <c r="G970" s="17" t="str">
        <f t="shared" ref="G970:G979" si="748">G969</f>
        <v>初级攻击百分比</v>
      </c>
      <c r="H970" s="17" t="str">
        <f t="shared" ref="H970:H979" si="749">H969</f>
        <v>icon_06</v>
      </c>
      <c r="I970" s="20">
        <v>0</v>
      </c>
      <c r="J970" s="17">
        <v>1</v>
      </c>
      <c r="K970" s="17">
        <f t="shared" si="746"/>
        <v>30502</v>
      </c>
      <c r="L970" s="17" t="s">
        <v>44</v>
      </c>
      <c r="M970" s="17" t="str">
        <f t="shared" ref="M970:M979" si="750">M969</f>
        <v>1:10200:5</v>
      </c>
      <c r="N970" s="16" t="str">
        <f t="shared" si="715"/>
        <v>127:1</v>
      </c>
      <c r="O970" s="17">
        <f t="shared" si="717"/>
        <v>6</v>
      </c>
      <c r="P970" s="21" t="str">
        <f t="shared" si="727"/>
        <v>所有弓兵攻击百分比增加:1</v>
      </c>
      <c r="Q970" s="21"/>
      <c r="R970" t="str">
        <f t="shared" ref="R970:R979" si="751">R969</f>
        <v>攻击百分比</v>
      </c>
      <c r="T970" t="str">
        <f t="shared" ref="T970:T979" si="752">RIGHT(N970,2)</f>
        <v>:1</v>
      </c>
      <c r="U970" t="str">
        <f t="shared" si="745"/>
        <v>弓兵</v>
      </c>
      <c r="V970" t="s">
        <v>4557</v>
      </c>
      <c r="W970">
        <f>属性类型!G970</f>
        <v>127</v>
      </c>
      <c r="X970">
        <v>1</v>
      </c>
    </row>
    <row r="971" customFormat="1" ht="16.5" spans="1:24">
      <c r="A971" s="17">
        <f t="shared" si="747"/>
        <v>30502</v>
      </c>
      <c r="B971" s="17">
        <f t="shared" si="725"/>
        <v>30500</v>
      </c>
      <c r="C971" s="17" t="str">
        <f t="shared" si="737"/>
        <v>3</v>
      </c>
      <c r="D971" s="17">
        <f t="shared" si="726"/>
        <v>30001</v>
      </c>
      <c r="E971" s="17">
        <v>1</v>
      </c>
      <c r="F971" s="17">
        <f t="shared" si="716"/>
        <v>1</v>
      </c>
      <c r="G971" s="17" t="str">
        <f t="shared" si="748"/>
        <v>初级攻击百分比</v>
      </c>
      <c r="H971" s="17" t="str">
        <f t="shared" si="749"/>
        <v>icon_06</v>
      </c>
      <c r="I971" s="20">
        <v>0</v>
      </c>
      <c r="J971" s="17">
        <v>2</v>
      </c>
      <c r="K971" s="17">
        <f t="shared" si="746"/>
        <v>30503</v>
      </c>
      <c r="L971" s="17" t="s">
        <v>49</v>
      </c>
      <c r="M971" s="17" t="str">
        <f t="shared" si="750"/>
        <v>1:10200:5</v>
      </c>
      <c r="N971" s="16" t="str">
        <f t="shared" ref="N971:N1034" si="753">W971&amp;$W$2&amp;X971</f>
        <v>127:1</v>
      </c>
      <c r="O971" s="17">
        <f t="shared" si="717"/>
        <v>6</v>
      </c>
      <c r="P971" s="21" t="str">
        <f t="shared" si="727"/>
        <v>所有弓兵攻击百分比增加:1</v>
      </c>
      <c r="Q971" s="21"/>
      <c r="R971" t="str">
        <f t="shared" si="751"/>
        <v>攻击百分比</v>
      </c>
      <c r="T971" t="str">
        <f t="shared" si="752"/>
        <v>:1</v>
      </c>
      <c r="U971" t="str">
        <f t="shared" si="745"/>
        <v>弓兵</v>
      </c>
      <c r="V971" t="s">
        <v>4557</v>
      </c>
      <c r="W971">
        <f>属性类型!G971</f>
        <v>127</v>
      </c>
      <c r="X971">
        <v>1</v>
      </c>
    </row>
    <row r="972" customFormat="1" ht="16.5" spans="1:24">
      <c r="A972" s="17">
        <f t="shared" si="747"/>
        <v>30503</v>
      </c>
      <c r="B972" s="17">
        <f t="shared" si="725"/>
        <v>30500</v>
      </c>
      <c r="C972" s="17" t="str">
        <f t="shared" si="737"/>
        <v>3</v>
      </c>
      <c r="D972" s="17">
        <f t="shared" si="726"/>
        <v>30001</v>
      </c>
      <c r="E972" s="17">
        <v>1</v>
      </c>
      <c r="F972" s="17">
        <f t="shared" si="716"/>
        <v>1</v>
      </c>
      <c r="G972" s="17" t="str">
        <f t="shared" si="748"/>
        <v>初级攻击百分比</v>
      </c>
      <c r="H972" s="17" t="str">
        <f t="shared" si="749"/>
        <v>icon_06</v>
      </c>
      <c r="I972" s="20">
        <v>0</v>
      </c>
      <c r="J972" s="17">
        <v>3</v>
      </c>
      <c r="K972" s="17">
        <f t="shared" si="746"/>
        <v>30504</v>
      </c>
      <c r="L972" s="17" t="s">
        <v>53</v>
      </c>
      <c r="M972" s="17" t="str">
        <f t="shared" si="750"/>
        <v>1:10200:5</v>
      </c>
      <c r="N972" s="16" t="str">
        <f t="shared" si="753"/>
        <v>127:1</v>
      </c>
      <c r="O972" s="17">
        <f t="shared" si="717"/>
        <v>6</v>
      </c>
      <c r="P972" s="21" t="str">
        <f t="shared" si="727"/>
        <v>所有弓兵攻击百分比增加:1</v>
      </c>
      <c r="Q972" s="21"/>
      <c r="R972" t="str">
        <f t="shared" si="751"/>
        <v>攻击百分比</v>
      </c>
      <c r="T972" t="str">
        <f t="shared" si="752"/>
        <v>:1</v>
      </c>
      <c r="U972" t="str">
        <f t="shared" si="745"/>
        <v>弓兵</v>
      </c>
      <c r="V972" t="s">
        <v>4557</v>
      </c>
      <c r="W972">
        <f>属性类型!G972</f>
        <v>127</v>
      </c>
      <c r="X972">
        <v>1</v>
      </c>
    </row>
    <row r="973" customFormat="1" ht="16.5" spans="1:24">
      <c r="A973" s="17">
        <f t="shared" si="747"/>
        <v>30504</v>
      </c>
      <c r="B973" s="17">
        <f t="shared" si="725"/>
        <v>30500</v>
      </c>
      <c r="C973" s="17" t="str">
        <f t="shared" si="737"/>
        <v>3</v>
      </c>
      <c r="D973" s="17">
        <f t="shared" si="726"/>
        <v>30001</v>
      </c>
      <c r="E973" s="17">
        <v>1</v>
      </c>
      <c r="F973" s="17">
        <f t="shared" si="716"/>
        <v>1</v>
      </c>
      <c r="G973" s="17" t="str">
        <f t="shared" si="748"/>
        <v>初级攻击百分比</v>
      </c>
      <c r="H973" s="17" t="str">
        <f t="shared" si="749"/>
        <v>icon_06</v>
      </c>
      <c r="I973" s="20">
        <v>0</v>
      </c>
      <c r="J973" s="17">
        <v>4</v>
      </c>
      <c r="K973" s="17">
        <f t="shared" si="746"/>
        <v>30505</v>
      </c>
      <c r="L973" s="17" t="s">
        <v>57</v>
      </c>
      <c r="M973" s="17" t="str">
        <f t="shared" si="750"/>
        <v>1:10200:5</v>
      </c>
      <c r="N973" s="16" t="str">
        <f t="shared" si="753"/>
        <v>127:1</v>
      </c>
      <c r="O973" s="17">
        <f t="shared" si="717"/>
        <v>6</v>
      </c>
      <c r="P973" s="21" t="str">
        <f t="shared" si="727"/>
        <v>所有弓兵攻击百分比增加:1</v>
      </c>
      <c r="Q973" s="21"/>
      <c r="R973" t="str">
        <f t="shared" si="751"/>
        <v>攻击百分比</v>
      </c>
      <c r="T973" t="str">
        <f t="shared" si="752"/>
        <v>:1</v>
      </c>
      <c r="U973" t="str">
        <f t="shared" si="745"/>
        <v>弓兵</v>
      </c>
      <c r="V973" t="s">
        <v>4557</v>
      </c>
      <c r="W973">
        <f>属性类型!G973</f>
        <v>127</v>
      </c>
      <c r="X973">
        <v>1</v>
      </c>
    </row>
    <row r="974" customFormat="1" ht="16.5" spans="1:24">
      <c r="A974" s="17">
        <f t="shared" si="747"/>
        <v>30505</v>
      </c>
      <c r="B974" s="17">
        <f t="shared" si="725"/>
        <v>30500</v>
      </c>
      <c r="C974" s="17" t="str">
        <f t="shared" si="737"/>
        <v>3</v>
      </c>
      <c r="D974" s="17">
        <f t="shared" si="726"/>
        <v>30001</v>
      </c>
      <c r="E974" s="17">
        <v>1</v>
      </c>
      <c r="F974" s="17">
        <f t="shared" si="716"/>
        <v>1</v>
      </c>
      <c r="G974" s="17" t="str">
        <f t="shared" si="748"/>
        <v>初级攻击百分比</v>
      </c>
      <c r="H974" s="17" t="str">
        <f t="shared" si="749"/>
        <v>icon_06</v>
      </c>
      <c r="I974" s="20">
        <v>0</v>
      </c>
      <c r="J974" s="17">
        <v>5</v>
      </c>
      <c r="K974" s="17">
        <f t="shared" si="746"/>
        <v>30506</v>
      </c>
      <c r="L974" s="17" t="s">
        <v>127</v>
      </c>
      <c r="M974" s="17" t="str">
        <f t="shared" si="750"/>
        <v>1:10200:5</v>
      </c>
      <c r="N974" s="16" t="str">
        <f t="shared" si="753"/>
        <v>127:1</v>
      </c>
      <c r="O974" s="17">
        <f t="shared" si="717"/>
        <v>6</v>
      </c>
      <c r="P974" s="21" t="str">
        <f t="shared" si="727"/>
        <v>所有弓兵攻击百分比增加:1</v>
      </c>
      <c r="Q974" s="21"/>
      <c r="R974" t="str">
        <f t="shared" si="751"/>
        <v>攻击百分比</v>
      </c>
      <c r="T974" t="str">
        <f t="shared" si="752"/>
        <v>:1</v>
      </c>
      <c r="U974" t="str">
        <f t="shared" si="745"/>
        <v>弓兵</v>
      </c>
      <c r="V974" t="s">
        <v>4557</v>
      </c>
      <c r="W974">
        <f>属性类型!G974</f>
        <v>127</v>
      </c>
      <c r="X974">
        <v>1</v>
      </c>
    </row>
    <row r="975" customFormat="1" ht="16.5" spans="1:24">
      <c r="A975" s="17">
        <f t="shared" si="747"/>
        <v>30506</v>
      </c>
      <c r="B975" s="17">
        <f t="shared" si="725"/>
        <v>30500</v>
      </c>
      <c r="C975" s="17" t="str">
        <f t="shared" si="737"/>
        <v>3</v>
      </c>
      <c r="D975" s="17">
        <f t="shared" si="726"/>
        <v>30001</v>
      </c>
      <c r="E975" s="17">
        <v>1</v>
      </c>
      <c r="F975" s="17">
        <f t="shared" si="716"/>
        <v>1</v>
      </c>
      <c r="G975" s="17" t="str">
        <f t="shared" si="748"/>
        <v>初级攻击百分比</v>
      </c>
      <c r="H975" s="17" t="str">
        <f t="shared" si="749"/>
        <v>icon_06</v>
      </c>
      <c r="I975" s="20">
        <v>0</v>
      </c>
      <c r="J975" s="17">
        <v>6</v>
      </c>
      <c r="K975" s="17">
        <f t="shared" si="746"/>
        <v>30507</v>
      </c>
      <c r="L975" s="17" t="s">
        <v>131</v>
      </c>
      <c r="M975" s="17" t="str">
        <f t="shared" si="750"/>
        <v>1:10200:5</v>
      </c>
      <c r="N975" s="16" t="str">
        <f t="shared" si="753"/>
        <v>127:1</v>
      </c>
      <c r="O975" s="17">
        <f t="shared" si="717"/>
        <v>6</v>
      </c>
      <c r="P975" s="21" t="str">
        <f t="shared" si="727"/>
        <v>所有弓兵攻击百分比增加:1</v>
      </c>
      <c r="Q975" s="21"/>
      <c r="R975" t="str">
        <f t="shared" si="751"/>
        <v>攻击百分比</v>
      </c>
      <c r="T975" t="str">
        <f t="shared" si="752"/>
        <v>:1</v>
      </c>
      <c r="U975" t="str">
        <f t="shared" si="745"/>
        <v>弓兵</v>
      </c>
      <c r="V975" t="s">
        <v>4557</v>
      </c>
      <c r="W975">
        <f>属性类型!G975</f>
        <v>127</v>
      </c>
      <c r="X975">
        <v>1</v>
      </c>
    </row>
    <row r="976" customFormat="1" ht="16.5" spans="1:24">
      <c r="A976" s="17">
        <f t="shared" si="747"/>
        <v>30507</v>
      </c>
      <c r="B976" s="17">
        <f t="shared" si="725"/>
        <v>30500</v>
      </c>
      <c r="C976" s="17" t="str">
        <f t="shared" si="737"/>
        <v>3</v>
      </c>
      <c r="D976" s="17">
        <f t="shared" si="726"/>
        <v>30001</v>
      </c>
      <c r="E976" s="17">
        <v>1</v>
      </c>
      <c r="F976" s="17">
        <f t="shared" ref="F976:F1039" si="754">MID(B976,2,1)+1</f>
        <v>1</v>
      </c>
      <c r="G976" s="17" t="str">
        <f t="shared" si="748"/>
        <v>初级攻击百分比</v>
      </c>
      <c r="H976" s="17" t="str">
        <f t="shared" si="749"/>
        <v>icon_06</v>
      </c>
      <c r="I976" s="20">
        <v>0</v>
      </c>
      <c r="J976" s="17">
        <v>7</v>
      </c>
      <c r="K976" s="17">
        <f t="shared" si="746"/>
        <v>30508</v>
      </c>
      <c r="L976" s="17" t="s">
        <v>135</v>
      </c>
      <c r="M976" s="17" t="str">
        <f t="shared" si="750"/>
        <v>1:10200:5</v>
      </c>
      <c r="N976" s="16" t="str">
        <f t="shared" si="753"/>
        <v>127:1</v>
      </c>
      <c r="O976" s="17">
        <f t="shared" ref="O976:O1039" si="755">MID(A976,3,1)+1</f>
        <v>6</v>
      </c>
      <c r="P976" s="21" t="str">
        <f t="shared" si="727"/>
        <v>所有弓兵攻击百分比增加:1</v>
      </c>
      <c r="Q976" s="21"/>
      <c r="R976" t="str">
        <f t="shared" si="751"/>
        <v>攻击百分比</v>
      </c>
      <c r="T976" t="str">
        <f t="shared" si="752"/>
        <v>:1</v>
      </c>
      <c r="U976" t="str">
        <f t="shared" si="745"/>
        <v>弓兵</v>
      </c>
      <c r="V976" t="s">
        <v>4557</v>
      </c>
      <c r="W976">
        <f>属性类型!G976</f>
        <v>127</v>
      </c>
      <c r="X976">
        <v>1</v>
      </c>
    </row>
    <row r="977" customFormat="1" ht="16.5" spans="1:24">
      <c r="A977" s="17">
        <f t="shared" si="747"/>
        <v>30508</v>
      </c>
      <c r="B977" s="17">
        <f t="shared" si="725"/>
        <v>30500</v>
      </c>
      <c r="C977" s="17" t="str">
        <f t="shared" si="737"/>
        <v>3</v>
      </c>
      <c r="D977" s="17">
        <f t="shared" si="726"/>
        <v>30001</v>
      </c>
      <c r="E977" s="17">
        <v>1</v>
      </c>
      <c r="F977" s="17">
        <f t="shared" si="754"/>
        <v>1</v>
      </c>
      <c r="G977" s="17" t="str">
        <f t="shared" si="748"/>
        <v>初级攻击百分比</v>
      </c>
      <c r="H977" s="17" t="str">
        <f t="shared" si="749"/>
        <v>icon_06</v>
      </c>
      <c r="I977" s="20">
        <v>0</v>
      </c>
      <c r="J977" s="17">
        <v>8</v>
      </c>
      <c r="K977" s="17">
        <f t="shared" si="746"/>
        <v>30509</v>
      </c>
      <c r="L977" s="17" t="s">
        <v>139</v>
      </c>
      <c r="M977" s="17" t="str">
        <f t="shared" si="750"/>
        <v>1:10200:5</v>
      </c>
      <c r="N977" s="16" t="str">
        <f t="shared" si="753"/>
        <v>127:1</v>
      </c>
      <c r="O977" s="17">
        <f t="shared" si="755"/>
        <v>6</v>
      </c>
      <c r="P977" s="21" t="str">
        <f t="shared" si="727"/>
        <v>所有弓兵攻击百分比增加:1</v>
      </c>
      <c r="Q977" s="21"/>
      <c r="R977" t="str">
        <f t="shared" si="751"/>
        <v>攻击百分比</v>
      </c>
      <c r="T977" t="str">
        <f t="shared" si="752"/>
        <v>:1</v>
      </c>
      <c r="U977" t="str">
        <f t="shared" si="745"/>
        <v>弓兵</v>
      </c>
      <c r="V977" t="s">
        <v>4557</v>
      </c>
      <c r="W977">
        <f>属性类型!G977</f>
        <v>127</v>
      </c>
      <c r="X977">
        <v>1</v>
      </c>
    </row>
    <row r="978" customFormat="1" ht="16.5" spans="1:24">
      <c r="A978" s="17">
        <f t="shared" si="747"/>
        <v>30509</v>
      </c>
      <c r="B978" s="17">
        <f t="shared" si="725"/>
        <v>30500</v>
      </c>
      <c r="C978" s="17" t="str">
        <f t="shared" si="737"/>
        <v>3</v>
      </c>
      <c r="D978" s="17">
        <f t="shared" si="726"/>
        <v>30001</v>
      </c>
      <c r="E978" s="17">
        <v>1</v>
      </c>
      <c r="F978" s="17">
        <f t="shared" si="754"/>
        <v>1</v>
      </c>
      <c r="G978" s="17" t="str">
        <f t="shared" si="748"/>
        <v>初级攻击百分比</v>
      </c>
      <c r="H978" s="17" t="str">
        <f t="shared" si="749"/>
        <v>icon_06</v>
      </c>
      <c r="I978" s="20">
        <v>0</v>
      </c>
      <c r="J978" s="17">
        <v>9</v>
      </c>
      <c r="K978" s="17">
        <f t="shared" si="746"/>
        <v>30510</v>
      </c>
      <c r="L978" s="17" t="s">
        <v>143</v>
      </c>
      <c r="M978" s="17" t="str">
        <f t="shared" si="750"/>
        <v>1:10200:5</v>
      </c>
      <c r="N978" s="16" t="str">
        <f t="shared" si="753"/>
        <v>127:1</v>
      </c>
      <c r="O978" s="17">
        <f t="shared" si="755"/>
        <v>6</v>
      </c>
      <c r="P978" s="21" t="str">
        <f t="shared" si="727"/>
        <v>所有弓兵攻击百分比增加:1</v>
      </c>
      <c r="Q978" s="21"/>
      <c r="R978" t="str">
        <f t="shared" si="751"/>
        <v>攻击百分比</v>
      </c>
      <c r="T978" t="str">
        <f t="shared" si="752"/>
        <v>:1</v>
      </c>
      <c r="U978" t="str">
        <f t="shared" si="745"/>
        <v>弓兵</v>
      </c>
      <c r="V978" t="s">
        <v>4557</v>
      </c>
      <c r="W978">
        <f>属性类型!G978</f>
        <v>127</v>
      </c>
      <c r="X978">
        <v>1</v>
      </c>
    </row>
    <row r="979" customFormat="1" ht="16.5" spans="1:24">
      <c r="A979" s="17">
        <f t="shared" si="747"/>
        <v>30510</v>
      </c>
      <c r="B979" s="17">
        <f t="shared" si="725"/>
        <v>30500</v>
      </c>
      <c r="C979" s="17" t="str">
        <f t="shared" si="737"/>
        <v>3</v>
      </c>
      <c r="D979" s="17">
        <f t="shared" si="726"/>
        <v>30001</v>
      </c>
      <c r="E979" s="17">
        <v>1</v>
      </c>
      <c r="F979" s="17">
        <f t="shared" si="754"/>
        <v>1</v>
      </c>
      <c r="G979" s="17" t="str">
        <f t="shared" si="748"/>
        <v>初级攻击百分比</v>
      </c>
      <c r="H979" s="17" t="str">
        <f t="shared" si="749"/>
        <v>icon_06</v>
      </c>
      <c r="I979" s="20">
        <v>0</v>
      </c>
      <c r="J979" s="17">
        <v>10</v>
      </c>
      <c r="K979" s="17">
        <v>0</v>
      </c>
      <c r="L979" s="17">
        <v>0</v>
      </c>
      <c r="M979" s="17" t="str">
        <f t="shared" si="750"/>
        <v>1:10200:5</v>
      </c>
      <c r="N979" s="16" t="str">
        <f t="shared" si="753"/>
        <v>127:1</v>
      </c>
      <c r="O979" s="17">
        <f t="shared" si="755"/>
        <v>6</v>
      </c>
      <c r="P979" s="21" t="str">
        <f t="shared" si="727"/>
        <v>所有弓兵攻击百分比增加:1</v>
      </c>
      <c r="Q979" s="21"/>
      <c r="R979" t="str">
        <f t="shared" si="751"/>
        <v>攻击百分比</v>
      </c>
      <c r="T979" t="str">
        <f t="shared" si="752"/>
        <v>:1</v>
      </c>
      <c r="U979" t="str">
        <f t="shared" si="745"/>
        <v>弓兵</v>
      </c>
      <c r="V979" t="s">
        <v>4557</v>
      </c>
      <c r="W979">
        <f>属性类型!G979</f>
        <v>127</v>
      </c>
      <c r="X979">
        <v>1</v>
      </c>
    </row>
    <row r="980" customFormat="1" ht="16.5" spans="1:24">
      <c r="A980" s="18">
        <f>A969+100</f>
        <v>30600</v>
      </c>
      <c r="B980" s="18">
        <f t="shared" si="725"/>
        <v>30600</v>
      </c>
      <c r="C980" s="18" t="str">
        <f t="shared" si="737"/>
        <v>3</v>
      </c>
      <c r="D980" s="17">
        <f t="shared" si="726"/>
        <v>30001</v>
      </c>
      <c r="E980" s="17">
        <v>1</v>
      </c>
      <c r="F980" s="18">
        <f t="shared" si="754"/>
        <v>1</v>
      </c>
      <c r="G980" s="18" t="s">
        <v>175</v>
      </c>
      <c r="H980" s="18" t="s">
        <v>176</v>
      </c>
      <c r="I980" s="20">
        <v>0</v>
      </c>
      <c r="J980" s="18">
        <v>0</v>
      </c>
      <c r="K980" s="18">
        <f t="shared" ref="K980:K989" si="756">A981</f>
        <v>30601</v>
      </c>
      <c r="L980" s="18" t="s">
        <v>40</v>
      </c>
      <c r="M980" s="18" t="s">
        <v>178</v>
      </c>
      <c r="N980" s="16" t="str">
        <f t="shared" si="753"/>
        <v>129:1</v>
      </c>
      <c r="O980" s="18">
        <f t="shared" si="755"/>
        <v>7</v>
      </c>
      <c r="P980" s="21" t="str">
        <f t="shared" si="727"/>
        <v>所有弓兵魔防百分比增加1</v>
      </c>
      <c r="Q980" s="21"/>
      <c r="R980" t="s">
        <v>4282</v>
      </c>
      <c r="T980" t="str">
        <f>RIGHT(N980,1)</f>
        <v>1</v>
      </c>
      <c r="U980" t="str">
        <f t="shared" si="745"/>
        <v>弓兵</v>
      </c>
      <c r="V980" t="s">
        <v>4558</v>
      </c>
      <c r="W980">
        <f>属性类型!G980</f>
        <v>129</v>
      </c>
      <c r="X980">
        <v>1</v>
      </c>
    </row>
    <row r="981" customFormat="1" ht="16.5" spans="1:24">
      <c r="A981" s="17">
        <f t="shared" ref="A981:A990" si="757">A980+1</f>
        <v>30601</v>
      </c>
      <c r="B981" s="17">
        <f t="shared" si="725"/>
        <v>30600</v>
      </c>
      <c r="C981" s="17" t="str">
        <f t="shared" si="737"/>
        <v>3</v>
      </c>
      <c r="D981" s="17">
        <f t="shared" si="726"/>
        <v>30001</v>
      </c>
      <c r="E981" s="17">
        <v>1</v>
      </c>
      <c r="F981" s="17">
        <f t="shared" si="754"/>
        <v>1</v>
      </c>
      <c r="G981" s="17" t="str">
        <f t="shared" ref="G981:G990" si="758">G980</f>
        <v>初级魔防百分比</v>
      </c>
      <c r="H981" s="17" t="str">
        <f t="shared" ref="H981:H990" si="759">H980</f>
        <v>icon_07</v>
      </c>
      <c r="I981" s="20">
        <v>0</v>
      </c>
      <c r="J981" s="17">
        <v>1</v>
      </c>
      <c r="K981" s="17">
        <f t="shared" si="756"/>
        <v>30602</v>
      </c>
      <c r="L981" s="17" t="s">
        <v>44</v>
      </c>
      <c r="M981" s="17" t="str">
        <f t="shared" ref="M981:M990" si="760">M980</f>
        <v>1:10300:5</v>
      </c>
      <c r="N981" s="16" t="str">
        <f t="shared" si="753"/>
        <v>129:1</v>
      </c>
      <c r="O981" s="17">
        <f t="shared" si="755"/>
        <v>7</v>
      </c>
      <c r="P981" s="21" t="str">
        <f t="shared" si="727"/>
        <v>所有弓兵魔防百分比增加:1</v>
      </c>
      <c r="Q981" s="21"/>
      <c r="R981" t="str">
        <f t="shared" ref="R981:R990" si="761">R980</f>
        <v>魔防百分比</v>
      </c>
      <c r="T981" t="str">
        <f t="shared" ref="T981:T990" si="762">RIGHT(N981,2)</f>
        <v>:1</v>
      </c>
      <c r="U981" t="str">
        <f t="shared" si="745"/>
        <v>弓兵</v>
      </c>
      <c r="V981" t="s">
        <v>4558</v>
      </c>
      <c r="W981">
        <f>属性类型!G981</f>
        <v>129</v>
      </c>
      <c r="X981">
        <v>1</v>
      </c>
    </row>
    <row r="982" customFormat="1" ht="16.5" spans="1:24">
      <c r="A982" s="17">
        <f t="shared" si="757"/>
        <v>30602</v>
      </c>
      <c r="B982" s="17">
        <f t="shared" si="725"/>
        <v>30600</v>
      </c>
      <c r="C982" s="17" t="str">
        <f t="shared" si="737"/>
        <v>3</v>
      </c>
      <c r="D982" s="17">
        <f t="shared" si="726"/>
        <v>30001</v>
      </c>
      <c r="E982" s="17">
        <v>1</v>
      </c>
      <c r="F982" s="17">
        <f t="shared" si="754"/>
        <v>1</v>
      </c>
      <c r="G982" s="17" t="str">
        <f t="shared" si="758"/>
        <v>初级魔防百分比</v>
      </c>
      <c r="H982" s="17" t="str">
        <f t="shared" si="759"/>
        <v>icon_07</v>
      </c>
      <c r="I982" s="20">
        <v>0</v>
      </c>
      <c r="J982" s="17">
        <v>2</v>
      </c>
      <c r="K982" s="17">
        <f t="shared" si="756"/>
        <v>30603</v>
      </c>
      <c r="L982" s="17" t="s">
        <v>49</v>
      </c>
      <c r="M982" s="17" t="str">
        <f t="shared" si="760"/>
        <v>1:10300:5</v>
      </c>
      <c r="N982" s="16" t="str">
        <f t="shared" si="753"/>
        <v>129:1</v>
      </c>
      <c r="O982" s="17">
        <f t="shared" si="755"/>
        <v>7</v>
      </c>
      <c r="P982" s="21" t="str">
        <f t="shared" si="727"/>
        <v>所有弓兵魔防百分比增加:1</v>
      </c>
      <c r="Q982" s="21"/>
      <c r="R982" t="str">
        <f t="shared" si="761"/>
        <v>魔防百分比</v>
      </c>
      <c r="T982" t="str">
        <f t="shared" si="762"/>
        <v>:1</v>
      </c>
      <c r="U982" t="str">
        <f t="shared" si="745"/>
        <v>弓兵</v>
      </c>
      <c r="V982" t="s">
        <v>4558</v>
      </c>
      <c r="W982">
        <f>属性类型!G982</f>
        <v>129</v>
      </c>
      <c r="X982">
        <v>1</v>
      </c>
    </row>
    <row r="983" customFormat="1" ht="16.5" spans="1:24">
      <c r="A983" s="17">
        <f t="shared" si="757"/>
        <v>30603</v>
      </c>
      <c r="B983" s="17">
        <f t="shared" si="725"/>
        <v>30600</v>
      </c>
      <c r="C983" s="17" t="str">
        <f t="shared" si="737"/>
        <v>3</v>
      </c>
      <c r="D983" s="17">
        <f t="shared" si="726"/>
        <v>30001</v>
      </c>
      <c r="E983" s="17">
        <v>1</v>
      </c>
      <c r="F983" s="17">
        <f t="shared" si="754"/>
        <v>1</v>
      </c>
      <c r="G983" s="17" t="str">
        <f t="shared" si="758"/>
        <v>初级魔防百分比</v>
      </c>
      <c r="H983" s="17" t="str">
        <f t="shared" si="759"/>
        <v>icon_07</v>
      </c>
      <c r="I983" s="20">
        <v>0</v>
      </c>
      <c r="J983" s="17">
        <v>3</v>
      </c>
      <c r="K983" s="17">
        <f t="shared" si="756"/>
        <v>30604</v>
      </c>
      <c r="L983" s="17" t="s">
        <v>53</v>
      </c>
      <c r="M983" s="17" t="str">
        <f t="shared" si="760"/>
        <v>1:10300:5</v>
      </c>
      <c r="N983" s="16" t="str">
        <f t="shared" si="753"/>
        <v>129:1</v>
      </c>
      <c r="O983" s="17">
        <f t="shared" si="755"/>
        <v>7</v>
      </c>
      <c r="P983" s="21" t="str">
        <f t="shared" si="727"/>
        <v>所有弓兵魔防百分比增加:1</v>
      </c>
      <c r="Q983" s="21"/>
      <c r="R983" t="str">
        <f t="shared" si="761"/>
        <v>魔防百分比</v>
      </c>
      <c r="T983" t="str">
        <f t="shared" si="762"/>
        <v>:1</v>
      </c>
      <c r="U983" t="str">
        <f t="shared" si="745"/>
        <v>弓兵</v>
      </c>
      <c r="V983" t="s">
        <v>4558</v>
      </c>
      <c r="W983">
        <f>属性类型!G983</f>
        <v>129</v>
      </c>
      <c r="X983">
        <v>1</v>
      </c>
    </row>
    <row r="984" customFormat="1" ht="16.5" spans="1:24">
      <c r="A984" s="17">
        <f t="shared" si="757"/>
        <v>30604</v>
      </c>
      <c r="B984" s="17">
        <f t="shared" si="725"/>
        <v>30600</v>
      </c>
      <c r="C984" s="17" t="str">
        <f t="shared" si="737"/>
        <v>3</v>
      </c>
      <c r="D984" s="17">
        <f t="shared" si="726"/>
        <v>30001</v>
      </c>
      <c r="E984" s="17">
        <v>1</v>
      </c>
      <c r="F984" s="17">
        <f t="shared" si="754"/>
        <v>1</v>
      </c>
      <c r="G984" s="17" t="str">
        <f t="shared" si="758"/>
        <v>初级魔防百分比</v>
      </c>
      <c r="H984" s="17" t="str">
        <f t="shared" si="759"/>
        <v>icon_07</v>
      </c>
      <c r="I984" s="20">
        <v>0</v>
      </c>
      <c r="J984" s="17">
        <v>4</v>
      </c>
      <c r="K984" s="17">
        <f t="shared" si="756"/>
        <v>30605</v>
      </c>
      <c r="L984" s="17" t="s">
        <v>57</v>
      </c>
      <c r="M984" s="17" t="str">
        <f t="shared" si="760"/>
        <v>1:10300:5</v>
      </c>
      <c r="N984" s="16" t="str">
        <f t="shared" si="753"/>
        <v>129:1</v>
      </c>
      <c r="O984" s="17">
        <f t="shared" si="755"/>
        <v>7</v>
      </c>
      <c r="P984" s="21" t="str">
        <f t="shared" si="727"/>
        <v>所有弓兵魔防百分比增加:1</v>
      </c>
      <c r="Q984" s="21"/>
      <c r="R984" t="str">
        <f t="shared" si="761"/>
        <v>魔防百分比</v>
      </c>
      <c r="T984" t="str">
        <f t="shared" si="762"/>
        <v>:1</v>
      </c>
      <c r="U984" t="str">
        <f t="shared" si="745"/>
        <v>弓兵</v>
      </c>
      <c r="V984" t="s">
        <v>4558</v>
      </c>
      <c r="W984">
        <f>属性类型!G984</f>
        <v>129</v>
      </c>
      <c r="X984">
        <v>1</v>
      </c>
    </row>
    <row r="985" customFormat="1" ht="16.5" spans="1:24">
      <c r="A985" s="17">
        <f t="shared" si="757"/>
        <v>30605</v>
      </c>
      <c r="B985" s="17">
        <f t="shared" si="725"/>
        <v>30600</v>
      </c>
      <c r="C985" s="17" t="str">
        <f t="shared" si="737"/>
        <v>3</v>
      </c>
      <c r="D985" s="17">
        <f t="shared" si="726"/>
        <v>30001</v>
      </c>
      <c r="E985" s="17">
        <v>1</v>
      </c>
      <c r="F985" s="17">
        <f t="shared" si="754"/>
        <v>1</v>
      </c>
      <c r="G985" s="17" t="str">
        <f t="shared" si="758"/>
        <v>初级魔防百分比</v>
      </c>
      <c r="H985" s="17" t="str">
        <f t="shared" si="759"/>
        <v>icon_07</v>
      </c>
      <c r="I985" s="20">
        <v>0</v>
      </c>
      <c r="J985" s="17">
        <v>5</v>
      </c>
      <c r="K985" s="17">
        <f t="shared" si="756"/>
        <v>30606</v>
      </c>
      <c r="L985" s="17" t="s">
        <v>127</v>
      </c>
      <c r="M985" s="17" t="str">
        <f t="shared" si="760"/>
        <v>1:10300:5</v>
      </c>
      <c r="N985" s="16" t="str">
        <f t="shared" si="753"/>
        <v>129:1</v>
      </c>
      <c r="O985" s="17">
        <f t="shared" si="755"/>
        <v>7</v>
      </c>
      <c r="P985" s="21" t="str">
        <f t="shared" si="727"/>
        <v>所有弓兵魔防百分比增加:1</v>
      </c>
      <c r="Q985" s="21"/>
      <c r="R985" t="str">
        <f t="shared" si="761"/>
        <v>魔防百分比</v>
      </c>
      <c r="T985" t="str">
        <f t="shared" si="762"/>
        <v>:1</v>
      </c>
      <c r="U985" t="str">
        <f t="shared" si="745"/>
        <v>弓兵</v>
      </c>
      <c r="V985" t="s">
        <v>4558</v>
      </c>
      <c r="W985">
        <f>属性类型!G985</f>
        <v>129</v>
      </c>
      <c r="X985">
        <v>1</v>
      </c>
    </row>
    <row r="986" customFormat="1" ht="16.5" spans="1:24">
      <c r="A986" s="17">
        <f t="shared" si="757"/>
        <v>30606</v>
      </c>
      <c r="B986" s="17">
        <f t="shared" si="725"/>
        <v>30600</v>
      </c>
      <c r="C986" s="17" t="str">
        <f t="shared" si="737"/>
        <v>3</v>
      </c>
      <c r="D986" s="17">
        <f t="shared" si="726"/>
        <v>30001</v>
      </c>
      <c r="E986" s="17">
        <v>1</v>
      </c>
      <c r="F986" s="17">
        <f t="shared" si="754"/>
        <v>1</v>
      </c>
      <c r="G986" s="17" t="str">
        <f t="shared" si="758"/>
        <v>初级魔防百分比</v>
      </c>
      <c r="H986" s="17" t="str">
        <f t="shared" si="759"/>
        <v>icon_07</v>
      </c>
      <c r="I986" s="20">
        <v>0</v>
      </c>
      <c r="J986" s="17">
        <v>6</v>
      </c>
      <c r="K986" s="17">
        <f t="shared" si="756"/>
        <v>30607</v>
      </c>
      <c r="L986" s="17" t="s">
        <v>131</v>
      </c>
      <c r="M986" s="17" t="str">
        <f t="shared" si="760"/>
        <v>1:10300:5</v>
      </c>
      <c r="N986" s="16" t="str">
        <f t="shared" si="753"/>
        <v>129:1</v>
      </c>
      <c r="O986" s="17">
        <f t="shared" si="755"/>
        <v>7</v>
      </c>
      <c r="P986" s="21" t="str">
        <f t="shared" si="727"/>
        <v>所有弓兵魔防百分比增加:1</v>
      </c>
      <c r="Q986" s="21"/>
      <c r="R986" t="str">
        <f t="shared" si="761"/>
        <v>魔防百分比</v>
      </c>
      <c r="T986" t="str">
        <f t="shared" si="762"/>
        <v>:1</v>
      </c>
      <c r="U986" t="str">
        <f t="shared" si="745"/>
        <v>弓兵</v>
      </c>
      <c r="V986" t="s">
        <v>4558</v>
      </c>
      <c r="W986">
        <f>属性类型!G986</f>
        <v>129</v>
      </c>
      <c r="X986">
        <v>1</v>
      </c>
    </row>
    <row r="987" customFormat="1" ht="16.5" spans="1:24">
      <c r="A987" s="17">
        <f t="shared" si="757"/>
        <v>30607</v>
      </c>
      <c r="B987" s="17">
        <f t="shared" si="725"/>
        <v>30600</v>
      </c>
      <c r="C987" s="17" t="str">
        <f t="shared" si="737"/>
        <v>3</v>
      </c>
      <c r="D987" s="17">
        <f t="shared" si="726"/>
        <v>30001</v>
      </c>
      <c r="E987" s="17">
        <v>1</v>
      </c>
      <c r="F987" s="17">
        <f t="shared" si="754"/>
        <v>1</v>
      </c>
      <c r="G987" s="17" t="str">
        <f t="shared" si="758"/>
        <v>初级魔防百分比</v>
      </c>
      <c r="H987" s="17" t="str">
        <f t="shared" si="759"/>
        <v>icon_07</v>
      </c>
      <c r="I987" s="20">
        <v>0</v>
      </c>
      <c r="J987" s="17">
        <v>7</v>
      </c>
      <c r="K987" s="17">
        <f t="shared" si="756"/>
        <v>30608</v>
      </c>
      <c r="L987" s="17" t="s">
        <v>135</v>
      </c>
      <c r="M987" s="17" t="str">
        <f t="shared" si="760"/>
        <v>1:10300:5</v>
      </c>
      <c r="N987" s="16" t="str">
        <f t="shared" si="753"/>
        <v>129:1</v>
      </c>
      <c r="O987" s="17">
        <f t="shared" si="755"/>
        <v>7</v>
      </c>
      <c r="P987" s="21" t="str">
        <f t="shared" si="727"/>
        <v>所有弓兵魔防百分比增加:1</v>
      </c>
      <c r="Q987" s="21"/>
      <c r="R987" t="str">
        <f t="shared" si="761"/>
        <v>魔防百分比</v>
      </c>
      <c r="T987" t="str">
        <f t="shared" si="762"/>
        <v>:1</v>
      </c>
      <c r="U987" t="str">
        <f t="shared" si="745"/>
        <v>弓兵</v>
      </c>
      <c r="V987" t="s">
        <v>4558</v>
      </c>
      <c r="W987">
        <f>属性类型!G987</f>
        <v>129</v>
      </c>
      <c r="X987">
        <v>1</v>
      </c>
    </row>
    <row r="988" customFormat="1" ht="16.5" spans="1:24">
      <c r="A988" s="17">
        <f t="shared" si="757"/>
        <v>30608</v>
      </c>
      <c r="B988" s="17">
        <f t="shared" si="725"/>
        <v>30600</v>
      </c>
      <c r="C988" s="17" t="str">
        <f t="shared" si="737"/>
        <v>3</v>
      </c>
      <c r="D988" s="17">
        <f t="shared" si="726"/>
        <v>30001</v>
      </c>
      <c r="E988" s="17">
        <v>1</v>
      </c>
      <c r="F988" s="17">
        <f t="shared" si="754"/>
        <v>1</v>
      </c>
      <c r="G988" s="17" t="str">
        <f t="shared" si="758"/>
        <v>初级魔防百分比</v>
      </c>
      <c r="H988" s="17" t="str">
        <f t="shared" si="759"/>
        <v>icon_07</v>
      </c>
      <c r="I988" s="20">
        <v>0</v>
      </c>
      <c r="J988" s="17">
        <v>8</v>
      </c>
      <c r="K988" s="17">
        <f t="shared" si="756"/>
        <v>30609</v>
      </c>
      <c r="L988" s="17" t="s">
        <v>139</v>
      </c>
      <c r="M988" s="17" t="str">
        <f t="shared" si="760"/>
        <v>1:10300:5</v>
      </c>
      <c r="N988" s="16" t="str">
        <f t="shared" si="753"/>
        <v>129:1</v>
      </c>
      <c r="O988" s="17">
        <f t="shared" si="755"/>
        <v>7</v>
      </c>
      <c r="P988" s="21" t="str">
        <f t="shared" si="727"/>
        <v>所有弓兵魔防百分比增加:1</v>
      </c>
      <c r="Q988" s="21"/>
      <c r="R988" t="str">
        <f t="shared" si="761"/>
        <v>魔防百分比</v>
      </c>
      <c r="T988" t="str">
        <f t="shared" si="762"/>
        <v>:1</v>
      </c>
      <c r="U988" t="str">
        <f t="shared" si="745"/>
        <v>弓兵</v>
      </c>
      <c r="V988" t="s">
        <v>4558</v>
      </c>
      <c r="W988">
        <f>属性类型!G988</f>
        <v>129</v>
      </c>
      <c r="X988">
        <v>1</v>
      </c>
    </row>
    <row r="989" customFormat="1" ht="16.5" spans="1:24">
      <c r="A989" s="17">
        <f t="shared" si="757"/>
        <v>30609</v>
      </c>
      <c r="B989" s="17">
        <f t="shared" si="725"/>
        <v>30600</v>
      </c>
      <c r="C989" s="17" t="str">
        <f t="shared" si="737"/>
        <v>3</v>
      </c>
      <c r="D989" s="17">
        <f t="shared" si="726"/>
        <v>30001</v>
      </c>
      <c r="E989" s="17">
        <v>1</v>
      </c>
      <c r="F989" s="17">
        <f t="shared" si="754"/>
        <v>1</v>
      </c>
      <c r="G989" s="17" t="str">
        <f t="shared" si="758"/>
        <v>初级魔防百分比</v>
      </c>
      <c r="H989" s="17" t="str">
        <f t="shared" si="759"/>
        <v>icon_07</v>
      </c>
      <c r="I989" s="20">
        <v>0</v>
      </c>
      <c r="J989" s="17">
        <v>9</v>
      </c>
      <c r="K989" s="17">
        <f t="shared" si="756"/>
        <v>30610</v>
      </c>
      <c r="L989" s="17" t="s">
        <v>143</v>
      </c>
      <c r="M989" s="17" t="str">
        <f t="shared" si="760"/>
        <v>1:10300:5</v>
      </c>
      <c r="N989" s="16" t="str">
        <f t="shared" si="753"/>
        <v>129:1</v>
      </c>
      <c r="O989" s="17">
        <f t="shared" si="755"/>
        <v>7</v>
      </c>
      <c r="P989" s="21" t="str">
        <f t="shared" si="727"/>
        <v>所有弓兵魔防百分比增加:1</v>
      </c>
      <c r="Q989" s="21"/>
      <c r="R989" t="str">
        <f t="shared" si="761"/>
        <v>魔防百分比</v>
      </c>
      <c r="T989" t="str">
        <f t="shared" si="762"/>
        <v>:1</v>
      </c>
      <c r="U989" t="str">
        <f t="shared" si="745"/>
        <v>弓兵</v>
      </c>
      <c r="V989" t="s">
        <v>4558</v>
      </c>
      <c r="W989">
        <f>属性类型!G989</f>
        <v>129</v>
      </c>
      <c r="X989">
        <v>1</v>
      </c>
    </row>
    <row r="990" customFormat="1" ht="16.5" spans="1:24">
      <c r="A990" s="17">
        <f t="shared" si="757"/>
        <v>30610</v>
      </c>
      <c r="B990" s="17">
        <f t="shared" si="725"/>
        <v>30600</v>
      </c>
      <c r="C990" s="17" t="str">
        <f t="shared" si="737"/>
        <v>3</v>
      </c>
      <c r="D990" s="17">
        <f t="shared" si="726"/>
        <v>30001</v>
      </c>
      <c r="E990" s="17">
        <v>1</v>
      </c>
      <c r="F990" s="17">
        <f t="shared" si="754"/>
        <v>1</v>
      </c>
      <c r="G990" s="17" t="str">
        <f t="shared" si="758"/>
        <v>初级魔防百分比</v>
      </c>
      <c r="H990" s="17" t="str">
        <f t="shared" si="759"/>
        <v>icon_07</v>
      </c>
      <c r="I990" s="20">
        <v>0</v>
      </c>
      <c r="J990" s="17">
        <v>10</v>
      </c>
      <c r="K990" s="17">
        <v>0</v>
      </c>
      <c r="L990" s="17">
        <v>0</v>
      </c>
      <c r="M990" s="17" t="str">
        <f t="shared" si="760"/>
        <v>1:10300:5</v>
      </c>
      <c r="N990" s="16" t="str">
        <f t="shared" si="753"/>
        <v>129:1</v>
      </c>
      <c r="O990" s="17">
        <f t="shared" si="755"/>
        <v>7</v>
      </c>
      <c r="P990" s="21" t="str">
        <f t="shared" si="727"/>
        <v>所有弓兵魔防百分比增加:1</v>
      </c>
      <c r="Q990" s="21"/>
      <c r="R990" t="str">
        <f t="shared" si="761"/>
        <v>魔防百分比</v>
      </c>
      <c r="T990" t="str">
        <f t="shared" si="762"/>
        <v>:1</v>
      </c>
      <c r="U990" t="str">
        <f t="shared" si="745"/>
        <v>弓兵</v>
      </c>
      <c r="V990" t="s">
        <v>4558</v>
      </c>
      <c r="W990">
        <f>属性类型!G990</f>
        <v>129</v>
      </c>
      <c r="X990">
        <v>1</v>
      </c>
    </row>
    <row r="991" customFormat="1" ht="16.5" spans="1:24">
      <c r="A991" s="18">
        <f>A980+100</f>
        <v>30700</v>
      </c>
      <c r="B991" s="18">
        <f t="shared" si="725"/>
        <v>30700</v>
      </c>
      <c r="C991" s="18" t="str">
        <f t="shared" si="737"/>
        <v>3</v>
      </c>
      <c r="D991" s="17">
        <f t="shared" si="726"/>
        <v>30001</v>
      </c>
      <c r="E991" s="17">
        <v>2</v>
      </c>
      <c r="F991" s="18">
        <f t="shared" si="754"/>
        <v>1</v>
      </c>
      <c r="G991" s="18" t="s">
        <v>4559</v>
      </c>
      <c r="H991" s="18" t="s">
        <v>1633</v>
      </c>
      <c r="I991" s="20">
        <v>1.5</v>
      </c>
      <c r="J991" s="18">
        <v>0</v>
      </c>
      <c r="K991" s="18">
        <f t="shared" ref="K991:K1010" si="763">A992</f>
        <v>30701</v>
      </c>
      <c r="L991" s="18" t="s">
        <v>206</v>
      </c>
      <c r="M991" s="18" t="s">
        <v>207</v>
      </c>
      <c r="N991" s="16" t="str">
        <f t="shared" si="753"/>
        <v>10022:1</v>
      </c>
      <c r="O991" s="18">
        <f t="shared" si="755"/>
        <v>8</v>
      </c>
      <c r="P991" s="21" t="s">
        <v>4560</v>
      </c>
      <c r="Q991" s="21"/>
      <c r="R991" t="s">
        <v>4561</v>
      </c>
      <c r="T991" t="str">
        <f>RIGHT(N991,1)</f>
        <v>1</v>
      </c>
      <c r="U991" t="str">
        <f t="shared" si="745"/>
        <v>射手</v>
      </c>
      <c r="V991" t="s">
        <v>4559</v>
      </c>
      <c r="W991">
        <f>属性类型!G991</f>
        <v>10022</v>
      </c>
      <c r="X991">
        <v>1</v>
      </c>
    </row>
    <row r="992" customFormat="1" ht="16.5" spans="1:24">
      <c r="A992" s="17">
        <f t="shared" ref="A992:A1001" si="764">A991+1</f>
        <v>30701</v>
      </c>
      <c r="B992" s="17">
        <f t="shared" si="725"/>
        <v>30700</v>
      </c>
      <c r="C992" s="17" t="str">
        <f t="shared" si="737"/>
        <v>3</v>
      </c>
      <c r="D992" s="17">
        <f t="shared" si="726"/>
        <v>30001</v>
      </c>
      <c r="E992" s="17">
        <f t="shared" ref="E992:H992" si="765">E991</f>
        <v>2</v>
      </c>
      <c r="F992" s="17">
        <f t="shared" si="754"/>
        <v>1</v>
      </c>
      <c r="G992" s="17" t="str">
        <f t="shared" si="765"/>
        <v>幻影射手防御百分比</v>
      </c>
      <c r="H992" s="17" t="str">
        <f t="shared" si="765"/>
        <v>gongbing01_Lv3</v>
      </c>
      <c r="I992" s="20">
        <v>1.5</v>
      </c>
      <c r="J992" s="17">
        <v>1</v>
      </c>
      <c r="K992" s="17">
        <f t="shared" si="763"/>
        <v>30702</v>
      </c>
      <c r="L992" s="17" t="s">
        <v>211</v>
      </c>
      <c r="M992" s="17" t="str">
        <f t="shared" ref="M992:M1011" si="766">M991</f>
        <v>1:10400:5</v>
      </c>
      <c r="N992" s="16" t="str">
        <f t="shared" si="753"/>
        <v>10022:1</v>
      </c>
      <c r="O992" s="17">
        <f t="shared" si="755"/>
        <v>8</v>
      </c>
      <c r="P992" s="21" t="s">
        <v>4562</v>
      </c>
      <c r="Q992" s="21"/>
      <c r="R992" t="s">
        <v>4561</v>
      </c>
      <c r="T992" t="str">
        <f t="shared" ref="T992:T1001" si="767">RIGHT(N992,2)</f>
        <v>:1</v>
      </c>
      <c r="U992" t="str">
        <f t="shared" si="745"/>
        <v>射手</v>
      </c>
      <c r="V992" t="s">
        <v>4559</v>
      </c>
      <c r="W992">
        <f>属性类型!G992</f>
        <v>10022</v>
      </c>
      <c r="X992">
        <v>1</v>
      </c>
    </row>
    <row r="993" customFormat="1" ht="16.5" spans="1:24">
      <c r="A993" s="17">
        <f t="shared" si="764"/>
        <v>30702</v>
      </c>
      <c r="B993" s="17">
        <f t="shared" si="725"/>
        <v>30700</v>
      </c>
      <c r="C993" s="17" t="str">
        <f t="shared" si="737"/>
        <v>3</v>
      </c>
      <c r="D993" s="17">
        <f t="shared" si="726"/>
        <v>30001</v>
      </c>
      <c r="E993" s="17">
        <f t="shared" ref="E993:H993" si="768">E992</f>
        <v>2</v>
      </c>
      <c r="F993" s="17">
        <f t="shared" si="754"/>
        <v>1</v>
      </c>
      <c r="G993" s="17" t="str">
        <f t="shared" si="768"/>
        <v>幻影射手防御百分比</v>
      </c>
      <c r="H993" s="17" t="str">
        <f t="shared" si="768"/>
        <v>gongbing01_Lv3</v>
      </c>
      <c r="I993" s="20">
        <v>1.5</v>
      </c>
      <c r="J993" s="17">
        <v>2</v>
      </c>
      <c r="K993" s="17">
        <f t="shared" si="763"/>
        <v>30703</v>
      </c>
      <c r="L993" s="17" t="s">
        <v>215</v>
      </c>
      <c r="M993" s="17" t="str">
        <f t="shared" si="766"/>
        <v>1:10400:5</v>
      </c>
      <c r="N993" s="16" t="str">
        <f t="shared" si="753"/>
        <v>10022:1</v>
      </c>
      <c r="O993" s="17">
        <f t="shared" si="755"/>
        <v>8</v>
      </c>
      <c r="P993" s="21" t="s">
        <v>4563</v>
      </c>
      <c r="Q993" s="21"/>
      <c r="R993" t="s">
        <v>4561</v>
      </c>
      <c r="T993" t="str">
        <f t="shared" si="767"/>
        <v>:1</v>
      </c>
      <c r="U993" t="str">
        <f t="shared" si="745"/>
        <v>射手</v>
      </c>
      <c r="V993" t="s">
        <v>4559</v>
      </c>
      <c r="W993">
        <f>属性类型!G993</f>
        <v>10022</v>
      </c>
      <c r="X993">
        <v>1</v>
      </c>
    </row>
    <row r="994" customFormat="1" ht="16.5" spans="1:24">
      <c r="A994" s="17">
        <f t="shared" si="764"/>
        <v>30703</v>
      </c>
      <c r="B994" s="17">
        <f t="shared" si="725"/>
        <v>30700</v>
      </c>
      <c r="C994" s="17" t="str">
        <f t="shared" si="737"/>
        <v>3</v>
      </c>
      <c r="D994" s="17">
        <f t="shared" si="726"/>
        <v>30001</v>
      </c>
      <c r="E994" s="17">
        <f t="shared" ref="E994:H994" si="769">E993</f>
        <v>2</v>
      </c>
      <c r="F994" s="17">
        <f t="shared" si="754"/>
        <v>1</v>
      </c>
      <c r="G994" s="17" t="str">
        <f t="shared" si="769"/>
        <v>幻影射手防御百分比</v>
      </c>
      <c r="H994" s="17" t="str">
        <f t="shared" si="769"/>
        <v>gongbing01_Lv3</v>
      </c>
      <c r="I994" s="20">
        <v>1.5</v>
      </c>
      <c r="J994" s="17">
        <v>3</v>
      </c>
      <c r="K994" s="17">
        <f t="shared" si="763"/>
        <v>30704</v>
      </c>
      <c r="L994" s="17" t="s">
        <v>218</v>
      </c>
      <c r="M994" s="17" t="str">
        <f t="shared" si="766"/>
        <v>1:10400:5</v>
      </c>
      <c r="N994" s="16" t="str">
        <f t="shared" si="753"/>
        <v>10022:1</v>
      </c>
      <c r="O994" s="17">
        <f t="shared" si="755"/>
        <v>8</v>
      </c>
      <c r="P994" s="21" t="s">
        <v>4564</v>
      </c>
      <c r="Q994" s="21"/>
      <c r="R994" t="s">
        <v>4561</v>
      </c>
      <c r="T994" t="str">
        <f t="shared" si="767"/>
        <v>:1</v>
      </c>
      <c r="U994" t="str">
        <f t="shared" si="745"/>
        <v>射手</v>
      </c>
      <c r="V994" t="s">
        <v>4559</v>
      </c>
      <c r="W994">
        <f>属性类型!G994</f>
        <v>10022</v>
      </c>
      <c r="X994">
        <v>1</v>
      </c>
    </row>
    <row r="995" customFormat="1" ht="16.5" spans="1:24">
      <c r="A995" s="17">
        <f t="shared" si="764"/>
        <v>30704</v>
      </c>
      <c r="B995" s="17">
        <f t="shared" si="725"/>
        <v>30700</v>
      </c>
      <c r="C995" s="17" t="str">
        <f t="shared" si="737"/>
        <v>3</v>
      </c>
      <c r="D995" s="17">
        <f t="shared" si="726"/>
        <v>30001</v>
      </c>
      <c r="E995" s="17">
        <f t="shared" ref="E995:H995" si="770">E994</f>
        <v>2</v>
      </c>
      <c r="F995" s="17">
        <f t="shared" si="754"/>
        <v>1</v>
      </c>
      <c r="G995" s="17" t="str">
        <f t="shared" si="770"/>
        <v>幻影射手防御百分比</v>
      </c>
      <c r="H995" s="17" t="str">
        <f t="shared" si="770"/>
        <v>gongbing01_Lv3</v>
      </c>
      <c r="I995" s="20">
        <v>1.5</v>
      </c>
      <c r="J995" s="17">
        <v>4</v>
      </c>
      <c r="K995" s="17">
        <f t="shared" si="763"/>
        <v>30705</v>
      </c>
      <c r="L995" s="17" t="s">
        <v>221</v>
      </c>
      <c r="M995" s="17" t="str">
        <f t="shared" si="766"/>
        <v>1:10400:5</v>
      </c>
      <c r="N995" s="16" t="str">
        <f t="shared" si="753"/>
        <v>10022:1</v>
      </c>
      <c r="O995" s="17">
        <f t="shared" si="755"/>
        <v>8</v>
      </c>
      <c r="P995" s="21" t="s">
        <v>4565</v>
      </c>
      <c r="Q995" s="21"/>
      <c r="R995" t="s">
        <v>4561</v>
      </c>
      <c r="T995" t="str">
        <f t="shared" si="767"/>
        <v>:1</v>
      </c>
      <c r="U995" t="str">
        <f t="shared" si="745"/>
        <v>射手</v>
      </c>
      <c r="V995" t="s">
        <v>4559</v>
      </c>
      <c r="W995">
        <f>属性类型!G995</f>
        <v>10022</v>
      </c>
      <c r="X995">
        <v>1</v>
      </c>
    </row>
    <row r="996" customFormat="1" ht="16.5" spans="1:24">
      <c r="A996" s="17">
        <f t="shared" si="764"/>
        <v>30705</v>
      </c>
      <c r="B996" s="17">
        <f t="shared" si="725"/>
        <v>30700</v>
      </c>
      <c r="C996" s="17" t="str">
        <f t="shared" si="737"/>
        <v>3</v>
      </c>
      <c r="D996" s="17">
        <f t="shared" si="726"/>
        <v>30001</v>
      </c>
      <c r="E996" s="17">
        <f t="shared" ref="E996:H996" si="771">E995</f>
        <v>2</v>
      </c>
      <c r="F996" s="17">
        <f t="shared" si="754"/>
        <v>1</v>
      </c>
      <c r="G996" s="17" t="str">
        <f t="shared" si="771"/>
        <v>幻影射手防御百分比</v>
      </c>
      <c r="H996" s="17" t="str">
        <f t="shared" si="771"/>
        <v>gongbing01_Lv3</v>
      </c>
      <c r="I996" s="20">
        <v>1.5</v>
      </c>
      <c r="J996" s="17">
        <v>5</v>
      </c>
      <c r="K996" s="17">
        <f t="shared" si="763"/>
        <v>30706</v>
      </c>
      <c r="L996" s="17" t="s">
        <v>224</v>
      </c>
      <c r="M996" s="17" t="str">
        <f t="shared" si="766"/>
        <v>1:10400:5</v>
      </c>
      <c r="N996" s="16" t="str">
        <f t="shared" si="753"/>
        <v>10022:1</v>
      </c>
      <c r="O996" s="17">
        <f t="shared" si="755"/>
        <v>8</v>
      </c>
      <c r="P996" s="21" t="s">
        <v>4566</v>
      </c>
      <c r="Q996" s="21"/>
      <c r="R996" t="s">
        <v>4561</v>
      </c>
      <c r="T996" t="str">
        <f t="shared" si="767"/>
        <v>:1</v>
      </c>
      <c r="U996" t="str">
        <f t="shared" si="745"/>
        <v>射手</v>
      </c>
      <c r="V996" t="s">
        <v>4559</v>
      </c>
      <c r="W996">
        <f>属性类型!G996</f>
        <v>10022</v>
      </c>
      <c r="X996">
        <v>1</v>
      </c>
    </row>
    <row r="997" customFormat="1" ht="16.5" spans="1:24">
      <c r="A997" s="17">
        <f t="shared" si="764"/>
        <v>30706</v>
      </c>
      <c r="B997" s="17">
        <f t="shared" si="725"/>
        <v>30700</v>
      </c>
      <c r="C997" s="17" t="str">
        <f t="shared" si="737"/>
        <v>3</v>
      </c>
      <c r="D997" s="17">
        <f t="shared" si="726"/>
        <v>30001</v>
      </c>
      <c r="E997" s="17">
        <f t="shared" ref="E997:H997" si="772">E996</f>
        <v>2</v>
      </c>
      <c r="F997" s="17">
        <f t="shared" si="754"/>
        <v>1</v>
      </c>
      <c r="G997" s="17" t="str">
        <f t="shared" si="772"/>
        <v>幻影射手防御百分比</v>
      </c>
      <c r="H997" s="17" t="str">
        <f t="shared" si="772"/>
        <v>gongbing01_Lv3</v>
      </c>
      <c r="I997" s="20">
        <v>1.5</v>
      </c>
      <c r="J997" s="17">
        <v>6</v>
      </c>
      <c r="K997" s="17">
        <f t="shared" si="763"/>
        <v>30707</v>
      </c>
      <c r="L997" s="17" t="s">
        <v>227</v>
      </c>
      <c r="M997" s="17" t="str">
        <f t="shared" si="766"/>
        <v>1:10400:5</v>
      </c>
      <c r="N997" s="16" t="str">
        <f t="shared" si="753"/>
        <v>10022:1</v>
      </c>
      <c r="O997" s="17">
        <f t="shared" si="755"/>
        <v>8</v>
      </c>
      <c r="P997" s="21" t="s">
        <v>4567</v>
      </c>
      <c r="Q997" s="21"/>
      <c r="R997" t="s">
        <v>4561</v>
      </c>
      <c r="T997" t="str">
        <f t="shared" si="767"/>
        <v>:1</v>
      </c>
      <c r="U997" t="str">
        <f t="shared" si="745"/>
        <v>射手</v>
      </c>
      <c r="V997" t="s">
        <v>4559</v>
      </c>
      <c r="W997">
        <f>属性类型!G997</f>
        <v>10022</v>
      </c>
      <c r="X997">
        <v>1</v>
      </c>
    </row>
    <row r="998" customFormat="1" ht="16.5" spans="1:24">
      <c r="A998" s="17">
        <f t="shared" si="764"/>
        <v>30707</v>
      </c>
      <c r="B998" s="17">
        <f t="shared" si="725"/>
        <v>30700</v>
      </c>
      <c r="C998" s="17" t="str">
        <f t="shared" si="737"/>
        <v>3</v>
      </c>
      <c r="D998" s="17">
        <f t="shared" si="726"/>
        <v>30001</v>
      </c>
      <c r="E998" s="17">
        <f t="shared" ref="E998:H998" si="773">E997</f>
        <v>2</v>
      </c>
      <c r="F998" s="17">
        <f t="shared" si="754"/>
        <v>1</v>
      </c>
      <c r="G998" s="17" t="str">
        <f t="shared" si="773"/>
        <v>幻影射手防御百分比</v>
      </c>
      <c r="H998" s="17" t="str">
        <f t="shared" si="773"/>
        <v>gongbing01_Lv3</v>
      </c>
      <c r="I998" s="20">
        <v>1.5</v>
      </c>
      <c r="J998" s="17">
        <v>7</v>
      </c>
      <c r="K998" s="17">
        <f t="shared" si="763"/>
        <v>30708</v>
      </c>
      <c r="L998" s="17" t="s">
        <v>230</v>
      </c>
      <c r="M998" s="17" t="str">
        <f t="shared" si="766"/>
        <v>1:10400:5</v>
      </c>
      <c r="N998" s="16" t="str">
        <f t="shared" si="753"/>
        <v>10022:1</v>
      </c>
      <c r="O998" s="17">
        <f t="shared" si="755"/>
        <v>8</v>
      </c>
      <c r="P998" s="21" t="s">
        <v>4568</v>
      </c>
      <c r="Q998" s="21"/>
      <c r="R998" t="s">
        <v>4561</v>
      </c>
      <c r="T998" t="str">
        <f t="shared" si="767"/>
        <v>:1</v>
      </c>
      <c r="U998" t="str">
        <f t="shared" si="745"/>
        <v>射手</v>
      </c>
      <c r="V998" t="s">
        <v>4559</v>
      </c>
      <c r="W998">
        <f>属性类型!G998</f>
        <v>10022</v>
      </c>
      <c r="X998">
        <v>1</v>
      </c>
    </row>
    <row r="999" customFormat="1" ht="16.5" spans="1:24">
      <c r="A999" s="17">
        <f t="shared" si="764"/>
        <v>30708</v>
      </c>
      <c r="B999" s="17">
        <f t="shared" si="725"/>
        <v>30700</v>
      </c>
      <c r="C999" s="17" t="str">
        <f t="shared" si="737"/>
        <v>3</v>
      </c>
      <c r="D999" s="17">
        <f t="shared" si="726"/>
        <v>30001</v>
      </c>
      <c r="E999" s="17">
        <f t="shared" ref="E999:H999" si="774">E998</f>
        <v>2</v>
      </c>
      <c r="F999" s="17">
        <f t="shared" si="754"/>
        <v>1</v>
      </c>
      <c r="G999" s="17" t="str">
        <f t="shared" si="774"/>
        <v>幻影射手防御百分比</v>
      </c>
      <c r="H999" s="17" t="str">
        <f t="shared" si="774"/>
        <v>gongbing01_Lv3</v>
      </c>
      <c r="I999" s="20">
        <v>1.5</v>
      </c>
      <c r="J999" s="17">
        <v>8</v>
      </c>
      <c r="K999" s="17">
        <f t="shared" si="763"/>
        <v>30709</v>
      </c>
      <c r="L999" s="17" t="s">
        <v>233</v>
      </c>
      <c r="M999" s="17" t="str">
        <f t="shared" si="766"/>
        <v>1:10400:5</v>
      </c>
      <c r="N999" s="16" t="str">
        <f t="shared" si="753"/>
        <v>10022:1</v>
      </c>
      <c r="O999" s="17">
        <f t="shared" si="755"/>
        <v>8</v>
      </c>
      <c r="P999" s="21" t="s">
        <v>4569</v>
      </c>
      <c r="Q999" s="21"/>
      <c r="R999" t="s">
        <v>4561</v>
      </c>
      <c r="T999" t="str">
        <f t="shared" si="767"/>
        <v>:1</v>
      </c>
      <c r="U999" t="str">
        <f t="shared" si="745"/>
        <v>射手</v>
      </c>
      <c r="V999" t="s">
        <v>4559</v>
      </c>
      <c r="W999">
        <f>属性类型!G999</f>
        <v>10022</v>
      </c>
      <c r="X999">
        <v>1</v>
      </c>
    </row>
    <row r="1000" customFormat="1" ht="16.5" spans="1:24">
      <c r="A1000" s="17">
        <f t="shared" si="764"/>
        <v>30709</v>
      </c>
      <c r="B1000" s="17">
        <f>ROUND(A1000,-2)</f>
        <v>30700</v>
      </c>
      <c r="C1000" s="17" t="str">
        <f t="shared" si="737"/>
        <v>3</v>
      </c>
      <c r="D1000" s="17">
        <f>$A$934+F1000</f>
        <v>30001</v>
      </c>
      <c r="E1000" s="17">
        <f t="shared" ref="E1000:H1000" si="775">E999</f>
        <v>2</v>
      </c>
      <c r="F1000" s="17">
        <f t="shared" si="754"/>
        <v>1</v>
      </c>
      <c r="G1000" s="17" t="str">
        <f t="shared" si="775"/>
        <v>幻影射手防御百分比</v>
      </c>
      <c r="H1000" s="17" t="str">
        <f t="shared" si="775"/>
        <v>gongbing01_Lv3</v>
      </c>
      <c r="I1000" s="20">
        <v>1.5</v>
      </c>
      <c r="J1000" s="17">
        <v>9</v>
      </c>
      <c r="K1000" s="17">
        <f t="shared" si="763"/>
        <v>30710</v>
      </c>
      <c r="L1000" s="17" t="s">
        <v>236</v>
      </c>
      <c r="M1000" s="17" t="str">
        <f t="shared" si="766"/>
        <v>1:10400:5</v>
      </c>
      <c r="N1000" s="16" t="str">
        <f t="shared" si="753"/>
        <v>10022:1</v>
      </c>
      <c r="O1000" s="17">
        <f t="shared" si="755"/>
        <v>8</v>
      </c>
      <c r="P1000" s="21" t="s">
        <v>4570</v>
      </c>
      <c r="Q1000" s="21"/>
      <c r="R1000" t="s">
        <v>4561</v>
      </c>
      <c r="T1000" t="str">
        <f t="shared" si="767"/>
        <v>:1</v>
      </c>
      <c r="U1000" t="str">
        <f t="shared" si="745"/>
        <v>射手</v>
      </c>
      <c r="V1000" t="s">
        <v>4559</v>
      </c>
      <c r="W1000">
        <f>属性类型!G1000</f>
        <v>10022</v>
      </c>
      <c r="X1000">
        <v>1</v>
      </c>
    </row>
    <row r="1001" customFormat="1" ht="16.5" spans="1:24">
      <c r="A1001" s="17">
        <f t="shared" si="764"/>
        <v>30710</v>
      </c>
      <c r="B1001" s="17">
        <f>ROUND(A1001,-2)</f>
        <v>30700</v>
      </c>
      <c r="C1001" s="17" t="str">
        <f t="shared" si="737"/>
        <v>3</v>
      </c>
      <c r="D1001" s="17">
        <f>$A$934+F1001</f>
        <v>30001</v>
      </c>
      <c r="E1001" s="17">
        <f t="shared" ref="E1001:H1001" si="776">E1000</f>
        <v>2</v>
      </c>
      <c r="F1001" s="17">
        <f t="shared" si="754"/>
        <v>1</v>
      </c>
      <c r="G1001" s="17" t="str">
        <f t="shared" si="776"/>
        <v>幻影射手防御百分比</v>
      </c>
      <c r="H1001" s="17" t="str">
        <f t="shared" si="776"/>
        <v>gongbing01_Lv3</v>
      </c>
      <c r="I1001" s="20">
        <v>1.5</v>
      </c>
      <c r="J1001" s="17">
        <v>10</v>
      </c>
      <c r="K1001" s="17">
        <f t="shared" si="763"/>
        <v>30711</v>
      </c>
      <c r="L1001" s="17" t="s">
        <v>238</v>
      </c>
      <c r="M1001" s="17" t="str">
        <f t="shared" si="766"/>
        <v>1:10400:5</v>
      </c>
      <c r="N1001" s="16" t="str">
        <f t="shared" si="753"/>
        <v>10022:1</v>
      </c>
      <c r="O1001" s="17">
        <f t="shared" si="755"/>
        <v>8</v>
      </c>
      <c r="P1001" s="21" t="s">
        <v>4571</v>
      </c>
      <c r="Q1001" s="21"/>
      <c r="R1001" t="s">
        <v>4561</v>
      </c>
      <c r="T1001" t="str">
        <f t="shared" si="767"/>
        <v>:1</v>
      </c>
      <c r="U1001" t="str">
        <f t="shared" si="745"/>
        <v>射手</v>
      </c>
      <c r="V1001" t="s">
        <v>4559</v>
      </c>
      <c r="W1001">
        <f>属性类型!G1001</f>
        <v>10022</v>
      </c>
      <c r="X1001">
        <v>1</v>
      </c>
    </row>
    <row r="1002" customFormat="1" ht="16.5" spans="1:24">
      <c r="A1002" s="17">
        <f t="shared" ref="A1002:A1012" si="777">A1001+1</f>
        <v>30711</v>
      </c>
      <c r="B1002" s="17">
        <f t="shared" ref="B1002:B1022" si="778">ROUND(A1002,-2)</f>
        <v>30700</v>
      </c>
      <c r="C1002" s="17" t="str">
        <f t="shared" ref="C1002:C1022" si="779">LEFT(A1002,1)</f>
        <v>3</v>
      </c>
      <c r="D1002" s="17">
        <f t="shared" ref="D1002:D1022" si="780">$A$934+F1002</f>
        <v>30001</v>
      </c>
      <c r="E1002" s="17">
        <f t="shared" ref="E1002:H1002" si="781">E1001</f>
        <v>2</v>
      </c>
      <c r="F1002" s="17">
        <f t="shared" si="754"/>
        <v>1</v>
      </c>
      <c r="G1002" s="17" t="str">
        <f t="shared" si="781"/>
        <v>幻影射手防御百分比</v>
      </c>
      <c r="H1002" s="17" t="str">
        <f t="shared" si="781"/>
        <v>gongbing01_Lv3</v>
      </c>
      <c r="I1002" s="20">
        <v>1.5</v>
      </c>
      <c r="J1002" s="17">
        <v>11</v>
      </c>
      <c r="K1002" s="17">
        <f t="shared" si="763"/>
        <v>30712</v>
      </c>
      <c r="L1002" s="17" t="s">
        <v>529</v>
      </c>
      <c r="M1002" s="17" t="str">
        <f t="shared" si="766"/>
        <v>1:10400:5</v>
      </c>
      <c r="N1002" s="16" t="str">
        <f t="shared" si="753"/>
        <v>10022:1</v>
      </c>
      <c r="O1002" s="17">
        <f t="shared" si="755"/>
        <v>8</v>
      </c>
      <c r="P1002" s="21" t="s">
        <v>4572</v>
      </c>
      <c r="Q1002" s="21"/>
      <c r="R1002" t="s">
        <v>4561</v>
      </c>
      <c r="U1002" t="str">
        <f t="shared" si="745"/>
        <v>射手</v>
      </c>
      <c r="V1002" t="s">
        <v>4559</v>
      </c>
      <c r="W1002">
        <f>属性类型!G1002</f>
        <v>10022</v>
      </c>
      <c r="X1002">
        <v>1</v>
      </c>
    </row>
    <row r="1003" customFormat="1" ht="16.5" spans="1:24">
      <c r="A1003" s="17">
        <f t="shared" si="777"/>
        <v>30712</v>
      </c>
      <c r="B1003" s="17">
        <f t="shared" si="778"/>
        <v>30700</v>
      </c>
      <c r="C1003" s="17" t="str">
        <f t="shared" si="779"/>
        <v>3</v>
      </c>
      <c r="D1003" s="17">
        <f t="shared" si="780"/>
        <v>30001</v>
      </c>
      <c r="E1003" s="17">
        <f t="shared" ref="E1003:H1003" si="782">E1002</f>
        <v>2</v>
      </c>
      <c r="F1003" s="17">
        <f t="shared" si="754"/>
        <v>1</v>
      </c>
      <c r="G1003" s="17" t="str">
        <f t="shared" si="782"/>
        <v>幻影射手防御百分比</v>
      </c>
      <c r="H1003" s="17" t="str">
        <f t="shared" si="782"/>
        <v>gongbing01_Lv3</v>
      </c>
      <c r="I1003" s="20">
        <v>1.5</v>
      </c>
      <c r="J1003" s="17">
        <v>12</v>
      </c>
      <c r="K1003" s="17">
        <f t="shared" si="763"/>
        <v>30713</v>
      </c>
      <c r="L1003" s="17" t="s">
        <v>532</v>
      </c>
      <c r="M1003" s="17" t="str">
        <f t="shared" si="766"/>
        <v>1:10400:5</v>
      </c>
      <c r="N1003" s="16" t="str">
        <f t="shared" si="753"/>
        <v>10022:1</v>
      </c>
      <c r="O1003" s="17">
        <f t="shared" si="755"/>
        <v>8</v>
      </c>
      <c r="P1003" s="21" t="s">
        <v>4573</v>
      </c>
      <c r="Q1003" s="21"/>
      <c r="R1003" t="s">
        <v>4561</v>
      </c>
      <c r="U1003" t="str">
        <f t="shared" si="745"/>
        <v>射手</v>
      </c>
      <c r="V1003" t="s">
        <v>4559</v>
      </c>
      <c r="W1003">
        <f>属性类型!G1003</f>
        <v>10022</v>
      </c>
      <c r="X1003">
        <v>1</v>
      </c>
    </row>
    <row r="1004" customFormat="1" ht="16.5" spans="1:24">
      <c r="A1004" s="17">
        <f t="shared" si="777"/>
        <v>30713</v>
      </c>
      <c r="B1004" s="17">
        <f t="shared" si="778"/>
        <v>30700</v>
      </c>
      <c r="C1004" s="17" t="str">
        <f t="shared" si="779"/>
        <v>3</v>
      </c>
      <c r="D1004" s="17">
        <f t="shared" si="780"/>
        <v>30001</v>
      </c>
      <c r="E1004" s="17">
        <f t="shared" ref="E1004:H1004" si="783">E1003</f>
        <v>2</v>
      </c>
      <c r="F1004" s="17">
        <f t="shared" si="754"/>
        <v>1</v>
      </c>
      <c r="G1004" s="17" t="str">
        <f t="shared" si="783"/>
        <v>幻影射手防御百分比</v>
      </c>
      <c r="H1004" s="17" t="str">
        <f t="shared" si="783"/>
        <v>gongbing01_Lv3</v>
      </c>
      <c r="I1004" s="20">
        <v>1.5</v>
      </c>
      <c r="J1004" s="17">
        <v>13</v>
      </c>
      <c r="K1004" s="17">
        <f t="shared" si="763"/>
        <v>30714</v>
      </c>
      <c r="L1004" s="17" t="s">
        <v>561</v>
      </c>
      <c r="M1004" s="17" t="str">
        <f t="shared" si="766"/>
        <v>1:10400:5</v>
      </c>
      <c r="N1004" s="16" t="str">
        <f t="shared" si="753"/>
        <v>10022:1</v>
      </c>
      <c r="O1004" s="17">
        <f t="shared" si="755"/>
        <v>8</v>
      </c>
      <c r="P1004" s="21" t="s">
        <v>4574</v>
      </c>
      <c r="Q1004" s="21"/>
      <c r="R1004" t="s">
        <v>4561</v>
      </c>
      <c r="U1004" t="str">
        <f t="shared" si="745"/>
        <v>射手</v>
      </c>
      <c r="V1004" t="s">
        <v>4559</v>
      </c>
      <c r="W1004">
        <f>属性类型!G1004</f>
        <v>10022</v>
      </c>
      <c r="X1004">
        <v>1</v>
      </c>
    </row>
    <row r="1005" customFormat="1" ht="16.5" spans="1:24">
      <c r="A1005" s="17">
        <f t="shared" si="777"/>
        <v>30714</v>
      </c>
      <c r="B1005" s="17">
        <f t="shared" si="778"/>
        <v>30700</v>
      </c>
      <c r="C1005" s="17" t="str">
        <f t="shared" si="779"/>
        <v>3</v>
      </c>
      <c r="D1005" s="17">
        <f t="shared" si="780"/>
        <v>30001</v>
      </c>
      <c r="E1005" s="17">
        <f t="shared" ref="E1005:H1005" si="784">E1004</f>
        <v>2</v>
      </c>
      <c r="F1005" s="17">
        <f t="shared" si="754"/>
        <v>1</v>
      </c>
      <c r="G1005" s="17" t="str">
        <f t="shared" si="784"/>
        <v>幻影射手防御百分比</v>
      </c>
      <c r="H1005" s="17" t="str">
        <f t="shared" si="784"/>
        <v>gongbing01_Lv3</v>
      </c>
      <c r="I1005" s="20">
        <v>1.5</v>
      </c>
      <c r="J1005" s="17">
        <v>14</v>
      </c>
      <c r="K1005" s="17">
        <f t="shared" si="763"/>
        <v>30715</v>
      </c>
      <c r="L1005" s="17" t="s">
        <v>564</v>
      </c>
      <c r="M1005" s="17" t="str">
        <f t="shared" si="766"/>
        <v>1:10400:5</v>
      </c>
      <c r="N1005" s="16" t="str">
        <f t="shared" si="753"/>
        <v>10022:1</v>
      </c>
      <c r="O1005" s="17">
        <f t="shared" si="755"/>
        <v>8</v>
      </c>
      <c r="P1005" s="21" t="s">
        <v>4575</v>
      </c>
      <c r="Q1005" s="21"/>
      <c r="R1005" t="s">
        <v>4561</v>
      </c>
      <c r="U1005" t="str">
        <f t="shared" si="745"/>
        <v>射手</v>
      </c>
      <c r="V1005" t="s">
        <v>4559</v>
      </c>
      <c r="W1005">
        <f>属性类型!G1005</f>
        <v>10022</v>
      </c>
      <c r="X1005">
        <v>1</v>
      </c>
    </row>
    <row r="1006" customFormat="1" ht="16.5" spans="1:24">
      <c r="A1006" s="17">
        <f t="shared" si="777"/>
        <v>30715</v>
      </c>
      <c r="B1006" s="17">
        <f t="shared" si="778"/>
        <v>30700</v>
      </c>
      <c r="C1006" s="17" t="str">
        <f t="shared" si="779"/>
        <v>3</v>
      </c>
      <c r="D1006" s="17">
        <f t="shared" si="780"/>
        <v>30001</v>
      </c>
      <c r="E1006" s="17">
        <f t="shared" ref="E1006:H1006" si="785">E1005</f>
        <v>2</v>
      </c>
      <c r="F1006" s="17">
        <f t="shared" si="754"/>
        <v>1</v>
      </c>
      <c r="G1006" s="17" t="str">
        <f t="shared" si="785"/>
        <v>幻影射手防御百分比</v>
      </c>
      <c r="H1006" s="17" t="str">
        <f t="shared" si="785"/>
        <v>gongbing01_Lv3</v>
      </c>
      <c r="I1006" s="20">
        <v>1.5</v>
      </c>
      <c r="J1006" s="17">
        <v>15</v>
      </c>
      <c r="K1006" s="17">
        <f t="shared" si="763"/>
        <v>30716</v>
      </c>
      <c r="L1006" s="17" t="s">
        <v>630</v>
      </c>
      <c r="M1006" s="17" t="str">
        <f t="shared" si="766"/>
        <v>1:10400:5</v>
      </c>
      <c r="N1006" s="16" t="str">
        <f t="shared" si="753"/>
        <v>10022:1</v>
      </c>
      <c r="O1006" s="17">
        <f t="shared" si="755"/>
        <v>8</v>
      </c>
      <c r="P1006" s="21" t="s">
        <v>4576</v>
      </c>
      <c r="Q1006" s="21"/>
      <c r="R1006" t="s">
        <v>4561</v>
      </c>
      <c r="U1006" t="str">
        <f t="shared" si="745"/>
        <v>射手</v>
      </c>
      <c r="V1006" t="s">
        <v>4559</v>
      </c>
      <c r="W1006">
        <f>属性类型!G1006</f>
        <v>10022</v>
      </c>
      <c r="X1006">
        <v>1</v>
      </c>
    </row>
    <row r="1007" customFormat="1" ht="16.5" spans="1:24">
      <c r="A1007" s="17">
        <f t="shared" si="777"/>
        <v>30716</v>
      </c>
      <c r="B1007" s="17">
        <f t="shared" si="778"/>
        <v>30700</v>
      </c>
      <c r="C1007" s="17" t="str">
        <f t="shared" si="779"/>
        <v>3</v>
      </c>
      <c r="D1007" s="17">
        <f t="shared" si="780"/>
        <v>30001</v>
      </c>
      <c r="E1007" s="17">
        <f t="shared" ref="E1007:H1007" si="786">E1006</f>
        <v>2</v>
      </c>
      <c r="F1007" s="17">
        <f t="shared" si="754"/>
        <v>1</v>
      </c>
      <c r="G1007" s="17" t="str">
        <f t="shared" si="786"/>
        <v>幻影射手防御百分比</v>
      </c>
      <c r="H1007" s="17" t="str">
        <f t="shared" si="786"/>
        <v>gongbing01_Lv3</v>
      </c>
      <c r="I1007" s="20">
        <v>1.5</v>
      </c>
      <c r="J1007" s="17">
        <v>16</v>
      </c>
      <c r="K1007" s="17">
        <f t="shared" si="763"/>
        <v>30717</v>
      </c>
      <c r="L1007" s="17" t="s">
        <v>633</v>
      </c>
      <c r="M1007" s="17" t="str">
        <f t="shared" si="766"/>
        <v>1:10400:5</v>
      </c>
      <c r="N1007" s="16" t="str">
        <f t="shared" si="753"/>
        <v>10022:1</v>
      </c>
      <c r="O1007" s="17">
        <f t="shared" si="755"/>
        <v>8</v>
      </c>
      <c r="P1007" s="21" t="s">
        <v>4577</v>
      </c>
      <c r="Q1007" s="21"/>
      <c r="R1007" t="s">
        <v>4561</v>
      </c>
      <c r="U1007" t="str">
        <f t="shared" si="745"/>
        <v>射手</v>
      </c>
      <c r="V1007" t="s">
        <v>4559</v>
      </c>
      <c r="W1007">
        <f>属性类型!G1007</f>
        <v>10022</v>
      </c>
      <c r="X1007">
        <v>1</v>
      </c>
    </row>
    <row r="1008" customFormat="1" ht="16.5" spans="1:24">
      <c r="A1008" s="17">
        <f t="shared" si="777"/>
        <v>30717</v>
      </c>
      <c r="B1008" s="17">
        <f t="shared" si="778"/>
        <v>30700</v>
      </c>
      <c r="C1008" s="17" t="str">
        <f t="shared" si="779"/>
        <v>3</v>
      </c>
      <c r="D1008" s="17">
        <f t="shared" si="780"/>
        <v>30001</v>
      </c>
      <c r="E1008" s="17">
        <f t="shared" ref="E1008:H1008" si="787">E1007</f>
        <v>2</v>
      </c>
      <c r="F1008" s="17">
        <f t="shared" si="754"/>
        <v>1</v>
      </c>
      <c r="G1008" s="17" t="str">
        <f t="shared" si="787"/>
        <v>幻影射手防御百分比</v>
      </c>
      <c r="H1008" s="17" t="str">
        <f t="shared" si="787"/>
        <v>gongbing01_Lv3</v>
      </c>
      <c r="I1008" s="20">
        <v>1.5</v>
      </c>
      <c r="J1008" s="17">
        <v>17</v>
      </c>
      <c r="K1008" s="17">
        <f t="shared" si="763"/>
        <v>30718</v>
      </c>
      <c r="L1008" s="17" t="s">
        <v>637</v>
      </c>
      <c r="M1008" s="17" t="str">
        <f t="shared" si="766"/>
        <v>1:10400:5</v>
      </c>
      <c r="N1008" s="16" t="str">
        <f t="shared" si="753"/>
        <v>10022:1</v>
      </c>
      <c r="O1008" s="17">
        <f t="shared" si="755"/>
        <v>8</v>
      </c>
      <c r="P1008" s="21" t="s">
        <v>4578</v>
      </c>
      <c r="Q1008" s="21"/>
      <c r="R1008" t="s">
        <v>4561</v>
      </c>
      <c r="U1008" t="str">
        <f t="shared" si="745"/>
        <v>射手</v>
      </c>
      <c r="V1008" t="s">
        <v>4559</v>
      </c>
      <c r="W1008">
        <f>属性类型!G1008</f>
        <v>10022</v>
      </c>
      <c r="X1008">
        <v>1</v>
      </c>
    </row>
    <row r="1009" customFormat="1" ht="16.5" spans="1:24">
      <c r="A1009" s="17">
        <f t="shared" si="777"/>
        <v>30718</v>
      </c>
      <c r="B1009" s="17">
        <f t="shared" si="778"/>
        <v>30700</v>
      </c>
      <c r="C1009" s="17" t="str">
        <f t="shared" si="779"/>
        <v>3</v>
      </c>
      <c r="D1009" s="17">
        <f t="shared" si="780"/>
        <v>30001</v>
      </c>
      <c r="E1009" s="17">
        <f t="shared" ref="E1009:H1009" si="788">E1008</f>
        <v>2</v>
      </c>
      <c r="F1009" s="17">
        <f t="shared" si="754"/>
        <v>1</v>
      </c>
      <c r="G1009" s="17" t="str">
        <f t="shared" si="788"/>
        <v>幻影射手防御百分比</v>
      </c>
      <c r="H1009" s="17" t="str">
        <f t="shared" si="788"/>
        <v>gongbing01_Lv3</v>
      </c>
      <c r="I1009" s="20">
        <v>1.5</v>
      </c>
      <c r="J1009" s="17">
        <v>18</v>
      </c>
      <c r="K1009" s="17">
        <f t="shared" si="763"/>
        <v>30719</v>
      </c>
      <c r="L1009" s="17" t="s">
        <v>641</v>
      </c>
      <c r="M1009" s="17" t="str">
        <f t="shared" si="766"/>
        <v>1:10400:5</v>
      </c>
      <c r="N1009" s="16" t="str">
        <f t="shared" si="753"/>
        <v>10022:1</v>
      </c>
      <c r="O1009" s="17">
        <f t="shared" si="755"/>
        <v>8</v>
      </c>
      <c r="P1009" s="21" t="s">
        <v>4579</v>
      </c>
      <c r="Q1009" s="21"/>
      <c r="R1009" t="s">
        <v>4561</v>
      </c>
      <c r="U1009" t="str">
        <f t="shared" si="745"/>
        <v>射手</v>
      </c>
      <c r="V1009" t="s">
        <v>4559</v>
      </c>
      <c r="W1009">
        <f>属性类型!G1009</f>
        <v>10022</v>
      </c>
      <c r="X1009">
        <v>1</v>
      </c>
    </row>
    <row r="1010" customFormat="1" ht="16.5" spans="1:24">
      <c r="A1010" s="17">
        <f t="shared" si="777"/>
        <v>30719</v>
      </c>
      <c r="B1010" s="17">
        <f t="shared" si="778"/>
        <v>30700</v>
      </c>
      <c r="C1010" s="17" t="str">
        <f t="shared" si="779"/>
        <v>3</v>
      </c>
      <c r="D1010" s="17">
        <f t="shared" si="780"/>
        <v>30001</v>
      </c>
      <c r="E1010" s="17">
        <f t="shared" ref="E1010:H1010" si="789">E1009</f>
        <v>2</v>
      </c>
      <c r="F1010" s="17">
        <f t="shared" si="754"/>
        <v>1</v>
      </c>
      <c r="G1010" s="17" t="str">
        <f t="shared" si="789"/>
        <v>幻影射手防御百分比</v>
      </c>
      <c r="H1010" s="17" t="str">
        <f t="shared" si="789"/>
        <v>gongbing01_Lv3</v>
      </c>
      <c r="I1010" s="20">
        <v>1.5</v>
      </c>
      <c r="J1010" s="17">
        <v>19</v>
      </c>
      <c r="K1010" s="17">
        <f t="shared" si="763"/>
        <v>30720</v>
      </c>
      <c r="L1010" s="17" t="s">
        <v>645</v>
      </c>
      <c r="M1010" s="17" t="str">
        <f t="shared" si="766"/>
        <v>1:10400:5</v>
      </c>
      <c r="N1010" s="16" t="str">
        <f t="shared" si="753"/>
        <v>10022:1</v>
      </c>
      <c r="O1010" s="17">
        <f t="shared" si="755"/>
        <v>8</v>
      </c>
      <c r="P1010" s="21" t="s">
        <v>4580</v>
      </c>
      <c r="Q1010" s="21"/>
      <c r="R1010" t="s">
        <v>4561</v>
      </c>
      <c r="U1010" t="str">
        <f t="shared" si="745"/>
        <v>射手</v>
      </c>
      <c r="V1010" t="s">
        <v>4559</v>
      </c>
      <c r="W1010">
        <f>属性类型!G1010</f>
        <v>10022</v>
      </c>
      <c r="X1010">
        <v>1</v>
      </c>
    </row>
    <row r="1011" customFormat="1" ht="16.5" spans="1:24">
      <c r="A1011" s="17">
        <f t="shared" si="777"/>
        <v>30720</v>
      </c>
      <c r="B1011" s="17">
        <f t="shared" si="778"/>
        <v>30700</v>
      </c>
      <c r="C1011" s="17" t="str">
        <f t="shared" si="779"/>
        <v>3</v>
      </c>
      <c r="D1011" s="17">
        <f t="shared" si="780"/>
        <v>30001</v>
      </c>
      <c r="E1011" s="17">
        <f t="shared" ref="E1011:H1011" si="790">E1010</f>
        <v>2</v>
      </c>
      <c r="F1011" s="17">
        <f t="shared" si="754"/>
        <v>1</v>
      </c>
      <c r="G1011" s="17" t="str">
        <f t="shared" si="790"/>
        <v>幻影射手防御百分比</v>
      </c>
      <c r="H1011" s="17" t="str">
        <f t="shared" si="790"/>
        <v>gongbing01_Lv3</v>
      </c>
      <c r="I1011" s="20">
        <v>1.5</v>
      </c>
      <c r="J1011" s="17">
        <v>20</v>
      </c>
      <c r="K1011" s="17">
        <v>0</v>
      </c>
      <c r="L1011" s="17">
        <v>0</v>
      </c>
      <c r="M1011" s="17" t="str">
        <f t="shared" si="766"/>
        <v>1:10400:5</v>
      </c>
      <c r="N1011" s="16" t="str">
        <f t="shared" si="753"/>
        <v>10022:1</v>
      </c>
      <c r="O1011" s="17">
        <f t="shared" si="755"/>
        <v>8</v>
      </c>
      <c r="P1011" s="21" t="s">
        <v>4580</v>
      </c>
      <c r="Q1011" s="21"/>
      <c r="R1011" t="s">
        <v>4561</v>
      </c>
      <c r="U1011" t="str">
        <f t="shared" si="745"/>
        <v>射手</v>
      </c>
      <c r="V1011" t="s">
        <v>4559</v>
      </c>
      <c r="W1011">
        <f>属性类型!G1011</f>
        <v>10022</v>
      </c>
      <c r="X1011">
        <v>1</v>
      </c>
    </row>
    <row r="1012" customFormat="1" ht="16.5" spans="1:24">
      <c r="A1012" s="18">
        <f>A991+100</f>
        <v>30800</v>
      </c>
      <c r="B1012" s="18">
        <f t="shared" si="778"/>
        <v>30800</v>
      </c>
      <c r="C1012" s="18" t="str">
        <f t="shared" si="779"/>
        <v>3</v>
      </c>
      <c r="D1012" s="17">
        <f t="shared" si="780"/>
        <v>30001</v>
      </c>
      <c r="E1012" s="17">
        <v>2</v>
      </c>
      <c r="F1012" s="18">
        <f t="shared" si="754"/>
        <v>1</v>
      </c>
      <c r="G1012" s="18" t="s">
        <v>4581</v>
      </c>
      <c r="H1012" s="18" t="s">
        <v>1633</v>
      </c>
      <c r="I1012" s="20">
        <v>1.5</v>
      </c>
      <c r="J1012" s="18">
        <v>0</v>
      </c>
      <c r="K1012" s="18">
        <f t="shared" ref="K1012:K1031" si="791">A1013</f>
        <v>30801</v>
      </c>
      <c r="L1012" s="18" t="s">
        <v>206</v>
      </c>
      <c r="M1012" s="18" t="s">
        <v>244</v>
      </c>
      <c r="N1012" s="16" t="str">
        <f t="shared" si="753"/>
        <v>10023:1</v>
      </c>
      <c r="O1012" s="18">
        <f t="shared" si="755"/>
        <v>9</v>
      </c>
      <c r="P1012" s="21" t="s">
        <v>4582</v>
      </c>
      <c r="Q1012" s="21"/>
      <c r="R1012" t="s">
        <v>4561</v>
      </c>
      <c r="T1012" t="str">
        <f>RIGHT(N1012,1)</f>
        <v>1</v>
      </c>
      <c r="U1012" t="str">
        <f t="shared" si="745"/>
        <v>射手</v>
      </c>
      <c r="V1012" t="s">
        <v>4581</v>
      </c>
      <c r="W1012">
        <f>属性类型!G1012</f>
        <v>10023</v>
      </c>
      <c r="X1012">
        <v>1</v>
      </c>
    </row>
    <row r="1013" customFormat="1" ht="16.5" spans="1:24">
      <c r="A1013" s="17">
        <f t="shared" ref="A1013:A1022" si="792">A1012+1</f>
        <v>30801</v>
      </c>
      <c r="B1013" s="17">
        <f t="shared" si="778"/>
        <v>30800</v>
      </c>
      <c r="C1013" s="17" t="str">
        <f t="shared" si="779"/>
        <v>3</v>
      </c>
      <c r="D1013" s="17">
        <f t="shared" si="780"/>
        <v>30001</v>
      </c>
      <c r="E1013" s="17">
        <f t="shared" ref="E1013:H1013" si="793">E1012</f>
        <v>2</v>
      </c>
      <c r="F1013" s="17">
        <f t="shared" si="754"/>
        <v>1</v>
      </c>
      <c r="G1013" s="17" t="str">
        <f t="shared" si="793"/>
        <v>幻影射手攻击百分比</v>
      </c>
      <c r="H1013" s="17" t="str">
        <f t="shared" si="793"/>
        <v>gongbing01_Lv3</v>
      </c>
      <c r="I1013" s="20">
        <v>1.5</v>
      </c>
      <c r="J1013" s="17">
        <v>1</v>
      </c>
      <c r="K1013" s="17">
        <f t="shared" si="791"/>
        <v>30802</v>
      </c>
      <c r="L1013" s="17" t="s">
        <v>211</v>
      </c>
      <c r="M1013" s="17" t="str">
        <f t="shared" ref="M1013:M1032" si="794">M1012</f>
        <v>1:10500:5</v>
      </c>
      <c r="N1013" s="16" t="str">
        <f t="shared" si="753"/>
        <v>10023:1</v>
      </c>
      <c r="O1013" s="17">
        <f t="shared" si="755"/>
        <v>9</v>
      </c>
      <c r="P1013" s="21" t="s">
        <v>4583</v>
      </c>
      <c r="Q1013" s="21"/>
      <c r="R1013" t="s">
        <v>4561</v>
      </c>
      <c r="T1013" t="str">
        <f t="shared" ref="T1013:T1022" si="795">RIGHT(N1013,2)</f>
        <v>:1</v>
      </c>
      <c r="U1013" t="str">
        <f t="shared" si="745"/>
        <v>射手</v>
      </c>
      <c r="V1013" t="s">
        <v>4581</v>
      </c>
      <c r="W1013">
        <f>属性类型!G1013</f>
        <v>10023</v>
      </c>
      <c r="X1013">
        <v>1</v>
      </c>
    </row>
    <row r="1014" customFormat="1" ht="16.5" spans="1:24">
      <c r="A1014" s="17">
        <f t="shared" si="792"/>
        <v>30802</v>
      </c>
      <c r="B1014" s="17">
        <f t="shared" si="778"/>
        <v>30800</v>
      </c>
      <c r="C1014" s="17" t="str">
        <f t="shared" si="779"/>
        <v>3</v>
      </c>
      <c r="D1014" s="17">
        <f t="shared" si="780"/>
        <v>30001</v>
      </c>
      <c r="E1014" s="17">
        <f t="shared" ref="E1014:H1014" si="796">E1013</f>
        <v>2</v>
      </c>
      <c r="F1014" s="17">
        <f t="shared" si="754"/>
        <v>1</v>
      </c>
      <c r="G1014" s="17" t="str">
        <f t="shared" si="796"/>
        <v>幻影射手攻击百分比</v>
      </c>
      <c r="H1014" s="17" t="str">
        <f t="shared" si="796"/>
        <v>gongbing01_Lv3</v>
      </c>
      <c r="I1014" s="20">
        <v>1.5</v>
      </c>
      <c r="J1014" s="17">
        <v>2</v>
      </c>
      <c r="K1014" s="17">
        <f t="shared" si="791"/>
        <v>30803</v>
      </c>
      <c r="L1014" s="17" t="s">
        <v>215</v>
      </c>
      <c r="M1014" s="17" t="str">
        <f t="shared" si="794"/>
        <v>1:10500:5</v>
      </c>
      <c r="N1014" s="16" t="str">
        <f t="shared" si="753"/>
        <v>10023:1</v>
      </c>
      <c r="O1014" s="17">
        <f t="shared" si="755"/>
        <v>9</v>
      </c>
      <c r="P1014" s="21" t="s">
        <v>4584</v>
      </c>
      <c r="Q1014" s="21"/>
      <c r="R1014" t="s">
        <v>4561</v>
      </c>
      <c r="T1014" t="str">
        <f t="shared" si="795"/>
        <v>:1</v>
      </c>
      <c r="U1014" t="str">
        <f t="shared" si="745"/>
        <v>射手</v>
      </c>
      <c r="V1014" t="s">
        <v>4581</v>
      </c>
      <c r="W1014">
        <f>属性类型!G1014</f>
        <v>10023</v>
      </c>
      <c r="X1014">
        <v>1</v>
      </c>
    </row>
    <row r="1015" customFormat="1" ht="16.5" spans="1:24">
      <c r="A1015" s="17">
        <f t="shared" si="792"/>
        <v>30803</v>
      </c>
      <c r="B1015" s="17">
        <f t="shared" si="778"/>
        <v>30800</v>
      </c>
      <c r="C1015" s="17" t="str">
        <f t="shared" si="779"/>
        <v>3</v>
      </c>
      <c r="D1015" s="17">
        <f t="shared" si="780"/>
        <v>30001</v>
      </c>
      <c r="E1015" s="17">
        <f t="shared" ref="E1015:H1015" si="797">E1014</f>
        <v>2</v>
      </c>
      <c r="F1015" s="17">
        <f t="shared" si="754"/>
        <v>1</v>
      </c>
      <c r="G1015" s="17" t="str">
        <f t="shared" si="797"/>
        <v>幻影射手攻击百分比</v>
      </c>
      <c r="H1015" s="17" t="str">
        <f t="shared" si="797"/>
        <v>gongbing01_Lv3</v>
      </c>
      <c r="I1015" s="20">
        <v>1.5</v>
      </c>
      <c r="J1015" s="17">
        <v>3</v>
      </c>
      <c r="K1015" s="17">
        <f t="shared" si="791"/>
        <v>30804</v>
      </c>
      <c r="L1015" s="17" t="s">
        <v>218</v>
      </c>
      <c r="M1015" s="17" t="str">
        <f t="shared" si="794"/>
        <v>1:10500:5</v>
      </c>
      <c r="N1015" s="16" t="str">
        <f t="shared" si="753"/>
        <v>10023:1</v>
      </c>
      <c r="O1015" s="17">
        <f t="shared" si="755"/>
        <v>9</v>
      </c>
      <c r="P1015" s="21" t="s">
        <v>4585</v>
      </c>
      <c r="Q1015" s="21"/>
      <c r="R1015" t="s">
        <v>4561</v>
      </c>
      <c r="T1015" t="str">
        <f t="shared" si="795"/>
        <v>:1</v>
      </c>
      <c r="U1015" t="str">
        <f t="shared" si="745"/>
        <v>射手</v>
      </c>
      <c r="V1015" t="s">
        <v>4581</v>
      </c>
      <c r="W1015">
        <f>属性类型!G1015</f>
        <v>10023</v>
      </c>
      <c r="X1015">
        <v>1</v>
      </c>
    </row>
    <row r="1016" customFormat="1" ht="16.5" spans="1:24">
      <c r="A1016" s="17">
        <f t="shared" si="792"/>
        <v>30804</v>
      </c>
      <c r="B1016" s="17">
        <f t="shared" si="778"/>
        <v>30800</v>
      </c>
      <c r="C1016" s="17" t="str">
        <f t="shared" si="779"/>
        <v>3</v>
      </c>
      <c r="D1016" s="17">
        <f t="shared" si="780"/>
        <v>30001</v>
      </c>
      <c r="E1016" s="17">
        <f t="shared" ref="E1016:H1016" si="798">E1015</f>
        <v>2</v>
      </c>
      <c r="F1016" s="17">
        <f t="shared" si="754"/>
        <v>1</v>
      </c>
      <c r="G1016" s="17" t="str">
        <f t="shared" si="798"/>
        <v>幻影射手攻击百分比</v>
      </c>
      <c r="H1016" s="17" t="str">
        <f t="shared" si="798"/>
        <v>gongbing01_Lv3</v>
      </c>
      <c r="I1016" s="20">
        <v>1.5</v>
      </c>
      <c r="J1016" s="17">
        <v>4</v>
      </c>
      <c r="K1016" s="17">
        <f t="shared" si="791"/>
        <v>30805</v>
      </c>
      <c r="L1016" s="17" t="s">
        <v>221</v>
      </c>
      <c r="M1016" s="17" t="str">
        <f t="shared" si="794"/>
        <v>1:10500:5</v>
      </c>
      <c r="N1016" s="16" t="str">
        <f t="shared" si="753"/>
        <v>10023:1</v>
      </c>
      <c r="O1016" s="17">
        <f t="shared" si="755"/>
        <v>9</v>
      </c>
      <c r="P1016" s="21" t="s">
        <v>4586</v>
      </c>
      <c r="Q1016" s="21"/>
      <c r="R1016" t="s">
        <v>4561</v>
      </c>
      <c r="T1016" t="str">
        <f t="shared" si="795"/>
        <v>:1</v>
      </c>
      <c r="U1016" t="str">
        <f t="shared" si="745"/>
        <v>射手</v>
      </c>
      <c r="V1016" t="s">
        <v>4581</v>
      </c>
      <c r="W1016">
        <f>属性类型!G1016</f>
        <v>10023</v>
      </c>
      <c r="X1016">
        <v>1</v>
      </c>
    </row>
    <row r="1017" customFormat="1" ht="16.5" spans="1:24">
      <c r="A1017" s="17">
        <f t="shared" si="792"/>
        <v>30805</v>
      </c>
      <c r="B1017" s="17">
        <f t="shared" si="778"/>
        <v>30800</v>
      </c>
      <c r="C1017" s="17" t="str">
        <f t="shared" si="779"/>
        <v>3</v>
      </c>
      <c r="D1017" s="17">
        <f t="shared" si="780"/>
        <v>30001</v>
      </c>
      <c r="E1017" s="17">
        <f t="shared" ref="E1017:H1017" si="799">E1016</f>
        <v>2</v>
      </c>
      <c r="F1017" s="17">
        <f t="shared" si="754"/>
        <v>1</v>
      </c>
      <c r="G1017" s="17" t="str">
        <f t="shared" si="799"/>
        <v>幻影射手攻击百分比</v>
      </c>
      <c r="H1017" s="17" t="str">
        <f t="shared" si="799"/>
        <v>gongbing01_Lv3</v>
      </c>
      <c r="I1017" s="20">
        <v>1.5</v>
      </c>
      <c r="J1017" s="17">
        <v>5</v>
      </c>
      <c r="K1017" s="17">
        <f t="shared" si="791"/>
        <v>30806</v>
      </c>
      <c r="L1017" s="17" t="s">
        <v>224</v>
      </c>
      <c r="M1017" s="17" t="str">
        <f t="shared" si="794"/>
        <v>1:10500:5</v>
      </c>
      <c r="N1017" s="16" t="str">
        <f t="shared" si="753"/>
        <v>10023:1</v>
      </c>
      <c r="O1017" s="17">
        <f t="shared" si="755"/>
        <v>9</v>
      </c>
      <c r="P1017" s="21" t="s">
        <v>4587</v>
      </c>
      <c r="Q1017" s="21"/>
      <c r="R1017" t="s">
        <v>4561</v>
      </c>
      <c r="T1017" t="str">
        <f t="shared" si="795"/>
        <v>:1</v>
      </c>
      <c r="U1017" t="str">
        <f t="shared" si="745"/>
        <v>射手</v>
      </c>
      <c r="V1017" t="s">
        <v>4581</v>
      </c>
      <c r="W1017">
        <f>属性类型!G1017</f>
        <v>10023</v>
      </c>
      <c r="X1017">
        <v>1</v>
      </c>
    </row>
    <row r="1018" customFormat="1" ht="16.5" spans="1:24">
      <c r="A1018" s="17">
        <f t="shared" si="792"/>
        <v>30806</v>
      </c>
      <c r="B1018" s="17">
        <f t="shared" si="778"/>
        <v>30800</v>
      </c>
      <c r="C1018" s="17" t="str">
        <f t="shared" si="779"/>
        <v>3</v>
      </c>
      <c r="D1018" s="17">
        <f t="shared" si="780"/>
        <v>30001</v>
      </c>
      <c r="E1018" s="17">
        <f t="shared" ref="E1018:H1018" si="800">E1017</f>
        <v>2</v>
      </c>
      <c r="F1018" s="17">
        <f t="shared" si="754"/>
        <v>1</v>
      </c>
      <c r="G1018" s="17" t="str">
        <f t="shared" si="800"/>
        <v>幻影射手攻击百分比</v>
      </c>
      <c r="H1018" s="17" t="str">
        <f t="shared" si="800"/>
        <v>gongbing01_Lv3</v>
      </c>
      <c r="I1018" s="20">
        <v>1.5</v>
      </c>
      <c r="J1018" s="17">
        <v>6</v>
      </c>
      <c r="K1018" s="17">
        <f t="shared" si="791"/>
        <v>30807</v>
      </c>
      <c r="L1018" s="17" t="s">
        <v>227</v>
      </c>
      <c r="M1018" s="17" t="str">
        <f t="shared" si="794"/>
        <v>1:10500:5</v>
      </c>
      <c r="N1018" s="16" t="str">
        <f t="shared" si="753"/>
        <v>10023:1</v>
      </c>
      <c r="O1018" s="17">
        <f t="shared" si="755"/>
        <v>9</v>
      </c>
      <c r="P1018" s="21" t="s">
        <v>4588</v>
      </c>
      <c r="Q1018" s="21"/>
      <c r="R1018" t="s">
        <v>4561</v>
      </c>
      <c r="T1018" t="str">
        <f t="shared" si="795"/>
        <v>:1</v>
      </c>
      <c r="U1018" t="str">
        <f t="shared" si="745"/>
        <v>射手</v>
      </c>
      <c r="V1018" t="s">
        <v>4581</v>
      </c>
      <c r="W1018">
        <f>属性类型!G1018</f>
        <v>10023</v>
      </c>
      <c r="X1018">
        <v>1</v>
      </c>
    </row>
    <row r="1019" customFormat="1" ht="16.5" spans="1:24">
      <c r="A1019" s="17">
        <f t="shared" si="792"/>
        <v>30807</v>
      </c>
      <c r="B1019" s="17">
        <f t="shared" si="778"/>
        <v>30800</v>
      </c>
      <c r="C1019" s="17" t="str">
        <f t="shared" si="779"/>
        <v>3</v>
      </c>
      <c r="D1019" s="17">
        <f t="shared" si="780"/>
        <v>30001</v>
      </c>
      <c r="E1019" s="17">
        <f t="shared" ref="E1019:H1019" si="801">E1018</f>
        <v>2</v>
      </c>
      <c r="F1019" s="17">
        <f t="shared" si="754"/>
        <v>1</v>
      </c>
      <c r="G1019" s="17" t="str">
        <f t="shared" si="801"/>
        <v>幻影射手攻击百分比</v>
      </c>
      <c r="H1019" s="17" t="str">
        <f t="shared" si="801"/>
        <v>gongbing01_Lv3</v>
      </c>
      <c r="I1019" s="20">
        <v>1.5</v>
      </c>
      <c r="J1019" s="17">
        <v>7</v>
      </c>
      <c r="K1019" s="17">
        <f t="shared" si="791"/>
        <v>30808</v>
      </c>
      <c r="L1019" s="17" t="s">
        <v>230</v>
      </c>
      <c r="M1019" s="17" t="str">
        <f t="shared" si="794"/>
        <v>1:10500:5</v>
      </c>
      <c r="N1019" s="16" t="str">
        <f t="shared" si="753"/>
        <v>10023:1</v>
      </c>
      <c r="O1019" s="17">
        <f t="shared" si="755"/>
        <v>9</v>
      </c>
      <c r="P1019" s="21" t="s">
        <v>4589</v>
      </c>
      <c r="Q1019" s="21"/>
      <c r="R1019" t="s">
        <v>4561</v>
      </c>
      <c r="T1019" t="str">
        <f t="shared" si="795"/>
        <v>:1</v>
      </c>
      <c r="U1019" t="str">
        <f t="shared" si="745"/>
        <v>射手</v>
      </c>
      <c r="V1019" t="s">
        <v>4581</v>
      </c>
      <c r="W1019">
        <f>属性类型!G1019</f>
        <v>10023</v>
      </c>
      <c r="X1019">
        <v>1</v>
      </c>
    </row>
    <row r="1020" customFormat="1" ht="16.5" spans="1:24">
      <c r="A1020" s="17">
        <f t="shared" si="792"/>
        <v>30808</v>
      </c>
      <c r="B1020" s="17">
        <f t="shared" si="778"/>
        <v>30800</v>
      </c>
      <c r="C1020" s="17" t="str">
        <f t="shared" si="779"/>
        <v>3</v>
      </c>
      <c r="D1020" s="17">
        <f t="shared" si="780"/>
        <v>30001</v>
      </c>
      <c r="E1020" s="17">
        <f t="shared" ref="E1020:H1020" si="802">E1019</f>
        <v>2</v>
      </c>
      <c r="F1020" s="17">
        <f t="shared" si="754"/>
        <v>1</v>
      </c>
      <c r="G1020" s="17" t="str">
        <f t="shared" si="802"/>
        <v>幻影射手攻击百分比</v>
      </c>
      <c r="H1020" s="17" t="str">
        <f t="shared" si="802"/>
        <v>gongbing01_Lv3</v>
      </c>
      <c r="I1020" s="20">
        <v>1.5</v>
      </c>
      <c r="J1020" s="17">
        <v>8</v>
      </c>
      <c r="K1020" s="17">
        <f t="shared" si="791"/>
        <v>30809</v>
      </c>
      <c r="L1020" s="17" t="s">
        <v>233</v>
      </c>
      <c r="M1020" s="17" t="str">
        <f t="shared" si="794"/>
        <v>1:10500:5</v>
      </c>
      <c r="N1020" s="16" t="str">
        <f t="shared" si="753"/>
        <v>10023:1</v>
      </c>
      <c r="O1020" s="17">
        <f t="shared" si="755"/>
        <v>9</v>
      </c>
      <c r="P1020" s="21" t="s">
        <v>4590</v>
      </c>
      <c r="Q1020" s="21"/>
      <c r="R1020" t="s">
        <v>4561</v>
      </c>
      <c r="T1020" t="str">
        <f t="shared" si="795"/>
        <v>:1</v>
      </c>
      <c r="U1020" t="str">
        <f t="shared" si="745"/>
        <v>射手</v>
      </c>
      <c r="V1020" t="s">
        <v>4581</v>
      </c>
      <c r="W1020">
        <f>属性类型!G1020</f>
        <v>10023</v>
      </c>
      <c r="X1020">
        <v>1</v>
      </c>
    </row>
    <row r="1021" customFormat="1" ht="16.5" spans="1:24">
      <c r="A1021" s="17">
        <f t="shared" si="792"/>
        <v>30809</v>
      </c>
      <c r="B1021" s="17">
        <f t="shared" si="778"/>
        <v>30800</v>
      </c>
      <c r="C1021" s="17" t="str">
        <f t="shared" si="779"/>
        <v>3</v>
      </c>
      <c r="D1021" s="17">
        <f t="shared" si="780"/>
        <v>30001</v>
      </c>
      <c r="E1021" s="17">
        <f t="shared" ref="E1021:H1021" si="803">E1020</f>
        <v>2</v>
      </c>
      <c r="F1021" s="17">
        <f t="shared" si="754"/>
        <v>1</v>
      </c>
      <c r="G1021" s="17" t="str">
        <f t="shared" si="803"/>
        <v>幻影射手攻击百分比</v>
      </c>
      <c r="H1021" s="17" t="str">
        <f t="shared" si="803"/>
        <v>gongbing01_Lv3</v>
      </c>
      <c r="I1021" s="20">
        <v>1.5</v>
      </c>
      <c r="J1021" s="17">
        <v>9</v>
      </c>
      <c r="K1021" s="17">
        <f t="shared" si="791"/>
        <v>30810</v>
      </c>
      <c r="L1021" s="17" t="s">
        <v>236</v>
      </c>
      <c r="M1021" s="17" t="str">
        <f t="shared" si="794"/>
        <v>1:10500:5</v>
      </c>
      <c r="N1021" s="16" t="str">
        <f t="shared" si="753"/>
        <v>10023:1</v>
      </c>
      <c r="O1021" s="17">
        <f t="shared" si="755"/>
        <v>9</v>
      </c>
      <c r="P1021" s="21" t="s">
        <v>4591</v>
      </c>
      <c r="Q1021" s="21"/>
      <c r="R1021" t="s">
        <v>4561</v>
      </c>
      <c r="T1021" t="str">
        <f t="shared" si="795"/>
        <v>:1</v>
      </c>
      <c r="U1021" t="str">
        <f t="shared" si="745"/>
        <v>射手</v>
      </c>
      <c r="V1021" t="s">
        <v>4581</v>
      </c>
      <c r="W1021">
        <f>属性类型!G1021</f>
        <v>10023</v>
      </c>
      <c r="X1021">
        <v>1</v>
      </c>
    </row>
    <row r="1022" customFormat="1" ht="16.5" spans="1:24">
      <c r="A1022" s="17">
        <f t="shared" si="792"/>
        <v>30810</v>
      </c>
      <c r="B1022" s="17">
        <f t="shared" si="778"/>
        <v>30800</v>
      </c>
      <c r="C1022" s="17" t="str">
        <f t="shared" si="779"/>
        <v>3</v>
      </c>
      <c r="D1022" s="17">
        <f t="shared" si="780"/>
        <v>30001</v>
      </c>
      <c r="E1022" s="17">
        <f t="shared" ref="E1022:H1022" si="804">E1021</f>
        <v>2</v>
      </c>
      <c r="F1022" s="17">
        <f t="shared" si="754"/>
        <v>1</v>
      </c>
      <c r="G1022" s="17" t="str">
        <f t="shared" si="804"/>
        <v>幻影射手攻击百分比</v>
      </c>
      <c r="H1022" s="17" t="str">
        <f t="shared" si="804"/>
        <v>gongbing01_Lv3</v>
      </c>
      <c r="I1022" s="20">
        <v>1.5</v>
      </c>
      <c r="J1022" s="17">
        <v>10</v>
      </c>
      <c r="K1022" s="17">
        <f t="shared" si="791"/>
        <v>30811</v>
      </c>
      <c r="L1022" s="17" t="s">
        <v>238</v>
      </c>
      <c r="M1022" s="17" t="str">
        <f t="shared" si="794"/>
        <v>1:10500:5</v>
      </c>
      <c r="N1022" s="16" t="str">
        <f t="shared" si="753"/>
        <v>10023:1</v>
      </c>
      <c r="O1022" s="17">
        <f t="shared" si="755"/>
        <v>9</v>
      </c>
      <c r="P1022" s="21" t="s">
        <v>4592</v>
      </c>
      <c r="Q1022" s="21"/>
      <c r="R1022" t="s">
        <v>4561</v>
      </c>
      <c r="T1022" t="str">
        <f t="shared" si="795"/>
        <v>:1</v>
      </c>
      <c r="U1022" t="str">
        <f t="shared" si="745"/>
        <v>射手</v>
      </c>
      <c r="V1022" t="s">
        <v>4581</v>
      </c>
      <c r="W1022">
        <f>属性类型!G1022</f>
        <v>10023</v>
      </c>
      <c r="X1022">
        <v>1</v>
      </c>
    </row>
    <row r="1023" customFormat="1" ht="16.5" spans="1:24">
      <c r="A1023" s="17">
        <f t="shared" ref="A1023:A1033" si="805">A1022+1</f>
        <v>30811</v>
      </c>
      <c r="B1023" s="17">
        <f t="shared" ref="B1023:B1043" si="806">ROUND(A1023,-2)</f>
        <v>30800</v>
      </c>
      <c r="C1023" s="17" t="str">
        <f t="shared" ref="C1023:C1043" si="807">LEFT(A1023,1)</f>
        <v>3</v>
      </c>
      <c r="D1023" s="17">
        <f t="shared" ref="D1023:D1043" si="808">$A$934+F1023</f>
        <v>30001</v>
      </c>
      <c r="E1023" s="17">
        <f t="shared" ref="E1023:H1023" si="809">E1022</f>
        <v>2</v>
      </c>
      <c r="F1023" s="17">
        <f t="shared" si="754"/>
        <v>1</v>
      </c>
      <c r="G1023" s="17" t="str">
        <f t="shared" si="809"/>
        <v>幻影射手攻击百分比</v>
      </c>
      <c r="H1023" s="17" t="str">
        <f t="shared" si="809"/>
        <v>gongbing01_Lv3</v>
      </c>
      <c r="I1023" s="20">
        <v>1.5</v>
      </c>
      <c r="J1023" s="17">
        <v>11</v>
      </c>
      <c r="K1023" s="17">
        <f t="shared" si="791"/>
        <v>30812</v>
      </c>
      <c r="L1023" s="17" t="s">
        <v>529</v>
      </c>
      <c r="M1023" s="17" t="str">
        <f t="shared" si="794"/>
        <v>1:10500:5</v>
      </c>
      <c r="N1023" s="16" t="str">
        <f t="shared" si="753"/>
        <v>10023:1</v>
      </c>
      <c r="O1023" s="17">
        <f t="shared" si="755"/>
        <v>9</v>
      </c>
      <c r="P1023" s="21" t="s">
        <v>4593</v>
      </c>
      <c r="Q1023" s="21"/>
      <c r="R1023" t="s">
        <v>4561</v>
      </c>
      <c r="U1023" t="str">
        <f t="shared" si="745"/>
        <v>射手</v>
      </c>
      <c r="V1023" t="s">
        <v>4581</v>
      </c>
      <c r="W1023">
        <f>属性类型!G1023</f>
        <v>10023</v>
      </c>
      <c r="X1023">
        <v>1</v>
      </c>
    </row>
    <row r="1024" customFormat="1" ht="16.5" spans="1:24">
      <c r="A1024" s="17">
        <f t="shared" si="805"/>
        <v>30812</v>
      </c>
      <c r="B1024" s="17">
        <f t="shared" si="806"/>
        <v>30800</v>
      </c>
      <c r="C1024" s="17" t="str">
        <f t="shared" si="807"/>
        <v>3</v>
      </c>
      <c r="D1024" s="17">
        <f t="shared" si="808"/>
        <v>30001</v>
      </c>
      <c r="E1024" s="17">
        <f t="shared" ref="E1024:H1024" si="810">E1023</f>
        <v>2</v>
      </c>
      <c r="F1024" s="17">
        <f t="shared" si="754"/>
        <v>1</v>
      </c>
      <c r="G1024" s="17" t="str">
        <f t="shared" si="810"/>
        <v>幻影射手攻击百分比</v>
      </c>
      <c r="H1024" s="17" t="str">
        <f t="shared" si="810"/>
        <v>gongbing01_Lv3</v>
      </c>
      <c r="I1024" s="20">
        <v>1.5</v>
      </c>
      <c r="J1024" s="17">
        <v>12</v>
      </c>
      <c r="K1024" s="17">
        <f t="shared" si="791"/>
        <v>30813</v>
      </c>
      <c r="L1024" s="17" t="s">
        <v>532</v>
      </c>
      <c r="M1024" s="17" t="str">
        <f t="shared" si="794"/>
        <v>1:10500:5</v>
      </c>
      <c r="N1024" s="16" t="str">
        <f t="shared" si="753"/>
        <v>10023:1</v>
      </c>
      <c r="O1024" s="17">
        <f t="shared" si="755"/>
        <v>9</v>
      </c>
      <c r="P1024" s="21" t="s">
        <v>4594</v>
      </c>
      <c r="Q1024" s="21"/>
      <c r="R1024" t="s">
        <v>4561</v>
      </c>
      <c r="U1024" t="str">
        <f t="shared" si="745"/>
        <v>射手</v>
      </c>
      <c r="V1024" t="s">
        <v>4581</v>
      </c>
      <c r="W1024">
        <f>属性类型!G1024</f>
        <v>10023</v>
      </c>
      <c r="X1024">
        <v>1</v>
      </c>
    </row>
    <row r="1025" customFormat="1" ht="16.5" spans="1:24">
      <c r="A1025" s="17">
        <f t="shared" si="805"/>
        <v>30813</v>
      </c>
      <c r="B1025" s="17">
        <f t="shared" si="806"/>
        <v>30800</v>
      </c>
      <c r="C1025" s="17" t="str">
        <f t="shared" si="807"/>
        <v>3</v>
      </c>
      <c r="D1025" s="17">
        <f t="shared" si="808"/>
        <v>30001</v>
      </c>
      <c r="E1025" s="17">
        <f t="shared" ref="E1025:H1025" si="811">E1024</f>
        <v>2</v>
      </c>
      <c r="F1025" s="17">
        <f t="shared" si="754"/>
        <v>1</v>
      </c>
      <c r="G1025" s="17" t="str">
        <f t="shared" si="811"/>
        <v>幻影射手攻击百分比</v>
      </c>
      <c r="H1025" s="17" t="str">
        <f t="shared" si="811"/>
        <v>gongbing01_Lv3</v>
      </c>
      <c r="I1025" s="20">
        <v>1.5</v>
      </c>
      <c r="J1025" s="17">
        <v>13</v>
      </c>
      <c r="K1025" s="17">
        <f t="shared" si="791"/>
        <v>30814</v>
      </c>
      <c r="L1025" s="17" t="s">
        <v>561</v>
      </c>
      <c r="M1025" s="17" t="str">
        <f t="shared" si="794"/>
        <v>1:10500:5</v>
      </c>
      <c r="N1025" s="16" t="str">
        <f t="shared" si="753"/>
        <v>10023:1</v>
      </c>
      <c r="O1025" s="17">
        <f t="shared" si="755"/>
        <v>9</v>
      </c>
      <c r="P1025" s="21" t="s">
        <v>4595</v>
      </c>
      <c r="Q1025" s="21"/>
      <c r="R1025" t="s">
        <v>4561</v>
      </c>
      <c r="U1025" t="str">
        <f t="shared" si="745"/>
        <v>射手</v>
      </c>
      <c r="V1025" t="s">
        <v>4581</v>
      </c>
      <c r="W1025">
        <f>属性类型!G1025</f>
        <v>10023</v>
      </c>
      <c r="X1025">
        <v>1</v>
      </c>
    </row>
    <row r="1026" customFormat="1" ht="16.5" spans="1:24">
      <c r="A1026" s="17">
        <f t="shared" si="805"/>
        <v>30814</v>
      </c>
      <c r="B1026" s="17">
        <f t="shared" si="806"/>
        <v>30800</v>
      </c>
      <c r="C1026" s="17" t="str">
        <f t="shared" si="807"/>
        <v>3</v>
      </c>
      <c r="D1026" s="17">
        <f t="shared" si="808"/>
        <v>30001</v>
      </c>
      <c r="E1026" s="17">
        <f t="shared" ref="E1026:H1026" si="812">E1025</f>
        <v>2</v>
      </c>
      <c r="F1026" s="17">
        <f t="shared" si="754"/>
        <v>1</v>
      </c>
      <c r="G1026" s="17" t="str">
        <f t="shared" si="812"/>
        <v>幻影射手攻击百分比</v>
      </c>
      <c r="H1026" s="17" t="str">
        <f t="shared" si="812"/>
        <v>gongbing01_Lv3</v>
      </c>
      <c r="I1026" s="20">
        <v>1.5</v>
      </c>
      <c r="J1026" s="17">
        <v>14</v>
      </c>
      <c r="K1026" s="17">
        <f t="shared" si="791"/>
        <v>30815</v>
      </c>
      <c r="L1026" s="17" t="s">
        <v>564</v>
      </c>
      <c r="M1026" s="17" t="str">
        <f t="shared" si="794"/>
        <v>1:10500:5</v>
      </c>
      <c r="N1026" s="16" t="str">
        <f t="shared" si="753"/>
        <v>10023:1</v>
      </c>
      <c r="O1026" s="17">
        <f t="shared" si="755"/>
        <v>9</v>
      </c>
      <c r="P1026" s="21" t="s">
        <v>4596</v>
      </c>
      <c r="Q1026" s="21"/>
      <c r="R1026" t="s">
        <v>4561</v>
      </c>
      <c r="U1026" t="str">
        <f t="shared" si="745"/>
        <v>射手</v>
      </c>
      <c r="V1026" t="s">
        <v>4581</v>
      </c>
      <c r="W1026">
        <f>属性类型!G1026</f>
        <v>10023</v>
      </c>
      <c r="X1026">
        <v>1</v>
      </c>
    </row>
    <row r="1027" customFormat="1" ht="16.5" spans="1:24">
      <c r="A1027" s="17">
        <f t="shared" si="805"/>
        <v>30815</v>
      </c>
      <c r="B1027" s="17">
        <f t="shared" si="806"/>
        <v>30800</v>
      </c>
      <c r="C1027" s="17" t="str">
        <f t="shared" si="807"/>
        <v>3</v>
      </c>
      <c r="D1027" s="17">
        <f t="shared" si="808"/>
        <v>30001</v>
      </c>
      <c r="E1027" s="17">
        <f t="shared" ref="E1027:H1027" si="813">E1026</f>
        <v>2</v>
      </c>
      <c r="F1027" s="17">
        <f t="shared" si="754"/>
        <v>1</v>
      </c>
      <c r="G1027" s="17" t="str">
        <f t="shared" si="813"/>
        <v>幻影射手攻击百分比</v>
      </c>
      <c r="H1027" s="17" t="str">
        <f t="shared" si="813"/>
        <v>gongbing01_Lv3</v>
      </c>
      <c r="I1027" s="20">
        <v>1.5</v>
      </c>
      <c r="J1027" s="17">
        <v>15</v>
      </c>
      <c r="K1027" s="17">
        <f t="shared" si="791"/>
        <v>30816</v>
      </c>
      <c r="L1027" s="17" t="s">
        <v>630</v>
      </c>
      <c r="M1027" s="17" t="str">
        <f t="shared" si="794"/>
        <v>1:10500:5</v>
      </c>
      <c r="N1027" s="16" t="str">
        <f t="shared" si="753"/>
        <v>10023:1</v>
      </c>
      <c r="O1027" s="17">
        <f t="shared" si="755"/>
        <v>9</v>
      </c>
      <c r="P1027" s="21" t="s">
        <v>4597</v>
      </c>
      <c r="Q1027" s="21"/>
      <c r="R1027" t="s">
        <v>4561</v>
      </c>
      <c r="U1027" t="str">
        <f t="shared" si="745"/>
        <v>射手</v>
      </c>
      <c r="V1027" t="s">
        <v>4581</v>
      </c>
      <c r="W1027">
        <f>属性类型!G1027</f>
        <v>10023</v>
      </c>
      <c r="X1027">
        <v>1</v>
      </c>
    </row>
    <row r="1028" customFormat="1" ht="16.5" spans="1:24">
      <c r="A1028" s="17">
        <f t="shared" si="805"/>
        <v>30816</v>
      </c>
      <c r="B1028" s="17">
        <f t="shared" si="806"/>
        <v>30800</v>
      </c>
      <c r="C1028" s="17" t="str">
        <f t="shared" si="807"/>
        <v>3</v>
      </c>
      <c r="D1028" s="17">
        <f t="shared" si="808"/>
        <v>30001</v>
      </c>
      <c r="E1028" s="17">
        <f t="shared" ref="E1028:H1028" si="814">E1027</f>
        <v>2</v>
      </c>
      <c r="F1028" s="17">
        <f t="shared" si="754"/>
        <v>1</v>
      </c>
      <c r="G1028" s="17" t="str">
        <f t="shared" si="814"/>
        <v>幻影射手攻击百分比</v>
      </c>
      <c r="H1028" s="17" t="str">
        <f t="shared" si="814"/>
        <v>gongbing01_Lv3</v>
      </c>
      <c r="I1028" s="20">
        <v>1.5</v>
      </c>
      <c r="J1028" s="17">
        <v>16</v>
      </c>
      <c r="K1028" s="17">
        <f t="shared" si="791"/>
        <v>30817</v>
      </c>
      <c r="L1028" s="17" t="s">
        <v>633</v>
      </c>
      <c r="M1028" s="17" t="str">
        <f t="shared" si="794"/>
        <v>1:10500:5</v>
      </c>
      <c r="N1028" s="16" t="str">
        <f t="shared" si="753"/>
        <v>10023:1</v>
      </c>
      <c r="O1028" s="17">
        <f t="shared" si="755"/>
        <v>9</v>
      </c>
      <c r="P1028" s="21" t="s">
        <v>4598</v>
      </c>
      <c r="Q1028" s="21"/>
      <c r="R1028" t="s">
        <v>4561</v>
      </c>
      <c r="U1028" t="str">
        <f t="shared" si="745"/>
        <v>射手</v>
      </c>
      <c r="V1028" t="s">
        <v>4581</v>
      </c>
      <c r="W1028">
        <f>属性类型!G1028</f>
        <v>10023</v>
      </c>
      <c r="X1028">
        <v>1</v>
      </c>
    </row>
    <row r="1029" customFormat="1" ht="16.5" spans="1:24">
      <c r="A1029" s="17">
        <f t="shared" si="805"/>
        <v>30817</v>
      </c>
      <c r="B1029" s="17">
        <f t="shared" si="806"/>
        <v>30800</v>
      </c>
      <c r="C1029" s="17" t="str">
        <f t="shared" si="807"/>
        <v>3</v>
      </c>
      <c r="D1029" s="17">
        <f t="shared" si="808"/>
        <v>30001</v>
      </c>
      <c r="E1029" s="17">
        <f t="shared" ref="E1029:H1029" si="815">E1028</f>
        <v>2</v>
      </c>
      <c r="F1029" s="17">
        <f t="shared" si="754"/>
        <v>1</v>
      </c>
      <c r="G1029" s="17" t="str">
        <f t="shared" si="815"/>
        <v>幻影射手攻击百分比</v>
      </c>
      <c r="H1029" s="17" t="str">
        <f t="shared" si="815"/>
        <v>gongbing01_Lv3</v>
      </c>
      <c r="I1029" s="20">
        <v>1.5</v>
      </c>
      <c r="J1029" s="17">
        <v>17</v>
      </c>
      <c r="K1029" s="17">
        <f t="shared" si="791"/>
        <v>30818</v>
      </c>
      <c r="L1029" s="17" t="s">
        <v>637</v>
      </c>
      <c r="M1029" s="17" t="str">
        <f t="shared" si="794"/>
        <v>1:10500:5</v>
      </c>
      <c r="N1029" s="16" t="str">
        <f t="shared" si="753"/>
        <v>10023:1</v>
      </c>
      <c r="O1029" s="17">
        <f t="shared" si="755"/>
        <v>9</v>
      </c>
      <c r="P1029" s="21" t="s">
        <v>4599</v>
      </c>
      <c r="Q1029" s="21"/>
      <c r="R1029" t="s">
        <v>4561</v>
      </c>
      <c r="U1029" t="str">
        <f t="shared" ref="U1029:U1092" si="816">MID(P1029,3,2)</f>
        <v>射手</v>
      </c>
      <c r="V1029" t="s">
        <v>4581</v>
      </c>
      <c r="W1029">
        <f>属性类型!G1029</f>
        <v>10023</v>
      </c>
      <c r="X1029">
        <v>1</v>
      </c>
    </row>
    <row r="1030" customFormat="1" ht="16.5" spans="1:24">
      <c r="A1030" s="17">
        <f t="shared" si="805"/>
        <v>30818</v>
      </c>
      <c r="B1030" s="17">
        <f t="shared" si="806"/>
        <v>30800</v>
      </c>
      <c r="C1030" s="17" t="str">
        <f t="shared" si="807"/>
        <v>3</v>
      </c>
      <c r="D1030" s="17">
        <f t="shared" si="808"/>
        <v>30001</v>
      </c>
      <c r="E1030" s="17">
        <f t="shared" ref="E1030:H1030" si="817">E1029</f>
        <v>2</v>
      </c>
      <c r="F1030" s="17">
        <f t="shared" si="754"/>
        <v>1</v>
      </c>
      <c r="G1030" s="17" t="str">
        <f t="shared" si="817"/>
        <v>幻影射手攻击百分比</v>
      </c>
      <c r="H1030" s="17" t="str">
        <f t="shared" si="817"/>
        <v>gongbing01_Lv3</v>
      </c>
      <c r="I1030" s="20">
        <v>1.5</v>
      </c>
      <c r="J1030" s="17">
        <v>18</v>
      </c>
      <c r="K1030" s="17">
        <f t="shared" si="791"/>
        <v>30819</v>
      </c>
      <c r="L1030" s="17" t="s">
        <v>641</v>
      </c>
      <c r="M1030" s="17" t="str">
        <f t="shared" si="794"/>
        <v>1:10500:5</v>
      </c>
      <c r="N1030" s="16" t="str">
        <f t="shared" si="753"/>
        <v>10023:1</v>
      </c>
      <c r="O1030" s="17">
        <f t="shared" si="755"/>
        <v>9</v>
      </c>
      <c r="P1030" s="21" t="s">
        <v>4600</v>
      </c>
      <c r="Q1030" s="21"/>
      <c r="R1030" t="s">
        <v>4561</v>
      </c>
      <c r="U1030" t="str">
        <f t="shared" si="816"/>
        <v>射手</v>
      </c>
      <c r="V1030" t="s">
        <v>4581</v>
      </c>
      <c r="W1030">
        <f>属性类型!G1030</f>
        <v>10023</v>
      </c>
      <c r="X1030">
        <v>1</v>
      </c>
    </row>
    <row r="1031" customFormat="1" ht="16.5" spans="1:24">
      <c r="A1031" s="17">
        <f t="shared" si="805"/>
        <v>30819</v>
      </c>
      <c r="B1031" s="17">
        <f t="shared" si="806"/>
        <v>30800</v>
      </c>
      <c r="C1031" s="17" t="str">
        <f t="shared" si="807"/>
        <v>3</v>
      </c>
      <c r="D1031" s="17">
        <f t="shared" si="808"/>
        <v>30001</v>
      </c>
      <c r="E1031" s="17">
        <f t="shared" ref="E1031:H1031" si="818">E1030</f>
        <v>2</v>
      </c>
      <c r="F1031" s="17">
        <f t="shared" si="754"/>
        <v>1</v>
      </c>
      <c r="G1031" s="17" t="str">
        <f t="shared" si="818"/>
        <v>幻影射手攻击百分比</v>
      </c>
      <c r="H1031" s="17" t="str">
        <f t="shared" si="818"/>
        <v>gongbing01_Lv3</v>
      </c>
      <c r="I1031" s="20">
        <v>1.5</v>
      </c>
      <c r="J1031" s="17">
        <v>19</v>
      </c>
      <c r="K1031" s="17">
        <f t="shared" si="791"/>
        <v>30820</v>
      </c>
      <c r="L1031" s="17" t="s">
        <v>645</v>
      </c>
      <c r="M1031" s="17" t="str">
        <f t="shared" si="794"/>
        <v>1:10500:5</v>
      </c>
      <c r="N1031" s="16" t="str">
        <f t="shared" si="753"/>
        <v>10023:1</v>
      </c>
      <c r="O1031" s="17">
        <f t="shared" si="755"/>
        <v>9</v>
      </c>
      <c r="P1031" s="21" t="s">
        <v>4601</v>
      </c>
      <c r="Q1031" s="21"/>
      <c r="R1031" t="s">
        <v>4561</v>
      </c>
      <c r="U1031" t="str">
        <f t="shared" si="816"/>
        <v>射手</v>
      </c>
      <c r="V1031" t="s">
        <v>4581</v>
      </c>
      <c r="W1031">
        <f>属性类型!G1031</f>
        <v>10023</v>
      </c>
      <c r="X1031">
        <v>1</v>
      </c>
    </row>
    <row r="1032" customFormat="1" ht="16.5" spans="1:24">
      <c r="A1032" s="17">
        <f t="shared" si="805"/>
        <v>30820</v>
      </c>
      <c r="B1032" s="17">
        <f t="shared" si="806"/>
        <v>30800</v>
      </c>
      <c r="C1032" s="17" t="str">
        <f t="shared" si="807"/>
        <v>3</v>
      </c>
      <c r="D1032" s="17">
        <f t="shared" si="808"/>
        <v>30001</v>
      </c>
      <c r="E1032" s="17">
        <f t="shared" ref="E1032:H1032" si="819">E1031</f>
        <v>2</v>
      </c>
      <c r="F1032" s="17">
        <f t="shared" si="754"/>
        <v>1</v>
      </c>
      <c r="G1032" s="17" t="str">
        <f t="shared" si="819"/>
        <v>幻影射手攻击百分比</v>
      </c>
      <c r="H1032" s="17" t="str">
        <f t="shared" si="819"/>
        <v>gongbing01_Lv3</v>
      </c>
      <c r="I1032" s="20">
        <v>1.5</v>
      </c>
      <c r="J1032" s="17">
        <v>20</v>
      </c>
      <c r="K1032" s="17">
        <v>0</v>
      </c>
      <c r="L1032" s="17">
        <v>0</v>
      </c>
      <c r="M1032" s="17" t="str">
        <f t="shared" si="794"/>
        <v>1:10500:5</v>
      </c>
      <c r="N1032" s="16" t="str">
        <f t="shared" si="753"/>
        <v>10023:1</v>
      </c>
      <c r="O1032" s="17">
        <f t="shared" si="755"/>
        <v>9</v>
      </c>
      <c r="P1032" s="21" t="s">
        <v>4601</v>
      </c>
      <c r="Q1032" s="21"/>
      <c r="R1032" t="s">
        <v>4561</v>
      </c>
      <c r="U1032" t="str">
        <f t="shared" si="816"/>
        <v>射手</v>
      </c>
      <c r="V1032" t="s">
        <v>4581</v>
      </c>
      <c r="W1032">
        <f>属性类型!G1032</f>
        <v>10023</v>
      </c>
      <c r="X1032">
        <v>1</v>
      </c>
    </row>
    <row r="1033" customFormat="1" ht="16.5" spans="1:24">
      <c r="A1033" s="18">
        <f>A1012+100</f>
        <v>30900</v>
      </c>
      <c r="B1033" s="18">
        <f t="shared" si="806"/>
        <v>30900</v>
      </c>
      <c r="C1033" s="18" t="str">
        <f t="shared" si="807"/>
        <v>3</v>
      </c>
      <c r="D1033" s="17">
        <f t="shared" si="808"/>
        <v>30001</v>
      </c>
      <c r="E1033" s="17">
        <v>2</v>
      </c>
      <c r="F1033" s="18">
        <f t="shared" si="754"/>
        <v>1</v>
      </c>
      <c r="G1033" s="18" t="s">
        <v>4602</v>
      </c>
      <c r="H1033" s="18" t="s">
        <v>1633</v>
      </c>
      <c r="I1033" s="20">
        <v>1.5</v>
      </c>
      <c r="J1033" s="18">
        <v>0</v>
      </c>
      <c r="K1033" s="18">
        <f t="shared" ref="K1033:K1052" si="820">A1034</f>
        <v>30901</v>
      </c>
      <c r="L1033" s="18" t="s">
        <v>206</v>
      </c>
      <c r="M1033" s="18" t="s">
        <v>271</v>
      </c>
      <c r="N1033" s="16" t="str">
        <f t="shared" si="753"/>
        <v>10024:1</v>
      </c>
      <c r="O1033" s="18">
        <f t="shared" si="755"/>
        <v>10</v>
      </c>
      <c r="P1033" s="21" t="s">
        <v>4603</v>
      </c>
      <c r="Q1033" s="21"/>
      <c r="R1033" t="s">
        <v>4561</v>
      </c>
      <c r="T1033" t="str">
        <f>RIGHT(N1033,1)</f>
        <v>1</v>
      </c>
      <c r="U1033" t="str">
        <f t="shared" si="816"/>
        <v>射手</v>
      </c>
      <c r="V1033" t="s">
        <v>4602</v>
      </c>
      <c r="W1033">
        <f>属性类型!G1033</f>
        <v>10024</v>
      </c>
      <c r="X1033">
        <v>1</v>
      </c>
    </row>
    <row r="1034" customFormat="1" ht="16.5" spans="1:24">
      <c r="A1034" s="17">
        <f t="shared" ref="A1034:A1043" si="821">A1033+1</f>
        <v>30901</v>
      </c>
      <c r="B1034" s="17">
        <f t="shared" si="806"/>
        <v>30900</v>
      </c>
      <c r="C1034" s="17" t="str">
        <f t="shared" si="807"/>
        <v>3</v>
      </c>
      <c r="D1034" s="17">
        <f t="shared" si="808"/>
        <v>30001</v>
      </c>
      <c r="E1034" s="17">
        <f t="shared" ref="E1034:H1034" si="822">E1033</f>
        <v>2</v>
      </c>
      <c r="F1034" s="17">
        <f t="shared" si="754"/>
        <v>1</v>
      </c>
      <c r="G1034" s="17" t="str">
        <f t="shared" si="822"/>
        <v>幻影射手魔防百分比</v>
      </c>
      <c r="H1034" s="17" t="str">
        <f t="shared" si="822"/>
        <v>gongbing01_Lv3</v>
      </c>
      <c r="I1034" s="20">
        <v>1.5</v>
      </c>
      <c r="J1034" s="17">
        <v>1</v>
      </c>
      <c r="K1034" s="17">
        <f t="shared" si="820"/>
        <v>30902</v>
      </c>
      <c r="L1034" s="17" t="s">
        <v>211</v>
      </c>
      <c r="M1034" s="17" t="str">
        <f t="shared" ref="M1034:M1053" si="823">M1033</f>
        <v>1:10600:5</v>
      </c>
      <c r="N1034" s="16" t="str">
        <f t="shared" si="753"/>
        <v>10024:1</v>
      </c>
      <c r="O1034" s="17">
        <f t="shared" si="755"/>
        <v>10</v>
      </c>
      <c r="P1034" s="21" t="s">
        <v>4604</v>
      </c>
      <c r="Q1034" s="21"/>
      <c r="R1034" t="s">
        <v>4561</v>
      </c>
      <c r="T1034" t="str">
        <f t="shared" ref="T1034:T1043" si="824">RIGHT(N1034,2)</f>
        <v>:1</v>
      </c>
      <c r="U1034" t="str">
        <f t="shared" si="816"/>
        <v>射手</v>
      </c>
      <c r="V1034" t="s">
        <v>4602</v>
      </c>
      <c r="W1034">
        <f>属性类型!G1034</f>
        <v>10024</v>
      </c>
      <c r="X1034">
        <v>1</v>
      </c>
    </row>
    <row r="1035" customFormat="1" ht="16.5" spans="1:24">
      <c r="A1035" s="17">
        <f t="shared" si="821"/>
        <v>30902</v>
      </c>
      <c r="B1035" s="17">
        <f t="shared" si="806"/>
        <v>30900</v>
      </c>
      <c r="C1035" s="17" t="str">
        <f t="shared" si="807"/>
        <v>3</v>
      </c>
      <c r="D1035" s="17">
        <f t="shared" si="808"/>
        <v>30001</v>
      </c>
      <c r="E1035" s="17">
        <f t="shared" ref="E1035:H1035" si="825">E1034</f>
        <v>2</v>
      </c>
      <c r="F1035" s="17">
        <f t="shared" si="754"/>
        <v>1</v>
      </c>
      <c r="G1035" s="17" t="str">
        <f t="shared" si="825"/>
        <v>幻影射手魔防百分比</v>
      </c>
      <c r="H1035" s="17" t="str">
        <f t="shared" si="825"/>
        <v>gongbing01_Lv3</v>
      </c>
      <c r="I1035" s="20">
        <v>1.5</v>
      </c>
      <c r="J1035" s="17">
        <v>2</v>
      </c>
      <c r="K1035" s="17">
        <f t="shared" si="820"/>
        <v>30903</v>
      </c>
      <c r="L1035" s="17" t="s">
        <v>215</v>
      </c>
      <c r="M1035" s="17" t="str">
        <f t="shared" si="823"/>
        <v>1:10600:5</v>
      </c>
      <c r="N1035" s="16" t="str">
        <f t="shared" ref="N1035:N1098" si="826">W1035&amp;$W$2&amp;X1035</f>
        <v>10024:1</v>
      </c>
      <c r="O1035" s="17">
        <f t="shared" si="755"/>
        <v>10</v>
      </c>
      <c r="P1035" s="21" t="s">
        <v>4605</v>
      </c>
      <c r="Q1035" s="21"/>
      <c r="R1035" t="s">
        <v>4561</v>
      </c>
      <c r="T1035" t="str">
        <f t="shared" si="824"/>
        <v>:1</v>
      </c>
      <c r="U1035" t="str">
        <f t="shared" si="816"/>
        <v>射手</v>
      </c>
      <c r="V1035" t="s">
        <v>4602</v>
      </c>
      <c r="W1035">
        <f>属性类型!G1035</f>
        <v>10024</v>
      </c>
      <c r="X1035">
        <v>1</v>
      </c>
    </row>
    <row r="1036" customFormat="1" ht="16.5" spans="1:24">
      <c r="A1036" s="17">
        <f t="shared" si="821"/>
        <v>30903</v>
      </c>
      <c r="B1036" s="17">
        <f t="shared" si="806"/>
        <v>30900</v>
      </c>
      <c r="C1036" s="17" t="str">
        <f t="shared" si="807"/>
        <v>3</v>
      </c>
      <c r="D1036" s="17">
        <f t="shared" si="808"/>
        <v>30001</v>
      </c>
      <c r="E1036" s="17">
        <f t="shared" ref="E1036:H1036" si="827">E1035</f>
        <v>2</v>
      </c>
      <c r="F1036" s="17">
        <f t="shared" si="754"/>
        <v>1</v>
      </c>
      <c r="G1036" s="17" t="str">
        <f t="shared" si="827"/>
        <v>幻影射手魔防百分比</v>
      </c>
      <c r="H1036" s="17" t="str">
        <f t="shared" si="827"/>
        <v>gongbing01_Lv3</v>
      </c>
      <c r="I1036" s="20">
        <v>1.5</v>
      </c>
      <c r="J1036" s="17">
        <v>3</v>
      </c>
      <c r="K1036" s="17">
        <f t="shared" si="820"/>
        <v>30904</v>
      </c>
      <c r="L1036" s="17" t="s">
        <v>218</v>
      </c>
      <c r="M1036" s="17" t="str">
        <f t="shared" si="823"/>
        <v>1:10600:5</v>
      </c>
      <c r="N1036" s="16" t="str">
        <f t="shared" si="826"/>
        <v>10024:1</v>
      </c>
      <c r="O1036" s="17">
        <f t="shared" si="755"/>
        <v>10</v>
      </c>
      <c r="P1036" s="21" t="s">
        <v>4606</v>
      </c>
      <c r="Q1036" s="21"/>
      <c r="R1036" t="s">
        <v>4561</v>
      </c>
      <c r="T1036" t="str">
        <f t="shared" si="824"/>
        <v>:1</v>
      </c>
      <c r="U1036" t="str">
        <f t="shared" si="816"/>
        <v>射手</v>
      </c>
      <c r="V1036" t="s">
        <v>4602</v>
      </c>
      <c r="W1036">
        <f>属性类型!G1036</f>
        <v>10024</v>
      </c>
      <c r="X1036">
        <v>1</v>
      </c>
    </row>
    <row r="1037" customFormat="1" ht="16.5" spans="1:24">
      <c r="A1037" s="17">
        <f t="shared" si="821"/>
        <v>30904</v>
      </c>
      <c r="B1037" s="17">
        <f t="shared" si="806"/>
        <v>30900</v>
      </c>
      <c r="C1037" s="17" t="str">
        <f t="shared" si="807"/>
        <v>3</v>
      </c>
      <c r="D1037" s="17">
        <f t="shared" si="808"/>
        <v>30001</v>
      </c>
      <c r="E1037" s="17">
        <f t="shared" ref="E1037:H1037" si="828">E1036</f>
        <v>2</v>
      </c>
      <c r="F1037" s="17">
        <f t="shared" si="754"/>
        <v>1</v>
      </c>
      <c r="G1037" s="17" t="str">
        <f t="shared" si="828"/>
        <v>幻影射手魔防百分比</v>
      </c>
      <c r="H1037" s="17" t="str">
        <f t="shared" si="828"/>
        <v>gongbing01_Lv3</v>
      </c>
      <c r="I1037" s="20">
        <v>1.5</v>
      </c>
      <c r="J1037" s="17">
        <v>4</v>
      </c>
      <c r="K1037" s="17">
        <f t="shared" si="820"/>
        <v>30905</v>
      </c>
      <c r="L1037" s="17" t="s">
        <v>221</v>
      </c>
      <c r="M1037" s="17" t="str">
        <f t="shared" si="823"/>
        <v>1:10600:5</v>
      </c>
      <c r="N1037" s="16" t="str">
        <f t="shared" si="826"/>
        <v>10024:1</v>
      </c>
      <c r="O1037" s="17">
        <f t="shared" si="755"/>
        <v>10</v>
      </c>
      <c r="P1037" s="21" t="s">
        <v>4607</v>
      </c>
      <c r="Q1037" s="21"/>
      <c r="R1037" t="s">
        <v>4561</v>
      </c>
      <c r="T1037" t="str">
        <f t="shared" si="824"/>
        <v>:1</v>
      </c>
      <c r="U1037" t="str">
        <f t="shared" si="816"/>
        <v>射手</v>
      </c>
      <c r="V1037" t="s">
        <v>4602</v>
      </c>
      <c r="W1037">
        <f>属性类型!G1037</f>
        <v>10024</v>
      </c>
      <c r="X1037">
        <v>1</v>
      </c>
    </row>
    <row r="1038" customFormat="1" ht="16.5" spans="1:24">
      <c r="A1038" s="17">
        <f t="shared" si="821"/>
        <v>30905</v>
      </c>
      <c r="B1038" s="17">
        <f t="shared" si="806"/>
        <v>30900</v>
      </c>
      <c r="C1038" s="17" t="str">
        <f t="shared" si="807"/>
        <v>3</v>
      </c>
      <c r="D1038" s="17">
        <f t="shared" si="808"/>
        <v>30001</v>
      </c>
      <c r="E1038" s="17">
        <f t="shared" ref="E1038:H1038" si="829">E1037</f>
        <v>2</v>
      </c>
      <c r="F1038" s="17">
        <f t="shared" si="754"/>
        <v>1</v>
      </c>
      <c r="G1038" s="17" t="str">
        <f t="shared" si="829"/>
        <v>幻影射手魔防百分比</v>
      </c>
      <c r="H1038" s="17" t="str">
        <f t="shared" si="829"/>
        <v>gongbing01_Lv3</v>
      </c>
      <c r="I1038" s="20">
        <v>1.5</v>
      </c>
      <c r="J1038" s="17">
        <v>5</v>
      </c>
      <c r="K1038" s="17">
        <f t="shared" si="820"/>
        <v>30906</v>
      </c>
      <c r="L1038" s="17" t="s">
        <v>224</v>
      </c>
      <c r="M1038" s="17" t="str">
        <f t="shared" si="823"/>
        <v>1:10600:5</v>
      </c>
      <c r="N1038" s="16" t="str">
        <f t="shared" si="826"/>
        <v>10024:1</v>
      </c>
      <c r="O1038" s="17">
        <f t="shared" si="755"/>
        <v>10</v>
      </c>
      <c r="P1038" s="21" t="s">
        <v>4608</v>
      </c>
      <c r="Q1038" s="21"/>
      <c r="R1038" t="s">
        <v>4561</v>
      </c>
      <c r="T1038" t="str">
        <f t="shared" si="824"/>
        <v>:1</v>
      </c>
      <c r="U1038" t="str">
        <f t="shared" si="816"/>
        <v>射手</v>
      </c>
      <c r="V1038" t="s">
        <v>4602</v>
      </c>
      <c r="W1038">
        <f>属性类型!G1038</f>
        <v>10024</v>
      </c>
      <c r="X1038">
        <v>1</v>
      </c>
    </row>
    <row r="1039" customFormat="1" ht="16.5" spans="1:24">
      <c r="A1039" s="17">
        <f t="shared" si="821"/>
        <v>30906</v>
      </c>
      <c r="B1039" s="17">
        <f t="shared" si="806"/>
        <v>30900</v>
      </c>
      <c r="C1039" s="17" t="str">
        <f t="shared" si="807"/>
        <v>3</v>
      </c>
      <c r="D1039" s="17">
        <f t="shared" si="808"/>
        <v>30001</v>
      </c>
      <c r="E1039" s="17">
        <f t="shared" ref="E1039:H1039" si="830">E1038</f>
        <v>2</v>
      </c>
      <c r="F1039" s="17">
        <f t="shared" si="754"/>
        <v>1</v>
      </c>
      <c r="G1039" s="17" t="str">
        <f t="shared" si="830"/>
        <v>幻影射手魔防百分比</v>
      </c>
      <c r="H1039" s="17" t="str">
        <f t="shared" si="830"/>
        <v>gongbing01_Lv3</v>
      </c>
      <c r="I1039" s="20">
        <v>1.5</v>
      </c>
      <c r="J1039" s="17">
        <v>6</v>
      </c>
      <c r="K1039" s="17">
        <f t="shared" si="820"/>
        <v>30907</v>
      </c>
      <c r="L1039" s="17" t="s">
        <v>227</v>
      </c>
      <c r="M1039" s="17" t="str">
        <f t="shared" si="823"/>
        <v>1:10600:5</v>
      </c>
      <c r="N1039" s="16" t="str">
        <f t="shared" si="826"/>
        <v>10024:1</v>
      </c>
      <c r="O1039" s="17">
        <f t="shared" si="755"/>
        <v>10</v>
      </c>
      <c r="P1039" s="21" t="s">
        <v>4609</v>
      </c>
      <c r="Q1039" s="21"/>
      <c r="R1039" t="s">
        <v>4561</v>
      </c>
      <c r="T1039" t="str">
        <f t="shared" si="824"/>
        <v>:1</v>
      </c>
      <c r="U1039" t="str">
        <f t="shared" si="816"/>
        <v>射手</v>
      </c>
      <c r="V1039" t="s">
        <v>4602</v>
      </c>
      <c r="W1039">
        <f>属性类型!G1039</f>
        <v>10024</v>
      </c>
      <c r="X1039">
        <v>1</v>
      </c>
    </row>
    <row r="1040" customFormat="1" ht="16.5" spans="1:24">
      <c r="A1040" s="17">
        <f t="shared" si="821"/>
        <v>30907</v>
      </c>
      <c r="B1040" s="17">
        <f t="shared" si="806"/>
        <v>30900</v>
      </c>
      <c r="C1040" s="17" t="str">
        <f t="shared" si="807"/>
        <v>3</v>
      </c>
      <c r="D1040" s="17">
        <f t="shared" si="808"/>
        <v>30001</v>
      </c>
      <c r="E1040" s="17">
        <f t="shared" ref="E1040:H1040" si="831">E1039</f>
        <v>2</v>
      </c>
      <c r="F1040" s="17">
        <f t="shared" ref="F1040:F1103" si="832">MID(B1040,2,1)+1</f>
        <v>1</v>
      </c>
      <c r="G1040" s="17" t="str">
        <f t="shared" si="831"/>
        <v>幻影射手魔防百分比</v>
      </c>
      <c r="H1040" s="17" t="str">
        <f t="shared" si="831"/>
        <v>gongbing01_Lv3</v>
      </c>
      <c r="I1040" s="20">
        <v>1.5</v>
      </c>
      <c r="J1040" s="17">
        <v>7</v>
      </c>
      <c r="K1040" s="17">
        <f t="shared" si="820"/>
        <v>30908</v>
      </c>
      <c r="L1040" s="17" t="s">
        <v>230</v>
      </c>
      <c r="M1040" s="17" t="str">
        <f t="shared" si="823"/>
        <v>1:10600:5</v>
      </c>
      <c r="N1040" s="16" t="str">
        <f t="shared" si="826"/>
        <v>10024:1</v>
      </c>
      <c r="O1040" s="17">
        <f t="shared" ref="O1040:O1103" si="833">MID(A1040,3,1)+1</f>
        <v>10</v>
      </c>
      <c r="P1040" s="21" t="s">
        <v>4610</v>
      </c>
      <c r="Q1040" s="21"/>
      <c r="R1040" t="s">
        <v>4561</v>
      </c>
      <c r="T1040" t="str">
        <f t="shared" si="824"/>
        <v>:1</v>
      </c>
      <c r="U1040" t="str">
        <f t="shared" si="816"/>
        <v>射手</v>
      </c>
      <c r="V1040" t="s">
        <v>4602</v>
      </c>
      <c r="W1040">
        <f>属性类型!G1040</f>
        <v>10024</v>
      </c>
      <c r="X1040">
        <v>1</v>
      </c>
    </row>
    <row r="1041" customFormat="1" ht="16.5" spans="1:24">
      <c r="A1041" s="17">
        <f t="shared" si="821"/>
        <v>30908</v>
      </c>
      <c r="B1041" s="17">
        <f t="shared" si="806"/>
        <v>30900</v>
      </c>
      <c r="C1041" s="17" t="str">
        <f t="shared" si="807"/>
        <v>3</v>
      </c>
      <c r="D1041" s="17">
        <f t="shared" si="808"/>
        <v>30001</v>
      </c>
      <c r="E1041" s="17">
        <f t="shared" ref="E1041:H1041" si="834">E1040</f>
        <v>2</v>
      </c>
      <c r="F1041" s="17">
        <f t="shared" si="832"/>
        <v>1</v>
      </c>
      <c r="G1041" s="17" t="str">
        <f t="shared" si="834"/>
        <v>幻影射手魔防百分比</v>
      </c>
      <c r="H1041" s="17" t="str">
        <f t="shared" si="834"/>
        <v>gongbing01_Lv3</v>
      </c>
      <c r="I1041" s="20">
        <v>1.5</v>
      </c>
      <c r="J1041" s="17">
        <v>8</v>
      </c>
      <c r="K1041" s="17">
        <f t="shared" si="820"/>
        <v>30909</v>
      </c>
      <c r="L1041" s="17" t="s">
        <v>233</v>
      </c>
      <c r="M1041" s="17" t="str">
        <f t="shared" si="823"/>
        <v>1:10600:5</v>
      </c>
      <c r="N1041" s="16" t="str">
        <f t="shared" si="826"/>
        <v>10024:1</v>
      </c>
      <c r="O1041" s="17">
        <f t="shared" si="833"/>
        <v>10</v>
      </c>
      <c r="P1041" s="21" t="s">
        <v>4611</v>
      </c>
      <c r="Q1041" s="21"/>
      <c r="R1041" t="s">
        <v>4561</v>
      </c>
      <c r="T1041" t="str">
        <f t="shared" si="824"/>
        <v>:1</v>
      </c>
      <c r="U1041" t="str">
        <f t="shared" si="816"/>
        <v>射手</v>
      </c>
      <c r="V1041" t="s">
        <v>4602</v>
      </c>
      <c r="W1041">
        <f>属性类型!G1041</f>
        <v>10024</v>
      </c>
      <c r="X1041">
        <v>1</v>
      </c>
    </row>
    <row r="1042" customFormat="1" ht="16.5" spans="1:24">
      <c r="A1042" s="17">
        <f t="shared" si="821"/>
        <v>30909</v>
      </c>
      <c r="B1042" s="17">
        <f t="shared" si="806"/>
        <v>30900</v>
      </c>
      <c r="C1042" s="17" t="str">
        <f t="shared" si="807"/>
        <v>3</v>
      </c>
      <c r="D1042" s="17">
        <f t="shared" si="808"/>
        <v>30001</v>
      </c>
      <c r="E1042" s="17">
        <f t="shared" ref="E1042:H1042" si="835">E1041</f>
        <v>2</v>
      </c>
      <c r="F1042" s="17">
        <f t="shared" si="832"/>
        <v>1</v>
      </c>
      <c r="G1042" s="17" t="str">
        <f t="shared" si="835"/>
        <v>幻影射手魔防百分比</v>
      </c>
      <c r="H1042" s="17" t="str">
        <f t="shared" si="835"/>
        <v>gongbing01_Lv3</v>
      </c>
      <c r="I1042" s="20">
        <v>1.5</v>
      </c>
      <c r="J1042" s="17">
        <v>9</v>
      </c>
      <c r="K1042" s="17">
        <f t="shared" si="820"/>
        <v>30910</v>
      </c>
      <c r="L1042" s="17" t="s">
        <v>236</v>
      </c>
      <c r="M1042" s="17" t="str">
        <f t="shared" si="823"/>
        <v>1:10600:5</v>
      </c>
      <c r="N1042" s="16" t="str">
        <f t="shared" si="826"/>
        <v>10024:1</v>
      </c>
      <c r="O1042" s="17">
        <f t="shared" si="833"/>
        <v>10</v>
      </c>
      <c r="P1042" s="21" t="s">
        <v>4612</v>
      </c>
      <c r="Q1042" s="21"/>
      <c r="R1042" t="s">
        <v>4561</v>
      </c>
      <c r="T1042" t="str">
        <f t="shared" si="824"/>
        <v>:1</v>
      </c>
      <c r="U1042" t="str">
        <f t="shared" si="816"/>
        <v>射手</v>
      </c>
      <c r="V1042" t="s">
        <v>4602</v>
      </c>
      <c r="W1042">
        <f>属性类型!G1042</f>
        <v>10024</v>
      </c>
      <c r="X1042">
        <v>1</v>
      </c>
    </row>
    <row r="1043" customFormat="1" ht="16.5" spans="1:24">
      <c r="A1043" s="17">
        <f t="shared" si="821"/>
        <v>30910</v>
      </c>
      <c r="B1043" s="17">
        <f t="shared" si="806"/>
        <v>30900</v>
      </c>
      <c r="C1043" s="17" t="str">
        <f t="shared" si="807"/>
        <v>3</v>
      </c>
      <c r="D1043" s="17">
        <f t="shared" si="808"/>
        <v>30001</v>
      </c>
      <c r="E1043" s="17">
        <f t="shared" ref="E1043:H1043" si="836">E1042</f>
        <v>2</v>
      </c>
      <c r="F1043" s="17">
        <f t="shared" si="832"/>
        <v>1</v>
      </c>
      <c r="G1043" s="17" t="str">
        <f t="shared" si="836"/>
        <v>幻影射手魔防百分比</v>
      </c>
      <c r="H1043" s="17" t="str">
        <f t="shared" si="836"/>
        <v>gongbing01_Lv3</v>
      </c>
      <c r="I1043" s="20">
        <v>1.5</v>
      </c>
      <c r="J1043" s="17">
        <v>10</v>
      </c>
      <c r="K1043" s="17">
        <f t="shared" si="820"/>
        <v>30911</v>
      </c>
      <c r="L1043" s="17" t="s">
        <v>238</v>
      </c>
      <c r="M1043" s="17" t="str">
        <f t="shared" si="823"/>
        <v>1:10600:5</v>
      </c>
      <c r="N1043" s="16" t="str">
        <f t="shared" si="826"/>
        <v>10024:1</v>
      </c>
      <c r="O1043" s="17">
        <f t="shared" si="833"/>
        <v>10</v>
      </c>
      <c r="P1043" s="21" t="s">
        <v>4613</v>
      </c>
      <c r="Q1043" s="21"/>
      <c r="R1043" t="s">
        <v>4561</v>
      </c>
      <c r="T1043" t="str">
        <f t="shared" si="824"/>
        <v>:1</v>
      </c>
      <c r="U1043" t="str">
        <f t="shared" si="816"/>
        <v>射手</v>
      </c>
      <c r="V1043" t="s">
        <v>4602</v>
      </c>
      <c r="W1043">
        <f>属性类型!G1043</f>
        <v>10024</v>
      </c>
      <c r="X1043">
        <v>1</v>
      </c>
    </row>
    <row r="1044" customFormat="1" ht="16.5" spans="1:24">
      <c r="A1044" s="17">
        <f t="shared" ref="A1044:A1053" si="837">A1043+1</f>
        <v>30911</v>
      </c>
      <c r="B1044" s="17">
        <f t="shared" ref="B1044:B1053" si="838">ROUND(A1044,-2)</f>
        <v>30900</v>
      </c>
      <c r="C1044" s="17" t="str">
        <f t="shared" ref="C1044:C1053" si="839">LEFT(A1044,1)</f>
        <v>3</v>
      </c>
      <c r="D1044" s="17">
        <f t="shared" ref="D1044:D1053" si="840">$A$934+F1044</f>
        <v>30001</v>
      </c>
      <c r="E1044" s="17">
        <f t="shared" ref="E1044:H1044" si="841">E1043</f>
        <v>2</v>
      </c>
      <c r="F1044" s="17">
        <f t="shared" si="832"/>
        <v>1</v>
      </c>
      <c r="G1044" s="17" t="str">
        <f t="shared" si="841"/>
        <v>幻影射手魔防百分比</v>
      </c>
      <c r="H1044" s="17" t="str">
        <f t="shared" si="841"/>
        <v>gongbing01_Lv3</v>
      </c>
      <c r="I1044" s="20">
        <v>1.5</v>
      </c>
      <c r="J1044" s="17">
        <v>11</v>
      </c>
      <c r="K1044" s="17">
        <f t="shared" si="820"/>
        <v>30912</v>
      </c>
      <c r="L1044" s="17" t="s">
        <v>529</v>
      </c>
      <c r="M1044" s="17" t="str">
        <f t="shared" si="823"/>
        <v>1:10600:5</v>
      </c>
      <c r="N1044" s="16" t="str">
        <f t="shared" si="826"/>
        <v>10024:1</v>
      </c>
      <c r="O1044" s="17">
        <f t="shared" si="833"/>
        <v>10</v>
      </c>
      <c r="P1044" s="21" t="s">
        <v>4614</v>
      </c>
      <c r="Q1044" s="21"/>
      <c r="R1044" t="s">
        <v>4561</v>
      </c>
      <c r="U1044" t="str">
        <f t="shared" si="816"/>
        <v>射手</v>
      </c>
      <c r="V1044" t="s">
        <v>4602</v>
      </c>
      <c r="W1044">
        <f>属性类型!G1044</f>
        <v>10024</v>
      </c>
      <c r="X1044">
        <v>1</v>
      </c>
    </row>
    <row r="1045" customFormat="1" ht="16.5" spans="1:24">
      <c r="A1045" s="17">
        <f t="shared" si="837"/>
        <v>30912</v>
      </c>
      <c r="B1045" s="17">
        <f t="shared" si="838"/>
        <v>30900</v>
      </c>
      <c r="C1045" s="17" t="str">
        <f t="shared" si="839"/>
        <v>3</v>
      </c>
      <c r="D1045" s="17">
        <f t="shared" si="840"/>
        <v>30001</v>
      </c>
      <c r="E1045" s="17">
        <f t="shared" ref="E1045:H1045" si="842">E1044</f>
        <v>2</v>
      </c>
      <c r="F1045" s="17">
        <f t="shared" si="832"/>
        <v>1</v>
      </c>
      <c r="G1045" s="17" t="str">
        <f t="shared" si="842"/>
        <v>幻影射手魔防百分比</v>
      </c>
      <c r="H1045" s="17" t="str">
        <f t="shared" si="842"/>
        <v>gongbing01_Lv3</v>
      </c>
      <c r="I1045" s="20">
        <v>1.5</v>
      </c>
      <c r="J1045" s="17">
        <v>12</v>
      </c>
      <c r="K1045" s="17">
        <f t="shared" si="820"/>
        <v>30913</v>
      </c>
      <c r="L1045" s="17" t="s">
        <v>532</v>
      </c>
      <c r="M1045" s="17" t="str">
        <f t="shared" si="823"/>
        <v>1:10600:5</v>
      </c>
      <c r="N1045" s="16" t="str">
        <f t="shared" si="826"/>
        <v>10024:1</v>
      </c>
      <c r="O1045" s="17">
        <f t="shared" si="833"/>
        <v>10</v>
      </c>
      <c r="P1045" s="21" t="s">
        <v>4615</v>
      </c>
      <c r="Q1045" s="21"/>
      <c r="R1045" t="s">
        <v>4561</v>
      </c>
      <c r="U1045" t="str">
        <f t="shared" si="816"/>
        <v>射手</v>
      </c>
      <c r="V1045" t="s">
        <v>4602</v>
      </c>
      <c r="W1045">
        <f>属性类型!G1045</f>
        <v>10024</v>
      </c>
      <c r="X1045">
        <v>1</v>
      </c>
    </row>
    <row r="1046" customFormat="1" ht="16.5" spans="1:24">
      <c r="A1046" s="17">
        <f t="shared" si="837"/>
        <v>30913</v>
      </c>
      <c r="B1046" s="17">
        <f t="shared" si="838"/>
        <v>30900</v>
      </c>
      <c r="C1046" s="17" t="str">
        <f t="shared" si="839"/>
        <v>3</v>
      </c>
      <c r="D1046" s="17">
        <f t="shared" si="840"/>
        <v>30001</v>
      </c>
      <c r="E1046" s="17">
        <f t="shared" ref="E1046:H1046" si="843">E1045</f>
        <v>2</v>
      </c>
      <c r="F1046" s="17">
        <f t="shared" si="832"/>
        <v>1</v>
      </c>
      <c r="G1046" s="17" t="str">
        <f t="shared" si="843"/>
        <v>幻影射手魔防百分比</v>
      </c>
      <c r="H1046" s="17" t="str">
        <f t="shared" si="843"/>
        <v>gongbing01_Lv3</v>
      </c>
      <c r="I1046" s="20">
        <v>1.5</v>
      </c>
      <c r="J1046" s="17">
        <v>13</v>
      </c>
      <c r="K1046" s="17">
        <f t="shared" si="820"/>
        <v>30914</v>
      </c>
      <c r="L1046" s="17" t="s">
        <v>561</v>
      </c>
      <c r="M1046" s="17" t="str">
        <f t="shared" si="823"/>
        <v>1:10600:5</v>
      </c>
      <c r="N1046" s="16" t="str">
        <f t="shared" si="826"/>
        <v>10024:1</v>
      </c>
      <c r="O1046" s="17">
        <f t="shared" si="833"/>
        <v>10</v>
      </c>
      <c r="P1046" s="21" t="s">
        <v>4616</v>
      </c>
      <c r="Q1046" s="21"/>
      <c r="R1046" t="s">
        <v>4561</v>
      </c>
      <c r="U1046" t="str">
        <f t="shared" si="816"/>
        <v>射手</v>
      </c>
      <c r="V1046" t="s">
        <v>4602</v>
      </c>
      <c r="W1046">
        <f>属性类型!G1046</f>
        <v>10024</v>
      </c>
      <c r="X1046">
        <v>1</v>
      </c>
    </row>
    <row r="1047" customFormat="1" ht="16.5" spans="1:24">
      <c r="A1047" s="17">
        <f t="shared" si="837"/>
        <v>30914</v>
      </c>
      <c r="B1047" s="17">
        <f t="shared" si="838"/>
        <v>30900</v>
      </c>
      <c r="C1047" s="17" t="str">
        <f t="shared" si="839"/>
        <v>3</v>
      </c>
      <c r="D1047" s="17">
        <f t="shared" si="840"/>
        <v>30001</v>
      </c>
      <c r="E1047" s="17">
        <f t="shared" ref="E1047:H1047" si="844">E1046</f>
        <v>2</v>
      </c>
      <c r="F1047" s="17">
        <f t="shared" si="832"/>
        <v>1</v>
      </c>
      <c r="G1047" s="17" t="str">
        <f t="shared" si="844"/>
        <v>幻影射手魔防百分比</v>
      </c>
      <c r="H1047" s="17" t="str">
        <f t="shared" si="844"/>
        <v>gongbing01_Lv3</v>
      </c>
      <c r="I1047" s="20">
        <v>1.5</v>
      </c>
      <c r="J1047" s="17">
        <v>14</v>
      </c>
      <c r="K1047" s="17">
        <f t="shared" si="820"/>
        <v>30915</v>
      </c>
      <c r="L1047" s="17" t="s">
        <v>564</v>
      </c>
      <c r="M1047" s="17" t="str">
        <f t="shared" si="823"/>
        <v>1:10600:5</v>
      </c>
      <c r="N1047" s="16" t="str">
        <f t="shared" si="826"/>
        <v>10024:1</v>
      </c>
      <c r="O1047" s="17">
        <f t="shared" si="833"/>
        <v>10</v>
      </c>
      <c r="P1047" s="21" t="s">
        <v>4617</v>
      </c>
      <c r="Q1047" s="21"/>
      <c r="R1047" t="s">
        <v>4561</v>
      </c>
      <c r="U1047" t="str">
        <f t="shared" si="816"/>
        <v>射手</v>
      </c>
      <c r="V1047" t="s">
        <v>4602</v>
      </c>
      <c r="W1047">
        <f>属性类型!G1047</f>
        <v>10024</v>
      </c>
      <c r="X1047">
        <v>1</v>
      </c>
    </row>
    <row r="1048" customFormat="1" ht="16.5" spans="1:24">
      <c r="A1048" s="17">
        <f t="shared" si="837"/>
        <v>30915</v>
      </c>
      <c r="B1048" s="17">
        <f t="shared" si="838"/>
        <v>30900</v>
      </c>
      <c r="C1048" s="17" t="str">
        <f t="shared" si="839"/>
        <v>3</v>
      </c>
      <c r="D1048" s="17">
        <f t="shared" si="840"/>
        <v>30001</v>
      </c>
      <c r="E1048" s="17">
        <f t="shared" ref="E1048:H1048" si="845">E1047</f>
        <v>2</v>
      </c>
      <c r="F1048" s="17">
        <f t="shared" si="832"/>
        <v>1</v>
      </c>
      <c r="G1048" s="17" t="str">
        <f t="shared" si="845"/>
        <v>幻影射手魔防百分比</v>
      </c>
      <c r="H1048" s="17" t="str">
        <f t="shared" si="845"/>
        <v>gongbing01_Lv3</v>
      </c>
      <c r="I1048" s="20">
        <v>1.5</v>
      </c>
      <c r="J1048" s="17">
        <v>15</v>
      </c>
      <c r="K1048" s="17">
        <f t="shared" si="820"/>
        <v>30916</v>
      </c>
      <c r="L1048" s="17" t="s">
        <v>630</v>
      </c>
      <c r="M1048" s="17" t="str">
        <f t="shared" si="823"/>
        <v>1:10600:5</v>
      </c>
      <c r="N1048" s="16" t="str">
        <f t="shared" si="826"/>
        <v>10024:1</v>
      </c>
      <c r="O1048" s="17">
        <f t="shared" si="833"/>
        <v>10</v>
      </c>
      <c r="P1048" s="21" t="s">
        <v>4618</v>
      </c>
      <c r="Q1048" s="21"/>
      <c r="R1048" t="s">
        <v>4561</v>
      </c>
      <c r="U1048" t="str">
        <f t="shared" si="816"/>
        <v>射手</v>
      </c>
      <c r="V1048" t="s">
        <v>4602</v>
      </c>
      <c r="W1048">
        <f>属性类型!G1048</f>
        <v>10024</v>
      </c>
      <c r="X1048">
        <v>1</v>
      </c>
    </row>
    <row r="1049" customFormat="1" ht="16.5" spans="1:24">
      <c r="A1049" s="17">
        <f t="shared" si="837"/>
        <v>30916</v>
      </c>
      <c r="B1049" s="17">
        <f t="shared" si="838"/>
        <v>30900</v>
      </c>
      <c r="C1049" s="17" t="str">
        <f t="shared" si="839"/>
        <v>3</v>
      </c>
      <c r="D1049" s="17">
        <f t="shared" si="840"/>
        <v>30001</v>
      </c>
      <c r="E1049" s="17">
        <f t="shared" ref="E1049:H1049" si="846">E1048</f>
        <v>2</v>
      </c>
      <c r="F1049" s="17">
        <f t="shared" si="832"/>
        <v>1</v>
      </c>
      <c r="G1049" s="17" t="str">
        <f t="shared" si="846"/>
        <v>幻影射手魔防百分比</v>
      </c>
      <c r="H1049" s="17" t="str">
        <f t="shared" si="846"/>
        <v>gongbing01_Lv3</v>
      </c>
      <c r="I1049" s="20">
        <v>1.5</v>
      </c>
      <c r="J1049" s="17">
        <v>16</v>
      </c>
      <c r="K1049" s="17">
        <f t="shared" si="820"/>
        <v>30917</v>
      </c>
      <c r="L1049" s="17" t="s">
        <v>633</v>
      </c>
      <c r="M1049" s="17" t="str">
        <f t="shared" si="823"/>
        <v>1:10600:5</v>
      </c>
      <c r="N1049" s="16" t="str">
        <f t="shared" si="826"/>
        <v>10024:1</v>
      </c>
      <c r="O1049" s="17">
        <f t="shared" si="833"/>
        <v>10</v>
      </c>
      <c r="P1049" s="21" t="s">
        <v>4619</v>
      </c>
      <c r="Q1049" s="21"/>
      <c r="R1049" t="s">
        <v>4561</v>
      </c>
      <c r="U1049" t="str">
        <f t="shared" si="816"/>
        <v>射手</v>
      </c>
      <c r="V1049" t="s">
        <v>4602</v>
      </c>
      <c r="W1049">
        <f>属性类型!G1049</f>
        <v>10024</v>
      </c>
      <c r="X1049">
        <v>1</v>
      </c>
    </row>
    <row r="1050" customFormat="1" ht="16.5" spans="1:24">
      <c r="A1050" s="17">
        <f t="shared" si="837"/>
        <v>30917</v>
      </c>
      <c r="B1050" s="17">
        <f t="shared" si="838"/>
        <v>30900</v>
      </c>
      <c r="C1050" s="17" t="str">
        <f t="shared" si="839"/>
        <v>3</v>
      </c>
      <c r="D1050" s="17">
        <f t="shared" si="840"/>
        <v>30001</v>
      </c>
      <c r="E1050" s="17">
        <f t="shared" ref="E1050:H1050" si="847">E1049</f>
        <v>2</v>
      </c>
      <c r="F1050" s="17">
        <f t="shared" si="832"/>
        <v>1</v>
      </c>
      <c r="G1050" s="17" t="str">
        <f t="shared" si="847"/>
        <v>幻影射手魔防百分比</v>
      </c>
      <c r="H1050" s="17" t="str">
        <f t="shared" si="847"/>
        <v>gongbing01_Lv3</v>
      </c>
      <c r="I1050" s="20">
        <v>1.5</v>
      </c>
      <c r="J1050" s="17">
        <v>17</v>
      </c>
      <c r="K1050" s="17">
        <f t="shared" si="820"/>
        <v>30918</v>
      </c>
      <c r="L1050" s="17" t="s">
        <v>637</v>
      </c>
      <c r="M1050" s="17" t="str">
        <f t="shared" si="823"/>
        <v>1:10600:5</v>
      </c>
      <c r="N1050" s="16" t="str">
        <f t="shared" si="826"/>
        <v>10024:1</v>
      </c>
      <c r="O1050" s="17">
        <f t="shared" si="833"/>
        <v>10</v>
      </c>
      <c r="P1050" s="21" t="s">
        <v>4620</v>
      </c>
      <c r="Q1050" s="21"/>
      <c r="R1050" t="s">
        <v>4561</v>
      </c>
      <c r="U1050" t="str">
        <f t="shared" si="816"/>
        <v>射手</v>
      </c>
      <c r="V1050" t="s">
        <v>4602</v>
      </c>
      <c r="W1050">
        <f>属性类型!G1050</f>
        <v>10024</v>
      </c>
      <c r="X1050">
        <v>1</v>
      </c>
    </row>
    <row r="1051" customFormat="1" ht="16.5" spans="1:24">
      <c r="A1051" s="17">
        <f t="shared" si="837"/>
        <v>30918</v>
      </c>
      <c r="B1051" s="17">
        <f t="shared" si="838"/>
        <v>30900</v>
      </c>
      <c r="C1051" s="17" t="str">
        <f t="shared" si="839"/>
        <v>3</v>
      </c>
      <c r="D1051" s="17">
        <f t="shared" si="840"/>
        <v>30001</v>
      </c>
      <c r="E1051" s="17">
        <f t="shared" ref="E1051:H1051" si="848">E1050</f>
        <v>2</v>
      </c>
      <c r="F1051" s="17">
        <f t="shared" si="832"/>
        <v>1</v>
      </c>
      <c r="G1051" s="17" t="str">
        <f t="shared" si="848"/>
        <v>幻影射手魔防百分比</v>
      </c>
      <c r="H1051" s="17" t="str">
        <f t="shared" si="848"/>
        <v>gongbing01_Lv3</v>
      </c>
      <c r="I1051" s="20">
        <v>1.5</v>
      </c>
      <c r="J1051" s="17">
        <v>18</v>
      </c>
      <c r="K1051" s="17">
        <f t="shared" si="820"/>
        <v>30919</v>
      </c>
      <c r="L1051" s="17" t="s">
        <v>641</v>
      </c>
      <c r="M1051" s="17" t="str">
        <f t="shared" si="823"/>
        <v>1:10600:5</v>
      </c>
      <c r="N1051" s="16" t="str">
        <f t="shared" si="826"/>
        <v>10024:1</v>
      </c>
      <c r="O1051" s="17">
        <f t="shared" si="833"/>
        <v>10</v>
      </c>
      <c r="P1051" s="21" t="s">
        <v>4621</v>
      </c>
      <c r="Q1051" s="21"/>
      <c r="R1051" t="s">
        <v>4561</v>
      </c>
      <c r="U1051" t="str">
        <f t="shared" si="816"/>
        <v>射手</v>
      </c>
      <c r="V1051" t="s">
        <v>4602</v>
      </c>
      <c r="W1051">
        <f>属性类型!G1051</f>
        <v>10024</v>
      </c>
      <c r="X1051">
        <v>1</v>
      </c>
    </row>
    <row r="1052" customFormat="1" ht="16.5" spans="1:24">
      <c r="A1052" s="17">
        <f t="shared" si="837"/>
        <v>30919</v>
      </c>
      <c r="B1052" s="17">
        <f t="shared" si="838"/>
        <v>30900</v>
      </c>
      <c r="C1052" s="17" t="str">
        <f t="shared" si="839"/>
        <v>3</v>
      </c>
      <c r="D1052" s="17">
        <f t="shared" si="840"/>
        <v>30001</v>
      </c>
      <c r="E1052" s="17">
        <f t="shared" ref="E1052:H1052" si="849">E1051</f>
        <v>2</v>
      </c>
      <c r="F1052" s="17">
        <f t="shared" si="832"/>
        <v>1</v>
      </c>
      <c r="G1052" s="17" t="str">
        <f t="shared" si="849"/>
        <v>幻影射手魔防百分比</v>
      </c>
      <c r="H1052" s="17" t="str">
        <f t="shared" si="849"/>
        <v>gongbing01_Lv3</v>
      </c>
      <c r="I1052" s="20">
        <v>1.5</v>
      </c>
      <c r="J1052" s="17">
        <v>19</v>
      </c>
      <c r="K1052" s="17">
        <f t="shared" si="820"/>
        <v>30920</v>
      </c>
      <c r="L1052" s="17" t="s">
        <v>645</v>
      </c>
      <c r="M1052" s="17" t="str">
        <f t="shared" si="823"/>
        <v>1:10600:5</v>
      </c>
      <c r="N1052" s="16" t="str">
        <f t="shared" si="826"/>
        <v>10024:1</v>
      </c>
      <c r="O1052" s="17">
        <f t="shared" si="833"/>
        <v>10</v>
      </c>
      <c r="P1052" s="21" t="s">
        <v>4622</v>
      </c>
      <c r="Q1052" s="21"/>
      <c r="R1052" t="s">
        <v>4561</v>
      </c>
      <c r="U1052" t="str">
        <f t="shared" si="816"/>
        <v>射手</v>
      </c>
      <c r="V1052" t="s">
        <v>4602</v>
      </c>
      <c r="W1052">
        <f>属性类型!G1052</f>
        <v>10024</v>
      </c>
      <c r="X1052">
        <v>1</v>
      </c>
    </row>
    <row r="1053" customFormat="1" ht="16.5" spans="1:24">
      <c r="A1053" s="17">
        <f t="shared" si="837"/>
        <v>30920</v>
      </c>
      <c r="B1053" s="17">
        <f t="shared" si="838"/>
        <v>30900</v>
      </c>
      <c r="C1053" s="17" t="str">
        <f t="shared" si="839"/>
        <v>3</v>
      </c>
      <c r="D1053" s="17">
        <f t="shared" si="840"/>
        <v>30001</v>
      </c>
      <c r="E1053" s="17">
        <f t="shared" ref="E1053:H1053" si="850">E1052</f>
        <v>2</v>
      </c>
      <c r="F1053" s="17">
        <f t="shared" si="832"/>
        <v>1</v>
      </c>
      <c r="G1053" s="17" t="str">
        <f t="shared" si="850"/>
        <v>幻影射手魔防百分比</v>
      </c>
      <c r="H1053" s="17" t="str">
        <f t="shared" si="850"/>
        <v>gongbing01_Lv3</v>
      </c>
      <c r="I1053" s="20">
        <v>1.5</v>
      </c>
      <c r="J1053" s="17">
        <v>20</v>
      </c>
      <c r="K1053" s="17">
        <v>0</v>
      </c>
      <c r="L1053" s="17">
        <v>0</v>
      </c>
      <c r="M1053" s="17" t="str">
        <f t="shared" si="823"/>
        <v>1:10600:5</v>
      </c>
      <c r="N1053" s="16" t="str">
        <f t="shared" si="826"/>
        <v>10024:1</v>
      </c>
      <c r="O1053" s="17">
        <f t="shared" si="833"/>
        <v>10</v>
      </c>
      <c r="P1053" s="21" t="s">
        <v>4622</v>
      </c>
      <c r="Q1053" s="21"/>
      <c r="R1053" t="s">
        <v>4561</v>
      </c>
      <c r="U1053" t="str">
        <f t="shared" si="816"/>
        <v>射手</v>
      </c>
      <c r="V1053" t="s">
        <v>4602</v>
      </c>
      <c r="W1053">
        <f>属性类型!G1053</f>
        <v>10024</v>
      </c>
      <c r="X1053">
        <v>1</v>
      </c>
    </row>
    <row r="1054" s="14" customFormat="1" ht="16.5" spans="1:24">
      <c r="A1054" s="18">
        <f>A1033+100</f>
        <v>31000</v>
      </c>
      <c r="B1054" s="18">
        <f t="shared" ref="B1054:B1093" si="851">ROUND(A1054,-2)</f>
        <v>31000</v>
      </c>
      <c r="C1054" s="18" t="str">
        <f t="shared" ref="C1054:C1114" si="852">LEFT(A1054,1)</f>
        <v>3</v>
      </c>
      <c r="D1054" s="17">
        <f t="shared" ref="D1054:D1093" si="853">$A$934+F1054</f>
        <v>30002</v>
      </c>
      <c r="E1054" s="18">
        <v>1</v>
      </c>
      <c r="F1054" s="18">
        <f t="shared" si="832"/>
        <v>2</v>
      </c>
      <c r="G1054" s="18" t="s">
        <v>295</v>
      </c>
      <c r="H1054" s="18" t="s">
        <v>38</v>
      </c>
      <c r="I1054" s="20">
        <v>0</v>
      </c>
      <c r="J1054" s="18">
        <v>0</v>
      </c>
      <c r="K1054" s="18">
        <f t="shared" ref="K1054:K1063" si="854">A1055</f>
        <v>31001</v>
      </c>
      <c r="L1054" s="18" t="s">
        <v>297</v>
      </c>
      <c r="M1054" s="18" t="s">
        <v>298</v>
      </c>
      <c r="N1054" s="16" t="str">
        <f t="shared" si="826"/>
        <v>121:1</v>
      </c>
      <c r="O1054" s="18">
        <f t="shared" si="833"/>
        <v>1</v>
      </c>
      <c r="P1054" s="21" t="str">
        <f>$R$3&amp;R1054&amp;$Q$1&amp;T1054</f>
        <v>所有弓兵生命增加1</v>
      </c>
      <c r="Q1054" s="22"/>
      <c r="R1054" t="s">
        <v>4270</v>
      </c>
      <c r="T1054" t="str">
        <f>RIGHT(N1054,1)</f>
        <v>1</v>
      </c>
      <c r="U1054" t="str">
        <f t="shared" si="816"/>
        <v>弓兵</v>
      </c>
      <c r="V1054" t="s">
        <v>4552</v>
      </c>
      <c r="W1054">
        <f>属性类型!G1054</f>
        <v>121</v>
      </c>
      <c r="X1054">
        <v>1</v>
      </c>
    </row>
    <row r="1055" customFormat="1" ht="16.5" spans="1:24">
      <c r="A1055" s="17">
        <f t="shared" ref="A1055:A1064" si="855">A1054+1</f>
        <v>31001</v>
      </c>
      <c r="B1055" s="17">
        <f t="shared" si="851"/>
        <v>31000</v>
      </c>
      <c r="C1055" s="17" t="str">
        <f t="shared" si="852"/>
        <v>3</v>
      </c>
      <c r="D1055" s="17">
        <f t="shared" si="853"/>
        <v>30002</v>
      </c>
      <c r="E1055" s="17">
        <v>1</v>
      </c>
      <c r="F1055" s="17">
        <f t="shared" si="832"/>
        <v>2</v>
      </c>
      <c r="G1055" s="17" t="str">
        <f t="shared" ref="G1055:G1064" si="856">G1054</f>
        <v>中级生命</v>
      </c>
      <c r="H1055" s="17" t="str">
        <f t="shared" ref="H1055:H1064" si="857">H1054</f>
        <v>icon_01</v>
      </c>
      <c r="I1055" s="20">
        <v>0</v>
      </c>
      <c r="J1055" s="17">
        <v>1</v>
      </c>
      <c r="K1055" s="17">
        <f t="shared" si="854"/>
        <v>31002</v>
      </c>
      <c r="L1055" s="17" t="s">
        <v>300</v>
      </c>
      <c r="M1055" s="17" t="str">
        <f t="shared" ref="M1055:M1064" si="858">M1054</f>
        <v>2:10001:30</v>
      </c>
      <c r="N1055" s="16" t="str">
        <f t="shared" si="826"/>
        <v>121:1</v>
      </c>
      <c r="O1055" s="17">
        <f t="shared" si="833"/>
        <v>1</v>
      </c>
      <c r="P1055" s="21" t="str">
        <f>$R$3&amp;R1055&amp;$Q$1&amp;T1055</f>
        <v>所有弓兵生命增加:1</v>
      </c>
      <c r="Q1055" s="21"/>
      <c r="R1055" t="str">
        <f t="shared" ref="R1055:R1064" si="859">R1054</f>
        <v>生命</v>
      </c>
      <c r="T1055" t="str">
        <f t="shared" ref="T1055:T1064" si="860">RIGHT(N1055,2)</f>
        <v>:1</v>
      </c>
      <c r="U1055" t="str">
        <f t="shared" si="816"/>
        <v>弓兵</v>
      </c>
      <c r="V1055" t="s">
        <v>4552</v>
      </c>
      <c r="W1055">
        <f>属性类型!G1055</f>
        <v>121</v>
      </c>
      <c r="X1055">
        <v>1</v>
      </c>
    </row>
    <row r="1056" customFormat="1" ht="16.5" spans="1:24">
      <c r="A1056" s="17">
        <f t="shared" si="855"/>
        <v>31002</v>
      </c>
      <c r="B1056" s="17">
        <f t="shared" si="851"/>
        <v>31000</v>
      </c>
      <c r="C1056" s="17" t="str">
        <f t="shared" si="852"/>
        <v>3</v>
      </c>
      <c r="D1056" s="17">
        <f t="shared" si="853"/>
        <v>30002</v>
      </c>
      <c r="E1056" s="17">
        <v>1</v>
      </c>
      <c r="F1056" s="17">
        <f t="shared" si="832"/>
        <v>2</v>
      </c>
      <c r="G1056" s="17" t="str">
        <f t="shared" si="856"/>
        <v>中级生命</v>
      </c>
      <c r="H1056" s="17" t="str">
        <f t="shared" si="857"/>
        <v>icon_01</v>
      </c>
      <c r="I1056" s="20">
        <v>0</v>
      </c>
      <c r="J1056" s="17">
        <v>2</v>
      </c>
      <c r="K1056" s="17">
        <f t="shared" si="854"/>
        <v>31003</v>
      </c>
      <c r="L1056" s="17" t="s">
        <v>304</v>
      </c>
      <c r="M1056" s="17" t="str">
        <f t="shared" si="858"/>
        <v>2:10001:30</v>
      </c>
      <c r="N1056" s="16" t="str">
        <f t="shared" si="826"/>
        <v>121:1</v>
      </c>
      <c r="O1056" s="17">
        <f t="shared" si="833"/>
        <v>1</v>
      </c>
      <c r="P1056" s="21" t="str">
        <f>$R$3&amp;R1056&amp;$Q$1&amp;T1056</f>
        <v>所有弓兵生命增加:1</v>
      </c>
      <c r="Q1056" s="21"/>
      <c r="R1056" t="str">
        <f t="shared" si="859"/>
        <v>生命</v>
      </c>
      <c r="T1056" t="str">
        <f t="shared" si="860"/>
        <v>:1</v>
      </c>
      <c r="U1056" t="str">
        <f t="shared" si="816"/>
        <v>弓兵</v>
      </c>
      <c r="V1056" t="s">
        <v>4552</v>
      </c>
      <c r="W1056">
        <f>属性类型!G1056</f>
        <v>121</v>
      </c>
      <c r="X1056">
        <v>1</v>
      </c>
    </row>
    <row r="1057" customFormat="1" ht="16.5" spans="1:24">
      <c r="A1057" s="17">
        <f t="shared" si="855"/>
        <v>31003</v>
      </c>
      <c r="B1057" s="17">
        <f t="shared" si="851"/>
        <v>31000</v>
      </c>
      <c r="C1057" s="17" t="str">
        <f t="shared" si="852"/>
        <v>3</v>
      </c>
      <c r="D1057" s="17">
        <f t="shared" si="853"/>
        <v>30002</v>
      </c>
      <c r="E1057" s="17">
        <v>1</v>
      </c>
      <c r="F1057" s="17">
        <f t="shared" si="832"/>
        <v>2</v>
      </c>
      <c r="G1057" s="17" t="str">
        <f t="shared" si="856"/>
        <v>中级生命</v>
      </c>
      <c r="H1057" s="17" t="str">
        <f t="shared" si="857"/>
        <v>icon_01</v>
      </c>
      <c r="I1057" s="20">
        <v>0</v>
      </c>
      <c r="J1057" s="17">
        <v>3</v>
      </c>
      <c r="K1057" s="17">
        <f t="shared" si="854"/>
        <v>31004</v>
      </c>
      <c r="L1057" s="17" t="s">
        <v>307</v>
      </c>
      <c r="M1057" s="17" t="str">
        <f t="shared" si="858"/>
        <v>2:10001:30</v>
      </c>
      <c r="N1057" s="16" t="str">
        <f t="shared" si="826"/>
        <v>121:1</v>
      </c>
      <c r="O1057" s="17">
        <f t="shared" si="833"/>
        <v>1</v>
      </c>
      <c r="P1057" s="21" t="str">
        <f>$R$3&amp;R1057&amp;$Q$1&amp;T1057</f>
        <v>所有弓兵生命增加:1</v>
      </c>
      <c r="Q1057" s="21"/>
      <c r="R1057" t="str">
        <f t="shared" si="859"/>
        <v>生命</v>
      </c>
      <c r="T1057" t="str">
        <f t="shared" si="860"/>
        <v>:1</v>
      </c>
      <c r="U1057" t="str">
        <f t="shared" si="816"/>
        <v>弓兵</v>
      </c>
      <c r="V1057" t="s">
        <v>4552</v>
      </c>
      <c r="W1057">
        <f>属性类型!G1057</f>
        <v>121</v>
      </c>
      <c r="X1057">
        <v>1</v>
      </c>
    </row>
    <row r="1058" customFormat="1" ht="16.5" spans="1:24">
      <c r="A1058" s="17">
        <f t="shared" si="855"/>
        <v>31004</v>
      </c>
      <c r="B1058" s="17">
        <f t="shared" si="851"/>
        <v>31000</v>
      </c>
      <c r="C1058" s="17" t="str">
        <f t="shared" si="852"/>
        <v>3</v>
      </c>
      <c r="D1058" s="17">
        <f t="shared" si="853"/>
        <v>30002</v>
      </c>
      <c r="E1058" s="17">
        <v>1</v>
      </c>
      <c r="F1058" s="17">
        <f t="shared" si="832"/>
        <v>2</v>
      </c>
      <c r="G1058" s="17" t="str">
        <f t="shared" si="856"/>
        <v>中级生命</v>
      </c>
      <c r="H1058" s="17" t="str">
        <f t="shared" si="857"/>
        <v>icon_01</v>
      </c>
      <c r="I1058" s="20">
        <v>0</v>
      </c>
      <c r="J1058" s="17">
        <v>4</v>
      </c>
      <c r="K1058" s="17">
        <f t="shared" si="854"/>
        <v>31005</v>
      </c>
      <c r="L1058" s="17" t="s">
        <v>309</v>
      </c>
      <c r="M1058" s="17" t="str">
        <f t="shared" si="858"/>
        <v>2:10001:30</v>
      </c>
      <c r="N1058" s="16" t="str">
        <f t="shared" si="826"/>
        <v>121:1</v>
      </c>
      <c r="O1058" s="17">
        <f t="shared" si="833"/>
        <v>1</v>
      </c>
      <c r="P1058" s="21" t="str">
        <f>$R$3&amp;R1058&amp;$Q$1&amp;T1058</f>
        <v>所有弓兵生命增加:1</v>
      </c>
      <c r="Q1058" s="21"/>
      <c r="R1058" t="str">
        <f t="shared" si="859"/>
        <v>生命</v>
      </c>
      <c r="T1058" t="str">
        <f t="shared" si="860"/>
        <v>:1</v>
      </c>
      <c r="U1058" t="str">
        <f t="shared" si="816"/>
        <v>弓兵</v>
      </c>
      <c r="V1058" t="s">
        <v>4552</v>
      </c>
      <c r="W1058">
        <f>属性类型!G1058</f>
        <v>121</v>
      </c>
      <c r="X1058">
        <v>1</v>
      </c>
    </row>
    <row r="1059" customFormat="1" ht="16.5" spans="1:24">
      <c r="A1059" s="17">
        <f t="shared" si="855"/>
        <v>31005</v>
      </c>
      <c r="B1059" s="17">
        <f t="shared" si="851"/>
        <v>31000</v>
      </c>
      <c r="C1059" s="17" t="str">
        <f t="shared" si="852"/>
        <v>3</v>
      </c>
      <c r="D1059" s="17">
        <f t="shared" si="853"/>
        <v>30002</v>
      </c>
      <c r="E1059" s="17">
        <v>1</v>
      </c>
      <c r="F1059" s="17">
        <f t="shared" si="832"/>
        <v>2</v>
      </c>
      <c r="G1059" s="17" t="str">
        <f t="shared" si="856"/>
        <v>中级生命</v>
      </c>
      <c r="H1059" s="17" t="str">
        <f t="shared" si="857"/>
        <v>icon_01</v>
      </c>
      <c r="I1059" s="20">
        <v>0</v>
      </c>
      <c r="J1059" s="17">
        <v>5</v>
      </c>
      <c r="K1059" s="17">
        <f t="shared" si="854"/>
        <v>31006</v>
      </c>
      <c r="L1059" s="17" t="s">
        <v>312</v>
      </c>
      <c r="M1059" s="17" t="str">
        <f t="shared" si="858"/>
        <v>2:10001:30</v>
      </c>
      <c r="N1059" s="16" t="str">
        <f t="shared" si="826"/>
        <v>121:1</v>
      </c>
      <c r="O1059" s="17">
        <f t="shared" si="833"/>
        <v>1</v>
      </c>
      <c r="P1059" s="21" t="str">
        <f>$R$3&amp;R1059&amp;$Q$1&amp;T1059</f>
        <v>所有弓兵生命增加:1</v>
      </c>
      <c r="Q1059" s="21"/>
      <c r="R1059" t="str">
        <f t="shared" si="859"/>
        <v>生命</v>
      </c>
      <c r="T1059" t="str">
        <f t="shared" si="860"/>
        <v>:1</v>
      </c>
      <c r="U1059" t="str">
        <f t="shared" si="816"/>
        <v>弓兵</v>
      </c>
      <c r="V1059" t="s">
        <v>4552</v>
      </c>
      <c r="W1059">
        <f>属性类型!G1059</f>
        <v>121</v>
      </c>
      <c r="X1059">
        <v>1</v>
      </c>
    </row>
    <row r="1060" customFormat="1" ht="16.5" spans="1:24">
      <c r="A1060" s="17">
        <f t="shared" si="855"/>
        <v>31006</v>
      </c>
      <c r="B1060" s="17">
        <f t="shared" si="851"/>
        <v>31000</v>
      </c>
      <c r="C1060" s="17" t="str">
        <f t="shared" si="852"/>
        <v>3</v>
      </c>
      <c r="D1060" s="17">
        <f t="shared" si="853"/>
        <v>30002</v>
      </c>
      <c r="E1060" s="17">
        <v>1</v>
      </c>
      <c r="F1060" s="17">
        <f t="shared" si="832"/>
        <v>2</v>
      </c>
      <c r="G1060" s="17" t="str">
        <f t="shared" si="856"/>
        <v>中级生命</v>
      </c>
      <c r="H1060" s="17" t="str">
        <f t="shared" si="857"/>
        <v>icon_01</v>
      </c>
      <c r="I1060" s="20">
        <v>0</v>
      </c>
      <c r="J1060" s="17">
        <v>6</v>
      </c>
      <c r="K1060" s="17">
        <f t="shared" si="854"/>
        <v>31007</v>
      </c>
      <c r="L1060" s="17" t="s">
        <v>315</v>
      </c>
      <c r="M1060" s="17" t="str">
        <f t="shared" si="858"/>
        <v>2:10001:30</v>
      </c>
      <c r="N1060" s="16" t="str">
        <f t="shared" si="826"/>
        <v>121:1</v>
      </c>
      <c r="O1060" s="17">
        <f t="shared" si="833"/>
        <v>1</v>
      </c>
      <c r="P1060" s="21" t="str">
        <f>$R$3&amp;R1060&amp;$Q$1&amp;T1060</f>
        <v>所有弓兵生命增加:1</v>
      </c>
      <c r="Q1060" s="21"/>
      <c r="R1060" t="str">
        <f t="shared" si="859"/>
        <v>生命</v>
      </c>
      <c r="T1060" t="str">
        <f t="shared" si="860"/>
        <v>:1</v>
      </c>
      <c r="U1060" t="str">
        <f t="shared" si="816"/>
        <v>弓兵</v>
      </c>
      <c r="V1060" t="s">
        <v>4552</v>
      </c>
      <c r="W1060">
        <f>属性类型!G1060</f>
        <v>121</v>
      </c>
      <c r="X1060">
        <v>1</v>
      </c>
    </row>
    <row r="1061" customFormat="1" ht="16.5" spans="1:24">
      <c r="A1061" s="17">
        <f t="shared" si="855"/>
        <v>31007</v>
      </c>
      <c r="B1061" s="17">
        <f t="shared" si="851"/>
        <v>31000</v>
      </c>
      <c r="C1061" s="17" t="str">
        <f t="shared" si="852"/>
        <v>3</v>
      </c>
      <c r="D1061" s="17">
        <f t="shared" si="853"/>
        <v>30002</v>
      </c>
      <c r="E1061" s="17">
        <v>1</v>
      </c>
      <c r="F1061" s="17">
        <f t="shared" si="832"/>
        <v>2</v>
      </c>
      <c r="G1061" s="17" t="str">
        <f t="shared" si="856"/>
        <v>中级生命</v>
      </c>
      <c r="H1061" s="17" t="str">
        <f t="shared" si="857"/>
        <v>icon_01</v>
      </c>
      <c r="I1061" s="20">
        <v>0</v>
      </c>
      <c r="J1061" s="17">
        <v>7</v>
      </c>
      <c r="K1061" s="17">
        <f t="shared" si="854"/>
        <v>31008</v>
      </c>
      <c r="L1061" s="17" t="s">
        <v>317</v>
      </c>
      <c r="M1061" s="17" t="str">
        <f t="shared" si="858"/>
        <v>2:10001:30</v>
      </c>
      <c r="N1061" s="16" t="str">
        <f t="shared" si="826"/>
        <v>121:1</v>
      </c>
      <c r="O1061" s="17">
        <f t="shared" si="833"/>
        <v>1</v>
      </c>
      <c r="P1061" s="21" t="str">
        <f>$R$3&amp;R1061&amp;$Q$1&amp;T1061</f>
        <v>所有弓兵生命增加:1</v>
      </c>
      <c r="Q1061" s="21"/>
      <c r="R1061" t="str">
        <f t="shared" si="859"/>
        <v>生命</v>
      </c>
      <c r="T1061" t="str">
        <f t="shared" si="860"/>
        <v>:1</v>
      </c>
      <c r="U1061" t="str">
        <f t="shared" si="816"/>
        <v>弓兵</v>
      </c>
      <c r="V1061" t="s">
        <v>4552</v>
      </c>
      <c r="W1061">
        <f>属性类型!G1061</f>
        <v>121</v>
      </c>
      <c r="X1061">
        <v>1</v>
      </c>
    </row>
    <row r="1062" customFormat="1" ht="16.5" spans="1:24">
      <c r="A1062" s="17">
        <f t="shared" si="855"/>
        <v>31008</v>
      </c>
      <c r="B1062" s="17">
        <f t="shared" si="851"/>
        <v>31000</v>
      </c>
      <c r="C1062" s="17" t="str">
        <f t="shared" si="852"/>
        <v>3</v>
      </c>
      <c r="D1062" s="17">
        <f t="shared" si="853"/>
        <v>30002</v>
      </c>
      <c r="E1062" s="17">
        <v>1</v>
      </c>
      <c r="F1062" s="17">
        <f t="shared" si="832"/>
        <v>2</v>
      </c>
      <c r="G1062" s="17" t="str">
        <f t="shared" si="856"/>
        <v>中级生命</v>
      </c>
      <c r="H1062" s="17" t="str">
        <f t="shared" si="857"/>
        <v>icon_01</v>
      </c>
      <c r="I1062" s="20">
        <v>0</v>
      </c>
      <c r="J1062" s="17">
        <v>8</v>
      </c>
      <c r="K1062" s="17">
        <f t="shared" si="854"/>
        <v>31009</v>
      </c>
      <c r="L1062" s="17" t="s">
        <v>320</v>
      </c>
      <c r="M1062" s="17" t="str">
        <f t="shared" si="858"/>
        <v>2:10001:30</v>
      </c>
      <c r="N1062" s="16" t="str">
        <f t="shared" si="826"/>
        <v>121:1</v>
      </c>
      <c r="O1062" s="17">
        <f t="shared" si="833"/>
        <v>1</v>
      </c>
      <c r="P1062" s="21" t="str">
        <f>$R$3&amp;R1062&amp;$Q$1&amp;T1062</f>
        <v>所有弓兵生命增加:1</v>
      </c>
      <c r="Q1062" s="21"/>
      <c r="R1062" t="str">
        <f t="shared" si="859"/>
        <v>生命</v>
      </c>
      <c r="T1062" t="str">
        <f t="shared" si="860"/>
        <v>:1</v>
      </c>
      <c r="U1062" t="str">
        <f t="shared" si="816"/>
        <v>弓兵</v>
      </c>
      <c r="V1062" t="s">
        <v>4552</v>
      </c>
      <c r="W1062">
        <f>属性类型!G1062</f>
        <v>121</v>
      </c>
      <c r="X1062">
        <v>1</v>
      </c>
    </row>
    <row r="1063" customFormat="1" ht="16.5" spans="1:24">
      <c r="A1063" s="17">
        <f t="shared" si="855"/>
        <v>31009</v>
      </c>
      <c r="B1063" s="17">
        <f t="shared" si="851"/>
        <v>31000</v>
      </c>
      <c r="C1063" s="17" t="str">
        <f t="shared" si="852"/>
        <v>3</v>
      </c>
      <c r="D1063" s="17">
        <f t="shared" si="853"/>
        <v>30002</v>
      </c>
      <c r="E1063" s="17">
        <v>1</v>
      </c>
      <c r="F1063" s="17">
        <f t="shared" si="832"/>
        <v>2</v>
      </c>
      <c r="G1063" s="17" t="str">
        <f t="shared" si="856"/>
        <v>中级生命</v>
      </c>
      <c r="H1063" s="17" t="str">
        <f t="shared" si="857"/>
        <v>icon_01</v>
      </c>
      <c r="I1063" s="20">
        <v>0</v>
      </c>
      <c r="J1063" s="17">
        <v>9</v>
      </c>
      <c r="K1063" s="17">
        <f t="shared" si="854"/>
        <v>31010</v>
      </c>
      <c r="L1063" s="17" t="s">
        <v>323</v>
      </c>
      <c r="M1063" s="17" t="str">
        <f t="shared" si="858"/>
        <v>2:10001:30</v>
      </c>
      <c r="N1063" s="16" t="str">
        <f t="shared" si="826"/>
        <v>121:1</v>
      </c>
      <c r="O1063" s="17">
        <f t="shared" si="833"/>
        <v>1</v>
      </c>
      <c r="P1063" s="21" t="str">
        <f>$R$3&amp;R1063&amp;$Q$1&amp;T1063</f>
        <v>所有弓兵生命增加:1</v>
      </c>
      <c r="Q1063" s="21"/>
      <c r="R1063" t="str">
        <f t="shared" si="859"/>
        <v>生命</v>
      </c>
      <c r="T1063" t="str">
        <f t="shared" si="860"/>
        <v>:1</v>
      </c>
      <c r="U1063" t="str">
        <f t="shared" si="816"/>
        <v>弓兵</v>
      </c>
      <c r="V1063" t="s">
        <v>4552</v>
      </c>
      <c r="W1063">
        <f>属性类型!G1063</f>
        <v>121</v>
      </c>
      <c r="X1063">
        <v>1</v>
      </c>
    </row>
    <row r="1064" customFormat="1" ht="16.5" spans="1:24">
      <c r="A1064" s="17">
        <f t="shared" si="855"/>
        <v>31010</v>
      </c>
      <c r="B1064" s="17">
        <f t="shared" si="851"/>
        <v>31000</v>
      </c>
      <c r="C1064" s="17" t="str">
        <f t="shared" si="852"/>
        <v>3</v>
      </c>
      <c r="D1064" s="17">
        <f t="shared" si="853"/>
        <v>30002</v>
      </c>
      <c r="E1064" s="17">
        <v>1</v>
      </c>
      <c r="F1064" s="17">
        <f t="shared" si="832"/>
        <v>2</v>
      </c>
      <c r="G1064" s="17" t="str">
        <f t="shared" si="856"/>
        <v>中级生命</v>
      </c>
      <c r="H1064" s="17" t="str">
        <f t="shared" si="857"/>
        <v>icon_01</v>
      </c>
      <c r="I1064" s="20">
        <v>0</v>
      </c>
      <c r="J1064" s="17">
        <v>10</v>
      </c>
      <c r="K1064" s="17">
        <v>0</v>
      </c>
      <c r="L1064" s="17">
        <v>0</v>
      </c>
      <c r="M1064" s="17" t="str">
        <f t="shared" si="858"/>
        <v>2:10001:30</v>
      </c>
      <c r="N1064" s="16" t="str">
        <f t="shared" si="826"/>
        <v>121:1</v>
      </c>
      <c r="O1064" s="17">
        <f t="shared" si="833"/>
        <v>1</v>
      </c>
      <c r="P1064" s="21" t="str">
        <f t="shared" ref="P1064:P1127" si="861">$R$3&amp;R1064&amp;$Q$1&amp;T1064</f>
        <v>所有弓兵生命增加:1</v>
      </c>
      <c r="Q1064" s="21"/>
      <c r="R1064" t="str">
        <f t="shared" si="859"/>
        <v>生命</v>
      </c>
      <c r="T1064" t="str">
        <f t="shared" si="860"/>
        <v>:1</v>
      </c>
      <c r="U1064" t="str">
        <f t="shared" si="816"/>
        <v>弓兵</v>
      </c>
      <c r="V1064" t="s">
        <v>4552</v>
      </c>
      <c r="W1064">
        <f>属性类型!G1064</f>
        <v>121</v>
      </c>
      <c r="X1064">
        <v>1</v>
      </c>
    </row>
    <row r="1065" customFormat="1" ht="16.5" spans="1:24">
      <c r="A1065" s="18">
        <f>A1054+100</f>
        <v>31100</v>
      </c>
      <c r="B1065" s="18">
        <f t="shared" si="851"/>
        <v>31100</v>
      </c>
      <c r="C1065" s="18" t="str">
        <f t="shared" si="852"/>
        <v>3</v>
      </c>
      <c r="D1065" s="17">
        <f t="shared" si="853"/>
        <v>30002</v>
      </c>
      <c r="E1065" s="17">
        <v>1</v>
      </c>
      <c r="F1065" s="18">
        <f t="shared" si="832"/>
        <v>2</v>
      </c>
      <c r="G1065" s="18" t="s">
        <v>327</v>
      </c>
      <c r="H1065" s="18" t="s">
        <v>63</v>
      </c>
      <c r="I1065" s="20">
        <v>0</v>
      </c>
      <c r="J1065" s="18">
        <v>0</v>
      </c>
      <c r="K1065" s="18">
        <f t="shared" ref="K1065:K1074" si="862">A1066</f>
        <v>31101</v>
      </c>
      <c r="L1065" s="18" t="s">
        <v>297</v>
      </c>
      <c r="M1065" s="18" t="s">
        <v>329</v>
      </c>
      <c r="N1065" s="16" t="str">
        <f t="shared" si="826"/>
        <v>123:1</v>
      </c>
      <c r="O1065" s="18">
        <f t="shared" si="833"/>
        <v>2</v>
      </c>
      <c r="P1065" s="21" t="str">
        <f t="shared" si="861"/>
        <v>所有弓兵防御增加1</v>
      </c>
      <c r="Q1065" s="21"/>
      <c r="R1065" t="s">
        <v>4272</v>
      </c>
      <c r="T1065" t="str">
        <f>RIGHT(N1065,1)</f>
        <v>1</v>
      </c>
      <c r="U1065" t="str">
        <f t="shared" si="816"/>
        <v>弓兵</v>
      </c>
      <c r="V1065" t="s">
        <v>4553</v>
      </c>
      <c r="W1065">
        <f>属性类型!G1065</f>
        <v>123</v>
      </c>
      <c r="X1065">
        <v>1</v>
      </c>
    </row>
    <row r="1066" customFormat="1" ht="16.5" spans="1:24">
      <c r="A1066" s="17">
        <f t="shared" ref="A1066:A1075" si="863">A1065+1</f>
        <v>31101</v>
      </c>
      <c r="B1066" s="17">
        <f t="shared" si="851"/>
        <v>31100</v>
      </c>
      <c r="C1066" s="17" t="str">
        <f t="shared" si="852"/>
        <v>3</v>
      </c>
      <c r="D1066" s="17">
        <f t="shared" si="853"/>
        <v>30002</v>
      </c>
      <c r="E1066" s="17">
        <v>1</v>
      </c>
      <c r="F1066" s="17">
        <f t="shared" si="832"/>
        <v>2</v>
      </c>
      <c r="G1066" s="17" t="str">
        <f t="shared" ref="G1066:G1075" si="864">G1065</f>
        <v>中级防御</v>
      </c>
      <c r="H1066" s="17" t="str">
        <f t="shared" ref="H1066:H1075" si="865">H1065</f>
        <v>icon_02</v>
      </c>
      <c r="I1066" s="20">
        <v>0</v>
      </c>
      <c r="J1066" s="17">
        <v>1</v>
      </c>
      <c r="K1066" s="17">
        <f t="shared" si="862"/>
        <v>31102</v>
      </c>
      <c r="L1066" s="17" t="s">
        <v>300</v>
      </c>
      <c r="M1066" s="17" t="str">
        <f t="shared" ref="M1066:M1075" si="866">M1065</f>
        <v>1:11000:5</v>
      </c>
      <c r="N1066" s="16" t="str">
        <f t="shared" si="826"/>
        <v>123:1</v>
      </c>
      <c r="O1066" s="17">
        <f t="shared" si="833"/>
        <v>2</v>
      </c>
      <c r="P1066" s="21" t="str">
        <f t="shared" si="861"/>
        <v>所有弓兵防御增加:1</v>
      </c>
      <c r="Q1066" s="21"/>
      <c r="R1066" t="str">
        <f t="shared" ref="R1066:R1075" si="867">R1065</f>
        <v>防御</v>
      </c>
      <c r="T1066" t="str">
        <f t="shared" ref="T1066:T1075" si="868">RIGHT(N1066,2)</f>
        <v>:1</v>
      </c>
      <c r="U1066" t="str">
        <f t="shared" si="816"/>
        <v>弓兵</v>
      </c>
      <c r="V1066" t="s">
        <v>4553</v>
      </c>
      <c r="W1066">
        <f>属性类型!G1066</f>
        <v>123</v>
      </c>
      <c r="X1066">
        <v>1</v>
      </c>
    </row>
    <row r="1067" customFormat="1" ht="16.5" spans="1:24">
      <c r="A1067" s="17">
        <f t="shared" si="863"/>
        <v>31102</v>
      </c>
      <c r="B1067" s="17">
        <f t="shared" si="851"/>
        <v>31100</v>
      </c>
      <c r="C1067" s="17" t="str">
        <f t="shared" si="852"/>
        <v>3</v>
      </c>
      <c r="D1067" s="17">
        <f t="shared" si="853"/>
        <v>30002</v>
      </c>
      <c r="E1067" s="17">
        <v>1</v>
      </c>
      <c r="F1067" s="17">
        <f t="shared" si="832"/>
        <v>2</v>
      </c>
      <c r="G1067" s="17" t="str">
        <f t="shared" si="864"/>
        <v>中级防御</v>
      </c>
      <c r="H1067" s="17" t="str">
        <f t="shared" si="865"/>
        <v>icon_02</v>
      </c>
      <c r="I1067" s="20">
        <v>0</v>
      </c>
      <c r="J1067" s="17">
        <v>2</v>
      </c>
      <c r="K1067" s="17">
        <f t="shared" si="862"/>
        <v>31103</v>
      </c>
      <c r="L1067" s="17" t="s">
        <v>304</v>
      </c>
      <c r="M1067" s="17" t="str">
        <f t="shared" si="866"/>
        <v>1:11000:5</v>
      </c>
      <c r="N1067" s="16" t="str">
        <f t="shared" si="826"/>
        <v>123:1</v>
      </c>
      <c r="O1067" s="17">
        <f t="shared" si="833"/>
        <v>2</v>
      </c>
      <c r="P1067" s="21" t="str">
        <f t="shared" si="861"/>
        <v>所有弓兵防御增加:1</v>
      </c>
      <c r="Q1067" s="21"/>
      <c r="R1067" t="str">
        <f t="shared" si="867"/>
        <v>防御</v>
      </c>
      <c r="T1067" t="str">
        <f t="shared" si="868"/>
        <v>:1</v>
      </c>
      <c r="U1067" t="str">
        <f t="shared" si="816"/>
        <v>弓兵</v>
      </c>
      <c r="V1067" t="s">
        <v>4553</v>
      </c>
      <c r="W1067">
        <f>属性类型!G1067</f>
        <v>123</v>
      </c>
      <c r="X1067">
        <v>1</v>
      </c>
    </row>
    <row r="1068" customFormat="1" ht="16.5" spans="1:24">
      <c r="A1068" s="17">
        <f t="shared" si="863"/>
        <v>31103</v>
      </c>
      <c r="B1068" s="17">
        <f t="shared" si="851"/>
        <v>31100</v>
      </c>
      <c r="C1068" s="17" t="str">
        <f t="shared" si="852"/>
        <v>3</v>
      </c>
      <c r="D1068" s="17">
        <f t="shared" si="853"/>
        <v>30002</v>
      </c>
      <c r="E1068" s="17">
        <v>1</v>
      </c>
      <c r="F1068" s="17">
        <f t="shared" si="832"/>
        <v>2</v>
      </c>
      <c r="G1068" s="17" t="str">
        <f t="shared" si="864"/>
        <v>中级防御</v>
      </c>
      <c r="H1068" s="17" t="str">
        <f t="shared" si="865"/>
        <v>icon_02</v>
      </c>
      <c r="I1068" s="20">
        <v>0</v>
      </c>
      <c r="J1068" s="17">
        <v>3</v>
      </c>
      <c r="K1068" s="17">
        <f t="shared" si="862"/>
        <v>31104</v>
      </c>
      <c r="L1068" s="17" t="s">
        <v>307</v>
      </c>
      <c r="M1068" s="17" t="str">
        <f t="shared" si="866"/>
        <v>1:11000:5</v>
      </c>
      <c r="N1068" s="16" t="str">
        <f t="shared" si="826"/>
        <v>123:1</v>
      </c>
      <c r="O1068" s="17">
        <f t="shared" si="833"/>
        <v>2</v>
      </c>
      <c r="P1068" s="21" t="str">
        <f t="shared" si="861"/>
        <v>所有弓兵防御增加:1</v>
      </c>
      <c r="Q1068" s="21"/>
      <c r="R1068" t="str">
        <f t="shared" si="867"/>
        <v>防御</v>
      </c>
      <c r="T1068" t="str">
        <f t="shared" si="868"/>
        <v>:1</v>
      </c>
      <c r="U1068" t="str">
        <f t="shared" si="816"/>
        <v>弓兵</v>
      </c>
      <c r="V1068" t="s">
        <v>4553</v>
      </c>
      <c r="W1068">
        <f>属性类型!G1068</f>
        <v>123</v>
      </c>
      <c r="X1068">
        <v>1</v>
      </c>
    </row>
    <row r="1069" customFormat="1" ht="16.5" spans="1:24">
      <c r="A1069" s="17">
        <f t="shared" si="863"/>
        <v>31104</v>
      </c>
      <c r="B1069" s="17">
        <f t="shared" si="851"/>
        <v>31100</v>
      </c>
      <c r="C1069" s="17" t="str">
        <f t="shared" si="852"/>
        <v>3</v>
      </c>
      <c r="D1069" s="17">
        <f t="shared" si="853"/>
        <v>30002</v>
      </c>
      <c r="E1069" s="17">
        <v>1</v>
      </c>
      <c r="F1069" s="17">
        <f t="shared" si="832"/>
        <v>2</v>
      </c>
      <c r="G1069" s="17" t="str">
        <f t="shared" si="864"/>
        <v>中级防御</v>
      </c>
      <c r="H1069" s="17" t="str">
        <f t="shared" si="865"/>
        <v>icon_02</v>
      </c>
      <c r="I1069" s="20">
        <v>0</v>
      </c>
      <c r="J1069" s="17">
        <v>4</v>
      </c>
      <c r="K1069" s="17">
        <f t="shared" si="862"/>
        <v>31105</v>
      </c>
      <c r="L1069" s="17" t="s">
        <v>309</v>
      </c>
      <c r="M1069" s="17" t="str">
        <f t="shared" si="866"/>
        <v>1:11000:5</v>
      </c>
      <c r="N1069" s="16" t="str">
        <f t="shared" si="826"/>
        <v>123:1</v>
      </c>
      <c r="O1069" s="17">
        <f t="shared" si="833"/>
        <v>2</v>
      </c>
      <c r="P1069" s="21" t="str">
        <f t="shared" si="861"/>
        <v>所有弓兵防御增加:1</v>
      </c>
      <c r="Q1069" s="21"/>
      <c r="R1069" t="str">
        <f t="shared" si="867"/>
        <v>防御</v>
      </c>
      <c r="T1069" t="str">
        <f t="shared" si="868"/>
        <v>:1</v>
      </c>
      <c r="U1069" t="str">
        <f t="shared" si="816"/>
        <v>弓兵</v>
      </c>
      <c r="V1069" t="s">
        <v>4553</v>
      </c>
      <c r="W1069">
        <f>属性类型!G1069</f>
        <v>123</v>
      </c>
      <c r="X1069">
        <v>1</v>
      </c>
    </row>
    <row r="1070" customFormat="1" ht="16.5" spans="1:24">
      <c r="A1070" s="17">
        <f t="shared" si="863"/>
        <v>31105</v>
      </c>
      <c r="B1070" s="17">
        <f t="shared" si="851"/>
        <v>31100</v>
      </c>
      <c r="C1070" s="17" t="str">
        <f t="shared" si="852"/>
        <v>3</v>
      </c>
      <c r="D1070" s="17">
        <f t="shared" si="853"/>
        <v>30002</v>
      </c>
      <c r="E1070" s="17">
        <v>1</v>
      </c>
      <c r="F1070" s="17">
        <f t="shared" si="832"/>
        <v>2</v>
      </c>
      <c r="G1070" s="17" t="str">
        <f t="shared" si="864"/>
        <v>中级防御</v>
      </c>
      <c r="H1070" s="17" t="str">
        <f t="shared" si="865"/>
        <v>icon_02</v>
      </c>
      <c r="I1070" s="20">
        <v>0</v>
      </c>
      <c r="J1070" s="17">
        <v>5</v>
      </c>
      <c r="K1070" s="17">
        <f t="shared" si="862"/>
        <v>31106</v>
      </c>
      <c r="L1070" s="17" t="s">
        <v>312</v>
      </c>
      <c r="M1070" s="17" t="str">
        <f t="shared" si="866"/>
        <v>1:11000:5</v>
      </c>
      <c r="N1070" s="16" t="str">
        <f t="shared" si="826"/>
        <v>123:1</v>
      </c>
      <c r="O1070" s="17">
        <f t="shared" si="833"/>
        <v>2</v>
      </c>
      <c r="P1070" s="21" t="str">
        <f t="shared" si="861"/>
        <v>所有弓兵防御增加:1</v>
      </c>
      <c r="Q1070" s="21"/>
      <c r="R1070" t="str">
        <f t="shared" si="867"/>
        <v>防御</v>
      </c>
      <c r="T1070" t="str">
        <f t="shared" si="868"/>
        <v>:1</v>
      </c>
      <c r="U1070" t="str">
        <f t="shared" si="816"/>
        <v>弓兵</v>
      </c>
      <c r="V1070" t="s">
        <v>4553</v>
      </c>
      <c r="W1070">
        <f>属性类型!G1070</f>
        <v>123</v>
      </c>
      <c r="X1070">
        <v>1</v>
      </c>
    </row>
    <row r="1071" customFormat="1" ht="16.5" spans="1:24">
      <c r="A1071" s="17">
        <f t="shared" si="863"/>
        <v>31106</v>
      </c>
      <c r="B1071" s="17">
        <f t="shared" si="851"/>
        <v>31100</v>
      </c>
      <c r="C1071" s="17" t="str">
        <f t="shared" si="852"/>
        <v>3</v>
      </c>
      <c r="D1071" s="17">
        <f t="shared" si="853"/>
        <v>30002</v>
      </c>
      <c r="E1071" s="17">
        <v>1</v>
      </c>
      <c r="F1071" s="17">
        <f t="shared" si="832"/>
        <v>2</v>
      </c>
      <c r="G1071" s="17" t="str">
        <f t="shared" si="864"/>
        <v>中级防御</v>
      </c>
      <c r="H1071" s="17" t="str">
        <f t="shared" si="865"/>
        <v>icon_02</v>
      </c>
      <c r="I1071" s="20">
        <v>0</v>
      </c>
      <c r="J1071" s="17">
        <v>6</v>
      </c>
      <c r="K1071" s="17">
        <f t="shared" si="862"/>
        <v>31107</v>
      </c>
      <c r="L1071" s="17" t="s">
        <v>315</v>
      </c>
      <c r="M1071" s="17" t="str">
        <f t="shared" si="866"/>
        <v>1:11000:5</v>
      </c>
      <c r="N1071" s="16" t="str">
        <f t="shared" si="826"/>
        <v>123:1</v>
      </c>
      <c r="O1071" s="17">
        <f t="shared" si="833"/>
        <v>2</v>
      </c>
      <c r="P1071" s="21" t="str">
        <f t="shared" si="861"/>
        <v>所有弓兵防御增加:1</v>
      </c>
      <c r="Q1071" s="21"/>
      <c r="R1071" t="str">
        <f t="shared" si="867"/>
        <v>防御</v>
      </c>
      <c r="T1071" t="str">
        <f t="shared" si="868"/>
        <v>:1</v>
      </c>
      <c r="U1071" t="str">
        <f t="shared" si="816"/>
        <v>弓兵</v>
      </c>
      <c r="V1071" t="s">
        <v>4553</v>
      </c>
      <c r="W1071">
        <f>属性类型!G1071</f>
        <v>123</v>
      </c>
      <c r="X1071">
        <v>1</v>
      </c>
    </row>
    <row r="1072" customFormat="1" ht="16.5" spans="1:24">
      <c r="A1072" s="17">
        <f t="shared" si="863"/>
        <v>31107</v>
      </c>
      <c r="B1072" s="17">
        <f t="shared" si="851"/>
        <v>31100</v>
      </c>
      <c r="C1072" s="17" t="str">
        <f t="shared" si="852"/>
        <v>3</v>
      </c>
      <c r="D1072" s="17">
        <f t="shared" si="853"/>
        <v>30002</v>
      </c>
      <c r="E1072" s="17">
        <v>1</v>
      </c>
      <c r="F1072" s="17">
        <f t="shared" si="832"/>
        <v>2</v>
      </c>
      <c r="G1072" s="17" t="str">
        <f t="shared" si="864"/>
        <v>中级防御</v>
      </c>
      <c r="H1072" s="17" t="str">
        <f t="shared" si="865"/>
        <v>icon_02</v>
      </c>
      <c r="I1072" s="20">
        <v>0</v>
      </c>
      <c r="J1072" s="17">
        <v>7</v>
      </c>
      <c r="K1072" s="17">
        <f t="shared" si="862"/>
        <v>31108</v>
      </c>
      <c r="L1072" s="17" t="s">
        <v>317</v>
      </c>
      <c r="M1072" s="17" t="str">
        <f t="shared" si="866"/>
        <v>1:11000:5</v>
      </c>
      <c r="N1072" s="16" t="str">
        <f t="shared" si="826"/>
        <v>123:1</v>
      </c>
      <c r="O1072" s="17">
        <f t="shared" si="833"/>
        <v>2</v>
      </c>
      <c r="P1072" s="21" t="str">
        <f t="shared" si="861"/>
        <v>所有弓兵防御增加:1</v>
      </c>
      <c r="Q1072" s="21"/>
      <c r="R1072" t="str">
        <f t="shared" si="867"/>
        <v>防御</v>
      </c>
      <c r="T1072" t="str">
        <f t="shared" si="868"/>
        <v>:1</v>
      </c>
      <c r="U1072" t="str">
        <f t="shared" si="816"/>
        <v>弓兵</v>
      </c>
      <c r="V1072" t="s">
        <v>4553</v>
      </c>
      <c r="W1072">
        <f>属性类型!G1072</f>
        <v>123</v>
      </c>
      <c r="X1072">
        <v>1</v>
      </c>
    </row>
    <row r="1073" customFormat="1" ht="16.5" spans="1:24">
      <c r="A1073" s="17">
        <f t="shared" si="863"/>
        <v>31108</v>
      </c>
      <c r="B1073" s="17">
        <f t="shared" si="851"/>
        <v>31100</v>
      </c>
      <c r="C1073" s="17" t="str">
        <f t="shared" si="852"/>
        <v>3</v>
      </c>
      <c r="D1073" s="17">
        <f t="shared" si="853"/>
        <v>30002</v>
      </c>
      <c r="E1073" s="17">
        <v>1</v>
      </c>
      <c r="F1073" s="17">
        <f t="shared" si="832"/>
        <v>2</v>
      </c>
      <c r="G1073" s="17" t="str">
        <f t="shared" si="864"/>
        <v>中级防御</v>
      </c>
      <c r="H1073" s="17" t="str">
        <f t="shared" si="865"/>
        <v>icon_02</v>
      </c>
      <c r="I1073" s="20">
        <v>0</v>
      </c>
      <c r="J1073" s="17">
        <v>8</v>
      </c>
      <c r="K1073" s="17">
        <f t="shared" si="862"/>
        <v>31109</v>
      </c>
      <c r="L1073" s="17" t="s">
        <v>320</v>
      </c>
      <c r="M1073" s="17" t="str">
        <f t="shared" si="866"/>
        <v>1:11000:5</v>
      </c>
      <c r="N1073" s="16" t="str">
        <f t="shared" si="826"/>
        <v>123:1</v>
      </c>
      <c r="O1073" s="17">
        <f t="shared" si="833"/>
        <v>2</v>
      </c>
      <c r="P1073" s="21" t="str">
        <f t="shared" si="861"/>
        <v>所有弓兵防御增加:1</v>
      </c>
      <c r="Q1073" s="21"/>
      <c r="R1073" t="str">
        <f t="shared" si="867"/>
        <v>防御</v>
      </c>
      <c r="T1073" t="str">
        <f t="shared" si="868"/>
        <v>:1</v>
      </c>
      <c r="U1073" t="str">
        <f t="shared" si="816"/>
        <v>弓兵</v>
      </c>
      <c r="V1073" t="s">
        <v>4553</v>
      </c>
      <c r="W1073">
        <f>属性类型!G1073</f>
        <v>123</v>
      </c>
      <c r="X1073">
        <v>1</v>
      </c>
    </row>
    <row r="1074" customFormat="1" ht="16.5" spans="1:24">
      <c r="A1074" s="17">
        <f t="shared" si="863"/>
        <v>31109</v>
      </c>
      <c r="B1074" s="17">
        <f t="shared" si="851"/>
        <v>31100</v>
      </c>
      <c r="C1074" s="17" t="str">
        <f t="shared" si="852"/>
        <v>3</v>
      </c>
      <c r="D1074" s="17">
        <f t="shared" si="853"/>
        <v>30002</v>
      </c>
      <c r="E1074" s="17">
        <v>1</v>
      </c>
      <c r="F1074" s="17">
        <f t="shared" si="832"/>
        <v>2</v>
      </c>
      <c r="G1074" s="17" t="str">
        <f t="shared" si="864"/>
        <v>中级防御</v>
      </c>
      <c r="H1074" s="17" t="str">
        <f t="shared" si="865"/>
        <v>icon_02</v>
      </c>
      <c r="I1074" s="20">
        <v>0</v>
      </c>
      <c r="J1074" s="17">
        <v>9</v>
      </c>
      <c r="K1074" s="17">
        <f t="shared" si="862"/>
        <v>31110</v>
      </c>
      <c r="L1074" s="17" t="s">
        <v>323</v>
      </c>
      <c r="M1074" s="17" t="str">
        <f t="shared" si="866"/>
        <v>1:11000:5</v>
      </c>
      <c r="N1074" s="16" t="str">
        <f t="shared" si="826"/>
        <v>123:1</v>
      </c>
      <c r="O1074" s="17">
        <f t="shared" si="833"/>
        <v>2</v>
      </c>
      <c r="P1074" s="21" t="str">
        <f t="shared" si="861"/>
        <v>所有弓兵防御增加:1</v>
      </c>
      <c r="Q1074" s="21"/>
      <c r="R1074" t="str">
        <f t="shared" si="867"/>
        <v>防御</v>
      </c>
      <c r="T1074" t="str">
        <f t="shared" si="868"/>
        <v>:1</v>
      </c>
      <c r="U1074" t="str">
        <f t="shared" si="816"/>
        <v>弓兵</v>
      </c>
      <c r="V1074" t="s">
        <v>4553</v>
      </c>
      <c r="W1074">
        <f>属性类型!G1074</f>
        <v>123</v>
      </c>
      <c r="X1074">
        <v>1</v>
      </c>
    </row>
    <row r="1075" customFormat="1" ht="16.5" spans="1:24">
      <c r="A1075" s="17">
        <f t="shared" si="863"/>
        <v>31110</v>
      </c>
      <c r="B1075" s="17">
        <f t="shared" si="851"/>
        <v>31100</v>
      </c>
      <c r="C1075" s="17" t="str">
        <f t="shared" si="852"/>
        <v>3</v>
      </c>
      <c r="D1075" s="17">
        <f t="shared" si="853"/>
        <v>30002</v>
      </c>
      <c r="E1075" s="17">
        <v>1</v>
      </c>
      <c r="F1075" s="17">
        <f t="shared" si="832"/>
        <v>2</v>
      </c>
      <c r="G1075" s="17" t="str">
        <f t="shared" si="864"/>
        <v>中级防御</v>
      </c>
      <c r="H1075" s="17" t="str">
        <f t="shared" si="865"/>
        <v>icon_02</v>
      </c>
      <c r="I1075" s="20">
        <v>0</v>
      </c>
      <c r="J1075" s="17">
        <v>10</v>
      </c>
      <c r="K1075" s="17">
        <v>0</v>
      </c>
      <c r="L1075" s="17">
        <v>0</v>
      </c>
      <c r="M1075" s="17" t="str">
        <f t="shared" si="866"/>
        <v>1:11000:5</v>
      </c>
      <c r="N1075" s="16" t="str">
        <f t="shared" si="826"/>
        <v>123:1</v>
      </c>
      <c r="O1075" s="17">
        <f t="shared" si="833"/>
        <v>2</v>
      </c>
      <c r="P1075" s="21" t="str">
        <f t="shared" si="861"/>
        <v>所有弓兵防御增加:1</v>
      </c>
      <c r="Q1075" s="21"/>
      <c r="R1075" t="str">
        <f t="shared" si="867"/>
        <v>防御</v>
      </c>
      <c r="T1075" t="str">
        <f t="shared" si="868"/>
        <v>:1</v>
      </c>
      <c r="U1075" t="str">
        <f t="shared" si="816"/>
        <v>弓兵</v>
      </c>
      <c r="V1075" t="s">
        <v>4553</v>
      </c>
      <c r="W1075">
        <f>属性类型!G1075</f>
        <v>123</v>
      </c>
      <c r="X1075">
        <v>1</v>
      </c>
    </row>
    <row r="1076" customFormat="1" ht="16.5" spans="1:24">
      <c r="A1076" s="18">
        <f>A1065+100</f>
        <v>31200</v>
      </c>
      <c r="B1076" s="18">
        <f t="shared" si="851"/>
        <v>31200</v>
      </c>
      <c r="C1076" s="18" t="str">
        <f t="shared" si="852"/>
        <v>3</v>
      </c>
      <c r="D1076" s="17">
        <f t="shared" si="853"/>
        <v>30002</v>
      </c>
      <c r="E1076" s="17">
        <v>1</v>
      </c>
      <c r="F1076" s="18">
        <f t="shared" si="832"/>
        <v>2</v>
      </c>
      <c r="G1076" s="18" t="s">
        <v>350</v>
      </c>
      <c r="H1076" s="18" t="s">
        <v>80</v>
      </c>
      <c r="I1076" s="20">
        <v>0</v>
      </c>
      <c r="J1076" s="18">
        <v>0</v>
      </c>
      <c r="K1076" s="18">
        <f t="shared" ref="K1076:K1085" si="869">A1077</f>
        <v>31201</v>
      </c>
      <c r="L1076" s="18" t="s">
        <v>297</v>
      </c>
      <c r="M1076" s="18" t="s">
        <v>329</v>
      </c>
      <c r="N1076" s="16" t="str">
        <f t="shared" si="826"/>
        <v>122:1</v>
      </c>
      <c r="O1076" s="18">
        <f t="shared" si="833"/>
        <v>3</v>
      </c>
      <c r="P1076" s="21" t="str">
        <f t="shared" si="861"/>
        <v>所有弓兵攻击增加1</v>
      </c>
      <c r="Q1076" s="21"/>
      <c r="R1076" t="s">
        <v>4274</v>
      </c>
      <c r="T1076" t="str">
        <f>RIGHT(N1076,1)</f>
        <v>1</v>
      </c>
      <c r="U1076" t="str">
        <f t="shared" si="816"/>
        <v>弓兵</v>
      </c>
      <c r="V1076" t="s">
        <v>4554</v>
      </c>
      <c r="W1076">
        <f>属性类型!G1076</f>
        <v>122</v>
      </c>
      <c r="X1076">
        <v>1</v>
      </c>
    </row>
    <row r="1077" customFormat="1" ht="16.5" spans="1:24">
      <c r="A1077" s="17">
        <f t="shared" ref="A1077:A1086" si="870">A1076+1</f>
        <v>31201</v>
      </c>
      <c r="B1077" s="17">
        <f t="shared" si="851"/>
        <v>31200</v>
      </c>
      <c r="C1077" s="17" t="str">
        <f t="shared" si="852"/>
        <v>3</v>
      </c>
      <c r="D1077" s="17">
        <f t="shared" si="853"/>
        <v>30002</v>
      </c>
      <c r="E1077" s="17">
        <v>1</v>
      </c>
      <c r="F1077" s="17">
        <f t="shared" si="832"/>
        <v>2</v>
      </c>
      <c r="G1077" s="17" t="str">
        <f t="shared" ref="G1077:G1086" si="871">G1076</f>
        <v>中级攻击</v>
      </c>
      <c r="H1077" s="17" t="str">
        <f t="shared" ref="H1077:H1086" si="872">H1076</f>
        <v>icon_03</v>
      </c>
      <c r="I1077" s="20">
        <v>0</v>
      </c>
      <c r="J1077" s="17">
        <v>1</v>
      </c>
      <c r="K1077" s="17">
        <f t="shared" si="869"/>
        <v>31202</v>
      </c>
      <c r="L1077" s="17" t="s">
        <v>300</v>
      </c>
      <c r="M1077" s="17" t="str">
        <f t="shared" ref="M1077:M1086" si="873">M1076</f>
        <v>1:11000:5</v>
      </c>
      <c r="N1077" s="16" t="str">
        <f t="shared" si="826"/>
        <v>122:1</v>
      </c>
      <c r="O1077" s="17">
        <f t="shared" si="833"/>
        <v>3</v>
      </c>
      <c r="P1077" s="21" t="str">
        <f t="shared" si="861"/>
        <v>所有弓兵攻击增加:1</v>
      </c>
      <c r="Q1077" s="21"/>
      <c r="R1077" t="str">
        <f t="shared" ref="R1077:R1086" si="874">R1076</f>
        <v>攻击</v>
      </c>
      <c r="T1077" t="str">
        <f t="shared" ref="T1077:T1086" si="875">RIGHT(N1077,2)</f>
        <v>:1</v>
      </c>
      <c r="U1077" t="str">
        <f t="shared" si="816"/>
        <v>弓兵</v>
      </c>
      <c r="V1077" t="s">
        <v>4554</v>
      </c>
      <c r="W1077">
        <f>属性类型!G1077</f>
        <v>122</v>
      </c>
      <c r="X1077">
        <v>1</v>
      </c>
    </row>
    <row r="1078" customFormat="1" ht="16.5" spans="1:24">
      <c r="A1078" s="17">
        <f t="shared" si="870"/>
        <v>31202</v>
      </c>
      <c r="B1078" s="17">
        <f t="shared" si="851"/>
        <v>31200</v>
      </c>
      <c r="C1078" s="17" t="str">
        <f t="shared" si="852"/>
        <v>3</v>
      </c>
      <c r="D1078" s="17">
        <f t="shared" si="853"/>
        <v>30002</v>
      </c>
      <c r="E1078" s="17">
        <v>1</v>
      </c>
      <c r="F1078" s="17">
        <f t="shared" si="832"/>
        <v>2</v>
      </c>
      <c r="G1078" s="17" t="str">
        <f t="shared" si="871"/>
        <v>中级攻击</v>
      </c>
      <c r="H1078" s="17" t="str">
        <f t="shared" si="872"/>
        <v>icon_03</v>
      </c>
      <c r="I1078" s="20">
        <v>0</v>
      </c>
      <c r="J1078" s="17">
        <v>2</v>
      </c>
      <c r="K1078" s="17">
        <f t="shared" si="869"/>
        <v>31203</v>
      </c>
      <c r="L1078" s="17" t="s">
        <v>304</v>
      </c>
      <c r="M1078" s="17" t="str">
        <f t="shared" si="873"/>
        <v>1:11000:5</v>
      </c>
      <c r="N1078" s="16" t="str">
        <f t="shared" si="826"/>
        <v>122:1</v>
      </c>
      <c r="O1078" s="17">
        <f t="shared" si="833"/>
        <v>3</v>
      </c>
      <c r="P1078" s="21" t="str">
        <f t="shared" si="861"/>
        <v>所有弓兵攻击增加:1</v>
      </c>
      <c r="Q1078" s="21"/>
      <c r="R1078" t="str">
        <f t="shared" si="874"/>
        <v>攻击</v>
      </c>
      <c r="T1078" t="str">
        <f t="shared" si="875"/>
        <v>:1</v>
      </c>
      <c r="U1078" t="str">
        <f t="shared" si="816"/>
        <v>弓兵</v>
      </c>
      <c r="V1078" t="s">
        <v>4554</v>
      </c>
      <c r="W1078">
        <f>属性类型!G1078</f>
        <v>122</v>
      </c>
      <c r="X1078">
        <v>1</v>
      </c>
    </row>
    <row r="1079" customFormat="1" ht="16.5" spans="1:24">
      <c r="A1079" s="17">
        <f t="shared" si="870"/>
        <v>31203</v>
      </c>
      <c r="B1079" s="17">
        <f t="shared" si="851"/>
        <v>31200</v>
      </c>
      <c r="C1079" s="17" t="str">
        <f t="shared" si="852"/>
        <v>3</v>
      </c>
      <c r="D1079" s="17">
        <f t="shared" si="853"/>
        <v>30002</v>
      </c>
      <c r="E1079" s="17">
        <v>1</v>
      </c>
      <c r="F1079" s="17">
        <f t="shared" si="832"/>
        <v>2</v>
      </c>
      <c r="G1079" s="17" t="str">
        <f t="shared" si="871"/>
        <v>中级攻击</v>
      </c>
      <c r="H1079" s="17" t="str">
        <f t="shared" si="872"/>
        <v>icon_03</v>
      </c>
      <c r="I1079" s="20">
        <v>0</v>
      </c>
      <c r="J1079" s="17">
        <v>3</v>
      </c>
      <c r="K1079" s="17">
        <f t="shared" si="869"/>
        <v>31204</v>
      </c>
      <c r="L1079" s="17" t="s">
        <v>307</v>
      </c>
      <c r="M1079" s="17" t="str">
        <f t="shared" si="873"/>
        <v>1:11000:5</v>
      </c>
      <c r="N1079" s="16" t="str">
        <f t="shared" si="826"/>
        <v>122:1</v>
      </c>
      <c r="O1079" s="17">
        <f t="shared" si="833"/>
        <v>3</v>
      </c>
      <c r="P1079" s="21" t="str">
        <f t="shared" si="861"/>
        <v>所有弓兵攻击增加:1</v>
      </c>
      <c r="Q1079" s="21"/>
      <c r="R1079" t="str">
        <f t="shared" si="874"/>
        <v>攻击</v>
      </c>
      <c r="T1079" t="str">
        <f t="shared" si="875"/>
        <v>:1</v>
      </c>
      <c r="U1079" t="str">
        <f t="shared" si="816"/>
        <v>弓兵</v>
      </c>
      <c r="V1079" t="s">
        <v>4554</v>
      </c>
      <c r="W1079">
        <f>属性类型!G1079</f>
        <v>122</v>
      </c>
      <c r="X1079">
        <v>1</v>
      </c>
    </row>
    <row r="1080" customFormat="1" ht="16.5" spans="1:24">
      <c r="A1080" s="17">
        <f t="shared" si="870"/>
        <v>31204</v>
      </c>
      <c r="B1080" s="17">
        <f t="shared" si="851"/>
        <v>31200</v>
      </c>
      <c r="C1080" s="17" t="str">
        <f t="shared" si="852"/>
        <v>3</v>
      </c>
      <c r="D1080" s="17">
        <f t="shared" si="853"/>
        <v>30002</v>
      </c>
      <c r="E1080" s="17">
        <v>1</v>
      </c>
      <c r="F1080" s="17">
        <f t="shared" si="832"/>
        <v>2</v>
      </c>
      <c r="G1080" s="17" t="str">
        <f t="shared" si="871"/>
        <v>中级攻击</v>
      </c>
      <c r="H1080" s="17" t="str">
        <f t="shared" si="872"/>
        <v>icon_03</v>
      </c>
      <c r="I1080" s="20">
        <v>0</v>
      </c>
      <c r="J1080" s="17">
        <v>4</v>
      </c>
      <c r="K1080" s="17">
        <f t="shared" si="869"/>
        <v>31205</v>
      </c>
      <c r="L1080" s="17" t="s">
        <v>309</v>
      </c>
      <c r="M1080" s="17" t="str">
        <f t="shared" si="873"/>
        <v>1:11000:5</v>
      </c>
      <c r="N1080" s="16" t="str">
        <f t="shared" si="826"/>
        <v>122:1</v>
      </c>
      <c r="O1080" s="17">
        <f t="shared" si="833"/>
        <v>3</v>
      </c>
      <c r="P1080" s="21" t="str">
        <f t="shared" si="861"/>
        <v>所有弓兵攻击增加:1</v>
      </c>
      <c r="Q1080" s="21"/>
      <c r="R1080" t="str">
        <f t="shared" si="874"/>
        <v>攻击</v>
      </c>
      <c r="T1080" t="str">
        <f t="shared" si="875"/>
        <v>:1</v>
      </c>
      <c r="U1080" t="str">
        <f t="shared" si="816"/>
        <v>弓兵</v>
      </c>
      <c r="V1080" t="s">
        <v>4554</v>
      </c>
      <c r="W1080">
        <f>属性类型!G1080</f>
        <v>122</v>
      </c>
      <c r="X1080">
        <v>1</v>
      </c>
    </row>
    <row r="1081" customFormat="1" ht="16.5" spans="1:24">
      <c r="A1081" s="17">
        <f t="shared" si="870"/>
        <v>31205</v>
      </c>
      <c r="B1081" s="17">
        <f t="shared" si="851"/>
        <v>31200</v>
      </c>
      <c r="C1081" s="17" t="str">
        <f t="shared" si="852"/>
        <v>3</v>
      </c>
      <c r="D1081" s="17">
        <f t="shared" si="853"/>
        <v>30002</v>
      </c>
      <c r="E1081" s="17">
        <v>1</v>
      </c>
      <c r="F1081" s="17">
        <f t="shared" si="832"/>
        <v>2</v>
      </c>
      <c r="G1081" s="17" t="str">
        <f t="shared" si="871"/>
        <v>中级攻击</v>
      </c>
      <c r="H1081" s="17" t="str">
        <f t="shared" si="872"/>
        <v>icon_03</v>
      </c>
      <c r="I1081" s="20">
        <v>0</v>
      </c>
      <c r="J1081" s="17">
        <v>5</v>
      </c>
      <c r="K1081" s="17">
        <f t="shared" si="869"/>
        <v>31206</v>
      </c>
      <c r="L1081" s="17" t="s">
        <v>312</v>
      </c>
      <c r="M1081" s="17" t="str">
        <f t="shared" si="873"/>
        <v>1:11000:5</v>
      </c>
      <c r="N1081" s="16" t="str">
        <f t="shared" si="826"/>
        <v>122:1</v>
      </c>
      <c r="O1081" s="17">
        <f t="shared" si="833"/>
        <v>3</v>
      </c>
      <c r="P1081" s="21" t="str">
        <f t="shared" si="861"/>
        <v>所有弓兵攻击增加:1</v>
      </c>
      <c r="Q1081" s="21"/>
      <c r="R1081" t="str">
        <f t="shared" si="874"/>
        <v>攻击</v>
      </c>
      <c r="T1081" t="str">
        <f t="shared" si="875"/>
        <v>:1</v>
      </c>
      <c r="U1081" t="str">
        <f t="shared" si="816"/>
        <v>弓兵</v>
      </c>
      <c r="V1081" t="s">
        <v>4554</v>
      </c>
      <c r="W1081">
        <f>属性类型!G1081</f>
        <v>122</v>
      </c>
      <c r="X1081">
        <v>1</v>
      </c>
    </row>
    <row r="1082" customFormat="1" ht="16.5" spans="1:24">
      <c r="A1082" s="17">
        <f t="shared" si="870"/>
        <v>31206</v>
      </c>
      <c r="B1082" s="17">
        <f t="shared" si="851"/>
        <v>31200</v>
      </c>
      <c r="C1082" s="17" t="str">
        <f t="shared" si="852"/>
        <v>3</v>
      </c>
      <c r="D1082" s="17">
        <f t="shared" si="853"/>
        <v>30002</v>
      </c>
      <c r="E1082" s="17">
        <v>1</v>
      </c>
      <c r="F1082" s="17">
        <f t="shared" si="832"/>
        <v>2</v>
      </c>
      <c r="G1082" s="17" t="str">
        <f t="shared" si="871"/>
        <v>中级攻击</v>
      </c>
      <c r="H1082" s="17" t="str">
        <f t="shared" si="872"/>
        <v>icon_03</v>
      </c>
      <c r="I1082" s="20">
        <v>0</v>
      </c>
      <c r="J1082" s="17">
        <v>6</v>
      </c>
      <c r="K1082" s="17">
        <f t="shared" si="869"/>
        <v>31207</v>
      </c>
      <c r="L1082" s="17" t="s">
        <v>315</v>
      </c>
      <c r="M1082" s="17" t="str">
        <f t="shared" si="873"/>
        <v>1:11000:5</v>
      </c>
      <c r="N1082" s="16" t="str">
        <f t="shared" si="826"/>
        <v>122:1</v>
      </c>
      <c r="O1082" s="17">
        <f t="shared" si="833"/>
        <v>3</v>
      </c>
      <c r="P1082" s="21" t="str">
        <f t="shared" si="861"/>
        <v>所有弓兵攻击增加:1</v>
      </c>
      <c r="Q1082" s="21"/>
      <c r="R1082" t="str">
        <f t="shared" si="874"/>
        <v>攻击</v>
      </c>
      <c r="T1082" t="str">
        <f t="shared" si="875"/>
        <v>:1</v>
      </c>
      <c r="U1082" t="str">
        <f t="shared" si="816"/>
        <v>弓兵</v>
      </c>
      <c r="V1082" t="s">
        <v>4554</v>
      </c>
      <c r="W1082">
        <f>属性类型!G1082</f>
        <v>122</v>
      </c>
      <c r="X1082">
        <v>1</v>
      </c>
    </row>
    <row r="1083" customFormat="1" ht="16.5" spans="1:24">
      <c r="A1083" s="17">
        <f t="shared" si="870"/>
        <v>31207</v>
      </c>
      <c r="B1083" s="17">
        <f t="shared" si="851"/>
        <v>31200</v>
      </c>
      <c r="C1083" s="17" t="str">
        <f t="shared" si="852"/>
        <v>3</v>
      </c>
      <c r="D1083" s="17">
        <f t="shared" si="853"/>
        <v>30002</v>
      </c>
      <c r="E1083" s="17">
        <v>1</v>
      </c>
      <c r="F1083" s="17">
        <f t="shared" si="832"/>
        <v>2</v>
      </c>
      <c r="G1083" s="17" t="str">
        <f t="shared" si="871"/>
        <v>中级攻击</v>
      </c>
      <c r="H1083" s="17" t="str">
        <f t="shared" si="872"/>
        <v>icon_03</v>
      </c>
      <c r="I1083" s="20">
        <v>0</v>
      </c>
      <c r="J1083" s="17">
        <v>7</v>
      </c>
      <c r="K1083" s="17">
        <f t="shared" si="869"/>
        <v>31208</v>
      </c>
      <c r="L1083" s="17" t="s">
        <v>317</v>
      </c>
      <c r="M1083" s="17" t="str">
        <f t="shared" si="873"/>
        <v>1:11000:5</v>
      </c>
      <c r="N1083" s="16" t="str">
        <f t="shared" si="826"/>
        <v>122:1</v>
      </c>
      <c r="O1083" s="17">
        <f t="shared" si="833"/>
        <v>3</v>
      </c>
      <c r="P1083" s="21" t="str">
        <f t="shared" si="861"/>
        <v>所有弓兵攻击增加:1</v>
      </c>
      <c r="Q1083" s="21"/>
      <c r="R1083" t="str">
        <f t="shared" si="874"/>
        <v>攻击</v>
      </c>
      <c r="T1083" t="str">
        <f t="shared" si="875"/>
        <v>:1</v>
      </c>
      <c r="U1083" t="str">
        <f t="shared" si="816"/>
        <v>弓兵</v>
      </c>
      <c r="V1083" t="s">
        <v>4554</v>
      </c>
      <c r="W1083">
        <f>属性类型!G1083</f>
        <v>122</v>
      </c>
      <c r="X1083">
        <v>1</v>
      </c>
    </row>
    <row r="1084" customFormat="1" ht="16.5" spans="1:24">
      <c r="A1084" s="17">
        <f t="shared" si="870"/>
        <v>31208</v>
      </c>
      <c r="B1084" s="17">
        <f t="shared" si="851"/>
        <v>31200</v>
      </c>
      <c r="C1084" s="17" t="str">
        <f t="shared" si="852"/>
        <v>3</v>
      </c>
      <c r="D1084" s="17">
        <f t="shared" si="853"/>
        <v>30002</v>
      </c>
      <c r="E1084" s="17">
        <v>1</v>
      </c>
      <c r="F1084" s="17">
        <f t="shared" si="832"/>
        <v>2</v>
      </c>
      <c r="G1084" s="17" t="str">
        <f t="shared" si="871"/>
        <v>中级攻击</v>
      </c>
      <c r="H1084" s="17" t="str">
        <f t="shared" si="872"/>
        <v>icon_03</v>
      </c>
      <c r="I1084" s="20">
        <v>0</v>
      </c>
      <c r="J1084" s="17">
        <v>8</v>
      </c>
      <c r="K1084" s="17">
        <f t="shared" si="869"/>
        <v>31209</v>
      </c>
      <c r="L1084" s="17" t="s">
        <v>320</v>
      </c>
      <c r="M1084" s="17" t="str">
        <f t="shared" si="873"/>
        <v>1:11000:5</v>
      </c>
      <c r="N1084" s="16" t="str">
        <f t="shared" si="826"/>
        <v>122:1</v>
      </c>
      <c r="O1084" s="17">
        <f t="shared" si="833"/>
        <v>3</v>
      </c>
      <c r="P1084" s="21" t="str">
        <f t="shared" si="861"/>
        <v>所有弓兵攻击增加:1</v>
      </c>
      <c r="Q1084" s="21"/>
      <c r="R1084" t="str">
        <f t="shared" si="874"/>
        <v>攻击</v>
      </c>
      <c r="T1084" t="str">
        <f t="shared" si="875"/>
        <v>:1</v>
      </c>
      <c r="U1084" t="str">
        <f t="shared" si="816"/>
        <v>弓兵</v>
      </c>
      <c r="V1084" t="s">
        <v>4554</v>
      </c>
      <c r="W1084">
        <f>属性类型!G1084</f>
        <v>122</v>
      </c>
      <c r="X1084">
        <v>1</v>
      </c>
    </row>
    <row r="1085" customFormat="1" ht="16.5" spans="1:24">
      <c r="A1085" s="17">
        <f t="shared" si="870"/>
        <v>31209</v>
      </c>
      <c r="B1085" s="17">
        <f t="shared" si="851"/>
        <v>31200</v>
      </c>
      <c r="C1085" s="17" t="str">
        <f t="shared" si="852"/>
        <v>3</v>
      </c>
      <c r="D1085" s="17">
        <f t="shared" si="853"/>
        <v>30002</v>
      </c>
      <c r="E1085" s="17">
        <v>1</v>
      </c>
      <c r="F1085" s="17">
        <f t="shared" si="832"/>
        <v>2</v>
      </c>
      <c r="G1085" s="17" t="str">
        <f t="shared" si="871"/>
        <v>中级攻击</v>
      </c>
      <c r="H1085" s="17" t="str">
        <f t="shared" si="872"/>
        <v>icon_03</v>
      </c>
      <c r="I1085" s="20">
        <v>0</v>
      </c>
      <c r="J1085" s="17">
        <v>9</v>
      </c>
      <c r="K1085" s="17">
        <f t="shared" si="869"/>
        <v>31210</v>
      </c>
      <c r="L1085" s="17" t="s">
        <v>323</v>
      </c>
      <c r="M1085" s="17" t="str">
        <f t="shared" si="873"/>
        <v>1:11000:5</v>
      </c>
      <c r="N1085" s="16" t="str">
        <f t="shared" si="826"/>
        <v>122:1</v>
      </c>
      <c r="O1085" s="17">
        <f t="shared" si="833"/>
        <v>3</v>
      </c>
      <c r="P1085" s="21" t="str">
        <f t="shared" si="861"/>
        <v>所有弓兵攻击增加:1</v>
      </c>
      <c r="Q1085" s="21"/>
      <c r="R1085" t="str">
        <f t="shared" si="874"/>
        <v>攻击</v>
      </c>
      <c r="T1085" t="str">
        <f t="shared" si="875"/>
        <v>:1</v>
      </c>
      <c r="U1085" t="str">
        <f t="shared" si="816"/>
        <v>弓兵</v>
      </c>
      <c r="V1085" t="s">
        <v>4554</v>
      </c>
      <c r="W1085">
        <f>属性类型!G1085</f>
        <v>122</v>
      </c>
      <c r="X1085">
        <v>1</v>
      </c>
    </row>
    <row r="1086" customFormat="1" ht="16.5" spans="1:24">
      <c r="A1086" s="17">
        <f t="shared" si="870"/>
        <v>31210</v>
      </c>
      <c r="B1086" s="17">
        <f t="shared" si="851"/>
        <v>31200</v>
      </c>
      <c r="C1086" s="17" t="str">
        <f t="shared" si="852"/>
        <v>3</v>
      </c>
      <c r="D1086" s="17">
        <f t="shared" si="853"/>
        <v>30002</v>
      </c>
      <c r="E1086" s="17">
        <v>1</v>
      </c>
      <c r="F1086" s="17">
        <f t="shared" si="832"/>
        <v>2</v>
      </c>
      <c r="G1086" s="17" t="str">
        <f t="shared" si="871"/>
        <v>中级攻击</v>
      </c>
      <c r="H1086" s="17" t="str">
        <f t="shared" si="872"/>
        <v>icon_03</v>
      </c>
      <c r="I1086" s="20">
        <v>0</v>
      </c>
      <c r="J1086" s="17">
        <v>10</v>
      </c>
      <c r="K1086" s="17">
        <v>0</v>
      </c>
      <c r="L1086" s="17">
        <v>0</v>
      </c>
      <c r="M1086" s="17" t="str">
        <f t="shared" si="873"/>
        <v>1:11000:5</v>
      </c>
      <c r="N1086" s="16" t="str">
        <f t="shared" si="826"/>
        <v>122:1</v>
      </c>
      <c r="O1086" s="17">
        <f t="shared" si="833"/>
        <v>3</v>
      </c>
      <c r="P1086" s="21" t="str">
        <f t="shared" si="861"/>
        <v>所有弓兵攻击增加:1</v>
      </c>
      <c r="Q1086" s="21"/>
      <c r="R1086" t="str">
        <f t="shared" si="874"/>
        <v>攻击</v>
      </c>
      <c r="T1086" t="str">
        <f t="shared" si="875"/>
        <v>:1</v>
      </c>
      <c r="U1086" t="str">
        <f t="shared" si="816"/>
        <v>弓兵</v>
      </c>
      <c r="V1086" t="s">
        <v>4554</v>
      </c>
      <c r="W1086">
        <f>属性类型!G1086</f>
        <v>122</v>
      </c>
      <c r="X1086">
        <v>1</v>
      </c>
    </row>
    <row r="1087" customFormat="1" ht="16.5" spans="1:24">
      <c r="A1087" s="18">
        <f>A1076+100</f>
        <v>31300</v>
      </c>
      <c r="B1087" s="18">
        <f t="shared" si="851"/>
        <v>31300</v>
      </c>
      <c r="C1087" s="18" t="str">
        <f t="shared" si="852"/>
        <v>3</v>
      </c>
      <c r="D1087" s="17">
        <f t="shared" si="853"/>
        <v>30002</v>
      </c>
      <c r="E1087" s="17">
        <v>1</v>
      </c>
      <c r="F1087" s="18">
        <f t="shared" si="832"/>
        <v>2</v>
      </c>
      <c r="G1087" s="18" t="s">
        <v>372</v>
      </c>
      <c r="H1087" s="18" t="s">
        <v>96</v>
      </c>
      <c r="I1087" s="20">
        <v>0</v>
      </c>
      <c r="J1087" s="18">
        <v>0</v>
      </c>
      <c r="K1087" s="18">
        <f t="shared" ref="K1087:K1096" si="876">A1088</f>
        <v>31301</v>
      </c>
      <c r="L1087" s="18" t="s">
        <v>297</v>
      </c>
      <c r="M1087" s="18" t="s">
        <v>329</v>
      </c>
      <c r="N1087" s="16" t="str">
        <f t="shared" si="826"/>
        <v>124:1</v>
      </c>
      <c r="O1087" s="18">
        <f t="shared" si="833"/>
        <v>4</v>
      </c>
      <c r="P1087" s="21" t="str">
        <f t="shared" si="861"/>
        <v>所有弓兵魔防增加1</v>
      </c>
      <c r="Q1087" s="21"/>
      <c r="R1087" t="s">
        <v>4276</v>
      </c>
      <c r="T1087" t="str">
        <f>RIGHT(N1087,1)</f>
        <v>1</v>
      </c>
      <c r="U1087" t="str">
        <f t="shared" si="816"/>
        <v>弓兵</v>
      </c>
      <c r="V1087" t="s">
        <v>4555</v>
      </c>
      <c r="W1087">
        <f>属性类型!G1087</f>
        <v>124</v>
      </c>
      <c r="X1087">
        <v>1</v>
      </c>
    </row>
    <row r="1088" customFormat="1" ht="16.5" spans="1:24">
      <c r="A1088" s="17">
        <f t="shared" ref="A1088:A1097" si="877">A1087+1</f>
        <v>31301</v>
      </c>
      <c r="B1088" s="17">
        <f t="shared" si="851"/>
        <v>31300</v>
      </c>
      <c r="C1088" s="17" t="str">
        <f t="shared" si="852"/>
        <v>3</v>
      </c>
      <c r="D1088" s="17">
        <f t="shared" si="853"/>
        <v>30002</v>
      </c>
      <c r="E1088" s="17">
        <v>1</v>
      </c>
      <c r="F1088" s="17">
        <f t="shared" si="832"/>
        <v>2</v>
      </c>
      <c r="G1088" s="17" t="str">
        <f t="shared" ref="G1088:G1097" si="878">G1087</f>
        <v>中级魔防</v>
      </c>
      <c r="H1088" s="17" t="str">
        <f t="shared" ref="H1088:H1097" si="879">H1087</f>
        <v>icon_04</v>
      </c>
      <c r="I1088" s="20">
        <v>0</v>
      </c>
      <c r="J1088" s="17">
        <v>1</v>
      </c>
      <c r="K1088" s="17">
        <f t="shared" si="876"/>
        <v>31302</v>
      </c>
      <c r="L1088" s="17" t="s">
        <v>300</v>
      </c>
      <c r="M1088" s="17" t="str">
        <f t="shared" ref="M1088:M1097" si="880">M1087</f>
        <v>1:11000:5</v>
      </c>
      <c r="N1088" s="16" t="str">
        <f t="shared" si="826"/>
        <v>124:1</v>
      </c>
      <c r="O1088" s="17">
        <f t="shared" si="833"/>
        <v>4</v>
      </c>
      <c r="P1088" s="21" t="str">
        <f t="shared" si="861"/>
        <v>所有弓兵魔防增加:1</v>
      </c>
      <c r="Q1088" s="21"/>
      <c r="R1088" t="str">
        <f t="shared" ref="R1088:R1097" si="881">R1087</f>
        <v>魔防</v>
      </c>
      <c r="T1088" t="str">
        <f t="shared" ref="T1088:T1097" si="882">RIGHT(N1088,2)</f>
        <v>:1</v>
      </c>
      <c r="U1088" t="str">
        <f t="shared" si="816"/>
        <v>弓兵</v>
      </c>
      <c r="V1088" t="s">
        <v>4555</v>
      </c>
      <c r="W1088">
        <f>属性类型!G1088</f>
        <v>124</v>
      </c>
      <c r="X1088">
        <v>1</v>
      </c>
    </row>
    <row r="1089" customFormat="1" ht="16.5" spans="1:24">
      <c r="A1089" s="17">
        <f t="shared" si="877"/>
        <v>31302</v>
      </c>
      <c r="B1089" s="17">
        <f t="shared" si="851"/>
        <v>31300</v>
      </c>
      <c r="C1089" s="17" t="str">
        <f t="shared" si="852"/>
        <v>3</v>
      </c>
      <c r="D1089" s="17">
        <f t="shared" si="853"/>
        <v>30002</v>
      </c>
      <c r="E1089" s="17">
        <v>1</v>
      </c>
      <c r="F1089" s="17">
        <f t="shared" si="832"/>
        <v>2</v>
      </c>
      <c r="G1089" s="17" t="str">
        <f t="shared" si="878"/>
        <v>中级魔防</v>
      </c>
      <c r="H1089" s="17" t="str">
        <f t="shared" si="879"/>
        <v>icon_04</v>
      </c>
      <c r="I1089" s="20">
        <v>0</v>
      </c>
      <c r="J1089" s="17">
        <v>2</v>
      </c>
      <c r="K1089" s="17">
        <f t="shared" si="876"/>
        <v>31303</v>
      </c>
      <c r="L1089" s="17" t="s">
        <v>304</v>
      </c>
      <c r="M1089" s="17" t="str">
        <f t="shared" si="880"/>
        <v>1:11000:5</v>
      </c>
      <c r="N1089" s="16" t="str">
        <f t="shared" si="826"/>
        <v>124:1</v>
      </c>
      <c r="O1089" s="17">
        <f t="shared" si="833"/>
        <v>4</v>
      </c>
      <c r="P1089" s="21" t="str">
        <f t="shared" si="861"/>
        <v>所有弓兵魔防增加:1</v>
      </c>
      <c r="Q1089" s="21"/>
      <c r="R1089" t="str">
        <f t="shared" si="881"/>
        <v>魔防</v>
      </c>
      <c r="T1089" t="str">
        <f t="shared" si="882"/>
        <v>:1</v>
      </c>
      <c r="U1089" t="str">
        <f t="shared" si="816"/>
        <v>弓兵</v>
      </c>
      <c r="V1089" t="s">
        <v>4555</v>
      </c>
      <c r="W1089">
        <f>属性类型!G1089</f>
        <v>124</v>
      </c>
      <c r="X1089">
        <v>1</v>
      </c>
    </row>
    <row r="1090" customFormat="1" ht="16.5" spans="1:24">
      <c r="A1090" s="17">
        <f t="shared" si="877"/>
        <v>31303</v>
      </c>
      <c r="B1090" s="17">
        <f t="shared" si="851"/>
        <v>31300</v>
      </c>
      <c r="C1090" s="17" t="str">
        <f t="shared" si="852"/>
        <v>3</v>
      </c>
      <c r="D1090" s="17">
        <f t="shared" si="853"/>
        <v>30002</v>
      </c>
      <c r="E1090" s="17">
        <v>1</v>
      </c>
      <c r="F1090" s="17">
        <f t="shared" si="832"/>
        <v>2</v>
      </c>
      <c r="G1090" s="17" t="str">
        <f t="shared" si="878"/>
        <v>中级魔防</v>
      </c>
      <c r="H1090" s="17" t="str">
        <f t="shared" si="879"/>
        <v>icon_04</v>
      </c>
      <c r="I1090" s="20">
        <v>0</v>
      </c>
      <c r="J1090" s="17">
        <v>3</v>
      </c>
      <c r="K1090" s="17">
        <f t="shared" si="876"/>
        <v>31304</v>
      </c>
      <c r="L1090" s="17" t="s">
        <v>307</v>
      </c>
      <c r="M1090" s="17" t="str">
        <f t="shared" si="880"/>
        <v>1:11000:5</v>
      </c>
      <c r="N1090" s="16" t="str">
        <f t="shared" si="826"/>
        <v>124:1</v>
      </c>
      <c r="O1090" s="17">
        <f t="shared" si="833"/>
        <v>4</v>
      </c>
      <c r="P1090" s="21" t="str">
        <f t="shared" si="861"/>
        <v>所有弓兵魔防增加:1</v>
      </c>
      <c r="Q1090" s="21"/>
      <c r="R1090" t="str">
        <f t="shared" si="881"/>
        <v>魔防</v>
      </c>
      <c r="T1090" t="str">
        <f t="shared" si="882"/>
        <v>:1</v>
      </c>
      <c r="U1090" t="str">
        <f t="shared" si="816"/>
        <v>弓兵</v>
      </c>
      <c r="V1090" t="s">
        <v>4555</v>
      </c>
      <c r="W1090">
        <f>属性类型!G1090</f>
        <v>124</v>
      </c>
      <c r="X1090">
        <v>1</v>
      </c>
    </row>
    <row r="1091" customFormat="1" ht="16.5" spans="1:24">
      <c r="A1091" s="17">
        <f t="shared" si="877"/>
        <v>31304</v>
      </c>
      <c r="B1091" s="17">
        <f t="shared" si="851"/>
        <v>31300</v>
      </c>
      <c r="C1091" s="17" t="str">
        <f t="shared" si="852"/>
        <v>3</v>
      </c>
      <c r="D1091" s="17">
        <f t="shared" si="853"/>
        <v>30002</v>
      </c>
      <c r="E1091" s="17">
        <v>1</v>
      </c>
      <c r="F1091" s="17">
        <f t="shared" si="832"/>
        <v>2</v>
      </c>
      <c r="G1091" s="17" t="str">
        <f t="shared" si="878"/>
        <v>中级魔防</v>
      </c>
      <c r="H1091" s="17" t="str">
        <f t="shared" si="879"/>
        <v>icon_04</v>
      </c>
      <c r="I1091" s="20">
        <v>0</v>
      </c>
      <c r="J1091" s="17">
        <v>4</v>
      </c>
      <c r="K1091" s="17">
        <f t="shared" si="876"/>
        <v>31305</v>
      </c>
      <c r="L1091" s="17" t="s">
        <v>309</v>
      </c>
      <c r="M1091" s="17" t="str">
        <f t="shared" si="880"/>
        <v>1:11000:5</v>
      </c>
      <c r="N1091" s="16" t="str">
        <f t="shared" si="826"/>
        <v>124:1</v>
      </c>
      <c r="O1091" s="17">
        <f t="shared" si="833"/>
        <v>4</v>
      </c>
      <c r="P1091" s="21" t="str">
        <f t="shared" si="861"/>
        <v>所有弓兵魔防增加:1</v>
      </c>
      <c r="Q1091" s="21"/>
      <c r="R1091" t="str">
        <f t="shared" si="881"/>
        <v>魔防</v>
      </c>
      <c r="T1091" t="str">
        <f t="shared" si="882"/>
        <v>:1</v>
      </c>
      <c r="U1091" t="str">
        <f t="shared" si="816"/>
        <v>弓兵</v>
      </c>
      <c r="V1091" t="s">
        <v>4555</v>
      </c>
      <c r="W1091">
        <f>属性类型!G1091</f>
        <v>124</v>
      </c>
      <c r="X1091">
        <v>1</v>
      </c>
    </row>
    <row r="1092" customFormat="1" ht="16.5" spans="1:24">
      <c r="A1092" s="17">
        <f t="shared" si="877"/>
        <v>31305</v>
      </c>
      <c r="B1092" s="17">
        <f t="shared" si="851"/>
        <v>31300</v>
      </c>
      <c r="C1092" s="17" t="str">
        <f t="shared" si="852"/>
        <v>3</v>
      </c>
      <c r="D1092" s="17">
        <f t="shared" si="853"/>
        <v>30002</v>
      </c>
      <c r="E1092" s="17">
        <v>1</v>
      </c>
      <c r="F1092" s="17">
        <f t="shared" si="832"/>
        <v>2</v>
      </c>
      <c r="G1092" s="17" t="str">
        <f t="shared" si="878"/>
        <v>中级魔防</v>
      </c>
      <c r="H1092" s="17" t="str">
        <f t="shared" si="879"/>
        <v>icon_04</v>
      </c>
      <c r="I1092" s="20">
        <v>0</v>
      </c>
      <c r="J1092" s="17">
        <v>5</v>
      </c>
      <c r="K1092" s="17">
        <f t="shared" si="876"/>
        <v>31306</v>
      </c>
      <c r="L1092" s="17" t="s">
        <v>312</v>
      </c>
      <c r="M1092" s="17" t="str">
        <f t="shared" si="880"/>
        <v>1:11000:5</v>
      </c>
      <c r="N1092" s="16" t="str">
        <f t="shared" si="826"/>
        <v>124:1</v>
      </c>
      <c r="O1092" s="17">
        <f t="shared" si="833"/>
        <v>4</v>
      </c>
      <c r="P1092" s="21" t="str">
        <f t="shared" si="861"/>
        <v>所有弓兵魔防增加:1</v>
      </c>
      <c r="Q1092" s="21"/>
      <c r="R1092" t="str">
        <f t="shared" si="881"/>
        <v>魔防</v>
      </c>
      <c r="T1092" t="str">
        <f t="shared" si="882"/>
        <v>:1</v>
      </c>
      <c r="U1092" t="str">
        <f t="shared" si="816"/>
        <v>弓兵</v>
      </c>
      <c r="V1092" t="s">
        <v>4555</v>
      </c>
      <c r="W1092">
        <f>属性类型!G1092</f>
        <v>124</v>
      </c>
      <c r="X1092">
        <v>1</v>
      </c>
    </row>
    <row r="1093" customFormat="1" ht="16.5" spans="1:24">
      <c r="A1093" s="17">
        <f t="shared" si="877"/>
        <v>31306</v>
      </c>
      <c r="B1093" s="17">
        <f t="shared" si="851"/>
        <v>31300</v>
      </c>
      <c r="C1093" s="17" t="str">
        <f t="shared" si="852"/>
        <v>3</v>
      </c>
      <c r="D1093" s="17">
        <f t="shared" si="853"/>
        <v>30002</v>
      </c>
      <c r="E1093" s="17">
        <v>1</v>
      </c>
      <c r="F1093" s="17">
        <f t="shared" si="832"/>
        <v>2</v>
      </c>
      <c r="G1093" s="17" t="str">
        <f t="shared" si="878"/>
        <v>中级魔防</v>
      </c>
      <c r="H1093" s="17" t="str">
        <f t="shared" si="879"/>
        <v>icon_04</v>
      </c>
      <c r="I1093" s="20">
        <v>0</v>
      </c>
      <c r="J1093" s="17">
        <v>6</v>
      </c>
      <c r="K1093" s="17">
        <f t="shared" si="876"/>
        <v>31307</v>
      </c>
      <c r="L1093" s="17" t="s">
        <v>315</v>
      </c>
      <c r="M1093" s="17" t="str">
        <f t="shared" si="880"/>
        <v>1:11000:5</v>
      </c>
      <c r="N1093" s="16" t="str">
        <f t="shared" si="826"/>
        <v>124:1</v>
      </c>
      <c r="O1093" s="17">
        <f t="shared" si="833"/>
        <v>4</v>
      </c>
      <c r="P1093" s="21" t="str">
        <f t="shared" si="861"/>
        <v>所有弓兵魔防增加:1</v>
      </c>
      <c r="Q1093" s="21"/>
      <c r="R1093" t="str">
        <f t="shared" si="881"/>
        <v>魔防</v>
      </c>
      <c r="T1093" t="str">
        <f t="shared" si="882"/>
        <v>:1</v>
      </c>
      <c r="U1093" t="str">
        <f t="shared" ref="U1093:U1156" si="883">MID(P1093,3,2)</f>
        <v>弓兵</v>
      </c>
      <c r="V1093" t="s">
        <v>4555</v>
      </c>
      <c r="W1093">
        <f>属性类型!G1093</f>
        <v>124</v>
      </c>
      <c r="X1093">
        <v>1</v>
      </c>
    </row>
    <row r="1094" customFormat="1" ht="16.5" spans="1:24">
      <c r="A1094" s="17">
        <f t="shared" si="877"/>
        <v>31307</v>
      </c>
      <c r="B1094" s="17">
        <f t="shared" ref="B1094:B1157" si="884">ROUND(A1094,-2)</f>
        <v>31300</v>
      </c>
      <c r="C1094" s="17" t="str">
        <f t="shared" si="852"/>
        <v>3</v>
      </c>
      <c r="D1094" s="17">
        <f t="shared" ref="D1094:D1157" si="885">$A$934+F1094</f>
        <v>30002</v>
      </c>
      <c r="E1094" s="17">
        <v>1</v>
      </c>
      <c r="F1094" s="17">
        <f t="shared" si="832"/>
        <v>2</v>
      </c>
      <c r="G1094" s="17" t="str">
        <f t="shared" si="878"/>
        <v>中级魔防</v>
      </c>
      <c r="H1094" s="17" t="str">
        <f t="shared" si="879"/>
        <v>icon_04</v>
      </c>
      <c r="I1094" s="20">
        <v>0</v>
      </c>
      <c r="J1094" s="17">
        <v>7</v>
      </c>
      <c r="K1094" s="17">
        <f t="shared" si="876"/>
        <v>31308</v>
      </c>
      <c r="L1094" s="17" t="s">
        <v>317</v>
      </c>
      <c r="M1094" s="17" t="str">
        <f t="shared" si="880"/>
        <v>1:11000:5</v>
      </c>
      <c r="N1094" s="16" t="str">
        <f t="shared" si="826"/>
        <v>124:1</v>
      </c>
      <c r="O1094" s="17">
        <f t="shared" si="833"/>
        <v>4</v>
      </c>
      <c r="P1094" s="21" t="str">
        <f t="shared" si="861"/>
        <v>所有弓兵魔防增加:1</v>
      </c>
      <c r="Q1094" s="21"/>
      <c r="R1094" t="str">
        <f t="shared" si="881"/>
        <v>魔防</v>
      </c>
      <c r="T1094" t="str">
        <f t="shared" si="882"/>
        <v>:1</v>
      </c>
      <c r="U1094" t="str">
        <f t="shared" si="883"/>
        <v>弓兵</v>
      </c>
      <c r="V1094" t="s">
        <v>4555</v>
      </c>
      <c r="W1094">
        <f>属性类型!G1094</f>
        <v>124</v>
      </c>
      <c r="X1094">
        <v>1</v>
      </c>
    </row>
    <row r="1095" customFormat="1" ht="16.5" spans="1:24">
      <c r="A1095" s="17">
        <f t="shared" si="877"/>
        <v>31308</v>
      </c>
      <c r="B1095" s="17">
        <f t="shared" si="884"/>
        <v>31300</v>
      </c>
      <c r="C1095" s="17" t="str">
        <f t="shared" si="852"/>
        <v>3</v>
      </c>
      <c r="D1095" s="17">
        <f t="shared" si="885"/>
        <v>30002</v>
      </c>
      <c r="E1095" s="17">
        <v>1</v>
      </c>
      <c r="F1095" s="17">
        <f t="shared" si="832"/>
        <v>2</v>
      </c>
      <c r="G1095" s="17" t="str">
        <f t="shared" si="878"/>
        <v>中级魔防</v>
      </c>
      <c r="H1095" s="17" t="str">
        <f t="shared" si="879"/>
        <v>icon_04</v>
      </c>
      <c r="I1095" s="20">
        <v>0</v>
      </c>
      <c r="J1095" s="17">
        <v>8</v>
      </c>
      <c r="K1095" s="17">
        <f t="shared" si="876"/>
        <v>31309</v>
      </c>
      <c r="L1095" s="17" t="s">
        <v>320</v>
      </c>
      <c r="M1095" s="17" t="str">
        <f t="shared" si="880"/>
        <v>1:11000:5</v>
      </c>
      <c r="N1095" s="16" t="str">
        <f t="shared" si="826"/>
        <v>124:1</v>
      </c>
      <c r="O1095" s="17">
        <f t="shared" si="833"/>
        <v>4</v>
      </c>
      <c r="P1095" s="21" t="str">
        <f t="shared" si="861"/>
        <v>所有弓兵魔防增加:1</v>
      </c>
      <c r="Q1095" s="21"/>
      <c r="R1095" t="str">
        <f t="shared" si="881"/>
        <v>魔防</v>
      </c>
      <c r="T1095" t="str">
        <f t="shared" si="882"/>
        <v>:1</v>
      </c>
      <c r="U1095" t="str">
        <f t="shared" si="883"/>
        <v>弓兵</v>
      </c>
      <c r="V1095" t="s">
        <v>4555</v>
      </c>
      <c r="W1095">
        <f>属性类型!G1095</f>
        <v>124</v>
      </c>
      <c r="X1095">
        <v>1</v>
      </c>
    </row>
    <row r="1096" customFormat="1" ht="16.5" spans="1:24">
      <c r="A1096" s="17">
        <f t="shared" si="877"/>
        <v>31309</v>
      </c>
      <c r="B1096" s="17">
        <f t="shared" si="884"/>
        <v>31300</v>
      </c>
      <c r="C1096" s="17" t="str">
        <f t="shared" si="852"/>
        <v>3</v>
      </c>
      <c r="D1096" s="17">
        <f t="shared" si="885"/>
        <v>30002</v>
      </c>
      <c r="E1096" s="17">
        <v>1</v>
      </c>
      <c r="F1096" s="17">
        <f t="shared" si="832"/>
        <v>2</v>
      </c>
      <c r="G1096" s="17" t="str">
        <f t="shared" si="878"/>
        <v>中级魔防</v>
      </c>
      <c r="H1096" s="17" t="str">
        <f t="shared" si="879"/>
        <v>icon_04</v>
      </c>
      <c r="I1096" s="20">
        <v>0</v>
      </c>
      <c r="J1096" s="17">
        <v>9</v>
      </c>
      <c r="K1096" s="17">
        <f t="shared" si="876"/>
        <v>31310</v>
      </c>
      <c r="L1096" s="17" t="s">
        <v>323</v>
      </c>
      <c r="M1096" s="17" t="str">
        <f t="shared" si="880"/>
        <v>1:11000:5</v>
      </c>
      <c r="N1096" s="16" t="str">
        <f t="shared" si="826"/>
        <v>124:1</v>
      </c>
      <c r="O1096" s="17">
        <f t="shared" si="833"/>
        <v>4</v>
      </c>
      <c r="P1096" s="21" t="str">
        <f t="shared" si="861"/>
        <v>所有弓兵魔防增加:1</v>
      </c>
      <c r="Q1096" s="21"/>
      <c r="R1096" t="str">
        <f t="shared" si="881"/>
        <v>魔防</v>
      </c>
      <c r="T1096" t="str">
        <f t="shared" si="882"/>
        <v>:1</v>
      </c>
      <c r="U1096" t="str">
        <f t="shared" si="883"/>
        <v>弓兵</v>
      </c>
      <c r="V1096" t="s">
        <v>4555</v>
      </c>
      <c r="W1096">
        <f>属性类型!G1096</f>
        <v>124</v>
      </c>
      <c r="X1096">
        <v>1</v>
      </c>
    </row>
    <row r="1097" customFormat="1" ht="16.5" spans="1:24">
      <c r="A1097" s="17">
        <f t="shared" si="877"/>
        <v>31310</v>
      </c>
      <c r="B1097" s="17">
        <f t="shared" si="884"/>
        <v>31300</v>
      </c>
      <c r="C1097" s="17" t="str">
        <f t="shared" si="852"/>
        <v>3</v>
      </c>
      <c r="D1097" s="17">
        <f t="shared" si="885"/>
        <v>30002</v>
      </c>
      <c r="E1097" s="17">
        <v>1</v>
      </c>
      <c r="F1097" s="17">
        <f t="shared" si="832"/>
        <v>2</v>
      </c>
      <c r="G1097" s="17" t="str">
        <f t="shared" si="878"/>
        <v>中级魔防</v>
      </c>
      <c r="H1097" s="17" t="str">
        <f t="shared" si="879"/>
        <v>icon_04</v>
      </c>
      <c r="I1097" s="20">
        <v>0</v>
      </c>
      <c r="J1097" s="17">
        <v>10</v>
      </c>
      <c r="K1097" s="17">
        <v>0</v>
      </c>
      <c r="L1097" s="17">
        <v>0</v>
      </c>
      <c r="M1097" s="17" t="str">
        <f t="shared" si="880"/>
        <v>1:11000:5</v>
      </c>
      <c r="N1097" s="16" t="str">
        <f t="shared" si="826"/>
        <v>124:1</v>
      </c>
      <c r="O1097" s="17">
        <f t="shared" si="833"/>
        <v>4</v>
      </c>
      <c r="P1097" s="21" t="str">
        <f t="shared" si="861"/>
        <v>所有弓兵魔防增加:1</v>
      </c>
      <c r="Q1097" s="21"/>
      <c r="R1097" t="str">
        <f t="shared" si="881"/>
        <v>魔防</v>
      </c>
      <c r="T1097" t="str">
        <f t="shared" si="882"/>
        <v>:1</v>
      </c>
      <c r="U1097" t="str">
        <f t="shared" si="883"/>
        <v>弓兵</v>
      </c>
      <c r="V1097" t="s">
        <v>4555</v>
      </c>
      <c r="W1097">
        <f>属性类型!G1097</f>
        <v>124</v>
      </c>
      <c r="X1097">
        <v>1</v>
      </c>
    </row>
    <row r="1098" customFormat="1" ht="16.5" spans="1:24">
      <c r="A1098" s="18">
        <f>A1087+100</f>
        <v>31400</v>
      </c>
      <c r="B1098" s="18">
        <f t="shared" si="884"/>
        <v>31400</v>
      </c>
      <c r="C1098" s="18" t="str">
        <f t="shared" si="852"/>
        <v>3</v>
      </c>
      <c r="D1098" s="17">
        <f t="shared" si="885"/>
        <v>30002</v>
      </c>
      <c r="E1098" s="17">
        <v>1</v>
      </c>
      <c r="F1098" s="18">
        <f t="shared" si="832"/>
        <v>2</v>
      </c>
      <c r="G1098" s="18" t="s">
        <v>4348</v>
      </c>
      <c r="H1098" s="18" t="s">
        <v>112</v>
      </c>
      <c r="I1098" s="20">
        <v>0</v>
      </c>
      <c r="J1098" s="18">
        <v>0</v>
      </c>
      <c r="K1098" s="18">
        <f t="shared" ref="K1098:K1112" si="886">A1099</f>
        <v>31401</v>
      </c>
      <c r="L1098" s="18" t="s">
        <v>297</v>
      </c>
      <c r="M1098" s="18" t="s">
        <v>396</v>
      </c>
      <c r="N1098" s="16" t="str">
        <f t="shared" si="826"/>
        <v>126:1</v>
      </c>
      <c r="O1098" s="18">
        <f t="shared" si="833"/>
        <v>5</v>
      </c>
      <c r="P1098" s="21" t="str">
        <f t="shared" si="861"/>
        <v>所有弓兵生命百分比增加1</v>
      </c>
      <c r="Q1098" s="21"/>
      <c r="R1098" t="s">
        <v>4414</v>
      </c>
      <c r="T1098" t="str">
        <f>RIGHT(N1098,1)</f>
        <v>1</v>
      </c>
      <c r="U1098" t="str">
        <f t="shared" si="883"/>
        <v>弓兵</v>
      </c>
      <c r="V1098" t="s">
        <v>4623</v>
      </c>
      <c r="W1098">
        <f>属性类型!G1098</f>
        <v>126</v>
      </c>
      <c r="X1098">
        <v>1</v>
      </c>
    </row>
    <row r="1099" customFormat="1" ht="16.5" spans="1:24">
      <c r="A1099" s="17">
        <f t="shared" ref="A1099:A1113" si="887">A1098+1</f>
        <v>31401</v>
      </c>
      <c r="B1099" s="17">
        <f t="shared" si="884"/>
        <v>31400</v>
      </c>
      <c r="C1099" s="17" t="str">
        <f t="shared" si="852"/>
        <v>3</v>
      </c>
      <c r="D1099" s="17">
        <f t="shared" si="885"/>
        <v>30002</v>
      </c>
      <c r="E1099" s="17">
        <v>1</v>
      </c>
      <c r="F1099" s="17">
        <f t="shared" si="832"/>
        <v>2</v>
      </c>
      <c r="G1099" s="17" t="str">
        <f t="shared" ref="G1099:G1113" si="888">G1098</f>
        <v>中级生命百分比</v>
      </c>
      <c r="H1099" s="17" t="str">
        <f t="shared" ref="H1099:H1113" si="889">H1098</f>
        <v>icon_05</v>
      </c>
      <c r="I1099" s="20">
        <v>0</v>
      </c>
      <c r="J1099" s="17">
        <v>1</v>
      </c>
      <c r="K1099" s="17">
        <f t="shared" si="886"/>
        <v>31402</v>
      </c>
      <c r="L1099" s="17" t="s">
        <v>300</v>
      </c>
      <c r="M1099" s="17" t="str">
        <f t="shared" ref="M1099:M1113" si="890">M1098</f>
        <v>1:11100:5</v>
      </c>
      <c r="N1099" s="16" t="str">
        <f t="shared" ref="N1099:N1162" si="891">W1099&amp;$W$2&amp;X1099</f>
        <v>126:1</v>
      </c>
      <c r="O1099" s="17">
        <f t="shared" si="833"/>
        <v>5</v>
      </c>
      <c r="P1099" s="21" t="str">
        <f t="shared" si="861"/>
        <v>所有弓兵生命百分比增加:1</v>
      </c>
      <c r="Q1099" s="21"/>
      <c r="R1099" t="str">
        <f t="shared" ref="R1099:R1113" si="892">R1098</f>
        <v>生命百分比</v>
      </c>
      <c r="T1099" t="str">
        <f t="shared" ref="T1099:T1113" si="893">RIGHT(N1099,2)</f>
        <v>:1</v>
      </c>
      <c r="U1099" t="str">
        <f t="shared" si="883"/>
        <v>弓兵</v>
      </c>
      <c r="V1099" t="s">
        <v>4623</v>
      </c>
      <c r="W1099">
        <f>属性类型!G1099</f>
        <v>126</v>
      </c>
      <c r="X1099">
        <v>1</v>
      </c>
    </row>
    <row r="1100" customFormat="1" ht="16.5" spans="1:24">
      <c r="A1100" s="17">
        <f t="shared" si="887"/>
        <v>31402</v>
      </c>
      <c r="B1100" s="17">
        <f t="shared" si="884"/>
        <v>31400</v>
      </c>
      <c r="C1100" s="17" t="str">
        <f t="shared" si="852"/>
        <v>3</v>
      </c>
      <c r="D1100" s="17">
        <f t="shared" si="885"/>
        <v>30002</v>
      </c>
      <c r="E1100" s="17">
        <v>1</v>
      </c>
      <c r="F1100" s="17">
        <f t="shared" si="832"/>
        <v>2</v>
      </c>
      <c r="G1100" s="17" t="str">
        <f t="shared" si="888"/>
        <v>中级生命百分比</v>
      </c>
      <c r="H1100" s="17" t="str">
        <f t="shared" si="889"/>
        <v>icon_05</v>
      </c>
      <c r="I1100" s="20">
        <v>0</v>
      </c>
      <c r="J1100" s="17">
        <v>2</v>
      </c>
      <c r="K1100" s="17">
        <f t="shared" si="886"/>
        <v>31403</v>
      </c>
      <c r="L1100" s="17" t="s">
        <v>304</v>
      </c>
      <c r="M1100" s="17" t="str">
        <f t="shared" si="890"/>
        <v>1:11100:5</v>
      </c>
      <c r="N1100" s="16" t="str">
        <f t="shared" si="891"/>
        <v>126:1</v>
      </c>
      <c r="O1100" s="17">
        <f t="shared" si="833"/>
        <v>5</v>
      </c>
      <c r="P1100" s="21" t="str">
        <f t="shared" si="861"/>
        <v>所有弓兵生命百分比增加:1</v>
      </c>
      <c r="Q1100" s="21"/>
      <c r="R1100" t="str">
        <f t="shared" si="892"/>
        <v>生命百分比</v>
      </c>
      <c r="T1100" t="str">
        <f t="shared" si="893"/>
        <v>:1</v>
      </c>
      <c r="U1100" t="str">
        <f t="shared" si="883"/>
        <v>弓兵</v>
      </c>
      <c r="V1100" t="s">
        <v>4623</v>
      </c>
      <c r="W1100">
        <f>属性类型!G1100</f>
        <v>126</v>
      </c>
      <c r="X1100">
        <v>1</v>
      </c>
    </row>
    <row r="1101" customFormat="1" ht="16.5" spans="1:24">
      <c r="A1101" s="17">
        <f t="shared" si="887"/>
        <v>31403</v>
      </c>
      <c r="B1101" s="17">
        <f t="shared" si="884"/>
        <v>31400</v>
      </c>
      <c r="C1101" s="17" t="str">
        <f t="shared" si="852"/>
        <v>3</v>
      </c>
      <c r="D1101" s="17">
        <f t="shared" si="885"/>
        <v>30002</v>
      </c>
      <c r="E1101" s="17">
        <v>1</v>
      </c>
      <c r="F1101" s="17">
        <f t="shared" si="832"/>
        <v>2</v>
      </c>
      <c r="G1101" s="17" t="str">
        <f t="shared" si="888"/>
        <v>中级生命百分比</v>
      </c>
      <c r="H1101" s="17" t="str">
        <f t="shared" si="889"/>
        <v>icon_05</v>
      </c>
      <c r="I1101" s="20">
        <v>0</v>
      </c>
      <c r="J1101" s="17">
        <v>3</v>
      </c>
      <c r="K1101" s="17">
        <f t="shared" si="886"/>
        <v>31404</v>
      </c>
      <c r="L1101" s="17" t="s">
        <v>307</v>
      </c>
      <c r="M1101" s="17" t="str">
        <f t="shared" si="890"/>
        <v>1:11100:5</v>
      </c>
      <c r="N1101" s="16" t="str">
        <f t="shared" si="891"/>
        <v>126:1</v>
      </c>
      <c r="O1101" s="17">
        <f t="shared" si="833"/>
        <v>5</v>
      </c>
      <c r="P1101" s="21" t="str">
        <f t="shared" si="861"/>
        <v>所有弓兵生命百分比增加:1</v>
      </c>
      <c r="Q1101" s="21"/>
      <c r="R1101" t="str">
        <f t="shared" si="892"/>
        <v>生命百分比</v>
      </c>
      <c r="T1101" t="str">
        <f t="shared" si="893"/>
        <v>:1</v>
      </c>
      <c r="U1101" t="str">
        <f t="shared" si="883"/>
        <v>弓兵</v>
      </c>
      <c r="V1101" t="s">
        <v>4623</v>
      </c>
      <c r="W1101">
        <f>属性类型!G1101</f>
        <v>126</v>
      </c>
      <c r="X1101">
        <v>1</v>
      </c>
    </row>
    <row r="1102" customFormat="1" ht="16.5" spans="1:24">
      <c r="A1102" s="17">
        <f t="shared" si="887"/>
        <v>31404</v>
      </c>
      <c r="B1102" s="17">
        <f t="shared" si="884"/>
        <v>31400</v>
      </c>
      <c r="C1102" s="17" t="str">
        <f t="shared" si="852"/>
        <v>3</v>
      </c>
      <c r="D1102" s="17">
        <f t="shared" si="885"/>
        <v>30002</v>
      </c>
      <c r="E1102" s="17">
        <v>1</v>
      </c>
      <c r="F1102" s="17">
        <f t="shared" si="832"/>
        <v>2</v>
      </c>
      <c r="G1102" s="17" t="str">
        <f t="shared" si="888"/>
        <v>中级生命百分比</v>
      </c>
      <c r="H1102" s="17" t="str">
        <f t="shared" si="889"/>
        <v>icon_05</v>
      </c>
      <c r="I1102" s="20">
        <v>0</v>
      </c>
      <c r="J1102" s="17">
        <v>4</v>
      </c>
      <c r="K1102" s="17">
        <f t="shared" si="886"/>
        <v>31405</v>
      </c>
      <c r="L1102" s="17" t="s">
        <v>309</v>
      </c>
      <c r="M1102" s="17" t="str">
        <f t="shared" si="890"/>
        <v>1:11100:5</v>
      </c>
      <c r="N1102" s="16" t="str">
        <f t="shared" si="891"/>
        <v>126:1</v>
      </c>
      <c r="O1102" s="17">
        <f t="shared" si="833"/>
        <v>5</v>
      </c>
      <c r="P1102" s="21" t="str">
        <f t="shared" si="861"/>
        <v>所有弓兵生命百分比增加:1</v>
      </c>
      <c r="Q1102" s="21"/>
      <c r="R1102" t="str">
        <f t="shared" si="892"/>
        <v>生命百分比</v>
      </c>
      <c r="T1102" t="str">
        <f t="shared" si="893"/>
        <v>:1</v>
      </c>
      <c r="U1102" t="str">
        <f t="shared" si="883"/>
        <v>弓兵</v>
      </c>
      <c r="V1102" t="s">
        <v>4623</v>
      </c>
      <c r="W1102">
        <f>属性类型!G1102</f>
        <v>126</v>
      </c>
      <c r="X1102">
        <v>1</v>
      </c>
    </row>
    <row r="1103" customFormat="1" ht="16.5" spans="1:24">
      <c r="A1103" s="17">
        <f t="shared" si="887"/>
        <v>31405</v>
      </c>
      <c r="B1103" s="17">
        <f t="shared" si="884"/>
        <v>31400</v>
      </c>
      <c r="C1103" s="17" t="str">
        <f t="shared" si="852"/>
        <v>3</v>
      </c>
      <c r="D1103" s="17">
        <f t="shared" si="885"/>
        <v>30002</v>
      </c>
      <c r="E1103" s="17">
        <v>1</v>
      </c>
      <c r="F1103" s="17">
        <f t="shared" si="832"/>
        <v>2</v>
      </c>
      <c r="G1103" s="17" t="str">
        <f t="shared" si="888"/>
        <v>中级生命百分比</v>
      </c>
      <c r="H1103" s="17" t="str">
        <f t="shared" si="889"/>
        <v>icon_05</v>
      </c>
      <c r="I1103" s="20">
        <v>0</v>
      </c>
      <c r="J1103" s="17">
        <v>5</v>
      </c>
      <c r="K1103" s="17">
        <f t="shared" si="886"/>
        <v>31406</v>
      </c>
      <c r="L1103" s="17" t="s">
        <v>312</v>
      </c>
      <c r="M1103" s="17" t="str">
        <f t="shared" si="890"/>
        <v>1:11100:5</v>
      </c>
      <c r="N1103" s="16" t="str">
        <f t="shared" si="891"/>
        <v>126:1</v>
      </c>
      <c r="O1103" s="17">
        <f t="shared" si="833"/>
        <v>5</v>
      </c>
      <c r="P1103" s="21" t="str">
        <f t="shared" si="861"/>
        <v>所有弓兵生命百分比增加:1</v>
      </c>
      <c r="Q1103" s="21"/>
      <c r="R1103" t="str">
        <f t="shared" si="892"/>
        <v>生命百分比</v>
      </c>
      <c r="T1103" t="str">
        <f t="shared" si="893"/>
        <v>:1</v>
      </c>
      <c r="U1103" t="str">
        <f t="shared" si="883"/>
        <v>弓兵</v>
      </c>
      <c r="V1103" t="s">
        <v>4623</v>
      </c>
      <c r="W1103">
        <f>属性类型!G1103</f>
        <v>126</v>
      </c>
      <c r="X1103">
        <v>1</v>
      </c>
    </row>
    <row r="1104" customFormat="1" ht="16.5" spans="1:24">
      <c r="A1104" s="17">
        <f t="shared" si="887"/>
        <v>31406</v>
      </c>
      <c r="B1104" s="17">
        <f t="shared" si="884"/>
        <v>31400</v>
      </c>
      <c r="C1104" s="17" t="str">
        <f t="shared" si="852"/>
        <v>3</v>
      </c>
      <c r="D1104" s="17">
        <f t="shared" si="885"/>
        <v>30002</v>
      </c>
      <c r="E1104" s="17">
        <v>1</v>
      </c>
      <c r="F1104" s="17">
        <f t="shared" ref="F1104:F1167" si="894">MID(B1104,2,1)+1</f>
        <v>2</v>
      </c>
      <c r="G1104" s="17" t="str">
        <f t="shared" si="888"/>
        <v>中级生命百分比</v>
      </c>
      <c r="H1104" s="17" t="str">
        <f t="shared" si="889"/>
        <v>icon_05</v>
      </c>
      <c r="I1104" s="20">
        <v>0</v>
      </c>
      <c r="J1104" s="17">
        <v>6</v>
      </c>
      <c r="K1104" s="17">
        <f t="shared" si="886"/>
        <v>31407</v>
      </c>
      <c r="L1104" s="17" t="s">
        <v>315</v>
      </c>
      <c r="M1104" s="17" t="str">
        <f t="shared" si="890"/>
        <v>1:11100:5</v>
      </c>
      <c r="N1104" s="16" t="str">
        <f t="shared" si="891"/>
        <v>126:1</v>
      </c>
      <c r="O1104" s="17">
        <f t="shared" ref="O1104:O1167" si="895">MID(A1104,3,1)+1</f>
        <v>5</v>
      </c>
      <c r="P1104" s="21" t="str">
        <f t="shared" si="861"/>
        <v>所有弓兵生命百分比增加:1</v>
      </c>
      <c r="Q1104" s="21"/>
      <c r="R1104" t="str">
        <f t="shared" si="892"/>
        <v>生命百分比</v>
      </c>
      <c r="T1104" t="str">
        <f t="shared" si="893"/>
        <v>:1</v>
      </c>
      <c r="U1104" t="str">
        <f t="shared" si="883"/>
        <v>弓兵</v>
      </c>
      <c r="V1104" t="s">
        <v>4623</v>
      </c>
      <c r="W1104">
        <f>属性类型!G1104</f>
        <v>126</v>
      </c>
      <c r="X1104">
        <v>1</v>
      </c>
    </row>
    <row r="1105" customFormat="1" ht="16.5" spans="1:24">
      <c r="A1105" s="17">
        <f t="shared" si="887"/>
        <v>31407</v>
      </c>
      <c r="B1105" s="17">
        <f t="shared" si="884"/>
        <v>31400</v>
      </c>
      <c r="C1105" s="17" t="str">
        <f t="shared" si="852"/>
        <v>3</v>
      </c>
      <c r="D1105" s="17">
        <f t="shared" si="885"/>
        <v>30002</v>
      </c>
      <c r="E1105" s="17">
        <v>1</v>
      </c>
      <c r="F1105" s="17">
        <f t="shared" si="894"/>
        <v>2</v>
      </c>
      <c r="G1105" s="17" t="str">
        <f t="shared" si="888"/>
        <v>中级生命百分比</v>
      </c>
      <c r="H1105" s="17" t="str">
        <f t="shared" si="889"/>
        <v>icon_05</v>
      </c>
      <c r="I1105" s="20">
        <v>0</v>
      </c>
      <c r="J1105" s="17">
        <v>7</v>
      </c>
      <c r="K1105" s="17">
        <f t="shared" si="886"/>
        <v>31408</v>
      </c>
      <c r="L1105" s="17" t="s">
        <v>317</v>
      </c>
      <c r="M1105" s="17" t="str">
        <f t="shared" si="890"/>
        <v>1:11100:5</v>
      </c>
      <c r="N1105" s="16" t="str">
        <f t="shared" si="891"/>
        <v>126:1</v>
      </c>
      <c r="O1105" s="17">
        <f t="shared" si="895"/>
        <v>5</v>
      </c>
      <c r="P1105" s="21" t="str">
        <f t="shared" si="861"/>
        <v>所有弓兵生命百分比增加:1</v>
      </c>
      <c r="Q1105" s="21"/>
      <c r="R1105" t="str">
        <f t="shared" si="892"/>
        <v>生命百分比</v>
      </c>
      <c r="T1105" t="str">
        <f t="shared" si="893"/>
        <v>:1</v>
      </c>
      <c r="U1105" t="str">
        <f t="shared" si="883"/>
        <v>弓兵</v>
      </c>
      <c r="V1105" t="s">
        <v>4623</v>
      </c>
      <c r="W1105">
        <f>属性类型!G1105</f>
        <v>126</v>
      </c>
      <c r="X1105">
        <v>1</v>
      </c>
    </row>
    <row r="1106" customFormat="1" ht="16.5" spans="1:24">
      <c r="A1106" s="17">
        <f t="shared" si="887"/>
        <v>31408</v>
      </c>
      <c r="B1106" s="17">
        <f t="shared" si="884"/>
        <v>31400</v>
      </c>
      <c r="C1106" s="17" t="str">
        <f t="shared" si="852"/>
        <v>3</v>
      </c>
      <c r="D1106" s="17">
        <f t="shared" si="885"/>
        <v>30002</v>
      </c>
      <c r="E1106" s="17">
        <v>1</v>
      </c>
      <c r="F1106" s="17">
        <f t="shared" si="894"/>
        <v>2</v>
      </c>
      <c r="G1106" s="17" t="str">
        <f t="shared" si="888"/>
        <v>中级生命百分比</v>
      </c>
      <c r="H1106" s="17" t="str">
        <f t="shared" si="889"/>
        <v>icon_05</v>
      </c>
      <c r="I1106" s="20">
        <v>0</v>
      </c>
      <c r="J1106" s="17">
        <v>8</v>
      </c>
      <c r="K1106" s="17">
        <f t="shared" si="886"/>
        <v>31409</v>
      </c>
      <c r="L1106" s="17" t="s">
        <v>320</v>
      </c>
      <c r="M1106" s="17" t="str">
        <f t="shared" si="890"/>
        <v>1:11100:5</v>
      </c>
      <c r="N1106" s="16" t="str">
        <f t="shared" si="891"/>
        <v>126:1</v>
      </c>
      <c r="O1106" s="17">
        <f t="shared" si="895"/>
        <v>5</v>
      </c>
      <c r="P1106" s="21" t="str">
        <f t="shared" si="861"/>
        <v>所有弓兵生命百分比增加:1</v>
      </c>
      <c r="Q1106" s="21"/>
      <c r="R1106" t="str">
        <f t="shared" si="892"/>
        <v>生命百分比</v>
      </c>
      <c r="T1106" t="str">
        <f t="shared" si="893"/>
        <v>:1</v>
      </c>
      <c r="U1106" t="str">
        <f t="shared" si="883"/>
        <v>弓兵</v>
      </c>
      <c r="V1106" t="s">
        <v>4623</v>
      </c>
      <c r="W1106">
        <f>属性类型!G1106</f>
        <v>126</v>
      </c>
      <c r="X1106">
        <v>1</v>
      </c>
    </row>
    <row r="1107" customFormat="1" ht="16.5" spans="1:24">
      <c r="A1107" s="17">
        <f t="shared" si="887"/>
        <v>31409</v>
      </c>
      <c r="B1107" s="17">
        <f t="shared" si="884"/>
        <v>31400</v>
      </c>
      <c r="C1107" s="17" t="str">
        <f t="shared" si="852"/>
        <v>3</v>
      </c>
      <c r="D1107" s="17">
        <f t="shared" si="885"/>
        <v>30002</v>
      </c>
      <c r="E1107" s="17">
        <v>1</v>
      </c>
      <c r="F1107" s="17">
        <f t="shared" si="894"/>
        <v>2</v>
      </c>
      <c r="G1107" s="17" t="str">
        <f t="shared" si="888"/>
        <v>中级生命百分比</v>
      </c>
      <c r="H1107" s="17" t="str">
        <f t="shared" si="889"/>
        <v>icon_05</v>
      </c>
      <c r="I1107" s="20">
        <v>0</v>
      </c>
      <c r="J1107" s="17">
        <v>9</v>
      </c>
      <c r="K1107" s="17">
        <f t="shared" si="886"/>
        <v>31410</v>
      </c>
      <c r="L1107" s="17" t="s">
        <v>323</v>
      </c>
      <c r="M1107" s="17" t="str">
        <f t="shared" si="890"/>
        <v>1:11100:5</v>
      </c>
      <c r="N1107" s="16" t="str">
        <f t="shared" si="891"/>
        <v>126:1</v>
      </c>
      <c r="O1107" s="17">
        <f t="shared" si="895"/>
        <v>5</v>
      </c>
      <c r="P1107" s="21" t="str">
        <f t="shared" si="861"/>
        <v>所有弓兵生命百分比增加:1</v>
      </c>
      <c r="Q1107" s="21"/>
      <c r="R1107" t="str">
        <f t="shared" si="892"/>
        <v>生命百分比</v>
      </c>
      <c r="T1107" t="str">
        <f t="shared" si="893"/>
        <v>:1</v>
      </c>
      <c r="U1107" t="str">
        <f t="shared" si="883"/>
        <v>弓兵</v>
      </c>
      <c r="V1107" t="s">
        <v>4623</v>
      </c>
      <c r="W1107">
        <f>属性类型!G1107</f>
        <v>126</v>
      </c>
      <c r="X1107">
        <v>1</v>
      </c>
    </row>
    <row r="1108" customFormat="1" ht="16.5" spans="1:24">
      <c r="A1108" s="17">
        <f t="shared" si="887"/>
        <v>31410</v>
      </c>
      <c r="B1108" s="17">
        <f t="shared" si="884"/>
        <v>31400</v>
      </c>
      <c r="C1108" s="17" t="str">
        <f t="shared" si="852"/>
        <v>3</v>
      </c>
      <c r="D1108" s="17">
        <f t="shared" si="885"/>
        <v>30002</v>
      </c>
      <c r="E1108" s="17">
        <v>1</v>
      </c>
      <c r="F1108" s="17">
        <f t="shared" si="894"/>
        <v>2</v>
      </c>
      <c r="G1108" s="17" t="str">
        <f t="shared" si="888"/>
        <v>中级生命百分比</v>
      </c>
      <c r="H1108" s="17" t="str">
        <f t="shared" si="889"/>
        <v>icon_05</v>
      </c>
      <c r="I1108" s="20">
        <v>0</v>
      </c>
      <c r="J1108" s="17">
        <v>10</v>
      </c>
      <c r="K1108" s="17">
        <f t="shared" si="886"/>
        <v>31411</v>
      </c>
      <c r="L1108" s="17" t="s">
        <v>407</v>
      </c>
      <c r="M1108" s="17" t="str">
        <f t="shared" si="890"/>
        <v>1:11100:5</v>
      </c>
      <c r="N1108" s="16" t="str">
        <f t="shared" si="891"/>
        <v>126:1</v>
      </c>
      <c r="O1108" s="17">
        <f t="shared" si="895"/>
        <v>5</v>
      </c>
      <c r="P1108" s="21" t="str">
        <f t="shared" si="861"/>
        <v>所有弓兵生命百分比增加:1</v>
      </c>
      <c r="Q1108" s="21"/>
      <c r="R1108" t="str">
        <f t="shared" si="892"/>
        <v>生命百分比</v>
      </c>
      <c r="T1108" t="str">
        <f t="shared" si="893"/>
        <v>:1</v>
      </c>
      <c r="U1108" t="str">
        <f t="shared" si="883"/>
        <v>弓兵</v>
      </c>
      <c r="V1108" t="s">
        <v>4623</v>
      </c>
      <c r="W1108">
        <f>属性类型!G1108</f>
        <v>126</v>
      </c>
      <c r="X1108">
        <v>1</v>
      </c>
    </row>
    <row r="1109" customFormat="1" ht="16.5" spans="1:24">
      <c r="A1109" s="17">
        <f t="shared" si="887"/>
        <v>31411</v>
      </c>
      <c r="B1109" s="17">
        <f t="shared" si="884"/>
        <v>31400</v>
      </c>
      <c r="C1109" s="17" t="str">
        <f t="shared" si="852"/>
        <v>3</v>
      </c>
      <c r="D1109" s="17">
        <f t="shared" si="885"/>
        <v>30002</v>
      </c>
      <c r="E1109" s="17">
        <v>1</v>
      </c>
      <c r="F1109" s="17">
        <f t="shared" si="894"/>
        <v>2</v>
      </c>
      <c r="G1109" s="17" t="str">
        <f t="shared" si="888"/>
        <v>中级生命百分比</v>
      </c>
      <c r="H1109" s="17" t="str">
        <f t="shared" si="889"/>
        <v>icon_05</v>
      </c>
      <c r="I1109" s="20">
        <v>0</v>
      </c>
      <c r="J1109" s="17">
        <v>11</v>
      </c>
      <c r="K1109" s="17">
        <f t="shared" si="886"/>
        <v>31412</v>
      </c>
      <c r="L1109" s="17" t="s">
        <v>410</v>
      </c>
      <c r="M1109" s="17" t="str">
        <f t="shared" si="890"/>
        <v>1:11100:5</v>
      </c>
      <c r="N1109" s="16" t="str">
        <f t="shared" si="891"/>
        <v>126:1</v>
      </c>
      <c r="O1109" s="17">
        <f t="shared" si="895"/>
        <v>5</v>
      </c>
      <c r="P1109" s="21" t="str">
        <f t="shared" si="861"/>
        <v>所有弓兵生命百分比增加:1</v>
      </c>
      <c r="Q1109" s="21"/>
      <c r="R1109" t="str">
        <f t="shared" si="892"/>
        <v>生命百分比</v>
      </c>
      <c r="T1109" t="str">
        <f t="shared" si="893"/>
        <v>:1</v>
      </c>
      <c r="U1109" t="str">
        <f t="shared" si="883"/>
        <v>弓兵</v>
      </c>
      <c r="V1109" t="s">
        <v>4623</v>
      </c>
      <c r="W1109">
        <f>属性类型!G1109</f>
        <v>126</v>
      </c>
      <c r="X1109">
        <v>1</v>
      </c>
    </row>
    <row r="1110" customFormat="1" ht="16.5" spans="1:24">
      <c r="A1110" s="17">
        <f t="shared" si="887"/>
        <v>31412</v>
      </c>
      <c r="B1110" s="17">
        <f t="shared" si="884"/>
        <v>31400</v>
      </c>
      <c r="C1110" s="17" t="str">
        <f t="shared" si="852"/>
        <v>3</v>
      </c>
      <c r="D1110" s="17">
        <f t="shared" si="885"/>
        <v>30002</v>
      </c>
      <c r="E1110" s="17">
        <v>1</v>
      </c>
      <c r="F1110" s="17">
        <f t="shared" si="894"/>
        <v>2</v>
      </c>
      <c r="G1110" s="17" t="str">
        <f t="shared" si="888"/>
        <v>中级生命百分比</v>
      </c>
      <c r="H1110" s="17" t="str">
        <f t="shared" si="889"/>
        <v>icon_05</v>
      </c>
      <c r="I1110" s="20">
        <v>0</v>
      </c>
      <c r="J1110" s="17">
        <v>12</v>
      </c>
      <c r="K1110" s="17">
        <f t="shared" si="886"/>
        <v>31413</v>
      </c>
      <c r="L1110" s="17" t="s">
        <v>414</v>
      </c>
      <c r="M1110" s="17" t="str">
        <f t="shared" si="890"/>
        <v>1:11100:5</v>
      </c>
      <c r="N1110" s="16" t="str">
        <f t="shared" si="891"/>
        <v>126:1</v>
      </c>
      <c r="O1110" s="17">
        <f t="shared" si="895"/>
        <v>5</v>
      </c>
      <c r="P1110" s="21" t="str">
        <f t="shared" si="861"/>
        <v>所有弓兵生命百分比增加:1</v>
      </c>
      <c r="Q1110" s="21"/>
      <c r="R1110" t="str">
        <f t="shared" si="892"/>
        <v>生命百分比</v>
      </c>
      <c r="T1110" t="str">
        <f t="shared" si="893"/>
        <v>:1</v>
      </c>
      <c r="U1110" t="str">
        <f t="shared" si="883"/>
        <v>弓兵</v>
      </c>
      <c r="V1110" t="s">
        <v>4623</v>
      </c>
      <c r="W1110">
        <f>属性类型!G1110</f>
        <v>126</v>
      </c>
      <c r="X1110">
        <v>1</v>
      </c>
    </row>
    <row r="1111" customFormat="1" ht="16.5" spans="1:24">
      <c r="A1111" s="17">
        <f t="shared" si="887"/>
        <v>31413</v>
      </c>
      <c r="B1111" s="17">
        <f t="shared" si="884"/>
        <v>31400</v>
      </c>
      <c r="C1111" s="17" t="str">
        <f t="shared" si="852"/>
        <v>3</v>
      </c>
      <c r="D1111" s="17">
        <f t="shared" si="885"/>
        <v>30002</v>
      </c>
      <c r="E1111" s="17">
        <v>1</v>
      </c>
      <c r="F1111" s="17">
        <f t="shared" si="894"/>
        <v>2</v>
      </c>
      <c r="G1111" s="17" t="str">
        <f t="shared" si="888"/>
        <v>中级生命百分比</v>
      </c>
      <c r="H1111" s="17" t="str">
        <f t="shared" si="889"/>
        <v>icon_05</v>
      </c>
      <c r="I1111" s="20">
        <v>0</v>
      </c>
      <c r="J1111" s="17">
        <v>13</v>
      </c>
      <c r="K1111" s="17">
        <f t="shared" si="886"/>
        <v>31414</v>
      </c>
      <c r="L1111" s="17" t="s">
        <v>418</v>
      </c>
      <c r="M1111" s="17" t="str">
        <f t="shared" si="890"/>
        <v>1:11100:5</v>
      </c>
      <c r="N1111" s="16" t="str">
        <f t="shared" si="891"/>
        <v>126:1</v>
      </c>
      <c r="O1111" s="17">
        <f t="shared" si="895"/>
        <v>5</v>
      </c>
      <c r="P1111" s="21" t="str">
        <f t="shared" si="861"/>
        <v>所有弓兵生命百分比增加:1</v>
      </c>
      <c r="Q1111" s="21"/>
      <c r="R1111" t="str">
        <f t="shared" si="892"/>
        <v>生命百分比</v>
      </c>
      <c r="T1111" t="str">
        <f t="shared" si="893"/>
        <v>:1</v>
      </c>
      <c r="U1111" t="str">
        <f t="shared" si="883"/>
        <v>弓兵</v>
      </c>
      <c r="V1111" t="s">
        <v>4623</v>
      </c>
      <c r="W1111">
        <f>属性类型!G1111</f>
        <v>126</v>
      </c>
      <c r="X1111">
        <v>1</v>
      </c>
    </row>
    <row r="1112" customFormat="1" ht="16.5" spans="1:24">
      <c r="A1112" s="17">
        <f t="shared" si="887"/>
        <v>31414</v>
      </c>
      <c r="B1112" s="17">
        <f t="shared" si="884"/>
        <v>31400</v>
      </c>
      <c r="C1112" s="17" t="str">
        <f t="shared" si="852"/>
        <v>3</v>
      </c>
      <c r="D1112" s="17">
        <f t="shared" si="885"/>
        <v>30002</v>
      </c>
      <c r="E1112" s="17">
        <v>1</v>
      </c>
      <c r="F1112" s="17">
        <f t="shared" si="894"/>
        <v>2</v>
      </c>
      <c r="G1112" s="17" t="str">
        <f t="shared" si="888"/>
        <v>中级生命百分比</v>
      </c>
      <c r="H1112" s="17" t="str">
        <f t="shared" si="889"/>
        <v>icon_05</v>
      </c>
      <c r="I1112" s="20">
        <v>0</v>
      </c>
      <c r="J1112" s="17">
        <v>14</v>
      </c>
      <c r="K1112" s="17">
        <f t="shared" si="886"/>
        <v>31415</v>
      </c>
      <c r="L1112" s="17" t="s">
        <v>422</v>
      </c>
      <c r="M1112" s="17" t="str">
        <f t="shared" si="890"/>
        <v>1:11100:5</v>
      </c>
      <c r="N1112" s="16" t="str">
        <f t="shared" si="891"/>
        <v>126:1</v>
      </c>
      <c r="O1112" s="17">
        <f t="shared" si="895"/>
        <v>5</v>
      </c>
      <c r="P1112" s="21" t="str">
        <f t="shared" si="861"/>
        <v>所有弓兵生命百分比增加:1</v>
      </c>
      <c r="Q1112" s="21"/>
      <c r="R1112" t="str">
        <f t="shared" si="892"/>
        <v>生命百分比</v>
      </c>
      <c r="T1112" t="str">
        <f t="shared" si="893"/>
        <v>:1</v>
      </c>
      <c r="U1112" t="str">
        <f t="shared" si="883"/>
        <v>弓兵</v>
      </c>
      <c r="V1112" t="s">
        <v>4623</v>
      </c>
      <c r="W1112">
        <f>属性类型!G1112</f>
        <v>126</v>
      </c>
      <c r="X1112">
        <v>1</v>
      </c>
    </row>
    <row r="1113" customFormat="1" ht="16.5" spans="1:24">
      <c r="A1113" s="17">
        <f t="shared" si="887"/>
        <v>31415</v>
      </c>
      <c r="B1113" s="17">
        <f t="shared" si="884"/>
        <v>31400</v>
      </c>
      <c r="C1113" s="17" t="str">
        <f t="shared" si="852"/>
        <v>3</v>
      </c>
      <c r="D1113" s="17">
        <f t="shared" si="885"/>
        <v>30002</v>
      </c>
      <c r="E1113" s="17">
        <v>1</v>
      </c>
      <c r="F1113" s="17">
        <f t="shared" si="894"/>
        <v>2</v>
      </c>
      <c r="G1113" s="17" t="str">
        <f t="shared" si="888"/>
        <v>中级生命百分比</v>
      </c>
      <c r="H1113" s="17" t="str">
        <f t="shared" si="889"/>
        <v>icon_05</v>
      </c>
      <c r="I1113" s="20">
        <v>0</v>
      </c>
      <c r="J1113" s="17">
        <v>15</v>
      </c>
      <c r="K1113" s="17">
        <v>0</v>
      </c>
      <c r="L1113" s="17">
        <v>0</v>
      </c>
      <c r="M1113" s="17" t="str">
        <f t="shared" si="890"/>
        <v>1:11100:5</v>
      </c>
      <c r="N1113" s="16" t="str">
        <f t="shared" si="891"/>
        <v>126:1</v>
      </c>
      <c r="O1113" s="17">
        <f t="shared" si="895"/>
        <v>5</v>
      </c>
      <c r="P1113" s="21" t="str">
        <f t="shared" si="861"/>
        <v>所有弓兵生命百分比增加:1</v>
      </c>
      <c r="Q1113" s="21"/>
      <c r="R1113" t="str">
        <f t="shared" si="892"/>
        <v>生命百分比</v>
      </c>
      <c r="T1113" t="str">
        <f t="shared" si="893"/>
        <v>:1</v>
      </c>
      <c r="U1113" t="str">
        <f t="shared" si="883"/>
        <v>弓兵</v>
      </c>
      <c r="V1113" t="s">
        <v>4623</v>
      </c>
      <c r="W1113">
        <f>属性类型!G1113</f>
        <v>126</v>
      </c>
      <c r="X1113">
        <v>1</v>
      </c>
    </row>
    <row r="1114" customFormat="1" ht="16.5" spans="1:24">
      <c r="A1114" s="18">
        <f>A1098+100</f>
        <v>31500</v>
      </c>
      <c r="B1114" s="18">
        <f t="shared" si="884"/>
        <v>31500</v>
      </c>
      <c r="C1114" s="18" t="str">
        <f t="shared" si="852"/>
        <v>3</v>
      </c>
      <c r="D1114" s="17">
        <f t="shared" si="885"/>
        <v>30002</v>
      </c>
      <c r="E1114" s="17">
        <v>1</v>
      </c>
      <c r="F1114" s="18">
        <f t="shared" si="894"/>
        <v>2</v>
      </c>
      <c r="G1114" s="18" t="s">
        <v>427</v>
      </c>
      <c r="H1114" s="18" t="s">
        <v>149</v>
      </c>
      <c r="I1114" s="20">
        <v>0</v>
      </c>
      <c r="J1114" s="18">
        <v>0</v>
      </c>
      <c r="K1114" s="18">
        <f t="shared" ref="K1114:K1128" si="896">A1115</f>
        <v>31501</v>
      </c>
      <c r="L1114" s="18" t="s">
        <v>297</v>
      </c>
      <c r="M1114" s="18" t="s">
        <v>429</v>
      </c>
      <c r="N1114" s="16" t="str">
        <f t="shared" si="891"/>
        <v>127:1</v>
      </c>
      <c r="O1114" s="18">
        <f t="shared" si="895"/>
        <v>6</v>
      </c>
      <c r="P1114" s="21" t="str">
        <f t="shared" si="861"/>
        <v>所有弓兵攻击百分比增加1</v>
      </c>
      <c r="Q1114" s="21"/>
      <c r="R1114" t="s">
        <v>4280</v>
      </c>
      <c r="T1114" t="str">
        <f>RIGHT(N1114,1)</f>
        <v>1</v>
      </c>
      <c r="U1114" t="str">
        <f t="shared" si="883"/>
        <v>弓兵</v>
      </c>
      <c r="V1114" t="s">
        <v>4557</v>
      </c>
      <c r="W1114">
        <f>属性类型!G1114</f>
        <v>127</v>
      </c>
      <c r="X1114">
        <v>1</v>
      </c>
    </row>
    <row r="1115" customFormat="1" ht="16.5" spans="1:24">
      <c r="A1115" s="17">
        <f t="shared" ref="A1115:A1129" si="897">A1114+1</f>
        <v>31501</v>
      </c>
      <c r="B1115" s="17">
        <f t="shared" si="884"/>
        <v>31500</v>
      </c>
      <c r="C1115" s="17" t="str">
        <f t="shared" ref="C1115:C1178" si="898">LEFT(A1115,1)</f>
        <v>3</v>
      </c>
      <c r="D1115" s="17">
        <f t="shared" si="885"/>
        <v>30002</v>
      </c>
      <c r="E1115" s="17">
        <v>1</v>
      </c>
      <c r="F1115" s="17">
        <f t="shared" si="894"/>
        <v>2</v>
      </c>
      <c r="G1115" s="17" t="str">
        <f t="shared" ref="G1115:G1129" si="899">G1114</f>
        <v>中级攻击百分比</v>
      </c>
      <c r="H1115" s="17" t="str">
        <f t="shared" ref="H1115:H1129" si="900">H1114</f>
        <v>icon_06</v>
      </c>
      <c r="I1115" s="20">
        <v>0</v>
      </c>
      <c r="J1115" s="17">
        <v>1</v>
      </c>
      <c r="K1115" s="17">
        <f t="shared" si="896"/>
        <v>31502</v>
      </c>
      <c r="L1115" s="17" t="s">
        <v>300</v>
      </c>
      <c r="M1115" s="17" t="str">
        <f t="shared" ref="M1115:M1129" si="901">M1114</f>
        <v>1:11200:5</v>
      </c>
      <c r="N1115" s="16" t="str">
        <f t="shared" si="891"/>
        <v>127:1</v>
      </c>
      <c r="O1115" s="17">
        <f t="shared" si="895"/>
        <v>6</v>
      </c>
      <c r="P1115" s="21" t="str">
        <f t="shared" si="861"/>
        <v>所有弓兵攻击百分比增加:1</v>
      </c>
      <c r="Q1115" s="21"/>
      <c r="R1115" t="str">
        <f t="shared" ref="R1115:R1129" si="902">R1114</f>
        <v>攻击百分比</v>
      </c>
      <c r="T1115" t="str">
        <f t="shared" ref="T1115:T1129" si="903">RIGHT(N1115,2)</f>
        <v>:1</v>
      </c>
      <c r="U1115" t="str">
        <f t="shared" si="883"/>
        <v>弓兵</v>
      </c>
      <c r="V1115" t="s">
        <v>4557</v>
      </c>
      <c r="W1115">
        <f>属性类型!G1115</f>
        <v>127</v>
      </c>
      <c r="X1115">
        <v>1</v>
      </c>
    </row>
    <row r="1116" customFormat="1" ht="16.5" spans="1:24">
      <c r="A1116" s="17">
        <f t="shared" si="897"/>
        <v>31502</v>
      </c>
      <c r="B1116" s="17">
        <f t="shared" si="884"/>
        <v>31500</v>
      </c>
      <c r="C1116" s="17" t="str">
        <f t="shared" si="898"/>
        <v>3</v>
      </c>
      <c r="D1116" s="17">
        <f t="shared" si="885"/>
        <v>30002</v>
      </c>
      <c r="E1116" s="17">
        <v>1</v>
      </c>
      <c r="F1116" s="17">
        <f t="shared" si="894"/>
        <v>2</v>
      </c>
      <c r="G1116" s="17" t="str">
        <f t="shared" si="899"/>
        <v>中级攻击百分比</v>
      </c>
      <c r="H1116" s="17" t="str">
        <f t="shared" si="900"/>
        <v>icon_06</v>
      </c>
      <c r="I1116" s="20">
        <v>0</v>
      </c>
      <c r="J1116" s="17">
        <v>2</v>
      </c>
      <c r="K1116" s="17">
        <f t="shared" si="896"/>
        <v>31503</v>
      </c>
      <c r="L1116" s="17" t="s">
        <v>304</v>
      </c>
      <c r="M1116" s="17" t="str">
        <f t="shared" si="901"/>
        <v>1:11200:5</v>
      </c>
      <c r="N1116" s="16" t="str">
        <f t="shared" si="891"/>
        <v>127:1</v>
      </c>
      <c r="O1116" s="17">
        <f t="shared" si="895"/>
        <v>6</v>
      </c>
      <c r="P1116" s="21" t="str">
        <f t="shared" si="861"/>
        <v>所有弓兵攻击百分比增加:1</v>
      </c>
      <c r="Q1116" s="21"/>
      <c r="R1116" t="str">
        <f t="shared" si="902"/>
        <v>攻击百分比</v>
      </c>
      <c r="T1116" t="str">
        <f t="shared" si="903"/>
        <v>:1</v>
      </c>
      <c r="U1116" t="str">
        <f t="shared" si="883"/>
        <v>弓兵</v>
      </c>
      <c r="V1116" t="s">
        <v>4557</v>
      </c>
      <c r="W1116">
        <f>属性类型!G1116</f>
        <v>127</v>
      </c>
      <c r="X1116">
        <v>1</v>
      </c>
    </row>
    <row r="1117" customFormat="1" ht="16.5" spans="1:24">
      <c r="A1117" s="17">
        <f t="shared" si="897"/>
        <v>31503</v>
      </c>
      <c r="B1117" s="17">
        <f t="shared" si="884"/>
        <v>31500</v>
      </c>
      <c r="C1117" s="17" t="str">
        <f t="shared" si="898"/>
        <v>3</v>
      </c>
      <c r="D1117" s="17">
        <f t="shared" si="885"/>
        <v>30002</v>
      </c>
      <c r="E1117" s="17">
        <v>1</v>
      </c>
      <c r="F1117" s="17">
        <f t="shared" si="894"/>
        <v>2</v>
      </c>
      <c r="G1117" s="17" t="str">
        <f t="shared" si="899"/>
        <v>中级攻击百分比</v>
      </c>
      <c r="H1117" s="17" t="str">
        <f t="shared" si="900"/>
        <v>icon_06</v>
      </c>
      <c r="I1117" s="20">
        <v>0</v>
      </c>
      <c r="J1117" s="17">
        <v>3</v>
      </c>
      <c r="K1117" s="17">
        <f t="shared" si="896"/>
        <v>31504</v>
      </c>
      <c r="L1117" s="17" t="s">
        <v>307</v>
      </c>
      <c r="M1117" s="17" t="str">
        <f t="shared" si="901"/>
        <v>1:11200:5</v>
      </c>
      <c r="N1117" s="16" t="str">
        <f t="shared" si="891"/>
        <v>127:1</v>
      </c>
      <c r="O1117" s="17">
        <f t="shared" si="895"/>
        <v>6</v>
      </c>
      <c r="P1117" s="21" t="str">
        <f t="shared" si="861"/>
        <v>所有弓兵攻击百分比增加:1</v>
      </c>
      <c r="Q1117" s="21"/>
      <c r="R1117" t="str">
        <f t="shared" si="902"/>
        <v>攻击百分比</v>
      </c>
      <c r="T1117" t="str">
        <f t="shared" si="903"/>
        <v>:1</v>
      </c>
      <c r="U1117" t="str">
        <f t="shared" si="883"/>
        <v>弓兵</v>
      </c>
      <c r="V1117" t="s">
        <v>4557</v>
      </c>
      <c r="W1117">
        <f>属性类型!G1117</f>
        <v>127</v>
      </c>
      <c r="X1117">
        <v>1</v>
      </c>
    </row>
    <row r="1118" customFormat="1" ht="16.5" spans="1:24">
      <c r="A1118" s="17">
        <f t="shared" si="897"/>
        <v>31504</v>
      </c>
      <c r="B1118" s="17">
        <f t="shared" si="884"/>
        <v>31500</v>
      </c>
      <c r="C1118" s="17" t="str">
        <f t="shared" si="898"/>
        <v>3</v>
      </c>
      <c r="D1118" s="17">
        <f t="shared" si="885"/>
        <v>30002</v>
      </c>
      <c r="E1118" s="17">
        <v>1</v>
      </c>
      <c r="F1118" s="17">
        <f t="shared" si="894"/>
        <v>2</v>
      </c>
      <c r="G1118" s="17" t="str">
        <f t="shared" si="899"/>
        <v>中级攻击百分比</v>
      </c>
      <c r="H1118" s="17" t="str">
        <f t="shared" si="900"/>
        <v>icon_06</v>
      </c>
      <c r="I1118" s="20">
        <v>0</v>
      </c>
      <c r="J1118" s="17">
        <v>4</v>
      </c>
      <c r="K1118" s="17">
        <f t="shared" si="896"/>
        <v>31505</v>
      </c>
      <c r="L1118" s="17" t="s">
        <v>309</v>
      </c>
      <c r="M1118" s="17" t="str">
        <f t="shared" si="901"/>
        <v>1:11200:5</v>
      </c>
      <c r="N1118" s="16" t="str">
        <f t="shared" si="891"/>
        <v>127:1</v>
      </c>
      <c r="O1118" s="17">
        <f t="shared" si="895"/>
        <v>6</v>
      </c>
      <c r="P1118" s="21" t="str">
        <f t="shared" si="861"/>
        <v>所有弓兵攻击百分比增加:1</v>
      </c>
      <c r="Q1118" s="21"/>
      <c r="R1118" t="str">
        <f t="shared" si="902"/>
        <v>攻击百分比</v>
      </c>
      <c r="T1118" t="str">
        <f t="shared" si="903"/>
        <v>:1</v>
      </c>
      <c r="U1118" t="str">
        <f t="shared" si="883"/>
        <v>弓兵</v>
      </c>
      <c r="V1118" t="s">
        <v>4557</v>
      </c>
      <c r="W1118">
        <f>属性类型!G1118</f>
        <v>127</v>
      </c>
      <c r="X1118">
        <v>1</v>
      </c>
    </row>
    <row r="1119" customFormat="1" ht="16.5" spans="1:24">
      <c r="A1119" s="17">
        <f t="shared" si="897"/>
        <v>31505</v>
      </c>
      <c r="B1119" s="17">
        <f t="shared" si="884"/>
        <v>31500</v>
      </c>
      <c r="C1119" s="17" t="str">
        <f t="shared" si="898"/>
        <v>3</v>
      </c>
      <c r="D1119" s="17">
        <f t="shared" si="885"/>
        <v>30002</v>
      </c>
      <c r="E1119" s="17">
        <v>1</v>
      </c>
      <c r="F1119" s="17">
        <f t="shared" si="894"/>
        <v>2</v>
      </c>
      <c r="G1119" s="17" t="str">
        <f t="shared" si="899"/>
        <v>中级攻击百分比</v>
      </c>
      <c r="H1119" s="17" t="str">
        <f t="shared" si="900"/>
        <v>icon_06</v>
      </c>
      <c r="I1119" s="20">
        <v>0</v>
      </c>
      <c r="J1119" s="17">
        <v>5</v>
      </c>
      <c r="K1119" s="17">
        <f t="shared" si="896"/>
        <v>31506</v>
      </c>
      <c r="L1119" s="17" t="s">
        <v>312</v>
      </c>
      <c r="M1119" s="17" t="str">
        <f t="shared" si="901"/>
        <v>1:11200:5</v>
      </c>
      <c r="N1119" s="16" t="str">
        <f t="shared" si="891"/>
        <v>127:1</v>
      </c>
      <c r="O1119" s="17">
        <f t="shared" si="895"/>
        <v>6</v>
      </c>
      <c r="P1119" s="21" t="str">
        <f t="shared" si="861"/>
        <v>所有弓兵攻击百分比增加:1</v>
      </c>
      <c r="Q1119" s="21"/>
      <c r="R1119" t="str">
        <f t="shared" si="902"/>
        <v>攻击百分比</v>
      </c>
      <c r="T1119" t="str">
        <f t="shared" si="903"/>
        <v>:1</v>
      </c>
      <c r="U1119" t="str">
        <f t="shared" si="883"/>
        <v>弓兵</v>
      </c>
      <c r="V1119" t="s">
        <v>4557</v>
      </c>
      <c r="W1119">
        <f>属性类型!G1119</f>
        <v>127</v>
      </c>
      <c r="X1119">
        <v>1</v>
      </c>
    </row>
    <row r="1120" customFormat="1" ht="16.5" spans="1:24">
      <c r="A1120" s="17">
        <f t="shared" si="897"/>
        <v>31506</v>
      </c>
      <c r="B1120" s="17">
        <f t="shared" si="884"/>
        <v>31500</v>
      </c>
      <c r="C1120" s="17" t="str">
        <f t="shared" si="898"/>
        <v>3</v>
      </c>
      <c r="D1120" s="17">
        <f t="shared" si="885"/>
        <v>30002</v>
      </c>
      <c r="E1120" s="17">
        <v>1</v>
      </c>
      <c r="F1120" s="17">
        <f t="shared" si="894"/>
        <v>2</v>
      </c>
      <c r="G1120" s="17" t="str">
        <f t="shared" si="899"/>
        <v>中级攻击百分比</v>
      </c>
      <c r="H1120" s="17" t="str">
        <f t="shared" si="900"/>
        <v>icon_06</v>
      </c>
      <c r="I1120" s="20">
        <v>0</v>
      </c>
      <c r="J1120" s="17">
        <v>6</v>
      </c>
      <c r="K1120" s="17">
        <f t="shared" si="896"/>
        <v>31507</v>
      </c>
      <c r="L1120" s="17" t="s">
        <v>315</v>
      </c>
      <c r="M1120" s="17" t="str">
        <f t="shared" si="901"/>
        <v>1:11200:5</v>
      </c>
      <c r="N1120" s="16" t="str">
        <f t="shared" si="891"/>
        <v>127:1</v>
      </c>
      <c r="O1120" s="17">
        <f t="shared" si="895"/>
        <v>6</v>
      </c>
      <c r="P1120" s="21" t="str">
        <f t="shared" si="861"/>
        <v>所有弓兵攻击百分比增加:1</v>
      </c>
      <c r="Q1120" s="21"/>
      <c r="R1120" t="str">
        <f t="shared" si="902"/>
        <v>攻击百分比</v>
      </c>
      <c r="T1120" t="str">
        <f t="shared" si="903"/>
        <v>:1</v>
      </c>
      <c r="U1120" t="str">
        <f t="shared" si="883"/>
        <v>弓兵</v>
      </c>
      <c r="V1120" t="s">
        <v>4557</v>
      </c>
      <c r="W1120">
        <f>属性类型!G1120</f>
        <v>127</v>
      </c>
      <c r="X1120">
        <v>1</v>
      </c>
    </row>
    <row r="1121" customFormat="1" ht="16.5" spans="1:24">
      <c r="A1121" s="17">
        <f t="shared" si="897"/>
        <v>31507</v>
      </c>
      <c r="B1121" s="17">
        <f t="shared" si="884"/>
        <v>31500</v>
      </c>
      <c r="C1121" s="17" t="str">
        <f t="shared" si="898"/>
        <v>3</v>
      </c>
      <c r="D1121" s="17">
        <f t="shared" si="885"/>
        <v>30002</v>
      </c>
      <c r="E1121" s="17">
        <v>1</v>
      </c>
      <c r="F1121" s="17">
        <f t="shared" si="894"/>
        <v>2</v>
      </c>
      <c r="G1121" s="17" t="str">
        <f t="shared" si="899"/>
        <v>中级攻击百分比</v>
      </c>
      <c r="H1121" s="17" t="str">
        <f t="shared" si="900"/>
        <v>icon_06</v>
      </c>
      <c r="I1121" s="20">
        <v>0</v>
      </c>
      <c r="J1121" s="17">
        <v>7</v>
      </c>
      <c r="K1121" s="17">
        <f t="shared" si="896"/>
        <v>31508</v>
      </c>
      <c r="L1121" s="17" t="s">
        <v>317</v>
      </c>
      <c r="M1121" s="17" t="str">
        <f t="shared" si="901"/>
        <v>1:11200:5</v>
      </c>
      <c r="N1121" s="16" t="str">
        <f t="shared" si="891"/>
        <v>127:1</v>
      </c>
      <c r="O1121" s="17">
        <f t="shared" si="895"/>
        <v>6</v>
      </c>
      <c r="P1121" s="21" t="str">
        <f t="shared" si="861"/>
        <v>所有弓兵攻击百分比增加:1</v>
      </c>
      <c r="Q1121" s="21"/>
      <c r="R1121" t="str">
        <f t="shared" si="902"/>
        <v>攻击百分比</v>
      </c>
      <c r="T1121" t="str">
        <f t="shared" si="903"/>
        <v>:1</v>
      </c>
      <c r="U1121" t="str">
        <f t="shared" si="883"/>
        <v>弓兵</v>
      </c>
      <c r="V1121" t="s">
        <v>4557</v>
      </c>
      <c r="W1121">
        <f>属性类型!G1121</f>
        <v>127</v>
      </c>
      <c r="X1121">
        <v>1</v>
      </c>
    </row>
    <row r="1122" customFormat="1" ht="16.5" spans="1:24">
      <c r="A1122" s="17">
        <f t="shared" si="897"/>
        <v>31508</v>
      </c>
      <c r="B1122" s="17">
        <f t="shared" si="884"/>
        <v>31500</v>
      </c>
      <c r="C1122" s="17" t="str">
        <f t="shared" si="898"/>
        <v>3</v>
      </c>
      <c r="D1122" s="17">
        <f t="shared" si="885"/>
        <v>30002</v>
      </c>
      <c r="E1122" s="17">
        <v>1</v>
      </c>
      <c r="F1122" s="17">
        <f t="shared" si="894"/>
        <v>2</v>
      </c>
      <c r="G1122" s="17" t="str">
        <f t="shared" si="899"/>
        <v>中级攻击百分比</v>
      </c>
      <c r="H1122" s="17" t="str">
        <f t="shared" si="900"/>
        <v>icon_06</v>
      </c>
      <c r="I1122" s="20">
        <v>0</v>
      </c>
      <c r="J1122" s="17">
        <v>8</v>
      </c>
      <c r="K1122" s="17">
        <f t="shared" si="896"/>
        <v>31509</v>
      </c>
      <c r="L1122" s="17" t="s">
        <v>320</v>
      </c>
      <c r="M1122" s="17" t="str">
        <f t="shared" si="901"/>
        <v>1:11200:5</v>
      </c>
      <c r="N1122" s="16" t="str">
        <f t="shared" si="891"/>
        <v>127:1</v>
      </c>
      <c r="O1122" s="17">
        <f t="shared" si="895"/>
        <v>6</v>
      </c>
      <c r="P1122" s="21" t="str">
        <f t="shared" si="861"/>
        <v>所有弓兵攻击百分比增加:1</v>
      </c>
      <c r="Q1122" s="21"/>
      <c r="R1122" t="str">
        <f t="shared" si="902"/>
        <v>攻击百分比</v>
      </c>
      <c r="T1122" t="str">
        <f t="shared" si="903"/>
        <v>:1</v>
      </c>
      <c r="U1122" t="str">
        <f t="shared" si="883"/>
        <v>弓兵</v>
      </c>
      <c r="V1122" t="s">
        <v>4557</v>
      </c>
      <c r="W1122">
        <f>属性类型!G1122</f>
        <v>127</v>
      </c>
      <c r="X1122">
        <v>1</v>
      </c>
    </row>
    <row r="1123" customFormat="1" ht="16.5" spans="1:24">
      <c r="A1123" s="17">
        <f t="shared" si="897"/>
        <v>31509</v>
      </c>
      <c r="B1123" s="17">
        <f t="shared" si="884"/>
        <v>31500</v>
      </c>
      <c r="C1123" s="17" t="str">
        <f t="shared" si="898"/>
        <v>3</v>
      </c>
      <c r="D1123" s="17">
        <f t="shared" si="885"/>
        <v>30002</v>
      </c>
      <c r="E1123" s="17">
        <v>1</v>
      </c>
      <c r="F1123" s="17">
        <f t="shared" si="894"/>
        <v>2</v>
      </c>
      <c r="G1123" s="17" t="str">
        <f t="shared" si="899"/>
        <v>中级攻击百分比</v>
      </c>
      <c r="H1123" s="17" t="str">
        <f t="shared" si="900"/>
        <v>icon_06</v>
      </c>
      <c r="I1123" s="20">
        <v>0</v>
      </c>
      <c r="J1123" s="17">
        <v>9</v>
      </c>
      <c r="K1123" s="17">
        <f t="shared" si="896"/>
        <v>31510</v>
      </c>
      <c r="L1123" s="17" t="s">
        <v>323</v>
      </c>
      <c r="M1123" s="17" t="str">
        <f t="shared" si="901"/>
        <v>1:11200:5</v>
      </c>
      <c r="N1123" s="16" t="str">
        <f t="shared" si="891"/>
        <v>127:1</v>
      </c>
      <c r="O1123" s="17">
        <f t="shared" si="895"/>
        <v>6</v>
      </c>
      <c r="P1123" s="21" t="str">
        <f t="shared" si="861"/>
        <v>所有弓兵攻击百分比增加:1</v>
      </c>
      <c r="Q1123" s="21"/>
      <c r="R1123" t="str">
        <f t="shared" si="902"/>
        <v>攻击百分比</v>
      </c>
      <c r="T1123" t="str">
        <f t="shared" si="903"/>
        <v>:1</v>
      </c>
      <c r="U1123" t="str">
        <f t="shared" si="883"/>
        <v>弓兵</v>
      </c>
      <c r="V1123" t="s">
        <v>4557</v>
      </c>
      <c r="W1123">
        <f>属性类型!G1123</f>
        <v>127</v>
      </c>
      <c r="X1123">
        <v>1</v>
      </c>
    </row>
    <row r="1124" customFormat="1" ht="16.5" spans="1:24">
      <c r="A1124" s="17">
        <f t="shared" si="897"/>
        <v>31510</v>
      </c>
      <c r="B1124" s="17">
        <f t="shared" si="884"/>
        <v>31500</v>
      </c>
      <c r="C1124" s="17" t="str">
        <f t="shared" si="898"/>
        <v>3</v>
      </c>
      <c r="D1124" s="17">
        <f t="shared" si="885"/>
        <v>30002</v>
      </c>
      <c r="E1124" s="17">
        <v>1</v>
      </c>
      <c r="F1124" s="17">
        <f t="shared" si="894"/>
        <v>2</v>
      </c>
      <c r="G1124" s="17" t="str">
        <f t="shared" si="899"/>
        <v>中级攻击百分比</v>
      </c>
      <c r="H1124" s="17" t="str">
        <f t="shared" si="900"/>
        <v>icon_06</v>
      </c>
      <c r="I1124" s="20">
        <v>0</v>
      </c>
      <c r="J1124" s="17">
        <v>10</v>
      </c>
      <c r="K1124" s="17">
        <f t="shared" si="896"/>
        <v>31511</v>
      </c>
      <c r="L1124" s="17" t="s">
        <v>407</v>
      </c>
      <c r="M1124" s="17" t="str">
        <f t="shared" si="901"/>
        <v>1:11200:5</v>
      </c>
      <c r="N1124" s="16" t="str">
        <f t="shared" si="891"/>
        <v>127:1</v>
      </c>
      <c r="O1124" s="17">
        <f t="shared" si="895"/>
        <v>6</v>
      </c>
      <c r="P1124" s="21" t="str">
        <f t="shared" si="861"/>
        <v>所有弓兵攻击百分比增加:1</v>
      </c>
      <c r="Q1124" s="21"/>
      <c r="R1124" t="str">
        <f t="shared" si="902"/>
        <v>攻击百分比</v>
      </c>
      <c r="T1124" t="str">
        <f t="shared" si="903"/>
        <v>:1</v>
      </c>
      <c r="U1124" t="str">
        <f t="shared" si="883"/>
        <v>弓兵</v>
      </c>
      <c r="V1124" t="s">
        <v>4557</v>
      </c>
      <c r="W1124">
        <f>属性类型!G1124</f>
        <v>127</v>
      </c>
      <c r="X1124">
        <v>1</v>
      </c>
    </row>
    <row r="1125" customFormat="1" ht="16.5" spans="1:24">
      <c r="A1125" s="17">
        <f t="shared" si="897"/>
        <v>31511</v>
      </c>
      <c r="B1125" s="17">
        <f t="shared" si="884"/>
        <v>31500</v>
      </c>
      <c r="C1125" s="17" t="str">
        <f t="shared" si="898"/>
        <v>3</v>
      </c>
      <c r="D1125" s="17">
        <f t="shared" si="885"/>
        <v>30002</v>
      </c>
      <c r="E1125" s="17">
        <v>1</v>
      </c>
      <c r="F1125" s="17">
        <f t="shared" si="894"/>
        <v>2</v>
      </c>
      <c r="G1125" s="17" t="str">
        <f t="shared" si="899"/>
        <v>中级攻击百分比</v>
      </c>
      <c r="H1125" s="17" t="str">
        <f t="shared" si="900"/>
        <v>icon_06</v>
      </c>
      <c r="I1125" s="20">
        <v>0</v>
      </c>
      <c r="J1125" s="17">
        <v>11</v>
      </c>
      <c r="K1125" s="17">
        <f t="shared" si="896"/>
        <v>31512</v>
      </c>
      <c r="L1125" s="17" t="s">
        <v>410</v>
      </c>
      <c r="M1125" s="17" t="str">
        <f t="shared" si="901"/>
        <v>1:11200:5</v>
      </c>
      <c r="N1125" s="16" t="str">
        <f t="shared" si="891"/>
        <v>127:1</v>
      </c>
      <c r="O1125" s="17">
        <f t="shared" si="895"/>
        <v>6</v>
      </c>
      <c r="P1125" s="21" t="str">
        <f t="shared" si="861"/>
        <v>所有弓兵攻击百分比增加:1</v>
      </c>
      <c r="Q1125" s="21"/>
      <c r="R1125" t="str">
        <f t="shared" si="902"/>
        <v>攻击百分比</v>
      </c>
      <c r="T1125" t="str">
        <f t="shared" si="903"/>
        <v>:1</v>
      </c>
      <c r="U1125" t="str">
        <f t="shared" si="883"/>
        <v>弓兵</v>
      </c>
      <c r="V1125" t="s">
        <v>4557</v>
      </c>
      <c r="W1125">
        <f>属性类型!G1125</f>
        <v>127</v>
      </c>
      <c r="X1125">
        <v>1</v>
      </c>
    </row>
    <row r="1126" customFormat="1" ht="16.5" spans="1:24">
      <c r="A1126" s="17">
        <f t="shared" si="897"/>
        <v>31512</v>
      </c>
      <c r="B1126" s="17">
        <f t="shared" si="884"/>
        <v>31500</v>
      </c>
      <c r="C1126" s="17" t="str">
        <f t="shared" si="898"/>
        <v>3</v>
      </c>
      <c r="D1126" s="17">
        <f t="shared" si="885"/>
        <v>30002</v>
      </c>
      <c r="E1126" s="17">
        <v>1</v>
      </c>
      <c r="F1126" s="17">
        <f t="shared" si="894"/>
        <v>2</v>
      </c>
      <c r="G1126" s="17" t="str">
        <f t="shared" si="899"/>
        <v>中级攻击百分比</v>
      </c>
      <c r="H1126" s="17" t="str">
        <f t="shared" si="900"/>
        <v>icon_06</v>
      </c>
      <c r="I1126" s="20">
        <v>0</v>
      </c>
      <c r="J1126" s="17">
        <v>12</v>
      </c>
      <c r="K1126" s="17">
        <f t="shared" si="896"/>
        <v>31513</v>
      </c>
      <c r="L1126" s="17" t="s">
        <v>414</v>
      </c>
      <c r="M1126" s="17" t="str">
        <f t="shared" si="901"/>
        <v>1:11200:5</v>
      </c>
      <c r="N1126" s="16" t="str">
        <f t="shared" si="891"/>
        <v>127:1</v>
      </c>
      <c r="O1126" s="17">
        <f t="shared" si="895"/>
        <v>6</v>
      </c>
      <c r="P1126" s="21" t="str">
        <f t="shared" si="861"/>
        <v>所有弓兵攻击百分比增加:1</v>
      </c>
      <c r="Q1126" s="21"/>
      <c r="R1126" t="str">
        <f t="shared" si="902"/>
        <v>攻击百分比</v>
      </c>
      <c r="T1126" t="str">
        <f t="shared" si="903"/>
        <v>:1</v>
      </c>
      <c r="U1126" t="str">
        <f t="shared" si="883"/>
        <v>弓兵</v>
      </c>
      <c r="V1126" t="s">
        <v>4557</v>
      </c>
      <c r="W1126">
        <f>属性类型!G1126</f>
        <v>127</v>
      </c>
      <c r="X1126">
        <v>1</v>
      </c>
    </row>
    <row r="1127" customFormat="1" ht="16.5" spans="1:24">
      <c r="A1127" s="17">
        <f t="shared" si="897"/>
        <v>31513</v>
      </c>
      <c r="B1127" s="17">
        <f t="shared" si="884"/>
        <v>31500</v>
      </c>
      <c r="C1127" s="17" t="str">
        <f t="shared" si="898"/>
        <v>3</v>
      </c>
      <c r="D1127" s="17">
        <f t="shared" si="885"/>
        <v>30002</v>
      </c>
      <c r="E1127" s="17">
        <v>1</v>
      </c>
      <c r="F1127" s="17">
        <f t="shared" si="894"/>
        <v>2</v>
      </c>
      <c r="G1127" s="17" t="str">
        <f t="shared" si="899"/>
        <v>中级攻击百分比</v>
      </c>
      <c r="H1127" s="17" t="str">
        <f t="shared" si="900"/>
        <v>icon_06</v>
      </c>
      <c r="I1127" s="20">
        <v>0</v>
      </c>
      <c r="J1127" s="17">
        <v>13</v>
      </c>
      <c r="K1127" s="17">
        <f t="shared" si="896"/>
        <v>31514</v>
      </c>
      <c r="L1127" s="17" t="s">
        <v>418</v>
      </c>
      <c r="M1127" s="17" t="str">
        <f t="shared" si="901"/>
        <v>1:11200:5</v>
      </c>
      <c r="N1127" s="16" t="str">
        <f t="shared" si="891"/>
        <v>127:1</v>
      </c>
      <c r="O1127" s="17">
        <f t="shared" si="895"/>
        <v>6</v>
      </c>
      <c r="P1127" s="21" t="str">
        <f t="shared" si="861"/>
        <v>所有弓兵攻击百分比增加:1</v>
      </c>
      <c r="Q1127" s="21"/>
      <c r="R1127" t="str">
        <f t="shared" si="902"/>
        <v>攻击百分比</v>
      </c>
      <c r="T1127" t="str">
        <f t="shared" si="903"/>
        <v>:1</v>
      </c>
      <c r="U1127" t="str">
        <f t="shared" si="883"/>
        <v>弓兵</v>
      </c>
      <c r="V1127" t="s">
        <v>4557</v>
      </c>
      <c r="W1127">
        <f>属性类型!G1127</f>
        <v>127</v>
      </c>
      <c r="X1127">
        <v>1</v>
      </c>
    </row>
    <row r="1128" customFormat="1" ht="16.5" spans="1:24">
      <c r="A1128" s="17">
        <f t="shared" si="897"/>
        <v>31514</v>
      </c>
      <c r="B1128" s="17">
        <f t="shared" si="884"/>
        <v>31500</v>
      </c>
      <c r="C1128" s="17" t="str">
        <f t="shared" si="898"/>
        <v>3</v>
      </c>
      <c r="D1128" s="17">
        <f t="shared" si="885"/>
        <v>30002</v>
      </c>
      <c r="E1128" s="17">
        <v>1</v>
      </c>
      <c r="F1128" s="17">
        <f t="shared" si="894"/>
        <v>2</v>
      </c>
      <c r="G1128" s="17" t="str">
        <f t="shared" si="899"/>
        <v>中级攻击百分比</v>
      </c>
      <c r="H1128" s="17" t="str">
        <f t="shared" si="900"/>
        <v>icon_06</v>
      </c>
      <c r="I1128" s="20">
        <v>0</v>
      </c>
      <c r="J1128" s="17">
        <v>14</v>
      </c>
      <c r="K1128" s="17">
        <f t="shared" si="896"/>
        <v>31515</v>
      </c>
      <c r="L1128" s="17" t="s">
        <v>422</v>
      </c>
      <c r="M1128" s="17" t="str">
        <f t="shared" si="901"/>
        <v>1:11200:5</v>
      </c>
      <c r="N1128" s="16" t="str">
        <f t="shared" si="891"/>
        <v>127:1</v>
      </c>
      <c r="O1128" s="17">
        <f t="shared" si="895"/>
        <v>6</v>
      </c>
      <c r="P1128" s="21" t="str">
        <f>$R$3&amp;R1128&amp;$Q$1&amp;T1128</f>
        <v>所有弓兵攻击百分比增加:1</v>
      </c>
      <c r="Q1128" s="21"/>
      <c r="R1128" t="str">
        <f t="shared" si="902"/>
        <v>攻击百分比</v>
      </c>
      <c r="T1128" t="str">
        <f t="shared" si="903"/>
        <v>:1</v>
      </c>
      <c r="U1128" t="str">
        <f t="shared" si="883"/>
        <v>弓兵</v>
      </c>
      <c r="V1128" t="s">
        <v>4557</v>
      </c>
      <c r="W1128">
        <f>属性类型!G1128</f>
        <v>127</v>
      </c>
      <c r="X1128">
        <v>1</v>
      </c>
    </row>
    <row r="1129" customFormat="1" ht="16.5" spans="1:24">
      <c r="A1129" s="17">
        <f t="shared" si="897"/>
        <v>31515</v>
      </c>
      <c r="B1129" s="17">
        <f t="shared" si="884"/>
        <v>31500</v>
      </c>
      <c r="C1129" s="17" t="str">
        <f t="shared" si="898"/>
        <v>3</v>
      </c>
      <c r="D1129" s="17">
        <f t="shared" si="885"/>
        <v>30002</v>
      </c>
      <c r="E1129" s="17">
        <v>1</v>
      </c>
      <c r="F1129" s="17">
        <f t="shared" si="894"/>
        <v>2</v>
      </c>
      <c r="G1129" s="17" t="str">
        <f t="shared" si="899"/>
        <v>中级攻击百分比</v>
      </c>
      <c r="H1129" s="17" t="str">
        <f t="shared" si="900"/>
        <v>icon_06</v>
      </c>
      <c r="I1129" s="20">
        <v>0</v>
      </c>
      <c r="J1129" s="17">
        <v>15</v>
      </c>
      <c r="K1129" s="17">
        <v>0</v>
      </c>
      <c r="L1129" s="17">
        <v>0</v>
      </c>
      <c r="M1129" s="17" t="str">
        <f t="shared" si="901"/>
        <v>1:11200:5</v>
      </c>
      <c r="N1129" s="16" t="str">
        <f t="shared" si="891"/>
        <v>127:1</v>
      </c>
      <c r="O1129" s="17">
        <f t="shared" si="895"/>
        <v>6</v>
      </c>
      <c r="P1129" s="21" t="str">
        <f>$R$3&amp;R1129&amp;$Q$1&amp;T1129</f>
        <v>所有弓兵攻击百分比增加:1</v>
      </c>
      <c r="Q1129" s="21"/>
      <c r="R1129" t="str">
        <f t="shared" si="902"/>
        <v>攻击百分比</v>
      </c>
      <c r="T1129" t="str">
        <f t="shared" si="903"/>
        <v>:1</v>
      </c>
      <c r="U1129" t="str">
        <f t="shared" si="883"/>
        <v>弓兵</v>
      </c>
      <c r="V1129" t="s">
        <v>4557</v>
      </c>
      <c r="W1129">
        <f>属性类型!G1129</f>
        <v>127</v>
      </c>
      <c r="X1129">
        <v>1</v>
      </c>
    </row>
    <row r="1130" customFormat="1" ht="16.5" spans="1:24">
      <c r="A1130" s="18">
        <f>A1114+100</f>
        <v>31600</v>
      </c>
      <c r="B1130" s="18">
        <f t="shared" si="884"/>
        <v>31600</v>
      </c>
      <c r="C1130" s="18" t="str">
        <f t="shared" si="898"/>
        <v>3</v>
      </c>
      <c r="D1130" s="17">
        <f t="shared" si="885"/>
        <v>30002</v>
      </c>
      <c r="E1130" s="17">
        <v>1</v>
      </c>
      <c r="F1130" s="18">
        <f t="shared" si="894"/>
        <v>2</v>
      </c>
      <c r="G1130" s="18" t="s">
        <v>450</v>
      </c>
      <c r="H1130" s="18" t="s">
        <v>176</v>
      </c>
      <c r="I1130" s="20">
        <v>0</v>
      </c>
      <c r="J1130" s="18">
        <v>0</v>
      </c>
      <c r="K1130" s="18">
        <f t="shared" ref="K1130:K1144" si="904">A1131</f>
        <v>31601</v>
      </c>
      <c r="L1130" s="18" t="s">
        <v>297</v>
      </c>
      <c r="M1130" s="18" t="s">
        <v>452</v>
      </c>
      <c r="N1130" s="16" t="str">
        <f t="shared" si="891"/>
        <v>129:1</v>
      </c>
      <c r="O1130" s="18">
        <f t="shared" si="895"/>
        <v>7</v>
      </c>
      <c r="P1130" s="21" t="str">
        <f>$R$3&amp;R1130&amp;$Q$1&amp;T1130</f>
        <v>所有弓兵魔防百分比增加1</v>
      </c>
      <c r="Q1130" s="21"/>
      <c r="R1130" t="s">
        <v>4282</v>
      </c>
      <c r="T1130" t="str">
        <f>RIGHT(N1130,1)</f>
        <v>1</v>
      </c>
      <c r="U1130" t="str">
        <f t="shared" si="883"/>
        <v>弓兵</v>
      </c>
      <c r="V1130" t="s">
        <v>4558</v>
      </c>
      <c r="W1130">
        <f>属性类型!G1130</f>
        <v>129</v>
      </c>
      <c r="X1130">
        <v>1</v>
      </c>
    </row>
    <row r="1131" customFormat="1" ht="16.5" spans="1:24">
      <c r="A1131" s="17">
        <f t="shared" ref="A1131:A1145" si="905">A1130+1</f>
        <v>31601</v>
      </c>
      <c r="B1131" s="17">
        <f t="shared" si="884"/>
        <v>31600</v>
      </c>
      <c r="C1131" s="17" t="str">
        <f t="shared" si="898"/>
        <v>3</v>
      </c>
      <c r="D1131" s="17">
        <f t="shared" si="885"/>
        <v>30002</v>
      </c>
      <c r="E1131" s="17">
        <v>1</v>
      </c>
      <c r="F1131" s="17">
        <f t="shared" si="894"/>
        <v>2</v>
      </c>
      <c r="G1131" s="17" t="str">
        <f t="shared" ref="G1131:G1145" si="906">G1130</f>
        <v>中级魔防百分比</v>
      </c>
      <c r="H1131" s="17" t="str">
        <f t="shared" ref="H1131:H1145" si="907">H1130</f>
        <v>icon_07</v>
      </c>
      <c r="I1131" s="20">
        <v>0</v>
      </c>
      <c r="J1131" s="17">
        <v>1</v>
      </c>
      <c r="K1131" s="17">
        <f t="shared" si="904"/>
        <v>31602</v>
      </c>
      <c r="L1131" s="17" t="s">
        <v>300</v>
      </c>
      <c r="M1131" s="17" t="str">
        <f t="shared" ref="M1131:M1145" si="908">M1130</f>
        <v>1:11300:5</v>
      </c>
      <c r="N1131" s="16" t="str">
        <f t="shared" si="891"/>
        <v>129:1</v>
      </c>
      <c r="O1131" s="17">
        <f t="shared" si="895"/>
        <v>7</v>
      </c>
      <c r="P1131" s="21" t="str">
        <f>$R$3&amp;R1131&amp;$Q$1&amp;T1131</f>
        <v>所有弓兵魔防百分比增加:1</v>
      </c>
      <c r="Q1131" s="21"/>
      <c r="R1131" t="str">
        <f t="shared" ref="R1131:R1145" si="909">R1130</f>
        <v>魔防百分比</v>
      </c>
      <c r="T1131" t="str">
        <f t="shared" ref="T1131:T1145" si="910">RIGHT(N1131,2)</f>
        <v>:1</v>
      </c>
      <c r="U1131" t="str">
        <f t="shared" si="883"/>
        <v>弓兵</v>
      </c>
      <c r="V1131" t="s">
        <v>4558</v>
      </c>
      <c r="W1131">
        <f>属性类型!G1131</f>
        <v>129</v>
      </c>
      <c r="X1131">
        <v>1</v>
      </c>
    </row>
    <row r="1132" customFormat="1" ht="16.5" spans="1:24">
      <c r="A1132" s="17">
        <f t="shared" si="905"/>
        <v>31602</v>
      </c>
      <c r="B1132" s="17">
        <f t="shared" si="884"/>
        <v>31600</v>
      </c>
      <c r="C1132" s="17" t="str">
        <f t="shared" si="898"/>
        <v>3</v>
      </c>
      <c r="D1132" s="17">
        <f t="shared" si="885"/>
        <v>30002</v>
      </c>
      <c r="E1132" s="17">
        <v>1</v>
      </c>
      <c r="F1132" s="17">
        <f t="shared" si="894"/>
        <v>2</v>
      </c>
      <c r="G1132" s="17" t="str">
        <f t="shared" si="906"/>
        <v>中级魔防百分比</v>
      </c>
      <c r="H1132" s="17" t="str">
        <f t="shared" si="907"/>
        <v>icon_07</v>
      </c>
      <c r="I1132" s="20">
        <v>0</v>
      </c>
      <c r="J1132" s="17">
        <v>2</v>
      </c>
      <c r="K1132" s="17">
        <f t="shared" si="904"/>
        <v>31603</v>
      </c>
      <c r="L1132" s="17" t="s">
        <v>304</v>
      </c>
      <c r="M1132" s="17" t="str">
        <f t="shared" si="908"/>
        <v>1:11300:5</v>
      </c>
      <c r="N1132" s="16" t="str">
        <f t="shared" si="891"/>
        <v>129:1</v>
      </c>
      <c r="O1132" s="17">
        <f t="shared" si="895"/>
        <v>7</v>
      </c>
      <c r="P1132" s="21" t="str">
        <f>$R$3&amp;R1132&amp;$Q$1&amp;T1132</f>
        <v>所有弓兵魔防百分比增加:1</v>
      </c>
      <c r="Q1132" s="21"/>
      <c r="R1132" t="str">
        <f t="shared" si="909"/>
        <v>魔防百分比</v>
      </c>
      <c r="T1132" t="str">
        <f t="shared" si="910"/>
        <v>:1</v>
      </c>
      <c r="U1132" t="str">
        <f t="shared" si="883"/>
        <v>弓兵</v>
      </c>
      <c r="V1132" t="s">
        <v>4558</v>
      </c>
      <c r="W1132">
        <f>属性类型!G1132</f>
        <v>129</v>
      </c>
      <c r="X1132">
        <v>1</v>
      </c>
    </row>
    <row r="1133" customFormat="1" ht="16.5" spans="1:24">
      <c r="A1133" s="17">
        <f t="shared" si="905"/>
        <v>31603</v>
      </c>
      <c r="B1133" s="17">
        <f t="shared" si="884"/>
        <v>31600</v>
      </c>
      <c r="C1133" s="17" t="str">
        <f t="shared" si="898"/>
        <v>3</v>
      </c>
      <c r="D1133" s="17">
        <f t="shared" si="885"/>
        <v>30002</v>
      </c>
      <c r="E1133" s="17">
        <v>1</v>
      </c>
      <c r="F1133" s="17">
        <f t="shared" si="894"/>
        <v>2</v>
      </c>
      <c r="G1133" s="17" t="str">
        <f t="shared" si="906"/>
        <v>中级魔防百分比</v>
      </c>
      <c r="H1133" s="17" t="str">
        <f t="shared" si="907"/>
        <v>icon_07</v>
      </c>
      <c r="I1133" s="20">
        <v>0</v>
      </c>
      <c r="J1133" s="17">
        <v>3</v>
      </c>
      <c r="K1133" s="17">
        <f t="shared" si="904"/>
        <v>31604</v>
      </c>
      <c r="L1133" s="17" t="s">
        <v>307</v>
      </c>
      <c r="M1133" s="17" t="str">
        <f t="shared" si="908"/>
        <v>1:11300:5</v>
      </c>
      <c r="N1133" s="16" t="str">
        <f t="shared" si="891"/>
        <v>129:1</v>
      </c>
      <c r="O1133" s="17">
        <f t="shared" si="895"/>
        <v>7</v>
      </c>
      <c r="P1133" s="21" t="str">
        <f>$R$3&amp;R1133&amp;$Q$1&amp;T1133</f>
        <v>所有弓兵魔防百分比增加:1</v>
      </c>
      <c r="Q1133" s="21"/>
      <c r="R1133" t="str">
        <f t="shared" si="909"/>
        <v>魔防百分比</v>
      </c>
      <c r="T1133" t="str">
        <f t="shared" si="910"/>
        <v>:1</v>
      </c>
      <c r="U1133" t="str">
        <f t="shared" si="883"/>
        <v>弓兵</v>
      </c>
      <c r="V1133" t="s">
        <v>4558</v>
      </c>
      <c r="W1133">
        <f>属性类型!G1133</f>
        <v>129</v>
      </c>
      <c r="X1133">
        <v>1</v>
      </c>
    </row>
    <row r="1134" customFormat="1" ht="16.5" spans="1:24">
      <c r="A1134" s="17">
        <f t="shared" si="905"/>
        <v>31604</v>
      </c>
      <c r="B1134" s="17">
        <f t="shared" si="884"/>
        <v>31600</v>
      </c>
      <c r="C1134" s="17" t="str">
        <f t="shared" si="898"/>
        <v>3</v>
      </c>
      <c r="D1134" s="17">
        <f t="shared" si="885"/>
        <v>30002</v>
      </c>
      <c r="E1134" s="17">
        <v>1</v>
      </c>
      <c r="F1134" s="17">
        <f t="shared" si="894"/>
        <v>2</v>
      </c>
      <c r="G1134" s="17" t="str">
        <f t="shared" si="906"/>
        <v>中级魔防百分比</v>
      </c>
      <c r="H1134" s="17" t="str">
        <f t="shared" si="907"/>
        <v>icon_07</v>
      </c>
      <c r="I1134" s="20">
        <v>0</v>
      </c>
      <c r="J1134" s="17">
        <v>4</v>
      </c>
      <c r="K1134" s="17">
        <f t="shared" si="904"/>
        <v>31605</v>
      </c>
      <c r="L1134" s="17" t="s">
        <v>309</v>
      </c>
      <c r="M1134" s="17" t="str">
        <f t="shared" si="908"/>
        <v>1:11300:5</v>
      </c>
      <c r="N1134" s="16" t="str">
        <f t="shared" si="891"/>
        <v>129:1</v>
      </c>
      <c r="O1134" s="17">
        <f t="shared" si="895"/>
        <v>7</v>
      </c>
      <c r="P1134" s="21" t="str">
        <f>$R$3&amp;R1134&amp;$Q$1&amp;T1134</f>
        <v>所有弓兵魔防百分比增加:1</v>
      </c>
      <c r="Q1134" s="21"/>
      <c r="R1134" t="str">
        <f t="shared" si="909"/>
        <v>魔防百分比</v>
      </c>
      <c r="T1134" t="str">
        <f t="shared" si="910"/>
        <v>:1</v>
      </c>
      <c r="U1134" t="str">
        <f t="shared" si="883"/>
        <v>弓兵</v>
      </c>
      <c r="V1134" t="s">
        <v>4558</v>
      </c>
      <c r="W1134">
        <f>属性类型!G1134</f>
        <v>129</v>
      </c>
      <c r="X1134">
        <v>1</v>
      </c>
    </row>
    <row r="1135" customFormat="1" ht="16.5" spans="1:24">
      <c r="A1135" s="17">
        <f t="shared" si="905"/>
        <v>31605</v>
      </c>
      <c r="B1135" s="17">
        <f t="shared" si="884"/>
        <v>31600</v>
      </c>
      <c r="C1135" s="17" t="str">
        <f t="shared" si="898"/>
        <v>3</v>
      </c>
      <c r="D1135" s="17">
        <f t="shared" si="885"/>
        <v>30002</v>
      </c>
      <c r="E1135" s="17">
        <v>1</v>
      </c>
      <c r="F1135" s="17">
        <f t="shared" si="894"/>
        <v>2</v>
      </c>
      <c r="G1135" s="17" t="str">
        <f t="shared" si="906"/>
        <v>中级魔防百分比</v>
      </c>
      <c r="H1135" s="17" t="str">
        <f t="shared" si="907"/>
        <v>icon_07</v>
      </c>
      <c r="I1135" s="20">
        <v>0</v>
      </c>
      <c r="J1135" s="17">
        <v>5</v>
      </c>
      <c r="K1135" s="17">
        <f t="shared" si="904"/>
        <v>31606</v>
      </c>
      <c r="L1135" s="17" t="s">
        <v>312</v>
      </c>
      <c r="M1135" s="17" t="str">
        <f t="shared" si="908"/>
        <v>1:11300:5</v>
      </c>
      <c r="N1135" s="16" t="str">
        <f t="shared" si="891"/>
        <v>129:1</v>
      </c>
      <c r="O1135" s="17">
        <f t="shared" si="895"/>
        <v>7</v>
      </c>
      <c r="P1135" s="21" t="str">
        <f>$R$3&amp;R1135&amp;$Q$1&amp;T1135</f>
        <v>所有弓兵魔防百分比增加:1</v>
      </c>
      <c r="Q1135" s="21"/>
      <c r="R1135" t="str">
        <f t="shared" si="909"/>
        <v>魔防百分比</v>
      </c>
      <c r="T1135" t="str">
        <f t="shared" si="910"/>
        <v>:1</v>
      </c>
      <c r="U1135" t="str">
        <f t="shared" si="883"/>
        <v>弓兵</v>
      </c>
      <c r="V1135" t="s">
        <v>4558</v>
      </c>
      <c r="W1135">
        <f>属性类型!G1135</f>
        <v>129</v>
      </c>
      <c r="X1135">
        <v>1</v>
      </c>
    </row>
    <row r="1136" customFormat="1" ht="16.5" spans="1:24">
      <c r="A1136" s="17">
        <f t="shared" si="905"/>
        <v>31606</v>
      </c>
      <c r="B1136" s="17">
        <f t="shared" si="884"/>
        <v>31600</v>
      </c>
      <c r="C1136" s="17" t="str">
        <f t="shared" si="898"/>
        <v>3</v>
      </c>
      <c r="D1136" s="17">
        <f t="shared" si="885"/>
        <v>30002</v>
      </c>
      <c r="E1136" s="17">
        <v>1</v>
      </c>
      <c r="F1136" s="17">
        <f t="shared" si="894"/>
        <v>2</v>
      </c>
      <c r="G1136" s="17" t="str">
        <f t="shared" si="906"/>
        <v>中级魔防百分比</v>
      </c>
      <c r="H1136" s="17" t="str">
        <f t="shared" si="907"/>
        <v>icon_07</v>
      </c>
      <c r="I1136" s="20">
        <v>0</v>
      </c>
      <c r="J1136" s="17">
        <v>6</v>
      </c>
      <c r="K1136" s="17">
        <f t="shared" si="904"/>
        <v>31607</v>
      </c>
      <c r="L1136" s="17" t="s">
        <v>315</v>
      </c>
      <c r="M1136" s="17" t="str">
        <f t="shared" si="908"/>
        <v>1:11300:5</v>
      </c>
      <c r="N1136" s="16" t="str">
        <f t="shared" si="891"/>
        <v>129:1</v>
      </c>
      <c r="O1136" s="17">
        <f t="shared" si="895"/>
        <v>7</v>
      </c>
      <c r="P1136" s="21" t="str">
        <f>$R$3&amp;R1136&amp;$Q$1&amp;T1136</f>
        <v>所有弓兵魔防百分比增加:1</v>
      </c>
      <c r="Q1136" s="21"/>
      <c r="R1136" t="str">
        <f t="shared" si="909"/>
        <v>魔防百分比</v>
      </c>
      <c r="T1136" t="str">
        <f t="shared" si="910"/>
        <v>:1</v>
      </c>
      <c r="U1136" t="str">
        <f t="shared" si="883"/>
        <v>弓兵</v>
      </c>
      <c r="V1136" t="s">
        <v>4558</v>
      </c>
      <c r="W1136">
        <f>属性类型!G1136</f>
        <v>129</v>
      </c>
      <c r="X1136">
        <v>1</v>
      </c>
    </row>
    <row r="1137" customFormat="1" ht="16.5" spans="1:24">
      <c r="A1137" s="17">
        <f t="shared" si="905"/>
        <v>31607</v>
      </c>
      <c r="B1137" s="17">
        <f t="shared" si="884"/>
        <v>31600</v>
      </c>
      <c r="C1137" s="17" t="str">
        <f t="shared" si="898"/>
        <v>3</v>
      </c>
      <c r="D1137" s="17">
        <f t="shared" si="885"/>
        <v>30002</v>
      </c>
      <c r="E1137" s="17">
        <v>1</v>
      </c>
      <c r="F1137" s="17">
        <f t="shared" si="894"/>
        <v>2</v>
      </c>
      <c r="G1137" s="17" t="str">
        <f t="shared" si="906"/>
        <v>中级魔防百分比</v>
      </c>
      <c r="H1137" s="17" t="str">
        <f t="shared" si="907"/>
        <v>icon_07</v>
      </c>
      <c r="I1137" s="20">
        <v>0</v>
      </c>
      <c r="J1137" s="17">
        <v>7</v>
      </c>
      <c r="K1137" s="17">
        <f t="shared" si="904"/>
        <v>31608</v>
      </c>
      <c r="L1137" s="17" t="s">
        <v>317</v>
      </c>
      <c r="M1137" s="17" t="str">
        <f t="shared" si="908"/>
        <v>1:11300:5</v>
      </c>
      <c r="N1137" s="16" t="str">
        <f t="shared" si="891"/>
        <v>129:1</v>
      </c>
      <c r="O1137" s="17">
        <f t="shared" si="895"/>
        <v>7</v>
      </c>
      <c r="P1137" s="21" t="str">
        <f>$R$3&amp;R1137&amp;$Q$1&amp;T1137</f>
        <v>所有弓兵魔防百分比增加:1</v>
      </c>
      <c r="Q1137" s="21"/>
      <c r="R1137" t="str">
        <f t="shared" si="909"/>
        <v>魔防百分比</v>
      </c>
      <c r="T1137" t="str">
        <f t="shared" si="910"/>
        <v>:1</v>
      </c>
      <c r="U1137" t="str">
        <f t="shared" si="883"/>
        <v>弓兵</v>
      </c>
      <c r="V1137" t="s">
        <v>4558</v>
      </c>
      <c r="W1137">
        <f>属性类型!G1137</f>
        <v>129</v>
      </c>
      <c r="X1137">
        <v>1</v>
      </c>
    </row>
    <row r="1138" customFormat="1" ht="16.5" spans="1:24">
      <c r="A1138" s="17">
        <f t="shared" si="905"/>
        <v>31608</v>
      </c>
      <c r="B1138" s="17">
        <f t="shared" si="884"/>
        <v>31600</v>
      </c>
      <c r="C1138" s="17" t="str">
        <f t="shared" si="898"/>
        <v>3</v>
      </c>
      <c r="D1138" s="17">
        <f t="shared" si="885"/>
        <v>30002</v>
      </c>
      <c r="E1138" s="17">
        <v>1</v>
      </c>
      <c r="F1138" s="17">
        <f t="shared" si="894"/>
        <v>2</v>
      </c>
      <c r="G1138" s="17" t="str">
        <f t="shared" si="906"/>
        <v>中级魔防百分比</v>
      </c>
      <c r="H1138" s="17" t="str">
        <f t="shared" si="907"/>
        <v>icon_07</v>
      </c>
      <c r="I1138" s="20">
        <v>0</v>
      </c>
      <c r="J1138" s="17">
        <v>8</v>
      </c>
      <c r="K1138" s="17">
        <f t="shared" si="904"/>
        <v>31609</v>
      </c>
      <c r="L1138" s="17" t="s">
        <v>320</v>
      </c>
      <c r="M1138" s="17" t="str">
        <f t="shared" si="908"/>
        <v>1:11300:5</v>
      </c>
      <c r="N1138" s="16" t="str">
        <f t="shared" si="891"/>
        <v>129:1</v>
      </c>
      <c r="O1138" s="17">
        <f t="shared" si="895"/>
        <v>7</v>
      </c>
      <c r="P1138" s="21" t="str">
        <f>$R$3&amp;R1138&amp;$Q$1&amp;T1138</f>
        <v>所有弓兵魔防百分比增加:1</v>
      </c>
      <c r="Q1138" s="21"/>
      <c r="R1138" t="str">
        <f t="shared" si="909"/>
        <v>魔防百分比</v>
      </c>
      <c r="T1138" t="str">
        <f t="shared" si="910"/>
        <v>:1</v>
      </c>
      <c r="U1138" t="str">
        <f t="shared" si="883"/>
        <v>弓兵</v>
      </c>
      <c r="V1138" t="s">
        <v>4558</v>
      </c>
      <c r="W1138">
        <f>属性类型!G1138</f>
        <v>129</v>
      </c>
      <c r="X1138">
        <v>1</v>
      </c>
    </row>
    <row r="1139" customFormat="1" ht="16.5" spans="1:24">
      <c r="A1139" s="17">
        <f t="shared" si="905"/>
        <v>31609</v>
      </c>
      <c r="B1139" s="17">
        <f t="shared" si="884"/>
        <v>31600</v>
      </c>
      <c r="C1139" s="17" t="str">
        <f t="shared" si="898"/>
        <v>3</v>
      </c>
      <c r="D1139" s="17">
        <f t="shared" si="885"/>
        <v>30002</v>
      </c>
      <c r="E1139" s="17">
        <v>1</v>
      </c>
      <c r="F1139" s="17">
        <f t="shared" si="894"/>
        <v>2</v>
      </c>
      <c r="G1139" s="17" t="str">
        <f t="shared" si="906"/>
        <v>中级魔防百分比</v>
      </c>
      <c r="H1139" s="17" t="str">
        <f t="shared" si="907"/>
        <v>icon_07</v>
      </c>
      <c r="I1139" s="20">
        <v>0</v>
      </c>
      <c r="J1139" s="17">
        <v>9</v>
      </c>
      <c r="K1139" s="17">
        <f t="shared" si="904"/>
        <v>31610</v>
      </c>
      <c r="L1139" s="17" t="s">
        <v>323</v>
      </c>
      <c r="M1139" s="17" t="str">
        <f t="shared" si="908"/>
        <v>1:11300:5</v>
      </c>
      <c r="N1139" s="16" t="str">
        <f t="shared" si="891"/>
        <v>129:1</v>
      </c>
      <c r="O1139" s="17">
        <f t="shared" si="895"/>
        <v>7</v>
      </c>
      <c r="P1139" s="21" t="str">
        <f>$R$3&amp;R1139&amp;$Q$1&amp;T1139</f>
        <v>所有弓兵魔防百分比增加:1</v>
      </c>
      <c r="Q1139" s="21"/>
      <c r="R1139" t="str">
        <f t="shared" si="909"/>
        <v>魔防百分比</v>
      </c>
      <c r="T1139" t="str">
        <f t="shared" si="910"/>
        <v>:1</v>
      </c>
      <c r="U1139" t="str">
        <f t="shared" si="883"/>
        <v>弓兵</v>
      </c>
      <c r="V1139" t="s">
        <v>4558</v>
      </c>
      <c r="W1139">
        <f>属性类型!G1139</f>
        <v>129</v>
      </c>
      <c r="X1139">
        <v>1</v>
      </c>
    </row>
    <row r="1140" customFormat="1" ht="16.5" spans="1:24">
      <c r="A1140" s="17">
        <f t="shared" si="905"/>
        <v>31610</v>
      </c>
      <c r="B1140" s="17">
        <f t="shared" si="884"/>
        <v>31600</v>
      </c>
      <c r="C1140" s="17" t="str">
        <f t="shared" si="898"/>
        <v>3</v>
      </c>
      <c r="D1140" s="17">
        <f t="shared" si="885"/>
        <v>30002</v>
      </c>
      <c r="E1140" s="17">
        <v>1</v>
      </c>
      <c r="F1140" s="17">
        <f t="shared" si="894"/>
        <v>2</v>
      </c>
      <c r="G1140" s="17" t="str">
        <f t="shared" si="906"/>
        <v>中级魔防百分比</v>
      </c>
      <c r="H1140" s="17" t="str">
        <f t="shared" si="907"/>
        <v>icon_07</v>
      </c>
      <c r="I1140" s="20">
        <v>0</v>
      </c>
      <c r="J1140" s="17">
        <v>10</v>
      </c>
      <c r="K1140" s="17">
        <f t="shared" si="904"/>
        <v>31611</v>
      </c>
      <c r="L1140" s="17" t="s">
        <v>407</v>
      </c>
      <c r="M1140" s="17" t="str">
        <f t="shared" si="908"/>
        <v>1:11300:5</v>
      </c>
      <c r="N1140" s="16" t="str">
        <f t="shared" si="891"/>
        <v>129:1</v>
      </c>
      <c r="O1140" s="17">
        <f t="shared" si="895"/>
        <v>7</v>
      </c>
      <c r="P1140" s="21" t="str">
        <f>$R$3&amp;R1140&amp;$Q$1&amp;T1140</f>
        <v>所有弓兵魔防百分比增加:1</v>
      </c>
      <c r="Q1140" s="21"/>
      <c r="R1140" t="str">
        <f t="shared" si="909"/>
        <v>魔防百分比</v>
      </c>
      <c r="T1140" t="str">
        <f t="shared" si="910"/>
        <v>:1</v>
      </c>
      <c r="U1140" t="str">
        <f t="shared" si="883"/>
        <v>弓兵</v>
      </c>
      <c r="V1140" t="s">
        <v>4558</v>
      </c>
      <c r="W1140">
        <f>属性类型!G1140</f>
        <v>129</v>
      </c>
      <c r="X1140">
        <v>1</v>
      </c>
    </row>
    <row r="1141" customFormat="1" ht="16.5" spans="1:24">
      <c r="A1141" s="17">
        <f t="shared" si="905"/>
        <v>31611</v>
      </c>
      <c r="B1141" s="17">
        <f t="shared" si="884"/>
        <v>31600</v>
      </c>
      <c r="C1141" s="17" t="str">
        <f t="shared" si="898"/>
        <v>3</v>
      </c>
      <c r="D1141" s="17">
        <f t="shared" si="885"/>
        <v>30002</v>
      </c>
      <c r="E1141" s="17">
        <v>1</v>
      </c>
      <c r="F1141" s="17">
        <f t="shared" si="894"/>
        <v>2</v>
      </c>
      <c r="G1141" s="17" t="str">
        <f t="shared" si="906"/>
        <v>中级魔防百分比</v>
      </c>
      <c r="H1141" s="17" t="str">
        <f t="shared" si="907"/>
        <v>icon_07</v>
      </c>
      <c r="I1141" s="20">
        <v>0</v>
      </c>
      <c r="J1141" s="17">
        <v>11</v>
      </c>
      <c r="K1141" s="17">
        <f t="shared" si="904"/>
        <v>31612</v>
      </c>
      <c r="L1141" s="17" t="s">
        <v>410</v>
      </c>
      <c r="M1141" s="17" t="str">
        <f t="shared" si="908"/>
        <v>1:11300:5</v>
      </c>
      <c r="N1141" s="16" t="str">
        <f t="shared" si="891"/>
        <v>129:1</v>
      </c>
      <c r="O1141" s="17">
        <f t="shared" si="895"/>
        <v>7</v>
      </c>
      <c r="P1141" s="21" t="str">
        <f>$R$3&amp;R1141&amp;$Q$1&amp;T1141</f>
        <v>所有弓兵魔防百分比增加:1</v>
      </c>
      <c r="Q1141" s="21"/>
      <c r="R1141" t="str">
        <f t="shared" si="909"/>
        <v>魔防百分比</v>
      </c>
      <c r="T1141" t="str">
        <f t="shared" si="910"/>
        <v>:1</v>
      </c>
      <c r="U1141" t="str">
        <f t="shared" si="883"/>
        <v>弓兵</v>
      </c>
      <c r="V1141" t="s">
        <v>4558</v>
      </c>
      <c r="W1141">
        <f>属性类型!G1141</f>
        <v>129</v>
      </c>
      <c r="X1141">
        <v>1</v>
      </c>
    </row>
    <row r="1142" customFormat="1" ht="16.5" spans="1:24">
      <c r="A1142" s="17">
        <f t="shared" si="905"/>
        <v>31612</v>
      </c>
      <c r="B1142" s="17">
        <f t="shared" si="884"/>
        <v>31600</v>
      </c>
      <c r="C1142" s="17" t="str">
        <f t="shared" si="898"/>
        <v>3</v>
      </c>
      <c r="D1142" s="17">
        <f t="shared" si="885"/>
        <v>30002</v>
      </c>
      <c r="E1142" s="17">
        <v>1</v>
      </c>
      <c r="F1142" s="17">
        <f t="shared" si="894"/>
        <v>2</v>
      </c>
      <c r="G1142" s="17" t="str">
        <f t="shared" si="906"/>
        <v>中级魔防百分比</v>
      </c>
      <c r="H1142" s="17" t="str">
        <f t="shared" si="907"/>
        <v>icon_07</v>
      </c>
      <c r="I1142" s="20">
        <v>0</v>
      </c>
      <c r="J1142" s="17">
        <v>12</v>
      </c>
      <c r="K1142" s="17">
        <f t="shared" si="904"/>
        <v>31613</v>
      </c>
      <c r="L1142" s="17" t="s">
        <v>414</v>
      </c>
      <c r="M1142" s="17" t="str">
        <f t="shared" si="908"/>
        <v>1:11300:5</v>
      </c>
      <c r="N1142" s="16" t="str">
        <f t="shared" si="891"/>
        <v>129:1</v>
      </c>
      <c r="O1142" s="17">
        <f t="shared" si="895"/>
        <v>7</v>
      </c>
      <c r="P1142" s="21" t="str">
        <f>$R$3&amp;R1142&amp;$Q$1&amp;T1142</f>
        <v>所有弓兵魔防百分比增加:1</v>
      </c>
      <c r="Q1142" s="21"/>
      <c r="R1142" t="str">
        <f t="shared" si="909"/>
        <v>魔防百分比</v>
      </c>
      <c r="T1142" t="str">
        <f t="shared" si="910"/>
        <v>:1</v>
      </c>
      <c r="U1142" t="str">
        <f t="shared" si="883"/>
        <v>弓兵</v>
      </c>
      <c r="V1142" t="s">
        <v>4558</v>
      </c>
      <c r="W1142">
        <f>属性类型!G1142</f>
        <v>129</v>
      </c>
      <c r="X1142">
        <v>1</v>
      </c>
    </row>
    <row r="1143" customFormat="1" ht="16.5" spans="1:24">
      <c r="A1143" s="17">
        <f t="shared" si="905"/>
        <v>31613</v>
      </c>
      <c r="B1143" s="17">
        <f t="shared" si="884"/>
        <v>31600</v>
      </c>
      <c r="C1143" s="17" t="str">
        <f t="shared" si="898"/>
        <v>3</v>
      </c>
      <c r="D1143" s="17">
        <f t="shared" si="885"/>
        <v>30002</v>
      </c>
      <c r="E1143" s="17">
        <v>1</v>
      </c>
      <c r="F1143" s="17">
        <f t="shared" si="894"/>
        <v>2</v>
      </c>
      <c r="G1143" s="17" t="str">
        <f t="shared" si="906"/>
        <v>中级魔防百分比</v>
      </c>
      <c r="H1143" s="17" t="str">
        <f t="shared" si="907"/>
        <v>icon_07</v>
      </c>
      <c r="I1143" s="20">
        <v>0</v>
      </c>
      <c r="J1143" s="17">
        <v>13</v>
      </c>
      <c r="K1143" s="17">
        <f t="shared" si="904"/>
        <v>31614</v>
      </c>
      <c r="L1143" s="17" t="s">
        <v>418</v>
      </c>
      <c r="M1143" s="17" t="str">
        <f t="shared" si="908"/>
        <v>1:11300:5</v>
      </c>
      <c r="N1143" s="16" t="str">
        <f t="shared" si="891"/>
        <v>129:1</v>
      </c>
      <c r="O1143" s="17">
        <f t="shared" si="895"/>
        <v>7</v>
      </c>
      <c r="P1143" s="21" t="str">
        <f>$R$3&amp;R1143&amp;$Q$1&amp;T1143</f>
        <v>所有弓兵魔防百分比增加:1</v>
      </c>
      <c r="Q1143" s="21"/>
      <c r="R1143" t="str">
        <f t="shared" si="909"/>
        <v>魔防百分比</v>
      </c>
      <c r="T1143" t="str">
        <f t="shared" si="910"/>
        <v>:1</v>
      </c>
      <c r="U1143" t="str">
        <f t="shared" si="883"/>
        <v>弓兵</v>
      </c>
      <c r="V1143" t="s">
        <v>4558</v>
      </c>
      <c r="W1143">
        <f>属性类型!G1143</f>
        <v>129</v>
      </c>
      <c r="X1143">
        <v>1</v>
      </c>
    </row>
    <row r="1144" customFormat="1" ht="16.5" spans="1:24">
      <c r="A1144" s="17">
        <f t="shared" si="905"/>
        <v>31614</v>
      </c>
      <c r="B1144" s="17">
        <f t="shared" si="884"/>
        <v>31600</v>
      </c>
      <c r="C1144" s="17" t="str">
        <f t="shared" si="898"/>
        <v>3</v>
      </c>
      <c r="D1144" s="17">
        <f t="shared" si="885"/>
        <v>30002</v>
      </c>
      <c r="E1144" s="17">
        <v>1</v>
      </c>
      <c r="F1144" s="17">
        <f t="shared" si="894"/>
        <v>2</v>
      </c>
      <c r="G1144" s="17" t="str">
        <f t="shared" si="906"/>
        <v>中级魔防百分比</v>
      </c>
      <c r="H1144" s="17" t="str">
        <f t="shared" si="907"/>
        <v>icon_07</v>
      </c>
      <c r="I1144" s="20">
        <v>0</v>
      </c>
      <c r="J1144" s="17">
        <v>14</v>
      </c>
      <c r="K1144" s="17">
        <f t="shared" si="904"/>
        <v>31615</v>
      </c>
      <c r="L1144" s="17" t="s">
        <v>422</v>
      </c>
      <c r="M1144" s="17" t="str">
        <f t="shared" si="908"/>
        <v>1:11300:5</v>
      </c>
      <c r="N1144" s="16" t="str">
        <f t="shared" si="891"/>
        <v>129:1</v>
      </c>
      <c r="O1144" s="17">
        <f t="shared" si="895"/>
        <v>7</v>
      </c>
      <c r="P1144" s="21" t="str">
        <f>$R$3&amp;R1144&amp;$Q$1&amp;T1144</f>
        <v>所有弓兵魔防百分比增加:1</v>
      </c>
      <c r="Q1144" s="21"/>
      <c r="R1144" t="str">
        <f t="shared" si="909"/>
        <v>魔防百分比</v>
      </c>
      <c r="T1144" t="str">
        <f t="shared" si="910"/>
        <v>:1</v>
      </c>
      <c r="U1144" t="str">
        <f t="shared" si="883"/>
        <v>弓兵</v>
      </c>
      <c r="V1144" t="s">
        <v>4558</v>
      </c>
      <c r="W1144">
        <f>属性类型!G1144</f>
        <v>129</v>
      </c>
      <c r="X1144">
        <v>1</v>
      </c>
    </row>
    <row r="1145" customFormat="1" ht="16.5" spans="1:24">
      <c r="A1145" s="17">
        <f t="shared" si="905"/>
        <v>31615</v>
      </c>
      <c r="B1145" s="17">
        <f t="shared" si="884"/>
        <v>31600</v>
      </c>
      <c r="C1145" s="17" t="str">
        <f t="shared" si="898"/>
        <v>3</v>
      </c>
      <c r="D1145" s="17">
        <f t="shared" si="885"/>
        <v>30002</v>
      </c>
      <c r="E1145" s="17">
        <v>1</v>
      </c>
      <c r="F1145" s="17">
        <f t="shared" si="894"/>
        <v>2</v>
      </c>
      <c r="G1145" s="17" t="str">
        <f t="shared" si="906"/>
        <v>中级魔防百分比</v>
      </c>
      <c r="H1145" s="17" t="str">
        <f t="shared" si="907"/>
        <v>icon_07</v>
      </c>
      <c r="I1145" s="20">
        <v>0</v>
      </c>
      <c r="J1145" s="17">
        <v>15</v>
      </c>
      <c r="K1145" s="17">
        <v>0</v>
      </c>
      <c r="L1145" s="17">
        <v>0</v>
      </c>
      <c r="M1145" s="17" t="str">
        <f t="shared" si="908"/>
        <v>1:11300:5</v>
      </c>
      <c r="N1145" s="16" t="str">
        <f t="shared" si="891"/>
        <v>129:1</v>
      </c>
      <c r="O1145" s="17">
        <f t="shared" si="895"/>
        <v>7</v>
      </c>
      <c r="P1145" s="21" t="str">
        <f>$R$3&amp;R1145&amp;$Q$1&amp;T1145</f>
        <v>所有弓兵魔防百分比增加:1</v>
      </c>
      <c r="Q1145" s="21"/>
      <c r="R1145" t="str">
        <f t="shared" si="909"/>
        <v>魔防百分比</v>
      </c>
      <c r="T1145" t="str">
        <f t="shared" si="910"/>
        <v>:1</v>
      </c>
      <c r="U1145" t="str">
        <f t="shared" si="883"/>
        <v>弓兵</v>
      </c>
      <c r="V1145" t="s">
        <v>4558</v>
      </c>
      <c r="W1145">
        <f>属性类型!G1145</f>
        <v>129</v>
      </c>
      <c r="X1145">
        <v>1</v>
      </c>
    </row>
    <row r="1146" customFormat="1" ht="16.5" spans="1:24">
      <c r="A1146" s="18">
        <f>A1130+100</f>
        <v>31700</v>
      </c>
      <c r="B1146" s="18">
        <f t="shared" si="884"/>
        <v>31700</v>
      </c>
      <c r="C1146" s="18" t="str">
        <f t="shared" si="898"/>
        <v>3</v>
      </c>
      <c r="D1146" s="17">
        <f t="shared" si="885"/>
        <v>30002</v>
      </c>
      <c r="E1146" s="17">
        <v>2</v>
      </c>
      <c r="F1146" s="18">
        <f t="shared" si="894"/>
        <v>2</v>
      </c>
      <c r="G1146" s="18" t="s">
        <v>4624</v>
      </c>
      <c r="H1146" s="18" t="s">
        <v>1670</v>
      </c>
      <c r="I1146" s="20">
        <v>1.5</v>
      </c>
      <c r="J1146" s="18">
        <v>0</v>
      </c>
      <c r="K1146" s="18">
        <f t="shared" ref="K1146:K1165" si="911">A1147</f>
        <v>31701</v>
      </c>
      <c r="L1146" s="18" t="s">
        <v>206</v>
      </c>
      <c r="M1146" s="18" t="s">
        <v>474</v>
      </c>
      <c r="N1146" s="16" t="str">
        <f t="shared" si="891"/>
        <v>10025:1</v>
      </c>
      <c r="O1146" s="18">
        <f t="shared" si="895"/>
        <v>8</v>
      </c>
      <c r="P1146" s="21" t="s">
        <v>4625</v>
      </c>
      <c r="Q1146" s="21"/>
      <c r="R1146" t="s">
        <v>4626</v>
      </c>
      <c r="T1146" t="str">
        <f>RIGHT(N1146,1)</f>
        <v>1</v>
      </c>
      <c r="U1146" t="str">
        <f t="shared" si="883"/>
        <v>射手</v>
      </c>
      <c r="V1146" t="s">
        <v>4624</v>
      </c>
      <c r="W1146">
        <f>属性类型!G1146</f>
        <v>10025</v>
      </c>
      <c r="X1146">
        <v>1</v>
      </c>
    </row>
    <row r="1147" customFormat="1" ht="16.5" spans="1:24">
      <c r="A1147" s="17">
        <f t="shared" ref="A1147:A1166" si="912">A1146+1</f>
        <v>31701</v>
      </c>
      <c r="B1147" s="17">
        <f t="shared" si="884"/>
        <v>31700</v>
      </c>
      <c r="C1147" s="17" t="str">
        <f t="shared" si="898"/>
        <v>3</v>
      </c>
      <c r="D1147" s="17">
        <f t="shared" si="885"/>
        <v>30002</v>
      </c>
      <c r="E1147" s="17">
        <v>2</v>
      </c>
      <c r="F1147" s="17">
        <f t="shared" si="894"/>
        <v>2</v>
      </c>
      <c r="G1147" s="17" t="str">
        <f t="shared" ref="G1147:G1166" si="913">G1146</f>
        <v>巡游射手防御百分比</v>
      </c>
      <c r="H1147" s="17" t="str">
        <f t="shared" ref="H1147:H1166" si="914">H1146</f>
        <v>gongbing02_Lv3</v>
      </c>
      <c r="I1147" s="20">
        <v>1.5</v>
      </c>
      <c r="J1147" s="17">
        <v>1</v>
      </c>
      <c r="K1147" s="17">
        <f t="shared" si="911"/>
        <v>31702</v>
      </c>
      <c r="L1147" s="17" t="s">
        <v>211</v>
      </c>
      <c r="M1147" s="17" t="str">
        <f t="shared" ref="M1147:M1166" si="915">M1146</f>
        <v>1:11400:5</v>
      </c>
      <c r="N1147" s="16" t="str">
        <f t="shared" si="891"/>
        <v>10025:1</v>
      </c>
      <c r="O1147" s="17">
        <f t="shared" si="895"/>
        <v>8</v>
      </c>
      <c r="P1147" s="21" t="s">
        <v>4627</v>
      </c>
      <c r="Q1147" s="21"/>
      <c r="R1147" t="s">
        <v>4626</v>
      </c>
      <c r="T1147" t="str">
        <f t="shared" ref="T1147:T1166" si="916">RIGHT(N1147,2)</f>
        <v>:1</v>
      </c>
      <c r="U1147" t="str">
        <f t="shared" si="883"/>
        <v>射手</v>
      </c>
      <c r="V1147" t="s">
        <v>4624</v>
      </c>
      <c r="W1147">
        <f>属性类型!G1147</f>
        <v>10025</v>
      </c>
      <c r="X1147">
        <v>1</v>
      </c>
    </row>
    <row r="1148" customFormat="1" ht="16.5" spans="1:24">
      <c r="A1148" s="17">
        <f t="shared" si="912"/>
        <v>31702</v>
      </c>
      <c r="B1148" s="17">
        <f t="shared" si="884"/>
        <v>31700</v>
      </c>
      <c r="C1148" s="17" t="str">
        <f t="shared" si="898"/>
        <v>3</v>
      </c>
      <c r="D1148" s="17">
        <f t="shared" si="885"/>
        <v>30002</v>
      </c>
      <c r="E1148" s="17">
        <v>2</v>
      </c>
      <c r="F1148" s="17">
        <f t="shared" si="894"/>
        <v>2</v>
      </c>
      <c r="G1148" s="17" t="str">
        <f t="shared" si="913"/>
        <v>巡游射手防御百分比</v>
      </c>
      <c r="H1148" s="17" t="str">
        <f t="shared" si="914"/>
        <v>gongbing02_Lv3</v>
      </c>
      <c r="I1148" s="20">
        <v>1.5</v>
      </c>
      <c r="J1148" s="17">
        <v>2</v>
      </c>
      <c r="K1148" s="17">
        <f t="shared" si="911"/>
        <v>31703</v>
      </c>
      <c r="L1148" s="17" t="s">
        <v>215</v>
      </c>
      <c r="M1148" s="17" t="str">
        <f t="shared" si="915"/>
        <v>1:11400:5</v>
      </c>
      <c r="N1148" s="16" t="str">
        <f t="shared" si="891"/>
        <v>10025:1</v>
      </c>
      <c r="O1148" s="17">
        <f t="shared" si="895"/>
        <v>8</v>
      </c>
      <c r="P1148" s="21" t="s">
        <v>4628</v>
      </c>
      <c r="Q1148" s="21"/>
      <c r="R1148" t="s">
        <v>4626</v>
      </c>
      <c r="T1148" t="str">
        <f t="shared" si="916"/>
        <v>:1</v>
      </c>
      <c r="U1148" t="str">
        <f t="shared" si="883"/>
        <v>射手</v>
      </c>
      <c r="V1148" t="s">
        <v>4624</v>
      </c>
      <c r="W1148">
        <f>属性类型!G1148</f>
        <v>10025</v>
      </c>
      <c r="X1148">
        <v>1</v>
      </c>
    </row>
    <row r="1149" customFormat="1" ht="16.5" spans="1:24">
      <c r="A1149" s="17">
        <f t="shared" si="912"/>
        <v>31703</v>
      </c>
      <c r="B1149" s="17">
        <f t="shared" si="884"/>
        <v>31700</v>
      </c>
      <c r="C1149" s="17" t="str">
        <f t="shared" si="898"/>
        <v>3</v>
      </c>
      <c r="D1149" s="17">
        <f t="shared" si="885"/>
        <v>30002</v>
      </c>
      <c r="E1149" s="17">
        <v>2</v>
      </c>
      <c r="F1149" s="17">
        <f t="shared" si="894"/>
        <v>2</v>
      </c>
      <c r="G1149" s="17" t="str">
        <f t="shared" si="913"/>
        <v>巡游射手防御百分比</v>
      </c>
      <c r="H1149" s="17" t="str">
        <f t="shared" si="914"/>
        <v>gongbing02_Lv3</v>
      </c>
      <c r="I1149" s="20">
        <v>1.5</v>
      </c>
      <c r="J1149" s="17">
        <v>3</v>
      </c>
      <c r="K1149" s="17">
        <f t="shared" si="911"/>
        <v>31704</v>
      </c>
      <c r="L1149" s="17" t="s">
        <v>218</v>
      </c>
      <c r="M1149" s="17" t="str">
        <f t="shared" si="915"/>
        <v>1:11400:5</v>
      </c>
      <c r="N1149" s="16" t="str">
        <f t="shared" si="891"/>
        <v>10025:1</v>
      </c>
      <c r="O1149" s="17">
        <f t="shared" si="895"/>
        <v>8</v>
      </c>
      <c r="P1149" s="21" t="s">
        <v>4629</v>
      </c>
      <c r="Q1149" s="21"/>
      <c r="R1149" t="s">
        <v>4626</v>
      </c>
      <c r="T1149" t="str">
        <f t="shared" si="916"/>
        <v>:1</v>
      </c>
      <c r="U1149" t="str">
        <f t="shared" si="883"/>
        <v>射手</v>
      </c>
      <c r="V1149" t="s">
        <v>4624</v>
      </c>
      <c r="W1149">
        <f>属性类型!G1149</f>
        <v>10025</v>
      </c>
      <c r="X1149">
        <v>1</v>
      </c>
    </row>
    <row r="1150" customFormat="1" ht="16.5" spans="1:24">
      <c r="A1150" s="17">
        <f t="shared" si="912"/>
        <v>31704</v>
      </c>
      <c r="B1150" s="17">
        <f t="shared" si="884"/>
        <v>31700</v>
      </c>
      <c r="C1150" s="17" t="str">
        <f t="shared" si="898"/>
        <v>3</v>
      </c>
      <c r="D1150" s="17">
        <f t="shared" si="885"/>
        <v>30002</v>
      </c>
      <c r="E1150" s="17">
        <v>2</v>
      </c>
      <c r="F1150" s="17">
        <f t="shared" si="894"/>
        <v>2</v>
      </c>
      <c r="G1150" s="17" t="str">
        <f t="shared" si="913"/>
        <v>巡游射手防御百分比</v>
      </c>
      <c r="H1150" s="17" t="str">
        <f t="shared" si="914"/>
        <v>gongbing02_Lv3</v>
      </c>
      <c r="I1150" s="20">
        <v>1.5</v>
      </c>
      <c r="J1150" s="17">
        <v>4</v>
      </c>
      <c r="K1150" s="17">
        <f t="shared" si="911"/>
        <v>31705</v>
      </c>
      <c r="L1150" s="17" t="s">
        <v>221</v>
      </c>
      <c r="M1150" s="17" t="str">
        <f t="shared" si="915"/>
        <v>1:11400:5</v>
      </c>
      <c r="N1150" s="16" t="str">
        <f t="shared" si="891"/>
        <v>10025:1</v>
      </c>
      <c r="O1150" s="17">
        <f t="shared" si="895"/>
        <v>8</v>
      </c>
      <c r="P1150" s="21" t="s">
        <v>4630</v>
      </c>
      <c r="Q1150" s="21"/>
      <c r="R1150" t="s">
        <v>4626</v>
      </c>
      <c r="T1150" t="str">
        <f t="shared" si="916"/>
        <v>:1</v>
      </c>
      <c r="U1150" t="str">
        <f t="shared" si="883"/>
        <v>射手</v>
      </c>
      <c r="V1150" t="s">
        <v>4624</v>
      </c>
      <c r="W1150">
        <f>属性类型!G1150</f>
        <v>10025</v>
      </c>
      <c r="X1150">
        <v>1</v>
      </c>
    </row>
    <row r="1151" customFormat="1" ht="16.5" spans="1:24">
      <c r="A1151" s="17">
        <f t="shared" si="912"/>
        <v>31705</v>
      </c>
      <c r="B1151" s="17">
        <f t="shared" si="884"/>
        <v>31700</v>
      </c>
      <c r="C1151" s="17" t="str">
        <f t="shared" si="898"/>
        <v>3</v>
      </c>
      <c r="D1151" s="17">
        <f t="shared" si="885"/>
        <v>30002</v>
      </c>
      <c r="E1151" s="17">
        <v>2</v>
      </c>
      <c r="F1151" s="17">
        <f t="shared" si="894"/>
        <v>2</v>
      </c>
      <c r="G1151" s="17" t="str">
        <f t="shared" si="913"/>
        <v>巡游射手防御百分比</v>
      </c>
      <c r="H1151" s="17" t="str">
        <f t="shared" si="914"/>
        <v>gongbing02_Lv3</v>
      </c>
      <c r="I1151" s="20">
        <v>1.5</v>
      </c>
      <c r="J1151" s="17">
        <v>5</v>
      </c>
      <c r="K1151" s="17">
        <f t="shared" si="911"/>
        <v>31706</v>
      </c>
      <c r="L1151" s="17" t="s">
        <v>224</v>
      </c>
      <c r="M1151" s="17" t="str">
        <f t="shared" si="915"/>
        <v>1:11400:5</v>
      </c>
      <c r="N1151" s="16" t="str">
        <f t="shared" si="891"/>
        <v>10025:1</v>
      </c>
      <c r="O1151" s="17">
        <f t="shared" si="895"/>
        <v>8</v>
      </c>
      <c r="P1151" s="21" t="s">
        <v>4631</v>
      </c>
      <c r="Q1151" s="21"/>
      <c r="R1151" t="s">
        <v>4626</v>
      </c>
      <c r="T1151" t="str">
        <f t="shared" si="916"/>
        <v>:1</v>
      </c>
      <c r="U1151" t="str">
        <f t="shared" si="883"/>
        <v>射手</v>
      </c>
      <c r="V1151" t="s">
        <v>4624</v>
      </c>
      <c r="W1151">
        <f>属性类型!G1151</f>
        <v>10025</v>
      </c>
      <c r="X1151">
        <v>1</v>
      </c>
    </row>
    <row r="1152" customFormat="1" ht="16.5" spans="1:24">
      <c r="A1152" s="17">
        <f t="shared" si="912"/>
        <v>31706</v>
      </c>
      <c r="B1152" s="17">
        <f t="shared" si="884"/>
        <v>31700</v>
      </c>
      <c r="C1152" s="17" t="str">
        <f t="shared" si="898"/>
        <v>3</v>
      </c>
      <c r="D1152" s="17">
        <f t="shared" si="885"/>
        <v>30002</v>
      </c>
      <c r="E1152" s="17">
        <v>2</v>
      </c>
      <c r="F1152" s="17">
        <f t="shared" si="894"/>
        <v>2</v>
      </c>
      <c r="G1152" s="17" t="str">
        <f t="shared" si="913"/>
        <v>巡游射手防御百分比</v>
      </c>
      <c r="H1152" s="17" t="str">
        <f t="shared" si="914"/>
        <v>gongbing02_Lv3</v>
      </c>
      <c r="I1152" s="20">
        <v>1.5</v>
      </c>
      <c r="J1152" s="17">
        <v>6</v>
      </c>
      <c r="K1152" s="17">
        <f t="shared" si="911"/>
        <v>31707</v>
      </c>
      <c r="L1152" s="17" t="s">
        <v>227</v>
      </c>
      <c r="M1152" s="17" t="str">
        <f t="shared" si="915"/>
        <v>1:11400:5</v>
      </c>
      <c r="N1152" s="16" t="str">
        <f t="shared" si="891"/>
        <v>10025:1</v>
      </c>
      <c r="O1152" s="17">
        <f t="shared" si="895"/>
        <v>8</v>
      </c>
      <c r="P1152" s="21" t="s">
        <v>4632</v>
      </c>
      <c r="Q1152" s="21"/>
      <c r="R1152" t="s">
        <v>4626</v>
      </c>
      <c r="T1152" t="str">
        <f t="shared" si="916"/>
        <v>:1</v>
      </c>
      <c r="U1152" t="str">
        <f t="shared" si="883"/>
        <v>射手</v>
      </c>
      <c r="V1152" t="s">
        <v>4624</v>
      </c>
      <c r="W1152">
        <f>属性类型!G1152</f>
        <v>10025</v>
      </c>
      <c r="X1152">
        <v>1</v>
      </c>
    </row>
    <row r="1153" customFormat="1" ht="16.5" spans="1:24">
      <c r="A1153" s="17">
        <f t="shared" si="912"/>
        <v>31707</v>
      </c>
      <c r="B1153" s="17">
        <f t="shared" si="884"/>
        <v>31700</v>
      </c>
      <c r="C1153" s="17" t="str">
        <f t="shared" si="898"/>
        <v>3</v>
      </c>
      <c r="D1153" s="17">
        <f t="shared" si="885"/>
        <v>30002</v>
      </c>
      <c r="E1153" s="17">
        <v>2</v>
      </c>
      <c r="F1153" s="17">
        <f t="shared" si="894"/>
        <v>2</v>
      </c>
      <c r="G1153" s="17" t="str">
        <f t="shared" si="913"/>
        <v>巡游射手防御百分比</v>
      </c>
      <c r="H1153" s="17" t="str">
        <f t="shared" si="914"/>
        <v>gongbing02_Lv3</v>
      </c>
      <c r="I1153" s="20">
        <v>1.5</v>
      </c>
      <c r="J1153" s="17">
        <v>7</v>
      </c>
      <c r="K1153" s="17">
        <f t="shared" si="911"/>
        <v>31708</v>
      </c>
      <c r="L1153" s="17" t="s">
        <v>230</v>
      </c>
      <c r="M1153" s="17" t="str">
        <f t="shared" si="915"/>
        <v>1:11400:5</v>
      </c>
      <c r="N1153" s="16" t="str">
        <f t="shared" si="891"/>
        <v>10025:1</v>
      </c>
      <c r="O1153" s="17">
        <f t="shared" si="895"/>
        <v>8</v>
      </c>
      <c r="P1153" s="21" t="s">
        <v>4633</v>
      </c>
      <c r="Q1153" s="21"/>
      <c r="R1153" t="s">
        <v>4626</v>
      </c>
      <c r="T1153" t="str">
        <f t="shared" si="916"/>
        <v>:1</v>
      </c>
      <c r="U1153" t="str">
        <f t="shared" si="883"/>
        <v>射手</v>
      </c>
      <c r="V1153" t="s">
        <v>4624</v>
      </c>
      <c r="W1153">
        <f>属性类型!G1153</f>
        <v>10025</v>
      </c>
      <c r="X1153">
        <v>1</v>
      </c>
    </row>
    <row r="1154" customFormat="1" ht="16.5" spans="1:24">
      <c r="A1154" s="17">
        <f t="shared" si="912"/>
        <v>31708</v>
      </c>
      <c r="B1154" s="17">
        <f t="shared" si="884"/>
        <v>31700</v>
      </c>
      <c r="C1154" s="17" t="str">
        <f t="shared" si="898"/>
        <v>3</v>
      </c>
      <c r="D1154" s="17">
        <f t="shared" si="885"/>
        <v>30002</v>
      </c>
      <c r="E1154" s="17">
        <v>2</v>
      </c>
      <c r="F1154" s="17">
        <f t="shared" si="894"/>
        <v>2</v>
      </c>
      <c r="G1154" s="17" t="str">
        <f t="shared" si="913"/>
        <v>巡游射手防御百分比</v>
      </c>
      <c r="H1154" s="17" t="str">
        <f t="shared" si="914"/>
        <v>gongbing02_Lv3</v>
      </c>
      <c r="I1154" s="20">
        <v>1.5</v>
      </c>
      <c r="J1154" s="17">
        <v>8</v>
      </c>
      <c r="K1154" s="17">
        <f t="shared" si="911"/>
        <v>31709</v>
      </c>
      <c r="L1154" s="17" t="s">
        <v>233</v>
      </c>
      <c r="M1154" s="17" t="str">
        <f t="shared" si="915"/>
        <v>1:11400:5</v>
      </c>
      <c r="N1154" s="16" t="str">
        <f t="shared" si="891"/>
        <v>10025:1</v>
      </c>
      <c r="O1154" s="17">
        <f t="shared" si="895"/>
        <v>8</v>
      </c>
      <c r="P1154" s="21" t="s">
        <v>4634</v>
      </c>
      <c r="Q1154" s="21"/>
      <c r="R1154" t="s">
        <v>4626</v>
      </c>
      <c r="T1154" t="str">
        <f t="shared" si="916"/>
        <v>:1</v>
      </c>
      <c r="U1154" t="str">
        <f t="shared" si="883"/>
        <v>射手</v>
      </c>
      <c r="V1154" t="s">
        <v>4624</v>
      </c>
      <c r="W1154">
        <f>属性类型!G1154</f>
        <v>10025</v>
      </c>
      <c r="X1154">
        <v>1</v>
      </c>
    </row>
    <row r="1155" customFormat="1" ht="16.5" spans="1:24">
      <c r="A1155" s="17">
        <f t="shared" si="912"/>
        <v>31709</v>
      </c>
      <c r="B1155" s="17">
        <f t="shared" si="884"/>
        <v>31700</v>
      </c>
      <c r="C1155" s="17" t="str">
        <f t="shared" si="898"/>
        <v>3</v>
      </c>
      <c r="D1155" s="17">
        <f t="shared" si="885"/>
        <v>30002</v>
      </c>
      <c r="E1155" s="17">
        <v>2</v>
      </c>
      <c r="F1155" s="17">
        <f t="shared" si="894"/>
        <v>2</v>
      </c>
      <c r="G1155" s="17" t="str">
        <f t="shared" si="913"/>
        <v>巡游射手防御百分比</v>
      </c>
      <c r="H1155" s="17" t="str">
        <f t="shared" si="914"/>
        <v>gongbing02_Lv3</v>
      </c>
      <c r="I1155" s="20">
        <v>1.5</v>
      </c>
      <c r="J1155" s="17">
        <v>9</v>
      </c>
      <c r="K1155" s="17">
        <f t="shared" si="911"/>
        <v>31710</v>
      </c>
      <c r="L1155" s="17" t="s">
        <v>236</v>
      </c>
      <c r="M1155" s="17" t="str">
        <f t="shared" si="915"/>
        <v>1:11400:5</v>
      </c>
      <c r="N1155" s="16" t="str">
        <f t="shared" si="891"/>
        <v>10025:1</v>
      </c>
      <c r="O1155" s="17">
        <f t="shared" si="895"/>
        <v>8</v>
      </c>
      <c r="P1155" s="21" t="s">
        <v>4635</v>
      </c>
      <c r="Q1155" s="21"/>
      <c r="R1155" t="s">
        <v>4626</v>
      </c>
      <c r="T1155" t="str">
        <f t="shared" si="916"/>
        <v>:1</v>
      </c>
      <c r="U1155" t="str">
        <f t="shared" si="883"/>
        <v>射手</v>
      </c>
      <c r="V1155" t="s">
        <v>4624</v>
      </c>
      <c r="W1155">
        <f>属性类型!G1155</f>
        <v>10025</v>
      </c>
      <c r="X1155">
        <v>1</v>
      </c>
    </row>
    <row r="1156" customFormat="1" ht="16.5" spans="1:24">
      <c r="A1156" s="17">
        <f t="shared" si="912"/>
        <v>31710</v>
      </c>
      <c r="B1156" s="17">
        <f t="shared" si="884"/>
        <v>31700</v>
      </c>
      <c r="C1156" s="17" t="str">
        <f t="shared" si="898"/>
        <v>3</v>
      </c>
      <c r="D1156" s="17">
        <f t="shared" si="885"/>
        <v>30002</v>
      </c>
      <c r="E1156" s="17">
        <v>2</v>
      </c>
      <c r="F1156" s="17">
        <f t="shared" si="894"/>
        <v>2</v>
      </c>
      <c r="G1156" s="17" t="str">
        <f t="shared" si="913"/>
        <v>巡游射手防御百分比</v>
      </c>
      <c r="H1156" s="17" t="str">
        <f t="shared" si="914"/>
        <v>gongbing02_Lv3</v>
      </c>
      <c r="I1156" s="20">
        <v>1.5</v>
      </c>
      <c r="J1156" s="17">
        <v>10</v>
      </c>
      <c r="K1156" s="17">
        <f t="shared" si="911"/>
        <v>31711</v>
      </c>
      <c r="L1156" s="17" t="s">
        <v>238</v>
      </c>
      <c r="M1156" s="17" t="str">
        <f t="shared" si="915"/>
        <v>1:11400:5</v>
      </c>
      <c r="N1156" s="16" t="str">
        <f t="shared" si="891"/>
        <v>10025:1</v>
      </c>
      <c r="O1156" s="17">
        <f t="shared" si="895"/>
        <v>8</v>
      </c>
      <c r="P1156" s="21" t="s">
        <v>4636</v>
      </c>
      <c r="Q1156" s="21"/>
      <c r="R1156" t="s">
        <v>4626</v>
      </c>
      <c r="T1156" t="str">
        <f t="shared" si="916"/>
        <v>:1</v>
      </c>
      <c r="U1156" t="str">
        <f t="shared" si="883"/>
        <v>射手</v>
      </c>
      <c r="V1156" t="s">
        <v>4624</v>
      </c>
      <c r="W1156">
        <f>属性类型!G1156</f>
        <v>10025</v>
      </c>
      <c r="X1156">
        <v>1</v>
      </c>
    </row>
    <row r="1157" customFormat="1" ht="16.5" spans="1:24">
      <c r="A1157" s="17">
        <f t="shared" si="912"/>
        <v>31711</v>
      </c>
      <c r="B1157" s="17">
        <f t="shared" si="884"/>
        <v>31700</v>
      </c>
      <c r="C1157" s="17" t="str">
        <f t="shared" si="898"/>
        <v>3</v>
      </c>
      <c r="D1157" s="17">
        <f t="shared" si="885"/>
        <v>30002</v>
      </c>
      <c r="E1157" s="17">
        <v>2</v>
      </c>
      <c r="F1157" s="17">
        <f t="shared" si="894"/>
        <v>2</v>
      </c>
      <c r="G1157" s="17" t="str">
        <f t="shared" si="913"/>
        <v>巡游射手防御百分比</v>
      </c>
      <c r="H1157" s="17" t="str">
        <f t="shared" si="914"/>
        <v>gongbing02_Lv3</v>
      </c>
      <c r="I1157" s="20">
        <v>1.5</v>
      </c>
      <c r="J1157" s="17">
        <v>11</v>
      </c>
      <c r="K1157" s="17">
        <f t="shared" si="911"/>
        <v>31712</v>
      </c>
      <c r="L1157" s="17" t="s">
        <v>529</v>
      </c>
      <c r="M1157" s="17" t="str">
        <f t="shared" si="915"/>
        <v>1:11400:5</v>
      </c>
      <c r="N1157" s="16" t="str">
        <f t="shared" si="891"/>
        <v>10025:1</v>
      </c>
      <c r="O1157" s="17">
        <f t="shared" si="895"/>
        <v>8</v>
      </c>
      <c r="P1157" s="21" t="s">
        <v>4637</v>
      </c>
      <c r="Q1157" s="21"/>
      <c r="R1157" t="s">
        <v>4626</v>
      </c>
      <c r="T1157" t="str">
        <f t="shared" si="916"/>
        <v>:1</v>
      </c>
      <c r="U1157" t="str">
        <f t="shared" ref="U1157:U1220" si="917">MID(P1157,3,2)</f>
        <v>射手</v>
      </c>
      <c r="V1157" t="s">
        <v>4624</v>
      </c>
      <c r="W1157">
        <f>属性类型!G1157</f>
        <v>10025</v>
      </c>
      <c r="X1157">
        <v>1</v>
      </c>
    </row>
    <row r="1158" customFormat="1" ht="16.5" spans="1:24">
      <c r="A1158" s="17">
        <f t="shared" si="912"/>
        <v>31712</v>
      </c>
      <c r="B1158" s="17">
        <f t="shared" ref="B1158:B1187" si="918">ROUND(A1158,-2)</f>
        <v>31700</v>
      </c>
      <c r="C1158" s="17" t="str">
        <f t="shared" si="898"/>
        <v>3</v>
      </c>
      <c r="D1158" s="17">
        <f t="shared" ref="D1158:D1187" si="919">$A$934+F1158</f>
        <v>30002</v>
      </c>
      <c r="E1158" s="17">
        <v>2</v>
      </c>
      <c r="F1158" s="17">
        <f t="shared" si="894"/>
        <v>2</v>
      </c>
      <c r="G1158" s="17" t="str">
        <f t="shared" si="913"/>
        <v>巡游射手防御百分比</v>
      </c>
      <c r="H1158" s="17" t="str">
        <f t="shared" si="914"/>
        <v>gongbing02_Lv3</v>
      </c>
      <c r="I1158" s="20">
        <v>1.5</v>
      </c>
      <c r="J1158" s="17">
        <v>12</v>
      </c>
      <c r="K1158" s="17">
        <f t="shared" si="911"/>
        <v>31713</v>
      </c>
      <c r="L1158" s="17" t="s">
        <v>532</v>
      </c>
      <c r="M1158" s="17" t="str">
        <f t="shared" si="915"/>
        <v>1:11400:5</v>
      </c>
      <c r="N1158" s="16" t="str">
        <f t="shared" si="891"/>
        <v>10025:1</v>
      </c>
      <c r="O1158" s="17">
        <f t="shared" si="895"/>
        <v>8</v>
      </c>
      <c r="P1158" s="21" t="s">
        <v>4638</v>
      </c>
      <c r="Q1158" s="21"/>
      <c r="R1158" t="s">
        <v>4626</v>
      </c>
      <c r="T1158" t="str">
        <f t="shared" si="916"/>
        <v>:1</v>
      </c>
      <c r="U1158" t="str">
        <f t="shared" si="917"/>
        <v>射手</v>
      </c>
      <c r="V1158" t="s">
        <v>4624</v>
      </c>
      <c r="W1158">
        <f>属性类型!G1158</f>
        <v>10025</v>
      </c>
      <c r="X1158">
        <v>1</v>
      </c>
    </row>
    <row r="1159" customFormat="1" ht="16.5" spans="1:24">
      <c r="A1159" s="17">
        <f t="shared" si="912"/>
        <v>31713</v>
      </c>
      <c r="B1159" s="17">
        <f t="shared" si="918"/>
        <v>31700</v>
      </c>
      <c r="C1159" s="17" t="str">
        <f t="shared" si="898"/>
        <v>3</v>
      </c>
      <c r="D1159" s="17">
        <f t="shared" si="919"/>
        <v>30002</v>
      </c>
      <c r="E1159" s="17">
        <v>2</v>
      </c>
      <c r="F1159" s="17">
        <f t="shared" si="894"/>
        <v>2</v>
      </c>
      <c r="G1159" s="17" t="str">
        <f t="shared" si="913"/>
        <v>巡游射手防御百分比</v>
      </c>
      <c r="H1159" s="17" t="str">
        <f t="shared" si="914"/>
        <v>gongbing02_Lv3</v>
      </c>
      <c r="I1159" s="20">
        <v>1.5</v>
      </c>
      <c r="J1159" s="17">
        <v>13</v>
      </c>
      <c r="K1159" s="17">
        <f t="shared" si="911"/>
        <v>31714</v>
      </c>
      <c r="L1159" s="17" t="s">
        <v>561</v>
      </c>
      <c r="M1159" s="17" t="str">
        <f t="shared" si="915"/>
        <v>1:11400:5</v>
      </c>
      <c r="N1159" s="16" t="str">
        <f t="shared" si="891"/>
        <v>10025:1</v>
      </c>
      <c r="O1159" s="17">
        <f t="shared" si="895"/>
        <v>8</v>
      </c>
      <c r="P1159" s="21" t="s">
        <v>4639</v>
      </c>
      <c r="Q1159" s="21"/>
      <c r="R1159" t="s">
        <v>4626</v>
      </c>
      <c r="T1159" t="str">
        <f t="shared" si="916"/>
        <v>:1</v>
      </c>
      <c r="U1159" t="str">
        <f t="shared" si="917"/>
        <v>射手</v>
      </c>
      <c r="V1159" t="s">
        <v>4624</v>
      </c>
      <c r="W1159">
        <f>属性类型!G1159</f>
        <v>10025</v>
      </c>
      <c r="X1159">
        <v>1</v>
      </c>
    </row>
    <row r="1160" customFormat="1" ht="16.5" spans="1:24">
      <c r="A1160" s="17">
        <f t="shared" si="912"/>
        <v>31714</v>
      </c>
      <c r="B1160" s="17">
        <f t="shared" si="918"/>
        <v>31700</v>
      </c>
      <c r="C1160" s="17" t="str">
        <f t="shared" si="898"/>
        <v>3</v>
      </c>
      <c r="D1160" s="17">
        <f t="shared" si="919"/>
        <v>30002</v>
      </c>
      <c r="E1160" s="17">
        <v>2</v>
      </c>
      <c r="F1160" s="17">
        <f t="shared" si="894"/>
        <v>2</v>
      </c>
      <c r="G1160" s="17" t="str">
        <f t="shared" si="913"/>
        <v>巡游射手防御百分比</v>
      </c>
      <c r="H1160" s="17" t="str">
        <f t="shared" si="914"/>
        <v>gongbing02_Lv3</v>
      </c>
      <c r="I1160" s="20">
        <v>1.5</v>
      </c>
      <c r="J1160" s="17">
        <v>14</v>
      </c>
      <c r="K1160" s="17">
        <f t="shared" si="911"/>
        <v>31715</v>
      </c>
      <c r="L1160" s="17" t="s">
        <v>564</v>
      </c>
      <c r="M1160" s="17" t="str">
        <f t="shared" si="915"/>
        <v>1:11400:5</v>
      </c>
      <c r="N1160" s="16" t="str">
        <f t="shared" si="891"/>
        <v>10025:1</v>
      </c>
      <c r="O1160" s="17">
        <f t="shared" si="895"/>
        <v>8</v>
      </c>
      <c r="P1160" s="21" t="s">
        <v>4640</v>
      </c>
      <c r="Q1160" s="21"/>
      <c r="R1160" t="s">
        <v>4626</v>
      </c>
      <c r="T1160" t="str">
        <f t="shared" si="916"/>
        <v>:1</v>
      </c>
      <c r="U1160" t="str">
        <f t="shared" si="917"/>
        <v>射手</v>
      </c>
      <c r="V1160" t="s">
        <v>4624</v>
      </c>
      <c r="W1160">
        <f>属性类型!G1160</f>
        <v>10025</v>
      </c>
      <c r="X1160">
        <v>1</v>
      </c>
    </row>
    <row r="1161" customFormat="1" ht="16.5" spans="1:24">
      <c r="A1161" s="17">
        <f t="shared" si="912"/>
        <v>31715</v>
      </c>
      <c r="B1161" s="17">
        <f t="shared" si="918"/>
        <v>31700</v>
      </c>
      <c r="C1161" s="17" t="str">
        <f t="shared" si="898"/>
        <v>3</v>
      </c>
      <c r="D1161" s="17">
        <f t="shared" si="919"/>
        <v>30002</v>
      </c>
      <c r="E1161" s="17">
        <v>2</v>
      </c>
      <c r="F1161" s="17">
        <f t="shared" si="894"/>
        <v>2</v>
      </c>
      <c r="G1161" s="17" t="str">
        <f t="shared" si="913"/>
        <v>巡游射手防御百分比</v>
      </c>
      <c r="H1161" s="17" t="str">
        <f t="shared" si="914"/>
        <v>gongbing02_Lv3</v>
      </c>
      <c r="I1161" s="20">
        <v>1.5</v>
      </c>
      <c r="J1161" s="17">
        <v>15</v>
      </c>
      <c r="K1161" s="17">
        <f t="shared" si="911"/>
        <v>31716</v>
      </c>
      <c r="L1161" s="17" t="s">
        <v>630</v>
      </c>
      <c r="M1161" s="17" t="str">
        <f t="shared" si="915"/>
        <v>1:11400:5</v>
      </c>
      <c r="N1161" s="16" t="str">
        <f t="shared" si="891"/>
        <v>10025:1</v>
      </c>
      <c r="O1161" s="17">
        <f t="shared" si="895"/>
        <v>8</v>
      </c>
      <c r="P1161" s="21" t="s">
        <v>4641</v>
      </c>
      <c r="Q1161" s="21"/>
      <c r="R1161" t="s">
        <v>4626</v>
      </c>
      <c r="T1161" t="str">
        <f t="shared" si="916"/>
        <v>:1</v>
      </c>
      <c r="U1161" t="str">
        <f t="shared" si="917"/>
        <v>射手</v>
      </c>
      <c r="V1161" t="s">
        <v>4624</v>
      </c>
      <c r="W1161">
        <f>属性类型!G1161</f>
        <v>10025</v>
      </c>
      <c r="X1161">
        <v>1</v>
      </c>
    </row>
    <row r="1162" customFormat="1" ht="16.5" spans="1:24">
      <c r="A1162" s="17">
        <f t="shared" si="912"/>
        <v>31716</v>
      </c>
      <c r="B1162" s="17">
        <f t="shared" si="918"/>
        <v>31700</v>
      </c>
      <c r="C1162" s="17" t="str">
        <f t="shared" si="898"/>
        <v>3</v>
      </c>
      <c r="D1162" s="17">
        <f t="shared" si="919"/>
        <v>30002</v>
      </c>
      <c r="E1162" s="17">
        <v>2</v>
      </c>
      <c r="F1162" s="17">
        <f t="shared" si="894"/>
        <v>2</v>
      </c>
      <c r="G1162" s="17" t="str">
        <f t="shared" si="913"/>
        <v>巡游射手防御百分比</v>
      </c>
      <c r="H1162" s="17" t="str">
        <f t="shared" si="914"/>
        <v>gongbing02_Lv3</v>
      </c>
      <c r="I1162" s="20">
        <v>1.5</v>
      </c>
      <c r="J1162" s="17">
        <v>16</v>
      </c>
      <c r="K1162" s="17">
        <f t="shared" si="911"/>
        <v>31717</v>
      </c>
      <c r="L1162" s="17" t="s">
        <v>633</v>
      </c>
      <c r="M1162" s="17" t="str">
        <f t="shared" si="915"/>
        <v>1:11400:5</v>
      </c>
      <c r="N1162" s="16" t="str">
        <f t="shared" si="891"/>
        <v>10025:1</v>
      </c>
      <c r="O1162" s="17">
        <f t="shared" si="895"/>
        <v>8</v>
      </c>
      <c r="P1162" s="21" t="s">
        <v>4642</v>
      </c>
      <c r="Q1162" s="21"/>
      <c r="R1162" t="s">
        <v>4626</v>
      </c>
      <c r="T1162" t="str">
        <f t="shared" si="916"/>
        <v>:1</v>
      </c>
      <c r="U1162" t="str">
        <f t="shared" si="917"/>
        <v>射手</v>
      </c>
      <c r="V1162" t="s">
        <v>4624</v>
      </c>
      <c r="W1162">
        <f>属性类型!G1162</f>
        <v>10025</v>
      </c>
      <c r="X1162">
        <v>1</v>
      </c>
    </row>
    <row r="1163" customFormat="1" ht="16.5" spans="1:24">
      <c r="A1163" s="17">
        <f t="shared" si="912"/>
        <v>31717</v>
      </c>
      <c r="B1163" s="17">
        <f t="shared" si="918"/>
        <v>31700</v>
      </c>
      <c r="C1163" s="17" t="str">
        <f t="shared" si="898"/>
        <v>3</v>
      </c>
      <c r="D1163" s="17">
        <f t="shared" si="919"/>
        <v>30002</v>
      </c>
      <c r="E1163" s="17">
        <v>2</v>
      </c>
      <c r="F1163" s="17">
        <f t="shared" si="894"/>
        <v>2</v>
      </c>
      <c r="G1163" s="17" t="str">
        <f t="shared" si="913"/>
        <v>巡游射手防御百分比</v>
      </c>
      <c r="H1163" s="17" t="str">
        <f t="shared" si="914"/>
        <v>gongbing02_Lv3</v>
      </c>
      <c r="I1163" s="20">
        <v>1.5</v>
      </c>
      <c r="J1163" s="17">
        <v>17</v>
      </c>
      <c r="K1163" s="17">
        <f t="shared" si="911"/>
        <v>31718</v>
      </c>
      <c r="L1163" s="17" t="s">
        <v>637</v>
      </c>
      <c r="M1163" s="17" t="str">
        <f t="shared" si="915"/>
        <v>1:11400:5</v>
      </c>
      <c r="N1163" s="16" t="str">
        <f t="shared" ref="N1163:N1226" si="920">W1163&amp;$W$2&amp;X1163</f>
        <v>10025:1</v>
      </c>
      <c r="O1163" s="17">
        <f t="shared" si="895"/>
        <v>8</v>
      </c>
      <c r="P1163" s="21" t="s">
        <v>4643</v>
      </c>
      <c r="Q1163" s="21"/>
      <c r="R1163" t="s">
        <v>4626</v>
      </c>
      <c r="T1163" t="str">
        <f t="shared" si="916"/>
        <v>:1</v>
      </c>
      <c r="U1163" t="str">
        <f t="shared" si="917"/>
        <v>射手</v>
      </c>
      <c r="V1163" t="s">
        <v>4624</v>
      </c>
      <c r="W1163">
        <f>属性类型!G1163</f>
        <v>10025</v>
      </c>
      <c r="X1163">
        <v>1</v>
      </c>
    </row>
    <row r="1164" customFormat="1" ht="16.5" spans="1:24">
      <c r="A1164" s="17">
        <f t="shared" si="912"/>
        <v>31718</v>
      </c>
      <c r="B1164" s="17">
        <f t="shared" si="918"/>
        <v>31700</v>
      </c>
      <c r="C1164" s="17" t="str">
        <f t="shared" si="898"/>
        <v>3</v>
      </c>
      <c r="D1164" s="17">
        <f t="shared" si="919"/>
        <v>30002</v>
      </c>
      <c r="E1164" s="17">
        <v>2</v>
      </c>
      <c r="F1164" s="17">
        <f t="shared" si="894"/>
        <v>2</v>
      </c>
      <c r="G1164" s="17" t="str">
        <f t="shared" si="913"/>
        <v>巡游射手防御百分比</v>
      </c>
      <c r="H1164" s="17" t="str">
        <f t="shared" si="914"/>
        <v>gongbing02_Lv3</v>
      </c>
      <c r="I1164" s="20">
        <v>1.5</v>
      </c>
      <c r="J1164" s="17">
        <v>18</v>
      </c>
      <c r="K1164" s="17">
        <f t="shared" si="911"/>
        <v>31719</v>
      </c>
      <c r="L1164" s="17" t="s">
        <v>641</v>
      </c>
      <c r="M1164" s="17" t="str">
        <f t="shared" si="915"/>
        <v>1:11400:5</v>
      </c>
      <c r="N1164" s="16" t="str">
        <f t="shared" si="920"/>
        <v>10025:1</v>
      </c>
      <c r="O1164" s="17">
        <f t="shared" si="895"/>
        <v>8</v>
      </c>
      <c r="P1164" s="21" t="s">
        <v>4644</v>
      </c>
      <c r="Q1164" s="21"/>
      <c r="R1164" t="s">
        <v>4626</v>
      </c>
      <c r="T1164" t="str">
        <f t="shared" si="916"/>
        <v>:1</v>
      </c>
      <c r="U1164" t="str">
        <f t="shared" si="917"/>
        <v>射手</v>
      </c>
      <c r="V1164" t="s">
        <v>4624</v>
      </c>
      <c r="W1164">
        <f>属性类型!G1164</f>
        <v>10025</v>
      </c>
      <c r="X1164">
        <v>1</v>
      </c>
    </row>
    <row r="1165" customFormat="1" ht="16.5" spans="1:24">
      <c r="A1165" s="17">
        <f t="shared" si="912"/>
        <v>31719</v>
      </c>
      <c r="B1165" s="17">
        <f t="shared" si="918"/>
        <v>31700</v>
      </c>
      <c r="C1165" s="17" t="str">
        <f t="shared" si="898"/>
        <v>3</v>
      </c>
      <c r="D1165" s="17">
        <f t="shared" si="919"/>
        <v>30002</v>
      </c>
      <c r="E1165" s="17">
        <v>2</v>
      </c>
      <c r="F1165" s="17">
        <f t="shared" si="894"/>
        <v>2</v>
      </c>
      <c r="G1165" s="17" t="str">
        <f t="shared" si="913"/>
        <v>巡游射手防御百分比</v>
      </c>
      <c r="H1165" s="17" t="str">
        <f t="shared" si="914"/>
        <v>gongbing02_Lv3</v>
      </c>
      <c r="I1165" s="20">
        <v>1.5</v>
      </c>
      <c r="J1165" s="17">
        <v>19</v>
      </c>
      <c r="K1165" s="17">
        <f t="shared" si="911"/>
        <v>31720</v>
      </c>
      <c r="L1165" s="17" t="s">
        <v>645</v>
      </c>
      <c r="M1165" s="17" t="str">
        <f t="shared" si="915"/>
        <v>1:11400:5</v>
      </c>
      <c r="N1165" s="16" t="str">
        <f t="shared" si="920"/>
        <v>10025:1</v>
      </c>
      <c r="O1165" s="17">
        <f t="shared" si="895"/>
        <v>8</v>
      </c>
      <c r="P1165" s="21" t="s">
        <v>4645</v>
      </c>
      <c r="Q1165" s="21"/>
      <c r="R1165" t="s">
        <v>4626</v>
      </c>
      <c r="T1165" t="str">
        <f t="shared" si="916"/>
        <v>:1</v>
      </c>
      <c r="U1165" t="str">
        <f t="shared" si="917"/>
        <v>射手</v>
      </c>
      <c r="V1165" t="s">
        <v>4624</v>
      </c>
      <c r="W1165">
        <f>属性类型!G1165</f>
        <v>10025</v>
      </c>
      <c r="X1165">
        <v>1</v>
      </c>
    </row>
    <row r="1166" customFormat="1" ht="16.5" spans="1:24">
      <c r="A1166" s="17">
        <f t="shared" si="912"/>
        <v>31720</v>
      </c>
      <c r="B1166" s="17">
        <f t="shared" si="918"/>
        <v>31700</v>
      </c>
      <c r="C1166" s="17" t="str">
        <f t="shared" si="898"/>
        <v>3</v>
      </c>
      <c r="D1166" s="17">
        <f t="shared" si="919"/>
        <v>30002</v>
      </c>
      <c r="E1166" s="17">
        <v>2</v>
      </c>
      <c r="F1166" s="17">
        <f t="shared" si="894"/>
        <v>2</v>
      </c>
      <c r="G1166" s="17" t="str">
        <f t="shared" si="913"/>
        <v>巡游射手防御百分比</v>
      </c>
      <c r="H1166" s="17" t="str">
        <f t="shared" si="914"/>
        <v>gongbing02_Lv3</v>
      </c>
      <c r="I1166" s="20">
        <v>1.5</v>
      </c>
      <c r="J1166" s="17">
        <v>20</v>
      </c>
      <c r="K1166" s="17">
        <v>0</v>
      </c>
      <c r="L1166" s="17">
        <v>0</v>
      </c>
      <c r="M1166" s="17" t="str">
        <f t="shared" si="915"/>
        <v>1:11400:5</v>
      </c>
      <c r="N1166" s="16" t="str">
        <f t="shared" si="920"/>
        <v>10025:1</v>
      </c>
      <c r="O1166" s="17">
        <f t="shared" si="895"/>
        <v>8</v>
      </c>
      <c r="P1166" s="21" t="s">
        <v>4645</v>
      </c>
      <c r="Q1166" s="21"/>
      <c r="R1166" t="s">
        <v>4626</v>
      </c>
      <c r="T1166" t="str">
        <f t="shared" si="916"/>
        <v>:1</v>
      </c>
      <c r="U1166" t="str">
        <f t="shared" si="917"/>
        <v>射手</v>
      </c>
      <c r="V1166" t="s">
        <v>4624</v>
      </c>
      <c r="W1166">
        <f>属性类型!G1166</f>
        <v>10025</v>
      </c>
      <c r="X1166">
        <v>1</v>
      </c>
    </row>
    <row r="1167" customFormat="1" ht="16.5" spans="1:24">
      <c r="A1167" s="18">
        <f>A1146+100</f>
        <v>31800</v>
      </c>
      <c r="B1167" s="18">
        <f t="shared" si="918"/>
        <v>31800</v>
      </c>
      <c r="C1167" s="18" t="str">
        <f t="shared" si="898"/>
        <v>3</v>
      </c>
      <c r="D1167" s="17">
        <f t="shared" si="919"/>
        <v>30002</v>
      </c>
      <c r="E1167" s="17">
        <v>2</v>
      </c>
      <c r="F1167" s="18">
        <f t="shared" si="894"/>
        <v>2</v>
      </c>
      <c r="G1167" s="18" t="s">
        <v>4646</v>
      </c>
      <c r="H1167" s="18" t="s">
        <v>1670</v>
      </c>
      <c r="I1167" s="20">
        <v>1.5</v>
      </c>
      <c r="J1167" s="18">
        <v>0</v>
      </c>
      <c r="K1167" s="18">
        <f t="shared" ref="K1167:K1186" si="921">A1168</f>
        <v>31801</v>
      </c>
      <c r="L1167" s="18" t="s">
        <v>206</v>
      </c>
      <c r="M1167" s="18" t="s">
        <v>488</v>
      </c>
      <c r="N1167" s="16" t="str">
        <f t="shared" si="920"/>
        <v>10026:1</v>
      </c>
      <c r="O1167" s="18">
        <f t="shared" si="895"/>
        <v>9</v>
      </c>
      <c r="P1167" s="21" t="s">
        <v>4647</v>
      </c>
      <c r="Q1167" s="21"/>
      <c r="R1167" t="s">
        <v>4626</v>
      </c>
      <c r="T1167">
        <v>1</v>
      </c>
      <c r="U1167" t="str">
        <f t="shared" si="917"/>
        <v>射手</v>
      </c>
      <c r="V1167" t="s">
        <v>4646</v>
      </c>
      <c r="W1167">
        <f>属性类型!G1167</f>
        <v>10026</v>
      </c>
      <c r="X1167">
        <v>1</v>
      </c>
    </row>
    <row r="1168" customFormat="1" ht="16.5" spans="1:24">
      <c r="A1168" s="17">
        <f t="shared" ref="A1168:A1187" si="922">A1167+1</f>
        <v>31801</v>
      </c>
      <c r="B1168" s="17">
        <f t="shared" si="918"/>
        <v>31800</v>
      </c>
      <c r="C1168" s="17" t="str">
        <f t="shared" si="898"/>
        <v>3</v>
      </c>
      <c r="D1168" s="17">
        <f t="shared" si="919"/>
        <v>30002</v>
      </c>
      <c r="E1168" s="17">
        <f t="shared" ref="E1168:H1168" si="923">E1167</f>
        <v>2</v>
      </c>
      <c r="F1168" s="17">
        <f t="shared" ref="F1168:F1231" si="924">MID(B1168,2,1)+1</f>
        <v>2</v>
      </c>
      <c r="G1168" s="17" t="str">
        <f t="shared" si="923"/>
        <v>巡游射手攻击百分比</v>
      </c>
      <c r="H1168" s="17" t="str">
        <f t="shared" si="923"/>
        <v>gongbing02_Lv3</v>
      </c>
      <c r="I1168" s="20">
        <v>1.5</v>
      </c>
      <c r="J1168" s="17">
        <v>1</v>
      </c>
      <c r="K1168" s="17">
        <f t="shared" si="921"/>
        <v>31802</v>
      </c>
      <c r="L1168" s="17" t="s">
        <v>211</v>
      </c>
      <c r="M1168" s="17" t="str">
        <f t="shared" ref="M1168:M1187" si="925">M1167</f>
        <v>1:11500:5</v>
      </c>
      <c r="N1168" s="16" t="str">
        <f t="shared" si="920"/>
        <v>10026:1</v>
      </c>
      <c r="O1168" s="17">
        <f t="shared" ref="O1168:O1231" si="926">MID(A1168,3,1)+1</f>
        <v>9</v>
      </c>
      <c r="P1168" s="21" t="s">
        <v>4648</v>
      </c>
      <c r="Q1168" s="21"/>
      <c r="R1168" t="s">
        <v>4626</v>
      </c>
      <c r="T1168">
        <v>2</v>
      </c>
      <c r="U1168" t="str">
        <f t="shared" si="917"/>
        <v>射手</v>
      </c>
      <c r="V1168" t="s">
        <v>4646</v>
      </c>
      <c r="W1168">
        <f>属性类型!G1168</f>
        <v>10026</v>
      </c>
      <c r="X1168">
        <v>1</v>
      </c>
    </row>
    <row r="1169" customFormat="1" ht="16.5" spans="1:24">
      <c r="A1169" s="17">
        <f t="shared" si="922"/>
        <v>31802</v>
      </c>
      <c r="B1169" s="17">
        <f t="shared" si="918"/>
        <v>31800</v>
      </c>
      <c r="C1169" s="17" t="str">
        <f t="shared" si="898"/>
        <v>3</v>
      </c>
      <c r="D1169" s="17">
        <f t="shared" si="919"/>
        <v>30002</v>
      </c>
      <c r="E1169" s="17">
        <f t="shared" ref="E1169:H1169" si="927">E1168</f>
        <v>2</v>
      </c>
      <c r="F1169" s="17">
        <f t="shared" si="924"/>
        <v>2</v>
      </c>
      <c r="G1169" s="17" t="str">
        <f t="shared" si="927"/>
        <v>巡游射手攻击百分比</v>
      </c>
      <c r="H1169" s="17" t="str">
        <f t="shared" si="927"/>
        <v>gongbing02_Lv3</v>
      </c>
      <c r="I1169" s="20">
        <v>1.5</v>
      </c>
      <c r="J1169" s="17">
        <v>2</v>
      </c>
      <c r="K1169" s="17">
        <f t="shared" si="921"/>
        <v>31803</v>
      </c>
      <c r="L1169" s="17" t="s">
        <v>215</v>
      </c>
      <c r="M1169" s="17" t="str">
        <f t="shared" si="925"/>
        <v>1:11500:5</v>
      </c>
      <c r="N1169" s="16" t="str">
        <f t="shared" si="920"/>
        <v>10026:1</v>
      </c>
      <c r="O1169" s="17">
        <f t="shared" si="926"/>
        <v>9</v>
      </c>
      <c r="P1169" s="21" t="s">
        <v>4649</v>
      </c>
      <c r="Q1169" s="21"/>
      <c r="R1169" t="s">
        <v>4626</v>
      </c>
      <c r="T1169">
        <v>3</v>
      </c>
      <c r="U1169" t="str">
        <f t="shared" si="917"/>
        <v>射手</v>
      </c>
      <c r="V1169" t="s">
        <v>4646</v>
      </c>
      <c r="W1169">
        <f>属性类型!G1169</f>
        <v>10026</v>
      </c>
      <c r="X1169">
        <v>1</v>
      </c>
    </row>
    <row r="1170" customFormat="1" ht="16.5" spans="1:24">
      <c r="A1170" s="17">
        <f t="shared" si="922"/>
        <v>31803</v>
      </c>
      <c r="B1170" s="17">
        <f t="shared" si="918"/>
        <v>31800</v>
      </c>
      <c r="C1170" s="17" t="str">
        <f t="shared" si="898"/>
        <v>3</v>
      </c>
      <c r="D1170" s="17">
        <f t="shared" si="919"/>
        <v>30002</v>
      </c>
      <c r="E1170" s="17">
        <f t="shared" ref="E1170:H1170" si="928">E1169</f>
        <v>2</v>
      </c>
      <c r="F1170" s="17">
        <f t="shared" si="924"/>
        <v>2</v>
      </c>
      <c r="G1170" s="17" t="str">
        <f t="shared" si="928"/>
        <v>巡游射手攻击百分比</v>
      </c>
      <c r="H1170" s="17" t="str">
        <f t="shared" si="928"/>
        <v>gongbing02_Lv3</v>
      </c>
      <c r="I1170" s="20">
        <v>1.5</v>
      </c>
      <c r="J1170" s="17">
        <v>3</v>
      </c>
      <c r="K1170" s="17">
        <f t="shared" si="921"/>
        <v>31804</v>
      </c>
      <c r="L1170" s="17" t="s">
        <v>218</v>
      </c>
      <c r="M1170" s="17" t="str">
        <f t="shared" si="925"/>
        <v>1:11500:5</v>
      </c>
      <c r="N1170" s="16" t="str">
        <f t="shared" si="920"/>
        <v>10026:1</v>
      </c>
      <c r="O1170" s="17">
        <f t="shared" si="926"/>
        <v>9</v>
      </c>
      <c r="P1170" s="21" t="s">
        <v>4650</v>
      </c>
      <c r="Q1170" s="21"/>
      <c r="R1170" t="s">
        <v>4626</v>
      </c>
      <c r="T1170">
        <v>4</v>
      </c>
      <c r="U1170" t="str">
        <f t="shared" si="917"/>
        <v>射手</v>
      </c>
      <c r="V1170" t="s">
        <v>4646</v>
      </c>
      <c r="W1170">
        <f>属性类型!G1170</f>
        <v>10026</v>
      </c>
      <c r="X1170">
        <v>1</v>
      </c>
    </row>
    <row r="1171" customFormat="1" ht="16.5" spans="1:24">
      <c r="A1171" s="17">
        <f t="shared" si="922"/>
        <v>31804</v>
      </c>
      <c r="B1171" s="17">
        <f t="shared" si="918"/>
        <v>31800</v>
      </c>
      <c r="C1171" s="17" t="str">
        <f t="shared" si="898"/>
        <v>3</v>
      </c>
      <c r="D1171" s="17">
        <f t="shared" si="919"/>
        <v>30002</v>
      </c>
      <c r="E1171" s="17">
        <f t="shared" ref="E1171:H1171" si="929">E1170</f>
        <v>2</v>
      </c>
      <c r="F1171" s="17">
        <f t="shared" si="924"/>
        <v>2</v>
      </c>
      <c r="G1171" s="17" t="str">
        <f t="shared" si="929"/>
        <v>巡游射手攻击百分比</v>
      </c>
      <c r="H1171" s="17" t="str">
        <f t="shared" si="929"/>
        <v>gongbing02_Lv3</v>
      </c>
      <c r="I1171" s="20">
        <v>1.5</v>
      </c>
      <c r="J1171" s="17">
        <v>4</v>
      </c>
      <c r="K1171" s="17">
        <f t="shared" si="921"/>
        <v>31805</v>
      </c>
      <c r="L1171" s="17" t="s">
        <v>221</v>
      </c>
      <c r="M1171" s="17" t="str">
        <f t="shared" si="925"/>
        <v>1:11500:5</v>
      </c>
      <c r="N1171" s="16" t="str">
        <f t="shared" si="920"/>
        <v>10026:1</v>
      </c>
      <c r="O1171" s="17">
        <f t="shared" si="926"/>
        <v>9</v>
      </c>
      <c r="P1171" s="21" t="s">
        <v>4651</v>
      </c>
      <c r="Q1171" s="21"/>
      <c r="R1171" t="s">
        <v>4626</v>
      </c>
      <c r="T1171">
        <v>5</v>
      </c>
      <c r="U1171" t="str">
        <f t="shared" si="917"/>
        <v>射手</v>
      </c>
      <c r="V1171" t="s">
        <v>4646</v>
      </c>
      <c r="W1171">
        <f>属性类型!G1171</f>
        <v>10026</v>
      </c>
      <c r="X1171">
        <v>1</v>
      </c>
    </row>
    <row r="1172" customFormat="1" ht="16.5" spans="1:24">
      <c r="A1172" s="17">
        <f t="shared" si="922"/>
        <v>31805</v>
      </c>
      <c r="B1172" s="17">
        <f t="shared" si="918"/>
        <v>31800</v>
      </c>
      <c r="C1172" s="17" t="str">
        <f t="shared" si="898"/>
        <v>3</v>
      </c>
      <c r="D1172" s="17">
        <f t="shared" si="919"/>
        <v>30002</v>
      </c>
      <c r="E1172" s="17">
        <f t="shared" ref="E1172:H1172" si="930">E1171</f>
        <v>2</v>
      </c>
      <c r="F1172" s="17">
        <f t="shared" si="924"/>
        <v>2</v>
      </c>
      <c r="G1172" s="17" t="str">
        <f t="shared" si="930"/>
        <v>巡游射手攻击百分比</v>
      </c>
      <c r="H1172" s="17" t="str">
        <f t="shared" si="930"/>
        <v>gongbing02_Lv3</v>
      </c>
      <c r="I1172" s="20">
        <v>1.5</v>
      </c>
      <c r="J1172" s="17">
        <v>5</v>
      </c>
      <c r="K1172" s="17">
        <f t="shared" si="921"/>
        <v>31806</v>
      </c>
      <c r="L1172" s="17" t="s">
        <v>224</v>
      </c>
      <c r="M1172" s="17" t="str">
        <f t="shared" si="925"/>
        <v>1:11500:5</v>
      </c>
      <c r="N1172" s="16" t="str">
        <f t="shared" si="920"/>
        <v>10026:1</v>
      </c>
      <c r="O1172" s="17">
        <f t="shared" si="926"/>
        <v>9</v>
      </c>
      <c r="P1172" s="21" t="s">
        <v>4652</v>
      </c>
      <c r="Q1172" s="21"/>
      <c r="R1172" t="s">
        <v>4626</v>
      </c>
      <c r="T1172">
        <v>6</v>
      </c>
      <c r="U1172" t="str">
        <f t="shared" si="917"/>
        <v>射手</v>
      </c>
      <c r="V1172" t="s">
        <v>4646</v>
      </c>
      <c r="W1172">
        <f>属性类型!G1172</f>
        <v>10026</v>
      </c>
      <c r="X1172">
        <v>1</v>
      </c>
    </row>
    <row r="1173" customFormat="1" ht="16.5" spans="1:24">
      <c r="A1173" s="17">
        <f t="shared" si="922"/>
        <v>31806</v>
      </c>
      <c r="B1173" s="17">
        <f t="shared" si="918"/>
        <v>31800</v>
      </c>
      <c r="C1173" s="17" t="str">
        <f t="shared" si="898"/>
        <v>3</v>
      </c>
      <c r="D1173" s="17">
        <f t="shared" si="919"/>
        <v>30002</v>
      </c>
      <c r="E1173" s="17">
        <f t="shared" ref="E1173:H1173" si="931">E1172</f>
        <v>2</v>
      </c>
      <c r="F1173" s="17">
        <f t="shared" si="924"/>
        <v>2</v>
      </c>
      <c r="G1173" s="17" t="str">
        <f t="shared" si="931"/>
        <v>巡游射手攻击百分比</v>
      </c>
      <c r="H1173" s="17" t="str">
        <f t="shared" si="931"/>
        <v>gongbing02_Lv3</v>
      </c>
      <c r="I1173" s="20">
        <v>1.5</v>
      </c>
      <c r="J1173" s="17">
        <v>6</v>
      </c>
      <c r="K1173" s="17">
        <f t="shared" si="921"/>
        <v>31807</v>
      </c>
      <c r="L1173" s="17" t="s">
        <v>227</v>
      </c>
      <c r="M1173" s="17" t="str">
        <f t="shared" si="925"/>
        <v>1:11500:5</v>
      </c>
      <c r="N1173" s="16" t="str">
        <f t="shared" si="920"/>
        <v>10026:1</v>
      </c>
      <c r="O1173" s="17">
        <f t="shared" si="926"/>
        <v>9</v>
      </c>
      <c r="P1173" s="21" t="s">
        <v>4653</v>
      </c>
      <c r="Q1173" s="21"/>
      <c r="R1173" t="s">
        <v>4626</v>
      </c>
      <c r="T1173">
        <v>7</v>
      </c>
      <c r="U1173" t="str">
        <f t="shared" si="917"/>
        <v>射手</v>
      </c>
      <c r="V1173" t="s">
        <v>4646</v>
      </c>
      <c r="W1173">
        <f>属性类型!G1173</f>
        <v>10026</v>
      </c>
      <c r="X1173">
        <v>1</v>
      </c>
    </row>
    <row r="1174" customFormat="1" ht="16.5" spans="1:24">
      <c r="A1174" s="17">
        <f t="shared" si="922"/>
        <v>31807</v>
      </c>
      <c r="B1174" s="17">
        <f t="shared" si="918"/>
        <v>31800</v>
      </c>
      <c r="C1174" s="17" t="str">
        <f t="shared" si="898"/>
        <v>3</v>
      </c>
      <c r="D1174" s="17">
        <f t="shared" si="919"/>
        <v>30002</v>
      </c>
      <c r="E1174" s="17">
        <f t="shared" ref="E1174:H1174" si="932">E1173</f>
        <v>2</v>
      </c>
      <c r="F1174" s="17">
        <f t="shared" si="924"/>
        <v>2</v>
      </c>
      <c r="G1174" s="17" t="str">
        <f t="shared" si="932"/>
        <v>巡游射手攻击百分比</v>
      </c>
      <c r="H1174" s="17" t="str">
        <f t="shared" si="932"/>
        <v>gongbing02_Lv3</v>
      </c>
      <c r="I1174" s="20">
        <v>1.5</v>
      </c>
      <c r="J1174" s="17">
        <v>7</v>
      </c>
      <c r="K1174" s="17">
        <f t="shared" si="921"/>
        <v>31808</v>
      </c>
      <c r="L1174" s="17" t="s">
        <v>230</v>
      </c>
      <c r="M1174" s="17" t="str">
        <f t="shared" si="925"/>
        <v>1:11500:5</v>
      </c>
      <c r="N1174" s="16" t="str">
        <f t="shared" si="920"/>
        <v>10026:1</v>
      </c>
      <c r="O1174" s="17">
        <f t="shared" si="926"/>
        <v>9</v>
      </c>
      <c r="P1174" s="21" t="s">
        <v>4654</v>
      </c>
      <c r="Q1174" s="21"/>
      <c r="R1174" t="s">
        <v>4626</v>
      </c>
      <c r="T1174">
        <v>8</v>
      </c>
      <c r="U1174" t="str">
        <f t="shared" si="917"/>
        <v>射手</v>
      </c>
      <c r="V1174" t="s">
        <v>4646</v>
      </c>
      <c r="W1174">
        <f>属性类型!G1174</f>
        <v>10026</v>
      </c>
      <c r="X1174">
        <v>1</v>
      </c>
    </row>
    <row r="1175" customFormat="1" ht="16.5" spans="1:24">
      <c r="A1175" s="17">
        <f t="shared" si="922"/>
        <v>31808</v>
      </c>
      <c r="B1175" s="17">
        <f t="shared" si="918"/>
        <v>31800</v>
      </c>
      <c r="C1175" s="17" t="str">
        <f t="shared" si="898"/>
        <v>3</v>
      </c>
      <c r="D1175" s="17">
        <f t="shared" si="919"/>
        <v>30002</v>
      </c>
      <c r="E1175" s="17">
        <f t="shared" ref="E1175:H1175" si="933">E1174</f>
        <v>2</v>
      </c>
      <c r="F1175" s="17">
        <f t="shared" si="924"/>
        <v>2</v>
      </c>
      <c r="G1175" s="17" t="str">
        <f t="shared" si="933"/>
        <v>巡游射手攻击百分比</v>
      </c>
      <c r="H1175" s="17" t="str">
        <f t="shared" si="933"/>
        <v>gongbing02_Lv3</v>
      </c>
      <c r="I1175" s="20">
        <v>1.5</v>
      </c>
      <c r="J1175" s="17">
        <v>8</v>
      </c>
      <c r="K1175" s="17">
        <f t="shared" si="921"/>
        <v>31809</v>
      </c>
      <c r="L1175" s="17" t="s">
        <v>233</v>
      </c>
      <c r="M1175" s="17" t="str">
        <f t="shared" si="925"/>
        <v>1:11500:5</v>
      </c>
      <c r="N1175" s="16" t="str">
        <f t="shared" si="920"/>
        <v>10026:1</v>
      </c>
      <c r="O1175" s="17">
        <f t="shared" si="926"/>
        <v>9</v>
      </c>
      <c r="P1175" s="21" t="s">
        <v>4655</v>
      </c>
      <c r="Q1175" s="21"/>
      <c r="R1175" t="s">
        <v>4626</v>
      </c>
      <c r="T1175">
        <v>9</v>
      </c>
      <c r="U1175" t="str">
        <f t="shared" si="917"/>
        <v>射手</v>
      </c>
      <c r="V1175" t="s">
        <v>4646</v>
      </c>
      <c r="W1175">
        <f>属性类型!G1175</f>
        <v>10026</v>
      </c>
      <c r="X1175">
        <v>1</v>
      </c>
    </row>
    <row r="1176" customFormat="1" ht="16.5" spans="1:24">
      <c r="A1176" s="17">
        <f t="shared" si="922"/>
        <v>31809</v>
      </c>
      <c r="B1176" s="17">
        <f t="shared" si="918"/>
        <v>31800</v>
      </c>
      <c r="C1176" s="17" t="str">
        <f t="shared" si="898"/>
        <v>3</v>
      </c>
      <c r="D1176" s="17">
        <f t="shared" si="919"/>
        <v>30002</v>
      </c>
      <c r="E1176" s="17">
        <f t="shared" ref="E1176:H1176" si="934">E1175</f>
        <v>2</v>
      </c>
      <c r="F1176" s="17">
        <f t="shared" si="924"/>
        <v>2</v>
      </c>
      <c r="G1176" s="17" t="str">
        <f t="shared" si="934"/>
        <v>巡游射手攻击百分比</v>
      </c>
      <c r="H1176" s="17" t="str">
        <f t="shared" si="934"/>
        <v>gongbing02_Lv3</v>
      </c>
      <c r="I1176" s="20">
        <v>1.5</v>
      </c>
      <c r="J1176" s="17">
        <v>9</v>
      </c>
      <c r="K1176" s="17">
        <f t="shared" si="921"/>
        <v>31810</v>
      </c>
      <c r="L1176" s="17" t="s">
        <v>236</v>
      </c>
      <c r="M1176" s="17" t="str">
        <f t="shared" si="925"/>
        <v>1:11500:5</v>
      </c>
      <c r="N1176" s="16" t="str">
        <f t="shared" si="920"/>
        <v>10026:1</v>
      </c>
      <c r="O1176" s="17">
        <f t="shared" si="926"/>
        <v>9</v>
      </c>
      <c r="P1176" s="21" t="s">
        <v>4656</v>
      </c>
      <c r="Q1176" s="21"/>
      <c r="R1176" t="s">
        <v>4626</v>
      </c>
      <c r="T1176">
        <v>10</v>
      </c>
      <c r="U1176" t="str">
        <f t="shared" si="917"/>
        <v>射手</v>
      </c>
      <c r="V1176" t="s">
        <v>4646</v>
      </c>
      <c r="W1176">
        <f>属性类型!G1176</f>
        <v>10026</v>
      </c>
      <c r="X1176">
        <v>1</v>
      </c>
    </row>
    <row r="1177" customFormat="1" ht="16.5" spans="1:24">
      <c r="A1177" s="17">
        <f t="shared" si="922"/>
        <v>31810</v>
      </c>
      <c r="B1177" s="17">
        <f t="shared" si="918"/>
        <v>31800</v>
      </c>
      <c r="C1177" s="17" t="str">
        <f t="shared" si="898"/>
        <v>3</v>
      </c>
      <c r="D1177" s="17">
        <f t="shared" si="919"/>
        <v>30002</v>
      </c>
      <c r="E1177" s="17">
        <f t="shared" ref="E1177:H1177" si="935">E1176</f>
        <v>2</v>
      </c>
      <c r="F1177" s="17">
        <f t="shared" si="924"/>
        <v>2</v>
      </c>
      <c r="G1177" s="17" t="str">
        <f t="shared" si="935"/>
        <v>巡游射手攻击百分比</v>
      </c>
      <c r="H1177" s="17" t="str">
        <f t="shared" si="935"/>
        <v>gongbing02_Lv3</v>
      </c>
      <c r="I1177" s="20">
        <v>1.5</v>
      </c>
      <c r="J1177" s="17">
        <v>10</v>
      </c>
      <c r="K1177" s="17">
        <f t="shared" si="921"/>
        <v>31811</v>
      </c>
      <c r="L1177" s="17" t="s">
        <v>238</v>
      </c>
      <c r="M1177" s="17" t="str">
        <f t="shared" si="925"/>
        <v>1:11500:5</v>
      </c>
      <c r="N1177" s="16" t="str">
        <f t="shared" si="920"/>
        <v>10026:1</v>
      </c>
      <c r="O1177" s="17">
        <f t="shared" si="926"/>
        <v>9</v>
      </c>
      <c r="P1177" s="21" t="s">
        <v>4657</v>
      </c>
      <c r="Q1177" s="21"/>
      <c r="R1177" t="s">
        <v>4626</v>
      </c>
      <c r="T1177">
        <v>11</v>
      </c>
      <c r="U1177" t="str">
        <f t="shared" si="917"/>
        <v>射手</v>
      </c>
      <c r="V1177" t="s">
        <v>4646</v>
      </c>
      <c r="W1177">
        <f>属性类型!G1177</f>
        <v>10026</v>
      </c>
      <c r="X1177">
        <v>1</v>
      </c>
    </row>
    <row r="1178" customFormat="1" ht="16.5" spans="1:24">
      <c r="A1178" s="17">
        <f t="shared" si="922"/>
        <v>31811</v>
      </c>
      <c r="B1178" s="17">
        <f t="shared" si="918"/>
        <v>31800</v>
      </c>
      <c r="C1178" s="17" t="str">
        <f t="shared" si="898"/>
        <v>3</v>
      </c>
      <c r="D1178" s="17">
        <f t="shared" si="919"/>
        <v>30002</v>
      </c>
      <c r="E1178" s="17">
        <f t="shared" ref="E1178:H1178" si="936">E1177</f>
        <v>2</v>
      </c>
      <c r="F1178" s="17">
        <f t="shared" si="924"/>
        <v>2</v>
      </c>
      <c r="G1178" s="17" t="str">
        <f t="shared" si="936"/>
        <v>巡游射手攻击百分比</v>
      </c>
      <c r="H1178" s="17" t="str">
        <f t="shared" si="936"/>
        <v>gongbing02_Lv3</v>
      </c>
      <c r="I1178" s="20">
        <v>1.5</v>
      </c>
      <c r="J1178" s="17">
        <v>11</v>
      </c>
      <c r="K1178" s="17">
        <f t="shared" si="921"/>
        <v>31812</v>
      </c>
      <c r="L1178" s="17" t="s">
        <v>529</v>
      </c>
      <c r="M1178" s="17" t="str">
        <f t="shared" si="925"/>
        <v>1:11500:5</v>
      </c>
      <c r="N1178" s="16" t="str">
        <f t="shared" si="920"/>
        <v>10026:1</v>
      </c>
      <c r="O1178" s="17">
        <f t="shared" si="926"/>
        <v>9</v>
      </c>
      <c r="P1178" s="21" t="s">
        <v>4658</v>
      </c>
      <c r="Q1178" s="21"/>
      <c r="R1178" t="s">
        <v>4626</v>
      </c>
      <c r="T1178">
        <v>12</v>
      </c>
      <c r="U1178" t="str">
        <f t="shared" si="917"/>
        <v>射手</v>
      </c>
      <c r="V1178" t="s">
        <v>4646</v>
      </c>
      <c r="W1178">
        <f>属性类型!G1178</f>
        <v>10026</v>
      </c>
      <c r="X1178">
        <v>1</v>
      </c>
    </row>
    <row r="1179" customFormat="1" ht="16.5" spans="1:24">
      <c r="A1179" s="17">
        <f t="shared" si="922"/>
        <v>31812</v>
      </c>
      <c r="B1179" s="17">
        <f t="shared" si="918"/>
        <v>31800</v>
      </c>
      <c r="C1179" s="17" t="str">
        <f t="shared" ref="C1179:C1208" si="937">LEFT(A1179,1)</f>
        <v>3</v>
      </c>
      <c r="D1179" s="17">
        <f t="shared" si="919"/>
        <v>30002</v>
      </c>
      <c r="E1179" s="17">
        <f t="shared" ref="E1179:H1179" si="938">E1178</f>
        <v>2</v>
      </c>
      <c r="F1179" s="17">
        <f t="shared" si="924"/>
        <v>2</v>
      </c>
      <c r="G1179" s="17" t="str">
        <f t="shared" si="938"/>
        <v>巡游射手攻击百分比</v>
      </c>
      <c r="H1179" s="17" t="str">
        <f t="shared" si="938"/>
        <v>gongbing02_Lv3</v>
      </c>
      <c r="I1179" s="20">
        <v>1.5</v>
      </c>
      <c r="J1179" s="17">
        <v>12</v>
      </c>
      <c r="K1179" s="17">
        <f t="shared" si="921"/>
        <v>31813</v>
      </c>
      <c r="L1179" s="17" t="s">
        <v>532</v>
      </c>
      <c r="M1179" s="17" t="str">
        <f t="shared" si="925"/>
        <v>1:11500:5</v>
      </c>
      <c r="N1179" s="16" t="str">
        <f t="shared" si="920"/>
        <v>10026:1</v>
      </c>
      <c r="O1179" s="17">
        <f t="shared" si="926"/>
        <v>9</v>
      </c>
      <c r="P1179" s="21" t="s">
        <v>4659</v>
      </c>
      <c r="Q1179" s="21"/>
      <c r="R1179" t="s">
        <v>4626</v>
      </c>
      <c r="T1179">
        <v>13</v>
      </c>
      <c r="U1179" t="str">
        <f t="shared" si="917"/>
        <v>射手</v>
      </c>
      <c r="V1179" t="s">
        <v>4646</v>
      </c>
      <c r="W1179">
        <f>属性类型!G1179</f>
        <v>10026</v>
      </c>
      <c r="X1179">
        <v>1</v>
      </c>
    </row>
    <row r="1180" customFormat="1" ht="16.5" spans="1:24">
      <c r="A1180" s="17">
        <f t="shared" si="922"/>
        <v>31813</v>
      </c>
      <c r="B1180" s="17">
        <f t="shared" si="918"/>
        <v>31800</v>
      </c>
      <c r="C1180" s="17" t="str">
        <f t="shared" si="937"/>
        <v>3</v>
      </c>
      <c r="D1180" s="17">
        <f t="shared" si="919"/>
        <v>30002</v>
      </c>
      <c r="E1180" s="17">
        <f t="shared" ref="E1180:H1180" si="939">E1179</f>
        <v>2</v>
      </c>
      <c r="F1180" s="17">
        <f t="shared" si="924"/>
        <v>2</v>
      </c>
      <c r="G1180" s="17" t="str">
        <f t="shared" si="939"/>
        <v>巡游射手攻击百分比</v>
      </c>
      <c r="H1180" s="17" t="str">
        <f t="shared" si="939"/>
        <v>gongbing02_Lv3</v>
      </c>
      <c r="I1180" s="20">
        <v>1.5</v>
      </c>
      <c r="J1180" s="17">
        <v>13</v>
      </c>
      <c r="K1180" s="17">
        <f t="shared" si="921"/>
        <v>31814</v>
      </c>
      <c r="L1180" s="17" t="s">
        <v>561</v>
      </c>
      <c r="M1180" s="17" t="str">
        <f t="shared" si="925"/>
        <v>1:11500:5</v>
      </c>
      <c r="N1180" s="16" t="str">
        <f t="shared" si="920"/>
        <v>10026:1</v>
      </c>
      <c r="O1180" s="17">
        <f t="shared" si="926"/>
        <v>9</v>
      </c>
      <c r="P1180" s="21" t="s">
        <v>4660</v>
      </c>
      <c r="Q1180" s="21"/>
      <c r="R1180" t="s">
        <v>4626</v>
      </c>
      <c r="T1180">
        <v>14</v>
      </c>
      <c r="U1180" t="str">
        <f t="shared" si="917"/>
        <v>射手</v>
      </c>
      <c r="V1180" t="s">
        <v>4646</v>
      </c>
      <c r="W1180">
        <f>属性类型!G1180</f>
        <v>10026</v>
      </c>
      <c r="X1180">
        <v>1</v>
      </c>
    </row>
    <row r="1181" customFormat="1" ht="16.5" spans="1:24">
      <c r="A1181" s="17">
        <f t="shared" si="922"/>
        <v>31814</v>
      </c>
      <c r="B1181" s="17">
        <f t="shared" si="918"/>
        <v>31800</v>
      </c>
      <c r="C1181" s="17" t="str">
        <f t="shared" si="937"/>
        <v>3</v>
      </c>
      <c r="D1181" s="17">
        <f t="shared" si="919"/>
        <v>30002</v>
      </c>
      <c r="E1181" s="17">
        <f t="shared" ref="E1181:H1181" si="940">E1180</f>
        <v>2</v>
      </c>
      <c r="F1181" s="17">
        <f t="shared" si="924"/>
        <v>2</v>
      </c>
      <c r="G1181" s="17" t="str">
        <f t="shared" si="940"/>
        <v>巡游射手攻击百分比</v>
      </c>
      <c r="H1181" s="17" t="str">
        <f t="shared" si="940"/>
        <v>gongbing02_Lv3</v>
      </c>
      <c r="I1181" s="20">
        <v>1.5</v>
      </c>
      <c r="J1181" s="17">
        <v>14</v>
      </c>
      <c r="K1181" s="17">
        <f t="shared" si="921"/>
        <v>31815</v>
      </c>
      <c r="L1181" s="17" t="s">
        <v>564</v>
      </c>
      <c r="M1181" s="17" t="str">
        <f t="shared" si="925"/>
        <v>1:11500:5</v>
      </c>
      <c r="N1181" s="16" t="str">
        <f t="shared" si="920"/>
        <v>10026:1</v>
      </c>
      <c r="O1181" s="17">
        <f t="shared" si="926"/>
        <v>9</v>
      </c>
      <c r="P1181" s="21" t="s">
        <v>4661</v>
      </c>
      <c r="Q1181" s="21"/>
      <c r="R1181" t="s">
        <v>4626</v>
      </c>
      <c r="T1181">
        <v>15</v>
      </c>
      <c r="U1181" t="str">
        <f t="shared" si="917"/>
        <v>射手</v>
      </c>
      <c r="V1181" t="s">
        <v>4646</v>
      </c>
      <c r="W1181">
        <f>属性类型!G1181</f>
        <v>10026</v>
      </c>
      <c r="X1181">
        <v>1</v>
      </c>
    </row>
    <row r="1182" customFormat="1" ht="16.5" spans="1:24">
      <c r="A1182" s="17">
        <f t="shared" si="922"/>
        <v>31815</v>
      </c>
      <c r="B1182" s="17">
        <f t="shared" si="918"/>
        <v>31800</v>
      </c>
      <c r="C1182" s="17" t="str">
        <f t="shared" si="937"/>
        <v>3</v>
      </c>
      <c r="D1182" s="17">
        <f t="shared" si="919"/>
        <v>30002</v>
      </c>
      <c r="E1182" s="17">
        <f t="shared" ref="E1182:H1182" si="941">E1181</f>
        <v>2</v>
      </c>
      <c r="F1182" s="17">
        <f t="shared" si="924"/>
        <v>2</v>
      </c>
      <c r="G1182" s="17" t="str">
        <f t="shared" si="941"/>
        <v>巡游射手攻击百分比</v>
      </c>
      <c r="H1182" s="17" t="str">
        <f t="shared" si="941"/>
        <v>gongbing02_Lv3</v>
      </c>
      <c r="I1182" s="20">
        <v>1.5</v>
      </c>
      <c r="J1182" s="17">
        <v>15</v>
      </c>
      <c r="K1182" s="17">
        <f t="shared" si="921"/>
        <v>31816</v>
      </c>
      <c r="L1182" s="17" t="s">
        <v>630</v>
      </c>
      <c r="M1182" s="17" t="str">
        <f t="shared" si="925"/>
        <v>1:11500:5</v>
      </c>
      <c r="N1182" s="16" t="str">
        <f t="shared" si="920"/>
        <v>10026:1</v>
      </c>
      <c r="O1182" s="17">
        <f t="shared" si="926"/>
        <v>9</v>
      </c>
      <c r="P1182" s="21" t="s">
        <v>4662</v>
      </c>
      <c r="Q1182" s="21"/>
      <c r="R1182" t="s">
        <v>4626</v>
      </c>
      <c r="T1182">
        <v>15</v>
      </c>
      <c r="U1182" t="str">
        <f t="shared" si="917"/>
        <v>射手</v>
      </c>
      <c r="V1182" t="s">
        <v>4646</v>
      </c>
      <c r="W1182">
        <f>属性类型!G1182</f>
        <v>10026</v>
      </c>
      <c r="X1182">
        <v>1</v>
      </c>
    </row>
    <row r="1183" customFormat="1" ht="16.5" spans="1:24">
      <c r="A1183" s="17">
        <f t="shared" si="922"/>
        <v>31816</v>
      </c>
      <c r="B1183" s="17">
        <f t="shared" si="918"/>
        <v>31800</v>
      </c>
      <c r="C1183" s="17" t="str">
        <f t="shared" si="937"/>
        <v>3</v>
      </c>
      <c r="D1183" s="17">
        <f t="shared" si="919"/>
        <v>30002</v>
      </c>
      <c r="E1183" s="17">
        <f t="shared" ref="E1183:H1183" si="942">E1182</f>
        <v>2</v>
      </c>
      <c r="F1183" s="17">
        <f t="shared" si="924"/>
        <v>2</v>
      </c>
      <c r="G1183" s="17" t="str">
        <f t="shared" si="942"/>
        <v>巡游射手攻击百分比</v>
      </c>
      <c r="H1183" s="17" t="str">
        <f t="shared" si="942"/>
        <v>gongbing02_Lv3</v>
      </c>
      <c r="I1183" s="20">
        <v>1.5</v>
      </c>
      <c r="J1183" s="17">
        <v>16</v>
      </c>
      <c r="K1183" s="17">
        <f t="shared" si="921"/>
        <v>31817</v>
      </c>
      <c r="L1183" s="17" t="s">
        <v>633</v>
      </c>
      <c r="M1183" s="17" t="str">
        <f t="shared" si="925"/>
        <v>1:11500:5</v>
      </c>
      <c r="N1183" s="16" t="str">
        <f t="shared" si="920"/>
        <v>10026:1</v>
      </c>
      <c r="O1183" s="17">
        <f t="shared" si="926"/>
        <v>9</v>
      </c>
      <c r="P1183" s="21" t="s">
        <v>4663</v>
      </c>
      <c r="Q1183" s="21"/>
      <c r="R1183" t="s">
        <v>4626</v>
      </c>
      <c r="U1183" t="str">
        <f t="shared" si="917"/>
        <v>射手</v>
      </c>
      <c r="V1183" t="s">
        <v>4646</v>
      </c>
      <c r="W1183">
        <f>属性类型!G1183</f>
        <v>10026</v>
      </c>
      <c r="X1183">
        <v>1</v>
      </c>
    </row>
    <row r="1184" customFormat="1" ht="16.5" spans="1:24">
      <c r="A1184" s="17">
        <f t="shared" si="922"/>
        <v>31817</v>
      </c>
      <c r="B1184" s="17">
        <f t="shared" si="918"/>
        <v>31800</v>
      </c>
      <c r="C1184" s="17" t="str">
        <f t="shared" si="937"/>
        <v>3</v>
      </c>
      <c r="D1184" s="17">
        <f t="shared" si="919"/>
        <v>30002</v>
      </c>
      <c r="E1184" s="17">
        <f t="shared" ref="E1184:H1184" si="943">E1183</f>
        <v>2</v>
      </c>
      <c r="F1184" s="17">
        <f t="shared" si="924"/>
        <v>2</v>
      </c>
      <c r="G1184" s="17" t="str">
        <f t="shared" si="943"/>
        <v>巡游射手攻击百分比</v>
      </c>
      <c r="H1184" s="17" t="str">
        <f t="shared" si="943"/>
        <v>gongbing02_Lv3</v>
      </c>
      <c r="I1184" s="20">
        <v>1.5</v>
      </c>
      <c r="J1184" s="17">
        <v>17</v>
      </c>
      <c r="K1184" s="17">
        <f t="shared" si="921"/>
        <v>31818</v>
      </c>
      <c r="L1184" s="17" t="s">
        <v>637</v>
      </c>
      <c r="M1184" s="17" t="str">
        <f t="shared" si="925"/>
        <v>1:11500:5</v>
      </c>
      <c r="N1184" s="16" t="str">
        <f t="shared" si="920"/>
        <v>10026:1</v>
      </c>
      <c r="O1184" s="17">
        <f t="shared" si="926"/>
        <v>9</v>
      </c>
      <c r="P1184" s="21" t="s">
        <v>4664</v>
      </c>
      <c r="Q1184" s="21"/>
      <c r="R1184" t="s">
        <v>4626</v>
      </c>
      <c r="U1184" t="str">
        <f t="shared" si="917"/>
        <v>射手</v>
      </c>
      <c r="V1184" t="s">
        <v>4646</v>
      </c>
      <c r="W1184">
        <f>属性类型!G1184</f>
        <v>10026</v>
      </c>
      <c r="X1184">
        <v>1</v>
      </c>
    </row>
    <row r="1185" customFormat="1" ht="16.5" spans="1:24">
      <c r="A1185" s="17">
        <f t="shared" si="922"/>
        <v>31818</v>
      </c>
      <c r="B1185" s="17">
        <f t="shared" si="918"/>
        <v>31800</v>
      </c>
      <c r="C1185" s="17" t="str">
        <f t="shared" si="937"/>
        <v>3</v>
      </c>
      <c r="D1185" s="17">
        <f t="shared" si="919"/>
        <v>30002</v>
      </c>
      <c r="E1185" s="17">
        <f t="shared" ref="E1185:H1185" si="944">E1184</f>
        <v>2</v>
      </c>
      <c r="F1185" s="17">
        <f t="shared" si="924"/>
        <v>2</v>
      </c>
      <c r="G1185" s="17" t="str">
        <f t="shared" si="944"/>
        <v>巡游射手攻击百分比</v>
      </c>
      <c r="H1185" s="17" t="str">
        <f t="shared" si="944"/>
        <v>gongbing02_Lv3</v>
      </c>
      <c r="I1185" s="20">
        <v>1.5</v>
      </c>
      <c r="J1185" s="17">
        <v>18</v>
      </c>
      <c r="K1185" s="17">
        <f t="shared" si="921"/>
        <v>31819</v>
      </c>
      <c r="L1185" s="17" t="s">
        <v>641</v>
      </c>
      <c r="M1185" s="17" t="str">
        <f t="shared" si="925"/>
        <v>1:11500:5</v>
      </c>
      <c r="N1185" s="16" t="str">
        <f t="shared" si="920"/>
        <v>10026:1</v>
      </c>
      <c r="O1185" s="17">
        <f t="shared" si="926"/>
        <v>9</v>
      </c>
      <c r="P1185" s="21" t="s">
        <v>4665</v>
      </c>
      <c r="Q1185" s="21"/>
      <c r="R1185" t="s">
        <v>4626</v>
      </c>
      <c r="U1185" t="str">
        <f t="shared" si="917"/>
        <v>射手</v>
      </c>
      <c r="V1185" t="s">
        <v>4646</v>
      </c>
      <c r="W1185">
        <f>属性类型!G1185</f>
        <v>10026</v>
      </c>
      <c r="X1185">
        <v>1</v>
      </c>
    </row>
    <row r="1186" customFormat="1" ht="16.5" spans="1:24">
      <c r="A1186" s="17">
        <f t="shared" si="922"/>
        <v>31819</v>
      </c>
      <c r="B1186" s="17">
        <f t="shared" si="918"/>
        <v>31800</v>
      </c>
      <c r="C1186" s="17" t="str">
        <f t="shared" si="937"/>
        <v>3</v>
      </c>
      <c r="D1186" s="17">
        <f t="shared" si="919"/>
        <v>30002</v>
      </c>
      <c r="E1186" s="17">
        <f t="shared" ref="E1186:H1186" si="945">E1185</f>
        <v>2</v>
      </c>
      <c r="F1186" s="17">
        <f t="shared" si="924"/>
        <v>2</v>
      </c>
      <c r="G1186" s="17" t="str">
        <f t="shared" si="945"/>
        <v>巡游射手攻击百分比</v>
      </c>
      <c r="H1186" s="17" t="str">
        <f t="shared" si="945"/>
        <v>gongbing02_Lv3</v>
      </c>
      <c r="I1186" s="20">
        <v>1.5</v>
      </c>
      <c r="J1186" s="17">
        <v>19</v>
      </c>
      <c r="K1186" s="17">
        <f t="shared" si="921"/>
        <v>31820</v>
      </c>
      <c r="L1186" s="17" t="s">
        <v>645</v>
      </c>
      <c r="M1186" s="17" t="str">
        <f t="shared" si="925"/>
        <v>1:11500:5</v>
      </c>
      <c r="N1186" s="16" t="str">
        <f t="shared" si="920"/>
        <v>10026:1</v>
      </c>
      <c r="O1186" s="17">
        <f t="shared" si="926"/>
        <v>9</v>
      </c>
      <c r="P1186" s="21" t="s">
        <v>4666</v>
      </c>
      <c r="Q1186" s="21"/>
      <c r="R1186" t="s">
        <v>4626</v>
      </c>
      <c r="U1186" t="str">
        <f t="shared" si="917"/>
        <v>射手</v>
      </c>
      <c r="V1186" t="s">
        <v>4646</v>
      </c>
      <c r="W1186">
        <f>属性类型!G1186</f>
        <v>10026</v>
      </c>
      <c r="X1186">
        <v>1</v>
      </c>
    </row>
    <row r="1187" customFormat="1" ht="16.5" spans="1:24">
      <c r="A1187" s="17">
        <f t="shared" si="922"/>
        <v>31820</v>
      </c>
      <c r="B1187" s="17">
        <f t="shared" si="918"/>
        <v>31800</v>
      </c>
      <c r="C1187" s="17" t="str">
        <f t="shared" si="937"/>
        <v>3</v>
      </c>
      <c r="D1187" s="17">
        <f t="shared" si="919"/>
        <v>30002</v>
      </c>
      <c r="E1187" s="17">
        <f t="shared" ref="E1187:H1187" si="946">E1186</f>
        <v>2</v>
      </c>
      <c r="F1187" s="17">
        <f t="shared" si="924"/>
        <v>2</v>
      </c>
      <c r="G1187" s="17" t="str">
        <f t="shared" si="946"/>
        <v>巡游射手攻击百分比</v>
      </c>
      <c r="H1187" s="17" t="str">
        <f t="shared" si="946"/>
        <v>gongbing02_Lv3</v>
      </c>
      <c r="I1187" s="20">
        <v>1.5</v>
      </c>
      <c r="J1187" s="17">
        <v>20</v>
      </c>
      <c r="K1187" s="17">
        <v>0</v>
      </c>
      <c r="L1187" s="17">
        <v>0</v>
      </c>
      <c r="M1187" s="17" t="str">
        <f t="shared" si="925"/>
        <v>1:11500:5</v>
      </c>
      <c r="N1187" s="16" t="str">
        <f t="shared" si="920"/>
        <v>10026:1</v>
      </c>
      <c r="O1187" s="17">
        <f t="shared" si="926"/>
        <v>9</v>
      </c>
      <c r="P1187" s="21" t="s">
        <v>4666</v>
      </c>
      <c r="Q1187" s="21"/>
      <c r="R1187" t="s">
        <v>4626</v>
      </c>
      <c r="U1187" t="str">
        <f t="shared" si="917"/>
        <v>射手</v>
      </c>
      <c r="V1187" t="s">
        <v>4646</v>
      </c>
      <c r="W1187">
        <f>属性类型!G1187</f>
        <v>10026</v>
      </c>
      <c r="X1187">
        <v>1</v>
      </c>
    </row>
    <row r="1188" customFormat="1" ht="16.5" spans="1:24">
      <c r="A1188" s="18">
        <f>A1167+100</f>
        <v>31900</v>
      </c>
      <c r="B1188" s="18">
        <f t="shared" ref="B1188:B1236" si="947">ROUND(A1188,-2)</f>
        <v>31900</v>
      </c>
      <c r="C1188" s="18" t="str">
        <f t="shared" si="937"/>
        <v>3</v>
      </c>
      <c r="D1188" s="17">
        <f t="shared" ref="D1188:D1236" si="948">$A$934+F1188</f>
        <v>30002</v>
      </c>
      <c r="E1188" s="17">
        <f>E1187</f>
        <v>2</v>
      </c>
      <c r="F1188" s="18">
        <f t="shared" si="924"/>
        <v>2</v>
      </c>
      <c r="G1188" s="18" t="s">
        <v>4667</v>
      </c>
      <c r="H1188" s="18" t="s">
        <v>1670</v>
      </c>
      <c r="I1188" s="20">
        <v>1.5</v>
      </c>
      <c r="J1188" s="18">
        <v>0</v>
      </c>
      <c r="K1188" s="18">
        <f t="shared" ref="K1188:K1207" si="949">A1189</f>
        <v>31901</v>
      </c>
      <c r="L1188" s="18" t="s">
        <v>206</v>
      </c>
      <c r="M1188" s="18" t="s">
        <v>502</v>
      </c>
      <c r="N1188" s="16" t="str">
        <f t="shared" si="920"/>
        <v>10027:1</v>
      </c>
      <c r="O1188" s="18">
        <f t="shared" si="926"/>
        <v>10</v>
      </c>
      <c r="P1188" s="21" t="s">
        <v>4668</v>
      </c>
      <c r="Q1188" s="21"/>
      <c r="R1188" t="s">
        <v>4626</v>
      </c>
      <c r="T1188" t="str">
        <f>RIGHT(N1188,1)</f>
        <v>1</v>
      </c>
      <c r="U1188" t="str">
        <f t="shared" si="917"/>
        <v>射手</v>
      </c>
      <c r="V1188" t="s">
        <v>4667</v>
      </c>
      <c r="W1188">
        <f>属性类型!G1188</f>
        <v>10027</v>
      </c>
      <c r="X1188">
        <v>1</v>
      </c>
    </row>
    <row r="1189" customFormat="1" ht="16.5" spans="1:24">
      <c r="A1189" s="17">
        <f t="shared" ref="A1189:A1208" si="950">A1188+1</f>
        <v>31901</v>
      </c>
      <c r="B1189" s="17">
        <f t="shared" si="947"/>
        <v>31900</v>
      </c>
      <c r="C1189" s="17" t="str">
        <f t="shared" si="937"/>
        <v>3</v>
      </c>
      <c r="D1189" s="17">
        <f t="shared" si="948"/>
        <v>30002</v>
      </c>
      <c r="E1189" s="17">
        <f t="shared" ref="E1189:H1189" si="951">E1188</f>
        <v>2</v>
      </c>
      <c r="F1189" s="17">
        <f t="shared" si="924"/>
        <v>2</v>
      </c>
      <c r="G1189" s="17" t="str">
        <f t="shared" si="951"/>
        <v>巡游射手魔防百分比</v>
      </c>
      <c r="H1189" s="17" t="str">
        <f t="shared" si="951"/>
        <v>gongbing02_Lv3</v>
      </c>
      <c r="I1189" s="20">
        <v>1.5</v>
      </c>
      <c r="J1189" s="17">
        <v>1</v>
      </c>
      <c r="K1189" s="17">
        <f t="shared" si="949"/>
        <v>31902</v>
      </c>
      <c r="L1189" s="17" t="s">
        <v>211</v>
      </c>
      <c r="M1189" s="17" t="str">
        <f t="shared" ref="M1189:M1208" si="952">M1188</f>
        <v>1:11600:5</v>
      </c>
      <c r="N1189" s="16" t="str">
        <f t="shared" si="920"/>
        <v>10027:1</v>
      </c>
      <c r="O1189" s="17">
        <f t="shared" si="926"/>
        <v>10</v>
      </c>
      <c r="P1189" s="21" t="s">
        <v>4669</v>
      </c>
      <c r="Q1189" s="21"/>
      <c r="R1189" t="s">
        <v>4626</v>
      </c>
      <c r="T1189" t="str">
        <f t="shared" ref="T1189:T1208" si="953">RIGHT(N1189,2)</f>
        <v>:1</v>
      </c>
      <c r="U1189" t="str">
        <f t="shared" si="917"/>
        <v>射手</v>
      </c>
      <c r="V1189" t="s">
        <v>4667</v>
      </c>
      <c r="W1189">
        <f>属性类型!G1189</f>
        <v>10027</v>
      </c>
      <c r="X1189">
        <v>1</v>
      </c>
    </row>
    <row r="1190" customFormat="1" ht="16.5" spans="1:24">
      <c r="A1190" s="17">
        <f t="shared" si="950"/>
        <v>31902</v>
      </c>
      <c r="B1190" s="17">
        <f t="shared" si="947"/>
        <v>31900</v>
      </c>
      <c r="C1190" s="17" t="str">
        <f t="shared" si="937"/>
        <v>3</v>
      </c>
      <c r="D1190" s="17">
        <f t="shared" si="948"/>
        <v>30002</v>
      </c>
      <c r="E1190" s="17">
        <f t="shared" ref="E1190:H1190" si="954">E1189</f>
        <v>2</v>
      </c>
      <c r="F1190" s="17">
        <f t="shared" si="924"/>
        <v>2</v>
      </c>
      <c r="G1190" s="17" t="str">
        <f t="shared" si="954"/>
        <v>巡游射手魔防百分比</v>
      </c>
      <c r="H1190" s="17" t="str">
        <f t="shared" si="954"/>
        <v>gongbing02_Lv3</v>
      </c>
      <c r="I1190" s="20">
        <v>1.5</v>
      </c>
      <c r="J1190" s="17">
        <v>2</v>
      </c>
      <c r="K1190" s="17">
        <f t="shared" si="949"/>
        <v>31903</v>
      </c>
      <c r="L1190" s="17" t="s">
        <v>215</v>
      </c>
      <c r="M1190" s="17" t="str">
        <f t="shared" si="952"/>
        <v>1:11600:5</v>
      </c>
      <c r="N1190" s="16" t="str">
        <f t="shared" si="920"/>
        <v>10027:1</v>
      </c>
      <c r="O1190" s="17">
        <f t="shared" si="926"/>
        <v>10</v>
      </c>
      <c r="P1190" s="21" t="s">
        <v>4670</v>
      </c>
      <c r="Q1190" s="21"/>
      <c r="R1190" t="s">
        <v>4626</v>
      </c>
      <c r="T1190" t="str">
        <f t="shared" si="953"/>
        <v>:1</v>
      </c>
      <c r="U1190" t="str">
        <f t="shared" si="917"/>
        <v>射手</v>
      </c>
      <c r="V1190" t="s">
        <v>4667</v>
      </c>
      <c r="W1190">
        <f>属性类型!G1190</f>
        <v>10027</v>
      </c>
      <c r="X1190">
        <v>1</v>
      </c>
    </row>
    <row r="1191" customFormat="1" ht="16.5" spans="1:24">
      <c r="A1191" s="17">
        <f t="shared" si="950"/>
        <v>31903</v>
      </c>
      <c r="B1191" s="17">
        <f t="shared" si="947"/>
        <v>31900</v>
      </c>
      <c r="C1191" s="17" t="str">
        <f t="shared" si="937"/>
        <v>3</v>
      </c>
      <c r="D1191" s="17">
        <f t="shared" si="948"/>
        <v>30002</v>
      </c>
      <c r="E1191" s="17">
        <f t="shared" ref="E1191:H1191" si="955">E1190</f>
        <v>2</v>
      </c>
      <c r="F1191" s="17">
        <f t="shared" si="924"/>
        <v>2</v>
      </c>
      <c r="G1191" s="17" t="str">
        <f t="shared" si="955"/>
        <v>巡游射手魔防百分比</v>
      </c>
      <c r="H1191" s="17" t="str">
        <f t="shared" si="955"/>
        <v>gongbing02_Lv3</v>
      </c>
      <c r="I1191" s="20">
        <v>1.5</v>
      </c>
      <c r="J1191" s="17">
        <v>3</v>
      </c>
      <c r="K1191" s="17">
        <f t="shared" si="949"/>
        <v>31904</v>
      </c>
      <c r="L1191" s="17" t="s">
        <v>218</v>
      </c>
      <c r="M1191" s="17" t="str">
        <f t="shared" si="952"/>
        <v>1:11600:5</v>
      </c>
      <c r="N1191" s="16" t="str">
        <f t="shared" si="920"/>
        <v>10027:1</v>
      </c>
      <c r="O1191" s="17">
        <f t="shared" si="926"/>
        <v>10</v>
      </c>
      <c r="P1191" s="21" t="s">
        <v>4671</v>
      </c>
      <c r="Q1191" s="21"/>
      <c r="R1191" t="s">
        <v>4626</v>
      </c>
      <c r="T1191" t="str">
        <f t="shared" si="953"/>
        <v>:1</v>
      </c>
      <c r="U1191" t="str">
        <f t="shared" si="917"/>
        <v>射手</v>
      </c>
      <c r="V1191" t="s">
        <v>4667</v>
      </c>
      <c r="W1191">
        <f>属性类型!G1191</f>
        <v>10027</v>
      </c>
      <c r="X1191">
        <v>1</v>
      </c>
    </row>
    <row r="1192" customFormat="1" ht="16.5" spans="1:24">
      <c r="A1192" s="17">
        <f t="shared" si="950"/>
        <v>31904</v>
      </c>
      <c r="B1192" s="17">
        <f t="shared" si="947"/>
        <v>31900</v>
      </c>
      <c r="C1192" s="17" t="str">
        <f t="shared" si="937"/>
        <v>3</v>
      </c>
      <c r="D1192" s="17">
        <f t="shared" si="948"/>
        <v>30002</v>
      </c>
      <c r="E1192" s="17">
        <f t="shared" ref="E1192:H1192" si="956">E1191</f>
        <v>2</v>
      </c>
      <c r="F1192" s="17">
        <f t="shared" si="924"/>
        <v>2</v>
      </c>
      <c r="G1192" s="17" t="str">
        <f t="shared" si="956"/>
        <v>巡游射手魔防百分比</v>
      </c>
      <c r="H1192" s="17" t="str">
        <f t="shared" si="956"/>
        <v>gongbing02_Lv3</v>
      </c>
      <c r="I1192" s="20">
        <v>1.5</v>
      </c>
      <c r="J1192" s="17">
        <v>4</v>
      </c>
      <c r="K1192" s="17">
        <f t="shared" si="949"/>
        <v>31905</v>
      </c>
      <c r="L1192" s="17" t="s">
        <v>221</v>
      </c>
      <c r="M1192" s="17" t="str">
        <f t="shared" si="952"/>
        <v>1:11600:5</v>
      </c>
      <c r="N1192" s="16" t="str">
        <f t="shared" si="920"/>
        <v>10027:1</v>
      </c>
      <c r="O1192" s="17">
        <f t="shared" si="926"/>
        <v>10</v>
      </c>
      <c r="P1192" s="21" t="s">
        <v>4672</v>
      </c>
      <c r="Q1192" s="21"/>
      <c r="R1192" t="s">
        <v>4626</v>
      </c>
      <c r="T1192" t="str">
        <f t="shared" si="953"/>
        <v>:1</v>
      </c>
      <c r="U1192" t="str">
        <f t="shared" si="917"/>
        <v>射手</v>
      </c>
      <c r="V1192" t="s">
        <v>4667</v>
      </c>
      <c r="W1192">
        <f>属性类型!G1192</f>
        <v>10027</v>
      </c>
      <c r="X1192">
        <v>1</v>
      </c>
    </row>
    <row r="1193" customFormat="1" ht="16.5" spans="1:24">
      <c r="A1193" s="17">
        <f t="shared" si="950"/>
        <v>31905</v>
      </c>
      <c r="B1193" s="17">
        <f t="shared" si="947"/>
        <v>31900</v>
      </c>
      <c r="C1193" s="17" t="str">
        <f t="shared" si="937"/>
        <v>3</v>
      </c>
      <c r="D1193" s="17">
        <f t="shared" si="948"/>
        <v>30002</v>
      </c>
      <c r="E1193" s="17">
        <f t="shared" ref="E1193:H1193" si="957">E1192</f>
        <v>2</v>
      </c>
      <c r="F1193" s="17">
        <f t="shared" si="924"/>
        <v>2</v>
      </c>
      <c r="G1193" s="17" t="str">
        <f t="shared" si="957"/>
        <v>巡游射手魔防百分比</v>
      </c>
      <c r="H1193" s="17" t="str">
        <f t="shared" si="957"/>
        <v>gongbing02_Lv3</v>
      </c>
      <c r="I1193" s="20">
        <v>1.5</v>
      </c>
      <c r="J1193" s="17">
        <v>5</v>
      </c>
      <c r="K1193" s="17">
        <f t="shared" si="949"/>
        <v>31906</v>
      </c>
      <c r="L1193" s="17" t="s">
        <v>224</v>
      </c>
      <c r="M1193" s="17" t="str">
        <f t="shared" si="952"/>
        <v>1:11600:5</v>
      </c>
      <c r="N1193" s="16" t="str">
        <f t="shared" si="920"/>
        <v>10027:1</v>
      </c>
      <c r="O1193" s="17">
        <f t="shared" si="926"/>
        <v>10</v>
      </c>
      <c r="P1193" s="21" t="s">
        <v>4673</v>
      </c>
      <c r="Q1193" s="21"/>
      <c r="R1193" t="s">
        <v>4626</v>
      </c>
      <c r="T1193" t="str">
        <f t="shared" si="953"/>
        <v>:1</v>
      </c>
      <c r="U1193" t="str">
        <f t="shared" si="917"/>
        <v>射手</v>
      </c>
      <c r="V1193" t="s">
        <v>4667</v>
      </c>
      <c r="W1193">
        <f>属性类型!G1193</f>
        <v>10027</v>
      </c>
      <c r="X1193">
        <v>1</v>
      </c>
    </row>
    <row r="1194" customFormat="1" ht="16.5" spans="1:24">
      <c r="A1194" s="17">
        <f t="shared" si="950"/>
        <v>31906</v>
      </c>
      <c r="B1194" s="17">
        <f t="shared" si="947"/>
        <v>31900</v>
      </c>
      <c r="C1194" s="17" t="str">
        <f t="shared" si="937"/>
        <v>3</v>
      </c>
      <c r="D1194" s="17">
        <f t="shared" si="948"/>
        <v>30002</v>
      </c>
      <c r="E1194" s="17">
        <f t="shared" ref="E1194:H1194" si="958">E1193</f>
        <v>2</v>
      </c>
      <c r="F1194" s="17">
        <f t="shared" si="924"/>
        <v>2</v>
      </c>
      <c r="G1194" s="17" t="str">
        <f t="shared" si="958"/>
        <v>巡游射手魔防百分比</v>
      </c>
      <c r="H1194" s="17" t="str">
        <f t="shared" si="958"/>
        <v>gongbing02_Lv3</v>
      </c>
      <c r="I1194" s="20">
        <v>1.5</v>
      </c>
      <c r="J1194" s="17">
        <v>6</v>
      </c>
      <c r="K1194" s="17">
        <f t="shared" si="949"/>
        <v>31907</v>
      </c>
      <c r="L1194" s="17" t="s">
        <v>227</v>
      </c>
      <c r="M1194" s="17" t="str">
        <f t="shared" si="952"/>
        <v>1:11600:5</v>
      </c>
      <c r="N1194" s="16" t="str">
        <f t="shared" si="920"/>
        <v>10027:1</v>
      </c>
      <c r="O1194" s="17">
        <f t="shared" si="926"/>
        <v>10</v>
      </c>
      <c r="P1194" s="21" t="s">
        <v>4674</v>
      </c>
      <c r="Q1194" s="21"/>
      <c r="R1194" t="s">
        <v>4626</v>
      </c>
      <c r="T1194" t="str">
        <f t="shared" si="953"/>
        <v>:1</v>
      </c>
      <c r="U1194" t="str">
        <f t="shared" si="917"/>
        <v>射手</v>
      </c>
      <c r="V1194" t="s">
        <v>4667</v>
      </c>
      <c r="W1194">
        <f>属性类型!G1194</f>
        <v>10027</v>
      </c>
      <c r="X1194">
        <v>1</v>
      </c>
    </row>
    <row r="1195" customFormat="1" ht="16.5" spans="1:24">
      <c r="A1195" s="17">
        <f t="shared" si="950"/>
        <v>31907</v>
      </c>
      <c r="B1195" s="17">
        <f t="shared" si="947"/>
        <v>31900</v>
      </c>
      <c r="C1195" s="17" t="str">
        <f t="shared" si="937"/>
        <v>3</v>
      </c>
      <c r="D1195" s="17">
        <f t="shared" si="948"/>
        <v>30002</v>
      </c>
      <c r="E1195" s="17">
        <f t="shared" ref="E1195:H1195" si="959">E1194</f>
        <v>2</v>
      </c>
      <c r="F1195" s="17">
        <f t="shared" si="924"/>
        <v>2</v>
      </c>
      <c r="G1195" s="17" t="str">
        <f t="shared" si="959"/>
        <v>巡游射手魔防百分比</v>
      </c>
      <c r="H1195" s="17" t="str">
        <f t="shared" si="959"/>
        <v>gongbing02_Lv3</v>
      </c>
      <c r="I1195" s="20">
        <v>1.5</v>
      </c>
      <c r="J1195" s="17">
        <v>7</v>
      </c>
      <c r="K1195" s="17">
        <f t="shared" si="949"/>
        <v>31908</v>
      </c>
      <c r="L1195" s="17" t="s">
        <v>230</v>
      </c>
      <c r="M1195" s="17" t="str">
        <f t="shared" si="952"/>
        <v>1:11600:5</v>
      </c>
      <c r="N1195" s="16" t="str">
        <f t="shared" si="920"/>
        <v>10027:1</v>
      </c>
      <c r="O1195" s="17">
        <f t="shared" si="926"/>
        <v>10</v>
      </c>
      <c r="P1195" s="21" t="s">
        <v>4675</v>
      </c>
      <c r="Q1195" s="21"/>
      <c r="R1195" t="s">
        <v>4626</v>
      </c>
      <c r="T1195" t="str">
        <f t="shared" si="953"/>
        <v>:1</v>
      </c>
      <c r="U1195" t="str">
        <f t="shared" si="917"/>
        <v>射手</v>
      </c>
      <c r="V1195" t="s">
        <v>4667</v>
      </c>
      <c r="W1195">
        <f>属性类型!G1195</f>
        <v>10027</v>
      </c>
      <c r="X1195">
        <v>1</v>
      </c>
    </row>
    <row r="1196" customFormat="1" ht="16.5" spans="1:24">
      <c r="A1196" s="17">
        <f t="shared" si="950"/>
        <v>31908</v>
      </c>
      <c r="B1196" s="17">
        <f t="shared" si="947"/>
        <v>31900</v>
      </c>
      <c r="C1196" s="17" t="str">
        <f t="shared" si="937"/>
        <v>3</v>
      </c>
      <c r="D1196" s="17">
        <f t="shared" si="948"/>
        <v>30002</v>
      </c>
      <c r="E1196" s="17">
        <f t="shared" ref="E1196:H1196" si="960">E1195</f>
        <v>2</v>
      </c>
      <c r="F1196" s="17">
        <f t="shared" si="924"/>
        <v>2</v>
      </c>
      <c r="G1196" s="17" t="str">
        <f t="shared" si="960"/>
        <v>巡游射手魔防百分比</v>
      </c>
      <c r="H1196" s="17" t="str">
        <f t="shared" si="960"/>
        <v>gongbing02_Lv3</v>
      </c>
      <c r="I1196" s="20">
        <v>1.5</v>
      </c>
      <c r="J1196" s="17">
        <v>8</v>
      </c>
      <c r="K1196" s="17">
        <f t="shared" si="949"/>
        <v>31909</v>
      </c>
      <c r="L1196" s="17" t="s">
        <v>233</v>
      </c>
      <c r="M1196" s="17" t="str">
        <f t="shared" si="952"/>
        <v>1:11600:5</v>
      </c>
      <c r="N1196" s="16" t="str">
        <f t="shared" si="920"/>
        <v>10027:1</v>
      </c>
      <c r="O1196" s="17">
        <f t="shared" si="926"/>
        <v>10</v>
      </c>
      <c r="P1196" s="21" t="s">
        <v>4676</v>
      </c>
      <c r="Q1196" s="21"/>
      <c r="R1196" t="s">
        <v>4626</v>
      </c>
      <c r="T1196" t="str">
        <f t="shared" si="953"/>
        <v>:1</v>
      </c>
      <c r="U1196" t="str">
        <f t="shared" si="917"/>
        <v>射手</v>
      </c>
      <c r="V1196" t="s">
        <v>4667</v>
      </c>
      <c r="W1196">
        <f>属性类型!G1196</f>
        <v>10027</v>
      </c>
      <c r="X1196">
        <v>1</v>
      </c>
    </row>
    <row r="1197" customFormat="1" ht="16.5" spans="1:24">
      <c r="A1197" s="17">
        <f t="shared" si="950"/>
        <v>31909</v>
      </c>
      <c r="B1197" s="17">
        <f t="shared" si="947"/>
        <v>31900</v>
      </c>
      <c r="C1197" s="17" t="str">
        <f t="shared" si="937"/>
        <v>3</v>
      </c>
      <c r="D1197" s="17">
        <f t="shared" si="948"/>
        <v>30002</v>
      </c>
      <c r="E1197" s="17">
        <f t="shared" ref="E1197:H1197" si="961">E1196</f>
        <v>2</v>
      </c>
      <c r="F1197" s="17">
        <f t="shared" si="924"/>
        <v>2</v>
      </c>
      <c r="G1197" s="17" t="str">
        <f t="shared" si="961"/>
        <v>巡游射手魔防百分比</v>
      </c>
      <c r="H1197" s="17" t="str">
        <f t="shared" si="961"/>
        <v>gongbing02_Lv3</v>
      </c>
      <c r="I1197" s="20">
        <v>1.5</v>
      </c>
      <c r="J1197" s="17">
        <v>9</v>
      </c>
      <c r="K1197" s="17">
        <f t="shared" si="949"/>
        <v>31910</v>
      </c>
      <c r="L1197" s="17" t="s">
        <v>236</v>
      </c>
      <c r="M1197" s="17" t="str">
        <f t="shared" si="952"/>
        <v>1:11600:5</v>
      </c>
      <c r="N1197" s="16" t="str">
        <f t="shared" si="920"/>
        <v>10027:1</v>
      </c>
      <c r="O1197" s="17">
        <f t="shared" si="926"/>
        <v>10</v>
      </c>
      <c r="P1197" s="21" t="s">
        <v>4677</v>
      </c>
      <c r="Q1197" s="21"/>
      <c r="R1197" t="s">
        <v>4626</v>
      </c>
      <c r="T1197" t="str">
        <f t="shared" si="953"/>
        <v>:1</v>
      </c>
      <c r="U1197" t="str">
        <f t="shared" si="917"/>
        <v>射手</v>
      </c>
      <c r="V1197" t="s">
        <v>4667</v>
      </c>
      <c r="W1197">
        <f>属性类型!G1197</f>
        <v>10027</v>
      </c>
      <c r="X1197">
        <v>1</v>
      </c>
    </row>
    <row r="1198" customFormat="1" ht="16.5" spans="1:24">
      <c r="A1198" s="17">
        <f t="shared" si="950"/>
        <v>31910</v>
      </c>
      <c r="B1198" s="17">
        <f t="shared" si="947"/>
        <v>31900</v>
      </c>
      <c r="C1198" s="17" t="str">
        <f t="shared" si="937"/>
        <v>3</v>
      </c>
      <c r="D1198" s="17">
        <f t="shared" si="948"/>
        <v>30002</v>
      </c>
      <c r="E1198" s="17">
        <f t="shared" ref="E1198:H1198" si="962">E1197</f>
        <v>2</v>
      </c>
      <c r="F1198" s="17">
        <f t="shared" si="924"/>
        <v>2</v>
      </c>
      <c r="G1198" s="17" t="str">
        <f t="shared" si="962"/>
        <v>巡游射手魔防百分比</v>
      </c>
      <c r="H1198" s="17" t="str">
        <f t="shared" si="962"/>
        <v>gongbing02_Lv3</v>
      </c>
      <c r="I1198" s="20">
        <v>1.5</v>
      </c>
      <c r="J1198" s="17">
        <v>10</v>
      </c>
      <c r="K1198" s="17">
        <f t="shared" si="949"/>
        <v>31911</v>
      </c>
      <c r="L1198" s="17" t="s">
        <v>238</v>
      </c>
      <c r="M1198" s="17" t="str">
        <f t="shared" si="952"/>
        <v>1:11600:5</v>
      </c>
      <c r="N1198" s="16" t="str">
        <f t="shared" si="920"/>
        <v>10027:1</v>
      </c>
      <c r="O1198" s="17">
        <f t="shared" si="926"/>
        <v>10</v>
      </c>
      <c r="P1198" s="21" t="s">
        <v>4678</v>
      </c>
      <c r="Q1198" s="21"/>
      <c r="R1198" t="s">
        <v>4626</v>
      </c>
      <c r="T1198" t="str">
        <f t="shared" si="953"/>
        <v>:1</v>
      </c>
      <c r="U1198" t="str">
        <f t="shared" si="917"/>
        <v>射手</v>
      </c>
      <c r="V1198" t="s">
        <v>4667</v>
      </c>
      <c r="W1198">
        <f>属性类型!G1198</f>
        <v>10027</v>
      </c>
      <c r="X1198">
        <v>1</v>
      </c>
    </row>
    <row r="1199" customFormat="1" ht="16.5" spans="1:24">
      <c r="A1199" s="17">
        <f t="shared" si="950"/>
        <v>31911</v>
      </c>
      <c r="B1199" s="17">
        <f t="shared" si="947"/>
        <v>31900</v>
      </c>
      <c r="C1199" s="17" t="str">
        <f t="shared" si="937"/>
        <v>3</v>
      </c>
      <c r="D1199" s="17">
        <f t="shared" si="948"/>
        <v>30002</v>
      </c>
      <c r="E1199" s="17">
        <f t="shared" ref="E1199:H1199" si="963">E1198</f>
        <v>2</v>
      </c>
      <c r="F1199" s="17">
        <f t="shared" si="924"/>
        <v>2</v>
      </c>
      <c r="G1199" s="17" t="str">
        <f t="shared" si="963"/>
        <v>巡游射手魔防百分比</v>
      </c>
      <c r="H1199" s="17" t="str">
        <f t="shared" si="963"/>
        <v>gongbing02_Lv3</v>
      </c>
      <c r="I1199" s="20">
        <v>1.5</v>
      </c>
      <c r="J1199" s="17">
        <v>11</v>
      </c>
      <c r="K1199" s="17">
        <f t="shared" si="949"/>
        <v>31912</v>
      </c>
      <c r="L1199" s="17" t="s">
        <v>529</v>
      </c>
      <c r="M1199" s="17" t="str">
        <f t="shared" si="952"/>
        <v>1:11600:5</v>
      </c>
      <c r="N1199" s="16" t="str">
        <f t="shared" si="920"/>
        <v>10027:1</v>
      </c>
      <c r="O1199" s="17">
        <f t="shared" si="926"/>
        <v>10</v>
      </c>
      <c r="P1199" s="21" t="s">
        <v>4679</v>
      </c>
      <c r="Q1199" s="21"/>
      <c r="R1199" t="s">
        <v>4626</v>
      </c>
      <c r="T1199" t="str">
        <f t="shared" si="953"/>
        <v>:1</v>
      </c>
      <c r="U1199" t="str">
        <f t="shared" si="917"/>
        <v>射手</v>
      </c>
      <c r="V1199" t="s">
        <v>4667</v>
      </c>
      <c r="W1199">
        <f>属性类型!G1199</f>
        <v>10027</v>
      </c>
      <c r="X1199">
        <v>1</v>
      </c>
    </row>
    <row r="1200" customFormat="1" ht="16.5" spans="1:24">
      <c r="A1200" s="17">
        <f t="shared" si="950"/>
        <v>31912</v>
      </c>
      <c r="B1200" s="17">
        <f t="shared" si="947"/>
        <v>31900</v>
      </c>
      <c r="C1200" s="17" t="str">
        <f t="shared" si="937"/>
        <v>3</v>
      </c>
      <c r="D1200" s="17">
        <f t="shared" si="948"/>
        <v>30002</v>
      </c>
      <c r="E1200" s="17">
        <f t="shared" ref="E1200:H1200" si="964">E1199</f>
        <v>2</v>
      </c>
      <c r="F1200" s="17">
        <f t="shared" si="924"/>
        <v>2</v>
      </c>
      <c r="G1200" s="17" t="str">
        <f t="shared" si="964"/>
        <v>巡游射手魔防百分比</v>
      </c>
      <c r="H1200" s="17" t="str">
        <f t="shared" si="964"/>
        <v>gongbing02_Lv3</v>
      </c>
      <c r="I1200" s="20">
        <v>1.5</v>
      </c>
      <c r="J1200" s="17">
        <v>12</v>
      </c>
      <c r="K1200" s="17">
        <f t="shared" si="949"/>
        <v>31913</v>
      </c>
      <c r="L1200" s="17" t="s">
        <v>532</v>
      </c>
      <c r="M1200" s="17" t="str">
        <f t="shared" si="952"/>
        <v>1:11600:5</v>
      </c>
      <c r="N1200" s="16" t="str">
        <f t="shared" si="920"/>
        <v>10027:1</v>
      </c>
      <c r="O1200" s="17">
        <f t="shared" si="926"/>
        <v>10</v>
      </c>
      <c r="P1200" s="21" t="s">
        <v>4680</v>
      </c>
      <c r="Q1200" s="21"/>
      <c r="R1200" t="s">
        <v>4626</v>
      </c>
      <c r="T1200" t="str">
        <f t="shared" si="953"/>
        <v>:1</v>
      </c>
      <c r="U1200" t="str">
        <f t="shared" si="917"/>
        <v>射手</v>
      </c>
      <c r="V1200" t="s">
        <v>4667</v>
      </c>
      <c r="W1200">
        <f>属性类型!G1200</f>
        <v>10027</v>
      </c>
      <c r="X1200">
        <v>1</v>
      </c>
    </row>
    <row r="1201" customFormat="1" ht="16.5" spans="1:24">
      <c r="A1201" s="17">
        <f t="shared" si="950"/>
        <v>31913</v>
      </c>
      <c r="B1201" s="17">
        <f t="shared" si="947"/>
        <v>31900</v>
      </c>
      <c r="C1201" s="17" t="str">
        <f t="shared" si="937"/>
        <v>3</v>
      </c>
      <c r="D1201" s="17">
        <f t="shared" si="948"/>
        <v>30002</v>
      </c>
      <c r="E1201" s="17">
        <f t="shared" ref="E1201:H1201" si="965">E1200</f>
        <v>2</v>
      </c>
      <c r="F1201" s="17">
        <f t="shared" si="924"/>
        <v>2</v>
      </c>
      <c r="G1201" s="17" t="str">
        <f t="shared" si="965"/>
        <v>巡游射手魔防百分比</v>
      </c>
      <c r="H1201" s="17" t="str">
        <f t="shared" si="965"/>
        <v>gongbing02_Lv3</v>
      </c>
      <c r="I1201" s="20">
        <v>1.5</v>
      </c>
      <c r="J1201" s="17">
        <v>13</v>
      </c>
      <c r="K1201" s="17">
        <f t="shared" si="949"/>
        <v>31914</v>
      </c>
      <c r="L1201" s="17" t="s">
        <v>561</v>
      </c>
      <c r="M1201" s="17" t="str">
        <f t="shared" si="952"/>
        <v>1:11600:5</v>
      </c>
      <c r="N1201" s="16" t="str">
        <f t="shared" si="920"/>
        <v>10027:1</v>
      </c>
      <c r="O1201" s="17">
        <f t="shared" si="926"/>
        <v>10</v>
      </c>
      <c r="P1201" s="21" t="s">
        <v>4681</v>
      </c>
      <c r="Q1201" s="21"/>
      <c r="R1201" t="s">
        <v>4626</v>
      </c>
      <c r="T1201" t="str">
        <f t="shared" si="953"/>
        <v>:1</v>
      </c>
      <c r="U1201" t="str">
        <f t="shared" si="917"/>
        <v>射手</v>
      </c>
      <c r="V1201" t="s">
        <v>4667</v>
      </c>
      <c r="W1201">
        <f>属性类型!G1201</f>
        <v>10027</v>
      </c>
      <c r="X1201">
        <v>1</v>
      </c>
    </row>
    <row r="1202" customFormat="1" ht="16.5" spans="1:24">
      <c r="A1202" s="17">
        <f t="shared" si="950"/>
        <v>31914</v>
      </c>
      <c r="B1202" s="17">
        <f t="shared" si="947"/>
        <v>31900</v>
      </c>
      <c r="C1202" s="17" t="str">
        <f t="shared" si="937"/>
        <v>3</v>
      </c>
      <c r="D1202" s="17">
        <f t="shared" si="948"/>
        <v>30002</v>
      </c>
      <c r="E1202" s="17">
        <f t="shared" ref="E1202:H1202" si="966">E1201</f>
        <v>2</v>
      </c>
      <c r="F1202" s="17">
        <f t="shared" si="924"/>
        <v>2</v>
      </c>
      <c r="G1202" s="17" t="str">
        <f t="shared" si="966"/>
        <v>巡游射手魔防百分比</v>
      </c>
      <c r="H1202" s="17" t="str">
        <f t="shared" si="966"/>
        <v>gongbing02_Lv3</v>
      </c>
      <c r="I1202" s="20">
        <v>1.5</v>
      </c>
      <c r="J1202" s="17">
        <v>14</v>
      </c>
      <c r="K1202" s="17">
        <f t="shared" si="949"/>
        <v>31915</v>
      </c>
      <c r="L1202" s="17" t="s">
        <v>564</v>
      </c>
      <c r="M1202" s="17" t="str">
        <f t="shared" si="952"/>
        <v>1:11600:5</v>
      </c>
      <c r="N1202" s="16" t="str">
        <f t="shared" si="920"/>
        <v>10027:1</v>
      </c>
      <c r="O1202" s="17">
        <f t="shared" si="926"/>
        <v>10</v>
      </c>
      <c r="P1202" s="21" t="s">
        <v>4682</v>
      </c>
      <c r="Q1202" s="21"/>
      <c r="R1202" t="s">
        <v>4626</v>
      </c>
      <c r="T1202" t="str">
        <f t="shared" si="953"/>
        <v>:1</v>
      </c>
      <c r="U1202" t="str">
        <f t="shared" si="917"/>
        <v>射手</v>
      </c>
      <c r="V1202" t="s">
        <v>4667</v>
      </c>
      <c r="W1202">
        <f>属性类型!G1202</f>
        <v>10027</v>
      </c>
      <c r="X1202">
        <v>1</v>
      </c>
    </row>
    <row r="1203" customFormat="1" ht="16.5" spans="1:24">
      <c r="A1203" s="17">
        <f t="shared" si="950"/>
        <v>31915</v>
      </c>
      <c r="B1203" s="17">
        <f t="shared" si="947"/>
        <v>31900</v>
      </c>
      <c r="C1203" s="17" t="str">
        <f t="shared" si="937"/>
        <v>3</v>
      </c>
      <c r="D1203" s="17">
        <f t="shared" si="948"/>
        <v>30002</v>
      </c>
      <c r="E1203" s="17">
        <f t="shared" ref="E1203:H1203" si="967">E1202</f>
        <v>2</v>
      </c>
      <c r="F1203" s="17">
        <f t="shared" si="924"/>
        <v>2</v>
      </c>
      <c r="G1203" s="17" t="str">
        <f t="shared" si="967"/>
        <v>巡游射手魔防百分比</v>
      </c>
      <c r="H1203" s="17" t="str">
        <f t="shared" si="967"/>
        <v>gongbing02_Lv3</v>
      </c>
      <c r="I1203" s="20">
        <v>1.5</v>
      </c>
      <c r="J1203" s="17">
        <v>15</v>
      </c>
      <c r="K1203" s="17">
        <f t="shared" si="949"/>
        <v>31916</v>
      </c>
      <c r="L1203" s="17" t="s">
        <v>630</v>
      </c>
      <c r="M1203" s="17" t="str">
        <f t="shared" si="952"/>
        <v>1:11600:5</v>
      </c>
      <c r="N1203" s="16" t="str">
        <f t="shared" si="920"/>
        <v>10027:1</v>
      </c>
      <c r="O1203" s="17">
        <f t="shared" si="926"/>
        <v>10</v>
      </c>
      <c r="P1203" s="21" t="s">
        <v>4683</v>
      </c>
      <c r="Q1203" s="21"/>
      <c r="R1203" t="s">
        <v>4626</v>
      </c>
      <c r="T1203" t="str">
        <f t="shared" si="953"/>
        <v>:1</v>
      </c>
      <c r="U1203" t="str">
        <f t="shared" si="917"/>
        <v>射手</v>
      </c>
      <c r="V1203" t="s">
        <v>4667</v>
      </c>
      <c r="W1203">
        <f>属性类型!G1203</f>
        <v>10027</v>
      </c>
      <c r="X1203">
        <v>1</v>
      </c>
    </row>
    <row r="1204" customFormat="1" ht="16.5" spans="1:24">
      <c r="A1204" s="17">
        <f t="shared" si="950"/>
        <v>31916</v>
      </c>
      <c r="B1204" s="17">
        <f t="shared" si="947"/>
        <v>31900</v>
      </c>
      <c r="C1204" s="17" t="str">
        <f t="shared" si="937"/>
        <v>3</v>
      </c>
      <c r="D1204" s="17">
        <f t="shared" si="948"/>
        <v>30002</v>
      </c>
      <c r="E1204" s="17">
        <f t="shared" ref="E1204:H1204" si="968">E1203</f>
        <v>2</v>
      </c>
      <c r="F1204" s="17">
        <f t="shared" si="924"/>
        <v>2</v>
      </c>
      <c r="G1204" s="17" t="str">
        <f t="shared" si="968"/>
        <v>巡游射手魔防百分比</v>
      </c>
      <c r="H1204" s="17" t="str">
        <f t="shared" si="968"/>
        <v>gongbing02_Lv3</v>
      </c>
      <c r="I1204" s="20">
        <v>1.5</v>
      </c>
      <c r="J1204" s="17">
        <v>16</v>
      </c>
      <c r="K1204" s="17">
        <f t="shared" si="949"/>
        <v>31917</v>
      </c>
      <c r="L1204" s="17" t="s">
        <v>633</v>
      </c>
      <c r="M1204" s="17" t="str">
        <f t="shared" si="952"/>
        <v>1:11600:5</v>
      </c>
      <c r="N1204" s="16" t="str">
        <f t="shared" si="920"/>
        <v>10027:1</v>
      </c>
      <c r="O1204" s="17">
        <f t="shared" si="926"/>
        <v>10</v>
      </c>
      <c r="P1204" s="21" t="s">
        <v>4684</v>
      </c>
      <c r="Q1204" s="21"/>
      <c r="R1204" t="s">
        <v>4626</v>
      </c>
      <c r="T1204" t="str">
        <f t="shared" si="953"/>
        <v>:1</v>
      </c>
      <c r="U1204" t="str">
        <f t="shared" si="917"/>
        <v>射手</v>
      </c>
      <c r="V1204" t="s">
        <v>4667</v>
      </c>
      <c r="W1204">
        <f>属性类型!G1204</f>
        <v>10027</v>
      </c>
      <c r="X1204">
        <v>1</v>
      </c>
    </row>
    <row r="1205" customFormat="1" ht="16.5" spans="1:24">
      <c r="A1205" s="17">
        <f t="shared" si="950"/>
        <v>31917</v>
      </c>
      <c r="B1205" s="17">
        <f t="shared" si="947"/>
        <v>31900</v>
      </c>
      <c r="C1205" s="17" t="str">
        <f t="shared" si="937"/>
        <v>3</v>
      </c>
      <c r="D1205" s="17">
        <f t="shared" si="948"/>
        <v>30002</v>
      </c>
      <c r="E1205" s="17">
        <f t="shared" ref="E1205:H1205" si="969">E1204</f>
        <v>2</v>
      </c>
      <c r="F1205" s="17">
        <f t="shared" si="924"/>
        <v>2</v>
      </c>
      <c r="G1205" s="17" t="str">
        <f t="shared" si="969"/>
        <v>巡游射手魔防百分比</v>
      </c>
      <c r="H1205" s="17" t="str">
        <f t="shared" si="969"/>
        <v>gongbing02_Lv3</v>
      </c>
      <c r="I1205" s="20">
        <v>1.5</v>
      </c>
      <c r="J1205" s="17">
        <v>17</v>
      </c>
      <c r="K1205" s="17">
        <f t="shared" si="949"/>
        <v>31918</v>
      </c>
      <c r="L1205" s="17" t="s">
        <v>637</v>
      </c>
      <c r="M1205" s="17" t="str">
        <f t="shared" si="952"/>
        <v>1:11600:5</v>
      </c>
      <c r="N1205" s="16" t="str">
        <f t="shared" si="920"/>
        <v>10027:1</v>
      </c>
      <c r="O1205" s="17">
        <f t="shared" si="926"/>
        <v>10</v>
      </c>
      <c r="P1205" s="21" t="s">
        <v>4685</v>
      </c>
      <c r="Q1205" s="21"/>
      <c r="R1205" t="s">
        <v>4626</v>
      </c>
      <c r="T1205" t="str">
        <f t="shared" si="953"/>
        <v>:1</v>
      </c>
      <c r="U1205" t="str">
        <f t="shared" si="917"/>
        <v>射手</v>
      </c>
      <c r="V1205" t="s">
        <v>4667</v>
      </c>
      <c r="W1205">
        <f>属性类型!G1205</f>
        <v>10027</v>
      </c>
      <c r="X1205">
        <v>1</v>
      </c>
    </row>
    <row r="1206" customFormat="1" ht="16.5" spans="1:24">
      <c r="A1206" s="17">
        <f t="shared" si="950"/>
        <v>31918</v>
      </c>
      <c r="B1206" s="17">
        <f t="shared" si="947"/>
        <v>31900</v>
      </c>
      <c r="C1206" s="17" t="str">
        <f t="shared" si="937"/>
        <v>3</v>
      </c>
      <c r="D1206" s="17">
        <f t="shared" si="948"/>
        <v>30002</v>
      </c>
      <c r="E1206" s="17">
        <f t="shared" ref="E1206:H1206" si="970">E1205</f>
        <v>2</v>
      </c>
      <c r="F1206" s="17">
        <f t="shared" si="924"/>
        <v>2</v>
      </c>
      <c r="G1206" s="17" t="str">
        <f t="shared" si="970"/>
        <v>巡游射手魔防百分比</v>
      </c>
      <c r="H1206" s="17" t="str">
        <f t="shared" si="970"/>
        <v>gongbing02_Lv3</v>
      </c>
      <c r="I1206" s="20">
        <v>1.5</v>
      </c>
      <c r="J1206" s="17">
        <v>18</v>
      </c>
      <c r="K1206" s="17">
        <f t="shared" si="949"/>
        <v>31919</v>
      </c>
      <c r="L1206" s="17" t="s">
        <v>641</v>
      </c>
      <c r="M1206" s="17" t="str">
        <f t="shared" si="952"/>
        <v>1:11600:5</v>
      </c>
      <c r="N1206" s="16" t="str">
        <f t="shared" si="920"/>
        <v>10027:1</v>
      </c>
      <c r="O1206" s="17">
        <f t="shared" si="926"/>
        <v>10</v>
      </c>
      <c r="P1206" s="21" t="s">
        <v>4686</v>
      </c>
      <c r="Q1206" s="21"/>
      <c r="R1206" t="s">
        <v>4626</v>
      </c>
      <c r="T1206" t="str">
        <f t="shared" si="953"/>
        <v>:1</v>
      </c>
      <c r="U1206" t="str">
        <f t="shared" si="917"/>
        <v>射手</v>
      </c>
      <c r="V1206" t="s">
        <v>4667</v>
      </c>
      <c r="W1206">
        <f>属性类型!G1206</f>
        <v>10027</v>
      </c>
      <c r="X1206">
        <v>1</v>
      </c>
    </row>
    <row r="1207" customFormat="1" ht="16.5" spans="1:24">
      <c r="A1207" s="17">
        <f t="shared" si="950"/>
        <v>31919</v>
      </c>
      <c r="B1207" s="17">
        <f t="shared" si="947"/>
        <v>31900</v>
      </c>
      <c r="C1207" s="17" t="str">
        <f t="shared" si="937"/>
        <v>3</v>
      </c>
      <c r="D1207" s="17">
        <f t="shared" si="948"/>
        <v>30002</v>
      </c>
      <c r="E1207" s="17">
        <f t="shared" ref="E1207:H1207" si="971">E1206</f>
        <v>2</v>
      </c>
      <c r="F1207" s="17">
        <f t="shared" si="924"/>
        <v>2</v>
      </c>
      <c r="G1207" s="17" t="str">
        <f t="shared" si="971"/>
        <v>巡游射手魔防百分比</v>
      </c>
      <c r="H1207" s="17" t="str">
        <f t="shared" si="971"/>
        <v>gongbing02_Lv3</v>
      </c>
      <c r="I1207" s="20">
        <v>1.5</v>
      </c>
      <c r="J1207" s="17">
        <v>19</v>
      </c>
      <c r="K1207" s="17">
        <f t="shared" si="949"/>
        <v>31920</v>
      </c>
      <c r="L1207" s="17" t="s">
        <v>645</v>
      </c>
      <c r="M1207" s="17" t="str">
        <f t="shared" si="952"/>
        <v>1:11600:5</v>
      </c>
      <c r="N1207" s="16" t="str">
        <f t="shared" si="920"/>
        <v>10027:1</v>
      </c>
      <c r="O1207" s="17">
        <f t="shared" si="926"/>
        <v>10</v>
      </c>
      <c r="P1207" s="21" t="s">
        <v>4687</v>
      </c>
      <c r="Q1207" s="21"/>
      <c r="R1207" t="s">
        <v>4626</v>
      </c>
      <c r="T1207" t="str">
        <f t="shared" si="953"/>
        <v>:1</v>
      </c>
      <c r="U1207" t="str">
        <f t="shared" si="917"/>
        <v>射手</v>
      </c>
      <c r="V1207" t="s">
        <v>4667</v>
      </c>
      <c r="W1207">
        <f>属性类型!G1207</f>
        <v>10027</v>
      </c>
      <c r="X1207">
        <v>1</v>
      </c>
    </row>
    <row r="1208" customFormat="1" ht="16.5" spans="1:24">
      <c r="A1208" s="17">
        <f t="shared" si="950"/>
        <v>31920</v>
      </c>
      <c r="B1208" s="17">
        <f t="shared" si="947"/>
        <v>31900</v>
      </c>
      <c r="C1208" s="17" t="str">
        <f t="shared" si="937"/>
        <v>3</v>
      </c>
      <c r="D1208" s="17">
        <f t="shared" si="948"/>
        <v>30002</v>
      </c>
      <c r="E1208" s="17">
        <f t="shared" ref="E1208:H1208" si="972">E1207</f>
        <v>2</v>
      </c>
      <c r="F1208" s="17">
        <f t="shared" si="924"/>
        <v>2</v>
      </c>
      <c r="G1208" s="17" t="str">
        <f t="shared" si="972"/>
        <v>巡游射手魔防百分比</v>
      </c>
      <c r="H1208" s="17" t="str">
        <f t="shared" si="972"/>
        <v>gongbing02_Lv3</v>
      </c>
      <c r="I1208" s="20">
        <v>1.5</v>
      </c>
      <c r="J1208" s="17">
        <v>20</v>
      </c>
      <c r="K1208" s="17">
        <v>0</v>
      </c>
      <c r="L1208" s="17">
        <v>0</v>
      </c>
      <c r="M1208" s="17" t="str">
        <f t="shared" si="952"/>
        <v>1:11600:5</v>
      </c>
      <c r="N1208" s="16" t="str">
        <f t="shared" si="920"/>
        <v>10027:1</v>
      </c>
      <c r="O1208" s="17">
        <f t="shared" si="926"/>
        <v>10</v>
      </c>
      <c r="P1208" s="21" t="s">
        <v>4687</v>
      </c>
      <c r="Q1208" s="21"/>
      <c r="R1208" t="s">
        <v>4626</v>
      </c>
      <c r="T1208" t="str">
        <f t="shared" si="953"/>
        <v>:1</v>
      </c>
      <c r="U1208" t="str">
        <f t="shared" si="917"/>
        <v>射手</v>
      </c>
      <c r="V1208" t="s">
        <v>4667</v>
      </c>
      <c r="W1208">
        <f>属性类型!G1208</f>
        <v>10027</v>
      </c>
      <c r="X1208">
        <v>1</v>
      </c>
    </row>
    <row r="1209" customFormat="1" ht="16.5" spans="1:24">
      <c r="A1209" s="18">
        <f>A1188+100</f>
        <v>32000</v>
      </c>
      <c r="B1209" s="18">
        <f t="shared" si="947"/>
        <v>32000</v>
      </c>
      <c r="C1209" s="18" t="str">
        <f t="shared" ref="C1209:C1257" si="973">LEFT(A1209,1)</f>
        <v>3</v>
      </c>
      <c r="D1209" s="17">
        <f t="shared" si="948"/>
        <v>30003</v>
      </c>
      <c r="E1209" s="17">
        <v>1</v>
      </c>
      <c r="F1209" s="18">
        <f t="shared" si="924"/>
        <v>3</v>
      </c>
      <c r="G1209" s="18" t="s">
        <v>515</v>
      </c>
      <c r="H1209" s="18" t="s">
        <v>38</v>
      </c>
      <c r="I1209" s="20">
        <v>0</v>
      </c>
      <c r="J1209" s="18">
        <v>0</v>
      </c>
      <c r="K1209" s="18">
        <f t="shared" ref="K1209:K1223" si="974">A1210</f>
        <v>32001</v>
      </c>
      <c r="L1209" s="18" t="s">
        <v>206</v>
      </c>
      <c r="M1209" s="18" t="s">
        <v>517</v>
      </c>
      <c r="N1209" s="16" t="str">
        <f t="shared" si="920"/>
        <v>121:1</v>
      </c>
      <c r="O1209" s="18">
        <f t="shared" si="926"/>
        <v>1</v>
      </c>
      <c r="P1209" s="21" t="str">
        <f t="shared" ref="P1192:P1255" si="975">$R$3&amp;R1209&amp;$Q$1&amp;T1209</f>
        <v>所有弓兵生命增加1</v>
      </c>
      <c r="Q1209" s="21"/>
      <c r="R1209" t="s">
        <v>4270</v>
      </c>
      <c r="T1209" t="str">
        <f>RIGHT(N1209,1)</f>
        <v>1</v>
      </c>
      <c r="U1209" t="str">
        <f t="shared" si="917"/>
        <v>弓兵</v>
      </c>
      <c r="V1209" t="s">
        <v>4552</v>
      </c>
      <c r="W1209">
        <f>属性类型!G1209</f>
        <v>121</v>
      </c>
      <c r="X1209">
        <v>1</v>
      </c>
    </row>
    <row r="1210" customFormat="1" ht="16.5" spans="1:24">
      <c r="A1210" s="17">
        <f t="shared" ref="A1210:A1224" si="976">A1209+1</f>
        <v>32001</v>
      </c>
      <c r="B1210" s="17">
        <f t="shared" si="947"/>
        <v>32000</v>
      </c>
      <c r="C1210" s="17" t="str">
        <f t="shared" si="973"/>
        <v>3</v>
      </c>
      <c r="D1210" s="17">
        <f t="shared" si="948"/>
        <v>30003</v>
      </c>
      <c r="E1210" s="17">
        <v>1</v>
      </c>
      <c r="F1210" s="17">
        <f t="shared" si="924"/>
        <v>3</v>
      </c>
      <c r="G1210" s="17" t="str">
        <f t="shared" ref="G1210:G1224" si="977">G1209</f>
        <v>高级生命</v>
      </c>
      <c r="H1210" s="17" t="str">
        <f t="shared" ref="H1210:H1224" si="978">H1209</f>
        <v>icon_01</v>
      </c>
      <c r="I1210" s="20">
        <v>0</v>
      </c>
      <c r="J1210" s="17">
        <v>1</v>
      </c>
      <c r="K1210" s="17">
        <f t="shared" si="974"/>
        <v>32002</v>
      </c>
      <c r="L1210" s="17" t="s">
        <v>211</v>
      </c>
      <c r="M1210" s="17" t="str">
        <f t="shared" ref="M1210:M1224" si="979">M1209</f>
        <v>2:10001:50</v>
      </c>
      <c r="N1210" s="16" t="str">
        <f t="shared" si="920"/>
        <v>121:1</v>
      </c>
      <c r="O1210" s="17">
        <f t="shared" si="926"/>
        <v>1</v>
      </c>
      <c r="P1210" s="21" t="str">
        <f t="shared" si="975"/>
        <v>所有弓兵生命增加:1</v>
      </c>
      <c r="Q1210" s="21"/>
      <c r="R1210" t="str">
        <f t="shared" ref="R1210:R1224" si="980">R1209</f>
        <v>生命</v>
      </c>
      <c r="T1210" t="str">
        <f t="shared" ref="T1210:T1224" si="981">RIGHT(N1210,2)</f>
        <v>:1</v>
      </c>
      <c r="U1210" t="str">
        <f t="shared" si="917"/>
        <v>弓兵</v>
      </c>
      <c r="V1210" t="s">
        <v>4552</v>
      </c>
      <c r="W1210">
        <f>属性类型!G1210</f>
        <v>121</v>
      </c>
      <c r="X1210">
        <v>1</v>
      </c>
    </row>
    <row r="1211" customFormat="1" ht="16.5" spans="1:24">
      <c r="A1211" s="17">
        <f t="shared" si="976"/>
        <v>32002</v>
      </c>
      <c r="B1211" s="17">
        <f t="shared" si="947"/>
        <v>32000</v>
      </c>
      <c r="C1211" s="17" t="str">
        <f t="shared" si="973"/>
        <v>3</v>
      </c>
      <c r="D1211" s="17">
        <f t="shared" si="948"/>
        <v>30003</v>
      </c>
      <c r="E1211" s="17">
        <v>1</v>
      </c>
      <c r="F1211" s="17">
        <f t="shared" si="924"/>
        <v>3</v>
      </c>
      <c r="G1211" s="17" t="str">
        <f t="shared" si="977"/>
        <v>高级生命</v>
      </c>
      <c r="H1211" s="17" t="str">
        <f t="shared" si="978"/>
        <v>icon_01</v>
      </c>
      <c r="I1211" s="20">
        <v>0</v>
      </c>
      <c r="J1211" s="17">
        <v>2</v>
      </c>
      <c r="K1211" s="17">
        <f t="shared" si="974"/>
        <v>32003</v>
      </c>
      <c r="L1211" s="17" t="s">
        <v>215</v>
      </c>
      <c r="M1211" s="17" t="str">
        <f t="shared" si="979"/>
        <v>2:10001:50</v>
      </c>
      <c r="N1211" s="16" t="str">
        <f t="shared" si="920"/>
        <v>121:1</v>
      </c>
      <c r="O1211" s="17">
        <f t="shared" si="926"/>
        <v>1</v>
      </c>
      <c r="P1211" s="21" t="str">
        <f t="shared" si="975"/>
        <v>所有弓兵生命增加:1</v>
      </c>
      <c r="Q1211" s="21"/>
      <c r="R1211" t="str">
        <f t="shared" si="980"/>
        <v>生命</v>
      </c>
      <c r="T1211" t="str">
        <f t="shared" si="981"/>
        <v>:1</v>
      </c>
      <c r="U1211" t="str">
        <f t="shared" si="917"/>
        <v>弓兵</v>
      </c>
      <c r="V1211" t="s">
        <v>4552</v>
      </c>
      <c r="W1211">
        <f>属性类型!G1211</f>
        <v>121</v>
      </c>
      <c r="X1211">
        <v>1</v>
      </c>
    </row>
    <row r="1212" customFormat="1" ht="16.5" spans="1:24">
      <c r="A1212" s="17">
        <f t="shared" si="976"/>
        <v>32003</v>
      </c>
      <c r="B1212" s="17">
        <f t="shared" si="947"/>
        <v>32000</v>
      </c>
      <c r="C1212" s="17" t="str">
        <f t="shared" si="973"/>
        <v>3</v>
      </c>
      <c r="D1212" s="17">
        <f t="shared" si="948"/>
        <v>30003</v>
      </c>
      <c r="E1212" s="17">
        <v>1</v>
      </c>
      <c r="F1212" s="17">
        <f t="shared" si="924"/>
        <v>3</v>
      </c>
      <c r="G1212" s="17" t="str">
        <f t="shared" si="977"/>
        <v>高级生命</v>
      </c>
      <c r="H1212" s="17" t="str">
        <f t="shared" si="978"/>
        <v>icon_01</v>
      </c>
      <c r="I1212" s="20">
        <v>0</v>
      </c>
      <c r="J1212" s="17">
        <v>3</v>
      </c>
      <c r="K1212" s="17">
        <f t="shared" si="974"/>
        <v>32004</v>
      </c>
      <c r="L1212" s="17" t="s">
        <v>218</v>
      </c>
      <c r="M1212" s="17" t="str">
        <f t="shared" si="979"/>
        <v>2:10001:50</v>
      </c>
      <c r="N1212" s="16" t="str">
        <f t="shared" si="920"/>
        <v>121:1</v>
      </c>
      <c r="O1212" s="17">
        <f t="shared" si="926"/>
        <v>1</v>
      </c>
      <c r="P1212" s="21" t="str">
        <f t="shared" si="975"/>
        <v>所有弓兵生命增加:1</v>
      </c>
      <c r="Q1212" s="21"/>
      <c r="R1212" t="str">
        <f t="shared" si="980"/>
        <v>生命</v>
      </c>
      <c r="T1212" t="str">
        <f t="shared" si="981"/>
        <v>:1</v>
      </c>
      <c r="U1212" t="str">
        <f t="shared" si="917"/>
        <v>弓兵</v>
      </c>
      <c r="V1212" t="s">
        <v>4552</v>
      </c>
      <c r="W1212">
        <f>属性类型!G1212</f>
        <v>121</v>
      </c>
      <c r="X1212">
        <v>1</v>
      </c>
    </row>
    <row r="1213" customFormat="1" ht="16.5" spans="1:24">
      <c r="A1213" s="17">
        <f t="shared" si="976"/>
        <v>32004</v>
      </c>
      <c r="B1213" s="17">
        <f t="shared" si="947"/>
        <v>32000</v>
      </c>
      <c r="C1213" s="17" t="str">
        <f t="shared" si="973"/>
        <v>3</v>
      </c>
      <c r="D1213" s="17">
        <f t="shared" si="948"/>
        <v>30003</v>
      </c>
      <c r="E1213" s="17">
        <v>1</v>
      </c>
      <c r="F1213" s="17">
        <f t="shared" si="924"/>
        <v>3</v>
      </c>
      <c r="G1213" s="17" t="str">
        <f t="shared" si="977"/>
        <v>高级生命</v>
      </c>
      <c r="H1213" s="17" t="str">
        <f t="shared" si="978"/>
        <v>icon_01</v>
      </c>
      <c r="I1213" s="20">
        <v>0</v>
      </c>
      <c r="J1213" s="17">
        <v>4</v>
      </c>
      <c r="K1213" s="17">
        <f t="shared" si="974"/>
        <v>32005</v>
      </c>
      <c r="L1213" s="17" t="s">
        <v>221</v>
      </c>
      <c r="M1213" s="17" t="str">
        <f t="shared" si="979"/>
        <v>2:10001:50</v>
      </c>
      <c r="N1213" s="16" t="str">
        <f t="shared" si="920"/>
        <v>121:1</v>
      </c>
      <c r="O1213" s="17">
        <f t="shared" si="926"/>
        <v>1</v>
      </c>
      <c r="P1213" s="21" t="str">
        <f t="shared" si="975"/>
        <v>所有弓兵生命增加:1</v>
      </c>
      <c r="Q1213" s="21"/>
      <c r="R1213" t="str">
        <f t="shared" si="980"/>
        <v>生命</v>
      </c>
      <c r="T1213" t="str">
        <f t="shared" si="981"/>
        <v>:1</v>
      </c>
      <c r="U1213" t="str">
        <f t="shared" si="917"/>
        <v>弓兵</v>
      </c>
      <c r="V1213" t="s">
        <v>4552</v>
      </c>
      <c r="W1213">
        <f>属性类型!G1213</f>
        <v>121</v>
      </c>
      <c r="X1213">
        <v>1</v>
      </c>
    </row>
    <row r="1214" customFormat="1" ht="16.5" spans="1:24">
      <c r="A1214" s="17">
        <f t="shared" si="976"/>
        <v>32005</v>
      </c>
      <c r="B1214" s="17">
        <f t="shared" si="947"/>
        <v>32000</v>
      </c>
      <c r="C1214" s="17" t="str">
        <f t="shared" si="973"/>
        <v>3</v>
      </c>
      <c r="D1214" s="17">
        <f t="shared" si="948"/>
        <v>30003</v>
      </c>
      <c r="E1214" s="17">
        <v>1</v>
      </c>
      <c r="F1214" s="17">
        <f t="shared" si="924"/>
        <v>3</v>
      </c>
      <c r="G1214" s="17" t="str">
        <f t="shared" si="977"/>
        <v>高级生命</v>
      </c>
      <c r="H1214" s="17" t="str">
        <f t="shared" si="978"/>
        <v>icon_01</v>
      </c>
      <c r="I1214" s="20">
        <v>0</v>
      </c>
      <c r="J1214" s="17">
        <v>5</v>
      </c>
      <c r="K1214" s="17">
        <f t="shared" si="974"/>
        <v>32006</v>
      </c>
      <c r="L1214" s="17" t="s">
        <v>224</v>
      </c>
      <c r="M1214" s="17" t="str">
        <f t="shared" si="979"/>
        <v>2:10001:50</v>
      </c>
      <c r="N1214" s="16" t="str">
        <f t="shared" si="920"/>
        <v>121:1</v>
      </c>
      <c r="O1214" s="17">
        <f t="shared" si="926"/>
        <v>1</v>
      </c>
      <c r="P1214" s="21" t="str">
        <f t="shared" si="975"/>
        <v>所有弓兵生命增加:1</v>
      </c>
      <c r="Q1214" s="21"/>
      <c r="R1214" t="str">
        <f t="shared" si="980"/>
        <v>生命</v>
      </c>
      <c r="T1214" t="str">
        <f t="shared" si="981"/>
        <v>:1</v>
      </c>
      <c r="U1214" t="str">
        <f t="shared" si="917"/>
        <v>弓兵</v>
      </c>
      <c r="V1214" t="s">
        <v>4552</v>
      </c>
      <c r="W1214">
        <f>属性类型!G1214</f>
        <v>121</v>
      </c>
      <c r="X1214">
        <v>1</v>
      </c>
    </row>
    <row r="1215" customFormat="1" ht="16.5" spans="1:24">
      <c r="A1215" s="17">
        <f t="shared" si="976"/>
        <v>32006</v>
      </c>
      <c r="B1215" s="17">
        <f t="shared" si="947"/>
        <v>32000</v>
      </c>
      <c r="C1215" s="17" t="str">
        <f t="shared" si="973"/>
        <v>3</v>
      </c>
      <c r="D1215" s="17">
        <f t="shared" si="948"/>
        <v>30003</v>
      </c>
      <c r="E1215" s="17">
        <v>1</v>
      </c>
      <c r="F1215" s="17">
        <f t="shared" si="924"/>
        <v>3</v>
      </c>
      <c r="G1215" s="17" t="str">
        <f t="shared" si="977"/>
        <v>高级生命</v>
      </c>
      <c r="H1215" s="17" t="str">
        <f t="shared" si="978"/>
        <v>icon_01</v>
      </c>
      <c r="I1215" s="20">
        <v>0</v>
      </c>
      <c r="J1215" s="17">
        <v>6</v>
      </c>
      <c r="K1215" s="17">
        <f t="shared" si="974"/>
        <v>32007</v>
      </c>
      <c r="L1215" s="17" t="s">
        <v>227</v>
      </c>
      <c r="M1215" s="17" t="str">
        <f t="shared" si="979"/>
        <v>2:10001:50</v>
      </c>
      <c r="N1215" s="16" t="str">
        <f t="shared" si="920"/>
        <v>121:1</v>
      </c>
      <c r="O1215" s="17">
        <f t="shared" si="926"/>
        <v>1</v>
      </c>
      <c r="P1215" s="21" t="str">
        <f t="shared" si="975"/>
        <v>所有弓兵生命增加:1</v>
      </c>
      <c r="Q1215" s="21"/>
      <c r="R1215" t="str">
        <f t="shared" si="980"/>
        <v>生命</v>
      </c>
      <c r="T1215" t="str">
        <f t="shared" si="981"/>
        <v>:1</v>
      </c>
      <c r="U1215" t="str">
        <f t="shared" si="917"/>
        <v>弓兵</v>
      </c>
      <c r="V1215" t="s">
        <v>4552</v>
      </c>
      <c r="W1215">
        <f>属性类型!G1215</f>
        <v>121</v>
      </c>
      <c r="X1215">
        <v>1</v>
      </c>
    </row>
    <row r="1216" customFormat="1" ht="16.5" spans="1:24">
      <c r="A1216" s="17">
        <f t="shared" si="976"/>
        <v>32007</v>
      </c>
      <c r="B1216" s="17">
        <f t="shared" si="947"/>
        <v>32000</v>
      </c>
      <c r="C1216" s="17" t="str">
        <f t="shared" si="973"/>
        <v>3</v>
      </c>
      <c r="D1216" s="17">
        <f t="shared" si="948"/>
        <v>30003</v>
      </c>
      <c r="E1216" s="17">
        <v>1</v>
      </c>
      <c r="F1216" s="17">
        <f t="shared" si="924"/>
        <v>3</v>
      </c>
      <c r="G1216" s="17" t="str">
        <f t="shared" si="977"/>
        <v>高级生命</v>
      </c>
      <c r="H1216" s="17" t="str">
        <f t="shared" si="978"/>
        <v>icon_01</v>
      </c>
      <c r="I1216" s="20">
        <v>0</v>
      </c>
      <c r="J1216" s="17">
        <v>7</v>
      </c>
      <c r="K1216" s="17">
        <f t="shared" si="974"/>
        <v>32008</v>
      </c>
      <c r="L1216" s="17" t="s">
        <v>230</v>
      </c>
      <c r="M1216" s="17" t="str">
        <f t="shared" si="979"/>
        <v>2:10001:50</v>
      </c>
      <c r="N1216" s="16" t="str">
        <f t="shared" si="920"/>
        <v>121:1</v>
      </c>
      <c r="O1216" s="17">
        <f t="shared" si="926"/>
        <v>1</v>
      </c>
      <c r="P1216" s="21" t="str">
        <f t="shared" si="975"/>
        <v>所有弓兵生命增加:1</v>
      </c>
      <c r="Q1216" s="21"/>
      <c r="R1216" t="str">
        <f t="shared" si="980"/>
        <v>生命</v>
      </c>
      <c r="T1216" t="str">
        <f t="shared" si="981"/>
        <v>:1</v>
      </c>
      <c r="U1216" t="str">
        <f t="shared" si="917"/>
        <v>弓兵</v>
      </c>
      <c r="V1216" t="s">
        <v>4552</v>
      </c>
      <c r="W1216">
        <f>属性类型!G1216</f>
        <v>121</v>
      </c>
      <c r="X1216">
        <v>1</v>
      </c>
    </row>
    <row r="1217" customFormat="1" ht="16.5" spans="1:24">
      <c r="A1217" s="17">
        <f t="shared" si="976"/>
        <v>32008</v>
      </c>
      <c r="B1217" s="17">
        <f t="shared" si="947"/>
        <v>32000</v>
      </c>
      <c r="C1217" s="17" t="str">
        <f t="shared" si="973"/>
        <v>3</v>
      </c>
      <c r="D1217" s="17">
        <f t="shared" si="948"/>
        <v>30003</v>
      </c>
      <c r="E1217" s="17">
        <v>1</v>
      </c>
      <c r="F1217" s="17">
        <f t="shared" si="924"/>
        <v>3</v>
      </c>
      <c r="G1217" s="17" t="str">
        <f t="shared" si="977"/>
        <v>高级生命</v>
      </c>
      <c r="H1217" s="17" t="str">
        <f t="shared" si="978"/>
        <v>icon_01</v>
      </c>
      <c r="I1217" s="20">
        <v>0</v>
      </c>
      <c r="J1217" s="17">
        <v>8</v>
      </c>
      <c r="K1217" s="17">
        <f t="shared" si="974"/>
        <v>32009</v>
      </c>
      <c r="L1217" s="17" t="s">
        <v>233</v>
      </c>
      <c r="M1217" s="17" t="str">
        <f t="shared" si="979"/>
        <v>2:10001:50</v>
      </c>
      <c r="N1217" s="16" t="str">
        <f t="shared" si="920"/>
        <v>121:1</v>
      </c>
      <c r="O1217" s="17">
        <f t="shared" si="926"/>
        <v>1</v>
      </c>
      <c r="P1217" s="21" t="str">
        <f t="shared" si="975"/>
        <v>所有弓兵生命增加:1</v>
      </c>
      <c r="Q1217" s="21"/>
      <c r="R1217" t="str">
        <f t="shared" si="980"/>
        <v>生命</v>
      </c>
      <c r="T1217" t="str">
        <f t="shared" si="981"/>
        <v>:1</v>
      </c>
      <c r="U1217" t="str">
        <f t="shared" si="917"/>
        <v>弓兵</v>
      </c>
      <c r="V1217" t="s">
        <v>4552</v>
      </c>
      <c r="W1217">
        <f>属性类型!G1217</f>
        <v>121</v>
      </c>
      <c r="X1217">
        <v>1</v>
      </c>
    </row>
    <row r="1218" customFormat="1" ht="16.5" spans="1:24">
      <c r="A1218" s="17">
        <f t="shared" si="976"/>
        <v>32009</v>
      </c>
      <c r="B1218" s="17">
        <f t="shared" si="947"/>
        <v>32000</v>
      </c>
      <c r="C1218" s="17" t="str">
        <f t="shared" si="973"/>
        <v>3</v>
      </c>
      <c r="D1218" s="17">
        <f t="shared" si="948"/>
        <v>30003</v>
      </c>
      <c r="E1218" s="17">
        <v>1</v>
      </c>
      <c r="F1218" s="17">
        <f t="shared" si="924"/>
        <v>3</v>
      </c>
      <c r="G1218" s="17" t="str">
        <f t="shared" si="977"/>
        <v>高级生命</v>
      </c>
      <c r="H1218" s="17" t="str">
        <f t="shared" si="978"/>
        <v>icon_01</v>
      </c>
      <c r="I1218" s="20">
        <v>0</v>
      </c>
      <c r="J1218" s="17">
        <v>9</v>
      </c>
      <c r="K1218" s="17">
        <f t="shared" si="974"/>
        <v>32010</v>
      </c>
      <c r="L1218" s="17" t="s">
        <v>236</v>
      </c>
      <c r="M1218" s="17" t="str">
        <f t="shared" si="979"/>
        <v>2:10001:50</v>
      </c>
      <c r="N1218" s="16" t="str">
        <f t="shared" si="920"/>
        <v>121:1</v>
      </c>
      <c r="O1218" s="17">
        <f t="shared" si="926"/>
        <v>1</v>
      </c>
      <c r="P1218" s="21" t="str">
        <f t="shared" si="975"/>
        <v>所有弓兵生命增加:1</v>
      </c>
      <c r="Q1218" s="21"/>
      <c r="R1218" t="str">
        <f t="shared" si="980"/>
        <v>生命</v>
      </c>
      <c r="T1218" t="str">
        <f t="shared" si="981"/>
        <v>:1</v>
      </c>
      <c r="U1218" t="str">
        <f t="shared" si="917"/>
        <v>弓兵</v>
      </c>
      <c r="V1218" t="s">
        <v>4552</v>
      </c>
      <c r="W1218">
        <f>属性类型!G1218</f>
        <v>121</v>
      </c>
      <c r="X1218">
        <v>1</v>
      </c>
    </row>
    <row r="1219" customFormat="1" ht="16.5" spans="1:24">
      <c r="A1219" s="17">
        <f t="shared" si="976"/>
        <v>32010</v>
      </c>
      <c r="B1219" s="17">
        <f t="shared" si="947"/>
        <v>32000</v>
      </c>
      <c r="C1219" s="17" t="str">
        <f t="shared" si="973"/>
        <v>3</v>
      </c>
      <c r="D1219" s="17">
        <f t="shared" si="948"/>
        <v>30003</v>
      </c>
      <c r="E1219" s="17">
        <v>1</v>
      </c>
      <c r="F1219" s="17">
        <f t="shared" si="924"/>
        <v>3</v>
      </c>
      <c r="G1219" s="17" t="str">
        <f t="shared" si="977"/>
        <v>高级生命</v>
      </c>
      <c r="H1219" s="17" t="str">
        <f t="shared" si="978"/>
        <v>icon_01</v>
      </c>
      <c r="I1219" s="20">
        <v>0</v>
      </c>
      <c r="J1219" s="17">
        <v>10</v>
      </c>
      <c r="K1219" s="17">
        <f t="shared" si="974"/>
        <v>32011</v>
      </c>
      <c r="L1219" s="17" t="s">
        <v>238</v>
      </c>
      <c r="M1219" s="17" t="str">
        <f t="shared" si="979"/>
        <v>2:10001:50</v>
      </c>
      <c r="N1219" s="16" t="str">
        <f t="shared" si="920"/>
        <v>121:1</v>
      </c>
      <c r="O1219" s="17">
        <f t="shared" si="926"/>
        <v>1</v>
      </c>
      <c r="P1219" s="21" t="str">
        <f t="shared" si="975"/>
        <v>所有弓兵生命增加:1</v>
      </c>
      <c r="Q1219" s="21"/>
      <c r="R1219" t="str">
        <f t="shared" si="980"/>
        <v>生命</v>
      </c>
      <c r="T1219" t="str">
        <f t="shared" si="981"/>
        <v>:1</v>
      </c>
      <c r="U1219" t="str">
        <f t="shared" si="917"/>
        <v>弓兵</v>
      </c>
      <c r="V1219" t="s">
        <v>4552</v>
      </c>
      <c r="W1219">
        <f>属性类型!G1219</f>
        <v>121</v>
      </c>
      <c r="X1219">
        <v>1</v>
      </c>
    </row>
    <row r="1220" customFormat="1" ht="16.5" spans="1:24">
      <c r="A1220" s="17">
        <f t="shared" si="976"/>
        <v>32011</v>
      </c>
      <c r="B1220" s="17">
        <f t="shared" si="947"/>
        <v>32000</v>
      </c>
      <c r="C1220" s="17" t="str">
        <f t="shared" si="973"/>
        <v>3</v>
      </c>
      <c r="D1220" s="17">
        <f t="shared" si="948"/>
        <v>30003</v>
      </c>
      <c r="E1220" s="17">
        <v>1</v>
      </c>
      <c r="F1220" s="17">
        <f t="shared" si="924"/>
        <v>3</v>
      </c>
      <c r="G1220" s="17" t="str">
        <f t="shared" si="977"/>
        <v>高级生命</v>
      </c>
      <c r="H1220" s="17" t="str">
        <f t="shared" si="978"/>
        <v>icon_01</v>
      </c>
      <c r="I1220" s="20">
        <v>0</v>
      </c>
      <c r="J1220" s="17">
        <v>11</v>
      </c>
      <c r="K1220" s="17">
        <f t="shared" si="974"/>
        <v>32012</v>
      </c>
      <c r="L1220" s="17" t="s">
        <v>529</v>
      </c>
      <c r="M1220" s="17" t="str">
        <f t="shared" si="979"/>
        <v>2:10001:50</v>
      </c>
      <c r="N1220" s="16" t="str">
        <f t="shared" si="920"/>
        <v>121:1</v>
      </c>
      <c r="O1220" s="17">
        <f t="shared" si="926"/>
        <v>1</v>
      </c>
      <c r="P1220" s="21" t="str">
        <f t="shared" si="975"/>
        <v>所有弓兵生命增加:1</v>
      </c>
      <c r="Q1220" s="21"/>
      <c r="R1220" t="str">
        <f t="shared" si="980"/>
        <v>生命</v>
      </c>
      <c r="T1220" t="str">
        <f t="shared" si="981"/>
        <v>:1</v>
      </c>
      <c r="U1220" t="str">
        <f t="shared" si="917"/>
        <v>弓兵</v>
      </c>
      <c r="V1220" t="s">
        <v>4552</v>
      </c>
      <c r="W1220">
        <f>属性类型!G1220</f>
        <v>121</v>
      </c>
      <c r="X1220">
        <v>1</v>
      </c>
    </row>
    <row r="1221" customFormat="1" ht="16.5" spans="1:24">
      <c r="A1221" s="17">
        <f t="shared" si="976"/>
        <v>32012</v>
      </c>
      <c r="B1221" s="17">
        <f t="shared" si="947"/>
        <v>32000</v>
      </c>
      <c r="C1221" s="17" t="str">
        <f t="shared" si="973"/>
        <v>3</v>
      </c>
      <c r="D1221" s="17">
        <f t="shared" si="948"/>
        <v>30003</v>
      </c>
      <c r="E1221" s="17">
        <v>1</v>
      </c>
      <c r="F1221" s="17">
        <f t="shared" si="924"/>
        <v>3</v>
      </c>
      <c r="G1221" s="17" t="str">
        <f t="shared" si="977"/>
        <v>高级生命</v>
      </c>
      <c r="H1221" s="17" t="str">
        <f t="shared" si="978"/>
        <v>icon_01</v>
      </c>
      <c r="I1221" s="20">
        <v>0</v>
      </c>
      <c r="J1221" s="17">
        <v>12</v>
      </c>
      <c r="K1221" s="17">
        <f t="shared" si="974"/>
        <v>32013</v>
      </c>
      <c r="L1221" s="17" t="s">
        <v>532</v>
      </c>
      <c r="M1221" s="17" t="str">
        <f t="shared" si="979"/>
        <v>2:10001:50</v>
      </c>
      <c r="N1221" s="16" t="str">
        <f t="shared" si="920"/>
        <v>121:1</v>
      </c>
      <c r="O1221" s="17">
        <f t="shared" si="926"/>
        <v>1</v>
      </c>
      <c r="P1221" s="21" t="str">
        <f t="shared" si="975"/>
        <v>所有弓兵生命增加:1</v>
      </c>
      <c r="Q1221" s="21"/>
      <c r="R1221" t="str">
        <f t="shared" si="980"/>
        <v>生命</v>
      </c>
      <c r="T1221" t="str">
        <f t="shared" si="981"/>
        <v>:1</v>
      </c>
      <c r="U1221" t="str">
        <f t="shared" ref="U1221:U1284" si="982">MID(P1221,3,2)</f>
        <v>弓兵</v>
      </c>
      <c r="V1221" t="s">
        <v>4552</v>
      </c>
      <c r="W1221">
        <f>属性类型!G1221</f>
        <v>121</v>
      </c>
      <c r="X1221">
        <v>1</v>
      </c>
    </row>
    <row r="1222" customFormat="1" ht="16.5" spans="1:24">
      <c r="A1222" s="17">
        <f t="shared" si="976"/>
        <v>32013</v>
      </c>
      <c r="B1222" s="17">
        <f t="shared" si="947"/>
        <v>32000</v>
      </c>
      <c r="C1222" s="17" t="str">
        <f t="shared" si="973"/>
        <v>3</v>
      </c>
      <c r="D1222" s="17">
        <f t="shared" si="948"/>
        <v>30003</v>
      </c>
      <c r="E1222" s="17">
        <v>1</v>
      </c>
      <c r="F1222" s="17">
        <f t="shared" si="924"/>
        <v>3</v>
      </c>
      <c r="G1222" s="17" t="str">
        <f t="shared" si="977"/>
        <v>高级生命</v>
      </c>
      <c r="H1222" s="17" t="str">
        <f t="shared" si="978"/>
        <v>icon_01</v>
      </c>
      <c r="I1222" s="20">
        <v>0</v>
      </c>
      <c r="J1222" s="17">
        <v>13</v>
      </c>
      <c r="K1222" s="17">
        <f t="shared" si="974"/>
        <v>32014</v>
      </c>
      <c r="L1222" s="17" t="s">
        <v>535</v>
      </c>
      <c r="M1222" s="17" t="str">
        <f t="shared" si="979"/>
        <v>2:10001:50</v>
      </c>
      <c r="N1222" s="16" t="str">
        <f t="shared" si="920"/>
        <v>121:1</v>
      </c>
      <c r="O1222" s="17">
        <f t="shared" si="926"/>
        <v>1</v>
      </c>
      <c r="P1222" s="21" t="str">
        <f t="shared" si="975"/>
        <v>所有弓兵生命增加:1</v>
      </c>
      <c r="Q1222" s="21"/>
      <c r="R1222" t="str">
        <f t="shared" si="980"/>
        <v>生命</v>
      </c>
      <c r="T1222" t="str">
        <f t="shared" si="981"/>
        <v>:1</v>
      </c>
      <c r="U1222" t="str">
        <f t="shared" si="982"/>
        <v>弓兵</v>
      </c>
      <c r="V1222" t="s">
        <v>4552</v>
      </c>
      <c r="W1222">
        <f>属性类型!G1222</f>
        <v>121</v>
      </c>
      <c r="X1222">
        <v>1</v>
      </c>
    </row>
    <row r="1223" customFormat="1" ht="16.5" spans="1:24">
      <c r="A1223" s="17">
        <f t="shared" si="976"/>
        <v>32014</v>
      </c>
      <c r="B1223" s="17">
        <f t="shared" si="947"/>
        <v>32000</v>
      </c>
      <c r="C1223" s="17" t="str">
        <f t="shared" si="973"/>
        <v>3</v>
      </c>
      <c r="D1223" s="17">
        <f t="shared" si="948"/>
        <v>30003</v>
      </c>
      <c r="E1223" s="17">
        <v>1</v>
      </c>
      <c r="F1223" s="17">
        <f t="shared" si="924"/>
        <v>3</v>
      </c>
      <c r="G1223" s="17" t="str">
        <f t="shared" si="977"/>
        <v>高级生命</v>
      </c>
      <c r="H1223" s="17" t="str">
        <f t="shared" si="978"/>
        <v>icon_01</v>
      </c>
      <c r="I1223" s="20">
        <v>0</v>
      </c>
      <c r="J1223" s="17">
        <v>14</v>
      </c>
      <c r="K1223" s="17">
        <f t="shared" si="974"/>
        <v>32015</v>
      </c>
      <c r="L1223" s="17" t="s">
        <v>538</v>
      </c>
      <c r="M1223" s="17" t="str">
        <f t="shared" si="979"/>
        <v>2:10001:50</v>
      </c>
      <c r="N1223" s="16" t="str">
        <f t="shared" si="920"/>
        <v>121:1</v>
      </c>
      <c r="O1223" s="17">
        <f t="shared" si="926"/>
        <v>1</v>
      </c>
      <c r="P1223" s="21" t="str">
        <f t="shared" si="975"/>
        <v>所有弓兵生命增加:1</v>
      </c>
      <c r="Q1223" s="21"/>
      <c r="R1223" t="str">
        <f t="shared" si="980"/>
        <v>生命</v>
      </c>
      <c r="T1223" t="str">
        <f t="shared" si="981"/>
        <v>:1</v>
      </c>
      <c r="U1223" t="str">
        <f t="shared" si="982"/>
        <v>弓兵</v>
      </c>
      <c r="V1223" t="s">
        <v>4552</v>
      </c>
      <c r="W1223">
        <f>属性类型!G1223</f>
        <v>121</v>
      </c>
      <c r="X1223">
        <v>1</v>
      </c>
    </row>
    <row r="1224" customFormat="1" ht="16.5" spans="1:24">
      <c r="A1224" s="17">
        <f t="shared" si="976"/>
        <v>32015</v>
      </c>
      <c r="B1224" s="17">
        <f t="shared" si="947"/>
        <v>32000</v>
      </c>
      <c r="C1224" s="17" t="str">
        <f t="shared" si="973"/>
        <v>3</v>
      </c>
      <c r="D1224" s="17">
        <f t="shared" si="948"/>
        <v>30003</v>
      </c>
      <c r="E1224" s="17">
        <v>1</v>
      </c>
      <c r="F1224" s="17">
        <f t="shared" si="924"/>
        <v>3</v>
      </c>
      <c r="G1224" s="17" t="str">
        <f t="shared" si="977"/>
        <v>高级生命</v>
      </c>
      <c r="H1224" s="17" t="str">
        <f t="shared" si="978"/>
        <v>icon_01</v>
      </c>
      <c r="I1224" s="20">
        <v>0</v>
      </c>
      <c r="J1224" s="17">
        <v>15</v>
      </c>
      <c r="K1224" s="17">
        <v>0</v>
      </c>
      <c r="L1224" s="17" t="s">
        <v>540</v>
      </c>
      <c r="M1224" s="17" t="str">
        <f t="shared" si="979"/>
        <v>2:10001:50</v>
      </c>
      <c r="N1224" s="16" t="str">
        <f t="shared" si="920"/>
        <v>121:1</v>
      </c>
      <c r="O1224" s="17">
        <f t="shared" si="926"/>
        <v>1</v>
      </c>
      <c r="P1224" s="21" t="str">
        <f t="shared" si="975"/>
        <v>所有弓兵生命增加:1</v>
      </c>
      <c r="Q1224" s="21"/>
      <c r="R1224" t="str">
        <f t="shared" si="980"/>
        <v>生命</v>
      </c>
      <c r="T1224" t="str">
        <f t="shared" si="981"/>
        <v>:1</v>
      </c>
      <c r="U1224" t="str">
        <f t="shared" si="982"/>
        <v>弓兵</v>
      </c>
      <c r="V1224" t="s">
        <v>4552</v>
      </c>
      <c r="W1224">
        <f>属性类型!G1224</f>
        <v>121</v>
      </c>
      <c r="X1224">
        <v>1</v>
      </c>
    </row>
    <row r="1225" customFormat="1" ht="16.5" spans="1:24">
      <c r="A1225" s="18">
        <f>A1209+100</f>
        <v>32100</v>
      </c>
      <c r="B1225" s="18">
        <f t="shared" si="947"/>
        <v>32100</v>
      </c>
      <c r="C1225" s="18" t="str">
        <f t="shared" si="973"/>
        <v>3</v>
      </c>
      <c r="D1225" s="17">
        <f t="shared" si="948"/>
        <v>30003</v>
      </c>
      <c r="E1225" s="17">
        <v>1</v>
      </c>
      <c r="F1225" s="18">
        <f t="shared" si="924"/>
        <v>3</v>
      </c>
      <c r="G1225" s="18" t="s">
        <v>543</v>
      </c>
      <c r="H1225" s="18" t="s">
        <v>63</v>
      </c>
      <c r="I1225" s="20">
        <v>0</v>
      </c>
      <c r="J1225" s="18">
        <v>0</v>
      </c>
      <c r="K1225" s="18">
        <f t="shared" ref="K1225:K1239" si="983">A1226</f>
        <v>32101</v>
      </c>
      <c r="L1225" s="18" t="s">
        <v>206</v>
      </c>
      <c r="M1225" s="18" t="s">
        <v>545</v>
      </c>
      <c r="N1225" s="16" t="str">
        <f t="shared" si="920"/>
        <v>123:1</v>
      </c>
      <c r="O1225" s="18">
        <f t="shared" si="926"/>
        <v>2</v>
      </c>
      <c r="P1225" s="21" t="str">
        <f t="shared" si="975"/>
        <v>所有弓兵防御增加1</v>
      </c>
      <c r="Q1225" s="21"/>
      <c r="R1225" t="s">
        <v>4272</v>
      </c>
      <c r="T1225" t="str">
        <f>RIGHT(N1225,1)</f>
        <v>1</v>
      </c>
      <c r="U1225" t="str">
        <f t="shared" si="982"/>
        <v>弓兵</v>
      </c>
      <c r="V1225" t="s">
        <v>4553</v>
      </c>
      <c r="W1225">
        <f>属性类型!G1225</f>
        <v>123</v>
      </c>
      <c r="X1225">
        <v>1</v>
      </c>
    </row>
    <row r="1226" customFormat="1" ht="16.5" spans="1:24">
      <c r="A1226" s="17">
        <f t="shared" ref="A1226:A1240" si="984">A1225+1</f>
        <v>32101</v>
      </c>
      <c r="B1226" s="17">
        <f t="shared" si="947"/>
        <v>32100</v>
      </c>
      <c r="C1226" s="17" t="str">
        <f t="shared" si="973"/>
        <v>3</v>
      </c>
      <c r="D1226" s="17">
        <f t="shared" si="948"/>
        <v>30003</v>
      </c>
      <c r="E1226" s="17">
        <v>1</v>
      </c>
      <c r="F1226" s="17">
        <f t="shared" si="924"/>
        <v>3</v>
      </c>
      <c r="G1226" s="17" t="str">
        <f t="shared" ref="G1226:G1240" si="985">G1225</f>
        <v>高级防御</v>
      </c>
      <c r="H1226" s="17" t="str">
        <f t="shared" ref="H1226:H1240" si="986">H1225</f>
        <v>icon_02</v>
      </c>
      <c r="I1226" s="20">
        <v>0</v>
      </c>
      <c r="J1226" s="17">
        <v>1</v>
      </c>
      <c r="K1226" s="17">
        <f t="shared" si="983"/>
        <v>32102</v>
      </c>
      <c r="L1226" s="17" t="s">
        <v>211</v>
      </c>
      <c r="M1226" s="17" t="str">
        <f t="shared" ref="M1226:M1240" si="987">M1225</f>
        <v>1:12000:5</v>
      </c>
      <c r="N1226" s="16" t="str">
        <f t="shared" si="920"/>
        <v>123:1</v>
      </c>
      <c r="O1226" s="17">
        <f t="shared" si="926"/>
        <v>2</v>
      </c>
      <c r="P1226" s="21" t="str">
        <f t="shared" si="975"/>
        <v>所有弓兵防御增加:1</v>
      </c>
      <c r="Q1226" s="21"/>
      <c r="R1226" t="str">
        <f t="shared" ref="R1226:R1240" si="988">R1225</f>
        <v>防御</v>
      </c>
      <c r="T1226" t="str">
        <f t="shared" ref="T1226:T1240" si="989">RIGHT(N1226,2)</f>
        <v>:1</v>
      </c>
      <c r="U1226" t="str">
        <f t="shared" si="982"/>
        <v>弓兵</v>
      </c>
      <c r="V1226" t="s">
        <v>4553</v>
      </c>
      <c r="W1226">
        <f>属性类型!G1226</f>
        <v>123</v>
      </c>
      <c r="X1226">
        <v>1</v>
      </c>
    </row>
    <row r="1227" customFormat="1" ht="16.5" spans="1:24">
      <c r="A1227" s="17">
        <f t="shared" si="984"/>
        <v>32102</v>
      </c>
      <c r="B1227" s="17">
        <f t="shared" si="947"/>
        <v>32100</v>
      </c>
      <c r="C1227" s="17" t="str">
        <f t="shared" si="973"/>
        <v>3</v>
      </c>
      <c r="D1227" s="17">
        <f t="shared" si="948"/>
        <v>30003</v>
      </c>
      <c r="E1227" s="17">
        <v>1</v>
      </c>
      <c r="F1227" s="17">
        <f t="shared" si="924"/>
        <v>3</v>
      </c>
      <c r="G1227" s="17" t="str">
        <f t="shared" si="985"/>
        <v>高级防御</v>
      </c>
      <c r="H1227" s="17" t="str">
        <f t="shared" si="986"/>
        <v>icon_02</v>
      </c>
      <c r="I1227" s="20">
        <v>0</v>
      </c>
      <c r="J1227" s="17">
        <v>2</v>
      </c>
      <c r="K1227" s="17">
        <f t="shared" si="983"/>
        <v>32103</v>
      </c>
      <c r="L1227" s="17" t="s">
        <v>215</v>
      </c>
      <c r="M1227" s="17" t="str">
        <f t="shared" si="987"/>
        <v>1:12000:5</v>
      </c>
      <c r="N1227" s="16" t="str">
        <f t="shared" ref="N1227:N1290" si="990">W1227&amp;$W$2&amp;X1227</f>
        <v>123:1</v>
      </c>
      <c r="O1227" s="17">
        <f t="shared" si="926"/>
        <v>2</v>
      </c>
      <c r="P1227" s="21" t="str">
        <f t="shared" si="975"/>
        <v>所有弓兵防御增加:1</v>
      </c>
      <c r="Q1227" s="21"/>
      <c r="R1227" t="str">
        <f t="shared" si="988"/>
        <v>防御</v>
      </c>
      <c r="T1227" t="str">
        <f t="shared" si="989"/>
        <v>:1</v>
      </c>
      <c r="U1227" t="str">
        <f t="shared" si="982"/>
        <v>弓兵</v>
      </c>
      <c r="V1227" t="s">
        <v>4553</v>
      </c>
      <c r="W1227">
        <f>属性类型!G1227</f>
        <v>123</v>
      </c>
      <c r="X1227">
        <v>1</v>
      </c>
    </row>
    <row r="1228" customFormat="1" ht="16.5" spans="1:24">
      <c r="A1228" s="17">
        <f t="shared" si="984"/>
        <v>32103</v>
      </c>
      <c r="B1228" s="17">
        <f t="shared" si="947"/>
        <v>32100</v>
      </c>
      <c r="C1228" s="17" t="str">
        <f t="shared" si="973"/>
        <v>3</v>
      </c>
      <c r="D1228" s="17">
        <f t="shared" si="948"/>
        <v>30003</v>
      </c>
      <c r="E1228" s="17">
        <v>1</v>
      </c>
      <c r="F1228" s="17">
        <f t="shared" si="924"/>
        <v>3</v>
      </c>
      <c r="G1228" s="17" t="str">
        <f t="shared" si="985"/>
        <v>高级防御</v>
      </c>
      <c r="H1228" s="17" t="str">
        <f t="shared" si="986"/>
        <v>icon_02</v>
      </c>
      <c r="I1228" s="20">
        <v>0</v>
      </c>
      <c r="J1228" s="17">
        <v>3</v>
      </c>
      <c r="K1228" s="17">
        <f t="shared" si="983"/>
        <v>32104</v>
      </c>
      <c r="L1228" s="17" t="s">
        <v>218</v>
      </c>
      <c r="M1228" s="17" t="str">
        <f t="shared" si="987"/>
        <v>1:12000:5</v>
      </c>
      <c r="N1228" s="16" t="str">
        <f t="shared" si="990"/>
        <v>123:1</v>
      </c>
      <c r="O1228" s="17">
        <f t="shared" si="926"/>
        <v>2</v>
      </c>
      <c r="P1228" s="21" t="str">
        <f t="shared" si="975"/>
        <v>所有弓兵防御增加:1</v>
      </c>
      <c r="Q1228" s="21"/>
      <c r="R1228" t="str">
        <f t="shared" si="988"/>
        <v>防御</v>
      </c>
      <c r="T1228" t="str">
        <f t="shared" si="989"/>
        <v>:1</v>
      </c>
      <c r="U1228" t="str">
        <f t="shared" si="982"/>
        <v>弓兵</v>
      </c>
      <c r="V1228" t="s">
        <v>4553</v>
      </c>
      <c r="W1228">
        <f>属性类型!G1228</f>
        <v>123</v>
      </c>
      <c r="X1228">
        <v>1</v>
      </c>
    </row>
    <row r="1229" customFormat="1" ht="16.5" spans="1:24">
      <c r="A1229" s="17">
        <f t="shared" si="984"/>
        <v>32104</v>
      </c>
      <c r="B1229" s="17">
        <f t="shared" si="947"/>
        <v>32100</v>
      </c>
      <c r="C1229" s="17" t="str">
        <f t="shared" si="973"/>
        <v>3</v>
      </c>
      <c r="D1229" s="17">
        <f t="shared" si="948"/>
        <v>30003</v>
      </c>
      <c r="E1229" s="17">
        <v>1</v>
      </c>
      <c r="F1229" s="17">
        <f t="shared" si="924"/>
        <v>3</v>
      </c>
      <c r="G1229" s="17" t="str">
        <f t="shared" si="985"/>
        <v>高级防御</v>
      </c>
      <c r="H1229" s="17" t="str">
        <f t="shared" si="986"/>
        <v>icon_02</v>
      </c>
      <c r="I1229" s="20">
        <v>0</v>
      </c>
      <c r="J1229" s="17">
        <v>4</v>
      </c>
      <c r="K1229" s="17">
        <f t="shared" si="983"/>
        <v>32105</v>
      </c>
      <c r="L1229" s="17" t="s">
        <v>221</v>
      </c>
      <c r="M1229" s="17" t="str">
        <f t="shared" si="987"/>
        <v>1:12000:5</v>
      </c>
      <c r="N1229" s="16" t="str">
        <f t="shared" si="990"/>
        <v>123:1</v>
      </c>
      <c r="O1229" s="17">
        <f t="shared" si="926"/>
        <v>2</v>
      </c>
      <c r="P1229" s="21" t="str">
        <f t="shared" si="975"/>
        <v>所有弓兵防御增加:1</v>
      </c>
      <c r="Q1229" s="21"/>
      <c r="R1229" t="str">
        <f t="shared" si="988"/>
        <v>防御</v>
      </c>
      <c r="T1229" t="str">
        <f t="shared" si="989"/>
        <v>:1</v>
      </c>
      <c r="U1229" t="str">
        <f t="shared" si="982"/>
        <v>弓兵</v>
      </c>
      <c r="V1229" t="s">
        <v>4553</v>
      </c>
      <c r="W1229">
        <f>属性类型!G1229</f>
        <v>123</v>
      </c>
      <c r="X1229">
        <v>1</v>
      </c>
    </row>
    <row r="1230" customFormat="1" ht="16.5" spans="1:24">
      <c r="A1230" s="17">
        <f t="shared" si="984"/>
        <v>32105</v>
      </c>
      <c r="B1230" s="17">
        <f t="shared" si="947"/>
        <v>32100</v>
      </c>
      <c r="C1230" s="17" t="str">
        <f t="shared" si="973"/>
        <v>3</v>
      </c>
      <c r="D1230" s="17">
        <f t="shared" si="948"/>
        <v>30003</v>
      </c>
      <c r="E1230" s="17">
        <v>1</v>
      </c>
      <c r="F1230" s="17">
        <f t="shared" si="924"/>
        <v>3</v>
      </c>
      <c r="G1230" s="17" t="str">
        <f t="shared" si="985"/>
        <v>高级防御</v>
      </c>
      <c r="H1230" s="17" t="str">
        <f t="shared" si="986"/>
        <v>icon_02</v>
      </c>
      <c r="I1230" s="20">
        <v>0</v>
      </c>
      <c r="J1230" s="17">
        <v>5</v>
      </c>
      <c r="K1230" s="17">
        <f t="shared" si="983"/>
        <v>32106</v>
      </c>
      <c r="L1230" s="17" t="s">
        <v>224</v>
      </c>
      <c r="M1230" s="17" t="str">
        <f t="shared" si="987"/>
        <v>1:12000:5</v>
      </c>
      <c r="N1230" s="16" t="str">
        <f t="shared" si="990"/>
        <v>123:1</v>
      </c>
      <c r="O1230" s="17">
        <f t="shared" si="926"/>
        <v>2</v>
      </c>
      <c r="P1230" s="21" t="str">
        <f t="shared" si="975"/>
        <v>所有弓兵防御增加:1</v>
      </c>
      <c r="Q1230" s="21"/>
      <c r="R1230" t="str">
        <f t="shared" si="988"/>
        <v>防御</v>
      </c>
      <c r="T1230" t="str">
        <f t="shared" si="989"/>
        <v>:1</v>
      </c>
      <c r="U1230" t="str">
        <f t="shared" si="982"/>
        <v>弓兵</v>
      </c>
      <c r="V1230" t="s">
        <v>4553</v>
      </c>
      <c r="W1230">
        <f>属性类型!G1230</f>
        <v>123</v>
      </c>
      <c r="X1230">
        <v>1</v>
      </c>
    </row>
    <row r="1231" customFormat="1" ht="16.5" spans="1:24">
      <c r="A1231" s="17">
        <f t="shared" si="984"/>
        <v>32106</v>
      </c>
      <c r="B1231" s="17">
        <f t="shared" si="947"/>
        <v>32100</v>
      </c>
      <c r="C1231" s="17" t="str">
        <f t="shared" si="973"/>
        <v>3</v>
      </c>
      <c r="D1231" s="17">
        <f t="shared" si="948"/>
        <v>30003</v>
      </c>
      <c r="E1231" s="17">
        <v>1</v>
      </c>
      <c r="F1231" s="17">
        <f t="shared" si="924"/>
        <v>3</v>
      </c>
      <c r="G1231" s="17" t="str">
        <f t="shared" si="985"/>
        <v>高级防御</v>
      </c>
      <c r="H1231" s="17" t="str">
        <f t="shared" si="986"/>
        <v>icon_02</v>
      </c>
      <c r="I1231" s="20">
        <v>0</v>
      </c>
      <c r="J1231" s="17">
        <v>6</v>
      </c>
      <c r="K1231" s="17">
        <f t="shared" si="983"/>
        <v>32107</v>
      </c>
      <c r="L1231" s="17" t="s">
        <v>227</v>
      </c>
      <c r="M1231" s="17" t="str">
        <f t="shared" si="987"/>
        <v>1:12000:5</v>
      </c>
      <c r="N1231" s="16" t="str">
        <f t="shared" si="990"/>
        <v>123:1</v>
      </c>
      <c r="O1231" s="17">
        <f t="shared" si="926"/>
        <v>2</v>
      </c>
      <c r="P1231" s="21" t="str">
        <f t="shared" si="975"/>
        <v>所有弓兵防御增加:1</v>
      </c>
      <c r="Q1231" s="21"/>
      <c r="R1231" t="str">
        <f t="shared" si="988"/>
        <v>防御</v>
      </c>
      <c r="T1231" t="str">
        <f t="shared" si="989"/>
        <v>:1</v>
      </c>
      <c r="U1231" t="str">
        <f t="shared" si="982"/>
        <v>弓兵</v>
      </c>
      <c r="V1231" t="s">
        <v>4553</v>
      </c>
      <c r="W1231">
        <f>属性类型!G1231</f>
        <v>123</v>
      </c>
      <c r="X1231">
        <v>1</v>
      </c>
    </row>
    <row r="1232" customFormat="1" ht="16.5" spans="1:24">
      <c r="A1232" s="17">
        <f t="shared" si="984"/>
        <v>32107</v>
      </c>
      <c r="B1232" s="17">
        <f t="shared" si="947"/>
        <v>32100</v>
      </c>
      <c r="C1232" s="17" t="str">
        <f t="shared" si="973"/>
        <v>3</v>
      </c>
      <c r="D1232" s="17">
        <f t="shared" si="948"/>
        <v>30003</v>
      </c>
      <c r="E1232" s="17">
        <v>1</v>
      </c>
      <c r="F1232" s="17">
        <f t="shared" ref="F1232:F1295" si="991">MID(B1232,2,1)+1</f>
        <v>3</v>
      </c>
      <c r="G1232" s="17" t="str">
        <f t="shared" si="985"/>
        <v>高级防御</v>
      </c>
      <c r="H1232" s="17" t="str">
        <f t="shared" si="986"/>
        <v>icon_02</v>
      </c>
      <c r="I1232" s="20">
        <v>0</v>
      </c>
      <c r="J1232" s="17">
        <v>7</v>
      </c>
      <c r="K1232" s="17">
        <f t="shared" si="983"/>
        <v>32108</v>
      </c>
      <c r="L1232" s="17" t="s">
        <v>230</v>
      </c>
      <c r="M1232" s="17" t="str">
        <f t="shared" si="987"/>
        <v>1:12000:5</v>
      </c>
      <c r="N1232" s="16" t="str">
        <f t="shared" si="990"/>
        <v>123:1</v>
      </c>
      <c r="O1232" s="17">
        <f t="shared" ref="O1232:O1295" si="992">MID(A1232,3,1)+1</f>
        <v>2</v>
      </c>
      <c r="P1232" s="21" t="str">
        <f t="shared" si="975"/>
        <v>所有弓兵防御增加:1</v>
      </c>
      <c r="Q1232" s="21"/>
      <c r="R1232" t="str">
        <f t="shared" si="988"/>
        <v>防御</v>
      </c>
      <c r="T1232" t="str">
        <f t="shared" si="989"/>
        <v>:1</v>
      </c>
      <c r="U1232" t="str">
        <f t="shared" si="982"/>
        <v>弓兵</v>
      </c>
      <c r="V1232" t="s">
        <v>4553</v>
      </c>
      <c r="W1232">
        <f>属性类型!G1232</f>
        <v>123</v>
      </c>
      <c r="X1232">
        <v>1</v>
      </c>
    </row>
    <row r="1233" customFormat="1" ht="16.5" spans="1:24">
      <c r="A1233" s="17">
        <f t="shared" si="984"/>
        <v>32108</v>
      </c>
      <c r="B1233" s="17">
        <f t="shared" si="947"/>
        <v>32100</v>
      </c>
      <c r="C1233" s="17" t="str">
        <f t="shared" si="973"/>
        <v>3</v>
      </c>
      <c r="D1233" s="17">
        <f t="shared" si="948"/>
        <v>30003</v>
      </c>
      <c r="E1233" s="17">
        <v>1</v>
      </c>
      <c r="F1233" s="17">
        <f t="shared" si="991"/>
        <v>3</v>
      </c>
      <c r="G1233" s="17" t="str">
        <f t="shared" si="985"/>
        <v>高级防御</v>
      </c>
      <c r="H1233" s="17" t="str">
        <f t="shared" si="986"/>
        <v>icon_02</v>
      </c>
      <c r="I1233" s="20">
        <v>0</v>
      </c>
      <c r="J1233" s="17">
        <v>8</v>
      </c>
      <c r="K1233" s="17">
        <f t="shared" si="983"/>
        <v>32109</v>
      </c>
      <c r="L1233" s="17" t="s">
        <v>233</v>
      </c>
      <c r="M1233" s="17" t="str">
        <f t="shared" si="987"/>
        <v>1:12000:5</v>
      </c>
      <c r="N1233" s="16" t="str">
        <f t="shared" si="990"/>
        <v>123:1</v>
      </c>
      <c r="O1233" s="17">
        <f t="shared" si="992"/>
        <v>2</v>
      </c>
      <c r="P1233" s="21" t="str">
        <f t="shared" si="975"/>
        <v>所有弓兵防御增加:1</v>
      </c>
      <c r="Q1233" s="21"/>
      <c r="R1233" t="str">
        <f t="shared" si="988"/>
        <v>防御</v>
      </c>
      <c r="T1233" t="str">
        <f t="shared" si="989"/>
        <v>:1</v>
      </c>
      <c r="U1233" t="str">
        <f t="shared" si="982"/>
        <v>弓兵</v>
      </c>
      <c r="V1233" t="s">
        <v>4553</v>
      </c>
      <c r="W1233">
        <f>属性类型!G1233</f>
        <v>123</v>
      </c>
      <c r="X1233">
        <v>1</v>
      </c>
    </row>
    <row r="1234" customFormat="1" ht="16.5" spans="1:24">
      <c r="A1234" s="17">
        <f t="shared" si="984"/>
        <v>32109</v>
      </c>
      <c r="B1234" s="17">
        <f t="shared" si="947"/>
        <v>32100</v>
      </c>
      <c r="C1234" s="17" t="str">
        <f t="shared" si="973"/>
        <v>3</v>
      </c>
      <c r="D1234" s="17">
        <f t="shared" si="948"/>
        <v>30003</v>
      </c>
      <c r="E1234" s="17">
        <v>1</v>
      </c>
      <c r="F1234" s="17">
        <f t="shared" si="991"/>
        <v>3</v>
      </c>
      <c r="G1234" s="17" t="str">
        <f t="shared" si="985"/>
        <v>高级防御</v>
      </c>
      <c r="H1234" s="17" t="str">
        <f t="shared" si="986"/>
        <v>icon_02</v>
      </c>
      <c r="I1234" s="20">
        <v>0</v>
      </c>
      <c r="J1234" s="17">
        <v>9</v>
      </c>
      <c r="K1234" s="17">
        <f t="shared" si="983"/>
        <v>32110</v>
      </c>
      <c r="L1234" s="17" t="s">
        <v>236</v>
      </c>
      <c r="M1234" s="17" t="str">
        <f t="shared" si="987"/>
        <v>1:12000:5</v>
      </c>
      <c r="N1234" s="16" t="str">
        <f t="shared" si="990"/>
        <v>123:1</v>
      </c>
      <c r="O1234" s="17">
        <f t="shared" si="992"/>
        <v>2</v>
      </c>
      <c r="P1234" s="21" t="str">
        <f t="shared" si="975"/>
        <v>所有弓兵防御增加:1</v>
      </c>
      <c r="Q1234" s="21"/>
      <c r="R1234" t="str">
        <f t="shared" si="988"/>
        <v>防御</v>
      </c>
      <c r="T1234" t="str">
        <f t="shared" si="989"/>
        <v>:1</v>
      </c>
      <c r="U1234" t="str">
        <f t="shared" si="982"/>
        <v>弓兵</v>
      </c>
      <c r="V1234" t="s">
        <v>4553</v>
      </c>
      <c r="W1234">
        <f>属性类型!G1234</f>
        <v>123</v>
      </c>
      <c r="X1234">
        <v>1</v>
      </c>
    </row>
    <row r="1235" customFormat="1" ht="16.5" spans="1:24">
      <c r="A1235" s="17">
        <f t="shared" si="984"/>
        <v>32110</v>
      </c>
      <c r="B1235" s="17">
        <f t="shared" si="947"/>
        <v>32100</v>
      </c>
      <c r="C1235" s="17" t="str">
        <f t="shared" si="973"/>
        <v>3</v>
      </c>
      <c r="D1235" s="17">
        <f t="shared" si="948"/>
        <v>30003</v>
      </c>
      <c r="E1235" s="17">
        <v>1</v>
      </c>
      <c r="F1235" s="17">
        <f t="shared" si="991"/>
        <v>3</v>
      </c>
      <c r="G1235" s="17" t="str">
        <f t="shared" si="985"/>
        <v>高级防御</v>
      </c>
      <c r="H1235" s="17" t="str">
        <f t="shared" si="986"/>
        <v>icon_02</v>
      </c>
      <c r="I1235" s="20">
        <v>0</v>
      </c>
      <c r="J1235" s="17">
        <v>10</v>
      </c>
      <c r="K1235" s="17">
        <f t="shared" si="983"/>
        <v>32111</v>
      </c>
      <c r="L1235" s="17" t="s">
        <v>238</v>
      </c>
      <c r="M1235" s="17" t="str">
        <f t="shared" si="987"/>
        <v>1:12000:5</v>
      </c>
      <c r="N1235" s="16" t="str">
        <f t="shared" si="990"/>
        <v>123:1</v>
      </c>
      <c r="O1235" s="17">
        <f t="shared" si="992"/>
        <v>2</v>
      </c>
      <c r="P1235" s="21" t="str">
        <f t="shared" si="975"/>
        <v>所有弓兵防御增加:1</v>
      </c>
      <c r="Q1235" s="21"/>
      <c r="R1235" t="str">
        <f t="shared" si="988"/>
        <v>防御</v>
      </c>
      <c r="T1235" t="str">
        <f t="shared" si="989"/>
        <v>:1</v>
      </c>
      <c r="U1235" t="str">
        <f t="shared" si="982"/>
        <v>弓兵</v>
      </c>
      <c r="V1235" t="s">
        <v>4553</v>
      </c>
      <c r="W1235">
        <f>属性类型!G1235</f>
        <v>123</v>
      </c>
      <c r="X1235">
        <v>1</v>
      </c>
    </row>
    <row r="1236" customFormat="1" ht="16.5" spans="1:24">
      <c r="A1236" s="17">
        <f t="shared" si="984"/>
        <v>32111</v>
      </c>
      <c r="B1236" s="17">
        <f t="shared" si="947"/>
        <v>32100</v>
      </c>
      <c r="C1236" s="17" t="str">
        <f t="shared" si="973"/>
        <v>3</v>
      </c>
      <c r="D1236" s="17">
        <f t="shared" si="948"/>
        <v>30003</v>
      </c>
      <c r="E1236" s="17">
        <v>1</v>
      </c>
      <c r="F1236" s="17">
        <f t="shared" si="991"/>
        <v>3</v>
      </c>
      <c r="G1236" s="17" t="str">
        <f t="shared" si="985"/>
        <v>高级防御</v>
      </c>
      <c r="H1236" s="17" t="str">
        <f t="shared" si="986"/>
        <v>icon_02</v>
      </c>
      <c r="I1236" s="20">
        <v>0</v>
      </c>
      <c r="J1236" s="17">
        <v>11</v>
      </c>
      <c r="K1236" s="17">
        <f t="shared" si="983"/>
        <v>32112</v>
      </c>
      <c r="L1236" s="17" t="s">
        <v>529</v>
      </c>
      <c r="M1236" s="17" t="str">
        <f t="shared" si="987"/>
        <v>1:12000:5</v>
      </c>
      <c r="N1236" s="16" t="str">
        <f t="shared" si="990"/>
        <v>123:1</v>
      </c>
      <c r="O1236" s="17">
        <f t="shared" si="992"/>
        <v>2</v>
      </c>
      <c r="P1236" s="21" t="str">
        <f t="shared" si="975"/>
        <v>所有弓兵防御增加:1</v>
      </c>
      <c r="Q1236" s="21"/>
      <c r="R1236" t="str">
        <f t="shared" si="988"/>
        <v>防御</v>
      </c>
      <c r="T1236" t="str">
        <f t="shared" si="989"/>
        <v>:1</v>
      </c>
      <c r="U1236" t="str">
        <f t="shared" si="982"/>
        <v>弓兵</v>
      </c>
      <c r="V1236" t="s">
        <v>4553</v>
      </c>
      <c r="W1236">
        <f>属性类型!G1236</f>
        <v>123</v>
      </c>
      <c r="X1236">
        <v>1</v>
      </c>
    </row>
    <row r="1237" customFormat="1" ht="16.5" spans="1:24">
      <c r="A1237" s="17">
        <f t="shared" si="984"/>
        <v>32112</v>
      </c>
      <c r="B1237" s="17">
        <f t="shared" ref="B1237:B1300" si="993">ROUND(A1237,-2)</f>
        <v>32100</v>
      </c>
      <c r="C1237" s="17" t="str">
        <f t="shared" si="973"/>
        <v>3</v>
      </c>
      <c r="D1237" s="17">
        <f t="shared" ref="D1237:D1300" si="994">$A$934+F1237</f>
        <v>30003</v>
      </c>
      <c r="E1237" s="17">
        <v>1</v>
      </c>
      <c r="F1237" s="17">
        <f t="shared" si="991"/>
        <v>3</v>
      </c>
      <c r="G1237" s="17" t="str">
        <f t="shared" si="985"/>
        <v>高级防御</v>
      </c>
      <c r="H1237" s="17" t="str">
        <f t="shared" si="986"/>
        <v>icon_02</v>
      </c>
      <c r="I1237" s="20">
        <v>0</v>
      </c>
      <c r="J1237" s="17">
        <v>12</v>
      </c>
      <c r="K1237" s="17">
        <f t="shared" si="983"/>
        <v>32113</v>
      </c>
      <c r="L1237" s="17" t="s">
        <v>532</v>
      </c>
      <c r="M1237" s="17" t="str">
        <f t="shared" si="987"/>
        <v>1:12000:5</v>
      </c>
      <c r="N1237" s="16" t="str">
        <f t="shared" si="990"/>
        <v>123:1</v>
      </c>
      <c r="O1237" s="17">
        <f t="shared" si="992"/>
        <v>2</v>
      </c>
      <c r="P1237" s="21" t="str">
        <f t="shared" si="975"/>
        <v>所有弓兵防御增加:1</v>
      </c>
      <c r="Q1237" s="21"/>
      <c r="R1237" t="str">
        <f t="shared" si="988"/>
        <v>防御</v>
      </c>
      <c r="T1237" t="str">
        <f t="shared" si="989"/>
        <v>:1</v>
      </c>
      <c r="U1237" t="str">
        <f t="shared" si="982"/>
        <v>弓兵</v>
      </c>
      <c r="V1237" t="s">
        <v>4553</v>
      </c>
      <c r="W1237">
        <f>属性类型!G1237</f>
        <v>123</v>
      </c>
      <c r="X1237">
        <v>1</v>
      </c>
    </row>
    <row r="1238" customFormat="1" ht="16.5" spans="1:24">
      <c r="A1238" s="17">
        <f t="shared" si="984"/>
        <v>32113</v>
      </c>
      <c r="B1238" s="17">
        <f t="shared" si="993"/>
        <v>32100</v>
      </c>
      <c r="C1238" s="17" t="str">
        <f t="shared" si="973"/>
        <v>3</v>
      </c>
      <c r="D1238" s="17">
        <f t="shared" si="994"/>
        <v>30003</v>
      </c>
      <c r="E1238" s="17">
        <v>1</v>
      </c>
      <c r="F1238" s="17">
        <f t="shared" si="991"/>
        <v>3</v>
      </c>
      <c r="G1238" s="17" t="str">
        <f t="shared" si="985"/>
        <v>高级防御</v>
      </c>
      <c r="H1238" s="17" t="str">
        <f t="shared" si="986"/>
        <v>icon_02</v>
      </c>
      <c r="I1238" s="20">
        <v>0</v>
      </c>
      <c r="J1238" s="17">
        <v>13</v>
      </c>
      <c r="K1238" s="17">
        <f t="shared" si="983"/>
        <v>32114</v>
      </c>
      <c r="L1238" s="17" t="s">
        <v>561</v>
      </c>
      <c r="M1238" s="17" t="str">
        <f t="shared" si="987"/>
        <v>1:12000:5</v>
      </c>
      <c r="N1238" s="16" t="str">
        <f t="shared" si="990"/>
        <v>123:1</v>
      </c>
      <c r="O1238" s="17">
        <f t="shared" si="992"/>
        <v>2</v>
      </c>
      <c r="P1238" s="21" t="str">
        <f t="shared" si="975"/>
        <v>所有弓兵防御增加:1</v>
      </c>
      <c r="Q1238" s="21"/>
      <c r="R1238" t="str">
        <f t="shared" si="988"/>
        <v>防御</v>
      </c>
      <c r="T1238" t="str">
        <f t="shared" si="989"/>
        <v>:1</v>
      </c>
      <c r="U1238" t="str">
        <f t="shared" si="982"/>
        <v>弓兵</v>
      </c>
      <c r="V1238" t="s">
        <v>4553</v>
      </c>
      <c r="W1238">
        <f>属性类型!G1238</f>
        <v>123</v>
      </c>
      <c r="X1238">
        <v>1</v>
      </c>
    </row>
    <row r="1239" customFormat="1" ht="16.5" spans="1:24">
      <c r="A1239" s="17">
        <f t="shared" si="984"/>
        <v>32114</v>
      </c>
      <c r="B1239" s="17">
        <f t="shared" si="993"/>
        <v>32100</v>
      </c>
      <c r="C1239" s="17" t="str">
        <f t="shared" si="973"/>
        <v>3</v>
      </c>
      <c r="D1239" s="17">
        <f t="shared" si="994"/>
        <v>30003</v>
      </c>
      <c r="E1239" s="17">
        <v>1</v>
      </c>
      <c r="F1239" s="17">
        <f t="shared" si="991"/>
        <v>3</v>
      </c>
      <c r="G1239" s="17" t="str">
        <f t="shared" si="985"/>
        <v>高级防御</v>
      </c>
      <c r="H1239" s="17" t="str">
        <f t="shared" si="986"/>
        <v>icon_02</v>
      </c>
      <c r="I1239" s="20">
        <v>0</v>
      </c>
      <c r="J1239" s="17">
        <v>14</v>
      </c>
      <c r="K1239" s="17">
        <f t="shared" si="983"/>
        <v>32115</v>
      </c>
      <c r="L1239" s="17" t="s">
        <v>564</v>
      </c>
      <c r="M1239" s="17" t="str">
        <f t="shared" si="987"/>
        <v>1:12000:5</v>
      </c>
      <c r="N1239" s="16" t="str">
        <f t="shared" si="990"/>
        <v>123:1</v>
      </c>
      <c r="O1239" s="17">
        <f t="shared" si="992"/>
        <v>2</v>
      </c>
      <c r="P1239" s="21" t="str">
        <f t="shared" si="975"/>
        <v>所有弓兵防御增加:1</v>
      </c>
      <c r="Q1239" s="21"/>
      <c r="R1239" t="str">
        <f t="shared" si="988"/>
        <v>防御</v>
      </c>
      <c r="T1239" t="str">
        <f t="shared" si="989"/>
        <v>:1</v>
      </c>
      <c r="U1239" t="str">
        <f t="shared" si="982"/>
        <v>弓兵</v>
      </c>
      <c r="V1239" t="s">
        <v>4553</v>
      </c>
      <c r="W1239">
        <f>属性类型!G1239</f>
        <v>123</v>
      </c>
      <c r="X1239">
        <v>1</v>
      </c>
    </row>
    <row r="1240" customFormat="1" ht="16.5" spans="1:24">
      <c r="A1240" s="17">
        <f t="shared" si="984"/>
        <v>32115</v>
      </c>
      <c r="B1240" s="17">
        <f t="shared" si="993"/>
        <v>32100</v>
      </c>
      <c r="C1240" s="17" t="str">
        <f t="shared" si="973"/>
        <v>3</v>
      </c>
      <c r="D1240" s="17">
        <f t="shared" si="994"/>
        <v>30003</v>
      </c>
      <c r="E1240" s="17">
        <v>1</v>
      </c>
      <c r="F1240" s="17">
        <f t="shared" si="991"/>
        <v>3</v>
      </c>
      <c r="G1240" s="17" t="str">
        <f t="shared" si="985"/>
        <v>高级防御</v>
      </c>
      <c r="H1240" s="17" t="str">
        <f t="shared" si="986"/>
        <v>icon_02</v>
      </c>
      <c r="I1240" s="20">
        <v>0</v>
      </c>
      <c r="J1240" s="17">
        <v>15</v>
      </c>
      <c r="K1240" s="17">
        <v>0</v>
      </c>
      <c r="L1240" s="17">
        <v>0</v>
      </c>
      <c r="M1240" s="17" t="str">
        <f t="shared" si="987"/>
        <v>1:12000:5</v>
      </c>
      <c r="N1240" s="16" t="str">
        <f t="shared" si="990"/>
        <v>123:1</v>
      </c>
      <c r="O1240" s="17">
        <f t="shared" si="992"/>
        <v>2</v>
      </c>
      <c r="P1240" s="21" t="str">
        <f t="shared" si="975"/>
        <v>所有弓兵防御增加:1</v>
      </c>
      <c r="Q1240" s="21"/>
      <c r="R1240" t="str">
        <f t="shared" si="988"/>
        <v>防御</v>
      </c>
      <c r="T1240" t="str">
        <f t="shared" si="989"/>
        <v>:1</v>
      </c>
      <c r="U1240" t="str">
        <f t="shared" si="982"/>
        <v>弓兵</v>
      </c>
      <c r="V1240" t="s">
        <v>4553</v>
      </c>
      <c r="W1240">
        <f>属性类型!G1240</f>
        <v>123</v>
      </c>
      <c r="X1240">
        <v>1</v>
      </c>
    </row>
    <row r="1241" customFormat="1" ht="16.5" spans="1:24">
      <c r="A1241" s="18">
        <f>A1225+100</f>
        <v>32200</v>
      </c>
      <c r="B1241" s="18">
        <f t="shared" si="993"/>
        <v>32200</v>
      </c>
      <c r="C1241" s="18" t="str">
        <f t="shared" si="973"/>
        <v>3</v>
      </c>
      <c r="D1241" s="17">
        <f t="shared" si="994"/>
        <v>30003</v>
      </c>
      <c r="E1241" s="17">
        <v>1</v>
      </c>
      <c r="F1241" s="18">
        <f t="shared" si="991"/>
        <v>3</v>
      </c>
      <c r="G1241" s="18" t="s">
        <v>568</v>
      </c>
      <c r="H1241" s="18" t="s">
        <v>80</v>
      </c>
      <c r="I1241" s="20">
        <v>0</v>
      </c>
      <c r="J1241" s="18">
        <v>0</v>
      </c>
      <c r="K1241" s="18">
        <f t="shared" ref="K1241:K1255" si="995">A1242</f>
        <v>32201</v>
      </c>
      <c r="L1241" s="18" t="s">
        <v>206</v>
      </c>
      <c r="M1241" s="18" t="s">
        <v>545</v>
      </c>
      <c r="N1241" s="16" t="str">
        <f t="shared" si="990"/>
        <v>122:1</v>
      </c>
      <c r="O1241" s="18">
        <f t="shared" si="992"/>
        <v>3</v>
      </c>
      <c r="P1241" s="21" t="str">
        <f t="shared" si="975"/>
        <v>所有弓兵攻击增加1</v>
      </c>
      <c r="Q1241" s="21"/>
      <c r="R1241" t="s">
        <v>4274</v>
      </c>
      <c r="T1241" t="str">
        <f>RIGHT(N1241,1)</f>
        <v>1</v>
      </c>
      <c r="U1241" t="str">
        <f t="shared" si="982"/>
        <v>弓兵</v>
      </c>
      <c r="V1241" t="s">
        <v>4554</v>
      </c>
      <c r="W1241">
        <f>属性类型!G1241</f>
        <v>122</v>
      </c>
      <c r="X1241">
        <v>1</v>
      </c>
    </row>
    <row r="1242" customFormat="1" ht="16.5" spans="1:24">
      <c r="A1242" s="17">
        <f t="shared" ref="A1242:A1256" si="996">A1241+1</f>
        <v>32201</v>
      </c>
      <c r="B1242" s="17">
        <f t="shared" si="993"/>
        <v>32200</v>
      </c>
      <c r="C1242" s="17" t="str">
        <f t="shared" si="973"/>
        <v>3</v>
      </c>
      <c r="D1242" s="17">
        <f t="shared" si="994"/>
        <v>30003</v>
      </c>
      <c r="E1242" s="17">
        <v>1</v>
      </c>
      <c r="F1242" s="17">
        <f t="shared" si="991"/>
        <v>3</v>
      </c>
      <c r="G1242" s="17" t="str">
        <f t="shared" ref="G1242:G1256" si="997">G1241</f>
        <v>高级攻击</v>
      </c>
      <c r="H1242" s="17" t="str">
        <f t="shared" ref="H1242:H1256" si="998">H1241</f>
        <v>icon_03</v>
      </c>
      <c r="I1242" s="20">
        <v>0</v>
      </c>
      <c r="J1242" s="17">
        <v>1</v>
      </c>
      <c r="K1242" s="17">
        <f t="shared" si="995"/>
        <v>32202</v>
      </c>
      <c r="L1242" s="17" t="s">
        <v>211</v>
      </c>
      <c r="M1242" s="17" t="str">
        <f t="shared" ref="M1242:M1256" si="999">M1241</f>
        <v>1:12000:5</v>
      </c>
      <c r="N1242" s="16" t="str">
        <f t="shared" si="990"/>
        <v>122:1</v>
      </c>
      <c r="O1242" s="17">
        <f t="shared" si="992"/>
        <v>3</v>
      </c>
      <c r="P1242" s="21" t="str">
        <f t="shared" si="975"/>
        <v>所有弓兵攻击增加:1</v>
      </c>
      <c r="Q1242" s="21"/>
      <c r="R1242" t="str">
        <f t="shared" ref="R1242:R1256" si="1000">R1241</f>
        <v>攻击</v>
      </c>
      <c r="T1242" t="str">
        <f t="shared" ref="T1242:T1256" si="1001">RIGHT(N1242,2)</f>
        <v>:1</v>
      </c>
      <c r="U1242" t="str">
        <f t="shared" si="982"/>
        <v>弓兵</v>
      </c>
      <c r="V1242" t="s">
        <v>4554</v>
      </c>
      <c r="W1242">
        <f>属性类型!G1242</f>
        <v>122</v>
      </c>
      <c r="X1242">
        <v>1</v>
      </c>
    </row>
    <row r="1243" customFormat="1" ht="16.5" spans="1:24">
      <c r="A1243" s="17">
        <f t="shared" si="996"/>
        <v>32202</v>
      </c>
      <c r="B1243" s="17">
        <f t="shared" si="993"/>
        <v>32200</v>
      </c>
      <c r="C1243" s="17" t="str">
        <f t="shared" si="973"/>
        <v>3</v>
      </c>
      <c r="D1243" s="17">
        <f t="shared" si="994"/>
        <v>30003</v>
      </c>
      <c r="E1243" s="17">
        <v>1</v>
      </c>
      <c r="F1243" s="17">
        <f t="shared" si="991"/>
        <v>3</v>
      </c>
      <c r="G1243" s="17" t="str">
        <f t="shared" si="997"/>
        <v>高级攻击</v>
      </c>
      <c r="H1243" s="17" t="str">
        <f t="shared" si="998"/>
        <v>icon_03</v>
      </c>
      <c r="I1243" s="20">
        <v>0</v>
      </c>
      <c r="J1243" s="17">
        <v>2</v>
      </c>
      <c r="K1243" s="17">
        <f t="shared" si="995"/>
        <v>32203</v>
      </c>
      <c r="L1243" s="17" t="s">
        <v>215</v>
      </c>
      <c r="M1243" s="17" t="str">
        <f t="shared" si="999"/>
        <v>1:12000:5</v>
      </c>
      <c r="N1243" s="16" t="str">
        <f t="shared" si="990"/>
        <v>122:1</v>
      </c>
      <c r="O1243" s="17">
        <f t="shared" si="992"/>
        <v>3</v>
      </c>
      <c r="P1243" s="21" t="str">
        <f t="shared" si="975"/>
        <v>所有弓兵攻击增加:1</v>
      </c>
      <c r="Q1243" s="21"/>
      <c r="R1243" t="str">
        <f t="shared" si="1000"/>
        <v>攻击</v>
      </c>
      <c r="T1243" t="str">
        <f t="shared" si="1001"/>
        <v>:1</v>
      </c>
      <c r="U1243" t="str">
        <f t="shared" si="982"/>
        <v>弓兵</v>
      </c>
      <c r="V1243" t="s">
        <v>4554</v>
      </c>
      <c r="W1243">
        <f>属性类型!G1243</f>
        <v>122</v>
      </c>
      <c r="X1243">
        <v>1</v>
      </c>
    </row>
    <row r="1244" customFormat="1" ht="16.5" spans="1:24">
      <c r="A1244" s="17">
        <f t="shared" si="996"/>
        <v>32203</v>
      </c>
      <c r="B1244" s="17">
        <f t="shared" si="993"/>
        <v>32200</v>
      </c>
      <c r="C1244" s="17" t="str">
        <f t="shared" si="973"/>
        <v>3</v>
      </c>
      <c r="D1244" s="17">
        <f t="shared" si="994"/>
        <v>30003</v>
      </c>
      <c r="E1244" s="17">
        <v>1</v>
      </c>
      <c r="F1244" s="17">
        <f t="shared" si="991"/>
        <v>3</v>
      </c>
      <c r="G1244" s="17" t="str">
        <f t="shared" si="997"/>
        <v>高级攻击</v>
      </c>
      <c r="H1244" s="17" t="str">
        <f t="shared" si="998"/>
        <v>icon_03</v>
      </c>
      <c r="I1244" s="20">
        <v>0</v>
      </c>
      <c r="J1244" s="17">
        <v>3</v>
      </c>
      <c r="K1244" s="17">
        <f t="shared" si="995"/>
        <v>32204</v>
      </c>
      <c r="L1244" s="17" t="s">
        <v>218</v>
      </c>
      <c r="M1244" s="17" t="str">
        <f t="shared" si="999"/>
        <v>1:12000:5</v>
      </c>
      <c r="N1244" s="16" t="str">
        <f t="shared" si="990"/>
        <v>122:1</v>
      </c>
      <c r="O1244" s="17">
        <f t="shared" si="992"/>
        <v>3</v>
      </c>
      <c r="P1244" s="21" t="str">
        <f t="shared" si="975"/>
        <v>所有弓兵攻击增加:1</v>
      </c>
      <c r="Q1244" s="21"/>
      <c r="R1244" t="str">
        <f t="shared" si="1000"/>
        <v>攻击</v>
      </c>
      <c r="T1244" t="str">
        <f t="shared" si="1001"/>
        <v>:1</v>
      </c>
      <c r="U1244" t="str">
        <f t="shared" si="982"/>
        <v>弓兵</v>
      </c>
      <c r="V1244" t="s">
        <v>4554</v>
      </c>
      <c r="W1244">
        <f>属性类型!G1244</f>
        <v>122</v>
      </c>
      <c r="X1244">
        <v>1</v>
      </c>
    </row>
    <row r="1245" customFormat="1" ht="16.5" spans="1:24">
      <c r="A1245" s="17">
        <f t="shared" si="996"/>
        <v>32204</v>
      </c>
      <c r="B1245" s="17">
        <f t="shared" si="993"/>
        <v>32200</v>
      </c>
      <c r="C1245" s="17" t="str">
        <f t="shared" si="973"/>
        <v>3</v>
      </c>
      <c r="D1245" s="17">
        <f t="shared" si="994"/>
        <v>30003</v>
      </c>
      <c r="E1245" s="17">
        <v>1</v>
      </c>
      <c r="F1245" s="17">
        <f t="shared" si="991"/>
        <v>3</v>
      </c>
      <c r="G1245" s="17" t="str">
        <f t="shared" si="997"/>
        <v>高级攻击</v>
      </c>
      <c r="H1245" s="17" t="str">
        <f t="shared" si="998"/>
        <v>icon_03</v>
      </c>
      <c r="I1245" s="20">
        <v>0</v>
      </c>
      <c r="J1245" s="17">
        <v>4</v>
      </c>
      <c r="K1245" s="17">
        <f t="shared" si="995"/>
        <v>32205</v>
      </c>
      <c r="L1245" s="17" t="s">
        <v>221</v>
      </c>
      <c r="M1245" s="17" t="str">
        <f t="shared" si="999"/>
        <v>1:12000:5</v>
      </c>
      <c r="N1245" s="16" t="str">
        <f t="shared" si="990"/>
        <v>122:1</v>
      </c>
      <c r="O1245" s="17">
        <f t="shared" si="992"/>
        <v>3</v>
      </c>
      <c r="P1245" s="21" t="str">
        <f t="shared" si="975"/>
        <v>所有弓兵攻击增加:1</v>
      </c>
      <c r="Q1245" s="21"/>
      <c r="R1245" t="str">
        <f t="shared" si="1000"/>
        <v>攻击</v>
      </c>
      <c r="T1245" t="str">
        <f t="shared" si="1001"/>
        <v>:1</v>
      </c>
      <c r="U1245" t="str">
        <f t="shared" si="982"/>
        <v>弓兵</v>
      </c>
      <c r="V1245" t="s">
        <v>4554</v>
      </c>
      <c r="W1245">
        <f>属性类型!G1245</f>
        <v>122</v>
      </c>
      <c r="X1245">
        <v>1</v>
      </c>
    </row>
    <row r="1246" customFormat="1" ht="16.5" spans="1:24">
      <c r="A1246" s="17">
        <f t="shared" si="996"/>
        <v>32205</v>
      </c>
      <c r="B1246" s="17">
        <f t="shared" si="993"/>
        <v>32200</v>
      </c>
      <c r="C1246" s="17" t="str">
        <f t="shared" si="973"/>
        <v>3</v>
      </c>
      <c r="D1246" s="17">
        <f t="shared" si="994"/>
        <v>30003</v>
      </c>
      <c r="E1246" s="17">
        <v>1</v>
      </c>
      <c r="F1246" s="17">
        <f t="shared" si="991"/>
        <v>3</v>
      </c>
      <c r="G1246" s="17" t="str">
        <f t="shared" si="997"/>
        <v>高级攻击</v>
      </c>
      <c r="H1246" s="17" t="str">
        <f t="shared" si="998"/>
        <v>icon_03</v>
      </c>
      <c r="I1246" s="20">
        <v>0</v>
      </c>
      <c r="J1246" s="17">
        <v>5</v>
      </c>
      <c r="K1246" s="17">
        <f t="shared" si="995"/>
        <v>32206</v>
      </c>
      <c r="L1246" s="17" t="s">
        <v>224</v>
      </c>
      <c r="M1246" s="17" t="str">
        <f t="shared" si="999"/>
        <v>1:12000:5</v>
      </c>
      <c r="N1246" s="16" t="str">
        <f t="shared" si="990"/>
        <v>122:1</v>
      </c>
      <c r="O1246" s="17">
        <f t="shared" si="992"/>
        <v>3</v>
      </c>
      <c r="P1246" s="21" t="str">
        <f t="shared" si="975"/>
        <v>所有弓兵攻击增加:1</v>
      </c>
      <c r="Q1246" s="21"/>
      <c r="R1246" t="str">
        <f t="shared" si="1000"/>
        <v>攻击</v>
      </c>
      <c r="T1246" t="str">
        <f t="shared" si="1001"/>
        <v>:1</v>
      </c>
      <c r="U1246" t="str">
        <f t="shared" si="982"/>
        <v>弓兵</v>
      </c>
      <c r="V1246" t="s">
        <v>4554</v>
      </c>
      <c r="W1246">
        <f>属性类型!G1246</f>
        <v>122</v>
      </c>
      <c r="X1246">
        <v>1</v>
      </c>
    </row>
    <row r="1247" customFormat="1" ht="16.5" spans="1:24">
      <c r="A1247" s="17">
        <f t="shared" si="996"/>
        <v>32206</v>
      </c>
      <c r="B1247" s="17">
        <f t="shared" si="993"/>
        <v>32200</v>
      </c>
      <c r="C1247" s="17" t="str">
        <f t="shared" si="973"/>
        <v>3</v>
      </c>
      <c r="D1247" s="17">
        <f t="shared" si="994"/>
        <v>30003</v>
      </c>
      <c r="E1247" s="17">
        <v>1</v>
      </c>
      <c r="F1247" s="17">
        <f t="shared" si="991"/>
        <v>3</v>
      </c>
      <c r="G1247" s="17" t="str">
        <f t="shared" si="997"/>
        <v>高级攻击</v>
      </c>
      <c r="H1247" s="17" t="str">
        <f t="shared" si="998"/>
        <v>icon_03</v>
      </c>
      <c r="I1247" s="20">
        <v>0</v>
      </c>
      <c r="J1247" s="17">
        <v>6</v>
      </c>
      <c r="K1247" s="17">
        <f t="shared" si="995"/>
        <v>32207</v>
      </c>
      <c r="L1247" s="17" t="s">
        <v>227</v>
      </c>
      <c r="M1247" s="17" t="str">
        <f t="shared" si="999"/>
        <v>1:12000:5</v>
      </c>
      <c r="N1247" s="16" t="str">
        <f t="shared" si="990"/>
        <v>122:1</v>
      </c>
      <c r="O1247" s="17">
        <f t="shared" si="992"/>
        <v>3</v>
      </c>
      <c r="P1247" s="21" t="str">
        <f t="shared" si="975"/>
        <v>所有弓兵攻击增加:1</v>
      </c>
      <c r="Q1247" s="21"/>
      <c r="R1247" t="str">
        <f t="shared" si="1000"/>
        <v>攻击</v>
      </c>
      <c r="T1247" t="str">
        <f t="shared" si="1001"/>
        <v>:1</v>
      </c>
      <c r="U1247" t="str">
        <f t="shared" si="982"/>
        <v>弓兵</v>
      </c>
      <c r="V1247" t="s">
        <v>4554</v>
      </c>
      <c r="W1247">
        <f>属性类型!G1247</f>
        <v>122</v>
      </c>
      <c r="X1247">
        <v>1</v>
      </c>
    </row>
    <row r="1248" customFormat="1" ht="16.5" spans="1:24">
      <c r="A1248" s="17">
        <f t="shared" si="996"/>
        <v>32207</v>
      </c>
      <c r="B1248" s="17">
        <f t="shared" si="993"/>
        <v>32200</v>
      </c>
      <c r="C1248" s="17" t="str">
        <f t="shared" si="973"/>
        <v>3</v>
      </c>
      <c r="D1248" s="17">
        <f t="shared" si="994"/>
        <v>30003</v>
      </c>
      <c r="E1248" s="17">
        <v>1</v>
      </c>
      <c r="F1248" s="17">
        <f t="shared" si="991"/>
        <v>3</v>
      </c>
      <c r="G1248" s="17" t="str">
        <f t="shared" si="997"/>
        <v>高级攻击</v>
      </c>
      <c r="H1248" s="17" t="str">
        <f t="shared" si="998"/>
        <v>icon_03</v>
      </c>
      <c r="I1248" s="20">
        <v>0</v>
      </c>
      <c r="J1248" s="17">
        <v>7</v>
      </c>
      <c r="K1248" s="17">
        <f t="shared" si="995"/>
        <v>32208</v>
      </c>
      <c r="L1248" s="17" t="s">
        <v>230</v>
      </c>
      <c r="M1248" s="17" t="str">
        <f t="shared" si="999"/>
        <v>1:12000:5</v>
      </c>
      <c r="N1248" s="16" t="str">
        <f t="shared" si="990"/>
        <v>122:1</v>
      </c>
      <c r="O1248" s="17">
        <f t="shared" si="992"/>
        <v>3</v>
      </c>
      <c r="P1248" s="21" t="str">
        <f t="shared" si="975"/>
        <v>所有弓兵攻击增加:1</v>
      </c>
      <c r="Q1248" s="21"/>
      <c r="R1248" t="str">
        <f t="shared" si="1000"/>
        <v>攻击</v>
      </c>
      <c r="T1248" t="str">
        <f t="shared" si="1001"/>
        <v>:1</v>
      </c>
      <c r="U1248" t="str">
        <f t="shared" si="982"/>
        <v>弓兵</v>
      </c>
      <c r="V1248" t="s">
        <v>4554</v>
      </c>
      <c r="W1248">
        <f>属性类型!G1248</f>
        <v>122</v>
      </c>
      <c r="X1248">
        <v>1</v>
      </c>
    </row>
    <row r="1249" customFormat="1" ht="16.5" spans="1:24">
      <c r="A1249" s="17">
        <f t="shared" si="996"/>
        <v>32208</v>
      </c>
      <c r="B1249" s="17">
        <f t="shared" si="993"/>
        <v>32200</v>
      </c>
      <c r="C1249" s="17" t="str">
        <f t="shared" si="973"/>
        <v>3</v>
      </c>
      <c r="D1249" s="17">
        <f t="shared" si="994"/>
        <v>30003</v>
      </c>
      <c r="E1249" s="17">
        <v>1</v>
      </c>
      <c r="F1249" s="17">
        <f t="shared" si="991"/>
        <v>3</v>
      </c>
      <c r="G1249" s="17" t="str">
        <f t="shared" si="997"/>
        <v>高级攻击</v>
      </c>
      <c r="H1249" s="17" t="str">
        <f t="shared" si="998"/>
        <v>icon_03</v>
      </c>
      <c r="I1249" s="20">
        <v>0</v>
      </c>
      <c r="J1249" s="17">
        <v>8</v>
      </c>
      <c r="K1249" s="17">
        <f t="shared" si="995"/>
        <v>32209</v>
      </c>
      <c r="L1249" s="17" t="s">
        <v>233</v>
      </c>
      <c r="M1249" s="17" t="str">
        <f t="shared" si="999"/>
        <v>1:12000:5</v>
      </c>
      <c r="N1249" s="16" t="str">
        <f t="shared" si="990"/>
        <v>122:1</v>
      </c>
      <c r="O1249" s="17">
        <f t="shared" si="992"/>
        <v>3</v>
      </c>
      <c r="P1249" s="21" t="str">
        <f t="shared" si="975"/>
        <v>所有弓兵攻击增加:1</v>
      </c>
      <c r="Q1249" s="21"/>
      <c r="R1249" t="str">
        <f t="shared" si="1000"/>
        <v>攻击</v>
      </c>
      <c r="T1249" t="str">
        <f t="shared" si="1001"/>
        <v>:1</v>
      </c>
      <c r="U1249" t="str">
        <f t="shared" si="982"/>
        <v>弓兵</v>
      </c>
      <c r="V1249" t="s">
        <v>4554</v>
      </c>
      <c r="W1249">
        <f>属性类型!G1249</f>
        <v>122</v>
      </c>
      <c r="X1249">
        <v>1</v>
      </c>
    </row>
    <row r="1250" customFormat="1" ht="16.5" spans="1:24">
      <c r="A1250" s="17">
        <f t="shared" si="996"/>
        <v>32209</v>
      </c>
      <c r="B1250" s="17">
        <f t="shared" si="993"/>
        <v>32200</v>
      </c>
      <c r="C1250" s="17" t="str">
        <f t="shared" si="973"/>
        <v>3</v>
      </c>
      <c r="D1250" s="17">
        <f t="shared" si="994"/>
        <v>30003</v>
      </c>
      <c r="E1250" s="17">
        <v>1</v>
      </c>
      <c r="F1250" s="17">
        <f t="shared" si="991"/>
        <v>3</v>
      </c>
      <c r="G1250" s="17" t="str">
        <f t="shared" si="997"/>
        <v>高级攻击</v>
      </c>
      <c r="H1250" s="17" t="str">
        <f t="shared" si="998"/>
        <v>icon_03</v>
      </c>
      <c r="I1250" s="20">
        <v>0</v>
      </c>
      <c r="J1250" s="17">
        <v>9</v>
      </c>
      <c r="K1250" s="17">
        <f t="shared" si="995"/>
        <v>32210</v>
      </c>
      <c r="L1250" s="17" t="s">
        <v>236</v>
      </c>
      <c r="M1250" s="17" t="str">
        <f t="shared" si="999"/>
        <v>1:12000:5</v>
      </c>
      <c r="N1250" s="16" t="str">
        <f t="shared" si="990"/>
        <v>122:1</v>
      </c>
      <c r="O1250" s="17">
        <f t="shared" si="992"/>
        <v>3</v>
      </c>
      <c r="P1250" s="21" t="str">
        <f t="shared" si="975"/>
        <v>所有弓兵攻击增加:1</v>
      </c>
      <c r="Q1250" s="21"/>
      <c r="R1250" t="str">
        <f t="shared" si="1000"/>
        <v>攻击</v>
      </c>
      <c r="T1250" t="str">
        <f t="shared" si="1001"/>
        <v>:1</v>
      </c>
      <c r="U1250" t="str">
        <f t="shared" si="982"/>
        <v>弓兵</v>
      </c>
      <c r="V1250" t="s">
        <v>4554</v>
      </c>
      <c r="W1250">
        <f>属性类型!G1250</f>
        <v>122</v>
      </c>
      <c r="X1250">
        <v>1</v>
      </c>
    </row>
    <row r="1251" customFormat="1" ht="16.5" spans="1:24">
      <c r="A1251" s="17">
        <f t="shared" si="996"/>
        <v>32210</v>
      </c>
      <c r="B1251" s="17">
        <f t="shared" si="993"/>
        <v>32200</v>
      </c>
      <c r="C1251" s="17" t="str">
        <f t="shared" si="973"/>
        <v>3</v>
      </c>
      <c r="D1251" s="17">
        <f t="shared" si="994"/>
        <v>30003</v>
      </c>
      <c r="E1251" s="17">
        <v>1</v>
      </c>
      <c r="F1251" s="17">
        <f t="shared" si="991"/>
        <v>3</v>
      </c>
      <c r="G1251" s="17" t="str">
        <f t="shared" si="997"/>
        <v>高级攻击</v>
      </c>
      <c r="H1251" s="17" t="str">
        <f t="shared" si="998"/>
        <v>icon_03</v>
      </c>
      <c r="I1251" s="20">
        <v>0</v>
      </c>
      <c r="J1251" s="17">
        <v>10</v>
      </c>
      <c r="K1251" s="17">
        <f t="shared" si="995"/>
        <v>32211</v>
      </c>
      <c r="L1251" s="17" t="s">
        <v>238</v>
      </c>
      <c r="M1251" s="17" t="str">
        <f t="shared" si="999"/>
        <v>1:12000:5</v>
      </c>
      <c r="N1251" s="16" t="str">
        <f t="shared" si="990"/>
        <v>122:1</v>
      </c>
      <c r="O1251" s="17">
        <f t="shared" si="992"/>
        <v>3</v>
      </c>
      <c r="P1251" s="21" t="str">
        <f t="shared" si="975"/>
        <v>所有弓兵攻击增加:1</v>
      </c>
      <c r="Q1251" s="21"/>
      <c r="R1251" t="str">
        <f t="shared" si="1000"/>
        <v>攻击</v>
      </c>
      <c r="T1251" t="str">
        <f t="shared" si="1001"/>
        <v>:1</v>
      </c>
      <c r="U1251" t="str">
        <f t="shared" si="982"/>
        <v>弓兵</v>
      </c>
      <c r="V1251" t="s">
        <v>4554</v>
      </c>
      <c r="W1251">
        <f>属性类型!G1251</f>
        <v>122</v>
      </c>
      <c r="X1251">
        <v>1</v>
      </c>
    </row>
    <row r="1252" customFormat="1" ht="16.5" spans="1:24">
      <c r="A1252" s="17">
        <f t="shared" si="996"/>
        <v>32211</v>
      </c>
      <c r="B1252" s="17">
        <f t="shared" si="993"/>
        <v>32200</v>
      </c>
      <c r="C1252" s="17" t="str">
        <f t="shared" si="973"/>
        <v>3</v>
      </c>
      <c r="D1252" s="17">
        <f t="shared" si="994"/>
        <v>30003</v>
      </c>
      <c r="E1252" s="17">
        <v>1</v>
      </c>
      <c r="F1252" s="17">
        <f t="shared" si="991"/>
        <v>3</v>
      </c>
      <c r="G1252" s="17" t="str">
        <f t="shared" si="997"/>
        <v>高级攻击</v>
      </c>
      <c r="H1252" s="17" t="str">
        <f t="shared" si="998"/>
        <v>icon_03</v>
      </c>
      <c r="I1252" s="20">
        <v>0</v>
      </c>
      <c r="J1252" s="17">
        <v>11</v>
      </c>
      <c r="K1252" s="17">
        <f t="shared" si="995"/>
        <v>32212</v>
      </c>
      <c r="L1252" s="17" t="s">
        <v>529</v>
      </c>
      <c r="M1252" s="17" t="str">
        <f t="shared" si="999"/>
        <v>1:12000:5</v>
      </c>
      <c r="N1252" s="16" t="str">
        <f t="shared" si="990"/>
        <v>122:1</v>
      </c>
      <c r="O1252" s="17">
        <f t="shared" si="992"/>
        <v>3</v>
      </c>
      <c r="P1252" s="21" t="str">
        <f t="shared" si="975"/>
        <v>所有弓兵攻击增加:1</v>
      </c>
      <c r="Q1252" s="21"/>
      <c r="R1252" t="str">
        <f t="shared" si="1000"/>
        <v>攻击</v>
      </c>
      <c r="T1252" t="str">
        <f t="shared" si="1001"/>
        <v>:1</v>
      </c>
      <c r="U1252" t="str">
        <f t="shared" si="982"/>
        <v>弓兵</v>
      </c>
      <c r="V1252" t="s">
        <v>4554</v>
      </c>
      <c r="W1252">
        <f>属性类型!G1252</f>
        <v>122</v>
      </c>
      <c r="X1252">
        <v>1</v>
      </c>
    </row>
    <row r="1253" customFormat="1" ht="16.5" spans="1:24">
      <c r="A1253" s="17">
        <f t="shared" si="996"/>
        <v>32212</v>
      </c>
      <c r="B1253" s="17">
        <f t="shared" si="993"/>
        <v>32200</v>
      </c>
      <c r="C1253" s="17" t="str">
        <f t="shared" si="973"/>
        <v>3</v>
      </c>
      <c r="D1253" s="17">
        <f t="shared" si="994"/>
        <v>30003</v>
      </c>
      <c r="E1253" s="17">
        <v>1</v>
      </c>
      <c r="F1253" s="17">
        <f t="shared" si="991"/>
        <v>3</v>
      </c>
      <c r="G1253" s="17" t="str">
        <f t="shared" si="997"/>
        <v>高级攻击</v>
      </c>
      <c r="H1253" s="17" t="str">
        <f t="shared" si="998"/>
        <v>icon_03</v>
      </c>
      <c r="I1253" s="20">
        <v>0</v>
      </c>
      <c r="J1253" s="17">
        <v>12</v>
      </c>
      <c r="K1253" s="17">
        <f t="shared" si="995"/>
        <v>32213</v>
      </c>
      <c r="L1253" s="17" t="s">
        <v>532</v>
      </c>
      <c r="M1253" s="17" t="str">
        <f t="shared" si="999"/>
        <v>1:12000:5</v>
      </c>
      <c r="N1253" s="16" t="str">
        <f t="shared" si="990"/>
        <v>122:1</v>
      </c>
      <c r="O1253" s="17">
        <f t="shared" si="992"/>
        <v>3</v>
      </c>
      <c r="P1253" s="21" t="str">
        <f t="shared" si="975"/>
        <v>所有弓兵攻击增加:1</v>
      </c>
      <c r="Q1253" s="21"/>
      <c r="R1253" t="str">
        <f t="shared" si="1000"/>
        <v>攻击</v>
      </c>
      <c r="T1253" t="str">
        <f t="shared" si="1001"/>
        <v>:1</v>
      </c>
      <c r="U1253" t="str">
        <f t="shared" si="982"/>
        <v>弓兵</v>
      </c>
      <c r="V1253" t="s">
        <v>4554</v>
      </c>
      <c r="W1253">
        <f>属性类型!G1253</f>
        <v>122</v>
      </c>
      <c r="X1253">
        <v>1</v>
      </c>
    </row>
    <row r="1254" customFormat="1" ht="16.5" spans="1:24">
      <c r="A1254" s="17">
        <f t="shared" si="996"/>
        <v>32213</v>
      </c>
      <c r="B1254" s="17">
        <f t="shared" si="993"/>
        <v>32200</v>
      </c>
      <c r="C1254" s="17" t="str">
        <f t="shared" si="973"/>
        <v>3</v>
      </c>
      <c r="D1254" s="17">
        <f t="shared" si="994"/>
        <v>30003</v>
      </c>
      <c r="E1254" s="17">
        <v>1</v>
      </c>
      <c r="F1254" s="17">
        <f t="shared" si="991"/>
        <v>3</v>
      </c>
      <c r="G1254" s="17" t="str">
        <f t="shared" si="997"/>
        <v>高级攻击</v>
      </c>
      <c r="H1254" s="17" t="str">
        <f t="shared" si="998"/>
        <v>icon_03</v>
      </c>
      <c r="I1254" s="20">
        <v>0</v>
      </c>
      <c r="J1254" s="17">
        <v>13</v>
      </c>
      <c r="K1254" s="17">
        <f t="shared" si="995"/>
        <v>32214</v>
      </c>
      <c r="L1254" s="17" t="s">
        <v>561</v>
      </c>
      <c r="M1254" s="17" t="str">
        <f t="shared" si="999"/>
        <v>1:12000:5</v>
      </c>
      <c r="N1254" s="16" t="str">
        <f t="shared" si="990"/>
        <v>122:1</v>
      </c>
      <c r="O1254" s="17">
        <f t="shared" si="992"/>
        <v>3</v>
      </c>
      <c r="P1254" s="21" t="str">
        <f t="shared" si="975"/>
        <v>所有弓兵攻击增加:1</v>
      </c>
      <c r="Q1254" s="21"/>
      <c r="R1254" t="str">
        <f t="shared" si="1000"/>
        <v>攻击</v>
      </c>
      <c r="T1254" t="str">
        <f t="shared" si="1001"/>
        <v>:1</v>
      </c>
      <c r="U1254" t="str">
        <f t="shared" si="982"/>
        <v>弓兵</v>
      </c>
      <c r="V1254" t="s">
        <v>4554</v>
      </c>
      <c r="W1254">
        <f>属性类型!G1254</f>
        <v>122</v>
      </c>
      <c r="X1254">
        <v>1</v>
      </c>
    </row>
    <row r="1255" customFormat="1" ht="16.5" spans="1:24">
      <c r="A1255" s="17">
        <f t="shared" si="996"/>
        <v>32214</v>
      </c>
      <c r="B1255" s="17">
        <f t="shared" si="993"/>
        <v>32200</v>
      </c>
      <c r="C1255" s="17" t="str">
        <f t="shared" si="973"/>
        <v>3</v>
      </c>
      <c r="D1255" s="17">
        <f t="shared" si="994"/>
        <v>30003</v>
      </c>
      <c r="E1255" s="17">
        <v>1</v>
      </c>
      <c r="F1255" s="17">
        <f t="shared" si="991"/>
        <v>3</v>
      </c>
      <c r="G1255" s="17" t="str">
        <f t="shared" si="997"/>
        <v>高级攻击</v>
      </c>
      <c r="H1255" s="17" t="str">
        <f t="shared" si="998"/>
        <v>icon_03</v>
      </c>
      <c r="I1255" s="20">
        <v>0</v>
      </c>
      <c r="J1255" s="17">
        <v>14</v>
      </c>
      <c r="K1255" s="17">
        <f t="shared" si="995"/>
        <v>32215</v>
      </c>
      <c r="L1255" s="17" t="s">
        <v>564</v>
      </c>
      <c r="M1255" s="17" t="str">
        <f t="shared" si="999"/>
        <v>1:12000:5</v>
      </c>
      <c r="N1255" s="16" t="str">
        <f t="shared" si="990"/>
        <v>122:1</v>
      </c>
      <c r="O1255" s="17">
        <f t="shared" si="992"/>
        <v>3</v>
      </c>
      <c r="P1255" s="21" t="str">
        <f t="shared" si="975"/>
        <v>所有弓兵攻击增加:1</v>
      </c>
      <c r="Q1255" s="21"/>
      <c r="R1255" t="str">
        <f t="shared" si="1000"/>
        <v>攻击</v>
      </c>
      <c r="T1255" t="str">
        <f t="shared" si="1001"/>
        <v>:1</v>
      </c>
      <c r="U1255" t="str">
        <f t="shared" si="982"/>
        <v>弓兵</v>
      </c>
      <c r="V1255" t="s">
        <v>4554</v>
      </c>
      <c r="W1255">
        <f>属性类型!G1255</f>
        <v>122</v>
      </c>
      <c r="X1255">
        <v>1</v>
      </c>
    </row>
    <row r="1256" customFormat="1" ht="16.5" spans="1:24">
      <c r="A1256" s="17">
        <f t="shared" si="996"/>
        <v>32215</v>
      </c>
      <c r="B1256" s="17">
        <f t="shared" si="993"/>
        <v>32200</v>
      </c>
      <c r="C1256" s="17" t="str">
        <f t="shared" si="973"/>
        <v>3</v>
      </c>
      <c r="D1256" s="17">
        <f t="shared" si="994"/>
        <v>30003</v>
      </c>
      <c r="E1256" s="17">
        <v>1</v>
      </c>
      <c r="F1256" s="17">
        <f t="shared" si="991"/>
        <v>3</v>
      </c>
      <c r="G1256" s="17" t="str">
        <f t="shared" si="997"/>
        <v>高级攻击</v>
      </c>
      <c r="H1256" s="17" t="str">
        <f t="shared" si="998"/>
        <v>icon_03</v>
      </c>
      <c r="I1256" s="20">
        <v>0</v>
      </c>
      <c r="J1256" s="17">
        <v>15</v>
      </c>
      <c r="K1256" s="17">
        <v>0</v>
      </c>
      <c r="L1256" s="17">
        <v>0</v>
      </c>
      <c r="M1256" s="17" t="str">
        <f t="shared" si="999"/>
        <v>1:12000:5</v>
      </c>
      <c r="N1256" s="16" t="str">
        <f t="shared" si="990"/>
        <v>122:1</v>
      </c>
      <c r="O1256" s="17">
        <f t="shared" si="992"/>
        <v>3</v>
      </c>
      <c r="P1256" s="21" t="str">
        <f t="shared" ref="P1256:P1319" si="1002">$R$3&amp;R1256&amp;$Q$1&amp;T1256</f>
        <v>所有弓兵攻击增加:1</v>
      </c>
      <c r="Q1256" s="21"/>
      <c r="R1256" t="str">
        <f t="shared" si="1000"/>
        <v>攻击</v>
      </c>
      <c r="T1256" t="str">
        <f t="shared" si="1001"/>
        <v>:1</v>
      </c>
      <c r="U1256" t="str">
        <f t="shared" si="982"/>
        <v>弓兵</v>
      </c>
      <c r="V1256" t="s">
        <v>4554</v>
      </c>
      <c r="W1256">
        <f>属性类型!G1256</f>
        <v>122</v>
      </c>
      <c r="X1256">
        <v>1</v>
      </c>
    </row>
    <row r="1257" customFormat="1" ht="16.5" spans="1:24">
      <c r="A1257" s="18">
        <f>A1241+100</f>
        <v>32300</v>
      </c>
      <c r="B1257" s="18">
        <f t="shared" si="993"/>
        <v>32300</v>
      </c>
      <c r="C1257" s="18" t="str">
        <f t="shared" si="973"/>
        <v>3</v>
      </c>
      <c r="D1257" s="17">
        <f t="shared" si="994"/>
        <v>30003</v>
      </c>
      <c r="E1257" s="17">
        <v>1</v>
      </c>
      <c r="F1257" s="18">
        <f t="shared" si="991"/>
        <v>3</v>
      </c>
      <c r="G1257" s="18" t="s">
        <v>590</v>
      </c>
      <c r="H1257" s="18" t="s">
        <v>96</v>
      </c>
      <c r="I1257" s="20">
        <v>0</v>
      </c>
      <c r="J1257" s="18">
        <v>0</v>
      </c>
      <c r="K1257" s="18">
        <f t="shared" ref="K1257:K1271" si="1003">A1258</f>
        <v>32301</v>
      </c>
      <c r="L1257" s="18" t="s">
        <v>206</v>
      </c>
      <c r="M1257" s="18" t="s">
        <v>545</v>
      </c>
      <c r="N1257" s="16" t="str">
        <f t="shared" si="990"/>
        <v>124:1</v>
      </c>
      <c r="O1257" s="18">
        <f t="shared" si="992"/>
        <v>4</v>
      </c>
      <c r="P1257" s="21" t="str">
        <f t="shared" si="1002"/>
        <v>所有弓兵魔防增加1</v>
      </c>
      <c r="Q1257" s="21"/>
      <c r="R1257" t="s">
        <v>4276</v>
      </c>
      <c r="T1257" t="str">
        <f>RIGHT(N1257,1)</f>
        <v>1</v>
      </c>
      <c r="U1257" t="str">
        <f t="shared" si="982"/>
        <v>弓兵</v>
      </c>
      <c r="V1257" t="s">
        <v>4555</v>
      </c>
      <c r="W1257">
        <f>属性类型!G1257</f>
        <v>124</v>
      </c>
      <c r="X1257">
        <v>1</v>
      </c>
    </row>
    <row r="1258" customFormat="1" ht="16.5" spans="1:24">
      <c r="A1258" s="17">
        <f t="shared" ref="A1258:A1272" si="1004">A1257+1</f>
        <v>32301</v>
      </c>
      <c r="B1258" s="17">
        <f t="shared" si="993"/>
        <v>32300</v>
      </c>
      <c r="C1258" s="17" t="str">
        <f t="shared" ref="C1258:C1321" si="1005">LEFT(A1258,1)</f>
        <v>3</v>
      </c>
      <c r="D1258" s="17">
        <f t="shared" si="994"/>
        <v>30003</v>
      </c>
      <c r="E1258" s="17">
        <v>1</v>
      </c>
      <c r="F1258" s="17">
        <f t="shared" si="991"/>
        <v>3</v>
      </c>
      <c r="G1258" s="17" t="str">
        <f t="shared" ref="G1258:G1272" si="1006">G1257</f>
        <v>高级魔防</v>
      </c>
      <c r="H1258" s="17" t="str">
        <f t="shared" ref="H1258:H1272" si="1007">H1257</f>
        <v>icon_04</v>
      </c>
      <c r="I1258" s="20">
        <v>0</v>
      </c>
      <c r="J1258" s="17">
        <v>1</v>
      </c>
      <c r="K1258" s="17">
        <f t="shared" si="1003"/>
        <v>32302</v>
      </c>
      <c r="L1258" s="17" t="s">
        <v>211</v>
      </c>
      <c r="M1258" s="17" t="str">
        <f t="shared" ref="M1258:M1272" si="1008">M1257</f>
        <v>1:12000:5</v>
      </c>
      <c r="N1258" s="16" t="str">
        <f t="shared" si="990"/>
        <v>124:1</v>
      </c>
      <c r="O1258" s="17">
        <f t="shared" si="992"/>
        <v>4</v>
      </c>
      <c r="P1258" s="21" t="str">
        <f t="shared" si="1002"/>
        <v>所有弓兵魔防增加:1</v>
      </c>
      <c r="Q1258" s="21"/>
      <c r="R1258" t="str">
        <f t="shared" ref="R1258:R1272" si="1009">R1257</f>
        <v>魔防</v>
      </c>
      <c r="T1258" t="str">
        <f t="shared" ref="T1258:T1272" si="1010">RIGHT(N1258,2)</f>
        <v>:1</v>
      </c>
      <c r="U1258" t="str">
        <f t="shared" si="982"/>
        <v>弓兵</v>
      </c>
      <c r="V1258" t="s">
        <v>4555</v>
      </c>
      <c r="W1258">
        <f>属性类型!G1258</f>
        <v>124</v>
      </c>
      <c r="X1258">
        <v>1</v>
      </c>
    </row>
    <row r="1259" customFormat="1" ht="16.5" spans="1:24">
      <c r="A1259" s="17">
        <f t="shared" si="1004"/>
        <v>32302</v>
      </c>
      <c r="B1259" s="17">
        <f t="shared" si="993"/>
        <v>32300</v>
      </c>
      <c r="C1259" s="17" t="str">
        <f t="shared" si="1005"/>
        <v>3</v>
      </c>
      <c r="D1259" s="17">
        <f t="shared" si="994"/>
        <v>30003</v>
      </c>
      <c r="E1259" s="17">
        <v>1</v>
      </c>
      <c r="F1259" s="17">
        <f t="shared" si="991"/>
        <v>3</v>
      </c>
      <c r="G1259" s="17" t="str">
        <f t="shared" si="1006"/>
        <v>高级魔防</v>
      </c>
      <c r="H1259" s="17" t="str">
        <f t="shared" si="1007"/>
        <v>icon_04</v>
      </c>
      <c r="I1259" s="20">
        <v>0</v>
      </c>
      <c r="J1259" s="17">
        <v>2</v>
      </c>
      <c r="K1259" s="17">
        <f t="shared" si="1003"/>
        <v>32303</v>
      </c>
      <c r="L1259" s="17" t="s">
        <v>215</v>
      </c>
      <c r="M1259" s="17" t="str">
        <f t="shared" si="1008"/>
        <v>1:12000:5</v>
      </c>
      <c r="N1259" s="16" t="str">
        <f t="shared" si="990"/>
        <v>124:1</v>
      </c>
      <c r="O1259" s="17">
        <f t="shared" si="992"/>
        <v>4</v>
      </c>
      <c r="P1259" s="21" t="str">
        <f t="shared" si="1002"/>
        <v>所有弓兵魔防增加:1</v>
      </c>
      <c r="Q1259" s="21"/>
      <c r="R1259" t="str">
        <f t="shared" si="1009"/>
        <v>魔防</v>
      </c>
      <c r="T1259" t="str">
        <f t="shared" si="1010"/>
        <v>:1</v>
      </c>
      <c r="U1259" t="str">
        <f t="shared" si="982"/>
        <v>弓兵</v>
      </c>
      <c r="V1259" t="s">
        <v>4555</v>
      </c>
      <c r="W1259">
        <f>属性类型!G1259</f>
        <v>124</v>
      </c>
      <c r="X1259">
        <v>1</v>
      </c>
    </row>
    <row r="1260" customFormat="1" ht="16.5" spans="1:24">
      <c r="A1260" s="17">
        <f t="shared" si="1004"/>
        <v>32303</v>
      </c>
      <c r="B1260" s="17">
        <f t="shared" si="993"/>
        <v>32300</v>
      </c>
      <c r="C1260" s="17" t="str">
        <f t="shared" si="1005"/>
        <v>3</v>
      </c>
      <c r="D1260" s="17">
        <f t="shared" si="994"/>
        <v>30003</v>
      </c>
      <c r="E1260" s="17">
        <v>1</v>
      </c>
      <c r="F1260" s="17">
        <f t="shared" si="991"/>
        <v>3</v>
      </c>
      <c r="G1260" s="17" t="str">
        <f t="shared" si="1006"/>
        <v>高级魔防</v>
      </c>
      <c r="H1260" s="17" t="str">
        <f t="shared" si="1007"/>
        <v>icon_04</v>
      </c>
      <c r="I1260" s="20">
        <v>0</v>
      </c>
      <c r="J1260" s="17">
        <v>3</v>
      </c>
      <c r="K1260" s="17">
        <f t="shared" si="1003"/>
        <v>32304</v>
      </c>
      <c r="L1260" s="17" t="s">
        <v>218</v>
      </c>
      <c r="M1260" s="17" t="str">
        <f t="shared" si="1008"/>
        <v>1:12000:5</v>
      </c>
      <c r="N1260" s="16" t="str">
        <f t="shared" si="990"/>
        <v>124:1</v>
      </c>
      <c r="O1260" s="17">
        <f t="shared" si="992"/>
        <v>4</v>
      </c>
      <c r="P1260" s="21" t="str">
        <f t="shared" si="1002"/>
        <v>所有弓兵魔防增加:1</v>
      </c>
      <c r="Q1260" s="21"/>
      <c r="R1260" t="str">
        <f t="shared" si="1009"/>
        <v>魔防</v>
      </c>
      <c r="T1260" t="str">
        <f t="shared" si="1010"/>
        <v>:1</v>
      </c>
      <c r="U1260" t="str">
        <f t="shared" si="982"/>
        <v>弓兵</v>
      </c>
      <c r="V1260" t="s">
        <v>4555</v>
      </c>
      <c r="W1260">
        <f>属性类型!G1260</f>
        <v>124</v>
      </c>
      <c r="X1260">
        <v>1</v>
      </c>
    </row>
    <row r="1261" customFormat="1" ht="16.5" spans="1:24">
      <c r="A1261" s="17">
        <f t="shared" si="1004"/>
        <v>32304</v>
      </c>
      <c r="B1261" s="17">
        <f t="shared" si="993"/>
        <v>32300</v>
      </c>
      <c r="C1261" s="17" t="str">
        <f t="shared" si="1005"/>
        <v>3</v>
      </c>
      <c r="D1261" s="17">
        <f t="shared" si="994"/>
        <v>30003</v>
      </c>
      <c r="E1261" s="17">
        <v>1</v>
      </c>
      <c r="F1261" s="17">
        <f t="shared" si="991"/>
        <v>3</v>
      </c>
      <c r="G1261" s="17" t="str">
        <f t="shared" si="1006"/>
        <v>高级魔防</v>
      </c>
      <c r="H1261" s="17" t="str">
        <f t="shared" si="1007"/>
        <v>icon_04</v>
      </c>
      <c r="I1261" s="20">
        <v>0</v>
      </c>
      <c r="J1261" s="17">
        <v>4</v>
      </c>
      <c r="K1261" s="17">
        <f t="shared" si="1003"/>
        <v>32305</v>
      </c>
      <c r="L1261" s="17" t="s">
        <v>221</v>
      </c>
      <c r="M1261" s="17" t="str">
        <f t="shared" si="1008"/>
        <v>1:12000:5</v>
      </c>
      <c r="N1261" s="16" t="str">
        <f t="shared" si="990"/>
        <v>124:1</v>
      </c>
      <c r="O1261" s="17">
        <f t="shared" si="992"/>
        <v>4</v>
      </c>
      <c r="P1261" s="21" t="str">
        <f t="shared" si="1002"/>
        <v>所有弓兵魔防增加:1</v>
      </c>
      <c r="Q1261" s="21"/>
      <c r="R1261" t="str">
        <f t="shared" si="1009"/>
        <v>魔防</v>
      </c>
      <c r="T1261" t="str">
        <f t="shared" si="1010"/>
        <v>:1</v>
      </c>
      <c r="U1261" t="str">
        <f t="shared" si="982"/>
        <v>弓兵</v>
      </c>
      <c r="V1261" t="s">
        <v>4555</v>
      </c>
      <c r="W1261">
        <f>属性类型!G1261</f>
        <v>124</v>
      </c>
      <c r="X1261">
        <v>1</v>
      </c>
    </row>
    <row r="1262" customFormat="1" ht="16.5" spans="1:24">
      <c r="A1262" s="17">
        <f t="shared" si="1004"/>
        <v>32305</v>
      </c>
      <c r="B1262" s="17">
        <f t="shared" si="993"/>
        <v>32300</v>
      </c>
      <c r="C1262" s="17" t="str">
        <f t="shared" si="1005"/>
        <v>3</v>
      </c>
      <c r="D1262" s="17">
        <f t="shared" si="994"/>
        <v>30003</v>
      </c>
      <c r="E1262" s="17">
        <v>1</v>
      </c>
      <c r="F1262" s="17">
        <f t="shared" si="991"/>
        <v>3</v>
      </c>
      <c r="G1262" s="17" t="str">
        <f t="shared" si="1006"/>
        <v>高级魔防</v>
      </c>
      <c r="H1262" s="17" t="str">
        <f t="shared" si="1007"/>
        <v>icon_04</v>
      </c>
      <c r="I1262" s="20">
        <v>0</v>
      </c>
      <c r="J1262" s="17">
        <v>5</v>
      </c>
      <c r="K1262" s="17">
        <f t="shared" si="1003"/>
        <v>32306</v>
      </c>
      <c r="L1262" s="17" t="s">
        <v>224</v>
      </c>
      <c r="M1262" s="17" t="str">
        <f t="shared" si="1008"/>
        <v>1:12000:5</v>
      </c>
      <c r="N1262" s="16" t="str">
        <f t="shared" si="990"/>
        <v>124:1</v>
      </c>
      <c r="O1262" s="17">
        <f t="shared" si="992"/>
        <v>4</v>
      </c>
      <c r="P1262" s="21" t="str">
        <f t="shared" si="1002"/>
        <v>所有弓兵魔防增加:1</v>
      </c>
      <c r="Q1262" s="21"/>
      <c r="R1262" t="str">
        <f t="shared" si="1009"/>
        <v>魔防</v>
      </c>
      <c r="T1262" t="str">
        <f t="shared" si="1010"/>
        <v>:1</v>
      </c>
      <c r="U1262" t="str">
        <f t="shared" si="982"/>
        <v>弓兵</v>
      </c>
      <c r="V1262" t="s">
        <v>4555</v>
      </c>
      <c r="W1262">
        <f>属性类型!G1262</f>
        <v>124</v>
      </c>
      <c r="X1262">
        <v>1</v>
      </c>
    </row>
    <row r="1263" customFormat="1" ht="16.5" spans="1:24">
      <c r="A1263" s="17">
        <f t="shared" si="1004"/>
        <v>32306</v>
      </c>
      <c r="B1263" s="17">
        <f t="shared" si="993"/>
        <v>32300</v>
      </c>
      <c r="C1263" s="17" t="str">
        <f t="shared" si="1005"/>
        <v>3</v>
      </c>
      <c r="D1263" s="17">
        <f t="shared" si="994"/>
        <v>30003</v>
      </c>
      <c r="E1263" s="17">
        <v>1</v>
      </c>
      <c r="F1263" s="17">
        <f t="shared" si="991"/>
        <v>3</v>
      </c>
      <c r="G1263" s="17" t="str">
        <f t="shared" si="1006"/>
        <v>高级魔防</v>
      </c>
      <c r="H1263" s="17" t="str">
        <f t="shared" si="1007"/>
        <v>icon_04</v>
      </c>
      <c r="I1263" s="20">
        <v>0</v>
      </c>
      <c r="J1263" s="17">
        <v>6</v>
      </c>
      <c r="K1263" s="17">
        <f t="shared" si="1003"/>
        <v>32307</v>
      </c>
      <c r="L1263" s="17" t="s">
        <v>227</v>
      </c>
      <c r="M1263" s="17" t="str">
        <f t="shared" si="1008"/>
        <v>1:12000:5</v>
      </c>
      <c r="N1263" s="16" t="str">
        <f t="shared" si="990"/>
        <v>124:1</v>
      </c>
      <c r="O1263" s="17">
        <f t="shared" si="992"/>
        <v>4</v>
      </c>
      <c r="P1263" s="21" t="str">
        <f t="shared" si="1002"/>
        <v>所有弓兵魔防增加:1</v>
      </c>
      <c r="Q1263" s="21"/>
      <c r="R1263" t="str">
        <f t="shared" si="1009"/>
        <v>魔防</v>
      </c>
      <c r="T1263" t="str">
        <f t="shared" si="1010"/>
        <v>:1</v>
      </c>
      <c r="U1263" t="str">
        <f t="shared" si="982"/>
        <v>弓兵</v>
      </c>
      <c r="V1263" t="s">
        <v>4555</v>
      </c>
      <c r="W1263">
        <f>属性类型!G1263</f>
        <v>124</v>
      </c>
      <c r="X1263">
        <v>1</v>
      </c>
    </row>
    <row r="1264" customFormat="1" ht="16.5" spans="1:24">
      <c r="A1264" s="17">
        <f t="shared" si="1004"/>
        <v>32307</v>
      </c>
      <c r="B1264" s="17">
        <f t="shared" si="993"/>
        <v>32300</v>
      </c>
      <c r="C1264" s="17" t="str">
        <f t="shared" si="1005"/>
        <v>3</v>
      </c>
      <c r="D1264" s="17">
        <f t="shared" si="994"/>
        <v>30003</v>
      </c>
      <c r="E1264" s="17">
        <v>1</v>
      </c>
      <c r="F1264" s="17">
        <f t="shared" si="991"/>
        <v>3</v>
      </c>
      <c r="G1264" s="17" t="str">
        <f t="shared" si="1006"/>
        <v>高级魔防</v>
      </c>
      <c r="H1264" s="17" t="str">
        <f t="shared" si="1007"/>
        <v>icon_04</v>
      </c>
      <c r="I1264" s="20">
        <v>0</v>
      </c>
      <c r="J1264" s="17">
        <v>7</v>
      </c>
      <c r="K1264" s="17">
        <f t="shared" si="1003"/>
        <v>32308</v>
      </c>
      <c r="L1264" s="17" t="s">
        <v>230</v>
      </c>
      <c r="M1264" s="17" t="str">
        <f t="shared" si="1008"/>
        <v>1:12000:5</v>
      </c>
      <c r="N1264" s="16" t="str">
        <f t="shared" si="990"/>
        <v>124:1</v>
      </c>
      <c r="O1264" s="17">
        <f t="shared" si="992"/>
        <v>4</v>
      </c>
      <c r="P1264" s="21" t="str">
        <f t="shared" si="1002"/>
        <v>所有弓兵魔防增加:1</v>
      </c>
      <c r="Q1264" s="21"/>
      <c r="R1264" t="str">
        <f t="shared" si="1009"/>
        <v>魔防</v>
      </c>
      <c r="T1264" t="str">
        <f t="shared" si="1010"/>
        <v>:1</v>
      </c>
      <c r="U1264" t="str">
        <f t="shared" si="982"/>
        <v>弓兵</v>
      </c>
      <c r="V1264" t="s">
        <v>4555</v>
      </c>
      <c r="W1264">
        <f>属性类型!G1264</f>
        <v>124</v>
      </c>
      <c r="X1264">
        <v>1</v>
      </c>
    </row>
    <row r="1265" customFormat="1" ht="16.5" spans="1:24">
      <c r="A1265" s="17">
        <f t="shared" si="1004"/>
        <v>32308</v>
      </c>
      <c r="B1265" s="17">
        <f t="shared" si="993"/>
        <v>32300</v>
      </c>
      <c r="C1265" s="17" t="str">
        <f t="shared" si="1005"/>
        <v>3</v>
      </c>
      <c r="D1265" s="17">
        <f t="shared" si="994"/>
        <v>30003</v>
      </c>
      <c r="E1265" s="17">
        <v>1</v>
      </c>
      <c r="F1265" s="17">
        <f t="shared" si="991"/>
        <v>3</v>
      </c>
      <c r="G1265" s="17" t="str">
        <f t="shared" si="1006"/>
        <v>高级魔防</v>
      </c>
      <c r="H1265" s="17" t="str">
        <f t="shared" si="1007"/>
        <v>icon_04</v>
      </c>
      <c r="I1265" s="20">
        <v>0</v>
      </c>
      <c r="J1265" s="17">
        <v>8</v>
      </c>
      <c r="K1265" s="17">
        <f t="shared" si="1003"/>
        <v>32309</v>
      </c>
      <c r="L1265" s="17" t="s">
        <v>233</v>
      </c>
      <c r="M1265" s="17" t="str">
        <f t="shared" si="1008"/>
        <v>1:12000:5</v>
      </c>
      <c r="N1265" s="16" t="str">
        <f t="shared" si="990"/>
        <v>124:1</v>
      </c>
      <c r="O1265" s="17">
        <f t="shared" si="992"/>
        <v>4</v>
      </c>
      <c r="P1265" s="21" t="str">
        <f t="shared" si="1002"/>
        <v>所有弓兵魔防增加:1</v>
      </c>
      <c r="Q1265" s="21"/>
      <c r="R1265" t="str">
        <f t="shared" si="1009"/>
        <v>魔防</v>
      </c>
      <c r="T1265" t="str">
        <f t="shared" si="1010"/>
        <v>:1</v>
      </c>
      <c r="U1265" t="str">
        <f t="shared" si="982"/>
        <v>弓兵</v>
      </c>
      <c r="V1265" t="s">
        <v>4555</v>
      </c>
      <c r="W1265">
        <f>属性类型!G1265</f>
        <v>124</v>
      </c>
      <c r="X1265">
        <v>1</v>
      </c>
    </row>
    <row r="1266" customFormat="1" ht="16.5" spans="1:24">
      <c r="A1266" s="17">
        <f t="shared" si="1004"/>
        <v>32309</v>
      </c>
      <c r="B1266" s="17">
        <f t="shared" si="993"/>
        <v>32300</v>
      </c>
      <c r="C1266" s="17" t="str">
        <f t="shared" si="1005"/>
        <v>3</v>
      </c>
      <c r="D1266" s="17">
        <f t="shared" si="994"/>
        <v>30003</v>
      </c>
      <c r="E1266" s="17">
        <v>1</v>
      </c>
      <c r="F1266" s="17">
        <f t="shared" si="991"/>
        <v>3</v>
      </c>
      <c r="G1266" s="17" t="str">
        <f t="shared" si="1006"/>
        <v>高级魔防</v>
      </c>
      <c r="H1266" s="17" t="str">
        <f t="shared" si="1007"/>
        <v>icon_04</v>
      </c>
      <c r="I1266" s="20">
        <v>0</v>
      </c>
      <c r="J1266" s="17">
        <v>9</v>
      </c>
      <c r="K1266" s="17">
        <f t="shared" si="1003"/>
        <v>32310</v>
      </c>
      <c r="L1266" s="17" t="s">
        <v>236</v>
      </c>
      <c r="M1266" s="17" t="str">
        <f t="shared" si="1008"/>
        <v>1:12000:5</v>
      </c>
      <c r="N1266" s="16" t="str">
        <f t="shared" si="990"/>
        <v>124:1</v>
      </c>
      <c r="O1266" s="17">
        <f t="shared" si="992"/>
        <v>4</v>
      </c>
      <c r="P1266" s="21" t="str">
        <f t="shared" si="1002"/>
        <v>所有弓兵魔防增加:1</v>
      </c>
      <c r="Q1266" s="21"/>
      <c r="R1266" t="str">
        <f t="shared" si="1009"/>
        <v>魔防</v>
      </c>
      <c r="T1266" t="str">
        <f t="shared" si="1010"/>
        <v>:1</v>
      </c>
      <c r="U1266" t="str">
        <f t="shared" si="982"/>
        <v>弓兵</v>
      </c>
      <c r="V1266" t="s">
        <v>4555</v>
      </c>
      <c r="W1266">
        <f>属性类型!G1266</f>
        <v>124</v>
      </c>
      <c r="X1266">
        <v>1</v>
      </c>
    </row>
    <row r="1267" customFormat="1" ht="16.5" spans="1:24">
      <c r="A1267" s="17">
        <f t="shared" si="1004"/>
        <v>32310</v>
      </c>
      <c r="B1267" s="17">
        <f t="shared" si="993"/>
        <v>32300</v>
      </c>
      <c r="C1267" s="17" t="str">
        <f t="shared" si="1005"/>
        <v>3</v>
      </c>
      <c r="D1267" s="17">
        <f t="shared" si="994"/>
        <v>30003</v>
      </c>
      <c r="E1267" s="17">
        <v>1</v>
      </c>
      <c r="F1267" s="17">
        <f t="shared" si="991"/>
        <v>3</v>
      </c>
      <c r="G1267" s="17" t="str">
        <f t="shared" si="1006"/>
        <v>高级魔防</v>
      </c>
      <c r="H1267" s="17" t="str">
        <f t="shared" si="1007"/>
        <v>icon_04</v>
      </c>
      <c r="I1267" s="20">
        <v>0</v>
      </c>
      <c r="J1267" s="17">
        <v>10</v>
      </c>
      <c r="K1267" s="17">
        <f t="shared" si="1003"/>
        <v>32311</v>
      </c>
      <c r="L1267" s="17" t="s">
        <v>238</v>
      </c>
      <c r="M1267" s="17" t="str">
        <f t="shared" si="1008"/>
        <v>1:12000:5</v>
      </c>
      <c r="N1267" s="16" t="str">
        <f t="shared" si="990"/>
        <v>124:1</v>
      </c>
      <c r="O1267" s="17">
        <f t="shared" si="992"/>
        <v>4</v>
      </c>
      <c r="P1267" s="21" t="str">
        <f t="shared" si="1002"/>
        <v>所有弓兵魔防增加:1</v>
      </c>
      <c r="Q1267" s="21"/>
      <c r="R1267" t="str">
        <f t="shared" si="1009"/>
        <v>魔防</v>
      </c>
      <c r="T1267" t="str">
        <f t="shared" si="1010"/>
        <v>:1</v>
      </c>
      <c r="U1267" t="str">
        <f t="shared" si="982"/>
        <v>弓兵</v>
      </c>
      <c r="V1267" t="s">
        <v>4555</v>
      </c>
      <c r="W1267">
        <f>属性类型!G1267</f>
        <v>124</v>
      </c>
      <c r="X1267">
        <v>1</v>
      </c>
    </row>
    <row r="1268" customFormat="1" ht="16.5" spans="1:24">
      <c r="A1268" s="17">
        <f t="shared" si="1004"/>
        <v>32311</v>
      </c>
      <c r="B1268" s="17">
        <f t="shared" si="993"/>
        <v>32300</v>
      </c>
      <c r="C1268" s="17" t="str">
        <f t="shared" si="1005"/>
        <v>3</v>
      </c>
      <c r="D1268" s="17">
        <f t="shared" si="994"/>
        <v>30003</v>
      </c>
      <c r="E1268" s="17">
        <v>1</v>
      </c>
      <c r="F1268" s="17">
        <f t="shared" si="991"/>
        <v>3</v>
      </c>
      <c r="G1268" s="17" t="str">
        <f t="shared" si="1006"/>
        <v>高级魔防</v>
      </c>
      <c r="H1268" s="17" t="str">
        <f t="shared" si="1007"/>
        <v>icon_04</v>
      </c>
      <c r="I1268" s="20">
        <v>0</v>
      </c>
      <c r="J1268" s="17">
        <v>11</v>
      </c>
      <c r="K1268" s="17">
        <f t="shared" si="1003"/>
        <v>32312</v>
      </c>
      <c r="L1268" s="17" t="s">
        <v>529</v>
      </c>
      <c r="M1268" s="17" t="str">
        <f t="shared" si="1008"/>
        <v>1:12000:5</v>
      </c>
      <c r="N1268" s="16" t="str">
        <f t="shared" si="990"/>
        <v>124:1</v>
      </c>
      <c r="O1268" s="17">
        <f t="shared" si="992"/>
        <v>4</v>
      </c>
      <c r="P1268" s="21" t="str">
        <f t="shared" si="1002"/>
        <v>所有弓兵魔防增加:1</v>
      </c>
      <c r="Q1268" s="21"/>
      <c r="R1268" t="str">
        <f t="shared" si="1009"/>
        <v>魔防</v>
      </c>
      <c r="T1268" t="str">
        <f t="shared" si="1010"/>
        <v>:1</v>
      </c>
      <c r="U1268" t="str">
        <f t="shared" si="982"/>
        <v>弓兵</v>
      </c>
      <c r="V1268" t="s">
        <v>4555</v>
      </c>
      <c r="W1268">
        <f>属性类型!G1268</f>
        <v>124</v>
      </c>
      <c r="X1268">
        <v>1</v>
      </c>
    </row>
    <row r="1269" customFormat="1" ht="16.5" spans="1:24">
      <c r="A1269" s="17">
        <f t="shared" si="1004"/>
        <v>32312</v>
      </c>
      <c r="B1269" s="17">
        <f t="shared" si="993"/>
        <v>32300</v>
      </c>
      <c r="C1269" s="17" t="str">
        <f t="shared" si="1005"/>
        <v>3</v>
      </c>
      <c r="D1269" s="17">
        <f t="shared" si="994"/>
        <v>30003</v>
      </c>
      <c r="E1269" s="17">
        <v>1</v>
      </c>
      <c r="F1269" s="17">
        <f t="shared" si="991"/>
        <v>3</v>
      </c>
      <c r="G1269" s="17" t="str">
        <f t="shared" si="1006"/>
        <v>高级魔防</v>
      </c>
      <c r="H1269" s="17" t="str">
        <f t="shared" si="1007"/>
        <v>icon_04</v>
      </c>
      <c r="I1269" s="20">
        <v>0</v>
      </c>
      <c r="J1269" s="17">
        <v>12</v>
      </c>
      <c r="K1269" s="17">
        <f t="shared" si="1003"/>
        <v>32313</v>
      </c>
      <c r="L1269" s="17" t="s">
        <v>532</v>
      </c>
      <c r="M1269" s="17" t="str">
        <f t="shared" si="1008"/>
        <v>1:12000:5</v>
      </c>
      <c r="N1269" s="16" t="str">
        <f t="shared" si="990"/>
        <v>124:1</v>
      </c>
      <c r="O1269" s="17">
        <f t="shared" si="992"/>
        <v>4</v>
      </c>
      <c r="P1269" s="21" t="str">
        <f t="shared" si="1002"/>
        <v>所有弓兵魔防增加:1</v>
      </c>
      <c r="Q1269" s="21"/>
      <c r="R1269" t="str">
        <f t="shared" si="1009"/>
        <v>魔防</v>
      </c>
      <c r="T1269" t="str">
        <f t="shared" si="1010"/>
        <v>:1</v>
      </c>
      <c r="U1269" t="str">
        <f t="shared" si="982"/>
        <v>弓兵</v>
      </c>
      <c r="V1269" t="s">
        <v>4555</v>
      </c>
      <c r="W1269">
        <f>属性类型!G1269</f>
        <v>124</v>
      </c>
      <c r="X1269">
        <v>1</v>
      </c>
    </row>
    <row r="1270" customFormat="1" ht="16.5" spans="1:24">
      <c r="A1270" s="17">
        <f t="shared" si="1004"/>
        <v>32313</v>
      </c>
      <c r="B1270" s="17">
        <f t="shared" si="993"/>
        <v>32300</v>
      </c>
      <c r="C1270" s="17" t="str">
        <f t="shared" si="1005"/>
        <v>3</v>
      </c>
      <c r="D1270" s="17">
        <f t="shared" si="994"/>
        <v>30003</v>
      </c>
      <c r="E1270" s="17">
        <v>1</v>
      </c>
      <c r="F1270" s="17">
        <f t="shared" si="991"/>
        <v>3</v>
      </c>
      <c r="G1270" s="17" t="str">
        <f t="shared" si="1006"/>
        <v>高级魔防</v>
      </c>
      <c r="H1270" s="17" t="str">
        <f t="shared" si="1007"/>
        <v>icon_04</v>
      </c>
      <c r="I1270" s="20">
        <v>0</v>
      </c>
      <c r="J1270" s="17">
        <v>13</v>
      </c>
      <c r="K1270" s="17">
        <f t="shared" si="1003"/>
        <v>32314</v>
      </c>
      <c r="L1270" s="17" t="s">
        <v>561</v>
      </c>
      <c r="M1270" s="17" t="str">
        <f t="shared" si="1008"/>
        <v>1:12000:5</v>
      </c>
      <c r="N1270" s="16" t="str">
        <f t="shared" si="990"/>
        <v>124:1</v>
      </c>
      <c r="O1270" s="17">
        <f t="shared" si="992"/>
        <v>4</v>
      </c>
      <c r="P1270" s="21" t="str">
        <f t="shared" si="1002"/>
        <v>所有弓兵魔防增加:1</v>
      </c>
      <c r="Q1270" s="21"/>
      <c r="R1270" t="str">
        <f t="shared" si="1009"/>
        <v>魔防</v>
      </c>
      <c r="T1270" t="str">
        <f t="shared" si="1010"/>
        <v>:1</v>
      </c>
      <c r="U1270" t="str">
        <f t="shared" si="982"/>
        <v>弓兵</v>
      </c>
      <c r="V1270" t="s">
        <v>4555</v>
      </c>
      <c r="W1270">
        <f>属性类型!G1270</f>
        <v>124</v>
      </c>
      <c r="X1270">
        <v>1</v>
      </c>
    </row>
    <row r="1271" customFormat="1" ht="16.5" spans="1:24">
      <c r="A1271" s="17">
        <f t="shared" si="1004"/>
        <v>32314</v>
      </c>
      <c r="B1271" s="17">
        <f t="shared" si="993"/>
        <v>32300</v>
      </c>
      <c r="C1271" s="17" t="str">
        <f t="shared" si="1005"/>
        <v>3</v>
      </c>
      <c r="D1271" s="17">
        <f t="shared" si="994"/>
        <v>30003</v>
      </c>
      <c r="E1271" s="17">
        <v>1</v>
      </c>
      <c r="F1271" s="17">
        <f t="shared" si="991"/>
        <v>3</v>
      </c>
      <c r="G1271" s="17" t="str">
        <f t="shared" si="1006"/>
        <v>高级魔防</v>
      </c>
      <c r="H1271" s="17" t="str">
        <f t="shared" si="1007"/>
        <v>icon_04</v>
      </c>
      <c r="I1271" s="20">
        <v>0</v>
      </c>
      <c r="J1271" s="17">
        <v>14</v>
      </c>
      <c r="K1271" s="17">
        <f t="shared" si="1003"/>
        <v>32315</v>
      </c>
      <c r="L1271" s="17" t="s">
        <v>564</v>
      </c>
      <c r="M1271" s="17" t="str">
        <f t="shared" si="1008"/>
        <v>1:12000:5</v>
      </c>
      <c r="N1271" s="16" t="str">
        <f t="shared" si="990"/>
        <v>124:1</v>
      </c>
      <c r="O1271" s="17">
        <f t="shared" si="992"/>
        <v>4</v>
      </c>
      <c r="P1271" s="21" t="str">
        <f t="shared" si="1002"/>
        <v>所有弓兵魔防增加:1</v>
      </c>
      <c r="Q1271" s="21"/>
      <c r="R1271" t="str">
        <f t="shared" si="1009"/>
        <v>魔防</v>
      </c>
      <c r="T1271" t="str">
        <f t="shared" si="1010"/>
        <v>:1</v>
      </c>
      <c r="U1271" t="str">
        <f t="shared" si="982"/>
        <v>弓兵</v>
      </c>
      <c r="V1271" t="s">
        <v>4555</v>
      </c>
      <c r="W1271">
        <f>属性类型!G1271</f>
        <v>124</v>
      </c>
      <c r="X1271">
        <v>1</v>
      </c>
    </row>
    <row r="1272" customFormat="1" ht="16.5" spans="1:24">
      <c r="A1272" s="17">
        <f t="shared" si="1004"/>
        <v>32315</v>
      </c>
      <c r="B1272" s="17">
        <f t="shared" si="993"/>
        <v>32300</v>
      </c>
      <c r="C1272" s="17" t="str">
        <f t="shared" si="1005"/>
        <v>3</v>
      </c>
      <c r="D1272" s="17">
        <f t="shared" si="994"/>
        <v>30003</v>
      </c>
      <c r="E1272" s="17">
        <v>1</v>
      </c>
      <c r="F1272" s="17">
        <f t="shared" si="991"/>
        <v>3</v>
      </c>
      <c r="G1272" s="17" t="str">
        <f t="shared" si="1006"/>
        <v>高级魔防</v>
      </c>
      <c r="H1272" s="17" t="str">
        <f t="shared" si="1007"/>
        <v>icon_04</v>
      </c>
      <c r="I1272" s="20">
        <v>0</v>
      </c>
      <c r="J1272" s="17">
        <v>15</v>
      </c>
      <c r="K1272" s="17">
        <v>0</v>
      </c>
      <c r="L1272" s="17">
        <v>0</v>
      </c>
      <c r="M1272" s="17" t="str">
        <f t="shared" si="1008"/>
        <v>1:12000:5</v>
      </c>
      <c r="N1272" s="16" t="str">
        <f t="shared" si="990"/>
        <v>124:1</v>
      </c>
      <c r="O1272" s="17">
        <f t="shared" si="992"/>
        <v>4</v>
      </c>
      <c r="P1272" s="21" t="str">
        <f t="shared" si="1002"/>
        <v>所有弓兵魔防增加:1</v>
      </c>
      <c r="Q1272" s="21"/>
      <c r="R1272" t="str">
        <f t="shared" si="1009"/>
        <v>魔防</v>
      </c>
      <c r="T1272" t="str">
        <f t="shared" si="1010"/>
        <v>:1</v>
      </c>
      <c r="U1272" t="str">
        <f t="shared" si="982"/>
        <v>弓兵</v>
      </c>
      <c r="V1272" t="s">
        <v>4555</v>
      </c>
      <c r="W1272">
        <f>属性类型!G1272</f>
        <v>124</v>
      </c>
      <c r="X1272">
        <v>1</v>
      </c>
    </row>
    <row r="1273" customFormat="1" ht="16.5" spans="1:24">
      <c r="A1273" s="18">
        <f>A1257+100</f>
        <v>32400</v>
      </c>
      <c r="B1273" s="18">
        <f t="shared" si="993"/>
        <v>32400</v>
      </c>
      <c r="C1273" s="18" t="str">
        <f t="shared" si="1005"/>
        <v>3</v>
      </c>
      <c r="D1273" s="17">
        <f t="shared" si="994"/>
        <v>30003</v>
      </c>
      <c r="E1273" s="17">
        <v>1</v>
      </c>
      <c r="F1273" s="18">
        <f t="shared" si="991"/>
        <v>3</v>
      </c>
      <c r="G1273" s="18" t="s">
        <v>612</v>
      </c>
      <c r="H1273" s="18" t="s">
        <v>112</v>
      </c>
      <c r="I1273" s="20">
        <v>0</v>
      </c>
      <c r="J1273" s="18">
        <v>0</v>
      </c>
      <c r="K1273" s="18">
        <f t="shared" ref="K1273:K1292" si="1011">A1274</f>
        <v>32401</v>
      </c>
      <c r="L1273" s="18" t="s">
        <v>206</v>
      </c>
      <c r="M1273" s="18" t="s">
        <v>614</v>
      </c>
      <c r="N1273" s="16" t="str">
        <f t="shared" si="990"/>
        <v>128:1</v>
      </c>
      <c r="O1273" s="18">
        <f t="shared" si="992"/>
        <v>5</v>
      </c>
      <c r="P1273" s="21" t="str">
        <f t="shared" si="1002"/>
        <v>所有弓兵防御百分比增加1</v>
      </c>
      <c r="Q1273" s="21"/>
      <c r="R1273" t="s">
        <v>4278</v>
      </c>
      <c r="T1273" t="str">
        <f>RIGHT(N1273,1)</f>
        <v>1</v>
      </c>
      <c r="U1273" t="str">
        <f t="shared" si="982"/>
        <v>弓兵</v>
      </c>
      <c r="V1273" t="s">
        <v>4556</v>
      </c>
      <c r="W1273">
        <f>属性类型!G1273</f>
        <v>128</v>
      </c>
      <c r="X1273">
        <v>1</v>
      </c>
    </row>
    <row r="1274" customFormat="1" ht="16.5" spans="1:24">
      <c r="A1274" s="17">
        <f t="shared" ref="A1274:A1293" si="1012">A1273+1</f>
        <v>32401</v>
      </c>
      <c r="B1274" s="17">
        <f t="shared" si="993"/>
        <v>32400</v>
      </c>
      <c r="C1274" s="17" t="str">
        <f t="shared" si="1005"/>
        <v>3</v>
      </c>
      <c r="D1274" s="17">
        <f t="shared" si="994"/>
        <v>30003</v>
      </c>
      <c r="E1274" s="17">
        <v>1</v>
      </c>
      <c r="F1274" s="17">
        <f t="shared" si="991"/>
        <v>3</v>
      </c>
      <c r="G1274" s="17" t="str">
        <f t="shared" ref="G1274:G1293" si="1013">G1273</f>
        <v>高级防御百分比</v>
      </c>
      <c r="H1274" s="17" t="str">
        <f t="shared" ref="H1274:H1293" si="1014">H1273</f>
        <v>icon_05</v>
      </c>
      <c r="I1274" s="20">
        <v>0</v>
      </c>
      <c r="J1274" s="17">
        <v>1</v>
      </c>
      <c r="K1274" s="17">
        <f t="shared" si="1011"/>
        <v>32402</v>
      </c>
      <c r="L1274" s="17" t="s">
        <v>211</v>
      </c>
      <c r="M1274" s="17" t="str">
        <f t="shared" ref="M1274:M1293" si="1015">M1273</f>
        <v>1:12100:10</v>
      </c>
      <c r="N1274" s="16" t="str">
        <f t="shared" si="990"/>
        <v>128:1</v>
      </c>
      <c r="O1274" s="17">
        <f t="shared" si="992"/>
        <v>5</v>
      </c>
      <c r="P1274" s="21" t="str">
        <f t="shared" si="1002"/>
        <v>所有弓兵防御百分比增加:1</v>
      </c>
      <c r="Q1274" s="21"/>
      <c r="R1274" t="str">
        <f t="shared" ref="R1274:R1293" si="1016">R1273</f>
        <v>防御百分比</v>
      </c>
      <c r="T1274" t="str">
        <f t="shared" ref="T1274:T1293" si="1017">RIGHT(N1274,2)</f>
        <v>:1</v>
      </c>
      <c r="U1274" t="str">
        <f t="shared" si="982"/>
        <v>弓兵</v>
      </c>
      <c r="V1274" t="s">
        <v>4556</v>
      </c>
      <c r="W1274">
        <f>属性类型!G1274</f>
        <v>128</v>
      </c>
      <c r="X1274">
        <v>1</v>
      </c>
    </row>
    <row r="1275" customFormat="1" ht="16.5" spans="1:24">
      <c r="A1275" s="17">
        <f t="shared" si="1012"/>
        <v>32402</v>
      </c>
      <c r="B1275" s="17">
        <f t="shared" si="993"/>
        <v>32400</v>
      </c>
      <c r="C1275" s="17" t="str">
        <f t="shared" si="1005"/>
        <v>3</v>
      </c>
      <c r="D1275" s="17">
        <f t="shared" si="994"/>
        <v>30003</v>
      </c>
      <c r="E1275" s="17">
        <v>1</v>
      </c>
      <c r="F1275" s="17">
        <f t="shared" si="991"/>
        <v>3</v>
      </c>
      <c r="G1275" s="17" t="str">
        <f t="shared" si="1013"/>
        <v>高级防御百分比</v>
      </c>
      <c r="H1275" s="17" t="str">
        <f t="shared" si="1014"/>
        <v>icon_05</v>
      </c>
      <c r="I1275" s="20">
        <v>0</v>
      </c>
      <c r="J1275" s="17">
        <v>2</v>
      </c>
      <c r="K1275" s="17">
        <f t="shared" si="1011"/>
        <v>32403</v>
      </c>
      <c r="L1275" s="17" t="s">
        <v>215</v>
      </c>
      <c r="M1275" s="17" t="str">
        <f t="shared" si="1015"/>
        <v>1:12100:10</v>
      </c>
      <c r="N1275" s="16" t="str">
        <f t="shared" si="990"/>
        <v>128:1</v>
      </c>
      <c r="O1275" s="17">
        <f t="shared" si="992"/>
        <v>5</v>
      </c>
      <c r="P1275" s="21" t="str">
        <f t="shared" si="1002"/>
        <v>所有弓兵防御百分比增加:1</v>
      </c>
      <c r="Q1275" s="21"/>
      <c r="R1275" t="str">
        <f t="shared" si="1016"/>
        <v>防御百分比</v>
      </c>
      <c r="T1275" t="str">
        <f t="shared" si="1017"/>
        <v>:1</v>
      </c>
      <c r="U1275" t="str">
        <f t="shared" si="982"/>
        <v>弓兵</v>
      </c>
      <c r="V1275" t="s">
        <v>4556</v>
      </c>
      <c r="W1275">
        <f>属性类型!G1275</f>
        <v>128</v>
      </c>
      <c r="X1275">
        <v>1</v>
      </c>
    </row>
    <row r="1276" customFormat="1" ht="16.5" spans="1:24">
      <c r="A1276" s="17">
        <f t="shared" si="1012"/>
        <v>32403</v>
      </c>
      <c r="B1276" s="17">
        <f t="shared" si="993"/>
        <v>32400</v>
      </c>
      <c r="C1276" s="17" t="str">
        <f t="shared" si="1005"/>
        <v>3</v>
      </c>
      <c r="D1276" s="17">
        <f t="shared" si="994"/>
        <v>30003</v>
      </c>
      <c r="E1276" s="17">
        <v>1</v>
      </c>
      <c r="F1276" s="17">
        <f t="shared" si="991"/>
        <v>3</v>
      </c>
      <c r="G1276" s="17" t="str">
        <f t="shared" si="1013"/>
        <v>高级防御百分比</v>
      </c>
      <c r="H1276" s="17" t="str">
        <f t="shared" si="1014"/>
        <v>icon_05</v>
      </c>
      <c r="I1276" s="20">
        <v>0</v>
      </c>
      <c r="J1276" s="17">
        <v>3</v>
      </c>
      <c r="K1276" s="17">
        <f t="shared" si="1011"/>
        <v>32404</v>
      </c>
      <c r="L1276" s="17" t="s">
        <v>218</v>
      </c>
      <c r="M1276" s="17" t="str">
        <f t="shared" si="1015"/>
        <v>1:12100:10</v>
      </c>
      <c r="N1276" s="16" t="str">
        <f t="shared" si="990"/>
        <v>128:1</v>
      </c>
      <c r="O1276" s="17">
        <f t="shared" si="992"/>
        <v>5</v>
      </c>
      <c r="P1276" s="21" t="str">
        <f t="shared" si="1002"/>
        <v>所有弓兵防御百分比增加:1</v>
      </c>
      <c r="Q1276" s="21"/>
      <c r="R1276" t="str">
        <f t="shared" si="1016"/>
        <v>防御百分比</v>
      </c>
      <c r="T1276" t="str">
        <f t="shared" si="1017"/>
        <v>:1</v>
      </c>
      <c r="U1276" t="str">
        <f t="shared" si="982"/>
        <v>弓兵</v>
      </c>
      <c r="V1276" t="s">
        <v>4556</v>
      </c>
      <c r="W1276">
        <f>属性类型!G1276</f>
        <v>128</v>
      </c>
      <c r="X1276">
        <v>1</v>
      </c>
    </row>
    <row r="1277" customFormat="1" ht="16.5" spans="1:24">
      <c r="A1277" s="17">
        <f t="shared" si="1012"/>
        <v>32404</v>
      </c>
      <c r="B1277" s="17">
        <f t="shared" si="993"/>
        <v>32400</v>
      </c>
      <c r="C1277" s="17" t="str">
        <f t="shared" si="1005"/>
        <v>3</v>
      </c>
      <c r="D1277" s="17">
        <f t="shared" si="994"/>
        <v>30003</v>
      </c>
      <c r="E1277" s="17">
        <v>1</v>
      </c>
      <c r="F1277" s="17">
        <f t="shared" si="991"/>
        <v>3</v>
      </c>
      <c r="G1277" s="17" t="str">
        <f t="shared" si="1013"/>
        <v>高级防御百分比</v>
      </c>
      <c r="H1277" s="17" t="str">
        <f t="shared" si="1014"/>
        <v>icon_05</v>
      </c>
      <c r="I1277" s="20">
        <v>0</v>
      </c>
      <c r="J1277" s="17">
        <v>4</v>
      </c>
      <c r="K1277" s="17">
        <f t="shared" si="1011"/>
        <v>32405</v>
      </c>
      <c r="L1277" s="17" t="s">
        <v>221</v>
      </c>
      <c r="M1277" s="17" t="str">
        <f t="shared" si="1015"/>
        <v>1:12100:10</v>
      </c>
      <c r="N1277" s="16" t="str">
        <f t="shared" si="990"/>
        <v>128:1</v>
      </c>
      <c r="O1277" s="17">
        <f t="shared" si="992"/>
        <v>5</v>
      </c>
      <c r="P1277" s="21" t="str">
        <f t="shared" si="1002"/>
        <v>所有弓兵防御百分比增加:1</v>
      </c>
      <c r="Q1277" s="21"/>
      <c r="R1277" t="str">
        <f t="shared" si="1016"/>
        <v>防御百分比</v>
      </c>
      <c r="T1277" t="str">
        <f t="shared" si="1017"/>
        <v>:1</v>
      </c>
      <c r="U1277" t="str">
        <f t="shared" si="982"/>
        <v>弓兵</v>
      </c>
      <c r="V1277" t="s">
        <v>4556</v>
      </c>
      <c r="W1277">
        <f>属性类型!G1277</f>
        <v>128</v>
      </c>
      <c r="X1277">
        <v>1</v>
      </c>
    </row>
    <row r="1278" customFormat="1" ht="16.5" spans="1:24">
      <c r="A1278" s="17">
        <f t="shared" si="1012"/>
        <v>32405</v>
      </c>
      <c r="B1278" s="17">
        <f t="shared" si="993"/>
        <v>32400</v>
      </c>
      <c r="C1278" s="17" t="str">
        <f t="shared" si="1005"/>
        <v>3</v>
      </c>
      <c r="D1278" s="17">
        <f t="shared" si="994"/>
        <v>30003</v>
      </c>
      <c r="E1278" s="17">
        <v>1</v>
      </c>
      <c r="F1278" s="17">
        <f t="shared" si="991"/>
        <v>3</v>
      </c>
      <c r="G1278" s="17" t="str">
        <f t="shared" si="1013"/>
        <v>高级防御百分比</v>
      </c>
      <c r="H1278" s="17" t="str">
        <f t="shared" si="1014"/>
        <v>icon_05</v>
      </c>
      <c r="I1278" s="20">
        <v>0</v>
      </c>
      <c r="J1278" s="17">
        <v>5</v>
      </c>
      <c r="K1278" s="17">
        <f t="shared" si="1011"/>
        <v>32406</v>
      </c>
      <c r="L1278" s="17" t="s">
        <v>224</v>
      </c>
      <c r="M1278" s="17" t="str">
        <f t="shared" si="1015"/>
        <v>1:12100:10</v>
      </c>
      <c r="N1278" s="16" t="str">
        <f t="shared" si="990"/>
        <v>128:1</v>
      </c>
      <c r="O1278" s="17">
        <f t="shared" si="992"/>
        <v>5</v>
      </c>
      <c r="P1278" s="21" t="str">
        <f t="shared" si="1002"/>
        <v>所有弓兵防御百分比增加:1</v>
      </c>
      <c r="Q1278" s="21"/>
      <c r="R1278" t="str">
        <f t="shared" si="1016"/>
        <v>防御百分比</v>
      </c>
      <c r="T1278" t="str">
        <f t="shared" si="1017"/>
        <v>:1</v>
      </c>
      <c r="U1278" t="str">
        <f t="shared" si="982"/>
        <v>弓兵</v>
      </c>
      <c r="V1278" t="s">
        <v>4556</v>
      </c>
      <c r="W1278">
        <f>属性类型!G1278</f>
        <v>128</v>
      </c>
      <c r="X1278">
        <v>1</v>
      </c>
    </row>
    <row r="1279" customFormat="1" ht="16.5" spans="1:24">
      <c r="A1279" s="17">
        <f t="shared" si="1012"/>
        <v>32406</v>
      </c>
      <c r="B1279" s="17">
        <f t="shared" si="993"/>
        <v>32400</v>
      </c>
      <c r="C1279" s="17" t="str">
        <f t="shared" si="1005"/>
        <v>3</v>
      </c>
      <c r="D1279" s="17">
        <f t="shared" si="994"/>
        <v>30003</v>
      </c>
      <c r="E1279" s="17">
        <v>1</v>
      </c>
      <c r="F1279" s="17">
        <f t="shared" si="991"/>
        <v>3</v>
      </c>
      <c r="G1279" s="17" t="str">
        <f t="shared" si="1013"/>
        <v>高级防御百分比</v>
      </c>
      <c r="H1279" s="17" t="str">
        <f t="shared" si="1014"/>
        <v>icon_05</v>
      </c>
      <c r="I1279" s="20">
        <v>0</v>
      </c>
      <c r="J1279" s="17">
        <v>6</v>
      </c>
      <c r="K1279" s="17">
        <f t="shared" si="1011"/>
        <v>32407</v>
      </c>
      <c r="L1279" s="17" t="s">
        <v>227</v>
      </c>
      <c r="M1279" s="17" t="str">
        <f t="shared" si="1015"/>
        <v>1:12100:10</v>
      </c>
      <c r="N1279" s="16" t="str">
        <f t="shared" si="990"/>
        <v>128:1</v>
      </c>
      <c r="O1279" s="17">
        <f t="shared" si="992"/>
        <v>5</v>
      </c>
      <c r="P1279" s="21" t="str">
        <f t="shared" si="1002"/>
        <v>所有弓兵防御百分比增加:1</v>
      </c>
      <c r="Q1279" s="21"/>
      <c r="R1279" t="str">
        <f t="shared" si="1016"/>
        <v>防御百分比</v>
      </c>
      <c r="T1279" t="str">
        <f t="shared" si="1017"/>
        <v>:1</v>
      </c>
      <c r="U1279" t="str">
        <f t="shared" si="982"/>
        <v>弓兵</v>
      </c>
      <c r="V1279" t="s">
        <v>4556</v>
      </c>
      <c r="W1279">
        <f>属性类型!G1279</f>
        <v>128</v>
      </c>
      <c r="X1279">
        <v>1</v>
      </c>
    </row>
    <row r="1280" customFormat="1" ht="16.5" spans="1:24">
      <c r="A1280" s="17">
        <f t="shared" si="1012"/>
        <v>32407</v>
      </c>
      <c r="B1280" s="17">
        <f t="shared" si="993"/>
        <v>32400</v>
      </c>
      <c r="C1280" s="17" t="str">
        <f t="shared" si="1005"/>
        <v>3</v>
      </c>
      <c r="D1280" s="17">
        <f t="shared" si="994"/>
        <v>30003</v>
      </c>
      <c r="E1280" s="17">
        <v>1</v>
      </c>
      <c r="F1280" s="17">
        <f t="shared" si="991"/>
        <v>3</v>
      </c>
      <c r="G1280" s="17" t="str">
        <f t="shared" si="1013"/>
        <v>高级防御百分比</v>
      </c>
      <c r="H1280" s="17" t="str">
        <f t="shared" si="1014"/>
        <v>icon_05</v>
      </c>
      <c r="I1280" s="20">
        <v>0</v>
      </c>
      <c r="J1280" s="17">
        <v>7</v>
      </c>
      <c r="K1280" s="17">
        <f t="shared" si="1011"/>
        <v>32408</v>
      </c>
      <c r="L1280" s="17" t="s">
        <v>230</v>
      </c>
      <c r="M1280" s="17" t="str">
        <f t="shared" si="1015"/>
        <v>1:12100:10</v>
      </c>
      <c r="N1280" s="16" t="str">
        <f t="shared" si="990"/>
        <v>128:1</v>
      </c>
      <c r="O1280" s="17">
        <f t="shared" si="992"/>
        <v>5</v>
      </c>
      <c r="P1280" s="21" t="str">
        <f t="shared" si="1002"/>
        <v>所有弓兵防御百分比增加:1</v>
      </c>
      <c r="Q1280" s="21"/>
      <c r="R1280" t="str">
        <f t="shared" si="1016"/>
        <v>防御百分比</v>
      </c>
      <c r="T1280" t="str">
        <f t="shared" si="1017"/>
        <v>:1</v>
      </c>
      <c r="U1280" t="str">
        <f t="shared" si="982"/>
        <v>弓兵</v>
      </c>
      <c r="V1280" t="s">
        <v>4556</v>
      </c>
      <c r="W1280">
        <f>属性类型!G1280</f>
        <v>128</v>
      </c>
      <c r="X1280">
        <v>1</v>
      </c>
    </row>
    <row r="1281" customFormat="1" ht="16.5" spans="1:24">
      <c r="A1281" s="17">
        <f t="shared" si="1012"/>
        <v>32408</v>
      </c>
      <c r="B1281" s="17">
        <f t="shared" si="993"/>
        <v>32400</v>
      </c>
      <c r="C1281" s="17" t="str">
        <f t="shared" si="1005"/>
        <v>3</v>
      </c>
      <c r="D1281" s="17">
        <f t="shared" si="994"/>
        <v>30003</v>
      </c>
      <c r="E1281" s="17">
        <v>1</v>
      </c>
      <c r="F1281" s="17">
        <f t="shared" si="991"/>
        <v>3</v>
      </c>
      <c r="G1281" s="17" t="str">
        <f t="shared" si="1013"/>
        <v>高级防御百分比</v>
      </c>
      <c r="H1281" s="17" t="str">
        <f t="shared" si="1014"/>
        <v>icon_05</v>
      </c>
      <c r="I1281" s="20">
        <v>0</v>
      </c>
      <c r="J1281" s="17">
        <v>8</v>
      </c>
      <c r="K1281" s="17">
        <f t="shared" si="1011"/>
        <v>32409</v>
      </c>
      <c r="L1281" s="17" t="s">
        <v>233</v>
      </c>
      <c r="M1281" s="17" t="str">
        <f t="shared" si="1015"/>
        <v>1:12100:10</v>
      </c>
      <c r="N1281" s="16" t="str">
        <f t="shared" si="990"/>
        <v>128:1</v>
      </c>
      <c r="O1281" s="17">
        <f t="shared" si="992"/>
        <v>5</v>
      </c>
      <c r="P1281" s="21" t="str">
        <f t="shared" si="1002"/>
        <v>所有弓兵防御百分比增加:1</v>
      </c>
      <c r="Q1281" s="21"/>
      <c r="R1281" t="str">
        <f t="shared" si="1016"/>
        <v>防御百分比</v>
      </c>
      <c r="T1281" t="str">
        <f t="shared" si="1017"/>
        <v>:1</v>
      </c>
      <c r="U1281" t="str">
        <f t="shared" si="982"/>
        <v>弓兵</v>
      </c>
      <c r="V1281" t="s">
        <v>4556</v>
      </c>
      <c r="W1281">
        <f>属性类型!G1281</f>
        <v>128</v>
      </c>
      <c r="X1281">
        <v>1</v>
      </c>
    </row>
    <row r="1282" customFormat="1" ht="16.5" spans="1:24">
      <c r="A1282" s="17">
        <f t="shared" si="1012"/>
        <v>32409</v>
      </c>
      <c r="B1282" s="17">
        <f t="shared" si="993"/>
        <v>32400</v>
      </c>
      <c r="C1282" s="17" t="str">
        <f t="shared" si="1005"/>
        <v>3</v>
      </c>
      <c r="D1282" s="17">
        <f t="shared" si="994"/>
        <v>30003</v>
      </c>
      <c r="E1282" s="17">
        <v>1</v>
      </c>
      <c r="F1282" s="17">
        <f t="shared" si="991"/>
        <v>3</v>
      </c>
      <c r="G1282" s="17" t="str">
        <f t="shared" si="1013"/>
        <v>高级防御百分比</v>
      </c>
      <c r="H1282" s="17" t="str">
        <f t="shared" si="1014"/>
        <v>icon_05</v>
      </c>
      <c r="I1282" s="20">
        <v>0</v>
      </c>
      <c r="J1282" s="17">
        <v>9</v>
      </c>
      <c r="K1282" s="17">
        <f t="shared" si="1011"/>
        <v>32410</v>
      </c>
      <c r="L1282" s="17" t="s">
        <v>236</v>
      </c>
      <c r="M1282" s="17" t="str">
        <f t="shared" si="1015"/>
        <v>1:12100:10</v>
      </c>
      <c r="N1282" s="16" t="str">
        <f t="shared" si="990"/>
        <v>128:1</v>
      </c>
      <c r="O1282" s="17">
        <f t="shared" si="992"/>
        <v>5</v>
      </c>
      <c r="P1282" s="21" t="str">
        <f t="shared" si="1002"/>
        <v>所有弓兵防御百分比增加:1</v>
      </c>
      <c r="Q1282" s="21"/>
      <c r="R1282" t="str">
        <f t="shared" si="1016"/>
        <v>防御百分比</v>
      </c>
      <c r="T1282" t="str">
        <f t="shared" si="1017"/>
        <v>:1</v>
      </c>
      <c r="U1282" t="str">
        <f t="shared" si="982"/>
        <v>弓兵</v>
      </c>
      <c r="V1282" t="s">
        <v>4556</v>
      </c>
      <c r="W1282">
        <f>属性类型!G1282</f>
        <v>128</v>
      </c>
      <c r="X1282">
        <v>1</v>
      </c>
    </row>
    <row r="1283" customFormat="1" ht="16.5" spans="1:24">
      <c r="A1283" s="17">
        <f t="shared" si="1012"/>
        <v>32410</v>
      </c>
      <c r="B1283" s="17">
        <f t="shared" si="993"/>
        <v>32400</v>
      </c>
      <c r="C1283" s="17" t="str">
        <f t="shared" si="1005"/>
        <v>3</v>
      </c>
      <c r="D1283" s="17">
        <f t="shared" si="994"/>
        <v>30003</v>
      </c>
      <c r="E1283" s="17">
        <v>1</v>
      </c>
      <c r="F1283" s="17">
        <f t="shared" si="991"/>
        <v>3</v>
      </c>
      <c r="G1283" s="17" t="str">
        <f t="shared" si="1013"/>
        <v>高级防御百分比</v>
      </c>
      <c r="H1283" s="17" t="str">
        <f t="shared" si="1014"/>
        <v>icon_05</v>
      </c>
      <c r="I1283" s="20">
        <v>0</v>
      </c>
      <c r="J1283" s="17">
        <v>10</v>
      </c>
      <c r="K1283" s="17">
        <f t="shared" si="1011"/>
        <v>32411</v>
      </c>
      <c r="L1283" s="17" t="s">
        <v>238</v>
      </c>
      <c r="M1283" s="17" t="str">
        <f t="shared" si="1015"/>
        <v>1:12100:10</v>
      </c>
      <c r="N1283" s="16" t="str">
        <f t="shared" si="990"/>
        <v>128:1</v>
      </c>
      <c r="O1283" s="17">
        <f t="shared" si="992"/>
        <v>5</v>
      </c>
      <c r="P1283" s="21" t="str">
        <f t="shared" si="1002"/>
        <v>所有弓兵防御百分比增加:1</v>
      </c>
      <c r="Q1283" s="21"/>
      <c r="R1283" t="str">
        <f t="shared" si="1016"/>
        <v>防御百分比</v>
      </c>
      <c r="T1283" t="str">
        <f t="shared" si="1017"/>
        <v>:1</v>
      </c>
      <c r="U1283" t="str">
        <f t="shared" si="982"/>
        <v>弓兵</v>
      </c>
      <c r="V1283" t="s">
        <v>4556</v>
      </c>
      <c r="W1283">
        <f>属性类型!G1283</f>
        <v>128</v>
      </c>
      <c r="X1283">
        <v>1</v>
      </c>
    </row>
    <row r="1284" customFormat="1" ht="16.5" spans="1:24">
      <c r="A1284" s="17">
        <f t="shared" si="1012"/>
        <v>32411</v>
      </c>
      <c r="B1284" s="17">
        <f t="shared" si="993"/>
        <v>32400</v>
      </c>
      <c r="C1284" s="17" t="str">
        <f t="shared" si="1005"/>
        <v>3</v>
      </c>
      <c r="D1284" s="17">
        <f t="shared" si="994"/>
        <v>30003</v>
      </c>
      <c r="E1284" s="17">
        <v>1</v>
      </c>
      <c r="F1284" s="17">
        <f t="shared" si="991"/>
        <v>3</v>
      </c>
      <c r="G1284" s="17" t="str">
        <f t="shared" si="1013"/>
        <v>高级防御百分比</v>
      </c>
      <c r="H1284" s="17" t="str">
        <f t="shared" si="1014"/>
        <v>icon_05</v>
      </c>
      <c r="I1284" s="20">
        <v>0</v>
      </c>
      <c r="J1284" s="17">
        <v>11</v>
      </c>
      <c r="K1284" s="17">
        <f t="shared" si="1011"/>
        <v>32412</v>
      </c>
      <c r="L1284" s="17" t="s">
        <v>529</v>
      </c>
      <c r="M1284" s="17" t="str">
        <f t="shared" si="1015"/>
        <v>1:12100:10</v>
      </c>
      <c r="N1284" s="16" t="str">
        <f t="shared" si="990"/>
        <v>128:1</v>
      </c>
      <c r="O1284" s="17">
        <f t="shared" si="992"/>
        <v>5</v>
      </c>
      <c r="P1284" s="21" t="str">
        <f t="shared" si="1002"/>
        <v>所有弓兵防御百分比增加:1</v>
      </c>
      <c r="Q1284" s="21"/>
      <c r="R1284" t="str">
        <f t="shared" si="1016"/>
        <v>防御百分比</v>
      </c>
      <c r="T1284" t="str">
        <f t="shared" si="1017"/>
        <v>:1</v>
      </c>
      <c r="U1284" t="str">
        <f t="shared" si="982"/>
        <v>弓兵</v>
      </c>
      <c r="V1284" t="s">
        <v>4556</v>
      </c>
      <c r="W1284">
        <f>属性类型!G1284</f>
        <v>128</v>
      </c>
      <c r="X1284">
        <v>1</v>
      </c>
    </row>
    <row r="1285" customFormat="1" ht="16.5" spans="1:24">
      <c r="A1285" s="17">
        <f t="shared" si="1012"/>
        <v>32412</v>
      </c>
      <c r="B1285" s="17">
        <f t="shared" si="993"/>
        <v>32400</v>
      </c>
      <c r="C1285" s="17" t="str">
        <f t="shared" si="1005"/>
        <v>3</v>
      </c>
      <c r="D1285" s="17">
        <f t="shared" si="994"/>
        <v>30003</v>
      </c>
      <c r="E1285" s="17">
        <v>1</v>
      </c>
      <c r="F1285" s="17">
        <f t="shared" si="991"/>
        <v>3</v>
      </c>
      <c r="G1285" s="17" t="str">
        <f t="shared" si="1013"/>
        <v>高级防御百分比</v>
      </c>
      <c r="H1285" s="17" t="str">
        <f t="shared" si="1014"/>
        <v>icon_05</v>
      </c>
      <c r="I1285" s="20">
        <v>0</v>
      </c>
      <c r="J1285" s="17">
        <v>12</v>
      </c>
      <c r="K1285" s="17">
        <f t="shared" si="1011"/>
        <v>32413</v>
      </c>
      <c r="L1285" s="17" t="s">
        <v>532</v>
      </c>
      <c r="M1285" s="17" t="str">
        <f t="shared" si="1015"/>
        <v>1:12100:10</v>
      </c>
      <c r="N1285" s="16" t="str">
        <f t="shared" si="990"/>
        <v>128:1</v>
      </c>
      <c r="O1285" s="17">
        <f t="shared" si="992"/>
        <v>5</v>
      </c>
      <c r="P1285" s="21" t="str">
        <f t="shared" si="1002"/>
        <v>所有弓兵防御百分比增加:1</v>
      </c>
      <c r="Q1285" s="21"/>
      <c r="R1285" t="str">
        <f t="shared" si="1016"/>
        <v>防御百分比</v>
      </c>
      <c r="T1285" t="str">
        <f t="shared" si="1017"/>
        <v>:1</v>
      </c>
      <c r="U1285" t="str">
        <f t="shared" ref="U1285:U1348" si="1018">MID(P1285,3,2)</f>
        <v>弓兵</v>
      </c>
      <c r="V1285" t="s">
        <v>4556</v>
      </c>
      <c r="W1285">
        <f>属性类型!G1285</f>
        <v>128</v>
      </c>
      <c r="X1285">
        <v>1</v>
      </c>
    </row>
    <row r="1286" customFormat="1" ht="16.5" spans="1:24">
      <c r="A1286" s="17">
        <f t="shared" si="1012"/>
        <v>32413</v>
      </c>
      <c r="B1286" s="17">
        <f t="shared" si="993"/>
        <v>32400</v>
      </c>
      <c r="C1286" s="17" t="str">
        <f t="shared" si="1005"/>
        <v>3</v>
      </c>
      <c r="D1286" s="17">
        <f t="shared" si="994"/>
        <v>30003</v>
      </c>
      <c r="E1286" s="17">
        <v>1</v>
      </c>
      <c r="F1286" s="17">
        <f t="shared" si="991"/>
        <v>3</v>
      </c>
      <c r="G1286" s="17" t="str">
        <f t="shared" si="1013"/>
        <v>高级防御百分比</v>
      </c>
      <c r="H1286" s="17" t="str">
        <f t="shared" si="1014"/>
        <v>icon_05</v>
      </c>
      <c r="I1286" s="20">
        <v>0</v>
      </c>
      <c r="J1286" s="17">
        <v>13</v>
      </c>
      <c r="K1286" s="17">
        <f t="shared" si="1011"/>
        <v>32414</v>
      </c>
      <c r="L1286" s="17" t="s">
        <v>561</v>
      </c>
      <c r="M1286" s="17" t="str">
        <f t="shared" si="1015"/>
        <v>1:12100:10</v>
      </c>
      <c r="N1286" s="16" t="str">
        <f t="shared" si="990"/>
        <v>128:1</v>
      </c>
      <c r="O1286" s="17">
        <f t="shared" si="992"/>
        <v>5</v>
      </c>
      <c r="P1286" s="21" t="str">
        <f t="shared" si="1002"/>
        <v>所有弓兵防御百分比增加:1</v>
      </c>
      <c r="Q1286" s="21"/>
      <c r="R1286" t="str">
        <f t="shared" si="1016"/>
        <v>防御百分比</v>
      </c>
      <c r="T1286" t="str">
        <f t="shared" si="1017"/>
        <v>:1</v>
      </c>
      <c r="U1286" t="str">
        <f t="shared" si="1018"/>
        <v>弓兵</v>
      </c>
      <c r="V1286" t="s">
        <v>4556</v>
      </c>
      <c r="W1286">
        <f>属性类型!G1286</f>
        <v>128</v>
      </c>
      <c r="X1286">
        <v>1</v>
      </c>
    </row>
    <row r="1287" customFormat="1" ht="16.5" spans="1:24">
      <c r="A1287" s="17">
        <f t="shared" si="1012"/>
        <v>32414</v>
      </c>
      <c r="B1287" s="17">
        <f t="shared" si="993"/>
        <v>32400</v>
      </c>
      <c r="C1287" s="17" t="str">
        <f t="shared" si="1005"/>
        <v>3</v>
      </c>
      <c r="D1287" s="17">
        <f t="shared" si="994"/>
        <v>30003</v>
      </c>
      <c r="E1287" s="17">
        <v>1</v>
      </c>
      <c r="F1287" s="17">
        <f t="shared" si="991"/>
        <v>3</v>
      </c>
      <c r="G1287" s="17" t="str">
        <f t="shared" si="1013"/>
        <v>高级防御百分比</v>
      </c>
      <c r="H1287" s="17" t="str">
        <f t="shared" si="1014"/>
        <v>icon_05</v>
      </c>
      <c r="I1287" s="20">
        <v>0</v>
      </c>
      <c r="J1287" s="17">
        <v>14</v>
      </c>
      <c r="K1287" s="17">
        <f t="shared" si="1011"/>
        <v>32415</v>
      </c>
      <c r="L1287" s="17" t="s">
        <v>564</v>
      </c>
      <c r="M1287" s="17" t="str">
        <f t="shared" si="1015"/>
        <v>1:12100:10</v>
      </c>
      <c r="N1287" s="16" t="str">
        <f t="shared" si="990"/>
        <v>128:1</v>
      </c>
      <c r="O1287" s="17">
        <f t="shared" si="992"/>
        <v>5</v>
      </c>
      <c r="P1287" s="21" t="str">
        <f t="shared" si="1002"/>
        <v>所有弓兵防御百分比增加:1</v>
      </c>
      <c r="Q1287" s="21"/>
      <c r="R1287" t="str">
        <f t="shared" si="1016"/>
        <v>防御百分比</v>
      </c>
      <c r="T1287" t="str">
        <f t="shared" si="1017"/>
        <v>:1</v>
      </c>
      <c r="U1287" t="str">
        <f t="shared" si="1018"/>
        <v>弓兵</v>
      </c>
      <c r="V1287" t="s">
        <v>4556</v>
      </c>
      <c r="W1287">
        <f>属性类型!G1287</f>
        <v>128</v>
      </c>
      <c r="X1287">
        <v>1</v>
      </c>
    </row>
    <row r="1288" customFormat="1" ht="16.5" spans="1:24">
      <c r="A1288" s="17">
        <f t="shared" si="1012"/>
        <v>32415</v>
      </c>
      <c r="B1288" s="17">
        <f t="shared" si="993"/>
        <v>32400</v>
      </c>
      <c r="C1288" s="17" t="str">
        <f t="shared" si="1005"/>
        <v>3</v>
      </c>
      <c r="D1288" s="17">
        <f t="shared" si="994"/>
        <v>30003</v>
      </c>
      <c r="E1288" s="17">
        <v>1</v>
      </c>
      <c r="F1288" s="17">
        <f t="shared" si="991"/>
        <v>3</v>
      </c>
      <c r="G1288" s="17" t="str">
        <f t="shared" si="1013"/>
        <v>高级防御百分比</v>
      </c>
      <c r="H1288" s="17" t="str">
        <f t="shared" si="1014"/>
        <v>icon_05</v>
      </c>
      <c r="I1288" s="20">
        <v>0</v>
      </c>
      <c r="J1288" s="17">
        <v>15</v>
      </c>
      <c r="K1288" s="17">
        <f t="shared" si="1011"/>
        <v>32416</v>
      </c>
      <c r="L1288" s="17" t="s">
        <v>630</v>
      </c>
      <c r="M1288" s="17" t="str">
        <f t="shared" si="1015"/>
        <v>1:12100:10</v>
      </c>
      <c r="N1288" s="16" t="str">
        <f t="shared" si="990"/>
        <v>128:1</v>
      </c>
      <c r="O1288" s="17">
        <f t="shared" si="992"/>
        <v>5</v>
      </c>
      <c r="P1288" s="21" t="str">
        <f t="shared" si="1002"/>
        <v>所有弓兵防御百分比增加:1</v>
      </c>
      <c r="Q1288" s="21"/>
      <c r="R1288" t="str">
        <f t="shared" si="1016"/>
        <v>防御百分比</v>
      </c>
      <c r="T1288" t="str">
        <f t="shared" si="1017"/>
        <v>:1</v>
      </c>
      <c r="U1288" t="str">
        <f t="shared" si="1018"/>
        <v>弓兵</v>
      </c>
      <c r="V1288" t="s">
        <v>4556</v>
      </c>
      <c r="W1288">
        <f>属性类型!G1288</f>
        <v>128</v>
      </c>
      <c r="X1288">
        <v>1</v>
      </c>
    </row>
    <row r="1289" customFormat="1" ht="16.5" spans="1:24">
      <c r="A1289" s="17">
        <f t="shared" si="1012"/>
        <v>32416</v>
      </c>
      <c r="B1289" s="17">
        <f t="shared" si="993"/>
        <v>32400</v>
      </c>
      <c r="C1289" s="17" t="str">
        <f t="shared" si="1005"/>
        <v>3</v>
      </c>
      <c r="D1289" s="17">
        <f t="shared" si="994"/>
        <v>30003</v>
      </c>
      <c r="E1289" s="17">
        <v>1</v>
      </c>
      <c r="F1289" s="17">
        <f t="shared" si="991"/>
        <v>3</v>
      </c>
      <c r="G1289" s="17" t="str">
        <f t="shared" si="1013"/>
        <v>高级防御百分比</v>
      </c>
      <c r="H1289" s="17" t="str">
        <f t="shared" si="1014"/>
        <v>icon_05</v>
      </c>
      <c r="I1289" s="20">
        <v>0</v>
      </c>
      <c r="J1289" s="17">
        <v>16</v>
      </c>
      <c r="K1289" s="17">
        <f t="shared" si="1011"/>
        <v>32417</v>
      </c>
      <c r="L1289" s="17" t="s">
        <v>633</v>
      </c>
      <c r="M1289" s="17" t="str">
        <f t="shared" si="1015"/>
        <v>1:12100:10</v>
      </c>
      <c r="N1289" s="16" t="str">
        <f t="shared" si="990"/>
        <v>128:1</v>
      </c>
      <c r="O1289" s="17">
        <f t="shared" si="992"/>
        <v>5</v>
      </c>
      <c r="P1289" s="21" t="str">
        <f t="shared" si="1002"/>
        <v>所有弓兵防御百分比增加:1</v>
      </c>
      <c r="Q1289" s="21"/>
      <c r="R1289" t="str">
        <f t="shared" si="1016"/>
        <v>防御百分比</v>
      </c>
      <c r="T1289" t="str">
        <f t="shared" si="1017"/>
        <v>:1</v>
      </c>
      <c r="U1289" t="str">
        <f t="shared" si="1018"/>
        <v>弓兵</v>
      </c>
      <c r="V1289" t="s">
        <v>4556</v>
      </c>
      <c r="W1289">
        <f>属性类型!G1289</f>
        <v>128</v>
      </c>
      <c r="X1289">
        <v>1</v>
      </c>
    </row>
    <row r="1290" customFormat="1" ht="16.5" spans="1:24">
      <c r="A1290" s="17">
        <f t="shared" si="1012"/>
        <v>32417</v>
      </c>
      <c r="B1290" s="17">
        <f t="shared" si="993"/>
        <v>32400</v>
      </c>
      <c r="C1290" s="17" t="str">
        <f t="shared" si="1005"/>
        <v>3</v>
      </c>
      <c r="D1290" s="17">
        <f t="shared" si="994"/>
        <v>30003</v>
      </c>
      <c r="E1290" s="17">
        <v>1</v>
      </c>
      <c r="F1290" s="17">
        <f t="shared" si="991"/>
        <v>3</v>
      </c>
      <c r="G1290" s="17" t="str">
        <f t="shared" si="1013"/>
        <v>高级防御百分比</v>
      </c>
      <c r="H1290" s="17" t="str">
        <f t="shared" si="1014"/>
        <v>icon_05</v>
      </c>
      <c r="I1290" s="20">
        <v>0</v>
      </c>
      <c r="J1290" s="17">
        <v>17</v>
      </c>
      <c r="K1290" s="17">
        <f t="shared" si="1011"/>
        <v>32418</v>
      </c>
      <c r="L1290" s="17" t="s">
        <v>637</v>
      </c>
      <c r="M1290" s="17" t="str">
        <f t="shared" si="1015"/>
        <v>1:12100:10</v>
      </c>
      <c r="N1290" s="16" t="str">
        <f t="shared" si="990"/>
        <v>128:1</v>
      </c>
      <c r="O1290" s="17">
        <f t="shared" si="992"/>
        <v>5</v>
      </c>
      <c r="P1290" s="21" t="str">
        <f t="shared" si="1002"/>
        <v>所有弓兵防御百分比增加:1</v>
      </c>
      <c r="Q1290" s="21"/>
      <c r="R1290" t="str">
        <f t="shared" si="1016"/>
        <v>防御百分比</v>
      </c>
      <c r="T1290" t="str">
        <f t="shared" si="1017"/>
        <v>:1</v>
      </c>
      <c r="U1290" t="str">
        <f t="shared" si="1018"/>
        <v>弓兵</v>
      </c>
      <c r="V1290" t="s">
        <v>4556</v>
      </c>
      <c r="W1290">
        <f>属性类型!G1290</f>
        <v>128</v>
      </c>
      <c r="X1290">
        <v>1</v>
      </c>
    </row>
    <row r="1291" customFormat="1" ht="16.5" spans="1:24">
      <c r="A1291" s="17">
        <f t="shared" si="1012"/>
        <v>32418</v>
      </c>
      <c r="B1291" s="17">
        <f t="shared" si="993"/>
        <v>32400</v>
      </c>
      <c r="C1291" s="17" t="str">
        <f t="shared" si="1005"/>
        <v>3</v>
      </c>
      <c r="D1291" s="17">
        <f t="shared" si="994"/>
        <v>30003</v>
      </c>
      <c r="E1291" s="17">
        <v>1</v>
      </c>
      <c r="F1291" s="17">
        <f t="shared" si="991"/>
        <v>3</v>
      </c>
      <c r="G1291" s="17" t="str">
        <f t="shared" si="1013"/>
        <v>高级防御百分比</v>
      </c>
      <c r="H1291" s="17" t="str">
        <f t="shared" si="1014"/>
        <v>icon_05</v>
      </c>
      <c r="I1291" s="20">
        <v>0</v>
      </c>
      <c r="J1291" s="17">
        <v>18</v>
      </c>
      <c r="K1291" s="17">
        <f t="shared" si="1011"/>
        <v>32419</v>
      </c>
      <c r="L1291" s="17" t="s">
        <v>641</v>
      </c>
      <c r="M1291" s="17" t="str">
        <f t="shared" si="1015"/>
        <v>1:12100:10</v>
      </c>
      <c r="N1291" s="16" t="str">
        <f t="shared" ref="N1291:N1354" si="1019">W1291&amp;$W$2&amp;X1291</f>
        <v>128:1</v>
      </c>
      <c r="O1291" s="17">
        <f t="shared" si="992"/>
        <v>5</v>
      </c>
      <c r="P1291" s="21" t="str">
        <f t="shared" si="1002"/>
        <v>所有弓兵防御百分比增加:1</v>
      </c>
      <c r="Q1291" s="21"/>
      <c r="R1291" t="str">
        <f t="shared" si="1016"/>
        <v>防御百分比</v>
      </c>
      <c r="T1291" t="str">
        <f t="shared" si="1017"/>
        <v>:1</v>
      </c>
      <c r="U1291" t="str">
        <f t="shared" si="1018"/>
        <v>弓兵</v>
      </c>
      <c r="V1291" t="s">
        <v>4556</v>
      </c>
      <c r="W1291">
        <f>属性类型!G1291</f>
        <v>128</v>
      </c>
      <c r="X1291">
        <v>1</v>
      </c>
    </row>
    <row r="1292" customFormat="1" ht="16.5" spans="1:24">
      <c r="A1292" s="17">
        <f t="shared" si="1012"/>
        <v>32419</v>
      </c>
      <c r="B1292" s="17">
        <f t="shared" si="993"/>
        <v>32400</v>
      </c>
      <c r="C1292" s="17" t="str">
        <f t="shared" si="1005"/>
        <v>3</v>
      </c>
      <c r="D1292" s="17">
        <f t="shared" si="994"/>
        <v>30003</v>
      </c>
      <c r="E1292" s="17">
        <v>1</v>
      </c>
      <c r="F1292" s="17">
        <f t="shared" si="991"/>
        <v>3</v>
      </c>
      <c r="G1292" s="17" t="str">
        <f t="shared" si="1013"/>
        <v>高级防御百分比</v>
      </c>
      <c r="H1292" s="17" t="str">
        <f t="shared" si="1014"/>
        <v>icon_05</v>
      </c>
      <c r="I1292" s="20">
        <v>0</v>
      </c>
      <c r="J1292" s="17">
        <v>19</v>
      </c>
      <c r="K1292" s="17">
        <f t="shared" si="1011"/>
        <v>32420</v>
      </c>
      <c r="L1292" s="17" t="s">
        <v>645</v>
      </c>
      <c r="M1292" s="17" t="str">
        <f t="shared" si="1015"/>
        <v>1:12100:10</v>
      </c>
      <c r="N1292" s="16" t="str">
        <f t="shared" si="1019"/>
        <v>128:1</v>
      </c>
      <c r="O1292" s="17">
        <f t="shared" si="992"/>
        <v>5</v>
      </c>
      <c r="P1292" s="21" t="str">
        <f t="shared" si="1002"/>
        <v>所有弓兵防御百分比增加:1</v>
      </c>
      <c r="Q1292" s="21"/>
      <c r="R1292" t="str">
        <f t="shared" si="1016"/>
        <v>防御百分比</v>
      </c>
      <c r="T1292" t="str">
        <f t="shared" si="1017"/>
        <v>:1</v>
      </c>
      <c r="U1292" t="str">
        <f t="shared" si="1018"/>
        <v>弓兵</v>
      </c>
      <c r="V1292" t="s">
        <v>4556</v>
      </c>
      <c r="W1292">
        <f>属性类型!G1292</f>
        <v>128</v>
      </c>
      <c r="X1292">
        <v>1</v>
      </c>
    </row>
    <row r="1293" customFormat="1" ht="16.5" spans="1:24">
      <c r="A1293" s="17">
        <f t="shared" si="1012"/>
        <v>32420</v>
      </c>
      <c r="B1293" s="17">
        <f t="shared" si="993"/>
        <v>32400</v>
      </c>
      <c r="C1293" s="17" t="str">
        <f t="shared" si="1005"/>
        <v>3</v>
      </c>
      <c r="D1293" s="17">
        <f t="shared" si="994"/>
        <v>30003</v>
      </c>
      <c r="E1293" s="17">
        <v>1</v>
      </c>
      <c r="F1293" s="17">
        <f t="shared" si="991"/>
        <v>3</v>
      </c>
      <c r="G1293" s="17" t="str">
        <f t="shared" si="1013"/>
        <v>高级防御百分比</v>
      </c>
      <c r="H1293" s="17" t="str">
        <f t="shared" si="1014"/>
        <v>icon_05</v>
      </c>
      <c r="I1293" s="20">
        <v>0</v>
      </c>
      <c r="J1293" s="17">
        <v>20</v>
      </c>
      <c r="K1293" s="17">
        <v>0</v>
      </c>
      <c r="L1293" s="17">
        <v>0</v>
      </c>
      <c r="M1293" s="17" t="str">
        <f t="shared" si="1015"/>
        <v>1:12100:10</v>
      </c>
      <c r="N1293" s="16" t="str">
        <f t="shared" si="1019"/>
        <v>128:1</v>
      </c>
      <c r="O1293" s="17">
        <f t="shared" si="992"/>
        <v>5</v>
      </c>
      <c r="P1293" s="21" t="str">
        <f t="shared" si="1002"/>
        <v>所有弓兵防御百分比增加:1</v>
      </c>
      <c r="Q1293" s="21"/>
      <c r="R1293" t="str">
        <f t="shared" si="1016"/>
        <v>防御百分比</v>
      </c>
      <c r="T1293" t="str">
        <f t="shared" si="1017"/>
        <v>:1</v>
      </c>
      <c r="U1293" t="str">
        <f t="shared" si="1018"/>
        <v>弓兵</v>
      </c>
      <c r="V1293" t="s">
        <v>4556</v>
      </c>
      <c r="W1293">
        <f>属性类型!G1293</f>
        <v>128</v>
      </c>
      <c r="X1293">
        <v>1</v>
      </c>
    </row>
    <row r="1294" customFormat="1" ht="16.5" spans="1:24">
      <c r="A1294" s="18">
        <f>A1273+100</f>
        <v>32500</v>
      </c>
      <c r="B1294" s="18">
        <f t="shared" si="993"/>
        <v>32500</v>
      </c>
      <c r="C1294" s="18" t="str">
        <f t="shared" si="1005"/>
        <v>3</v>
      </c>
      <c r="D1294" s="17">
        <f t="shared" si="994"/>
        <v>30003</v>
      </c>
      <c r="E1294" s="17">
        <v>1</v>
      </c>
      <c r="F1294" s="18">
        <f t="shared" si="991"/>
        <v>3</v>
      </c>
      <c r="G1294" s="18" t="s">
        <v>650</v>
      </c>
      <c r="H1294" s="18" t="s">
        <v>149</v>
      </c>
      <c r="I1294" s="20">
        <v>0</v>
      </c>
      <c r="J1294" s="18">
        <v>0</v>
      </c>
      <c r="K1294" s="18">
        <f t="shared" ref="K1294:K1313" si="1020">A1295</f>
        <v>32501</v>
      </c>
      <c r="L1294" s="18" t="s">
        <v>206</v>
      </c>
      <c r="M1294" s="18" t="s">
        <v>652</v>
      </c>
      <c r="N1294" s="16" t="str">
        <f t="shared" si="1019"/>
        <v>127:1</v>
      </c>
      <c r="O1294" s="18">
        <f t="shared" si="992"/>
        <v>6</v>
      </c>
      <c r="P1294" s="21" t="str">
        <f t="shared" si="1002"/>
        <v>所有弓兵攻击百分比增加1</v>
      </c>
      <c r="Q1294" s="21"/>
      <c r="R1294" t="s">
        <v>4280</v>
      </c>
      <c r="T1294" t="str">
        <f>RIGHT(N1294,1)</f>
        <v>1</v>
      </c>
      <c r="U1294" t="str">
        <f t="shared" si="1018"/>
        <v>弓兵</v>
      </c>
      <c r="V1294" t="s">
        <v>4557</v>
      </c>
      <c r="W1294">
        <f>属性类型!G1294</f>
        <v>127</v>
      </c>
      <c r="X1294">
        <v>1</v>
      </c>
    </row>
    <row r="1295" customFormat="1" ht="16.5" spans="1:24">
      <c r="A1295" s="17">
        <f t="shared" ref="A1295:A1314" si="1021">A1294+1</f>
        <v>32501</v>
      </c>
      <c r="B1295" s="17">
        <f t="shared" si="993"/>
        <v>32500</v>
      </c>
      <c r="C1295" s="17" t="str">
        <f t="shared" si="1005"/>
        <v>3</v>
      </c>
      <c r="D1295" s="17">
        <f t="shared" si="994"/>
        <v>30003</v>
      </c>
      <c r="E1295" s="17">
        <v>1</v>
      </c>
      <c r="F1295" s="17">
        <f t="shared" si="991"/>
        <v>3</v>
      </c>
      <c r="G1295" s="17" t="str">
        <f t="shared" ref="G1295:G1314" si="1022">G1294</f>
        <v>高级攻击百分比</v>
      </c>
      <c r="H1295" s="17" t="str">
        <f t="shared" ref="H1295:H1314" si="1023">H1294</f>
        <v>icon_06</v>
      </c>
      <c r="I1295" s="20">
        <v>0</v>
      </c>
      <c r="J1295" s="17">
        <v>1</v>
      </c>
      <c r="K1295" s="17">
        <f t="shared" si="1020"/>
        <v>32502</v>
      </c>
      <c r="L1295" s="17" t="s">
        <v>211</v>
      </c>
      <c r="M1295" s="17" t="str">
        <f t="shared" ref="M1295:M1314" si="1024">M1294</f>
        <v>1:12200:10</v>
      </c>
      <c r="N1295" s="16" t="str">
        <f t="shared" si="1019"/>
        <v>127:1</v>
      </c>
      <c r="O1295" s="17">
        <f t="shared" si="992"/>
        <v>6</v>
      </c>
      <c r="P1295" s="21" t="str">
        <f t="shared" si="1002"/>
        <v>所有弓兵攻击百分比增加:1</v>
      </c>
      <c r="Q1295" s="21"/>
      <c r="R1295" t="str">
        <f t="shared" ref="R1295:R1314" si="1025">R1294</f>
        <v>攻击百分比</v>
      </c>
      <c r="T1295" t="str">
        <f t="shared" ref="T1295:T1314" si="1026">RIGHT(N1295,2)</f>
        <v>:1</v>
      </c>
      <c r="U1295" t="str">
        <f t="shared" si="1018"/>
        <v>弓兵</v>
      </c>
      <c r="V1295" t="s">
        <v>4557</v>
      </c>
      <c r="W1295">
        <f>属性类型!G1295</f>
        <v>127</v>
      </c>
      <c r="X1295">
        <v>1</v>
      </c>
    </row>
    <row r="1296" customFormat="1" ht="16.5" spans="1:24">
      <c r="A1296" s="17">
        <f t="shared" si="1021"/>
        <v>32502</v>
      </c>
      <c r="B1296" s="17">
        <f t="shared" si="993"/>
        <v>32500</v>
      </c>
      <c r="C1296" s="17" t="str">
        <f t="shared" si="1005"/>
        <v>3</v>
      </c>
      <c r="D1296" s="17">
        <f t="shared" si="994"/>
        <v>30003</v>
      </c>
      <c r="E1296" s="17">
        <v>1</v>
      </c>
      <c r="F1296" s="17">
        <f t="shared" ref="F1296:F1359" si="1027">MID(B1296,2,1)+1</f>
        <v>3</v>
      </c>
      <c r="G1296" s="17" t="str">
        <f t="shared" si="1022"/>
        <v>高级攻击百分比</v>
      </c>
      <c r="H1296" s="17" t="str">
        <f t="shared" si="1023"/>
        <v>icon_06</v>
      </c>
      <c r="I1296" s="20">
        <v>0</v>
      </c>
      <c r="J1296" s="17">
        <v>2</v>
      </c>
      <c r="K1296" s="17">
        <f t="shared" si="1020"/>
        <v>32503</v>
      </c>
      <c r="L1296" s="17" t="s">
        <v>215</v>
      </c>
      <c r="M1296" s="17" t="str">
        <f t="shared" si="1024"/>
        <v>1:12200:10</v>
      </c>
      <c r="N1296" s="16" t="str">
        <f t="shared" si="1019"/>
        <v>127:1</v>
      </c>
      <c r="O1296" s="17">
        <f t="shared" ref="O1296:O1359" si="1028">MID(A1296,3,1)+1</f>
        <v>6</v>
      </c>
      <c r="P1296" s="21" t="str">
        <f t="shared" si="1002"/>
        <v>所有弓兵攻击百分比增加:1</v>
      </c>
      <c r="Q1296" s="21"/>
      <c r="R1296" t="str">
        <f t="shared" si="1025"/>
        <v>攻击百分比</v>
      </c>
      <c r="T1296" t="str">
        <f t="shared" si="1026"/>
        <v>:1</v>
      </c>
      <c r="U1296" t="str">
        <f t="shared" si="1018"/>
        <v>弓兵</v>
      </c>
      <c r="V1296" t="s">
        <v>4557</v>
      </c>
      <c r="W1296">
        <f>属性类型!G1296</f>
        <v>127</v>
      </c>
      <c r="X1296">
        <v>1</v>
      </c>
    </row>
    <row r="1297" customFormat="1" ht="16.5" spans="1:24">
      <c r="A1297" s="17">
        <f t="shared" si="1021"/>
        <v>32503</v>
      </c>
      <c r="B1297" s="17">
        <f t="shared" si="993"/>
        <v>32500</v>
      </c>
      <c r="C1297" s="17" t="str">
        <f t="shared" si="1005"/>
        <v>3</v>
      </c>
      <c r="D1297" s="17">
        <f t="shared" si="994"/>
        <v>30003</v>
      </c>
      <c r="E1297" s="17">
        <v>1</v>
      </c>
      <c r="F1297" s="17">
        <f t="shared" si="1027"/>
        <v>3</v>
      </c>
      <c r="G1297" s="17" t="str">
        <f t="shared" si="1022"/>
        <v>高级攻击百分比</v>
      </c>
      <c r="H1297" s="17" t="str">
        <f t="shared" si="1023"/>
        <v>icon_06</v>
      </c>
      <c r="I1297" s="20">
        <v>0</v>
      </c>
      <c r="J1297" s="17">
        <v>3</v>
      </c>
      <c r="K1297" s="17">
        <f t="shared" si="1020"/>
        <v>32504</v>
      </c>
      <c r="L1297" s="17" t="s">
        <v>218</v>
      </c>
      <c r="M1297" s="17" t="str">
        <f t="shared" si="1024"/>
        <v>1:12200:10</v>
      </c>
      <c r="N1297" s="16" t="str">
        <f t="shared" si="1019"/>
        <v>127:1</v>
      </c>
      <c r="O1297" s="17">
        <f t="shared" si="1028"/>
        <v>6</v>
      </c>
      <c r="P1297" s="21" t="str">
        <f t="shared" si="1002"/>
        <v>所有弓兵攻击百分比增加:1</v>
      </c>
      <c r="Q1297" s="21"/>
      <c r="R1297" t="str">
        <f t="shared" si="1025"/>
        <v>攻击百分比</v>
      </c>
      <c r="T1297" t="str">
        <f t="shared" si="1026"/>
        <v>:1</v>
      </c>
      <c r="U1297" t="str">
        <f t="shared" si="1018"/>
        <v>弓兵</v>
      </c>
      <c r="V1297" t="s">
        <v>4557</v>
      </c>
      <c r="W1297">
        <f>属性类型!G1297</f>
        <v>127</v>
      </c>
      <c r="X1297">
        <v>1</v>
      </c>
    </row>
    <row r="1298" customFormat="1" ht="16.5" spans="1:24">
      <c r="A1298" s="17">
        <f t="shared" si="1021"/>
        <v>32504</v>
      </c>
      <c r="B1298" s="17">
        <f t="shared" si="993"/>
        <v>32500</v>
      </c>
      <c r="C1298" s="17" t="str">
        <f t="shared" si="1005"/>
        <v>3</v>
      </c>
      <c r="D1298" s="17">
        <f t="shared" si="994"/>
        <v>30003</v>
      </c>
      <c r="E1298" s="17">
        <v>1</v>
      </c>
      <c r="F1298" s="17">
        <f t="shared" si="1027"/>
        <v>3</v>
      </c>
      <c r="G1298" s="17" t="str">
        <f t="shared" si="1022"/>
        <v>高级攻击百分比</v>
      </c>
      <c r="H1298" s="17" t="str">
        <f t="shared" si="1023"/>
        <v>icon_06</v>
      </c>
      <c r="I1298" s="20">
        <v>0</v>
      </c>
      <c r="J1298" s="17">
        <v>4</v>
      </c>
      <c r="K1298" s="17">
        <f t="shared" si="1020"/>
        <v>32505</v>
      </c>
      <c r="L1298" s="17" t="s">
        <v>221</v>
      </c>
      <c r="M1298" s="17" t="str">
        <f t="shared" si="1024"/>
        <v>1:12200:10</v>
      </c>
      <c r="N1298" s="16" t="str">
        <f t="shared" si="1019"/>
        <v>127:1</v>
      </c>
      <c r="O1298" s="17">
        <f t="shared" si="1028"/>
        <v>6</v>
      </c>
      <c r="P1298" s="21" t="str">
        <f t="shared" si="1002"/>
        <v>所有弓兵攻击百分比增加:1</v>
      </c>
      <c r="Q1298" s="21"/>
      <c r="R1298" t="str">
        <f t="shared" si="1025"/>
        <v>攻击百分比</v>
      </c>
      <c r="T1298" t="str">
        <f t="shared" si="1026"/>
        <v>:1</v>
      </c>
      <c r="U1298" t="str">
        <f t="shared" si="1018"/>
        <v>弓兵</v>
      </c>
      <c r="V1298" t="s">
        <v>4557</v>
      </c>
      <c r="W1298">
        <f>属性类型!G1298</f>
        <v>127</v>
      </c>
      <c r="X1298">
        <v>1</v>
      </c>
    </row>
    <row r="1299" customFormat="1" ht="16.5" spans="1:24">
      <c r="A1299" s="17">
        <f t="shared" si="1021"/>
        <v>32505</v>
      </c>
      <c r="B1299" s="17">
        <f t="shared" si="993"/>
        <v>32500</v>
      </c>
      <c r="C1299" s="17" t="str">
        <f t="shared" si="1005"/>
        <v>3</v>
      </c>
      <c r="D1299" s="17">
        <f t="shared" si="994"/>
        <v>30003</v>
      </c>
      <c r="E1299" s="17">
        <v>1</v>
      </c>
      <c r="F1299" s="17">
        <f t="shared" si="1027"/>
        <v>3</v>
      </c>
      <c r="G1299" s="17" t="str">
        <f t="shared" si="1022"/>
        <v>高级攻击百分比</v>
      </c>
      <c r="H1299" s="17" t="str">
        <f t="shared" si="1023"/>
        <v>icon_06</v>
      </c>
      <c r="I1299" s="20">
        <v>0</v>
      </c>
      <c r="J1299" s="17">
        <v>5</v>
      </c>
      <c r="K1299" s="17">
        <f t="shared" si="1020"/>
        <v>32506</v>
      </c>
      <c r="L1299" s="17" t="s">
        <v>224</v>
      </c>
      <c r="M1299" s="17" t="str">
        <f t="shared" si="1024"/>
        <v>1:12200:10</v>
      </c>
      <c r="N1299" s="16" t="str">
        <f t="shared" si="1019"/>
        <v>127:1</v>
      </c>
      <c r="O1299" s="17">
        <f t="shared" si="1028"/>
        <v>6</v>
      </c>
      <c r="P1299" s="21" t="str">
        <f t="shared" si="1002"/>
        <v>所有弓兵攻击百分比增加:1</v>
      </c>
      <c r="Q1299" s="21"/>
      <c r="R1299" t="str">
        <f t="shared" si="1025"/>
        <v>攻击百分比</v>
      </c>
      <c r="T1299" t="str">
        <f t="shared" si="1026"/>
        <v>:1</v>
      </c>
      <c r="U1299" t="str">
        <f t="shared" si="1018"/>
        <v>弓兵</v>
      </c>
      <c r="V1299" t="s">
        <v>4557</v>
      </c>
      <c r="W1299">
        <f>属性类型!G1299</f>
        <v>127</v>
      </c>
      <c r="X1299">
        <v>1</v>
      </c>
    </row>
    <row r="1300" customFormat="1" ht="16.5" spans="1:24">
      <c r="A1300" s="17">
        <f t="shared" si="1021"/>
        <v>32506</v>
      </c>
      <c r="B1300" s="17">
        <f t="shared" si="993"/>
        <v>32500</v>
      </c>
      <c r="C1300" s="17" t="str">
        <f t="shared" si="1005"/>
        <v>3</v>
      </c>
      <c r="D1300" s="17">
        <f t="shared" si="994"/>
        <v>30003</v>
      </c>
      <c r="E1300" s="17">
        <v>1</v>
      </c>
      <c r="F1300" s="17">
        <f t="shared" si="1027"/>
        <v>3</v>
      </c>
      <c r="G1300" s="17" t="str">
        <f t="shared" si="1022"/>
        <v>高级攻击百分比</v>
      </c>
      <c r="H1300" s="17" t="str">
        <f t="shared" si="1023"/>
        <v>icon_06</v>
      </c>
      <c r="I1300" s="20">
        <v>0</v>
      </c>
      <c r="J1300" s="17">
        <v>6</v>
      </c>
      <c r="K1300" s="17">
        <f t="shared" si="1020"/>
        <v>32507</v>
      </c>
      <c r="L1300" s="17" t="s">
        <v>227</v>
      </c>
      <c r="M1300" s="17" t="str">
        <f t="shared" si="1024"/>
        <v>1:12200:10</v>
      </c>
      <c r="N1300" s="16" t="str">
        <f t="shared" si="1019"/>
        <v>127:1</v>
      </c>
      <c r="O1300" s="17">
        <f t="shared" si="1028"/>
        <v>6</v>
      </c>
      <c r="P1300" s="21" t="str">
        <f t="shared" si="1002"/>
        <v>所有弓兵攻击百分比增加:1</v>
      </c>
      <c r="Q1300" s="21"/>
      <c r="R1300" t="str">
        <f t="shared" si="1025"/>
        <v>攻击百分比</v>
      </c>
      <c r="T1300" t="str">
        <f t="shared" si="1026"/>
        <v>:1</v>
      </c>
      <c r="U1300" t="str">
        <f t="shared" si="1018"/>
        <v>弓兵</v>
      </c>
      <c r="V1300" t="s">
        <v>4557</v>
      </c>
      <c r="W1300">
        <f>属性类型!G1300</f>
        <v>127</v>
      </c>
      <c r="X1300">
        <v>1</v>
      </c>
    </row>
    <row r="1301" customFormat="1" ht="16.5" spans="1:24">
      <c r="A1301" s="17">
        <f t="shared" si="1021"/>
        <v>32507</v>
      </c>
      <c r="B1301" s="17">
        <f t="shared" ref="B1301:B1364" si="1029">ROUND(A1301,-2)</f>
        <v>32500</v>
      </c>
      <c r="C1301" s="17" t="str">
        <f t="shared" si="1005"/>
        <v>3</v>
      </c>
      <c r="D1301" s="17">
        <f t="shared" ref="D1301:D1364" si="1030">$A$934+F1301</f>
        <v>30003</v>
      </c>
      <c r="E1301" s="17">
        <v>1</v>
      </c>
      <c r="F1301" s="17">
        <f t="shared" si="1027"/>
        <v>3</v>
      </c>
      <c r="G1301" s="17" t="str">
        <f t="shared" si="1022"/>
        <v>高级攻击百分比</v>
      </c>
      <c r="H1301" s="17" t="str">
        <f t="shared" si="1023"/>
        <v>icon_06</v>
      </c>
      <c r="I1301" s="20">
        <v>0</v>
      </c>
      <c r="J1301" s="17">
        <v>7</v>
      </c>
      <c r="K1301" s="17">
        <f t="shared" si="1020"/>
        <v>32508</v>
      </c>
      <c r="L1301" s="17" t="s">
        <v>230</v>
      </c>
      <c r="M1301" s="17" t="str">
        <f t="shared" si="1024"/>
        <v>1:12200:10</v>
      </c>
      <c r="N1301" s="16" t="str">
        <f t="shared" si="1019"/>
        <v>127:1</v>
      </c>
      <c r="O1301" s="17">
        <f t="shared" si="1028"/>
        <v>6</v>
      </c>
      <c r="P1301" s="21" t="str">
        <f t="shared" si="1002"/>
        <v>所有弓兵攻击百分比增加:1</v>
      </c>
      <c r="Q1301" s="21"/>
      <c r="R1301" t="str">
        <f t="shared" si="1025"/>
        <v>攻击百分比</v>
      </c>
      <c r="T1301" t="str">
        <f t="shared" si="1026"/>
        <v>:1</v>
      </c>
      <c r="U1301" t="str">
        <f t="shared" si="1018"/>
        <v>弓兵</v>
      </c>
      <c r="V1301" t="s">
        <v>4557</v>
      </c>
      <c r="W1301">
        <f>属性类型!G1301</f>
        <v>127</v>
      </c>
      <c r="X1301">
        <v>1</v>
      </c>
    </row>
    <row r="1302" customFormat="1" ht="16.5" spans="1:24">
      <c r="A1302" s="17">
        <f t="shared" si="1021"/>
        <v>32508</v>
      </c>
      <c r="B1302" s="17">
        <f t="shared" si="1029"/>
        <v>32500</v>
      </c>
      <c r="C1302" s="17" t="str">
        <f t="shared" si="1005"/>
        <v>3</v>
      </c>
      <c r="D1302" s="17">
        <f t="shared" si="1030"/>
        <v>30003</v>
      </c>
      <c r="E1302" s="17">
        <v>1</v>
      </c>
      <c r="F1302" s="17">
        <f t="shared" si="1027"/>
        <v>3</v>
      </c>
      <c r="G1302" s="17" t="str">
        <f t="shared" si="1022"/>
        <v>高级攻击百分比</v>
      </c>
      <c r="H1302" s="17" t="str">
        <f t="shared" si="1023"/>
        <v>icon_06</v>
      </c>
      <c r="I1302" s="20">
        <v>0</v>
      </c>
      <c r="J1302" s="17">
        <v>8</v>
      </c>
      <c r="K1302" s="17">
        <f t="shared" si="1020"/>
        <v>32509</v>
      </c>
      <c r="L1302" s="17" t="s">
        <v>233</v>
      </c>
      <c r="M1302" s="17" t="str">
        <f t="shared" si="1024"/>
        <v>1:12200:10</v>
      </c>
      <c r="N1302" s="16" t="str">
        <f t="shared" si="1019"/>
        <v>127:1</v>
      </c>
      <c r="O1302" s="17">
        <f t="shared" si="1028"/>
        <v>6</v>
      </c>
      <c r="P1302" s="21" t="str">
        <f t="shared" si="1002"/>
        <v>所有弓兵攻击百分比增加:1</v>
      </c>
      <c r="Q1302" s="21"/>
      <c r="R1302" t="str">
        <f t="shared" si="1025"/>
        <v>攻击百分比</v>
      </c>
      <c r="T1302" t="str">
        <f t="shared" si="1026"/>
        <v>:1</v>
      </c>
      <c r="U1302" t="str">
        <f t="shared" si="1018"/>
        <v>弓兵</v>
      </c>
      <c r="V1302" t="s">
        <v>4557</v>
      </c>
      <c r="W1302">
        <f>属性类型!G1302</f>
        <v>127</v>
      </c>
      <c r="X1302">
        <v>1</v>
      </c>
    </row>
    <row r="1303" customFormat="1" ht="16.5" spans="1:24">
      <c r="A1303" s="17">
        <f t="shared" si="1021"/>
        <v>32509</v>
      </c>
      <c r="B1303" s="17">
        <f t="shared" si="1029"/>
        <v>32500</v>
      </c>
      <c r="C1303" s="17" t="str">
        <f t="shared" si="1005"/>
        <v>3</v>
      </c>
      <c r="D1303" s="17">
        <f t="shared" si="1030"/>
        <v>30003</v>
      </c>
      <c r="E1303" s="17">
        <v>1</v>
      </c>
      <c r="F1303" s="17">
        <f t="shared" si="1027"/>
        <v>3</v>
      </c>
      <c r="G1303" s="17" t="str">
        <f t="shared" si="1022"/>
        <v>高级攻击百分比</v>
      </c>
      <c r="H1303" s="17" t="str">
        <f t="shared" si="1023"/>
        <v>icon_06</v>
      </c>
      <c r="I1303" s="20">
        <v>0</v>
      </c>
      <c r="J1303" s="17">
        <v>9</v>
      </c>
      <c r="K1303" s="17">
        <f t="shared" si="1020"/>
        <v>32510</v>
      </c>
      <c r="L1303" s="17" t="s">
        <v>236</v>
      </c>
      <c r="M1303" s="17" t="str">
        <f t="shared" si="1024"/>
        <v>1:12200:10</v>
      </c>
      <c r="N1303" s="16" t="str">
        <f t="shared" si="1019"/>
        <v>127:1</v>
      </c>
      <c r="O1303" s="17">
        <f t="shared" si="1028"/>
        <v>6</v>
      </c>
      <c r="P1303" s="21" t="str">
        <f t="shared" si="1002"/>
        <v>所有弓兵攻击百分比增加:1</v>
      </c>
      <c r="Q1303" s="21"/>
      <c r="R1303" t="str">
        <f t="shared" si="1025"/>
        <v>攻击百分比</v>
      </c>
      <c r="T1303" t="str">
        <f t="shared" si="1026"/>
        <v>:1</v>
      </c>
      <c r="U1303" t="str">
        <f t="shared" si="1018"/>
        <v>弓兵</v>
      </c>
      <c r="V1303" t="s">
        <v>4557</v>
      </c>
      <c r="W1303">
        <f>属性类型!G1303</f>
        <v>127</v>
      </c>
      <c r="X1303">
        <v>1</v>
      </c>
    </row>
    <row r="1304" customFormat="1" ht="16.5" spans="1:24">
      <c r="A1304" s="17">
        <f t="shared" si="1021"/>
        <v>32510</v>
      </c>
      <c r="B1304" s="17">
        <f t="shared" si="1029"/>
        <v>32500</v>
      </c>
      <c r="C1304" s="17" t="str">
        <f t="shared" si="1005"/>
        <v>3</v>
      </c>
      <c r="D1304" s="17">
        <f t="shared" si="1030"/>
        <v>30003</v>
      </c>
      <c r="E1304" s="17">
        <v>1</v>
      </c>
      <c r="F1304" s="17">
        <f t="shared" si="1027"/>
        <v>3</v>
      </c>
      <c r="G1304" s="17" t="str">
        <f t="shared" si="1022"/>
        <v>高级攻击百分比</v>
      </c>
      <c r="H1304" s="17" t="str">
        <f t="shared" si="1023"/>
        <v>icon_06</v>
      </c>
      <c r="I1304" s="20">
        <v>0</v>
      </c>
      <c r="J1304" s="17">
        <v>10</v>
      </c>
      <c r="K1304" s="17">
        <f t="shared" si="1020"/>
        <v>32511</v>
      </c>
      <c r="L1304" s="17" t="s">
        <v>238</v>
      </c>
      <c r="M1304" s="17" t="str">
        <f t="shared" si="1024"/>
        <v>1:12200:10</v>
      </c>
      <c r="N1304" s="16" t="str">
        <f t="shared" si="1019"/>
        <v>127:1</v>
      </c>
      <c r="O1304" s="17">
        <f t="shared" si="1028"/>
        <v>6</v>
      </c>
      <c r="P1304" s="21" t="str">
        <f t="shared" si="1002"/>
        <v>所有弓兵攻击百分比增加:1</v>
      </c>
      <c r="Q1304" s="21"/>
      <c r="R1304" t="str">
        <f t="shared" si="1025"/>
        <v>攻击百分比</v>
      </c>
      <c r="T1304" t="str">
        <f t="shared" si="1026"/>
        <v>:1</v>
      </c>
      <c r="U1304" t="str">
        <f t="shared" si="1018"/>
        <v>弓兵</v>
      </c>
      <c r="V1304" t="s">
        <v>4557</v>
      </c>
      <c r="W1304">
        <f>属性类型!G1304</f>
        <v>127</v>
      </c>
      <c r="X1304">
        <v>1</v>
      </c>
    </row>
    <row r="1305" customFormat="1" ht="16.5" spans="1:24">
      <c r="A1305" s="17">
        <f t="shared" si="1021"/>
        <v>32511</v>
      </c>
      <c r="B1305" s="17">
        <f t="shared" si="1029"/>
        <v>32500</v>
      </c>
      <c r="C1305" s="17" t="str">
        <f t="shared" si="1005"/>
        <v>3</v>
      </c>
      <c r="D1305" s="17">
        <f t="shared" si="1030"/>
        <v>30003</v>
      </c>
      <c r="E1305" s="17">
        <v>1</v>
      </c>
      <c r="F1305" s="17">
        <f t="shared" si="1027"/>
        <v>3</v>
      </c>
      <c r="G1305" s="17" t="str">
        <f t="shared" si="1022"/>
        <v>高级攻击百分比</v>
      </c>
      <c r="H1305" s="17" t="str">
        <f t="shared" si="1023"/>
        <v>icon_06</v>
      </c>
      <c r="I1305" s="20">
        <v>0</v>
      </c>
      <c r="J1305" s="17">
        <v>11</v>
      </c>
      <c r="K1305" s="17">
        <f t="shared" si="1020"/>
        <v>32512</v>
      </c>
      <c r="L1305" s="17" t="s">
        <v>529</v>
      </c>
      <c r="M1305" s="17" t="str">
        <f t="shared" si="1024"/>
        <v>1:12200:10</v>
      </c>
      <c r="N1305" s="16" t="str">
        <f t="shared" si="1019"/>
        <v>127:1</v>
      </c>
      <c r="O1305" s="17">
        <f t="shared" si="1028"/>
        <v>6</v>
      </c>
      <c r="P1305" s="21" t="str">
        <f t="shared" si="1002"/>
        <v>所有弓兵攻击百分比增加:1</v>
      </c>
      <c r="Q1305" s="21"/>
      <c r="R1305" t="str">
        <f t="shared" si="1025"/>
        <v>攻击百分比</v>
      </c>
      <c r="T1305" t="str">
        <f t="shared" si="1026"/>
        <v>:1</v>
      </c>
      <c r="U1305" t="str">
        <f t="shared" si="1018"/>
        <v>弓兵</v>
      </c>
      <c r="V1305" t="s">
        <v>4557</v>
      </c>
      <c r="W1305">
        <f>属性类型!G1305</f>
        <v>127</v>
      </c>
      <c r="X1305">
        <v>1</v>
      </c>
    </row>
    <row r="1306" customFormat="1" ht="16.5" spans="1:24">
      <c r="A1306" s="17">
        <f t="shared" si="1021"/>
        <v>32512</v>
      </c>
      <c r="B1306" s="17">
        <f t="shared" si="1029"/>
        <v>32500</v>
      </c>
      <c r="C1306" s="17" t="str">
        <f t="shared" si="1005"/>
        <v>3</v>
      </c>
      <c r="D1306" s="17">
        <f t="shared" si="1030"/>
        <v>30003</v>
      </c>
      <c r="E1306" s="17">
        <v>1</v>
      </c>
      <c r="F1306" s="17">
        <f t="shared" si="1027"/>
        <v>3</v>
      </c>
      <c r="G1306" s="17" t="str">
        <f t="shared" si="1022"/>
        <v>高级攻击百分比</v>
      </c>
      <c r="H1306" s="17" t="str">
        <f t="shared" si="1023"/>
        <v>icon_06</v>
      </c>
      <c r="I1306" s="20">
        <v>0</v>
      </c>
      <c r="J1306" s="17">
        <v>12</v>
      </c>
      <c r="K1306" s="17">
        <f t="shared" si="1020"/>
        <v>32513</v>
      </c>
      <c r="L1306" s="17" t="s">
        <v>532</v>
      </c>
      <c r="M1306" s="17" t="str">
        <f t="shared" si="1024"/>
        <v>1:12200:10</v>
      </c>
      <c r="N1306" s="16" t="str">
        <f t="shared" si="1019"/>
        <v>127:1</v>
      </c>
      <c r="O1306" s="17">
        <f t="shared" si="1028"/>
        <v>6</v>
      </c>
      <c r="P1306" s="21" t="str">
        <f t="shared" si="1002"/>
        <v>所有弓兵攻击百分比增加:1</v>
      </c>
      <c r="Q1306" s="21"/>
      <c r="R1306" t="str">
        <f t="shared" si="1025"/>
        <v>攻击百分比</v>
      </c>
      <c r="T1306" t="str">
        <f t="shared" si="1026"/>
        <v>:1</v>
      </c>
      <c r="U1306" t="str">
        <f t="shared" si="1018"/>
        <v>弓兵</v>
      </c>
      <c r="V1306" t="s">
        <v>4557</v>
      </c>
      <c r="W1306">
        <f>属性类型!G1306</f>
        <v>127</v>
      </c>
      <c r="X1306">
        <v>1</v>
      </c>
    </row>
    <row r="1307" customFormat="1" ht="16.5" spans="1:24">
      <c r="A1307" s="17">
        <f t="shared" si="1021"/>
        <v>32513</v>
      </c>
      <c r="B1307" s="17">
        <f t="shared" si="1029"/>
        <v>32500</v>
      </c>
      <c r="C1307" s="17" t="str">
        <f t="shared" si="1005"/>
        <v>3</v>
      </c>
      <c r="D1307" s="17">
        <f t="shared" si="1030"/>
        <v>30003</v>
      </c>
      <c r="E1307" s="17">
        <v>1</v>
      </c>
      <c r="F1307" s="17">
        <f t="shared" si="1027"/>
        <v>3</v>
      </c>
      <c r="G1307" s="17" t="str">
        <f t="shared" si="1022"/>
        <v>高级攻击百分比</v>
      </c>
      <c r="H1307" s="17" t="str">
        <f t="shared" si="1023"/>
        <v>icon_06</v>
      </c>
      <c r="I1307" s="20">
        <v>0</v>
      </c>
      <c r="J1307" s="17">
        <v>13</v>
      </c>
      <c r="K1307" s="17">
        <f t="shared" si="1020"/>
        <v>32514</v>
      </c>
      <c r="L1307" s="17" t="s">
        <v>561</v>
      </c>
      <c r="M1307" s="17" t="str">
        <f t="shared" si="1024"/>
        <v>1:12200:10</v>
      </c>
      <c r="N1307" s="16" t="str">
        <f t="shared" si="1019"/>
        <v>127:1</v>
      </c>
      <c r="O1307" s="17">
        <f t="shared" si="1028"/>
        <v>6</v>
      </c>
      <c r="P1307" s="21" t="str">
        <f t="shared" si="1002"/>
        <v>所有弓兵攻击百分比增加:1</v>
      </c>
      <c r="Q1307" s="21"/>
      <c r="R1307" t="str">
        <f t="shared" si="1025"/>
        <v>攻击百分比</v>
      </c>
      <c r="T1307" t="str">
        <f t="shared" si="1026"/>
        <v>:1</v>
      </c>
      <c r="U1307" t="str">
        <f t="shared" si="1018"/>
        <v>弓兵</v>
      </c>
      <c r="V1307" t="s">
        <v>4557</v>
      </c>
      <c r="W1307">
        <f>属性类型!G1307</f>
        <v>127</v>
      </c>
      <c r="X1307">
        <v>1</v>
      </c>
    </row>
    <row r="1308" customFormat="1" ht="16.5" spans="1:24">
      <c r="A1308" s="17">
        <f t="shared" si="1021"/>
        <v>32514</v>
      </c>
      <c r="B1308" s="17">
        <f t="shared" si="1029"/>
        <v>32500</v>
      </c>
      <c r="C1308" s="17" t="str">
        <f t="shared" si="1005"/>
        <v>3</v>
      </c>
      <c r="D1308" s="17">
        <f t="shared" si="1030"/>
        <v>30003</v>
      </c>
      <c r="E1308" s="17">
        <v>1</v>
      </c>
      <c r="F1308" s="17">
        <f t="shared" si="1027"/>
        <v>3</v>
      </c>
      <c r="G1308" s="17" t="str">
        <f t="shared" si="1022"/>
        <v>高级攻击百分比</v>
      </c>
      <c r="H1308" s="17" t="str">
        <f t="shared" si="1023"/>
        <v>icon_06</v>
      </c>
      <c r="I1308" s="20">
        <v>0</v>
      </c>
      <c r="J1308" s="17">
        <v>14</v>
      </c>
      <c r="K1308" s="17">
        <f t="shared" si="1020"/>
        <v>32515</v>
      </c>
      <c r="L1308" s="17" t="s">
        <v>564</v>
      </c>
      <c r="M1308" s="17" t="str">
        <f t="shared" si="1024"/>
        <v>1:12200:10</v>
      </c>
      <c r="N1308" s="16" t="str">
        <f t="shared" si="1019"/>
        <v>127:1</v>
      </c>
      <c r="O1308" s="17">
        <f t="shared" si="1028"/>
        <v>6</v>
      </c>
      <c r="P1308" s="21" t="str">
        <f t="shared" si="1002"/>
        <v>所有弓兵攻击百分比增加:1</v>
      </c>
      <c r="Q1308" s="21"/>
      <c r="R1308" t="str">
        <f t="shared" si="1025"/>
        <v>攻击百分比</v>
      </c>
      <c r="T1308" t="str">
        <f t="shared" si="1026"/>
        <v>:1</v>
      </c>
      <c r="U1308" t="str">
        <f t="shared" si="1018"/>
        <v>弓兵</v>
      </c>
      <c r="V1308" t="s">
        <v>4557</v>
      </c>
      <c r="W1308">
        <f>属性类型!G1308</f>
        <v>127</v>
      </c>
      <c r="X1308">
        <v>1</v>
      </c>
    </row>
    <row r="1309" customFormat="1" ht="16.5" spans="1:24">
      <c r="A1309" s="17">
        <f t="shared" si="1021"/>
        <v>32515</v>
      </c>
      <c r="B1309" s="17">
        <f t="shared" si="1029"/>
        <v>32500</v>
      </c>
      <c r="C1309" s="17" t="str">
        <f t="shared" si="1005"/>
        <v>3</v>
      </c>
      <c r="D1309" s="17">
        <f t="shared" si="1030"/>
        <v>30003</v>
      </c>
      <c r="E1309" s="17">
        <v>1</v>
      </c>
      <c r="F1309" s="17">
        <f t="shared" si="1027"/>
        <v>3</v>
      </c>
      <c r="G1309" s="17" t="str">
        <f t="shared" si="1022"/>
        <v>高级攻击百分比</v>
      </c>
      <c r="H1309" s="17" t="str">
        <f t="shared" si="1023"/>
        <v>icon_06</v>
      </c>
      <c r="I1309" s="20">
        <v>0</v>
      </c>
      <c r="J1309" s="17">
        <v>15</v>
      </c>
      <c r="K1309" s="17">
        <f t="shared" si="1020"/>
        <v>32516</v>
      </c>
      <c r="L1309" s="17" t="s">
        <v>630</v>
      </c>
      <c r="M1309" s="17" t="str">
        <f t="shared" si="1024"/>
        <v>1:12200:10</v>
      </c>
      <c r="N1309" s="16" t="str">
        <f t="shared" si="1019"/>
        <v>127:1</v>
      </c>
      <c r="O1309" s="17">
        <f t="shared" si="1028"/>
        <v>6</v>
      </c>
      <c r="P1309" s="21" t="str">
        <f t="shared" si="1002"/>
        <v>所有弓兵攻击百分比增加:1</v>
      </c>
      <c r="Q1309" s="21"/>
      <c r="R1309" t="str">
        <f t="shared" si="1025"/>
        <v>攻击百分比</v>
      </c>
      <c r="T1309" t="str">
        <f t="shared" si="1026"/>
        <v>:1</v>
      </c>
      <c r="U1309" t="str">
        <f t="shared" si="1018"/>
        <v>弓兵</v>
      </c>
      <c r="V1309" t="s">
        <v>4557</v>
      </c>
      <c r="W1309">
        <f>属性类型!G1309</f>
        <v>127</v>
      </c>
      <c r="X1309">
        <v>1</v>
      </c>
    </row>
    <row r="1310" customFormat="1" ht="16.5" spans="1:24">
      <c r="A1310" s="17">
        <f t="shared" si="1021"/>
        <v>32516</v>
      </c>
      <c r="B1310" s="17">
        <f t="shared" si="1029"/>
        <v>32500</v>
      </c>
      <c r="C1310" s="17" t="str">
        <f t="shared" si="1005"/>
        <v>3</v>
      </c>
      <c r="D1310" s="17">
        <f t="shared" si="1030"/>
        <v>30003</v>
      </c>
      <c r="E1310" s="17">
        <v>1</v>
      </c>
      <c r="F1310" s="17">
        <f t="shared" si="1027"/>
        <v>3</v>
      </c>
      <c r="G1310" s="17" t="str">
        <f t="shared" si="1022"/>
        <v>高级攻击百分比</v>
      </c>
      <c r="H1310" s="17" t="str">
        <f t="shared" si="1023"/>
        <v>icon_06</v>
      </c>
      <c r="I1310" s="20">
        <v>0</v>
      </c>
      <c r="J1310" s="17">
        <v>16</v>
      </c>
      <c r="K1310" s="17">
        <f t="shared" si="1020"/>
        <v>32517</v>
      </c>
      <c r="L1310" s="17" t="s">
        <v>633</v>
      </c>
      <c r="M1310" s="17" t="str">
        <f t="shared" si="1024"/>
        <v>1:12200:10</v>
      </c>
      <c r="N1310" s="16" t="str">
        <f t="shared" si="1019"/>
        <v>127:1</v>
      </c>
      <c r="O1310" s="17">
        <f t="shared" si="1028"/>
        <v>6</v>
      </c>
      <c r="P1310" s="21" t="str">
        <f t="shared" si="1002"/>
        <v>所有弓兵攻击百分比增加:1</v>
      </c>
      <c r="Q1310" s="21"/>
      <c r="R1310" t="str">
        <f t="shared" si="1025"/>
        <v>攻击百分比</v>
      </c>
      <c r="T1310" t="str">
        <f t="shared" si="1026"/>
        <v>:1</v>
      </c>
      <c r="U1310" t="str">
        <f t="shared" si="1018"/>
        <v>弓兵</v>
      </c>
      <c r="V1310" t="s">
        <v>4557</v>
      </c>
      <c r="W1310">
        <f>属性类型!G1310</f>
        <v>127</v>
      </c>
      <c r="X1310">
        <v>1</v>
      </c>
    </row>
    <row r="1311" customFormat="1" ht="16.5" spans="1:24">
      <c r="A1311" s="17">
        <f t="shared" si="1021"/>
        <v>32517</v>
      </c>
      <c r="B1311" s="17">
        <f t="shared" si="1029"/>
        <v>32500</v>
      </c>
      <c r="C1311" s="17" t="str">
        <f t="shared" si="1005"/>
        <v>3</v>
      </c>
      <c r="D1311" s="17">
        <f t="shared" si="1030"/>
        <v>30003</v>
      </c>
      <c r="E1311" s="17">
        <v>1</v>
      </c>
      <c r="F1311" s="17">
        <f t="shared" si="1027"/>
        <v>3</v>
      </c>
      <c r="G1311" s="17" t="str">
        <f t="shared" si="1022"/>
        <v>高级攻击百分比</v>
      </c>
      <c r="H1311" s="17" t="str">
        <f t="shared" si="1023"/>
        <v>icon_06</v>
      </c>
      <c r="I1311" s="20">
        <v>0</v>
      </c>
      <c r="J1311" s="17">
        <v>17</v>
      </c>
      <c r="K1311" s="17">
        <f t="shared" si="1020"/>
        <v>32518</v>
      </c>
      <c r="L1311" s="17" t="s">
        <v>637</v>
      </c>
      <c r="M1311" s="17" t="str">
        <f t="shared" si="1024"/>
        <v>1:12200:10</v>
      </c>
      <c r="N1311" s="16" t="str">
        <f t="shared" si="1019"/>
        <v>127:1</v>
      </c>
      <c r="O1311" s="17">
        <f t="shared" si="1028"/>
        <v>6</v>
      </c>
      <c r="P1311" s="21" t="str">
        <f t="shared" si="1002"/>
        <v>所有弓兵攻击百分比增加:1</v>
      </c>
      <c r="Q1311" s="21"/>
      <c r="R1311" t="str">
        <f t="shared" si="1025"/>
        <v>攻击百分比</v>
      </c>
      <c r="T1311" t="str">
        <f t="shared" si="1026"/>
        <v>:1</v>
      </c>
      <c r="U1311" t="str">
        <f t="shared" si="1018"/>
        <v>弓兵</v>
      </c>
      <c r="V1311" t="s">
        <v>4557</v>
      </c>
      <c r="W1311">
        <f>属性类型!G1311</f>
        <v>127</v>
      </c>
      <c r="X1311">
        <v>1</v>
      </c>
    </row>
    <row r="1312" customFormat="1" ht="16.5" spans="1:24">
      <c r="A1312" s="17">
        <f t="shared" si="1021"/>
        <v>32518</v>
      </c>
      <c r="B1312" s="17">
        <f t="shared" si="1029"/>
        <v>32500</v>
      </c>
      <c r="C1312" s="17" t="str">
        <f t="shared" si="1005"/>
        <v>3</v>
      </c>
      <c r="D1312" s="17">
        <f t="shared" si="1030"/>
        <v>30003</v>
      </c>
      <c r="E1312" s="17">
        <v>1</v>
      </c>
      <c r="F1312" s="17">
        <f t="shared" si="1027"/>
        <v>3</v>
      </c>
      <c r="G1312" s="17" t="str">
        <f t="shared" si="1022"/>
        <v>高级攻击百分比</v>
      </c>
      <c r="H1312" s="17" t="str">
        <f t="shared" si="1023"/>
        <v>icon_06</v>
      </c>
      <c r="I1312" s="20">
        <v>0</v>
      </c>
      <c r="J1312" s="17">
        <v>18</v>
      </c>
      <c r="K1312" s="17">
        <f t="shared" si="1020"/>
        <v>32519</v>
      </c>
      <c r="L1312" s="17" t="s">
        <v>641</v>
      </c>
      <c r="M1312" s="17" t="str">
        <f t="shared" si="1024"/>
        <v>1:12200:10</v>
      </c>
      <c r="N1312" s="16" t="str">
        <f t="shared" si="1019"/>
        <v>127:1</v>
      </c>
      <c r="O1312" s="17">
        <f t="shared" si="1028"/>
        <v>6</v>
      </c>
      <c r="P1312" s="21" t="str">
        <f t="shared" si="1002"/>
        <v>所有弓兵攻击百分比增加:1</v>
      </c>
      <c r="Q1312" s="21"/>
      <c r="R1312" t="str">
        <f t="shared" si="1025"/>
        <v>攻击百分比</v>
      </c>
      <c r="T1312" t="str">
        <f t="shared" si="1026"/>
        <v>:1</v>
      </c>
      <c r="U1312" t="str">
        <f t="shared" si="1018"/>
        <v>弓兵</v>
      </c>
      <c r="V1312" t="s">
        <v>4557</v>
      </c>
      <c r="W1312">
        <f>属性类型!G1312</f>
        <v>127</v>
      </c>
      <c r="X1312">
        <v>1</v>
      </c>
    </row>
    <row r="1313" customFormat="1" ht="16.5" spans="1:24">
      <c r="A1313" s="17">
        <f t="shared" si="1021"/>
        <v>32519</v>
      </c>
      <c r="B1313" s="17">
        <f t="shared" si="1029"/>
        <v>32500</v>
      </c>
      <c r="C1313" s="17" t="str">
        <f t="shared" si="1005"/>
        <v>3</v>
      </c>
      <c r="D1313" s="17">
        <f t="shared" si="1030"/>
        <v>30003</v>
      </c>
      <c r="E1313" s="17">
        <v>1</v>
      </c>
      <c r="F1313" s="17">
        <f t="shared" si="1027"/>
        <v>3</v>
      </c>
      <c r="G1313" s="17" t="str">
        <f t="shared" si="1022"/>
        <v>高级攻击百分比</v>
      </c>
      <c r="H1313" s="17" t="str">
        <f t="shared" si="1023"/>
        <v>icon_06</v>
      </c>
      <c r="I1313" s="20">
        <v>0</v>
      </c>
      <c r="J1313" s="17">
        <v>19</v>
      </c>
      <c r="K1313" s="17">
        <f t="shared" si="1020"/>
        <v>32520</v>
      </c>
      <c r="L1313" s="17" t="s">
        <v>645</v>
      </c>
      <c r="M1313" s="17" t="str">
        <f t="shared" si="1024"/>
        <v>1:12200:10</v>
      </c>
      <c r="N1313" s="16" t="str">
        <f t="shared" si="1019"/>
        <v>127:1</v>
      </c>
      <c r="O1313" s="17">
        <f t="shared" si="1028"/>
        <v>6</v>
      </c>
      <c r="P1313" s="21" t="str">
        <f t="shared" si="1002"/>
        <v>所有弓兵攻击百分比增加:1</v>
      </c>
      <c r="Q1313" s="21"/>
      <c r="R1313" t="str">
        <f t="shared" si="1025"/>
        <v>攻击百分比</v>
      </c>
      <c r="T1313" t="str">
        <f t="shared" si="1026"/>
        <v>:1</v>
      </c>
      <c r="U1313" t="str">
        <f t="shared" si="1018"/>
        <v>弓兵</v>
      </c>
      <c r="V1313" t="s">
        <v>4557</v>
      </c>
      <c r="W1313">
        <f>属性类型!G1313</f>
        <v>127</v>
      </c>
      <c r="X1313">
        <v>1</v>
      </c>
    </row>
    <row r="1314" customFormat="1" ht="16.5" spans="1:24">
      <c r="A1314" s="17">
        <f t="shared" si="1021"/>
        <v>32520</v>
      </c>
      <c r="B1314" s="17">
        <f t="shared" si="1029"/>
        <v>32500</v>
      </c>
      <c r="C1314" s="17" t="str">
        <f t="shared" si="1005"/>
        <v>3</v>
      </c>
      <c r="D1314" s="17">
        <f t="shared" si="1030"/>
        <v>30003</v>
      </c>
      <c r="E1314" s="17">
        <v>1</v>
      </c>
      <c r="F1314" s="17">
        <f t="shared" si="1027"/>
        <v>3</v>
      </c>
      <c r="G1314" s="17" t="str">
        <f t="shared" si="1022"/>
        <v>高级攻击百分比</v>
      </c>
      <c r="H1314" s="17" t="str">
        <f t="shared" si="1023"/>
        <v>icon_06</v>
      </c>
      <c r="I1314" s="20">
        <v>0</v>
      </c>
      <c r="J1314" s="17">
        <v>20</v>
      </c>
      <c r="K1314" s="17">
        <v>0</v>
      </c>
      <c r="L1314" s="17">
        <v>0</v>
      </c>
      <c r="M1314" s="17" t="str">
        <f t="shared" si="1024"/>
        <v>1:12200:10</v>
      </c>
      <c r="N1314" s="16" t="str">
        <f t="shared" si="1019"/>
        <v>127:1</v>
      </c>
      <c r="O1314" s="17">
        <f t="shared" si="1028"/>
        <v>6</v>
      </c>
      <c r="P1314" s="21" t="str">
        <f t="shared" si="1002"/>
        <v>所有弓兵攻击百分比增加:1</v>
      </c>
      <c r="Q1314" s="21"/>
      <c r="R1314" t="str">
        <f t="shared" si="1025"/>
        <v>攻击百分比</v>
      </c>
      <c r="T1314" t="str">
        <f t="shared" si="1026"/>
        <v>:1</v>
      </c>
      <c r="U1314" t="str">
        <f t="shared" si="1018"/>
        <v>弓兵</v>
      </c>
      <c r="V1314" t="s">
        <v>4557</v>
      </c>
      <c r="W1314">
        <f>属性类型!G1314</f>
        <v>127</v>
      </c>
      <c r="X1314">
        <v>1</v>
      </c>
    </row>
    <row r="1315" customFormat="1" ht="16.5" spans="1:24">
      <c r="A1315" s="18">
        <f>A1294+100</f>
        <v>32600</v>
      </c>
      <c r="B1315" s="18">
        <f t="shared" si="1029"/>
        <v>32600</v>
      </c>
      <c r="C1315" s="18" t="str">
        <f t="shared" si="1005"/>
        <v>3</v>
      </c>
      <c r="D1315" s="17">
        <f t="shared" si="1030"/>
        <v>30003</v>
      </c>
      <c r="E1315" s="17">
        <v>1</v>
      </c>
      <c r="F1315" s="18">
        <f t="shared" si="1027"/>
        <v>3</v>
      </c>
      <c r="G1315" s="18" t="s">
        <v>4413</v>
      </c>
      <c r="H1315" s="18" t="s">
        <v>176</v>
      </c>
      <c r="I1315" s="20">
        <v>0</v>
      </c>
      <c r="J1315" s="18">
        <v>0</v>
      </c>
      <c r="K1315" s="18">
        <f t="shared" ref="K1315:K1334" si="1031">A1316</f>
        <v>32601</v>
      </c>
      <c r="L1315" s="18" t="s">
        <v>206</v>
      </c>
      <c r="M1315" s="18" t="s">
        <v>680</v>
      </c>
      <c r="N1315" s="16" t="str">
        <f t="shared" si="1019"/>
        <v>126:1</v>
      </c>
      <c r="O1315" s="18">
        <f t="shared" si="1028"/>
        <v>7</v>
      </c>
      <c r="P1315" s="21" t="str">
        <f t="shared" si="1002"/>
        <v>所有弓兵生命百分比增加1</v>
      </c>
      <c r="Q1315" s="21"/>
      <c r="R1315" t="s">
        <v>4414</v>
      </c>
      <c r="T1315" t="str">
        <f>RIGHT(N1315,1)</f>
        <v>1</v>
      </c>
      <c r="U1315" t="str">
        <f t="shared" si="1018"/>
        <v>弓兵</v>
      </c>
      <c r="V1315" t="s">
        <v>4623</v>
      </c>
      <c r="W1315">
        <f>属性类型!G1315</f>
        <v>126</v>
      </c>
      <c r="X1315">
        <v>1</v>
      </c>
    </row>
    <row r="1316" customFormat="1" ht="16.5" spans="1:24">
      <c r="A1316" s="17">
        <f t="shared" ref="A1316:A1335" si="1032">A1315+1</f>
        <v>32601</v>
      </c>
      <c r="B1316" s="17">
        <f t="shared" si="1029"/>
        <v>32600</v>
      </c>
      <c r="C1316" s="17" t="str">
        <f t="shared" si="1005"/>
        <v>3</v>
      </c>
      <c r="D1316" s="17">
        <f t="shared" si="1030"/>
        <v>30003</v>
      </c>
      <c r="E1316" s="17">
        <v>1</v>
      </c>
      <c r="F1316" s="17">
        <f t="shared" si="1027"/>
        <v>3</v>
      </c>
      <c r="G1316" s="17" t="str">
        <f t="shared" ref="G1316:G1335" si="1033">G1315</f>
        <v>高级生命百分比</v>
      </c>
      <c r="H1316" s="17" t="str">
        <f t="shared" ref="H1316:H1335" si="1034">H1315</f>
        <v>icon_07</v>
      </c>
      <c r="I1316" s="20">
        <v>0</v>
      </c>
      <c r="J1316" s="17">
        <v>1</v>
      </c>
      <c r="K1316" s="17">
        <f t="shared" si="1031"/>
        <v>32602</v>
      </c>
      <c r="L1316" s="17" t="s">
        <v>211</v>
      </c>
      <c r="M1316" s="17" t="str">
        <f t="shared" ref="M1316:M1335" si="1035">M1315</f>
        <v>1:12300:10</v>
      </c>
      <c r="N1316" s="16" t="str">
        <f t="shared" si="1019"/>
        <v>126:1</v>
      </c>
      <c r="O1316" s="17">
        <f t="shared" si="1028"/>
        <v>7</v>
      </c>
      <c r="P1316" s="21" t="str">
        <f t="shared" si="1002"/>
        <v>所有弓兵生命百分比增加:1</v>
      </c>
      <c r="Q1316" s="21"/>
      <c r="R1316" t="str">
        <f t="shared" ref="R1316:R1335" si="1036">R1315</f>
        <v>生命百分比</v>
      </c>
      <c r="T1316" t="str">
        <f t="shared" ref="T1316:T1335" si="1037">RIGHT(N1316,2)</f>
        <v>:1</v>
      </c>
      <c r="U1316" t="str">
        <f t="shared" si="1018"/>
        <v>弓兵</v>
      </c>
      <c r="V1316" t="s">
        <v>4623</v>
      </c>
      <c r="W1316">
        <f>属性类型!G1316</f>
        <v>126</v>
      </c>
      <c r="X1316">
        <v>1</v>
      </c>
    </row>
    <row r="1317" customFormat="1" ht="16.5" spans="1:24">
      <c r="A1317" s="17">
        <f t="shared" si="1032"/>
        <v>32602</v>
      </c>
      <c r="B1317" s="17">
        <f t="shared" si="1029"/>
        <v>32600</v>
      </c>
      <c r="C1317" s="17" t="str">
        <f t="shared" si="1005"/>
        <v>3</v>
      </c>
      <c r="D1317" s="17">
        <f t="shared" si="1030"/>
        <v>30003</v>
      </c>
      <c r="E1317" s="17">
        <v>1</v>
      </c>
      <c r="F1317" s="17">
        <f t="shared" si="1027"/>
        <v>3</v>
      </c>
      <c r="G1317" s="17" t="str">
        <f t="shared" si="1033"/>
        <v>高级生命百分比</v>
      </c>
      <c r="H1317" s="17" t="str">
        <f t="shared" si="1034"/>
        <v>icon_07</v>
      </c>
      <c r="I1317" s="20">
        <v>0</v>
      </c>
      <c r="J1317" s="17">
        <v>2</v>
      </c>
      <c r="K1317" s="17">
        <f t="shared" si="1031"/>
        <v>32603</v>
      </c>
      <c r="L1317" s="17" t="s">
        <v>215</v>
      </c>
      <c r="M1317" s="17" t="str">
        <f t="shared" si="1035"/>
        <v>1:12300:10</v>
      </c>
      <c r="N1317" s="16" t="str">
        <f t="shared" si="1019"/>
        <v>126:1</v>
      </c>
      <c r="O1317" s="17">
        <f t="shared" si="1028"/>
        <v>7</v>
      </c>
      <c r="P1317" s="21" t="str">
        <f t="shared" si="1002"/>
        <v>所有弓兵生命百分比增加:1</v>
      </c>
      <c r="Q1317" s="21"/>
      <c r="R1317" t="str">
        <f t="shared" si="1036"/>
        <v>生命百分比</v>
      </c>
      <c r="T1317" t="str">
        <f t="shared" si="1037"/>
        <v>:1</v>
      </c>
      <c r="U1317" t="str">
        <f t="shared" si="1018"/>
        <v>弓兵</v>
      </c>
      <c r="V1317" t="s">
        <v>4623</v>
      </c>
      <c r="W1317">
        <f>属性类型!G1317</f>
        <v>126</v>
      </c>
      <c r="X1317">
        <v>1</v>
      </c>
    </row>
    <row r="1318" customFormat="1" ht="16.5" spans="1:24">
      <c r="A1318" s="17">
        <f t="shared" si="1032"/>
        <v>32603</v>
      </c>
      <c r="B1318" s="17">
        <f t="shared" si="1029"/>
        <v>32600</v>
      </c>
      <c r="C1318" s="17" t="str">
        <f t="shared" si="1005"/>
        <v>3</v>
      </c>
      <c r="D1318" s="17">
        <f t="shared" si="1030"/>
        <v>30003</v>
      </c>
      <c r="E1318" s="17">
        <v>1</v>
      </c>
      <c r="F1318" s="17">
        <f t="shared" si="1027"/>
        <v>3</v>
      </c>
      <c r="G1318" s="17" t="str">
        <f t="shared" si="1033"/>
        <v>高级生命百分比</v>
      </c>
      <c r="H1318" s="17" t="str">
        <f t="shared" si="1034"/>
        <v>icon_07</v>
      </c>
      <c r="I1318" s="20">
        <v>0</v>
      </c>
      <c r="J1318" s="17">
        <v>3</v>
      </c>
      <c r="K1318" s="17">
        <f t="shared" si="1031"/>
        <v>32604</v>
      </c>
      <c r="L1318" s="17" t="s">
        <v>218</v>
      </c>
      <c r="M1318" s="17" t="str">
        <f t="shared" si="1035"/>
        <v>1:12300:10</v>
      </c>
      <c r="N1318" s="16" t="str">
        <f t="shared" si="1019"/>
        <v>126:1</v>
      </c>
      <c r="O1318" s="17">
        <f t="shared" si="1028"/>
        <v>7</v>
      </c>
      <c r="P1318" s="21" t="str">
        <f t="shared" si="1002"/>
        <v>所有弓兵生命百分比增加:1</v>
      </c>
      <c r="Q1318" s="21"/>
      <c r="R1318" t="str">
        <f t="shared" si="1036"/>
        <v>生命百分比</v>
      </c>
      <c r="T1318" t="str">
        <f t="shared" si="1037"/>
        <v>:1</v>
      </c>
      <c r="U1318" t="str">
        <f t="shared" si="1018"/>
        <v>弓兵</v>
      </c>
      <c r="V1318" t="s">
        <v>4623</v>
      </c>
      <c r="W1318">
        <f>属性类型!G1318</f>
        <v>126</v>
      </c>
      <c r="X1318">
        <v>1</v>
      </c>
    </row>
    <row r="1319" customFormat="1" ht="16.5" spans="1:24">
      <c r="A1319" s="17">
        <f t="shared" si="1032"/>
        <v>32604</v>
      </c>
      <c r="B1319" s="17">
        <f t="shared" si="1029"/>
        <v>32600</v>
      </c>
      <c r="C1319" s="17" t="str">
        <f t="shared" si="1005"/>
        <v>3</v>
      </c>
      <c r="D1319" s="17">
        <f t="shared" si="1030"/>
        <v>30003</v>
      </c>
      <c r="E1319" s="17">
        <v>1</v>
      </c>
      <c r="F1319" s="17">
        <f t="shared" si="1027"/>
        <v>3</v>
      </c>
      <c r="G1319" s="17" t="str">
        <f t="shared" si="1033"/>
        <v>高级生命百分比</v>
      </c>
      <c r="H1319" s="17" t="str">
        <f t="shared" si="1034"/>
        <v>icon_07</v>
      </c>
      <c r="I1319" s="20">
        <v>0</v>
      </c>
      <c r="J1319" s="17">
        <v>4</v>
      </c>
      <c r="K1319" s="17">
        <f t="shared" si="1031"/>
        <v>32605</v>
      </c>
      <c r="L1319" s="17" t="s">
        <v>221</v>
      </c>
      <c r="M1319" s="17" t="str">
        <f t="shared" si="1035"/>
        <v>1:12300:10</v>
      </c>
      <c r="N1319" s="16" t="str">
        <f t="shared" si="1019"/>
        <v>126:1</v>
      </c>
      <c r="O1319" s="17">
        <f t="shared" si="1028"/>
        <v>7</v>
      </c>
      <c r="P1319" s="21" t="str">
        <f t="shared" si="1002"/>
        <v>所有弓兵生命百分比增加:1</v>
      </c>
      <c r="Q1319" s="21"/>
      <c r="R1319" t="str">
        <f t="shared" si="1036"/>
        <v>生命百分比</v>
      </c>
      <c r="T1319" t="str">
        <f t="shared" si="1037"/>
        <v>:1</v>
      </c>
      <c r="U1319" t="str">
        <f t="shared" si="1018"/>
        <v>弓兵</v>
      </c>
      <c r="V1319" t="s">
        <v>4623</v>
      </c>
      <c r="W1319">
        <f>属性类型!G1319</f>
        <v>126</v>
      </c>
      <c r="X1319">
        <v>1</v>
      </c>
    </row>
    <row r="1320" customFormat="1" ht="16.5" spans="1:24">
      <c r="A1320" s="17">
        <f t="shared" si="1032"/>
        <v>32605</v>
      </c>
      <c r="B1320" s="17">
        <f t="shared" si="1029"/>
        <v>32600</v>
      </c>
      <c r="C1320" s="17" t="str">
        <f t="shared" si="1005"/>
        <v>3</v>
      </c>
      <c r="D1320" s="17">
        <f t="shared" si="1030"/>
        <v>30003</v>
      </c>
      <c r="E1320" s="17">
        <v>1</v>
      </c>
      <c r="F1320" s="17">
        <f t="shared" si="1027"/>
        <v>3</v>
      </c>
      <c r="G1320" s="17" t="str">
        <f t="shared" si="1033"/>
        <v>高级生命百分比</v>
      </c>
      <c r="H1320" s="17" t="str">
        <f t="shared" si="1034"/>
        <v>icon_07</v>
      </c>
      <c r="I1320" s="20">
        <v>0</v>
      </c>
      <c r="J1320" s="17">
        <v>5</v>
      </c>
      <c r="K1320" s="17">
        <f t="shared" si="1031"/>
        <v>32606</v>
      </c>
      <c r="L1320" s="17" t="s">
        <v>224</v>
      </c>
      <c r="M1320" s="17" t="str">
        <f t="shared" si="1035"/>
        <v>1:12300:10</v>
      </c>
      <c r="N1320" s="16" t="str">
        <f t="shared" si="1019"/>
        <v>126:1</v>
      </c>
      <c r="O1320" s="17">
        <f t="shared" si="1028"/>
        <v>7</v>
      </c>
      <c r="P1320" s="21" t="str">
        <f>$R$3&amp;R1320&amp;$Q$1&amp;T1320</f>
        <v>所有弓兵生命百分比增加:1</v>
      </c>
      <c r="Q1320" s="21"/>
      <c r="R1320" t="str">
        <f t="shared" si="1036"/>
        <v>生命百分比</v>
      </c>
      <c r="T1320" t="str">
        <f t="shared" si="1037"/>
        <v>:1</v>
      </c>
      <c r="U1320" t="str">
        <f t="shared" si="1018"/>
        <v>弓兵</v>
      </c>
      <c r="V1320" t="s">
        <v>4623</v>
      </c>
      <c r="W1320">
        <f>属性类型!G1320</f>
        <v>126</v>
      </c>
      <c r="X1320">
        <v>1</v>
      </c>
    </row>
    <row r="1321" customFormat="1" ht="16.5" spans="1:24">
      <c r="A1321" s="17">
        <f t="shared" si="1032"/>
        <v>32606</v>
      </c>
      <c r="B1321" s="17">
        <f t="shared" si="1029"/>
        <v>32600</v>
      </c>
      <c r="C1321" s="17" t="str">
        <f t="shared" si="1005"/>
        <v>3</v>
      </c>
      <c r="D1321" s="17">
        <f t="shared" si="1030"/>
        <v>30003</v>
      </c>
      <c r="E1321" s="17">
        <v>1</v>
      </c>
      <c r="F1321" s="17">
        <f t="shared" si="1027"/>
        <v>3</v>
      </c>
      <c r="G1321" s="17" t="str">
        <f t="shared" si="1033"/>
        <v>高级生命百分比</v>
      </c>
      <c r="H1321" s="17" t="str">
        <f t="shared" si="1034"/>
        <v>icon_07</v>
      </c>
      <c r="I1321" s="20">
        <v>0</v>
      </c>
      <c r="J1321" s="17">
        <v>6</v>
      </c>
      <c r="K1321" s="17">
        <f t="shared" si="1031"/>
        <v>32607</v>
      </c>
      <c r="L1321" s="17" t="s">
        <v>227</v>
      </c>
      <c r="M1321" s="17" t="str">
        <f t="shared" si="1035"/>
        <v>1:12300:10</v>
      </c>
      <c r="N1321" s="16" t="str">
        <f t="shared" si="1019"/>
        <v>126:1</v>
      </c>
      <c r="O1321" s="17">
        <f t="shared" si="1028"/>
        <v>7</v>
      </c>
      <c r="P1321" s="21" t="str">
        <f>$R$3&amp;R1321&amp;$Q$1&amp;T1321</f>
        <v>所有弓兵生命百分比增加:1</v>
      </c>
      <c r="Q1321" s="21"/>
      <c r="R1321" t="str">
        <f t="shared" si="1036"/>
        <v>生命百分比</v>
      </c>
      <c r="T1321" t="str">
        <f t="shared" si="1037"/>
        <v>:1</v>
      </c>
      <c r="U1321" t="str">
        <f t="shared" si="1018"/>
        <v>弓兵</v>
      </c>
      <c r="V1321" t="s">
        <v>4623</v>
      </c>
      <c r="W1321">
        <f>属性类型!G1321</f>
        <v>126</v>
      </c>
      <c r="X1321">
        <v>1</v>
      </c>
    </row>
    <row r="1322" customFormat="1" ht="16.5" spans="1:24">
      <c r="A1322" s="17">
        <f t="shared" si="1032"/>
        <v>32607</v>
      </c>
      <c r="B1322" s="17">
        <f t="shared" si="1029"/>
        <v>32600</v>
      </c>
      <c r="C1322" s="17" t="str">
        <f t="shared" ref="C1322:C1385" si="1038">LEFT(A1322,1)</f>
        <v>3</v>
      </c>
      <c r="D1322" s="17">
        <f t="shared" si="1030"/>
        <v>30003</v>
      </c>
      <c r="E1322" s="17">
        <v>1</v>
      </c>
      <c r="F1322" s="17">
        <f t="shared" si="1027"/>
        <v>3</v>
      </c>
      <c r="G1322" s="17" t="str">
        <f t="shared" si="1033"/>
        <v>高级生命百分比</v>
      </c>
      <c r="H1322" s="17" t="str">
        <f t="shared" si="1034"/>
        <v>icon_07</v>
      </c>
      <c r="I1322" s="20">
        <v>0</v>
      </c>
      <c r="J1322" s="17">
        <v>7</v>
      </c>
      <c r="K1322" s="17">
        <f t="shared" si="1031"/>
        <v>32608</v>
      </c>
      <c r="L1322" s="17" t="s">
        <v>230</v>
      </c>
      <c r="M1322" s="17" t="str">
        <f t="shared" si="1035"/>
        <v>1:12300:10</v>
      </c>
      <c r="N1322" s="16" t="str">
        <f t="shared" si="1019"/>
        <v>126:1</v>
      </c>
      <c r="O1322" s="17">
        <f t="shared" si="1028"/>
        <v>7</v>
      </c>
      <c r="P1322" s="21" t="str">
        <f>$R$3&amp;R1322&amp;$Q$1&amp;T1322</f>
        <v>所有弓兵生命百分比增加:1</v>
      </c>
      <c r="Q1322" s="21"/>
      <c r="R1322" t="str">
        <f t="shared" si="1036"/>
        <v>生命百分比</v>
      </c>
      <c r="T1322" t="str">
        <f t="shared" si="1037"/>
        <v>:1</v>
      </c>
      <c r="U1322" t="str">
        <f t="shared" si="1018"/>
        <v>弓兵</v>
      </c>
      <c r="V1322" t="s">
        <v>4623</v>
      </c>
      <c r="W1322">
        <f>属性类型!G1322</f>
        <v>126</v>
      </c>
      <c r="X1322">
        <v>1</v>
      </c>
    </row>
    <row r="1323" customFormat="1" ht="16.5" spans="1:24">
      <c r="A1323" s="17">
        <f t="shared" si="1032"/>
        <v>32608</v>
      </c>
      <c r="B1323" s="17">
        <f t="shared" si="1029"/>
        <v>32600</v>
      </c>
      <c r="C1323" s="17" t="str">
        <f t="shared" si="1038"/>
        <v>3</v>
      </c>
      <c r="D1323" s="17">
        <f t="shared" si="1030"/>
        <v>30003</v>
      </c>
      <c r="E1323" s="17">
        <v>1</v>
      </c>
      <c r="F1323" s="17">
        <f t="shared" si="1027"/>
        <v>3</v>
      </c>
      <c r="G1323" s="17" t="str">
        <f t="shared" si="1033"/>
        <v>高级生命百分比</v>
      </c>
      <c r="H1323" s="17" t="str">
        <f t="shared" si="1034"/>
        <v>icon_07</v>
      </c>
      <c r="I1323" s="20">
        <v>0</v>
      </c>
      <c r="J1323" s="17">
        <v>8</v>
      </c>
      <c r="K1323" s="17">
        <f t="shared" si="1031"/>
        <v>32609</v>
      </c>
      <c r="L1323" s="17" t="s">
        <v>233</v>
      </c>
      <c r="M1323" s="17" t="str">
        <f t="shared" si="1035"/>
        <v>1:12300:10</v>
      </c>
      <c r="N1323" s="16" t="str">
        <f t="shared" si="1019"/>
        <v>126:1</v>
      </c>
      <c r="O1323" s="17">
        <f t="shared" si="1028"/>
        <v>7</v>
      </c>
      <c r="P1323" s="21" t="str">
        <f>$R$3&amp;R1323&amp;$Q$1&amp;T1323</f>
        <v>所有弓兵生命百分比增加:1</v>
      </c>
      <c r="Q1323" s="21"/>
      <c r="R1323" t="str">
        <f t="shared" si="1036"/>
        <v>生命百分比</v>
      </c>
      <c r="T1323" t="str">
        <f t="shared" si="1037"/>
        <v>:1</v>
      </c>
      <c r="U1323" t="str">
        <f t="shared" si="1018"/>
        <v>弓兵</v>
      </c>
      <c r="V1323" t="s">
        <v>4623</v>
      </c>
      <c r="W1323">
        <f>属性类型!G1323</f>
        <v>126</v>
      </c>
      <c r="X1323">
        <v>1</v>
      </c>
    </row>
    <row r="1324" customFormat="1" ht="16.5" spans="1:24">
      <c r="A1324" s="17">
        <f t="shared" si="1032"/>
        <v>32609</v>
      </c>
      <c r="B1324" s="17">
        <f t="shared" si="1029"/>
        <v>32600</v>
      </c>
      <c r="C1324" s="17" t="str">
        <f t="shared" si="1038"/>
        <v>3</v>
      </c>
      <c r="D1324" s="17">
        <f t="shared" si="1030"/>
        <v>30003</v>
      </c>
      <c r="E1324" s="17">
        <v>1</v>
      </c>
      <c r="F1324" s="17">
        <f t="shared" si="1027"/>
        <v>3</v>
      </c>
      <c r="G1324" s="17" t="str">
        <f t="shared" si="1033"/>
        <v>高级生命百分比</v>
      </c>
      <c r="H1324" s="17" t="str">
        <f t="shared" si="1034"/>
        <v>icon_07</v>
      </c>
      <c r="I1324" s="20">
        <v>0</v>
      </c>
      <c r="J1324" s="17">
        <v>9</v>
      </c>
      <c r="K1324" s="17">
        <f t="shared" si="1031"/>
        <v>32610</v>
      </c>
      <c r="L1324" s="17" t="s">
        <v>236</v>
      </c>
      <c r="M1324" s="17" t="str">
        <f t="shared" si="1035"/>
        <v>1:12300:10</v>
      </c>
      <c r="N1324" s="16" t="str">
        <f t="shared" si="1019"/>
        <v>126:1</v>
      </c>
      <c r="O1324" s="17">
        <f t="shared" si="1028"/>
        <v>7</v>
      </c>
      <c r="P1324" s="21" t="str">
        <f>$R$3&amp;R1324&amp;$Q$1&amp;T1324</f>
        <v>所有弓兵生命百分比增加:1</v>
      </c>
      <c r="Q1324" s="21"/>
      <c r="R1324" t="str">
        <f t="shared" si="1036"/>
        <v>生命百分比</v>
      </c>
      <c r="T1324" t="str">
        <f t="shared" si="1037"/>
        <v>:1</v>
      </c>
      <c r="U1324" t="str">
        <f t="shared" si="1018"/>
        <v>弓兵</v>
      </c>
      <c r="V1324" t="s">
        <v>4623</v>
      </c>
      <c r="W1324">
        <f>属性类型!G1324</f>
        <v>126</v>
      </c>
      <c r="X1324">
        <v>1</v>
      </c>
    </row>
    <row r="1325" customFormat="1" ht="16.5" spans="1:24">
      <c r="A1325" s="17">
        <f t="shared" si="1032"/>
        <v>32610</v>
      </c>
      <c r="B1325" s="17">
        <f t="shared" si="1029"/>
        <v>32600</v>
      </c>
      <c r="C1325" s="17" t="str">
        <f t="shared" si="1038"/>
        <v>3</v>
      </c>
      <c r="D1325" s="17">
        <f t="shared" si="1030"/>
        <v>30003</v>
      </c>
      <c r="E1325" s="17">
        <v>1</v>
      </c>
      <c r="F1325" s="17">
        <f t="shared" si="1027"/>
        <v>3</v>
      </c>
      <c r="G1325" s="17" t="str">
        <f t="shared" si="1033"/>
        <v>高级生命百分比</v>
      </c>
      <c r="H1325" s="17" t="str">
        <f t="shared" si="1034"/>
        <v>icon_07</v>
      </c>
      <c r="I1325" s="20">
        <v>0</v>
      </c>
      <c r="J1325" s="17">
        <v>10</v>
      </c>
      <c r="K1325" s="17">
        <f t="shared" si="1031"/>
        <v>32611</v>
      </c>
      <c r="L1325" s="17" t="s">
        <v>238</v>
      </c>
      <c r="M1325" s="17" t="str">
        <f t="shared" si="1035"/>
        <v>1:12300:10</v>
      </c>
      <c r="N1325" s="16" t="str">
        <f t="shared" si="1019"/>
        <v>126:1</v>
      </c>
      <c r="O1325" s="17">
        <f t="shared" si="1028"/>
        <v>7</v>
      </c>
      <c r="P1325" s="21" t="str">
        <f>$R$3&amp;R1325&amp;$Q$1&amp;T1325</f>
        <v>所有弓兵生命百分比增加:1</v>
      </c>
      <c r="Q1325" s="21"/>
      <c r="R1325" t="str">
        <f t="shared" si="1036"/>
        <v>生命百分比</v>
      </c>
      <c r="T1325" t="str">
        <f t="shared" si="1037"/>
        <v>:1</v>
      </c>
      <c r="U1325" t="str">
        <f t="shared" si="1018"/>
        <v>弓兵</v>
      </c>
      <c r="V1325" t="s">
        <v>4623</v>
      </c>
      <c r="W1325">
        <f>属性类型!G1325</f>
        <v>126</v>
      </c>
      <c r="X1325">
        <v>1</v>
      </c>
    </row>
    <row r="1326" customFormat="1" ht="16.5" spans="1:24">
      <c r="A1326" s="17">
        <f t="shared" si="1032"/>
        <v>32611</v>
      </c>
      <c r="B1326" s="17">
        <f t="shared" si="1029"/>
        <v>32600</v>
      </c>
      <c r="C1326" s="17" t="str">
        <f t="shared" si="1038"/>
        <v>3</v>
      </c>
      <c r="D1326" s="17">
        <f t="shared" si="1030"/>
        <v>30003</v>
      </c>
      <c r="E1326" s="17">
        <v>1</v>
      </c>
      <c r="F1326" s="17">
        <f t="shared" si="1027"/>
        <v>3</v>
      </c>
      <c r="G1326" s="17" t="str">
        <f t="shared" si="1033"/>
        <v>高级生命百分比</v>
      </c>
      <c r="H1326" s="17" t="str">
        <f t="shared" si="1034"/>
        <v>icon_07</v>
      </c>
      <c r="I1326" s="20">
        <v>0</v>
      </c>
      <c r="J1326" s="17">
        <v>11</v>
      </c>
      <c r="K1326" s="17">
        <f t="shared" si="1031"/>
        <v>32612</v>
      </c>
      <c r="L1326" s="17" t="s">
        <v>529</v>
      </c>
      <c r="M1326" s="17" t="str">
        <f t="shared" si="1035"/>
        <v>1:12300:10</v>
      </c>
      <c r="N1326" s="16" t="str">
        <f t="shared" si="1019"/>
        <v>126:1</v>
      </c>
      <c r="O1326" s="17">
        <f t="shared" si="1028"/>
        <v>7</v>
      </c>
      <c r="P1326" s="21" t="str">
        <f>$R$3&amp;R1326&amp;$Q$1&amp;T1326</f>
        <v>所有弓兵生命百分比增加:1</v>
      </c>
      <c r="Q1326" s="21"/>
      <c r="R1326" t="str">
        <f t="shared" si="1036"/>
        <v>生命百分比</v>
      </c>
      <c r="T1326" t="str">
        <f t="shared" si="1037"/>
        <v>:1</v>
      </c>
      <c r="U1326" t="str">
        <f t="shared" si="1018"/>
        <v>弓兵</v>
      </c>
      <c r="V1326" t="s">
        <v>4623</v>
      </c>
      <c r="W1326">
        <f>属性类型!G1326</f>
        <v>126</v>
      </c>
      <c r="X1326">
        <v>1</v>
      </c>
    </row>
    <row r="1327" customFormat="1" ht="16.5" spans="1:24">
      <c r="A1327" s="17">
        <f t="shared" si="1032"/>
        <v>32612</v>
      </c>
      <c r="B1327" s="17">
        <f t="shared" si="1029"/>
        <v>32600</v>
      </c>
      <c r="C1327" s="17" t="str">
        <f t="shared" si="1038"/>
        <v>3</v>
      </c>
      <c r="D1327" s="17">
        <f t="shared" si="1030"/>
        <v>30003</v>
      </c>
      <c r="E1327" s="17">
        <v>1</v>
      </c>
      <c r="F1327" s="17">
        <f t="shared" si="1027"/>
        <v>3</v>
      </c>
      <c r="G1327" s="17" t="str">
        <f t="shared" si="1033"/>
        <v>高级生命百分比</v>
      </c>
      <c r="H1327" s="17" t="str">
        <f t="shared" si="1034"/>
        <v>icon_07</v>
      </c>
      <c r="I1327" s="20">
        <v>0</v>
      </c>
      <c r="J1327" s="17">
        <v>12</v>
      </c>
      <c r="K1327" s="17">
        <f t="shared" si="1031"/>
        <v>32613</v>
      </c>
      <c r="L1327" s="17" t="s">
        <v>532</v>
      </c>
      <c r="M1327" s="17" t="str">
        <f t="shared" si="1035"/>
        <v>1:12300:10</v>
      </c>
      <c r="N1327" s="16" t="str">
        <f t="shared" si="1019"/>
        <v>126:1</v>
      </c>
      <c r="O1327" s="17">
        <f t="shared" si="1028"/>
        <v>7</v>
      </c>
      <c r="P1327" s="21" t="str">
        <f>$R$3&amp;R1327&amp;$Q$1&amp;T1327</f>
        <v>所有弓兵生命百分比增加:1</v>
      </c>
      <c r="Q1327" s="21"/>
      <c r="R1327" t="str">
        <f t="shared" si="1036"/>
        <v>生命百分比</v>
      </c>
      <c r="T1327" t="str">
        <f t="shared" si="1037"/>
        <v>:1</v>
      </c>
      <c r="U1327" t="str">
        <f t="shared" si="1018"/>
        <v>弓兵</v>
      </c>
      <c r="V1327" t="s">
        <v>4623</v>
      </c>
      <c r="W1327">
        <f>属性类型!G1327</f>
        <v>126</v>
      </c>
      <c r="X1327">
        <v>1</v>
      </c>
    </row>
    <row r="1328" customFormat="1" ht="16.5" spans="1:24">
      <c r="A1328" s="17">
        <f t="shared" si="1032"/>
        <v>32613</v>
      </c>
      <c r="B1328" s="17">
        <f t="shared" si="1029"/>
        <v>32600</v>
      </c>
      <c r="C1328" s="17" t="str">
        <f t="shared" si="1038"/>
        <v>3</v>
      </c>
      <c r="D1328" s="17">
        <f t="shared" si="1030"/>
        <v>30003</v>
      </c>
      <c r="E1328" s="17">
        <v>1</v>
      </c>
      <c r="F1328" s="17">
        <f t="shared" si="1027"/>
        <v>3</v>
      </c>
      <c r="G1328" s="17" t="str">
        <f t="shared" si="1033"/>
        <v>高级生命百分比</v>
      </c>
      <c r="H1328" s="17" t="str">
        <f t="shared" si="1034"/>
        <v>icon_07</v>
      </c>
      <c r="I1328" s="20">
        <v>0</v>
      </c>
      <c r="J1328" s="17">
        <v>13</v>
      </c>
      <c r="K1328" s="17">
        <f t="shared" si="1031"/>
        <v>32614</v>
      </c>
      <c r="L1328" s="17" t="s">
        <v>561</v>
      </c>
      <c r="M1328" s="17" t="str">
        <f t="shared" si="1035"/>
        <v>1:12300:10</v>
      </c>
      <c r="N1328" s="16" t="str">
        <f t="shared" si="1019"/>
        <v>126:1</v>
      </c>
      <c r="O1328" s="17">
        <f t="shared" si="1028"/>
        <v>7</v>
      </c>
      <c r="P1328" s="21" t="str">
        <f>$R$3&amp;R1328&amp;$Q$1&amp;T1328</f>
        <v>所有弓兵生命百分比增加:1</v>
      </c>
      <c r="Q1328" s="21"/>
      <c r="R1328" t="str">
        <f t="shared" si="1036"/>
        <v>生命百分比</v>
      </c>
      <c r="T1328" t="str">
        <f t="shared" si="1037"/>
        <v>:1</v>
      </c>
      <c r="U1328" t="str">
        <f t="shared" si="1018"/>
        <v>弓兵</v>
      </c>
      <c r="V1328" t="s">
        <v>4623</v>
      </c>
      <c r="W1328">
        <f>属性类型!G1328</f>
        <v>126</v>
      </c>
      <c r="X1328">
        <v>1</v>
      </c>
    </row>
    <row r="1329" customFormat="1" ht="16.5" spans="1:24">
      <c r="A1329" s="17">
        <f t="shared" si="1032"/>
        <v>32614</v>
      </c>
      <c r="B1329" s="17">
        <f t="shared" si="1029"/>
        <v>32600</v>
      </c>
      <c r="C1329" s="17" t="str">
        <f t="shared" si="1038"/>
        <v>3</v>
      </c>
      <c r="D1329" s="17">
        <f t="shared" si="1030"/>
        <v>30003</v>
      </c>
      <c r="E1329" s="17">
        <v>1</v>
      </c>
      <c r="F1329" s="17">
        <f t="shared" si="1027"/>
        <v>3</v>
      </c>
      <c r="G1329" s="17" t="str">
        <f t="shared" si="1033"/>
        <v>高级生命百分比</v>
      </c>
      <c r="H1329" s="17" t="str">
        <f t="shared" si="1034"/>
        <v>icon_07</v>
      </c>
      <c r="I1329" s="20">
        <v>0</v>
      </c>
      <c r="J1329" s="17">
        <v>14</v>
      </c>
      <c r="K1329" s="17">
        <f t="shared" si="1031"/>
        <v>32615</v>
      </c>
      <c r="L1329" s="17" t="s">
        <v>564</v>
      </c>
      <c r="M1329" s="17" t="str">
        <f t="shared" si="1035"/>
        <v>1:12300:10</v>
      </c>
      <c r="N1329" s="16" t="str">
        <f t="shared" si="1019"/>
        <v>126:1</v>
      </c>
      <c r="O1329" s="17">
        <f t="shared" si="1028"/>
        <v>7</v>
      </c>
      <c r="P1329" s="21" t="str">
        <f>$R$3&amp;R1329&amp;$Q$1&amp;T1329</f>
        <v>所有弓兵生命百分比增加:1</v>
      </c>
      <c r="Q1329" s="21"/>
      <c r="R1329" t="str">
        <f t="shared" si="1036"/>
        <v>生命百分比</v>
      </c>
      <c r="T1329" t="str">
        <f t="shared" si="1037"/>
        <v>:1</v>
      </c>
      <c r="U1329" t="str">
        <f t="shared" si="1018"/>
        <v>弓兵</v>
      </c>
      <c r="V1329" t="s">
        <v>4623</v>
      </c>
      <c r="W1329">
        <f>属性类型!G1329</f>
        <v>126</v>
      </c>
      <c r="X1329">
        <v>1</v>
      </c>
    </row>
    <row r="1330" customFormat="1" ht="16.5" spans="1:24">
      <c r="A1330" s="17">
        <f t="shared" si="1032"/>
        <v>32615</v>
      </c>
      <c r="B1330" s="17">
        <f t="shared" si="1029"/>
        <v>32600</v>
      </c>
      <c r="C1330" s="17" t="str">
        <f t="shared" si="1038"/>
        <v>3</v>
      </c>
      <c r="D1330" s="17">
        <f t="shared" si="1030"/>
        <v>30003</v>
      </c>
      <c r="E1330" s="17">
        <v>1</v>
      </c>
      <c r="F1330" s="17">
        <f t="shared" si="1027"/>
        <v>3</v>
      </c>
      <c r="G1330" s="17" t="str">
        <f t="shared" si="1033"/>
        <v>高级生命百分比</v>
      </c>
      <c r="H1330" s="17" t="str">
        <f t="shared" si="1034"/>
        <v>icon_07</v>
      </c>
      <c r="I1330" s="20">
        <v>0</v>
      </c>
      <c r="J1330" s="17">
        <v>15</v>
      </c>
      <c r="K1330" s="17">
        <f t="shared" si="1031"/>
        <v>32616</v>
      </c>
      <c r="L1330" s="17" t="s">
        <v>630</v>
      </c>
      <c r="M1330" s="17" t="str">
        <f t="shared" si="1035"/>
        <v>1:12300:10</v>
      </c>
      <c r="N1330" s="16" t="str">
        <f t="shared" si="1019"/>
        <v>126:1</v>
      </c>
      <c r="O1330" s="17">
        <f t="shared" si="1028"/>
        <v>7</v>
      </c>
      <c r="P1330" s="21" t="str">
        <f>$R$3&amp;R1330&amp;$Q$1&amp;T1330</f>
        <v>所有弓兵生命百分比增加:1</v>
      </c>
      <c r="Q1330" s="21"/>
      <c r="R1330" t="str">
        <f t="shared" si="1036"/>
        <v>生命百分比</v>
      </c>
      <c r="T1330" t="str">
        <f t="shared" si="1037"/>
        <v>:1</v>
      </c>
      <c r="U1330" t="str">
        <f t="shared" si="1018"/>
        <v>弓兵</v>
      </c>
      <c r="V1330" t="s">
        <v>4623</v>
      </c>
      <c r="W1330">
        <f>属性类型!G1330</f>
        <v>126</v>
      </c>
      <c r="X1330">
        <v>1</v>
      </c>
    </row>
    <row r="1331" customFormat="1" ht="16.5" spans="1:24">
      <c r="A1331" s="17">
        <f t="shared" si="1032"/>
        <v>32616</v>
      </c>
      <c r="B1331" s="17">
        <f t="shared" si="1029"/>
        <v>32600</v>
      </c>
      <c r="C1331" s="17" t="str">
        <f t="shared" si="1038"/>
        <v>3</v>
      </c>
      <c r="D1331" s="17">
        <f t="shared" si="1030"/>
        <v>30003</v>
      </c>
      <c r="E1331" s="17">
        <v>1</v>
      </c>
      <c r="F1331" s="17">
        <f t="shared" si="1027"/>
        <v>3</v>
      </c>
      <c r="G1331" s="17" t="str">
        <f t="shared" si="1033"/>
        <v>高级生命百分比</v>
      </c>
      <c r="H1331" s="17" t="str">
        <f t="shared" si="1034"/>
        <v>icon_07</v>
      </c>
      <c r="I1331" s="20">
        <v>0</v>
      </c>
      <c r="J1331" s="17">
        <v>16</v>
      </c>
      <c r="K1331" s="17">
        <f t="shared" si="1031"/>
        <v>32617</v>
      </c>
      <c r="L1331" s="17" t="s">
        <v>633</v>
      </c>
      <c r="M1331" s="17" t="str">
        <f t="shared" si="1035"/>
        <v>1:12300:10</v>
      </c>
      <c r="N1331" s="16" t="str">
        <f t="shared" si="1019"/>
        <v>126:1</v>
      </c>
      <c r="O1331" s="17">
        <f t="shared" si="1028"/>
        <v>7</v>
      </c>
      <c r="P1331" s="21" t="str">
        <f>$R$3&amp;R1331&amp;$Q$1&amp;T1331</f>
        <v>所有弓兵生命百分比增加:1</v>
      </c>
      <c r="Q1331" s="21"/>
      <c r="R1331" t="str">
        <f t="shared" si="1036"/>
        <v>生命百分比</v>
      </c>
      <c r="T1331" t="str">
        <f t="shared" si="1037"/>
        <v>:1</v>
      </c>
      <c r="U1331" t="str">
        <f t="shared" si="1018"/>
        <v>弓兵</v>
      </c>
      <c r="V1331" t="s">
        <v>4623</v>
      </c>
      <c r="W1331">
        <f>属性类型!G1331</f>
        <v>126</v>
      </c>
      <c r="X1331">
        <v>1</v>
      </c>
    </row>
    <row r="1332" customFormat="1" ht="16.5" spans="1:24">
      <c r="A1332" s="17">
        <f t="shared" si="1032"/>
        <v>32617</v>
      </c>
      <c r="B1332" s="17">
        <f t="shared" si="1029"/>
        <v>32600</v>
      </c>
      <c r="C1332" s="17" t="str">
        <f t="shared" si="1038"/>
        <v>3</v>
      </c>
      <c r="D1332" s="17">
        <f t="shared" si="1030"/>
        <v>30003</v>
      </c>
      <c r="E1332" s="17">
        <v>1</v>
      </c>
      <c r="F1332" s="17">
        <f t="shared" si="1027"/>
        <v>3</v>
      </c>
      <c r="G1332" s="17" t="str">
        <f t="shared" si="1033"/>
        <v>高级生命百分比</v>
      </c>
      <c r="H1332" s="17" t="str">
        <f t="shared" si="1034"/>
        <v>icon_07</v>
      </c>
      <c r="I1332" s="20">
        <v>0</v>
      </c>
      <c r="J1332" s="17">
        <v>17</v>
      </c>
      <c r="K1332" s="17">
        <f t="shared" si="1031"/>
        <v>32618</v>
      </c>
      <c r="L1332" s="17" t="s">
        <v>637</v>
      </c>
      <c r="M1332" s="17" t="str">
        <f t="shared" si="1035"/>
        <v>1:12300:10</v>
      </c>
      <c r="N1332" s="16" t="str">
        <f t="shared" si="1019"/>
        <v>126:1</v>
      </c>
      <c r="O1332" s="17">
        <f t="shared" si="1028"/>
        <v>7</v>
      </c>
      <c r="P1332" s="21" t="str">
        <f>$R$3&amp;R1332&amp;$Q$1&amp;T1332</f>
        <v>所有弓兵生命百分比增加:1</v>
      </c>
      <c r="Q1332" s="21"/>
      <c r="R1332" t="str">
        <f t="shared" si="1036"/>
        <v>生命百分比</v>
      </c>
      <c r="T1332" t="str">
        <f t="shared" si="1037"/>
        <v>:1</v>
      </c>
      <c r="U1332" t="str">
        <f t="shared" si="1018"/>
        <v>弓兵</v>
      </c>
      <c r="V1332" t="s">
        <v>4623</v>
      </c>
      <c r="W1332">
        <f>属性类型!G1332</f>
        <v>126</v>
      </c>
      <c r="X1332">
        <v>1</v>
      </c>
    </row>
    <row r="1333" customFormat="1" ht="16.5" spans="1:24">
      <c r="A1333" s="17">
        <f t="shared" si="1032"/>
        <v>32618</v>
      </c>
      <c r="B1333" s="17">
        <f t="shared" si="1029"/>
        <v>32600</v>
      </c>
      <c r="C1333" s="17" t="str">
        <f t="shared" si="1038"/>
        <v>3</v>
      </c>
      <c r="D1333" s="17">
        <f t="shared" si="1030"/>
        <v>30003</v>
      </c>
      <c r="E1333" s="17">
        <v>1</v>
      </c>
      <c r="F1333" s="17">
        <f t="shared" si="1027"/>
        <v>3</v>
      </c>
      <c r="G1333" s="17" t="str">
        <f t="shared" si="1033"/>
        <v>高级生命百分比</v>
      </c>
      <c r="H1333" s="17" t="str">
        <f t="shared" si="1034"/>
        <v>icon_07</v>
      </c>
      <c r="I1333" s="20">
        <v>0</v>
      </c>
      <c r="J1333" s="17">
        <v>18</v>
      </c>
      <c r="K1333" s="17">
        <f t="shared" si="1031"/>
        <v>32619</v>
      </c>
      <c r="L1333" s="17" t="s">
        <v>641</v>
      </c>
      <c r="M1333" s="17" t="str">
        <f t="shared" si="1035"/>
        <v>1:12300:10</v>
      </c>
      <c r="N1333" s="16" t="str">
        <f t="shared" si="1019"/>
        <v>126:1</v>
      </c>
      <c r="O1333" s="17">
        <f t="shared" si="1028"/>
        <v>7</v>
      </c>
      <c r="P1333" s="21" t="str">
        <f>$R$3&amp;R1333&amp;$Q$1&amp;T1333</f>
        <v>所有弓兵生命百分比增加:1</v>
      </c>
      <c r="Q1333" s="21"/>
      <c r="R1333" t="str">
        <f t="shared" si="1036"/>
        <v>生命百分比</v>
      </c>
      <c r="T1333" t="str">
        <f t="shared" si="1037"/>
        <v>:1</v>
      </c>
      <c r="U1333" t="str">
        <f t="shared" si="1018"/>
        <v>弓兵</v>
      </c>
      <c r="V1333" t="s">
        <v>4623</v>
      </c>
      <c r="W1333">
        <f>属性类型!G1333</f>
        <v>126</v>
      </c>
      <c r="X1333">
        <v>1</v>
      </c>
    </row>
    <row r="1334" customFormat="1" ht="16.5" spans="1:24">
      <c r="A1334" s="17">
        <f t="shared" si="1032"/>
        <v>32619</v>
      </c>
      <c r="B1334" s="17">
        <f t="shared" si="1029"/>
        <v>32600</v>
      </c>
      <c r="C1334" s="17" t="str">
        <f t="shared" si="1038"/>
        <v>3</v>
      </c>
      <c r="D1334" s="17">
        <f t="shared" si="1030"/>
        <v>30003</v>
      </c>
      <c r="E1334" s="17">
        <v>1</v>
      </c>
      <c r="F1334" s="17">
        <f t="shared" si="1027"/>
        <v>3</v>
      </c>
      <c r="G1334" s="17" t="str">
        <f t="shared" si="1033"/>
        <v>高级生命百分比</v>
      </c>
      <c r="H1334" s="17" t="str">
        <f t="shared" si="1034"/>
        <v>icon_07</v>
      </c>
      <c r="I1334" s="20">
        <v>0</v>
      </c>
      <c r="J1334" s="17">
        <v>19</v>
      </c>
      <c r="K1334" s="17">
        <f t="shared" si="1031"/>
        <v>32620</v>
      </c>
      <c r="L1334" s="17" t="s">
        <v>645</v>
      </c>
      <c r="M1334" s="17" t="str">
        <f t="shared" si="1035"/>
        <v>1:12300:10</v>
      </c>
      <c r="N1334" s="16" t="str">
        <f t="shared" si="1019"/>
        <v>126:1</v>
      </c>
      <c r="O1334" s="17">
        <f t="shared" si="1028"/>
        <v>7</v>
      </c>
      <c r="P1334" s="21" t="str">
        <f>$R$3&amp;R1334&amp;$Q$1&amp;T1334</f>
        <v>所有弓兵生命百分比增加:1</v>
      </c>
      <c r="Q1334" s="21"/>
      <c r="R1334" t="str">
        <f t="shared" si="1036"/>
        <v>生命百分比</v>
      </c>
      <c r="T1334" t="str">
        <f t="shared" si="1037"/>
        <v>:1</v>
      </c>
      <c r="U1334" t="str">
        <f t="shared" si="1018"/>
        <v>弓兵</v>
      </c>
      <c r="V1334" t="s">
        <v>4623</v>
      </c>
      <c r="W1334">
        <f>属性类型!G1334</f>
        <v>126</v>
      </c>
      <c r="X1334">
        <v>1</v>
      </c>
    </row>
    <row r="1335" customFormat="1" ht="16.5" spans="1:24">
      <c r="A1335" s="17">
        <f t="shared" si="1032"/>
        <v>32620</v>
      </c>
      <c r="B1335" s="17">
        <f t="shared" si="1029"/>
        <v>32600</v>
      </c>
      <c r="C1335" s="17" t="str">
        <f t="shared" si="1038"/>
        <v>3</v>
      </c>
      <c r="D1335" s="17">
        <f t="shared" si="1030"/>
        <v>30003</v>
      </c>
      <c r="E1335" s="17">
        <v>1</v>
      </c>
      <c r="F1335" s="17">
        <f t="shared" si="1027"/>
        <v>3</v>
      </c>
      <c r="G1335" s="17" t="str">
        <f t="shared" si="1033"/>
        <v>高级生命百分比</v>
      </c>
      <c r="H1335" s="17" t="str">
        <f t="shared" si="1034"/>
        <v>icon_07</v>
      </c>
      <c r="I1335" s="20">
        <v>0</v>
      </c>
      <c r="J1335" s="17">
        <v>20</v>
      </c>
      <c r="K1335" s="17">
        <v>0</v>
      </c>
      <c r="L1335" s="17">
        <v>0</v>
      </c>
      <c r="M1335" s="17" t="str">
        <f t="shared" si="1035"/>
        <v>1:12300:10</v>
      </c>
      <c r="N1335" s="16" t="str">
        <f t="shared" si="1019"/>
        <v>126:1</v>
      </c>
      <c r="O1335" s="17">
        <f t="shared" si="1028"/>
        <v>7</v>
      </c>
      <c r="P1335" s="21" t="str">
        <f>$R$3&amp;R1335&amp;$Q$1&amp;T1335</f>
        <v>所有弓兵生命百分比增加:1</v>
      </c>
      <c r="Q1335" s="21"/>
      <c r="R1335" t="str">
        <f t="shared" si="1036"/>
        <v>生命百分比</v>
      </c>
      <c r="T1335" t="str">
        <f t="shared" si="1037"/>
        <v>:1</v>
      </c>
      <c r="U1335" t="str">
        <f t="shared" si="1018"/>
        <v>弓兵</v>
      </c>
      <c r="V1335" t="s">
        <v>4623</v>
      </c>
      <c r="W1335">
        <f>属性类型!G1335</f>
        <v>126</v>
      </c>
      <c r="X1335">
        <v>1</v>
      </c>
    </row>
    <row r="1336" customFormat="1" ht="16.5" spans="1:24">
      <c r="A1336" s="18">
        <f>A1315+100</f>
        <v>32700</v>
      </c>
      <c r="B1336" s="18">
        <f t="shared" si="1029"/>
        <v>32700</v>
      </c>
      <c r="C1336" s="18" t="str">
        <f t="shared" si="1038"/>
        <v>3</v>
      </c>
      <c r="D1336" s="17">
        <f t="shared" si="1030"/>
        <v>30003</v>
      </c>
      <c r="E1336" s="17">
        <v>2</v>
      </c>
      <c r="F1336" s="18">
        <f t="shared" si="1027"/>
        <v>3</v>
      </c>
      <c r="G1336" s="18" t="s">
        <v>4624</v>
      </c>
      <c r="H1336" s="18" t="s">
        <v>1670</v>
      </c>
      <c r="I1336" s="20">
        <v>1.5</v>
      </c>
      <c r="J1336" s="18">
        <v>0</v>
      </c>
      <c r="K1336" s="18">
        <f t="shared" ref="K1336:K1355" si="1039">A1337</f>
        <v>32701</v>
      </c>
      <c r="L1336" s="18" t="s">
        <v>206</v>
      </c>
      <c r="M1336" s="18" t="s">
        <v>709</v>
      </c>
      <c r="N1336" s="16" t="str">
        <f t="shared" si="1019"/>
        <v>10025:1</v>
      </c>
      <c r="O1336" s="18">
        <f t="shared" si="1028"/>
        <v>8</v>
      </c>
      <c r="P1336" s="21" t="s">
        <v>4625</v>
      </c>
      <c r="Q1336" s="21"/>
      <c r="R1336" t="s">
        <v>4626</v>
      </c>
      <c r="T1336" t="str">
        <f>RIGHT(N1336,1)</f>
        <v>1</v>
      </c>
      <c r="U1336" t="str">
        <f t="shared" si="1018"/>
        <v>射手</v>
      </c>
      <c r="V1336" t="s">
        <v>4624</v>
      </c>
      <c r="W1336">
        <f>属性类型!G1336</f>
        <v>10025</v>
      </c>
      <c r="X1336">
        <v>1</v>
      </c>
    </row>
    <row r="1337" customFormat="1" ht="16.5" spans="1:24">
      <c r="A1337" s="17">
        <f t="shared" ref="A1337:A1356" si="1040">A1336+1</f>
        <v>32701</v>
      </c>
      <c r="B1337" s="17">
        <f t="shared" si="1029"/>
        <v>32700</v>
      </c>
      <c r="C1337" s="17" t="str">
        <f t="shared" si="1038"/>
        <v>3</v>
      </c>
      <c r="D1337" s="17">
        <f t="shared" si="1030"/>
        <v>30003</v>
      </c>
      <c r="E1337" s="17">
        <v>2</v>
      </c>
      <c r="F1337" s="17">
        <f t="shared" si="1027"/>
        <v>3</v>
      </c>
      <c r="G1337" s="17" t="str">
        <f t="shared" ref="E1337:H1337" si="1041">G1336</f>
        <v>巡游射手防御百分比</v>
      </c>
      <c r="H1337" s="17" t="str">
        <f t="shared" si="1041"/>
        <v>gongbing02_Lv3</v>
      </c>
      <c r="I1337" s="20">
        <v>1.5</v>
      </c>
      <c r="J1337" s="17">
        <v>1</v>
      </c>
      <c r="K1337" s="17">
        <f t="shared" si="1039"/>
        <v>32702</v>
      </c>
      <c r="L1337" s="17" t="s">
        <v>211</v>
      </c>
      <c r="M1337" s="17" t="str">
        <f t="shared" ref="M1337:M1356" si="1042">M1336</f>
        <v>1:12400:10</v>
      </c>
      <c r="N1337" s="16" t="str">
        <f t="shared" si="1019"/>
        <v>10025:1</v>
      </c>
      <c r="O1337" s="17">
        <f t="shared" si="1028"/>
        <v>8</v>
      </c>
      <c r="P1337" s="21" t="s">
        <v>4627</v>
      </c>
      <c r="Q1337" s="21"/>
      <c r="R1337" t="s">
        <v>4626</v>
      </c>
      <c r="T1337" t="str">
        <f t="shared" ref="T1337:T1356" si="1043">RIGHT(N1337,2)</f>
        <v>:1</v>
      </c>
      <c r="U1337" t="str">
        <f t="shared" si="1018"/>
        <v>射手</v>
      </c>
      <c r="V1337" t="s">
        <v>4624</v>
      </c>
      <c r="W1337">
        <f>属性类型!G1337</f>
        <v>10025</v>
      </c>
      <c r="X1337">
        <v>1</v>
      </c>
    </row>
    <row r="1338" customFormat="1" ht="16.5" spans="1:24">
      <c r="A1338" s="17">
        <f t="shared" si="1040"/>
        <v>32702</v>
      </c>
      <c r="B1338" s="17">
        <f t="shared" si="1029"/>
        <v>32700</v>
      </c>
      <c r="C1338" s="17" t="str">
        <f t="shared" si="1038"/>
        <v>3</v>
      </c>
      <c r="D1338" s="17">
        <f t="shared" si="1030"/>
        <v>30003</v>
      </c>
      <c r="E1338" s="17">
        <v>2</v>
      </c>
      <c r="F1338" s="17">
        <f t="shared" si="1027"/>
        <v>3</v>
      </c>
      <c r="G1338" s="17" t="str">
        <f t="shared" ref="E1338:H1338" si="1044">G1337</f>
        <v>巡游射手防御百分比</v>
      </c>
      <c r="H1338" s="17" t="str">
        <f t="shared" si="1044"/>
        <v>gongbing02_Lv3</v>
      </c>
      <c r="I1338" s="20">
        <v>1.5</v>
      </c>
      <c r="J1338" s="17">
        <v>2</v>
      </c>
      <c r="K1338" s="17">
        <f t="shared" si="1039"/>
        <v>32703</v>
      </c>
      <c r="L1338" s="17" t="s">
        <v>215</v>
      </c>
      <c r="M1338" s="17" t="str">
        <f t="shared" si="1042"/>
        <v>1:12400:10</v>
      </c>
      <c r="N1338" s="16" t="str">
        <f t="shared" si="1019"/>
        <v>10025:1</v>
      </c>
      <c r="O1338" s="17">
        <f t="shared" si="1028"/>
        <v>8</v>
      </c>
      <c r="P1338" s="21" t="s">
        <v>4628</v>
      </c>
      <c r="Q1338" s="21"/>
      <c r="R1338" t="s">
        <v>4626</v>
      </c>
      <c r="T1338" t="str">
        <f t="shared" si="1043"/>
        <v>:1</v>
      </c>
      <c r="U1338" t="str">
        <f t="shared" si="1018"/>
        <v>射手</v>
      </c>
      <c r="V1338" t="s">
        <v>4624</v>
      </c>
      <c r="W1338">
        <f>属性类型!G1338</f>
        <v>10025</v>
      </c>
      <c r="X1338">
        <v>1</v>
      </c>
    </row>
    <row r="1339" customFormat="1" ht="16.5" spans="1:24">
      <c r="A1339" s="17">
        <f t="shared" si="1040"/>
        <v>32703</v>
      </c>
      <c r="B1339" s="17">
        <f t="shared" si="1029"/>
        <v>32700</v>
      </c>
      <c r="C1339" s="17" t="str">
        <f t="shared" si="1038"/>
        <v>3</v>
      </c>
      <c r="D1339" s="17">
        <f t="shared" si="1030"/>
        <v>30003</v>
      </c>
      <c r="E1339" s="17">
        <v>2</v>
      </c>
      <c r="F1339" s="17">
        <f t="shared" si="1027"/>
        <v>3</v>
      </c>
      <c r="G1339" s="17" t="str">
        <f t="shared" ref="E1339:H1339" si="1045">G1338</f>
        <v>巡游射手防御百分比</v>
      </c>
      <c r="H1339" s="17" t="str">
        <f t="shared" si="1045"/>
        <v>gongbing02_Lv3</v>
      </c>
      <c r="I1339" s="20">
        <v>1.5</v>
      </c>
      <c r="J1339" s="17">
        <v>3</v>
      </c>
      <c r="K1339" s="17">
        <f t="shared" si="1039"/>
        <v>32704</v>
      </c>
      <c r="L1339" s="17" t="s">
        <v>218</v>
      </c>
      <c r="M1339" s="17" t="str">
        <f t="shared" si="1042"/>
        <v>1:12400:10</v>
      </c>
      <c r="N1339" s="16" t="str">
        <f t="shared" si="1019"/>
        <v>10025:1</v>
      </c>
      <c r="O1339" s="17">
        <f t="shared" si="1028"/>
        <v>8</v>
      </c>
      <c r="P1339" s="21" t="s">
        <v>4629</v>
      </c>
      <c r="Q1339" s="21"/>
      <c r="R1339" t="s">
        <v>4626</v>
      </c>
      <c r="T1339" t="str">
        <f t="shared" si="1043"/>
        <v>:1</v>
      </c>
      <c r="U1339" t="str">
        <f t="shared" si="1018"/>
        <v>射手</v>
      </c>
      <c r="V1339" t="s">
        <v>4624</v>
      </c>
      <c r="W1339">
        <f>属性类型!G1339</f>
        <v>10025</v>
      </c>
      <c r="X1339">
        <v>1</v>
      </c>
    </row>
    <row r="1340" customFormat="1" ht="16.5" spans="1:24">
      <c r="A1340" s="17">
        <f t="shared" si="1040"/>
        <v>32704</v>
      </c>
      <c r="B1340" s="17">
        <f t="shared" si="1029"/>
        <v>32700</v>
      </c>
      <c r="C1340" s="17" t="str">
        <f t="shared" si="1038"/>
        <v>3</v>
      </c>
      <c r="D1340" s="17">
        <f t="shared" si="1030"/>
        <v>30003</v>
      </c>
      <c r="E1340" s="17">
        <v>2</v>
      </c>
      <c r="F1340" s="17">
        <f t="shared" si="1027"/>
        <v>3</v>
      </c>
      <c r="G1340" s="17" t="str">
        <f t="shared" ref="E1340:H1340" si="1046">G1339</f>
        <v>巡游射手防御百分比</v>
      </c>
      <c r="H1340" s="17" t="str">
        <f t="shared" si="1046"/>
        <v>gongbing02_Lv3</v>
      </c>
      <c r="I1340" s="20">
        <v>1.5</v>
      </c>
      <c r="J1340" s="17">
        <v>4</v>
      </c>
      <c r="K1340" s="17">
        <f t="shared" si="1039"/>
        <v>32705</v>
      </c>
      <c r="L1340" s="17" t="s">
        <v>221</v>
      </c>
      <c r="M1340" s="17" t="str">
        <f t="shared" si="1042"/>
        <v>1:12400:10</v>
      </c>
      <c r="N1340" s="16" t="str">
        <f t="shared" si="1019"/>
        <v>10025:1</v>
      </c>
      <c r="O1340" s="17">
        <f t="shared" si="1028"/>
        <v>8</v>
      </c>
      <c r="P1340" s="21" t="s">
        <v>4630</v>
      </c>
      <c r="Q1340" s="21"/>
      <c r="R1340" t="s">
        <v>4626</v>
      </c>
      <c r="T1340" t="str">
        <f t="shared" si="1043"/>
        <v>:1</v>
      </c>
      <c r="U1340" t="str">
        <f t="shared" si="1018"/>
        <v>射手</v>
      </c>
      <c r="V1340" t="s">
        <v>4624</v>
      </c>
      <c r="W1340">
        <f>属性类型!G1340</f>
        <v>10025</v>
      </c>
      <c r="X1340">
        <v>1</v>
      </c>
    </row>
    <row r="1341" customFormat="1" ht="16.5" spans="1:24">
      <c r="A1341" s="17">
        <f t="shared" si="1040"/>
        <v>32705</v>
      </c>
      <c r="B1341" s="17">
        <f t="shared" si="1029"/>
        <v>32700</v>
      </c>
      <c r="C1341" s="17" t="str">
        <f t="shared" si="1038"/>
        <v>3</v>
      </c>
      <c r="D1341" s="17">
        <f t="shared" si="1030"/>
        <v>30003</v>
      </c>
      <c r="E1341" s="17">
        <v>2</v>
      </c>
      <c r="F1341" s="17">
        <f t="shared" si="1027"/>
        <v>3</v>
      </c>
      <c r="G1341" s="17" t="str">
        <f t="shared" ref="E1341:H1341" si="1047">G1340</f>
        <v>巡游射手防御百分比</v>
      </c>
      <c r="H1341" s="17" t="str">
        <f t="shared" si="1047"/>
        <v>gongbing02_Lv3</v>
      </c>
      <c r="I1341" s="20">
        <v>1.5</v>
      </c>
      <c r="J1341" s="17">
        <v>5</v>
      </c>
      <c r="K1341" s="17">
        <f t="shared" si="1039"/>
        <v>32706</v>
      </c>
      <c r="L1341" s="17" t="s">
        <v>224</v>
      </c>
      <c r="M1341" s="17" t="str">
        <f t="shared" si="1042"/>
        <v>1:12400:10</v>
      </c>
      <c r="N1341" s="16" t="str">
        <f t="shared" si="1019"/>
        <v>10025:1</v>
      </c>
      <c r="O1341" s="17">
        <f t="shared" si="1028"/>
        <v>8</v>
      </c>
      <c r="P1341" s="21" t="s">
        <v>4631</v>
      </c>
      <c r="Q1341" s="21"/>
      <c r="R1341" t="s">
        <v>4626</v>
      </c>
      <c r="T1341" t="str">
        <f t="shared" si="1043"/>
        <v>:1</v>
      </c>
      <c r="U1341" t="str">
        <f t="shared" si="1018"/>
        <v>射手</v>
      </c>
      <c r="V1341" t="s">
        <v>4624</v>
      </c>
      <c r="W1341">
        <f>属性类型!G1341</f>
        <v>10025</v>
      </c>
      <c r="X1341">
        <v>1</v>
      </c>
    </row>
    <row r="1342" customFormat="1" ht="16.5" spans="1:24">
      <c r="A1342" s="17">
        <f t="shared" si="1040"/>
        <v>32706</v>
      </c>
      <c r="B1342" s="17">
        <f t="shared" si="1029"/>
        <v>32700</v>
      </c>
      <c r="C1342" s="17" t="str">
        <f t="shared" si="1038"/>
        <v>3</v>
      </c>
      <c r="D1342" s="17">
        <f t="shared" si="1030"/>
        <v>30003</v>
      </c>
      <c r="E1342" s="17">
        <v>2</v>
      </c>
      <c r="F1342" s="17">
        <f t="shared" si="1027"/>
        <v>3</v>
      </c>
      <c r="G1342" s="17" t="str">
        <f t="shared" ref="E1342:H1342" si="1048">G1341</f>
        <v>巡游射手防御百分比</v>
      </c>
      <c r="H1342" s="17" t="str">
        <f t="shared" si="1048"/>
        <v>gongbing02_Lv3</v>
      </c>
      <c r="I1342" s="20">
        <v>1.5</v>
      </c>
      <c r="J1342" s="17">
        <v>6</v>
      </c>
      <c r="K1342" s="17">
        <f t="shared" si="1039"/>
        <v>32707</v>
      </c>
      <c r="L1342" s="17" t="s">
        <v>227</v>
      </c>
      <c r="M1342" s="17" t="str">
        <f t="shared" si="1042"/>
        <v>1:12400:10</v>
      </c>
      <c r="N1342" s="16" t="str">
        <f t="shared" si="1019"/>
        <v>10025:1</v>
      </c>
      <c r="O1342" s="17">
        <f t="shared" si="1028"/>
        <v>8</v>
      </c>
      <c r="P1342" s="21" t="s">
        <v>4632</v>
      </c>
      <c r="Q1342" s="21"/>
      <c r="R1342" t="s">
        <v>4626</v>
      </c>
      <c r="T1342" t="str">
        <f t="shared" si="1043"/>
        <v>:1</v>
      </c>
      <c r="U1342" t="str">
        <f t="shared" si="1018"/>
        <v>射手</v>
      </c>
      <c r="V1342" t="s">
        <v>4624</v>
      </c>
      <c r="W1342">
        <f>属性类型!G1342</f>
        <v>10025</v>
      </c>
      <c r="X1342">
        <v>1</v>
      </c>
    </row>
    <row r="1343" customFormat="1" ht="16.5" spans="1:24">
      <c r="A1343" s="17">
        <f t="shared" si="1040"/>
        <v>32707</v>
      </c>
      <c r="B1343" s="17">
        <f t="shared" si="1029"/>
        <v>32700</v>
      </c>
      <c r="C1343" s="17" t="str">
        <f t="shared" si="1038"/>
        <v>3</v>
      </c>
      <c r="D1343" s="17">
        <f t="shared" si="1030"/>
        <v>30003</v>
      </c>
      <c r="E1343" s="17">
        <v>2</v>
      </c>
      <c r="F1343" s="17">
        <f t="shared" si="1027"/>
        <v>3</v>
      </c>
      <c r="G1343" s="17" t="str">
        <f t="shared" ref="E1343:H1343" si="1049">G1342</f>
        <v>巡游射手防御百分比</v>
      </c>
      <c r="H1343" s="17" t="str">
        <f t="shared" si="1049"/>
        <v>gongbing02_Lv3</v>
      </c>
      <c r="I1343" s="20">
        <v>1.5</v>
      </c>
      <c r="J1343" s="17">
        <v>7</v>
      </c>
      <c r="K1343" s="17">
        <f t="shared" si="1039"/>
        <v>32708</v>
      </c>
      <c r="L1343" s="17" t="s">
        <v>230</v>
      </c>
      <c r="M1343" s="17" t="str">
        <f t="shared" si="1042"/>
        <v>1:12400:10</v>
      </c>
      <c r="N1343" s="16" t="str">
        <f t="shared" si="1019"/>
        <v>10025:1</v>
      </c>
      <c r="O1343" s="17">
        <f t="shared" si="1028"/>
        <v>8</v>
      </c>
      <c r="P1343" s="21" t="s">
        <v>4633</v>
      </c>
      <c r="Q1343" s="21"/>
      <c r="R1343" t="s">
        <v>4626</v>
      </c>
      <c r="T1343" t="str">
        <f t="shared" si="1043"/>
        <v>:1</v>
      </c>
      <c r="U1343" t="str">
        <f t="shared" si="1018"/>
        <v>射手</v>
      </c>
      <c r="V1343" t="s">
        <v>4624</v>
      </c>
      <c r="W1343">
        <f>属性类型!G1343</f>
        <v>10025</v>
      </c>
      <c r="X1343">
        <v>1</v>
      </c>
    </row>
    <row r="1344" customFormat="1" ht="16.5" spans="1:24">
      <c r="A1344" s="17">
        <f t="shared" si="1040"/>
        <v>32708</v>
      </c>
      <c r="B1344" s="17">
        <f t="shared" si="1029"/>
        <v>32700</v>
      </c>
      <c r="C1344" s="17" t="str">
        <f t="shared" si="1038"/>
        <v>3</v>
      </c>
      <c r="D1344" s="17">
        <f t="shared" si="1030"/>
        <v>30003</v>
      </c>
      <c r="E1344" s="17">
        <v>2</v>
      </c>
      <c r="F1344" s="17">
        <f t="shared" si="1027"/>
        <v>3</v>
      </c>
      <c r="G1344" s="17" t="str">
        <f t="shared" ref="E1344:H1344" si="1050">G1343</f>
        <v>巡游射手防御百分比</v>
      </c>
      <c r="H1344" s="17" t="str">
        <f t="shared" si="1050"/>
        <v>gongbing02_Lv3</v>
      </c>
      <c r="I1344" s="20">
        <v>1.5</v>
      </c>
      <c r="J1344" s="17">
        <v>8</v>
      </c>
      <c r="K1344" s="17">
        <f t="shared" si="1039"/>
        <v>32709</v>
      </c>
      <c r="L1344" s="17" t="s">
        <v>233</v>
      </c>
      <c r="M1344" s="17" t="str">
        <f t="shared" si="1042"/>
        <v>1:12400:10</v>
      </c>
      <c r="N1344" s="16" t="str">
        <f t="shared" si="1019"/>
        <v>10025:1</v>
      </c>
      <c r="O1344" s="17">
        <f t="shared" si="1028"/>
        <v>8</v>
      </c>
      <c r="P1344" s="21" t="s">
        <v>4634</v>
      </c>
      <c r="Q1344" s="21"/>
      <c r="R1344" t="s">
        <v>4626</v>
      </c>
      <c r="T1344" t="str">
        <f t="shared" si="1043"/>
        <v>:1</v>
      </c>
      <c r="U1344" t="str">
        <f t="shared" si="1018"/>
        <v>射手</v>
      </c>
      <c r="V1344" t="s">
        <v>4624</v>
      </c>
      <c r="W1344">
        <f>属性类型!G1344</f>
        <v>10025</v>
      </c>
      <c r="X1344">
        <v>1</v>
      </c>
    </row>
    <row r="1345" customFormat="1" ht="16.5" spans="1:24">
      <c r="A1345" s="17">
        <f t="shared" si="1040"/>
        <v>32709</v>
      </c>
      <c r="B1345" s="17">
        <f t="shared" si="1029"/>
        <v>32700</v>
      </c>
      <c r="C1345" s="17" t="str">
        <f t="shared" si="1038"/>
        <v>3</v>
      </c>
      <c r="D1345" s="17">
        <f t="shared" si="1030"/>
        <v>30003</v>
      </c>
      <c r="E1345" s="17">
        <v>2</v>
      </c>
      <c r="F1345" s="17">
        <f t="shared" si="1027"/>
        <v>3</v>
      </c>
      <c r="G1345" s="17" t="str">
        <f t="shared" ref="E1345:H1345" si="1051">G1344</f>
        <v>巡游射手防御百分比</v>
      </c>
      <c r="H1345" s="17" t="str">
        <f t="shared" si="1051"/>
        <v>gongbing02_Lv3</v>
      </c>
      <c r="I1345" s="20">
        <v>1.5</v>
      </c>
      <c r="J1345" s="17">
        <v>9</v>
      </c>
      <c r="K1345" s="17">
        <f t="shared" si="1039"/>
        <v>32710</v>
      </c>
      <c r="L1345" s="17" t="s">
        <v>236</v>
      </c>
      <c r="M1345" s="17" t="str">
        <f t="shared" si="1042"/>
        <v>1:12400:10</v>
      </c>
      <c r="N1345" s="16" t="str">
        <f t="shared" si="1019"/>
        <v>10025:1</v>
      </c>
      <c r="O1345" s="17">
        <f t="shared" si="1028"/>
        <v>8</v>
      </c>
      <c r="P1345" s="21" t="s">
        <v>4635</v>
      </c>
      <c r="Q1345" s="21"/>
      <c r="R1345" t="s">
        <v>4626</v>
      </c>
      <c r="T1345" t="str">
        <f t="shared" si="1043"/>
        <v>:1</v>
      </c>
      <c r="U1345" t="str">
        <f t="shared" si="1018"/>
        <v>射手</v>
      </c>
      <c r="V1345" t="s">
        <v>4624</v>
      </c>
      <c r="W1345">
        <f>属性类型!G1345</f>
        <v>10025</v>
      </c>
      <c r="X1345">
        <v>1</v>
      </c>
    </row>
    <row r="1346" customFormat="1" ht="16.5" spans="1:24">
      <c r="A1346" s="17">
        <f t="shared" si="1040"/>
        <v>32710</v>
      </c>
      <c r="B1346" s="17">
        <f t="shared" si="1029"/>
        <v>32700</v>
      </c>
      <c r="C1346" s="17" t="str">
        <f t="shared" si="1038"/>
        <v>3</v>
      </c>
      <c r="D1346" s="17">
        <f t="shared" si="1030"/>
        <v>30003</v>
      </c>
      <c r="E1346" s="17">
        <v>2</v>
      </c>
      <c r="F1346" s="17">
        <f t="shared" si="1027"/>
        <v>3</v>
      </c>
      <c r="G1346" s="17" t="str">
        <f t="shared" ref="E1346:H1346" si="1052">G1345</f>
        <v>巡游射手防御百分比</v>
      </c>
      <c r="H1346" s="17" t="str">
        <f t="shared" si="1052"/>
        <v>gongbing02_Lv3</v>
      </c>
      <c r="I1346" s="20">
        <v>1.5</v>
      </c>
      <c r="J1346" s="17">
        <v>10</v>
      </c>
      <c r="K1346" s="17">
        <f t="shared" si="1039"/>
        <v>32711</v>
      </c>
      <c r="L1346" s="17" t="s">
        <v>238</v>
      </c>
      <c r="M1346" s="17" t="str">
        <f t="shared" si="1042"/>
        <v>1:12400:10</v>
      </c>
      <c r="N1346" s="16" t="str">
        <f t="shared" si="1019"/>
        <v>10025:1</v>
      </c>
      <c r="O1346" s="17">
        <f t="shared" si="1028"/>
        <v>8</v>
      </c>
      <c r="P1346" s="21" t="s">
        <v>4636</v>
      </c>
      <c r="Q1346" s="21"/>
      <c r="R1346" t="s">
        <v>4626</v>
      </c>
      <c r="T1346" t="str">
        <f t="shared" si="1043"/>
        <v>:1</v>
      </c>
      <c r="U1346" t="str">
        <f t="shared" si="1018"/>
        <v>射手</v>
      </c>
      <c r="V1346" t="s">
        <v>4624</v>
      </c>
      <c r="W1346">
        <f>属性类型!G1346</f>
        <v>10025</v>
      </c>
      <c r="X1346">
        <v>1</v>
      </c>
    </row>
    <row r="1347" customFormat="1" ht="16.5" spans="1:24">
      <c r="A1347" s="17">
        <f t="shared" si="1040"/>
        <v>32711</v>
      </c>
      <c r="B1347" s="17">
        <f t="shared" si="1029"/>
        <v>32700</v>
      </c>
      <c r="C1347" s="17" t="str">
        <f t="shared" si="1038"/>
        <v>3</v>
      </c>
      <c r="D1347" s="17">
        <f t="shared" si="1030"/>
        <v>30003</v>
      </c>
      <c r="E1347" s="17">
        <v>2</v>
      </c>
      <c r="F1347" s="17">
        <f t="shared" si="1027"/>
        <v>3</v>
      </c>
      <c r="G1347" s="17" t="str">
        <f t="shared" ref="E1347:H1347" si="1053">G1346</f>
        <v>巡游射手防御百分比</v>
      </c>
      <c r="H1347" s="17" t="str">
        <f t="shared" si="1053"/>
        <v>gongbing02_Lv3</v>
      </c>
      <c r="I1347" s="20">
        <v>1.5</v>
      </c>
      <c r="J1347" s="17">
        <v>11</v>
      </c>
      <c r="K1347" s="17">
        <f t="shared" si="1039"/>
        <v>32712</v>
      </c>
      <c r="L1347" s="17" t="s">
        <v>529</v>
      </c>
      <c r="M1347" s="17" t="str">
        <f t="shared" si="1042"/>
        <v>1:12400:10</v>
      </c>
      <c r="N1347" s="16" t="str">
        <f t="shared" si="1019"/>
        <v>10025:1</v>
      </c>
      <c r="O1347" s="17">
        <f t="shared" si="1028"/>
        <v>8</v>
      </c>
      <c r="P1347" s="21" t="s">
        <v>4637</v>
      </c>
      <c r="Q1347" s="21"/>
      <c r="R1347" t="s">
        <v>4626</v>
      </c>
      <c r="T1347" t="str">
        <f t="shared" si="1043"/>
        <v>:1</v>
      </c>
      <c r="U1347" t="str">
        <f t="shared" si="1018"/>
        <v>射手</v>
      </c>
      <c r="V1347" t="s">
        <v>4624</v>
      </c>
      <c r="W1347">
        <f>属性类型!G1347</f>
        <v>10025</v>
      </c>
      <c r="X1347">
        <v>1</v>
      </c>
    </row>
    <row r="1348" customFormat="1" ht="16.5" spans="1:24">
      <c r="A1348" s="17">
        <f t="shared" si="1040"/>
        <v>32712</v>
      </c>
      <c r="B1348" s="17">
        <f t="shared" si="1029"/>
        <v>32700</v>
      </c>
      <c r="C1348" s="17" t="str">
        <f t="shared" si="1038"/>
        <v>3</v>
      </c>
      <c r="D1348" s="17">
        <f t="shared" si="1030"/>
        <v>30003</v>
      </c>
      <c r="E1348" s="17">
        <v>2</v>
      </c>
      <c r="F1348" s="17">
        <f t="shared" si="1027"/>
        <v>3</v>
      </c>
      <c r="G1348" s="17" t="str">
        <f t="shared" ref="E1348:H1348" si="1054">G1347</f>
        <v>巡游射手防御百分比</v>
      </c>
      <c r="H1348" s="17" t="str">
        <f t="shared" si="1054"/>
        <v>gongbing02_Lv3</v>
      </c>
      <c r="I1348" s="20">
        <v>1.5</v>
      </c>
      <c r="J1348" s="17">
        <v>12</v>
      </c>
      <c r="K1348" s="17">
        <f t="shared" si="1039"/>
        <v>32713</v>
      </c>
      <c r="L1348" s="17" t="s">
        <v>532</v>
      </c>
      <c r="M1348" s="17" t="str">
        <f t="shared" si="1042"/>
        <v>1:12400:10</v>
      </c>
      <c r="N1348" s="16" t="str">
        <f t="shared" si="1019"/>
        <v>10025:1</v>
      </c>
      <c r="O1348" s="17">
        <f t="shared" si="1028"/>
        <v>8</v>
      </c>
      <c r="P1348" s="21" t="s">
        <v>4638</v>
      </c>
      <c r="Q1348" s="21"/>
      <c r="R1348" t="s">
        <v>4626</v>
      </c>
      <c r="T1348" t="str">
        <f t="shared" si="1043"/>
        <v>:1</v>
      </c>
      <c r="U1348" t="str">
        <f t="shared" si="1018"/>
        <v>射手</v>
      </c>
      <c r="V1348" t="s">
        <v>4624</v>
      </c>
      <c r="W1348">
        <f>属性类型!G1348</f>
        <v>10025</v>
      </c>
      <c r="X1348">
        <v>1</v>
      </c>
    </row>
    <row r="1349" customFormat="1" ht="16.5" spans="1:24">
      <c r="A1349" s="17">
        <f t="shared" si="1040"/>
        <v>32713</v>
      </c>
      <c r="B1349" s="17">
        <f t="shared" si="1029"/>
        <v>32700</v>
      </c>
      <c r="C1349" s="17" t="str">
        <f t="shared" si="1038"/>
        <v>3</v>
      </c>
      <c r="D1349" s="17">
        <f t="shared" si="1030"/>
        <v>30003</v>
      </c>
      <c r="E1349" s="17">
        <v>2</v>
      </c>
      <c r="F1349" s="17">
        <f t="shared" si="1027"/>
        <v>3</v>
      </c>
      <c r="G1349" s="17" t="str">
        <f t="shared" ref="E1349:H1349" si="1055">G1348</f>
        <v>巡游射手防御百分比</v>
      </c>
      <c r="H1349" s="17" t="str">
        <f t="shared" si="1055"/>
        <v>gongbing02_Lv3</v>
      </c>
      <c r="I1349" s="20">
        <v>1.5</v>
      </c>
      <c r="J1349" s="17">
        <v>13</v>
      </c>
      <c r="K1349" s="17">
        <f t="shared" si="1039"/>
        <v>32714</v>
      </c>
      <c r="L1349" s="17" t="s">
        <v>561</v>
      </c>
      <c r="M1349" s="17" t="str">
        <f t="shared" si="1042"/>
        <v>1:12400:10</v>
      </c>
      <c r="N1349" s="16" t="str">
        <f t="shared" si="1019"/>
        <v>10025:1</v>
      </c>
      <c r="O1349" s="17">
        <f t="shared" si="1028"/>
        <v>8</v>
      </c>
      <c r="P1349" s="21" t="s">
        <v>4639</v>
      </c>
      <c r="Q1349" s="21"/>
      <c r="R1349" t="s">
        <v>4626</v>
      </c>
      <c r="T1349" t="str">
        <f t="shared" si="1043"/>
        <v>:1</v>
      </c>
      <c r="U1349" t="str">
        <f t="shared" ref="U1349:U1412" si="1056">MID(P1349,3,2)</f>
        <v>射手</v>
      </c>
      <c r="V1349" t="s">
        <v>4624</v>
      </c>
      <c r="W1349">
        <f>属性类型!G1349</f>
        <v>10025</v>
      </c>
      <c r="X1349">
        <v>1</v>
      </c>
    </row>
    <row r="1350" customFormat="1" ht="16.5" spans="1:24">
      <c r="A1350" s="17">
        <f t="shared" si="1040"/>
        <v>32714</v>
      </c>
      <c r="B1350" s="17">
        <f t="shared" si="1029"/>
        <v>32700</v>
      </c>
      <c r="C1350" s="17" t="str">
        <f t="shared" si="1038"/>
        <v>3</v>
      </c>
      <c r="D1350" s="17">
        <f t="shared" si="1030"/>
        <v>30003</v>
      </c>
      <c r="E1350" s="17">
        <v>2</v>
      </c>
      <c r="F1350" s="17">
        <f t="shared" si="1027"/>
        <v>3</v>
      </c>
      <c r="G1350" s="17" t="str">
        <f t="shared" ref="E1350:H1350" si="1057">G1349</f>
        <v>巡游射手防御百分比</v>
      </c>
      <c r="H1350" s="17" t="str">
        <f t="shared" si="1057"/>
        <v>gongbing02_Lv3</v>
      </c>
      <c r="I1350" s="20">
        <v>1.5</v>
      </c>
      <c r="J1350" s="17">
        <v>14</v>
      </c>
      <c r="K1350" s="17">
        <f t="shared" si="1039"/>
        <v>32715</v>
      </c>
      <c r="L1350" s="17" t="s">
        <v>564</v>
      </c>
      <c r="M1350" s="17" t="str">
        <f t="shared" si="1042"/>
        <v>1:12400:10</v>
      </c>
      <c r="N1350" s="16" t="str">
        <f t="shared" si="1019"/>
        <v>10025:1</v>
      </c>
      <c r="O1350" s="17">
        <f t="shared" si="1028"/>
        <v>8</v>
      </c>
      <c r="P1350" s="21" t="s">
        <v>4640</v>
      </c>
      <c r="Q1350" s="21"/>
      <c r="R1350" t="s">
        <v>4626</v>
      </c>
      <c r="T1350" t="str">
        <f t="shared" si="1043"/>
        <v>:1</v>
      </c>
      <c r="U1350" t="str">
        <f t="shared" si="1056"/>
        <v>射手</v>
      </c>
      <c r="V1350" t="s">
        <v>4624</v>
      </c>
      <c r="W1350">
        <f>属性类型!G1350</f>
        <v>10025</v>
      </c>
      <c r="X1350">
        <v>1</v>
      </c>
    </row>
    <row r="1351" customFormat="1" ht="16.5" spans="1:24">
      <c r="A1351" s="17">
        <f t="shared" si="1040"/>
        <v>32715</v>
      </c>
      <c r="B1351" s="17">
        <f t="shared" si="1029"/>
        <v>32700</v>
      </c>
      <c r="C1351" s="17" t="str">
        <f t="shared" si="1038"/>
        <v>3</v>
      </c>
      <c r="D1351" s="17">
        <f t="shared" si="1030"/>
        <v>30003</v>
      </c>
      <c r="E1351" s="17">
        <v>2</v>
      </c>
      <c r="F1351" s="17">
        <f t="shared" si="1027"/>
        <v>3</v>
      </c>
      <c r="G1351" s="17" t="str">
        <f t="shared" ref="E1351:H1351" si="1058">G1350</f>
        <v>巡游射手防御百分比</v>
      </c>
      <c r="H1351" s="17" t="str">
        <f t="shared" si="1058"/>
        <v>gongbing02_Lv3</v>
      </c>
      <c r="I1351" s="20">
        <v>1.5</v>
      </c>
      <c r="J1351" s="17">
        <v>15</v>
      </c>
      <c r="K1351" s="17">
        <f t="shared" si="1039"/>
        <v>32716</v>
      </c>
      <c r="L1351" s="17" t="s">
        <v>630</v>
      </c>
      <c r="M1351" s="17" t="str">
        <f t="shared" si="1042"/>
        <v>1:12400:10</v>
      </c>
      <c r="N1351" s="16" t="str">
        <f t="shared" si="1019"/>
        <v>10025:1</v>
      </c>
      <c r="O1351" s="17">
        <f t="shared" si="1028"/>
        <v>8</v>
      </c>
      <c r="P1351" s="21" t="s">
        <v>4641</v>
      </c>
      <c r="Q1351" s="21"/>
      <c r="R1351" t="s">
        <v>4626</v>
      </c>
      <c r="T1351" t="str">
        <f t="shared" si="1043"/>
        <v>:1</v>
      </c>
      <c r="U1351" t="str">
        <f t="shared" si="1056"/>
        <v>射手</v>
      </c>
      <c r="V1351" t="s">
        <v>4624</v>
      </c>
      <c r="W1351">
        <f>属性类型!G1351</f>
        <v>10025</v>
      </c>
      <c r="X1351">
        <v>1</v>
      </c>
    </row>
    <row r="1352" customFormat="1" ht="16.5" spans="1:24">
      <c r="A1352" s="17">
        <f t="shared" si="1040"/>
        <v>32716</v>
      </c>
      <c r="B1352" s="17">
        <f t="shared" si="1029"/>
        <v>32700</v>
      </c>
      <c r="C1352" s="17" t="str">
        <f t="shared" si="1038"/>
        <v>3</v>
      </c>
      <c r="D1352" s="17">
        <f t="shared" si="1030"/>
        <v>30003</v>
      </c>
      <c r="E1352" s="17">
        <v>2</v>
      </c>
      <c r="F1352" s="17">
        <f t="shared" si="1027"/>
        <v>3</v>
      </c>
      <c r="G1352" s="17" t="str">
        <f t="shared" ref="E1352:H1352" si="1059">G1351</f>
        <v>巡游射手防御百分比</v>
      </c>
      <c r="H1352" s="17" t="str">
        <f t="shared" si="1059"/>
        <v>gongbing02_Lv3</v>
      </c>
      <c r="I1352" s="20">
        <v>1.5</v>
      </c>
      <c r="J1352" s="17">
        <v>16</v>
      </c>
      <c r="K1352" s="17">
        <f t="shared" si="1039"/>
        <v>32717</v>
      </c>
      <c r="L1352" s="17" t="s">
        <v>633</v>
      </c>
      <c r="M1352" s="17" t="str">
        <f t="shared" si="1042"/>
        <v>1:12400:10</v>
      </c>
      <c r="N1352" s="16" t="str">
        <f t="shared" si="1019"/>
        <v>10025:1</v>
      </c>
      <c r="O1352" s="17">
        <f t="shared" si="1028"/>
        <v>8</v>
      </c>
      <c r="P1352" s="21" t="s">
        <v>4642</v>
      </c>
      <c r="Q1352" s="21"/>
      <c r="R1352" t="s">
        <v>4626</v>
      </c>
      <c r="T1352" t="str">
        <f t="shared" si="1043"/>
        <v>:1</v>
      </c>
      <c r="U1352" t="str">
        <f t="shared" si="1056"/>
        <v>射手</v>
      </c>
      <c r="V1352" t="s">
        <v>4624</v>
      </c>
      <c r="W1352">
        <f>属性类型!G1352</f>
        <v>10025</v>
      </c>
      <c r="X1352">
        <v>1</v>
      </c>
    </row>
    <row r="1353" customFormat="1" ht="16.5" spans="1:24">
      <c r="A1353" s="17">
        <f t="shared" si="1040"/>
        <v>32717</v>
      </c>
      <c r="B1353" s="17">
        <f t="shared" si="1029"/>
        <v>32700</v>
      </c>
      <c r="C1353" s="17" t="str">
        <f t="shared" si="1038"/>
        <v>3</v>
      </c>
      <c r="D1353" s="17">
        <f t="shared" si="1030"/>
        <v>30003</v>
      </c>
      <c r="E1353" s="17">
        <v>2</v>
      </c>
      <c r="F1353" s="17">
        <f t="shared" si="1027"/>
        <v>3</v>
      </c>
      <c r="G1353" s="17" t="str">
        <f t="shared" ref="E1353:H1353" si="1060">G1352</f>
        <v>巡游射手防御百分比</v>
      </c>
      <c r="H1353" s="17" t="str">
        <f t="shared" si="1060"/>
        <v>gongbing02_Lv3</v>
      </c>
      <c r="I1353" s="20">
        <v>1.5</v>
      </c>
      <c r="J1353" s="17">
        <v>17</v>
      </c>
      <c r="K1353" s="17">
        <f t="shared" si="1039"/>
        <v>32718</v>
      </c>
      <c r="L1353" s="17" t="s">
        <v>637</v>
      </c>
      <c r="M1353" s="17" t="str">
        <f t="shared" si="1042"/>
        <v>1:12400:10</v>
      </c>
      <c r="N1353" s="16" t="str">
        <f t="shared" si="1019"/>
        <v>10025:1</v>
      </c>
      <c r="O1353" s="17">
        <f t="shared" si="1028"/>
        <v>8</v>
      </c>
      <c r="P1353" s="21" t="s">
        <v>4643</v>
      </c>
      <c r="Q1353" s="21"/>
      <c r="R1353" t="s">
        <v>4626</v>
      </c>
      <c r="T1353" t="str">
        <f t="shared" si="1043"/>
        <v>:1</v>
      </c>
      <c r="U1353" t="str">
        <f t="shared" si="1056"/>
        <v>射手</v>
      </c>
      <c r="V1353" t="s">
        <v>4624</v>
      </c>
      <c r="W1353">
        <f>属性类型!G1353</f>
        <v>10025</v>
      </c>
      <c r="X1353">
        <v>1</v>
      </c>
    </row>
    <row r="1354" customFormat="1" ht="16.5" spans="1:24">
      <c r="A1354" s="17">
        <f t="shared" si="1040"/>
        <v>32718</v>
      </c>
      <c r="B1354" s="17">
        <f t="shared" si="1029"/>
        <v>32700</v>
      </c>
      <c r="C1354" s="17" t="str">
        <f t="shared" si="1038"/>
        <v>3</v>
      </c>
      <c r="D1354" s="17">
        <f t="shared" si="1030"/>
        <v>30003</v>
      </c>
      <c r="E1354" s="17">
        <v>2</v>
      </c>
      <c r="F1354" s="17">
        <f t="shared" si="1027"/>
        <v>3</v>
      </c>
      <c r="G1354" s="17" t="str">
        <f t="shared" ref="E1354:H1354" si="1061">G1353</f>
        <v>巡游射手防御百分比</v>
      </c>
      <c r="H1354" s="17" t="str">
        <f t="shared" si="1061"/>
        <v>gongbing02_Lv3</v>
      </c>
      <c r="I1354" s="20">
        <v>1.5</v>
      </c>
      <c r="J1354" s="17">
        <v>18</v>
      </c>
      <c r="K1354" s="17">
        <f t="shared" si="1039"/>
        <v>32719</v>
      </c>
      <c r="L1354" s="17" t="s">
        <v>641</v>
      </c>
      <c r="M1354" s="17" t="str">
        <f t="shared" si="1042"/>
        <v>1:12400:10</v>
      </c>
      <c r="N1354" s="16" t="str">
        <f t="shared" si="1019"/>
        <v>10025:1</v>
      </c>
      <c r="O1354" s="17">
        <f t="shared" si="1028"/>
        <v>8</v>
      </c>
      <c r="P1354" s="21" t="s">
        <v>4644</v>
      </c>
      <c r="Q1354" s="21"/>
      <c r="R1354" t="s">
        <v>4626</v>
      </c>
      <c r="T1354" t="str">
        <f t="shared" si="1043"/>
        <v>:1</v>
      </c>
      <c r="U1354" t="str">
        <f t="shared" si="1056"/>
        <v>射手</v>
      </c>
      <c r="V1354" t="s">
        <v>4624</v>
      </c>
      <c r="W1354">
        <f>属性类型!G1354</f>
        <v>10025</v>
      </c>
      <c r="X1354">
        <v>1</v>
      </c>
    </row>
    <row r="1355" customFormat="1" ht="16.5" spans="1:24">
      <c r="A1355" s="17">
        <f t="shared" si="1040"/>
        <v>32719</v>
      </c>
      <c r="B1355" s="17">
        <f t="shared" si="1029"/>
        <v>32700</v>
      </c>
      <c r="C1355" s="17" t="str">
        <f t="shared" si="1038"/>
        <v>3</v>
      </c>
      <c r="D1355" s="17">
        <f t="shared" si="1030"/>
        <v>30003</v>
      </c>
      <c r="E1355" s="17">
        <v>2</v>
      </c>
      <c r="F1355" s="17">
        <f t="shared" si="1027"/>
        <v>3</v>
      </c>
      <c r="G1355" s="17" t="str">
        <f t="shared" ref="E1355:H1355" si="1062">G1354</f>
        <v>巡游射手防御百分比</v>
      </c>
      <c r="H1355" s="17" t="str">
        <f t="shared" si="1062"/>
        <v>gongbing02_Lv3</v>
      </c>
      <c r="I1355" s="20">
        <v>1.5</v>
      </c>
      <c r="J1355" s="17">
        <v>19</v>
      </c>
      <c r="K1355" s="17">
        <f t="shared" si="1039"/>
        <v>32720</v>
      </c>
      <c r="L1355" s="17" t="s">
        <v>645</v>
      </c>
      <c r="M1355" s="17" t="str">
        <f t="shared" si="1042"/>
        <v>1:12400:10</v>
      </c>
      <c r="N1355" s="16" t="str">
        <f t="shared" ref="N1355:N1418" si="1063">W1355&amp;$W$2&amp;X1355</f>
        <v>10025:1</v>
      </c>
      <c r="O1355" s="17">
        <f t="shared" si="1028"/>
        <v>8</v>
      </c>
      <c r="P1355" s="21" t="s">
        <v>4645</v>
      </c>
      <c r="Q1355" s="21"/>
      <c r="R1355" t="s">
        <v>4626</v>
      </c>
      <c r="T1355" t="str">
        <f t="shared" si="1043"/>
        <v>:1</v>
      </c>
      <c r="U1355" t="str">
        <f t="shared" si="1056"/>
        <v>射手</v>
      </c>
      <c r="V1355" t="s">
        <v>4624</v>
      </c>
      <c r="W1355">
        <f>属性类型!G1355</f>
        <v>10025</v>
      </c>
      <c r="X1355">
        <v>1</v>
      </c>
    </row>
    <row r="1356" customFormat="1" ht="16.5" spans="1:24">
      <c r="A1356" s="17">
        <f t="shared" si="1040"/>
        <v>32720</v>
      </c>
      <c r="B1356" s="17">
        <f t="shared" si="1029"/>
        <v>32700</v>
      </c>
      <c r="C1356" s="17" t="str">
        <f t="shared" si="1038"/>
        <v>3</v>
      </c>
      <c r="D1356" s="17">
        <f t="shared" si="1030"/>
        <v>30003</v>
      </c>
      <c r="E1356" s="17">
        <v>2</v>
      </c>
      <c r="F1356" s="17">
        <f t="shared" si="1027"/>
        <v>3</v>
      </c>
      <c r="G1356" s="17" t="str">
        <f t="shared" ref="E1356:H1356" si="1064">G1355</f>
        <v>巡游射手防御百分比</v>
      </c>
      <c r="H1356" s="17" t="str">
        <f t="shared" si="1064"/>
        <v>gongbing02_Lv3</v>
      </c>
      <c r="I1356" s="20">
        <v>1.5</v>
      </c>
      <c r="J1356" s="17">
        <v>20</v>
      </c>
      <c r="K1356" s="17">
        <v>0</v>
      </c>
      <c r="L1356" s="17">
        <v>0</v>
      </c>
      <c r="M1356" s="17" t="str">
        <f t="shared" si="1042"/>
        <v>1:12400:10</v>
      </c>
      <c r="N1356" s="16" t="str">
        <f t="shared" si="1063"/>
        <v>10025:1</v>
      </c>
      <c r="O1356" s="17">
        <f t="shared" si="1028"/>
        <v>8</v>
      </c>
      <c r="P1356" s="21" t="s">
        <v>4645</v>
      </c>
      <c r="Q1356" s="21"/>
      <c r="R1356" t="s">
        <v>4626</v>
      </c>
      <c r="T1356" t="str">
        <f t="shared" si="1043"/>
        <v>:1</v>
      </c>
      <c r="U1356" t="str">
        <f t="shared" si="1056"/>
        <v>射手</v>
      </c>
      <c r="V1356" t="s">
        <v>4624</v>
      </c>
      <c r="W1356">
        <f>属性类型!G1356</f>
        <v>10025</v>
      </c>
      <c r="X1356">
        <v>1</v>
      </c>
    </row>
    <row r="1357" customFormat="1" ht="16.5" spans="1:24">
      <c r="A1357" s="18">
        <f>A1336+100</f>
        <v>32800</v>
      </c>
      <c r="B1357" s="18">
        <f t="shared" si="1029"/>
        <v>32800</v>
      </c>
      <c r="C1357" s="18" t="str">
        <f t="shared" si="1038"/>
        <v>3</v>
      </c>
      <c r="D1357" s="17">
        <f t="shared" si="1030"/>
        <v>30003</v>
      </c>
      <c r="E1357" s="17">
        <v>2</v>
      </c>
      <c r="F1357" s="18">
        <f t="shared" si="1027"/>
        <v>3</v>
      </c>
      <c r="G1357" s="18" t="s">
        <v>4646</v>
      </c>
      <c r="H1357" s="18" t="s">
        <v>1670</v>
      </c>
      <c r="I1357" s="20">
        <v>1.5</v>
      </c>
      <c r="J1357" s="18">
        <v>0</v>
      </c>
      <c r="K1357" s="18">
        <f t="shared" ref="K1357:K1376" si="1065">A1358</f>
        <v>32801</v>
      </c>
      <c r="L1357" s="18" t="s">
        <v>206</v>
      </c>
      <c r="M1357" s="18" t="s">
        <v>741</v>
      </c>
      <c r="N1357" s="16" t="str">
        <f t="shared" si="1063"/>
        <v>10026:1</v>
      </c>
      <c r="O1357" s="18">
        <f t="shared" si="1028"/>
        <v>9</v>
      </c>
      <c r="P1357" s="21" t="s">
        <v>4647</v>
      </c>
      <c r="Q1357" s="21"/>
      <c r="R1357" t="s">
        <v>4626</v>
      </c>
      <c r="T1357" t="str">
        <f>RIGHT(N1357,1)</f>
        <v>1</v>
      </c>
      <c r="U1357" t="str">
        <f t="shared" si="1056"/>
        <v>射手</v>
      </c>
      <c r="V1357" t="s">
        <v>4646</v>
      </c>
      <c r="W1357">
        <f>属性类型!G1357</f>
        <v>10026</v>
      </c>
      <c r="X1357">
        <v>1</v>
      </c>
    </row>
    <row r="1358" customFormat="1" ht="16.5" spans="1:24">
      <c r="A1358" s="17">
        <f t="shared" ref="A1358:A1377" si="1066">A1357+1</f>
        <v>32801</v>
      </c>
      <c r="B1358" s="17">
        <f t="shared" si="1029"/>
        <v>32800</v>
      </c>
      <c r="C1358" s="17" t="str">
        <f t="shared" si="1038"/>
        <v>3</v>
      </c>
      <c r="D1358" s="17">
        <f t="shared" si="1030"/>
        <v>30003</v>
      </c>
      <c r="E1358" s="17">
        <f t="shared" ref="E1358:H1358" si="1067">E1357</f>
        <v>2</v>
      </c>
      <c r="F1358" s="17">
        <f t="shared" si="1027"/>
        <v>3</v>
      </c>
      <c r="G1358" s="17" t="str">
        <f t="shared" si="1067"/>
        <v>巡游射手攻击百分比</v>
      </c>
      <c r="H1358" s="17" t="str">
        <f t="shared" si="1067"/>
        <v>gongbing02_Lv3</v>
      </c>
      <c r="I1358" s="20">
        <v>1.5</v>
      </c>
      <c r="J1358" s="17">
        <v>1</v>
      </c>
      <c r="K1358" s="17">
        <f t="shared" si="1065"/>
        <v>32802</v>
      </c>
      <c r="L1358" s="17" t="s">
        <v>211</v>
      </c>
      <c r="M1358" s="17" t="str">
        <f t="shared" ref="M1358:M1377" si="1068">M1357</f>
        <v>1:12500:10</v>
      </c>
      <c r="N1358" s="16" t="str">
        <f t="shared" si="1063"/>
        <v>10026:1</v>
      </c>
      <c r="O1358" s="17">
        <f t="shared" si="1028"/>
        <v>9</v>
      </c>
      <c r="P1358" s="21" t="s">
        <v>4648</v>
      </c>
      <c r="Q1358" s="21"/>
      <c r="R1358" t="s">
        <v>4626</v>
      </c>
      <c r="T1358" t="str">
        <f t="shared" ref="T1358:T1377" si="1069">RIGHT(N1358,2)</f>
        <v>:1</v>
      </c>
      <c r="U1358" t="str">
        <f t="shared" si="1056"/>
        <v>射手</v>
      </c>
      <c r="V1358" t="s">
        <v>4646</v>
      </c>
      <c r="W1358">
        <f>属性类型!G1358</f>
        <v>10026</v>
      </c>
      <c r="X1358">
        <v>1</v>
      </c>
    </row>
    <row r="1359" customFormat="1" ht="16.5" spans="1:24">
      <c r="A1359" s="17">
        <f t="shared" si="1066"/>
        <v>32802</v>
      </c>
      <c r="B1359" s="17">
        <f t="shared" si="1029"/>
        <v>32800</v>
      </c>
      <c r="C1359" s="17" t="str">
        <f t="shared" si="1038"/>
        <v>3</v>
      </c>
      <c r="D1359" s="17">
        <f t="shared" si="1030"/>
        <v>30003</v>
      </c>
      <c r="E1359" s="17">
        <f t="shared" ref="E1359:H1359" si="1070">E1358</f>
        <v>2</v>
      </c>
      <c r="F1359" s="17">
        <f t="shared" si="1027"/>
        <v>3</v>
      </c>
      <c r="G1359" s="17" t="str">
        <f t="shared" si="1070"/>
        <v>巡游射手攻击百分比</v>
      </c>
      <c r="H1359" s="17" t="str">
        <f t="shared" si="1070"/>
        <v>gongbing02_Lv3</v>
      </c>
      <c r="I1359" s="20">
        <v>1.5</v>
      </c>
      <c r="J1359" s="17">
        <v>2</v>
      </c>
      <c r="K1359" s="17">
        <f t="shared" si="1065"/>
        <v>32803</v>
      </c>
      <c r="L1359" s="17" t="s">
        <v>215</v>
      </c>
      <c r="M1359" s="17" t="str">
        <f t="shared" si="1068"/>
        <v>1:12500:10</v>
      </c>
      <c r="N1359" s="16" t="str">
        <f t="shared" si="1063"/>
        <v>10026:1</v>
      </c>
      <c r="O1359" s="17">
        <f t="shared" si="1028"/>
        <v>9</v>
      </c>
      <c r="P1359" s="21" t="s">
        <v>4649</v>
      </c>
      <c r="Q1359" s="21"/>
      <c r="R1359" t="s">
        <v>4626</v>
      </c>
      <c r="T1359" t="str">
        <f t="shared" si="1069"/>
        <v>:1</v>
      </c>
      <c r="U1359" t="str">
        <f t="shared" si="1056"/>
        <v>射手</v>
      </c>
      <c r="V1359" t="s">
        <v>4646</v>
      </c>
      <c r="W1359">
        <f>属性类型!G1359</f>
        <v>10026</v>
      </c>
      <c r="X1359">
        <v>1</v>
      </c>
    </row>
    <row r="1360" customFormat="1" ht="16.5" spans="1:24">
      <c r="A1360" s="17">
        <f t="shared" si="1066"/>
        <v>32803</v>
      </c>
      <c r="B1360" s="17">
        <f t="shared" si="1029"/>
        <v>32800</v>
      </c>
      <c r="C1360" s="17" t="str">
        <f t="shared" si="1038"/>
        <v>3</v>
      </c>
      <c r="D1360" s="17">
        <f t="shared" si="1030"/>
        <v>30003</v>
      </c>
      <c r="E1360" s="17">
        <f t="shared" ref="E1360:H1360" si="1071">E1359</f>
        <v>2</v>
      </c>
      <c r="F1360" s="17">
        <f t="shared" ref="F1360:F1423" si="1072">MID(B1360,2,1)+1</f>
        <v>3</v>
      </c>
      <c r="G1360" s="17" t="str">
        <f t="shared" si="1071"/>
        <v>巡游射手攻击百分比</v>
      </c>
      <c r="H1360" s="17" t="str">
        <f t="shared" si="1071"/>
        <v>gongbing02_Lv3</v>
      </c>
      <c r="I1360" s="20">
        <v>1.5</v>
      </c>
      <c r="J1360" s="17">
        <v>3</v>
      </c>
      <c r="K1360" s="17">
        <f t="shared" si="1065"/>
        <v>32804</v>
      </c>
      <c r="L1360" s="17" t="s">
        <v>218</v>
      </c>
      <c r="M1360" s="17" t="str">
        <f t="shared" si="1068"/>
        <v>1:12500:10</v>
      </c>
      <c r="N1360" s="16" t="str">
        <f t="shared" si="1063"/>
        <v>10026:1</v>
      </c>
      <c r="O1360" s="17">
        <f t="shared" ref="O1360:O1423" si="1073">MID(A1360,3,1)+1</f>
        <v>9</v>
      </c>
      <c r="P1360" s="21" t="s">
        <v>4650</v>
      </c>
      <c r="Q1360" s="21"/>
      <c r="R1360" t="s">
        <v>4626</v>
      </c>
      <c r="T1360" t="str">
        <f t="shared" si="1069"/>
        <v>:1</v>
      </c>
      <c r="U1360" t="str">
        <f t="shared" si="1056"/>
        <v>射手</v>
      </c>
      <c r="V1360" t="s">
        <v>4646</v>
      </c>
      <c r="W1360">
        <f>属性类型!G1360</f>
        <v>10026</v>
      </c>
      <c r="X1360">
        <v>1</v>
      </c>
    </row>
    <row r="1361" customFormat="1" ht="16.5" spans="1:24">
      <c r="A1361" s="17">
        <f t="shared" si="1066"/>
        <v>32804</v>
      </c>
      <c r="B1361" s="17">
        <f t="shared" si="1029"/>
        <v>32800</v>
      </c>
      <c r="C1361" s="17" t="str">
        <f t="shared" si="1038"/>
        <v>3</v>
      </c>
      <c r="D1361" s="17">
        <f t="shared" si="1030"/>
        <v>30003</v>
      </c>
      <c r="E1361" s="17">
        <f t="shared" ref="E1361:H1361" si="1074">E1360</f>
        <v>2</v>
      </c>
      <c r="F1361" s="17">
        <f t="shared" si="1072"/>
        <v>3</v>
      </c>
      <c r="G1361" s="17" t="str">
        <f t="shared" si="1074"/>
        <v>巡游射手攻击百分比</v>
      </c>
      <c r="H1361" s="17" t="str">
        <f t="shared" si="1074"/>
        <v>gongbing02_Lv3</v>
      </c>
      <c r="I1361" s="20">
        <v>1.5</v>
      </c>
      <c r="J1361" s="17">
        <v>4</v>
      </c>
      <c r="K1361" s="17">
        <f t="shared" si="1065"/>
        <v>32805</v>
      </c>
      <c r="L1361" s="17" t="s">
        <v>221</v>
      </c>
      <c r="M1361" s="17" t="str">
        <f t="shared" si="1068"/>
        <v>1:12500:10</v>
      </c>
      <c r="N1361" s="16" t="str">
        <f t="shared" si="1063"/>
        <v>10026:1</v>
      </c>
      <c r="O1361" s="17">
        <f t="shared" si="1073"/>
        <v>9</v>
      </c>
      <c r="P1361" s="21" t="s">
        <v>4651</v>
      </c>
      <c r="Q1361" s="21"/>
      <c r="R1361" t="s">
        <v>4626</v>
      </c>
      <c r="T1361" t="str">
        <f t="shared" si="1069"/>
        <v>:1</v>
      </c>
      <c r="U1361" t="str">
        <f t="shared" si="1056"/>
        <v>射手</v>
      </c>
      <c r="V1361" t="s">
        <v>4646</v>
      </c>
      <c r="W1361">
        <f>属性类型!G1361</f>
        <v>10026</v>
      </c>
      <c r="X1361">
        <v>1</v>
      </c>
    </row>
    <row r="1362" customFormat="1" ht="16.5" spans="1:24">
      <c r="A1362" s="17">
        <f t="shared" si="1066"/>
        <v>32805</v>
      </c>
      <c r="B1362" s="17">
        <f t="shared" si="1029"/>
        <v>32800</v>
      </c>
      <c r="C1362" s="17" t="str">
        <f t="shared" si="1038"/>
        <v>3</v>
      </c>
      <c r="D1362" s="17">
        <f t="shared" si="1030"/>
        <v>30003</v>
      </c>
      <c r="E1362" s="17">
        <f t="shared" ref="E1362:H1362" si="1075">E1361</f>
        <v>2</v>
      </c>
      <c r="F1362" s="17">
        <f t="shared" si="1072"/>
        <v>3</v>
      </c>
      <c r="G1362" s="17" t="str">
        <f t="shared" si="1075"/>
        <v>巡游射手攻击百分比</v>
      </c>
      <c r="H1362" s="17" t="str">
        <f t="shared" si="1075"/>
        <v>gongbing02_Lv3</v>
      </c>
      <c r="I1362" s="20">
        <v>1.5</v>
      </c>
      <c r="J1362" s="17">
        <v>5</v>
      </c>
      <c r="K1362" s="17">
        <f t="shared" si="1065"/>
        <v>32806</v>
      </c>
      <c r="L1362" s="17" t="s">
        <v>224</v>
      </c>
      <c r="M1362" s="17" t="str">
        <f t="shared" si="1068"/>
        <v>1:12500:10</v>
      </c>
      <c r="N1362" s="16" t="str">
        <f t="shared" si="1063"/>
        <v>10026:1</v>
      </c>
      <c r="O1362" s="17">
        <f t="shared" si="1073"/>
        <v>9</v>
      </c>
      <c r="P1362" s="21" t="s">
        <v>4652</v>
      </c>
      <c r="Q1362" s="21"/>
      <c r="R1362" t="s">
        <v>4626</v>
      </c>
      <c r="T1362" t="str">
        <f t="shared" si="1069"/>
        <v>:1</v>
      </c>
      <c r="U1362" t="str">
        <f t="shared" si="1056"/>
        <v>射手</v>
      </c>
      <c r="V1362" t="s">
        <v>4646</v>
      </c>
      <c r="W1362">
        <f>属性类型!G1362</f>
        <v>10026</v>
      </c>
      <c r="X1362">
        <v>1</v>
      </c>
    </row>
    <row r="1363" customFormat="1" ht="16.5" spans="1:24">
      <c r="A1363" s="17">
        <f t="shared" si="1066"/>
        <v>32806</v>
      </c>
      <c r="B1363" s="17">
        <f t="shared" si="1029"/>
        <v>32800</v>
      </c>
      <c r="C1363" s="17" t="str">
        <f t="shared" si="1038"/>
        <v>3</v>
      </c>
      <c r="D1363" s="17">
        <f t="shared" si="1030"/>
        <v>30003</v>
      </c>
      <c r="E1363" s="17">
        <f t="shared" ref="E1363:H1363" si="1076">E1362</f>
        <v>2</v>
      </c>
      <c r="F1363" s="17">
        <f t="shared" si="1072"/>
        <v>3</v>
      </c>
      <c r="G1363" s="17" t="str">
        <f t="shared" si="1076"/>
        <v>巡游射手攻击百分比</v>
      </c>
      <c r="H1363" s="17" t="str">
        <f t="shared" si="1076"/>
        <v>gongbing02_Lv3</v>
      </c>
      <c r="I1363" s="20">
        <v>1.5</v>
      </c>
      <c r="J1363" s="17">
        <v>6</v>
      </c>
      <c r="K1363" s="17">
        <f t="shared" si="1065"/>
        <v>32807</v>
      </c>
      <c r="L1363" s="17" t="s">
        <v>227</v>
      </c>
      <c r="M1363" s="17" t="str">
        <f t="shared" si="1068"/>
        <v>1:12500:10</v>
      </c>
      <c r="N1363" s="16" t="str">
        <f t="shared" si="1063"/>
        <v>10026:1</v>
      </c>
      <c r="O1363" s="17">
        <f t="shared" si="1073"/>
        <v>9</v>
      </c>
      <c r="P1363" s="21" t="s">
        <v>4653</v>
      </c>
      <c r="Q1363" s="21"/>
      <c r="R1363" t="s">
        <v>4626</v>
      </c>
      <c r="T1363" t="str">
        <f t="shared" si="1069"/>
        <v>:1</v>
      </c>
      <c r="U1363" t="str">
        <f t="shared" si="1056"/>
        <v>射手</v>
      </c>
      <c r="V1363" t="s">
        <v>4646</v>
      </c>
      <c r="W1363">
        <f>属性类型!G1363</f>
        <v>10026</v>
      </c>
      <c r="X1363">
        <v>1</v>
      </c>
    </row>
    <row r="1364" customFormat="1" ht="16.5" spans="1:24">
      <c r="A1364" s="17">
        <f t="shared" si="1066"/>
        <v>32807</v>
      </c>
      <c r="B1364" s="17">
        <f t="shared" si="1029"/>
        <v>32800</v>
      </c>
      <c r="C1364" s="17" t="str">
        <f t="shared" si="1038"/>
        <v>3</v>
      </c>
      <c r="D1364" s="17">
        <f t="shared" si="1030"/>
        <v>30003</v>
      </c>
      <c r="E1364" s="17">
        <f t="shared" ref="E1364:H1364" si="1077">E1363</f>
        <v>2</v>
      </c>
      <c r="F1364" s="17">
        <f t="shared" si="1072"/>
        <v>3</v>
      </c>
      <c r="G1364" s="17" t="str">
        <f t="shared" si="1077"/>
        <v>巡游射手攻击百分比</v>
      </c>
      <c r="H1364" s="17" t="str">
        <f t="shared" si="1077"/>
        <v>gongbing02_Lv3</v>
      </c>
      <c r="I1364" s="20">
        <v>1.5</v>
      </c>
      <c r="J1364" s="17">
        <v>7</v>
      </c>
      <c r="K1364" s="17">
        <f t="shared" si="1065"/>
        <v>32808</v>
      </c>
      <c r="L1364" s="17" t="s">
        <v>230</v>
      </c>
      <c r="M1364" s="17" t="str">
        <f t="shared" si="1068"/>
        <v>1:12500:10</v>
      </c>
      <c r="N1364" s="16" t="str">
        <f t="shared" si="1063"/>
        <v>10026:1</v>
      </c>
      <c r="O1364" s="17">
        <f t="shared" si="1073"/>
        <v>9</v>
      </c>
      <c r="P1364" s="21" t="s">
        <v>4654</v>
      </c>
      <c r="Q1364" s="21"/>
      <c r="R1364" t="s">
        <v>4626</v>
      </c>
      <c r="T1364" t="str">
        <f t="shared" si="1069"/>
        <v>:1</v>
      </c>
      <c r="U1364" t="str">
        <f t="shared" si="1056"/>
        <v>射手</v>
      </c>
      <c r="V1364" t="s">
        <v>4646</v>
      </c>
      <c r="W1364">
        <f>属性类型!G1364</f>
        <v>10026</v>
      </c>
      <c r="X1364">
        <v>1</v>
      </c>
    </row>
    <row r="1365" customFormat="1" ht="16.5" spans="1:24">
      <c r="A1365" s="17">
        <f t="shared" si="1066"/>
        <v>32808</v>
      </c>
      <c r="B1365" s="17">
        <f t="shared" ref="B1365:B1428" si="1078">ROUND(A1365,-2)</f>
        <v>32800</v>
      </c>
      <c r="C1365" s="17" t="str">
        <f t="shared" si="1038"/>
        <v>3</v>
      </c>
      <c r="D1365" s="17">
        <f t="shared" ref="D1365:D1428" si="1079">$A$934+F1365</f>
        <v>30003</v>
      </c>
      <c r="E1365" s="17">
        <f t="shared" ref="E1365:H1365" si="1080">E1364</f>
        <v>2</v>
      </c>
      <c r="F1365" s="17">
        <f t="shared" si="1072"/>
        <v>3</v>
      </c>
      <c r="G1365" s="17" t="str">
        <f t="shared" si="1080"/>
        <v>巡游射手攻击百分比</v>
      </c>
      <c r="H1365" s="17" t="str">
        <f t="shared" si="1080"/>
        <v>gongbing02_Lv3</v>
      </c>
      <c r="I1365" s="20">
        <v>1.5</v>
      </c>
      <c r="J1365" s="17">
        <v>8</v>
      </c>
      <c r="K1365" s="17">
        <f t="shared" si="1065"/>
        <v>32809</v>
      </c>
      <c r="L1365" s="17" t="s">
        <v>233</v>
      </c>
      <c r="M1365" s="17" t="str">
        <f t="shared" si="1068"/>
        <v>1:12500:10</v>
      </c>
      <c r="N1365" s="16" t="str">
        <f t="shared" si="1063"/>
        <v>10026:1</v>
      </c>
      <c r="O1365" s="17">
        <f t="shared" si="1073"/>
        <v>9</v>
      </c>
      <c r="P1365" s="21" t="s">
        <v>4655</v>
      </c>
      <c r="Q1365" s="21"/>
      <c r="R1365" t="s">
        <v>4626</v>
      </c>
      <c r="T1365" t="str">
        <f t="shared" si="1069"/>
        <v>:1</v>
      </c>
      <c r="U1365" t="str">
        <f t="shared" si="1056"/>
        <v>射手</v>
      </c>
      <c r="V1365" t="s">
        <v>4646</v>
      </c>
      <c r="W1365">
        <f>属性类型!G1365</f>
        <v>10026</v>
      </c>
      <c r="X1365">
        <v>1</v>
      </c>
    </row>
    <row r="1366" customFormat="1" ht="16.5" spans="1:24">
      <c r="A1366" s="17">
        <f t="shared" si="1066"/>
        <v>32809</v>
      </c>
      <c r="B1366" s="17">
        <f t="shared" si="1078"/>
        <v>32800</v>
      </c>
      <c r="C1366" s="17" t="str">
        <f t="shared" si="1038"/>
        <v>3</v>
      </c>
      <c r="D1366" s="17">
        <f t="shared" si="1079"/>
        <v>30003</v>
      </c>
      <c r="E1366" s="17">
        <f t="shared" ref="E1366:H1366" si="1081">E1365</f>
        <v>2</v>
      </c>
      <c r="F1366" s="17">
        <f t="shared" si="1072"/>
        <v>3</v>
      </c>
      <c r="G1366" s="17" t="str">
        <f t="shared" si="1081"/>
        <v>巡游射手攻击百分比</v>
      </c>
      <c r="H1366" s="17" t="str">
        <f t="shared" si="1081"/>
        <v>gongbing02_Lv3</v>
      </c>
      <c r="I1366" s="20">
        <v>1.5</v>
      </c>
      <c r="J1366" s="17">
        <v>9</v>
      </c>
      <c r="K1366" s="17">
        <f t="shared" si="1065"/>
        <v>32810</v>
      </c>
      <c r="L1366" s="17" t="s">
        <v>236</v>
      </c>
      <c r="M1366" s="17" t="str">
        <f t="shared" si="1068"/>
        <v>1:12500:10</v>
      </c>
      <c r="N1366" s="16" t="str">
        <f t="shared" si="1063"/>
        <v>10026:1</v>
      </c>
      <c r="O1366" s="17">
        <f t="shared" si="1073"/>
        <v>9</v>
      </c>
      <c r="P1366" s="21" t="s">
        <v>4656</v>
      </c>
      <c r="Q1366" s="21"/>
      <c r="R1366" t="s">
        <v>4626</v>
      </c>
      <c r="T1366" t="str">
        <f t="shared" si="1069"/>
        <v>:1</v>
      </c>
      <c r="U1366" t="str">
        <f t="shared" si="1056"/>
        <v>射手</v>
      </c>
      <c r="V1366" t="s">
        <v>4646</v>
      </c>
      <c r="W1366">
        <f>属性类型!G1366</f>
        <v>10026</v>
      </c>
      <c r="X1366">
        <v>1</v>
      </c>
    </row>
    <row r="1367" customFormat="1" ht="16.5" spans="1:24">
      <c r="A1367" s="17">
        <f t="shared" si="1066"/>
        <v>32810</v>
      </c>
      <c r="B1367" s="17">
        <f t="shared" si="1078"/>
        <v>32800</v>
      </c>
      <c r="C1367" s="17" t="str">
        <f t="shared" si="1038"/>
        <v>3</v>
      </c>
      <c r="D1367" s="17">
        <f t="shared" si="1079"/>
        <v>30003</v>
      </c>
      <c r="E1367" s="17">
        <f t="shared" ref="E1367:H1367" si="1082">E1366</f>
        <v>2</v>
      </c>
      <c r="F1367" s="17">
        <f t="shared" si="1072"/>
        <v>3</v>
      </c>
      <c r="G1367" s="17" t="str">
        <f t="shared" si="1082"/>
        <v>巡游射手攻击百分比</v>
      </c>
      <c r="H1367" s="17" t="str">
        <f t="shared" si="1082"/>
        <v>gongbing02_Lv3</v>
      </c>
      <c r="I1367" s="20">
        <v>1.5</v>
      </c>
      <c r="J1367" s="17">
        <v>10</v>
      </c>
      <c r="K1367" s="17">
        <f t="shared" si="1065"/>
        <v>32811</v>
      </c>
      <c r="L1367" s="17" t="s">
        <v>238</v>
      </c>
      <c r="M1367" s="17" t="str">
        <f t="shared" si="1068"/>
        <v>1:12500:10</v>
      </c>
      <c r="N1367" s="16" t="str">
        <f t="shared" si="1063"/>
        <v>10026:1</v>
      </c>
      <c r="O1367" s="17">
        <f t="shared" si="1073"/>
        <v>9</v>
      </c>
      <c r="P1367" s="21" t="s">
        <v>4657</v>
      </c>
      <c r="Q1367" s="21"/>
      <c r="R1367" t="s">
        <v>4626</v>
      </c>
      <c r="T1367" t="str">
        <f t="shared" si="1069"/>
        <v>:1</v>
      </c>
      <c r="U1367" t="str">
        <f t="shared" si="1056"/>
        <v>射手</v>
      </c>
      <c r="V1367" t="s">
        <v>4646</v>
      </c>
      <c r="W1367">
        <f>属性类型!G1367</f>
        <v>10026</v>
      </c>
      <c r="X1367">
        <v>1</v>
      </c>
    </row>
    <row r="1368" customFormat="1" ht="16.5" spans="1:24">
      <c r="A1368" s="17">
        <f t="shared" si="1066"/>
        <v>32811</v>
      </c>
      <c r="B1368" s="17">
        <f t="shared" si="1078"/>
        <v>32800</v>
      </c>
      <c r="C1368" s="17" t="str">
        <f t="shared" si="1038"/>
        <v>3</v>
      </c>
      <c r="D1368" s="17">
        <f t="shared" si="1079"/>
        <v>30003</v>
      </c>
      <c r="E1368" s="17">
        <f t="shared" ref="E1368:H1368" si="1083">E1367</f>
        <v>2</v>
      </c>
      <c r="F1368" s="17">
        <f t="shared" si="1072"/>
        <v>3</v>
      </c>
      <c r="G1368" s="17" t="str">
        <f t="shared" si="1083"/>
        <v>巡游射手攻击百分比</v>
      </c>
      <c r="H1368" s="17" t="str">
        <f t="shared" si="1083"/>
        <v>gongbing02_Lv3</v>
      </c>
      <c r="I1368" s="20">
        <v>1.5</v>
      </c>
      <c r="J1368" s="17">
        <v>11</v>
      </c>
      <c r="K1368" s="17">
        <f t="shared" si="1065"/>
        <v>32812</v>
      </c>
      <c r="L1368" s="17" t="s">
        <v>529</v>
      </c>
      <c r="M1368" s="17" t="str">
        <f t="shared" si="1068"/>
        <v>1:12500:10</v>
      </c>
      <c r="N1368" s="16" t="str">
        <f t="shared" si="1063"/>
        <v>10026:1</v>
      </c>
      <c r="O1368" s="17">
        <f t="shared" si="1073"/>
        <v>9</v>
      </c>
      <c r="P1368" s="21" t="s">
        <v>4658</v>
      </c>
      <c r="Q1368" s="21"/>
      <c r="R1368" t="s">
        <v>4626</v>
      </c>
      <c r="T1368" t="str">
        <f t="shared" si="1069"/>
        <v>:1</v>
      </c>
      <c r="U1368" t="str">
        <f t="shared" si="1056"/>
        <v>射手</v>
      </c>
      <c r="V1368" t="s">
        <v>4646</v>
      </c>
      <c r="W1368">
        <f>属性类型!G1368</f>
        <v>10026</v>
      </c>
      <c r="X1368">
        <v>1</v>
      </c>
    </row>
    <row r="1369" customFormat="1" ht="16.5" spans="1:24">
      <c r="A1369" s="17">
        <f t="shared" si="1066"/>
        <v>32812</v>
      </c>
      <c r="B1369" s="17">
        <f t="shared" si="1078"/>
        <v>32800</v>
      </c>
      <c r="C1369" s="17" t="str">
        <f t="shared" si="1038"/>
        <v>3</v>
      </c>
      <c r="D1369" s="17">
        <f t="shared" si="1079"/>
        <v>30003</v>
      </c>
      <c r="E1369" s="17">
        <f t="shared" ref="E1369:H1369" si="1084">E1368</f>
        <v>2</v>
      </c>
      <c r="F1369" s="17">
        <f t="shared" si="1072"/>
        <v>3</v>
      </c>
      <c r="G1369" s="17" t="str">
        <f t="shared" si="1084"/>
        <v>巡游射手攻击百分比</v>
      </c>
      <c r="H1369" s="17" t="str">
        <f t="shared" si="1084"/>
        <v>gongbing02_Lv3</v>
      </c>
      <c r="I1369" s="20">
        <v>1.5</v>
      </c>
      <c r="J1369" s="17">
        <v>12</v>
      </c>
      <c r="K1369" s="17">
        <f t="shared" si="1065"/>
        <v>32813</v>
      </c>
      <c r="L1369" s="17" t="s">
        <v>532</v>
      </c>
      <c r="M1369" s="17" t="str">
        <f t="shared" si="1068"/>
        <v>1:12500:10</v>
      </c>
      <c r="N1369" s="16" t="str">
        <f t="shared" si="1063"/>
        <v>10026:1</v>
      </c>
      <c r="O1369" s="17">
        <f t="shared" si="1073"/>
        <v>9</v>
      </c>
      <c r="P1369" s="21" t="s">
        <v>4659</v>
      </c>
      <c r="Q1369" s="21"/>
      <c r="R1369" t="s">
        <v>4626</v>
      </c>
      <c r="T1369" t="str">
        <f t="shared" si="1069"/>
        <v>:1</v>
      </c>
      <c r="U1369" t="str">
        <f t="shared" si="1056"/>
        <v>射手</v>
      </c>
      <c r="V1369" t="s">
        <v>4646</v>
      </c>
      <c r="W1369">
        <f>属性类型!G1369</f>
        <v>10026</v>
      </c>
      <c r="X1369">
        <v>1</v>
      </c>
    </row>
    <row r="1370" customFormat="1" ht="16.5" spans="1:24">
      <c r="A1370" s="17">
        <f t="shared" si="1066"/>
        <v>32813</v>
      </c>
      <c r="B1370" s="17">
        <f t="shared" si="1078"/>
        <v>32800</v>
      </c>
      <c r="C1370" s="17" t="str">
        <f t="shared" si="1038"/>
        <v>3</v>
      </c>
      <c r="D1370" s="17">
        <f t="shared" si="1079"/>
        <v>30003</v>
      </c>
      <c r="E1370" s="17">
        <f t="shared" ref="E1370:H1370" si="1085">E1369</f>
        <v>2</v>
      </c>
      <c r="F1370" s="17">
        <f t="shared" si="1072"/>
        <v>3</v>
      </c>
      <c r="G1370" s="17" t="str">
        <f t="shared" si="1085"/>
        <v>巡游射手攻击百分比</v>
      </c>
      <c r="H1370" s="17" t="str">
        <f t="shared" si="1085"/>
        <v>gongbing02_Lv3</v>
      </c>
      <c r="I1370" s="20">
        <v>1.5</v>
      </c>
      <c r="J1370" s="17">
        <v>13</v>
      </c>
      <c r="K1370" s="17">
        <f t="shared" si="1065"/>
        <v>32814</v>
      </c>
      <c r="L1370" s="17" t="s">
        <v>561</v>
      </c>
      <c r="M1370" s="17" t="str">
        <f t="shared" si="1068"/>
        <v>1:12500:10</v>
      </c>
      <c r="N1370" s="16" t="str">
        <f t="shared" si="1063"/>
        <v>10026:1</v>
      </c>
      <c r="O1370" s="17">
        <f t="shared" si="1073"/>
        <v>9</v>
      </c>
      <c r="P1370" s="21" t="s">
        <v>4660</v>
      </c>
      <c r="Q1370" s="21"/>
      <c r="R1370" t="s">
        <v>4626</v>
      </c>
      <c r="T1370" t="str">
        <f t="shared" si="1069"/>
        <v>:1</v>
      </c>
      <c r="U1370" t="str">
        <f t="shared" si="1056"/>
        <v>射手</v>
      </c>
      <c r="V1370" t="s">
        <v>4646</v>
      </c>
      <c r="W1370">
        <f>属性类型!G1370</f>
        <v>10026</v>
      </c>
      <c r="X1370">
        <v>1</v>
      </c>
    </row>
    <row r="1371" customFormat="1" ht="16.5" spans="1:24">
      <c r="A1371" s="17">
        <f t="shared" si="1066"/>
        <v>32814</v>
      </c>
      <c r="B1371" s="17">
        <f t="shared" si="1078"/>
        <v>32800</v>
      </c>
      <c r="C1371" s="17" t="str">
        <f t="shared" si="1038"/>
        <v>3</v>
      </c>
      <c r="D1371" s="17">
        <f t="shared" si="1079"/>
        <v>30003</v>
      </c>
      <c r="E1371" s="17">
        <f t="shared" ref="E1371:H1371" si="1086">E1370</f>
        <v>2</v>
      </c>
      <c r="F1371" s="17">
        <f t="shared" si="1072"/>
        <v>3</v>
      </c>
      <c r="G1371" s="17" t="str">
        <f t="shared" si="1086"/>
        <v>巡游射手攻击百分比</v>
      </c>
      <c r="H1371" s="17" t="str">
        <f t="shared" si="1086"/>
        <v>gongbing02_Lv3</v>
      </c>
      <c r="I1371" s="20">
        <v>1.5</v>
      </c>
      <c r="J1371" s="17">
        <v>14</v>
      </c>
      <c r="K1371" s="17">
        <f t="shared" si="1065"/>
        <v>32815</v>
      </c>
      <c r="L1371" s="17" t="s">
        <v>564</v>
      </c>
      <c r="M1371" s="17" t="str">
        <f t="shared" si="1068"/>
        <v>1:12500:10</v>
      </c>
      <c r="N1371" s="16" t="str">
        <f t="shared" si="1063"/>
        <v>10026:1</v>
      </c>
      <c r="O1371" s="17">
        <f t="shared" si="1073"/>
        <v>9</v>
      </c>
      <c r="P1371" s="21" t="s">
        <v>4661</v>
      </c>
      <c r="Q1371" s="21"/>
      <c r="R1371" t="s">
        <v>4626</v>
      </c>
      <c r="T1371" t="str">
        <f t="shared" si="1069"/>
        <v>:1</v>
      </c>
      <c r="U1371" t="str">
        <f t="shared" si="1056"/>
        <v>射手</v>
      </c>
      <c r="V1371" t="s">
        <v>4646</v>
      </c>
      <c r="W1371">
        <f>属性类型!G1371</f>
        <v>10026</v>
      </c>
      <c r="X1371">
        <v>1</v>
      </c>
    </row>
    <row r="1372" customFormat="1" ht="16.5" spans="1:24">
      <c r="A1372" s="17">
        <f t="shared" si="1066"/>
        <v>32815</v>
      </c>
      <c r="B1372" s="17">
        <f t="shared" si="1078"/>
        <v>32800</v>
      </c>
      <c r="C1372" s="17" t="str">
        <f t="shared" si="1038"/>
        <v>3</v>
      </c>
      <c r="D1372" s="17">
        <f t="shared" si="1079"/>
        <v>30003</v>
      </c>
      <c r="E1372" s="17">
        <f t="shared" ref="E1372:H1372" si="1087">E1371</f>
        <v>2</v>
      </c>
      <c r="F1372" s="17">
        <f t="shared" si="1072"/>
        <v>3</v>
      </c>
      <c r="G1372" s="17" t="str">
        <f t="shared" si="1087"/>
        <v>巡游射手攻击百分比</v>
      </c>
      <c r="H1372" s="17" t="str">
        <f t="shared" si="1087"/>
        <v>gongbing02_Lv3</v>
      </c>
      <c r="I1372" s="20">
        <v>1.5</v>
      </c>
      <c r="J1372" s="17">
        <v>15</v>
      </c>
      <c r="K1372" s="17">
        <f t="shared" si="1065"/>
        <v>32816</v>
      </c>
      <c r="L1372" s="17" t="s">
        <v>630</v>
      </c>
      <c r="M1372" s="17" t="str">
        <f t="shared" si="1068"/>
        <v>1:12500:10</v>
      </c>
      <c r="N1372" s="16" t="str">
        <f t="shared" si="1063"/>
        <v>10026:1</v>
      </c>
      <c r="O1372" s="17">
        <f t="shared" si="1073"/>
        <v>9</v>
      </c>
      <c r="P1372" s="21" t="s">
        <v>4662</v>
      </c>
      <c r="Q1372" s="21"/>
      <c r="R1372" t="s">
        <v>4626</v>
      </c>
      <c r="T1372" t="str">
        <f t="shared" si="1069"/>
        <v>:1</v>
      </c>
      <c r="U1372" t="str">
        <f t="shared" si="1056"/>
        <v>射手</v>
      </c>
      <c r="V1372" t="s">
        <v>4646</v>
      </c>
      <c r="W1372">
        <f>属性类型!G1372</f>
        <v>10026</v>
      </c>
      <c r="X1372">
        <v>1</v>
      </c>
    </row>
    <row r="1373" customFormat="1" ht="16.5" spans="1:24">
      <c r="A1373" s="17">
        <f t="shared" si="1066"/>
        <v>32816</v>
      </c>
      <c r="B1373" s="17">
        <f t="shared" si="1078"/>
        <v>32800</v>
      </c>
      <c r="C1373" s="17" t="str">
        <f t="shared" si="1038"/>
        <v>3</v>
      </c>
      <c r="D1373" s="17">
        <f t="shared" si="1079"/>
        <v>30003</v>
      </c>
      <c r="E1373" s="17">
        <f t="shared" ref="E1373:H1373" si="1088">E1372</f>
        <v>2</v>
      </c>
      <c r="F1373" s="17">
        <f t="shared" si="1072"/>
        <v>3</v>
      </c>
      <c r="G1373" s="17" t="str">
        <f t="shared" si="1088"/>
        <v>巡游射手攻击百分比</v>
      </c>
      <c r="H1373" s="17" t="str">
        <f t="shared" si="1088"/>
        <v>gongbing02_Lv3</v>
      </c>
      <c r="I1373" s="20">
        <v>1.5</v>
      </c>
      <c r="J1373" s="17">
        <v>16</v>
      </c>
      <c r="K1373" s="17">
        <f t="shared" si="1065"/>
        <v>32817</v>
      </c>
      <c r="L1373" s="17" t="s">
        <v>633</v>
      </c>
      <c r="M1373" s="17" t="str">
        <f t="shared" si="1068"/>
        <v>1:12500:10</v>
      </c>
      <c r="N1373" s="16" t="str">
        <f t="shared" si="1063"/>
        <v>10026:1</v>
      </c>
      <c r="O1373" s="17">
        <f t="shared" si="1073"/>
        <v>9</v>
      </c>
      <c r="P1373" s="21" t="s">
        <v>4663</v>
      </c>
      <c r="Q1373" s="21"/>
      <c r="R1373" t="s">
        <v>4626</v>
      </c>
      <c r="T1373" t="str">
        <f t="shared" si="1069"/>
        <v>:1</v>
      </c>
      <c r="U1373" t="str">
        <f t="shared" si="1056"/>
        <v>射手</v>
      </c>
      <c r="V1373" t="s">
        <v>4646</v>
      </c>
      <c r="W1373">
        <f>属性类型!G1373</f>
        <v>10026</v>
      </c>
      <c r="X1373">
        <v>1</v>
      </c>
    </row>
    <row r="1374" customFormat="1" ht="16.5" spans="1:24">
      <c r="A1374" s="17">
        <f t="shared" si="1066"/>
        <v>32817</v>
      </c>
      <c r="B1374" s="17">
        <f t="shared" si="1078"/>
        <v>32800</v>
      </c>
      <c r="C1374" s="17" t="str">
        <f t="shared" si="1038"/>
        <v>3</v>
      </c>
      <c r="D1374" s="17">
        <f t="shared" si="1079"/>
        <v>30003</v>
      </c>
      <c r="E1374" s="17">
        <f t="shared" ref="E1374:H1374" si="1089">E1373</f>
        <v>2</v>
      </c>
      <c r="F1374" s="17">
        <f t="shared" si="1072"/>
        <v>3</v>
      </c>
      <c r="G1374" s="17" t="str">
        <f t="shared" si="1089"/>
        <v>巡游射手攻击百分比</v>
      </c>
      <c r="H1374" s="17" t="str">
        <f t="shared" si="1089"/>
        <v>gongbing02_Lv3</v>
      </c>
      <c r="I1374" s="20">
        <v>1.5</v>
      </c>
      <c r="J1374" s="17">
        <v>17</v>
      </c>
      <c r="K1374" s="17">
        <f t="shared" si="1065"/>
        <v>32818</v>
      </c>
      <c r="L1374" s="17" t="s">
        <v>637</v>
      </c>
      <c r="M1374" s="17" t="str">
        <f t="shared" si="1068"/>
        <v>1:12500:10</v>
      </c>
      <c r="N1374" s="16" t="str">
        <f t="shared" si="1063"/>
        <v>10026:1</v>
      </c>
      <c r="O1374" s="17">
        <f t="shared" si="1073"/>
        <v>9</v>
      </c>
      <c r="P1374" s="21" t="s">
        <v>4664</v>
      </c>
      <c r="Q1374" s="21"/>
      <c r="R1374" t="s">
        <v>4626</v>
      </c>
      <c r="T1374" t="str">
        <f t="shared" si="1069"/>
        <v>:1</v>
      </c>
      <c r="U1374" t="str">
        <f t="shared" si="1056"/>
        <v>射手</v>
      </c>
      <c r="V1374" t="s">
        <v>4646</v>
      </c>
      <c r="W1374">
        <f>属性类型!G1374</f>
        <v>10026</v>
      </c>
      <c r="X1374">
        <v>1</v>
      </c>
    </row>
    <row r="1375" customFormat="1" ht="16.5" spans="1:24">
      <c r="A1375" s="17">
        <f t="shared" si="1066"/>
        <v>32818</v>
      </c>
      <c r="B1375" s="17">
        <f t="shared" si="1078"/>
        <v>32800</v>
      </c>
      <c r="C1375" s="17" t="str">
        <f t="shared" si="1038"/>
        <v>3</v>
      </c>
      <c r="D1375" s="17">
        <f t="shared" si="1079"/>
        <v>30003</v>
      </c>
      <c r="E1375" s="17">
        <f t="shared" ref="E1375:H1375" si="1090">E1374</f>
        <v>2</v>
      </c>
      <c r="F1375" s="17">
        <f t="shared" si="1072"/>
        <v>3</v>
      </c>
      <c r="G1375" s="17" t="str">
        <f t="shared" si="1090"/>
        <v>巡游射手攻击百分比</v>
      </c>
      <c r="H1375" s="17" t="str">
        <f t="shared" si="1090"/>
        <v>gongbing02_Lv3</v>
      </c>
      <c r="I1375" s="20">
        <v>1.5</v>
      </c>
      <c r="J1375" s="17">
        <v>18</v>
      </c>
      <c r="K1375" s="17">
        <f t="shared" si="1065"/>
        <v>32819</v>
      </c>
      <c r="L1375" s="17" t="s">
        <v>641</v>
      </c>
      <c r="M1375" s="17" t="str">
        <f t="shared" si="1068"/>
        <v>1:12500:10</v>
      </c>
      <c r="N1375" s="16" t="str">
        <f t="shared" si="1063"/>
        <v>10026:1</v>
      </c>
      <c r="O1375" s="17">
        <f t="shared" si="1073"/>
        <v>9</v>
      </c>
      <c r="P1375" s="21" t="s">
        <v>4665</v>
      </c>
      <c r="Q1375" s="21"/>
      <c r="R1375" t="s">
        <v>4626</v>
      </c>
      <c r="T1375" t="str">
        <f t="shared" si="1069"/>
        <v>:1</v>
      </c>
      <c r="U1375" t="str">
        <f t="shared" si="1056"/>
        <v>射手</v>
      </c>
      <c r="V1375" t="s">
        <v>4646</v>
      </c>
      <c r="W1375">
        <f>属性类型!G1375</f>
        <v>10026</v>
      </c>
      <c r="X1375">
        <v>1</v>
      </c>
    </row>
    <row r="1376" customFormat="1" ht="16.5" spans="1:24">
      <c r="A1376" s="17">
        <f t="shared" si="1066"/>
        <v>32819</v>
      </c>
      <c r="B1376" s="17">
        <f t="shared" si="1078"/>
        <v>32800</v>
      </c>
      <c r="C1376" s="17" t="str">
        <f t="shared" si="1038"/>
        <v>3</v>
      </c>
      <c r="D1376" s="17">
        <f t="shared" si="1079"/>
        <v>30003</v>
      </c>
      <c r="E1376" s="17">
        <f t="shared" ref="E1376:H1376" si="1091">E1375</f>
        <v>2</v>
      </c>
      <c r="F1376" s="17">
        <f t="shared" si="1072"/>
        <v>3</v>
      </c>
      <c r="G1376" s="17" t="str">
        <f t="shared" si="1091"/>
        <v>巡游射手攻击百分比</v>
      </c>
      <c r="H1376" s="17" t="str">
        <f t="shared" si="1091"/>
        <v>gongbing02_Lv3</v>
      </c>
      <c r="I1376" s="20">
        <v>1.5</v>
      </c>
      <c r="J1376" s="17">
        <v>19</v>
      </c>
      <c r="K1376" s="17">
        <f t="shared" si="1065"/>
        <v>32820</v>
      </c>
      <c r="L1376" s="17" t="s">
        <v>645</v>
      </c>
      <c r="M1376" s="17" t="str">
        <f t="shared" si="1068"/>
        <v>1:12500:10</v>
      </c>
      <c r="N1376" s="16" t="str">
        <f t="shared" si="1063"/>
        <v>10026:1</v>
      </c>
      <c r="O1376" s="17">
        <f t="shared" si="1073"/>
        <v>9</v>
      </c>
      <c r="P1376" s="21" t="s">
        <v>4666</v>
      </c>
      <c r="Q1376" s="21"/>
      <c r="R1376" t="s">
        <v>4626</v>
      </c>
      <c r="T1376" t="str">
        <f t="shared" si="1069"/>
        <v>:1</v>
      </c>
      <c r="U1376" t="str">
        <f t="shared" si="1056"/>
        <v>射手</v>
      </c>
      <c r="V1376" t="s">
        <v>4646</v>
      </c>
      <c r="W1376">
        <f>属性类型!G1376</f>
        <v>10026</v>
      </c>
      <c r="X1376">
        <v>1</v>
      </c>
    </row>
    <row r="1377" customFormat="1" ht="16.5" spans="1:24">
      <c r="A1377" s="17">
        <f t="shared" si="1066"/>
        <v>32820</v>
      </c>
      <c r="B1377" s="17">
        <f t="shared" si="1078"/>
        <v>32800</v>
      </c>
      <c r="C1377" s="17" t="str">
        <f t="shared" si="1038"/>
        <v>3</v>
      </c>
      <c r="D1377" s="17">
        <f t="shared" si="1079"/>
        <v>30003</v>
      </c>
      <c r="E1377" s="17">
        <f t="shared" ref="E1377:H1377" si="1092">E1376</f>
        <v>2</v>
      </c>
      <c r="F1377" s="17">
        <f t="shared" si="1072"/>
        <v>3</v>
      </c>
      <c r="G1377" s="17" t="str">
        <f t="shared" si="1092"/>
        <v>巡游射手攻击百分比</v>
      </c>
      <c r="H1377" s="17" t="str">
        <f t="shared" si="1092"/>
        <v>gongbing02_Lv3</v>
      </c>
      <c r="I1377" s="20">
        <v>1.5</v>
      </c>
      <c r="J1377" s="17">
        <v>20</v>
      </c>
      <c r="K1377" s="17">
        <v>0</v>
      </c>
      <c r="L1377" s="17">
        <v>0</v>
      </c>
      <c r="M1377" s="17" t="str">
        <f t="shared" si="1068"/>
        <v>1:12500:10</v>
      </c>
      <c r="N1377" s="16" t="str">
        <f t="shared" si="1063"/>
        <v>10026:1</v>
      </c>
      <c r="O1377" s="17">
        <f t="shared" si="1073"/>
        <v>9</v>
      </c>
      <c r="P1377" s="21" t="s">
        <v>4666</v>
      </c>
      <c r="Q1377" s="21"/>
      <c r="R1377" t="s">
        <v>4626</v>
      </c>
      <c r="T1377" t="str">
        <f t="shared" si="1069"/>
        <v>:1</v>
      </c>
      <c r="U1377" t="str">
        <f t="shared" si="1056"/>
        <v>射手</v>
      </c>
      <c r="V1377" t="s">
        <v>4646</v>
      </c>
      <c r="W1377">
        <f>属性类型!G1377</f>
        <v>10026</v>
      </c>
      <c r="X1377">
        <v>1</v>
      </c>
    </row>
    <row r="1378" customFormat="1" ht="16.5" spans="1:24">
      <c r="A1378" s="18">
        <f>A1357+100</f>
        <v>32900</v>
      </c>
      <c r="B1378" s="18">
        <f t="shared" si="1078"/>
        <v>32900</v>
      </c>
      <c r="C1378" s="18" t="str">
        <f t="shared" si="1038"/>
        <v>3</v>
      </c>
      <c r="D1378" s="17">
        <f t="shared" si="1079"/>
        <v>30003</v>
      </c>
      <c r="E1378" s="17">
        <v>2</v>
      </c>
      <c r="F1378" s="18">
        <f t="shared" si="1072"/>
        <v>3</v>
      </c>
      <c r="G1378" s="18" t="s">
        <v>4667</v>
      </c>
      <c r="H1378" s="18" t="s">
        <v>1670</v>
      </c>
      <c r="I1378" s="20">
        <v>1.5</v>
      </c>
      <c r="J1378" s="18">
        <v>0</v>
      </c>
      <c r="K1378" s="18">
        <f t="shared" ref="K1378:K1403" si="1093">A1379</f>
        <v>32901</v>
      </c>
      <c r="L1378" s="18" t="s">
        <v>206</v>
      </c>
      <c r="M1378" s="18" t="s">
        <v>773</v>
      </c>
      <c r="N1378" s="16" t="str">
        <f t="shared" si="1063"/>
        <v>10027:1</v>
      </c>
      <c r="O1378" s="18">
        <f t="shared" si="1073"/>
        <v>10</v>
      </c>
      <c r="P1378" s="21" t="s">
        <v>4668</v>
      </c>
      <c r="Q1378" s="21"/>
      <c r="R1378" t="s">
        <v>4626</v>
      </c>
      <c r="T1378" t="str">
        <f>RIGHT(N1378,1)</f>
        <v>1</v>
      </c>
      <c r="U1378" t="str">
        <f t="shared" si="1056"/>
        <v>射手</v>
      </c>
      <c r="V1378" t="s">
        <v>4667</v>
      </c>
      <c r="W1378">
        <f>属性类型!G1378</f>
        <v>10027</v>
      </c>
      <c r="X1378">
        <v>1</v>
      </c>
    </row>
    <row r="1379" customFormat="1" ht="16.5" spans="1:24">
      <c r="A1379" s="17">
        <f t="shared" ref="A1379:A1398" si="1094">A1378+1</f>
        <v>32901</v>
      </c>
      <c r="B1379" s="17">
        <f t="shared" si="1078"/>
        <v>32900</v>
      </c>
      <c r="C1379" s="17" t="str">
        <f t="shared" si="1038"/>
        <v>3</v>
      </c>
      <c r="D1379" s="17">
        <f t="shared" si="1079"/>
        <v>30003</v>
      </c>
      <c r="E1379" s="17">
        <f t="shared" ref="E1379:H1379" si="1095">E1378</f>
        <v>2</v>
      </c>
      <c r="F1379" s="17">
        <f t="shared" si="1072"/>
        <v>3</v>
      </c>
      <c r="G1379" s="17" t="str">
        <f t="shared" si="1095"/>
        <v>巡游射手魔防百分比</v>
      </c>
      <c r="H1379" s="17" t="str">
        <f t="shared" si="1095"/>
        <v>gongbing02_Lv3</v>
      </c>
      <c r="I1379" s="20">
        <v>1.5</v>
      </c>
      <c r="J1379" s="17">
        <v>1</v>
      </c>
      <c r="K1379" s="17">
        <f t="shared" si="1093"/>
        <v>32902</v>
      </c>
      <c r="L1379" s="17" t="s">
        <v>211</v>
      </c>
      <c r="M1379" s="17" t="str">
        <f t="shared" ref="M1379:M1398" si="1096">M1378</f>
        <v>1:12600:10</v>
      </c>
      <c r="N1379" s="16" t="str">
        <f t="shared" si="1063"/>
        <v>10027:1</v>
      </c>
      <c r="O1379" s="17">
        <f t="shared" si="1073"/>
        <v>10</v>
      </c>
      <c r="P1379" s="21" t="s">
        <v>4669</v>
      </c>
      <c r="Q1379" s="21"/>
      <c r="R1379" t="s">
        <v>4626</v>
      </c>
      <c r="T1379" t="str">
        <f t="shared" ref="T1379:T1422" si="1097">RIGHT(N1379,2)</f>
        <v>:1</v>
      </c>
      <c r="U1379" t="str">
        <f t="shared" si="1056"/>
        <v>射手</v>
      </c>
      <c r="V1379" t="s">
        <v>4667</v>
      </c>
      <c r="W1379">
        <f>属性类型!G1379</f>
        <v>10027</v>
      </c>
      <c r="X1379">
        <v>1</v>
      </c>
    </row>
    <row r="1380" customFormat="1" ht="16.5" spans="1:24">
      <c r="A1380" s="17">
        <f t="shared" si="1094"/>
        <v>32902</v>
      </c>
      <c r="B1380" s="17">
        <f t="shared" si="1078"/>
        <v>32900</v>
      </c>
      <c r="C1380" s="17" t="str">
        <f t="shared" si="1038"/>
        <v>3</v>
      </c>
      <c r="D1380" s="17">
        <f t="shared" si="1079"/>
        <v>30003</v>
      </c>
      <c r="E1380" s="17">
        <f t="shared" ref="E1380:H1380" si="1098">E1379</f>
        <v>2</v>
      </c>
      <c r="F1380" s="17">
        <f t="shared" si="1072"/>
        <v>3</v>
      </c>
      <c r="G1380" s="17" t="str">
        <f t="shared" si="1098"/>
        <v>巡游射手魔防百分比</v>
      </c>
      <c r="H1380" s="17" t="str">
        <f t="shared" si="1098"/>
        <v>gongbing02_Lv3</v>
      </c>
      <c r="I1380" s="20">
        <v>1.5</v>
      </c>
      <c r="J1380" s="17">
        <v>2</v>
      </c>
      <c r="K1380" s="17">
        <f t="shared" si="1093"/>
        <v>32903</v>
      </c>
      <c r="L1380" s="17" t="s">
        <v>215</v>
      </c>
      <c r="M1380" s="17" t="str">
        <f t="shared" si="1096"/>
        <v>1:12600:10</v>
      </c>
      <c r="N1380" s="16" t="str">
        <f t="shared" si="1063"/>
        <v>10027:1</v>
      </c>
      <c r="O1380" s="17">
        <f t="shared" si="1073"/>
        <v>10</v>
      </c>
      <c r="P1380" s="21" t="s">
        <v>4670</v>
      </c>
      <c r="Q1380" s="21"/>
      <c r="R1380" t="s">
        <v>4626</v>
      </c>
      <c r="T1380" t="str">
        <f t="shared" si="1097"/>
        <v>:1</v>
      </c>
      <c r="U1380" t="str">
        <f t="shared" si="1056"/>
        <v>射手</v>
      </c>
      <c r="V1380" t="s">
        <v>4667</v>
      </c>
      <c r="W1380">
        <f>属性类型!G1380</f>
        <v>10027</v>
      </c>
      <c r="X1380">
        <v>1</v>
      </c>
    </row>
    <row r="1381" customFormat="1" ht="16.5" spans="1:24">
      <c r="A1381" s="17">
        <f t="shared" si="1094"/>
        <v>32903</v>
      </c>
      <c r="B1381" s="17">
        <f t="shared" si="1078"/>
        <v>32900</v>
      </c>
      <c r="C1381" s="17" t="str">
        <f t="shared" si="1038"/>
        <v>3</v>
      </c>
      <c r="D1381" s="17">
        <f t="shared" si="1079"/>
        <v>30003</v>
      </c>
      <c r="E1381" s="17">
        <f t="shared" ref="E1381:H1381" si="1099">E1380</f>
        <v>2</v>
      </c>
      <c r="F1381" s="17">
        <f t="shared" si="1072"/>
        <v>3</v>
      </c>
      <c r="G1381" s="17" t="str">
        <f t="shared" si="1099"/>
        <v>巡游射手魔防百分比</v>
      </c>
      <c r="H1381" s="17" t="str">
        <f t="shared" si="1099"/>
        <v>gongbing02_Lv3</v>
      </c>
      <c r="I1381" s="20">
        <v>1.5</v>
      </c>
      <c r="J1381" s="17">
        <v>3</v>
      </c>
      <c r="K1381" s="17">
        <f t="shared" si="1093"/>
        <v>32904</v>
      </c>
      <c r="L1381" s="17" t="s">
        <v>218</v>
      </c>
      <c r="M1381" s="17" t="str">
        <f t="shared" si="1096"/>
        <v>1:12600:10</v>
      </c>
      <c r="N1381" s="16" t="str">
        <f t="shared" si="1063"/>
        <v>10027:1</v>
      </c>
      <c r="O1381" s="17">
        <f t="shared" si="1073"/>
        <v>10</v>
      </c>
      <c r="P1381" s="21" t="s">
        <v>4671</v>
      </c>
      <c r="Q1381" s="21"/>
      <c r="R1381" t="s">
        <v>4626</v>
      </c>
      <c r="T1381" t="str">
        <f t="shared" si="1097"/>
        <v>:1</v>
      </c>
      <c r="U1381" t="str">
        <f t="shared" si="1056"/>
        <v>射手</v>
      </c>
      <c r="V1381" t="s">
        <v>4667</v>
      </c>
      <c r="W1381">
        <f>属性类型!G1381</f>
        <v>10027</v>
      </c>
      <c r="X1381">
        <v>1</v>
      </c>
    </row>
    <row r="1382" customFormat="1" ht="16.5" spans="1:24">
      <c r="A1382" s="17">
        <f t="shared" si="1094"/>
        <v>32904</v>
      </c>
      <c r="B1382" s="17">
        <f t="shared" si="1078"/>
        <v>32900</v>
      </c>
      <c r="C1382" s="17" t="str">
        <f t="shared" si="1038"/>
        <v>3</v>
      </c>
      <c r="D1382" s="17">
        <f t="shared" si="1079"/>
        <v>30003</v>
      </c>
      <c r="E1382" s="17">
        <f t="shared" ref="E1382:H1382" si="1100">E1381</f>
        <v>2</v>
      </c>
      <c r="F1382" s="17">
        <f t="shared" si="1072"/>
        <v>3</v>
      </c>
      <c r="G1382" s="17" t="str">
        <f t="shared" si="1100"/>
        <v>巡游射手魔防百分比</v>
      </c>
      <c r="H1382" s="17" t="str">
        <f t="shared" si="1100"/>
        <v>gongbing02_Lv3</v>
      </c>
      <c r="I1382" s="20">
        <v>1.5</v>
      </c>
      <c r="J1382" s="17">
        <v>4</v>
      </c>
      <c r="K1382" s="17">
        <f t="shared" si="1093"/>
        <v>32905</v>
      </c>
      <c r="L1382" s="17" t="s">
        <v>221</v>
      </c>
      <c r="M1382" s="17" t="str">
        <f t="shared" si="1096"/>
        <v>1:12600:10</v>
      </c>
      <c r="N1382" s="16" t="str">
        <f t="shared" si="1063"/>
        <v>10027:1</v>
      </c>
      <c r="O1382" s="17">
        <f t="shared" si="1073"/>
        <v>10</v>
      </c>
      <c r="P1382" s="21" t="s">
        <v>4672</v>
      </c>
      <c r="Q1382" s="21"/>
      <c r="R1382" t="s">
        <v>4626</v>
      </c>
      <c r="T1382" t="str">
        <f t="shared" si="1097"/>
        <v>:1</v>
      </c>
      <c r="U1382" t="str">
        <f t="shared" si="1056"/>
        <v>射手</v>
      </c>
      <c r="V1382" t="s">
        <v>4667</v>
      </c>
      <c r="W1382">
        <f>属性类型!G1382</f>
        <v>10027</v>
      </c>
      <c r="X1382">
        <v>1</v>
      </c>
    </row>
    <row r="1383" customFormat="1" ht="16.5" spans="1:24">
      <c r="A1383" s="17">
        <f t="shared" si="1094"/>
        <v>32905</v>
      </c>
      <c r="B1383" s="17">
        <f t="shared" si="1078"/>
        <v>32900</v>
      </c>
      <c r="C1383" s="17" t="str">
        <f t="shared" si="1038"/>
        <v>3</v>
      </c>
      <c r="D1383" s="17">
        <f t="shared" si="1079"/>
        <v>30003</v>
      </c>
      <c r="E1383" s="17">
        <f t="shared" ref="E1383:H1383" si="1101">E1382</f>
        <v>2</v>
      </c>
      <c r="F1383" s="17">
        <f t="shared" si="1072"/>
        <v>3</v>
      </c>
      <c r="G1383" s="17" t="str">
        <f t="shared" si="1101"/>
        <v>巡游射手魔防百分比</v>
      </c>
      <c r="H1383" s="17" t="str">
        <f t="shared" si="1101"/>
        <v>gongbing02_Lv3</v>
      </c>
      <c r="I1383" s="20">
        <v>1.5</v>
      </c>
      <c r="J1383" s="17">
        <v>5</v>
      </c>
      <c r="K1383" s="17">
        <f t="shared" si="1093"/>
        <v>32906</v>
      </c>
      <c r="L1383" s="17" t="s">
        <v>224</v>
      </c>
      <c r="M1383" s="17" t="str">
        <f t="shared" si="1096"/>
        <v>1:12600:10</v>
      </c>
      <c r="N1383" s="16" t="str">
        <f t="shared" si="1063"/>
        <v>10027:1</v>
      </c>
      <c r="O1383" s="17">
        <f t="shared" si="1073"/>
        <v>10</v>
      </c>
      <c r="P1383" s="21" t="s">
        <v>4673</v>
      </c>
      <c r="Q1383" s="21"/>
      <c r="R1383" t="s">
        <v>4626</v>
      </c>
      <c r="T1383" t="str">
        <f t="shared" si="1097"/>
        <v>:1</v>
      </c>
      <c r="U1383" t="str">
        <f t="shared" si="1056"/>
        <v>射手</v>
      </c>
      <c r="V1383" t="s">
        <v>4667</v>
      </c>
      <c r="W1383">
        <f>属性类型!G1383</f>
        <v>10027</v>
      </c>
      <c r="X1383">
        <v>1</v>
      </c>
    </row>
    <row r="1384" customFormat="1" ht="16.5" spans="1:24">
      <c r="A1384" s="17">
        <f t="shared" si="1094"/>
        <v>32906</v>
      </c>
      <c r="B1384" s="17">
        <f t="shared" si="1078"/>
        <v>32900</v>
      </c>
      <c r="C1384" s="17" t="str">
        <f t="shared" si="1038"/>
        <v>3</v>
      </c>
      <c r="D1384" s="17">
        <f t="shared" si="1079"/>
        <v>30003</v>
      </c>
      <c r="E1384" s="17">
        <f t="shared" ref="E1384:H1384" si="1102">E1383</f>
        <v>2</v>
      </c>
      <c r="F1384" s="17">
        <f t="shared" si="1072"/>
        <v>3</v>
      </c>
      <c r="G1384" s="17" t="str">
        <f t="shared" si="1102"/>
        <v>巡游射手魔防百分比</v>
      </c>
      <c r="H1384" s="17" t="str">
        <f t="shared" si="1102"/>
        <v>gongbing02_Lv3</v>
      </c>
      <c r="I1384" s="20">
        <v>1.5</v>
      </c>
      <c r="J1384" s="17">
        <v>6</v>
      </c>
      <c r="K1384" s="17">
        <f t="shared" si="1093"/>
        <v>32907</v>
      </c>
      <c r="L1384" s="17" t="s">
        <v>227</v>
      </c>
      <c r="M1384" s="17" t="str">
        <f t="shared" si="1096"/>
        <v>1:12600:10</v>
      </c>
      <c r="N1384" s="16" t="str">
        <f t="shared" si="1063"/>
        <v>10027:1</v>
      </c>
      <c r="O1384" s="17">
        <f t="shared" si="1073"/>
        <v>10</v>
      </c>
      <c r="P1384" s="21" t="s">
        <v>4674</v>
      </c>
      <c r="Q1384" s="21"/>
      <c r="R1384" t="s">
        <v>4626</v>
      </c>
      <c r="T1384" t="str">
        <f t="shared" si="1097"/>
        <v>:1</v>
      </c>
      <c r="U1384" t="str">
        <f t="shared" si="1056"/>
        <v>射手</v>
      </c>
      <c r="V1384" t="s">
        <v>4667</v>
      </c>
      <c r="W1384">
        <f>属性类型!G1384</f>
        <v>10027</v>
      </c>
      <c r="X1384">
        <v>1</v>
      </c>
    </row>
    <row r="1385" customFormat="1" ht="16.5" spans="1:24">
      <c r="A1385" s="17">
        <f t="shared" si="1094"/>
        <v>32907</v>
      </c>
      <c r="B1385" s="17">
        <f t="shared" si="1078"/>
        <v>32900</v>
      </c>
      <c r="C1385" s="17" t="str">
        <f t="shared" si="1038"/>
        <v>3</v>
      </c>
      <c r="D1385" s="17">
        <f t="shared" si="1079"/>
        <v>30003</v>
      </c>
      <c r="E1385" s="17">
        <f t="shared" ref="E1385:H1385" si="1103">E1384</f>
        <v>2</v>
      </c>
      <c r="F1385" s="17">
        <f t="shared" si="1072"/>
        <v>3</v>
      </c>
      <c r="G1385" s="17" t="str">
        <f t="shared" si="1103"/>
        <v>巡游射手魔防百分比</v>
      </c>
      <c r="H1385" s="17" t="str">
        <f t="shared" si="1103"/>
        <v>gongbing02_Lv3</v>
      </c>
      <c r="I1385" s="20">
        <v>1.5</v>
      </c>
      <c r="J1385" s="17">
        <v>7</v>
      </c>
      <c r="K1385" s="17">
        <f t="shared" si="1093"/>
        <v>32908</v>
      </c>
      <c r="L1385" s="17" t="s">
        <v>230</v>
      </c>
      <c r="M1385" s="17" t="str">
        <f t="shared" si="1096"/>
        <v>1:12600:10</v>
      </c>
      <c r="N1385" s="16" t="str">
        <f t="shared" si="1063"/>
        <v>10027:1</v>
      </c>
      <c r="O1385" s="17">
        <f t="shared" si="1073"/>
        <v>10</v>
      </c>
      <c r="P1385" s="21" t="s">
        <v>4675</v>
      </c>
      <c r="Q1385" s="21"/>
      <c r="R1385" t="s">
        <v>4626</v>
      </c>
      <c r="T1385" t="str">
        <f t="shared" si="1097"/>
        <v>:1</v>
      </c>
      <c r="U1385" t="str">
        <f t="shared" si="1056"/>
        <v>射手</v>
      </c>
      <c r="V1385" t="s">
        <v>4667</v>
      </c>
      <c r="W1385">
        <f>属性类型!G1385</f>
        <v>10027</v>
      </c>
      <c r="X1385">
        <v>1</v>
      </c>
    </row>
    <row r="1386" customFormat="1" ht="16.5" spans="1:24">
      <c r="A1386" s="17">
        <f t="shared" si="1094"/>
        <v>32908</v>
      </c>
      <c r="B1386" s="17">
        <f t="shared" si="1078"/>
        <v>32900</v>
      </c>
      <c r="C1386" s="17" t="str">
        <f t="shared" ref="C1386:C1449" si="1104">LEFT(A1386,1)</f>
        <v>3</v>
      </c>
      <c r="D1386" s="17">
        <f t="shared" si="1079"/>
        <v>30003</v>
      </c>
      <c r="E1386" s="17">
        <f t="shared" ref="E1386:H1386" si="1105">E1385</f>
        <v>2</v>
      </c>
      <c r="F1386" s="17">
        <f t="shared" si="1072"/>
        <v>3</v>
      </c>
      <c r="G1386" s="17" t="str">
        <f t="shared" si="1105"/>
        <v>巡游射手魔防百分比</v>
      </c>
      <c r="H1386" s="17" t="str">
        <f t="shared" si="1105"/>
        <v>gongbing02_Lv3</v>
      </c>
      <c r="I1386" s="20">
        <v>1.5</v>
      </c>
      <c r="J1386" s="17">
        <v>8</v>
      </c>
      <c r="K1386" s="17">
        <f t="shared" si="1093"/>
        <v>32909</v>
      </c>
      <c r="L1386" s="17" t="s">
        <v>233</v>
      </c>
      <c r="M1386" s="17" t="str">
        <f t="shared" si="1096"/>
        <v>1:12600:10</v>
      </c>
      <c r="N1386" s="16" t="str">
        <f t="shared" si="1063"/>
        <v>10027:1</v>
      </c>
      <c r="O1386" s="17">
        <f t="shared" si="1073"/>
        <v>10</v>
      </c>
      <c r="P1386" s="21" t="s">
        <v>4676</v>
      </c>
      <c r="Q1386" s="21"/>
      <c r="R1386" t="s">
        <v>4626</v>
      </c>
      <c r="T1386" t="str">
        <f t="shared" si="1097"/>
        <v>:1</v>
      </c>
      <c r="U1386" t="str">
        <f t="shared" si="1056"/>
        <v>射手</v>
      </c>
      <c r="V1386" t="s">
        <v>4667</v>
      </c>
      <c r="W1386">
        <f>属性类型!G1386</f>
        <v>10027</v>
      </c>
      <c r="X1386">
        <v>1</v>
      </c>
    </row>
    <row r="1387" customFormat="1" ht="16.5" spans="1:24">
      <c r="A1387" s="17">
        <f t="shared" si="1094"/>
        <v>32909</v>
      </c>
      <c r="B1387" s="17">
        <f t="shared" si="1078"/>
        <v>32900</v>
      </c>
      <c r="C1387" s="17" t="str">
        <f t="shared" si="1104"/>
        <v>3</v>
      </c>
      <c r="D1387" s="17">
        <f t="shared" si="1079"/>
        <v>30003</v>
      </c>
      <c r="E1387" s="17">
        <f t="shared" ref="E1387:H1387" si="1106">E1386</f>
        <v>2</v>
      </c>
      <c r="F1387" s="17">
        <f t="shared" si="1072"/>
        <v>3</v>
      </c>
      <c r="G1387" s="17" t="str">
        <f t="shared" si="1106"/>
        <v>巡游射手魔防百分比</v>
      </c>
      <c r="H1387" s="17" t="str">
        <f t="shared" si="1106"/>
        <v>gongbing02_Lv3</v>
      </c>
      <c r="I1387" s="20">
        <v>1.5</v>
      </c>
      <c r="J1387" s="17">
        <v>9</v>
      </c>
      <c r="K1387" s="17">
        <f t="shared" si="1093"/>
        <v>32910</v>
      </c>
      <c r="L1387" s="17" t="s">
        <v>236</v>
      </c>
      <c r="M1387" s="17" t="str">
        <f t="shared" si="1096"/>
        <v>1:12600:10</v>
      </c>
      <c r="N1387" s="16" t="str">
        <f t="shared" si="1063"/>
        <v>10027:1</v>
      </c>
      <c r="O1387" s="17">
        <f t="shared" si="1073"/>
        <v>10</v>
      </c>
      <c r="P1387" s="21" t="s">
        <v>4677</v>
      </c>
      <c r="Q1387" s="21"/>
      <c r="R1387" t="s">
        <v>4626</v>
      </c>
      <c r="T1387" t="str">
        <f t="shared" si="1097"/>
        <v>:1</v>
      </c>
      <c r="U1387" t="str">
        <f t="shared" si="1056"/>
        <v>射手</v>
      </c>
      <c r="V1387" t="s">
        <v>4667</v>
      </c>
      <c r="W1387">
        <f>属性类型!G1387</f>
        <v>10027</v>
      </c>
      <c r="X1387">
        <v>1</v>
      </c>
    </row>
    <row r="1388" customFormat="1" ht="16.5" spans="1:24">
      <c r="A1388" s="17">
        <f t="shared" si="1094"/>
        <v>32910</v>
      </c>
      <c r="B1388" s="17">
        <f t="shared" si="1078"/>
        <v>32900</v>
      </c>
      <c r="C1388" s="17" t="str">
        <f t="shared" si="1104"/>
        <v>3</v>
      </c>
      <c r="D1388" s="17">
        <f t="shared" si="1079"/>
        <v>30003</v>
      </c>
      <c r="E1388" s="17">
        <f t="shared" ref="E1388:H1388" si="1107">E1387</f>
        <v>2</v>
      </c>
      <c r="F1388" s="17">
        <f t="shared" si="1072"/>
        <v>3</v>
      </c>
      <c r="G1388" s="17" t="str">
        <f t="shared" si="1107"/>
        <v>巡游射手魔防百分比</v>
      </c>
      <c r="H1388" s="17" t="str">
        <f t="shared" si="1107"/>
        <v>gongbing02_Lv3</v>
      </c>
      <c r="I1388" s="20">
        <v>1.5</v>
      </c>
      <c r="J1388" s="17">
        <v>10</v>
      </c>
      <c r="K1388" s="17">
        <f t="shared" si="1093"/>
        <v>32911</v>
      </c>
      <c r="L1388" s="17" t="s">
        <v>238</v>
      </c>
      <c r="M1388" s="17" t="str">
        <f t="shared" si="1096"/>
        <v>1:12600:10</v>
      </c>
      <c r="N1388" s="16" t="str">
        <f t="shared" si="1063"/>
        <v>10027:1</v>
      </c>
      <c r="O1388" s="17">
        <f t="shared" si="1073"/>
        <v>10</v>
      </c>
      <c r="P1388" s="21" t="s">
        <v>4678</v>
      </c>
      <c r="Q1388" s="21"/>
      <c r="R1388" t="s">
        <v>4626</v>
      </c>
      <c r="T1388" t="str">
        <f t="shared" si="1097"/>
        <v>:1</v>
      </c>
      <c r="U1388" t="str">
        <f t="shared" si="1056"/>
        <v>射手</v>
      </c>
      <c r="V1388" t="s">
        <v>4667</v>
      </c>
      <c r="W1388">
        <f>属性类型!G1388</f>
        <v>10027</v>
      </c>
      <c r="X1388">
        <v>1</v>
      </c>
    </row>
    <row r="1389" ht="16.5" spans="1:24">
      <c r="A1389" s="17">
        <f t="shared" si="1094"/>
        <v>32911</v>
      </c>
      <c r="B1389" s="17">
        <f t="shared" si="1078"/>
        <v>32900</v>
      </c>
      <c r="C1389" s="17" t="str">
        <f t="shared" si="1104"/>
        <v>3</v>
      </c>
      <c r="D1389" s="17">
        <f t="shared" si="1079"/>
        <v>30003</v>
      </c>
      <c r="E1389" s="17">
        <f t="shared" ref="E1389:H1389" si="1108">E1388</f>
        <v>2</v>
      </c>
      <c r="F1389" s="17">
        <f t="shared" si="1072"/>
        <v>3</v>
      </c>
      <c r="G1389" s="17" t="str">
        <f t="shared" si="1108"/>
        <v>巡游射手魔防百分比</v>
      </c>
      <c r="H1389" s="17" t="str">
        <f t="shared" si="1108"/>
        <v>gongbing02_Lv3</v>
      </c>
      <c r="I1389" s="20">
        <v>1.5</v>
      </c>
      <c r="J1389" s="17">
        <v>11</v>
      </c>
      <c r="K1389" s="17">
        <f t="shared" si="1093"/>
        <v>32912</v>
      </c>
      <c r="L1389" s="17" t="s">
        <v>529</v>
      </c>
      <c r="M1389" s="17" t="str">
        <f t="shared" si="1096"/>
        <v>1:12600:10</v>
      </c>
      <c r="N1389" s="16" t="str">
        <f t="shared" si="1063"/>
        <v>10027:1</v>
      </c>
      <c r="O1389" s="17">
        <f t="shared" si="1073"/>
        <v>10</v>
      </c>
      <c r="P1389" s="21" t="s">
        <v>4679</v>
      </c>
      <c r="Q1389" s="21"/>
      <c r="R1389" t="s">
        <v>4626</v>
      </c>
      <c r="T1389" t="str">
        <f t="shared" si="1097"/>
        <v>:1</v>
      </c>
      <c r="U1389" t="str">
        <f t="shared" si="1056"/>
        <v>射手</v>
      </c>
      <c r="V1389" t="s">
        <v>4667</v>
      </c>
      <c r="W1389">
        <f>属性类型!G1389</f>
        <v>10027</v>
      </c>
      <c r="X1389">
        <v>1</v>
      </c>
    </row>
    <row r="1390" ht="16.5" spans="1:24">
      <c r="A1390" s="17">
        <f t="shared" si="1094"/>
        <v>32912</v>
      </c>
      <c r="B1390" s="17">
        <f t="shared" si="1078"/>
        <v>32900</v>
      </c>
      <c r="C1390" s="17" t="str">
        <f t="shared" si="1104"/>
        <v>3</v>
      </c>
      <c r="D1390" s="17">
        <f t="shared" si="1079"/>
        <v>30003</v>
      </c>
      <c r="E1390" s="17">
        <f t="shared" ref="E1390:H1390" si="1109">E1389</f>
        <v>2</v>
      </c>
      <c r="F1390" s="17">
        <f t="shared" si="1072"/>
        <v>3</v>
      </c>
      <c r="G1390" s="17" t="str">
        <f t="shared" si="1109"/>
        <v>巡游射手魔防百分比</v>
      </c>
      <c r="H1390" s="17" t="str">
        <f t="shared" si="1109"/>
        <v>gongbing02_Lv3</v>
      </c>
      <c r="I1390" s="20">
        <v>1.5</v>
      </c>
      <c r="J1390" s="17">
        <v>12</v>
      </c>
      <c r="K1390" s="17">
        <f t="shared" si="1093"/>
        <v>32913</v>
      </c>
      <c r="L1390" s="17" t="s">
        <v>532</v>
      </c>
      <c r="M1390" s="17" t="str">
        <f t="shared" si="1096"/>
        <v>1:12600:10</v>
      </c>
      <c r="N1390" s="16" t="str">
        <f t="shared" si="1063"/>
        <v>10027:1</v>
      </c>
      <c r="O1390" s="17">
        <f t="shared" si="1073"/>
        <v>10</v>
      </c>
      <c r="P1390" s="21" t="s">
        <v>4680</v>
      </c>
      <c r="Q1390" s="21"/>
      <c r="R1390" t="s">
        <v>4626</v>
      </c>
      <c r="T1390" t="str">
        <f t="shared" si="1097"/>
        <v>:1</v>
      </c>
      <c r="U1390" t="str">
        <f t="shared" si="1056"/>
        <v>射手</v>
      </c>
      <c r="V1390" t="s">
        <v>4667</v>
      </c>
      <c r="W1390">
        <f>属性类型!G1390</f>
        <v>10027</v>
      </c>
      <c r="X1390">
        <v>1</v>
      </c>
    </row>
    <row r="1391" ht="16.5" spans="1:24">
      <c r="A1391" s="17">
        <f t="shared" si="1094"/>
        <v>32913</v>
      </c>
      <c r="B1391" s="17">
        <f t="shared" si="1078"/>
        <v>32900</v>
      </c>
      <c r="C1391" s="17" t="str">
        <f t="shared" si="1104"/>
        <v>3</v>
      </c>
      <c r="D1391" s="17">
        <f t="shared" si="1079"/>
        <v>30003</v>
      </c>
      <c r="E1391" s="17">
        <f t="shared" ref="E1391:H1391" si="1110">E1390</f>
        <v>2</v>
      </c>
      <c r="F1391" s="17">
        <f t="shared" si="1072"/>
        <v>3</v>
      </c>
      <c r="G1391" s="17" t="str">
        <f t="shared" si="1110"/>
        <v>巡游射手魔防百分比</v>
      </c>
      <c r="H1391" s="17" t="str">
        <f t="shared" si="1110"/>
        <v>gongbing02_Lv3</v>
      </c>
      <c r="I1391" s="20">
        <v>1.5</v>
      </c>
      <c r="J1391" s="17">
        <v>13</v>
      </c>
      <c r="K1391" s="17">
        <f t="shared" si="1093"/>
        <v>32914</v>
      </c>
      <c r="L1391" s="17" t="s">
        <v>561</v>
      </c>
      <c r="M1391" s="17" t="str">
        <f t="shared" si="1096"/>
        <v>1:12600:10</v>
      </c>
      <c r="N1391" s="16" t="str">
        <f t="shared" si="1063"/>
        <v>10027:1</v>
      </c>
      <c r="O1391" s="17">
        <f t="shared" si="1073"/>
        <v>10</v>
      </c>
      <c r="P1391" s="21" t="s">
        <v>4681</v>
      </c>
      <c r="Q1391" s="21"/>
      <c r="R1391" t="s">
        <v>4626</v>
      </c>
      <c r="T1391" t="str">
        <f t="shared" si="1097"/>
        <v>:1</v>
      </c>
      <c r="U1391" t="str">
        <f t="shared" si="1056"/>
        <v>射手</v>
      </c>
      <c r="V1391" t="s">
        <v>4667</v>
      </c>
      <c r="W1391">
        <f>属性类型!G1391</f>
        <v>10027</v>
      </c>
      <c r="X1391">
        <v>1</v>
      </c>
    </row>
    <row r="1392" ht="16.5" spans="1:24">
      <c r="A1392" s="17">
        <f t="shared" si="1094"/>
        <v>32914</v>
      </c>
      <c r="B1392" s="17">
        <f t="shared" si="1078"/>
        <v>32900</v>
      </c>
      <c r="C1392" s="17" t="str">
        <f t="shared" si="1104"/>
        <v>3</v>
      </c>
      <c r="D1392" s="17">
        <f t="shared" si="1079"/>
        <v>30003</v>
      </c>
      <c r="E1392" s="17">
        <f t="shared" ref="E1392:H1392" si="1111">E1391</f>
        <v>2</v>
      </c>
      <c r="F1392" s="17">
        <f t="shared" si="1072"/>
        <v>3</v>
      </c>
      <c r="G1392" s="17" t="str">
        <f t="shared" si="1111"/>
        <v>巡游射手魔防百分比</v>
      </c>
      <c r="H1392" s="17" t="str">
        <f t="shared" si="1111"/>
        <v>gongbing02_Lv3</v>
      </c>
      <c r="I1392" s="20">
        <v>1.5</v>
      </c>
      <c r="J1392" s="17">
        <v>14</v>
      </c>
      <c r="K1392" s="17">
        <f t="shared" si="1093"/>
        <v>32915</v>
      </c>
      <c r="L1392" s="17" t="s">
        <v>564</v>
      </c>
      <c r="M1392" s="17" t="str">
        <f t="shared" si="1096"/>
        <v>1:12600:10</v>
      </c>
      <c r="N1392" s="16" t="str">
        <f t="shared" si="1063"/>
        <v>10027:1</v>
      </c>
      <c r="O1392" s="17">
        <f t="shared" si="1073"/>
        <v>10</v>
      </c>
      <c r="P1392" s="21" t="s">
        <v>4682</v>
      </c>
      <c r="Q1392" s="21"/>
      <c r="R1392" t="s">
        <v>4626</v>
      </c>
      <c r="T1392" t="str">
        <f t="shared" si="1097"/>
        <v>:1</v>
      </c>
      <c r="U1392" t="str">
        <f t="shared" si="1056"/>
        <v>射手</v>
      </c>
      <c r="V1392" t="s">
        <v>4667</v>
      </c>
      <c r="W1392">
        <f>属性类型!G1392</f>
        <v>10027</v>
      </c>
      <c r="X1392">
        <v>1</v>
      </c>
    </row>
    <row r="1393" ht="16.5" spans="1:24">
      <c r="A1393" s="17">
        <f t="shared" si="1094"/>
        <v>32915</v>
      </c>
      <c r="B1393" s="17">
        <f t="shared" si="1078"/>
        <v>32900</v>
      </c>
      <c r="C1393" s="17" t="str">
        <f t="shared" si="1104"/>
        <v>3</v>
      </c>
      <c r="D1393" s="17">
        <f t="shared" si="1079"/>
        <v>30003</v>
      </c>
      <c r="E1393" s="17">
        <f t="shared" ref="E1393:H1393" si="1112">E1392</f>
        <v>2</v>
      </c>
      <c r="F1393" s="17">
        <f t="shared" si="1072"/>
        <v>3</v>
      </c>
      <c r="G1393" s="17" t="str">
        <f t="shared" si="1112"/>
        <v>巡游射手魔防百分比</v>
      </c>
      <c r="H1393" s="17" t="str">
        <f t="shared" si="1112"/>
        <v>gongbing02_Lv3</v>
      </c>
      <c r="I1393" s="20">
        <v>1.5</v>
      </c>
      <c r="J1393" s="17">
        <v>15</v>
      </c>
      <c r="K1393" s="17">
        <f t="shared" si="1093"/>
        <v>32916</v>
      </c>
      <c r="L1393" s="17" t="s">
        <v>630</v>
      </c>
      <c r="M1393" s="17" t="str">
        <f t="shared" si="1096"/>
        <v>1:12600:10</v>
      </c>
      <c r="N1393" s="16" t="str">
        <f t="shared" si="1063"/>
        <v>10027:1</v>
      </c>
      <c r="O1393" s="17">
        <f t="shared" si="1073"/>
        <v>10</v>
      </c>
      <c r="P1393" s="21" t="s">
        <v>4683</v>
      </c>
      <c r="Q1393" s="21"/>
      <c r="R1393" t="s">
        <v>4626</v>
      </c>
      <c r="T1393" t="str">
        <f t="shared" si="1097"/>
        <v>:1</v>
      </c>
      <c r="U1393" t="str">
        <f t="shared" si="1056"/>
        <v>射手</v>
      </c>
      <c r="V1393" t="s">
        <v>4667</v>
      </c>
      <c r="W1393">
        <f>属性类型!G1393</f>
        <v>10027</v>
      </c>
      <c r="X1393">
        <v>1</v>
      </c>
    </row>
    <row r="1394" ht="16.5" spans="1:24">
      <c r="A1394" s="17">
        <f t="shared" si="1094"/>
        <v>32916</v>
      </c>
      <c r="B1394" s="17">
        <f t="shared" si="1078"/>
        <v>32900</v>
      </c>
      <c r="C1394" s="17" t="str">
        <f t="shared" si="1104"/>
        <v>3</v>
      </c>
      <c r="D1394" s="17">
        <f t="shared" si="1079"/>
        <v>30003</v>
      </c>
      <c r="E1394" s="17">
        <f t="shared" ref="E1394:H1394" si="1113">E1393</f>
        <v>2</v>
      </c>
      <c r="F1394" s="17">
        <f t="shared" si="1072"/>
        <v>3</v>
      </c>
      <c r="G1394" s="17" t="str">
        <f t="shared" si="1113"/>
        <v>巡游射手魔防百分比</v>
      </c>
      <c r="H1394" s="17" t="str">
        <f t="shared" si="1113"/>
        <v>gongbing02_Lv3</v>
      </c>
      <c r="I1394" s="20">
        <v>1.5</v>
      </c>
      <c r="J1394" s="17">
        <v>16</v>
      </c>
      <c r="K1394" s="17">
        <f t="shared" si="1093"/>
        <v>32917</v>
      </c>
      <c r="L1394" s="17" t="s">
        <v>633</v>
      </c>
      <c r="M1394" s="17" t="str">
        <f t="shared" si="1096"/>
        <v>1:12600:10</v>
      </c>
      <c r="N1394" s="16" t="str">
        <f t="shared" si="1063"/>
        <v>10027:1</v>
      </c>
      <c r="O1394" s="17">
        <f t="shared" si="1073"/>
        <v>10</v>
      </c>
      <c r="P1394" s="21" t="s">
        <v>4684</v>
      </c>
      <c r="Q1394" s="21"/>
      <c r="R1394" t="s">
        <v>4626</v>
      </c>
      <c r="T1394" t="str">
        <f t="shared" si="1097"/>
        <v>:1</v>
      </c>
      <c r="U1394" t="str">
        <f t="shared" si="1056"/>
        <v>射手</v>
      </c>
      <c r="V1394" t="s">
        <v>4667</v>
      </c>
      <c r="W1394">
        <f>属性类型!G1394</f>
        <v>10027</v>
      </c>
      <c r="X1394">
        <v>1</v>
      </c>
    </row>
    <row r="1395" ht="16.5" spans="1:24">
      <c r="A1395" s="17">
        <f t="shared" si="1094"/>
        <v>32917</v>
      </c>
      <c r="B1395" s="17">
        <f t="shared" si="1078"/>
        <v>32900</v>
      </c>
      <c r="C1395" s="17" t="str">
        <f t="shared" si="1104"/>
        <v>3</v>
      </c>
      <c r="D1395" s="17">
        <f t="shared" si="1079"/>
        <v>30003</v>
      </c>
      <c r="E1395" s="17">
        <f t="shared" ref="E1395:H1395" si="1114">E1394</f>
        <v>2</v>
      </c>
      <c r="F1395" s="17">
        <f t="shared" si="1072"/>
        <v>3</v>
      </c>
      <c r="G1395" s="17" t="str">
        <f t="shared" si="1114"/>
        <v>巡游射手魔防百分比</v>
      </c>
      <c r="H1395" s="17" t="str">
        <f t="shared" si="1114"/>
        <v>gongbing02_Lv3</v>
      </c>
      <c r="I1395" s="20">
        <v>1.5</v>
      </c>
      <c r="J1395" s="17">
        <v>17</v>
      </c>
      <c r="K1395" s="17">
        <f t="shared" si="1093"/>
        <v>32918</v>
      </c>
      <c r="L1395" s="17" t="s">
        <v>637</v>
      </c>
      <c r="M1395" s="17" t="str">
        <f t="shared" si="1096"/>
        <v>1:12600:10</v>
      </c>
      <c r="N1395" s="16" t="str">
        <f t="shared" si="1063"/>
        <v>10027:1</v>
      </c>
      <c r="O1395" s="17">
        <f t="shared" si="1073"/>
        <v>10</v>
      </c>
      <c r="P1395" s="21" t="s">
        <v>4685</v>
      </c>
      <c r="Q1395" s="21"/>
      <c r="R1395" t="s">
        <v>4626</v>
      </c>
      <c r="T1395" t="str">
        <f t="shared" si="1097"/>
        <v>:1</v>
      </c>
      <c r="U1395" t="str">
        <f t="shared" si="1056"/>
        <v>射手</v>
      </c>
      <c r="V1395" t="s">
        <v>4667</v>
      </c>
      <c r="W1395">
        <f>属性类型!G1395</f>
        <v>10027</v>
      </c>
      <c r="X1395">
        <v>1</v>
      </c>
    </row>
    <row r="1396" ht="16.5" spans="1:24">
      <c r="A1396" s="17">
        <f t="shared" si="1094"/>
        <v>32918</v>
      </c>
      <c r="B1396" s="17">
        <f t="shared" si="1078"/>
        <v>32900</v>
      </c>
      <c r="C1396" s="17" t="str">
        <f t="shared" si="1104"/>
        <v>3</v>
      </c>
      <c r="D1396" s="17">
        <f t="shared" si="1079"/>
        <v>30003</v>
      </c>
      <c r="E1396" s="17">
        <f t="shared" ref="E1396:H1396" si="1115">E1395</f>
        <v>2</v>
      </c>
      <c r="F1396" s="17">
        <f t="shared" si="1072"/>
        <v>3</v>
      </c>
      <c r="G1396" s="17" t="str">
        <f t="shared" si="1115"/>
        <v>巡游射手魔防百分比</v>
      </c>
      <c r="H1396" s="17" t="str">
        <f t="shared" si="1115"/>
        <v>gongbing02_Lv3</v>
      </c>
      <c r="I1396" s="20">
        <v>1.5</v>
      </c>
      <c r="J1396" s="17">
        <v>18</v>
      </c>
      <c r="K1396" s="17">
        <f t="shared" si="1093"/>
        <v>32919</v>
      </c>
      <c r="L1396" s="17" t="s">
        <v>641</v>
      </c>
      <c r="M1396" s="17" t="str">
        <f t="shared" si="1096"/>
        <v>1:12600:10</v>
      </c>
      <c r="N1396" s="16" t="str">
        <f t="shared" si="1063"/>
        <v>10027:1</v>
      </c>
      <c r="O1396" s="17">
        <f t="shared" si="1073"/>
        <v>10</v>
      </c>
      <c r="P1396" s="21" t="s">
        <v>4686</v>
      </c>
      <c r="Q1396" s="21"/>
      <c r="R1396" t="s">
        <v>4626</v>
      </c>
      <c r="T1396" t="str">
        <f t="shared" si="1097"/>
        <v>:1</v>
      </c>
      <c r="U1396" t="str">
        <f t="shared" si="1056"/>
        <v>射手</v>
      </c>
      <c r="V1396" t="s">
        <v>4667</v>
      </c>
      <c r="W1396">
        <f>属性类型!G1396</f>
        <v>10027</v>
      </c>
      <c r="X1396">
        <v>1</v>
      </c>
    </row>
    <row r="1397" ht="16.5" spans="1:24">
      <c r="A1397" s="17">
        <f t="shared" si="1094"/>
        <v>32919</v>
      </c>
      <c r="B1397" s="17">
        <f t="shared" si="1078"/>
        <v>32900</v>
      </c>
      <c r="C1397" s="17" t="str">
        <f t="shared" si="1104"/>
        <v>3</v>
      </c>
      <c r="D1397" s="17">
        <f t="shared" si="1079"/>
        <v>30003</v>
      </c>
      <c r="E1397" s="17">
        <f t="shared" ref="E1397:H1397" si="1116">E1396</f>
        <v>2</v>
      </c>
      <c r="F1397" s="17">
        <f t="shared" si="1072"/>
        <v>3</v>
      </c>
      <c r="G1397" s="17" t="str">
        <f t="shared" si="1116"/>
        <v>巡游射手魔防百分比</v>
      </c>
      <c r="H1397" s="17" t="str">
        <f t="shared" si="1116"/>
        <v>gongbing02_Lv3</v>
      </c>
      <c r="I1397" s="20">
        <v>1.5</v>
      </c>
      <c r="J1397" s="17">
        <v>19</v>
      </c>
      <c r="K1397" s="17">
        <f t="shared" si="1093"/>
        <v>32920</v>
      </c>
      <c r="L1397" s="17" t="s">
        <v>645</v>
      </c>
      <c r="M1397" s="17" t="str">
        <f t="shared" si="1096"/>
        <v>1:12600:10</v>
      </c>
      <c r="N1397" s="16" t="str">
        <f t="shared" si="1063"/>
        <v>10027:1</v>
      </c>
      <c r="O1397" s="17">
        <f t="shared" si="1073"/>
        <v>10</v>
      </c>
      <c r="P1397" s="21" t="s">
        <v>4687</v>
      </c>
      <c r="Q1397" s="21"/>
      <c r="R1397" t="s">
        <v>4626</v>
      </c>
      <c r="T1397" t="str">
        <f t="shared" si="1097"/>
        <v>:1</v>
      </c>
      <c r="U1397" t="str">
        <f t="shared" si="1056"/>
        <v>射手</v>
      </c>
      <c r="V1397" t="s">
        <v>4667</v>
      </c>
      <c r="W1397">
        <f>属性类型!G1397</f>
        <v>10027</v>
      </c>
      <c r="X1397">
        <v>1</v>
      </c>
    </row>
    <row r="1398" ht="16.5" spans="1:24">
      <c r="A1398" s="17">
        <f t="shared" si="1094"/>
        <v>32920</v>
      </c>
      <c r="B1398" s="17">
        <f t="shared" si="1078"/>
        <v>32900</v>
      </c>
      <c r="C1398" s="17" t="str">
        <f t="shared" si="1104"/>
        <v>3</v>
      </c>
      <c r="D1398" s="17">
        <f t="shared" si="1079"/>
        <v>30003</v>
      </c>
      <c r="E1398" s="17">
        <f t="shared" ref="E1398:H1398" si="1117">E1397</f>
        <v>2</v>
      </c>
      <c r="F1398" s="17">
        <f t="shared" si="1072"/>
        <v>3</v>
      </c>
      <c r="G1398" s="17" t="str">
        <f t="shared" si="1117"/>
        <v>巡游射手魔防百分比</v>
      </c>
      <c r="H1398" s="17" t="str">
        <f t="shared" si="1117"/>
        <v>gongbing02_Lv3</v>
      </c>
      <c r="I1398" s="20">
        <v>1.5</v>
      </c>
      <c r="J1398" s="17">
        <v>20</v>
      </c>
      <c r="K1398" s="17">
        <f t="shared" si="1093"/>
        <v>40000</v>
      </c>
      <c r="L1398" s="17">
        <v>0</v>
      </c>
      <c r="M1398" s="17" t="str">
        <f t="shared" si="1096"/>
        <v>1:12600:10</v>
      </c>
      <c r="N1398" s="16" t="str">
        <f t="shared" si="1063"/>
        <v>10027:1</v>
      </c>
      <c r="O1398" s="17">
        <f t="shared" si="1073"/>
        <v>10</v>
      </c>
      <c r="P1398" s="21" t="s">
        <v>4687</v>
      </c>
      <c r="Q1398" s="21"/>
      <c r="R1398" t="s">
        <v>4626</v>
      </c>
      <c r="T1398" t="str">
        <f t="shared" si="1097"/>
        <v>:1</v>
      </c>
      <c r="U1398" t="str">
        <f t="shared" si="1056"/>
        <v>射手</v>
      </c>
      <c r="V1398" t="s">
        <v>4667</v>
      </c>
      <c r="W1398">
        <f>属性类型!G1398</f>
        <v>10027</v>
      </c>
      <c r="X1398">
        <v>1</v>
      </c>
    </row>
    <row r="1399" s="15" customFormat="1" ht="16.5" spans="1:24">
      <c r="A1399" s="23">
        <v>40000</v>
      </c>
      <c r="B1399" s="23">
        <f t="shared" si="1078"/>
        <v>40000</v>
      </c>
      <c r="C1399" s="23" t="str">
        <f t="shared" si="1104"/>
        <v>4</v>
      </c>
      <c r="D1399" s="23">
        <f>$A$1399+F1399</f>
        <v>40001</v>
      </c>
      <c r="E1399" s="23">
        <v>1</v>
      </c>
      <c r="F1399" s="23">
        <f t="shared" si="1072"/>
        <v>1</v>
      </c>
      <c r="G1399" s="23" t="s">
        <v>37</v>
      </c>
      <c r="H1399" s="23" t="s">
        <v>38</v>
      </c>
      <c r="I1399" s="20">
        <v>0</v>
      </c>
      <c r="J1399" s="23">
        <v>0</v>
      </c>
      <c r="K1399" s="23">
        <f t="shared" si="1093"/>
        <v>40001</v>
      </c>
      <c r="L1399" s="23" t="s">
        <v>40</v>
      </c>
      <c r="M1399" s="23">
        <v>0</v>
      </c>
      <c r="N1399" s="16" t="str">
        <f t="shared" si="1063"/>
        <v>131:1</v>
      </c>
      <c r="O1399" s="23">
        <f t="shared" si="1073"/>
        <v>1</v>
      </c>
      <c r="P1399" s="24" t="str">
        <f>$S$1&amp;R1399&amp;$Q$1&amp;T1399</f>
        <v>所有飞兵生命增加:1</v>
      </c>
      <c r="Q1399" s="24"/>
      <c r="R1399" s="15" t="s">
        <v>4270</v>
      </c>
      <c r="T1399" s="15" t="str">
        <f t="shared" si="1097"/>
        <v>:1</v>
      </c>
      <c r="U1399" t="str">
        <f t="shared" si="1056"/>
        <v>飞兵</v>
      </c>
      <c r="V1399" t="s">
        <v>4688</v>
      </c>
      <c r="W1399">
        <f>属性类型!G1399</f>
        <v>131</v>
      </c>
      <c r="X1399">
        <v>1</v>
      </c>
    </row>
    <row r="1400" customFormat="1" ht="16.5" spans="1:24">
      <c r="A1400" s="17">
        <f t="shared" ref="A1400:A1404" si="1118">A1399+1</f>
        <v>40001</v>
      </c>
      <c r="B1400" s="17">
        <f t="shared" si="1078"/>
        <v>40000</v>
      </c>
      <c r="C1400" s="17" t="str">
        <f t="shared" si="1104"/>
        <v>4</v>
      </c>
      <c r="D1400" s="17">
        <f>$A$1399+F1400</f>
        <v>40001</v>
      </c>
      <c r="E1400" s="17">
        <v>1</v>
      </c>
      <c r="F1400" s="17">
        <f t="shared" si="1072"/>
        <v>1</v>
      </c>
      <c r="G1400" s="17" t="str">
        <f>G1399</f>
        <v>初级生命</v>
      </c>
      <c r="H1400" s="17" t="str">
        <f>H1399</f>
        <v>icon_01</v>
      </c>
      <c r="I1400" s="20">
        <v>0</v>
      </c>
      <c r="J1400" s="17">
        <v>1</v>
      </c>
      <c r="K1400" s="17">
        <f t="shared" si="1093"/>
        <v>40002</v>
      </c>
      <c r="L1400" s="17" t="s">
        <v>44</v>
      </c>
      <c r="M1400" s="17">
        <f>M1399</f>
        <v>0</v>
      </c>
      <c r="N1400" s="16" t="str">
        <f t="shared" si="1063"/>
        <v>131:1</v>
      </c>
      <c r="O1400" s="17">
        <f t="shared" si="1073"/>
        <v>1</v>
      </c>
      <c r="P1400" s="21" t="str">
        <f>$S$1&amp;R1400&amp;$Q$1&amp;T1400</f>
        <v>所有飞兵生命增加:1</v>
      </c>
      <c r="Q1400" s="21"/>
      <c r="R1400" t="str">
        <f t="shared" ref="R1400:R1404" si="1119">R1399</f>
        <v>生命</v>
      </c>
      <c r="T1400" t="str">
        <f t="shared" si="1097"/>
        <v>:1</v>
      </c>
      <c r="U1400" t="str">
        <f t="shared" si="1056"/>
        <v>飞兵</v>
      </c>
      <c r="V1400" t="s">
        <v>4688</v>
      </c>
      <c r="W1400">
        <f>属性类型!G1400</f>
        <v>131</v>
      </c>
      <c r="X1400">
        <v>1</v>
      </c>
    </row>
    <row r="1401" customFormat="1" ht="16.5" spans="1:24">
      <c r="A1401" s="17">
        <f t="shared" si="1118"/>
        <v>40002</v>
      </c>
      <c r="B1401" s="17">
        <f t="shared" si="1078"/>
        <v>40000</v>
      </c>
      <c r="C1401" s="17" t="str">
        <f t="shared" si="1104"/>
        <v>4</v>
      </c>
      <c r="D1401" s="17">
        <f t="shared" ref="D1401:D1464" si="1120">$A$1399+F1401</f>
        <v>40001</v>
      </c>
      <c r="E1401" s="17">
        <v>1</v>
      </c>
      <c r="F1401" s="17">
        <f t="shared" si="1072"/>
        <v>1</v>
      </c>
      <c r="G1401" s="17" t="str">
        <f>G1400</f>
        <v>初级生命</v>
      </c>
      <c r="H1401" s="17" t="str">
        <f>H1400</f>
        <v>icon_01</v>
      </c>
      <c r="I1401" s="20">
        <v>0</v>
      </c>
      <c r="J1401" s="17">
        <v>2</v>
      </c>
      <c r="K1401" s="17">
        <f t="shared" si="1093"/>
        <v>40003</v>
      </c>
      <c r="L1401" s="17" t="s">
        <v>49</v>
      </c>
      <c r="M1401" s="17">
        <f>M1400</f>
        <v>0</v>
      </c>
      <c r="N1401" s="16" t="str">
        <f t="shared" si="1063"/>
        <v>131:1</v>
      </c>
      <c r="O1401" s="17">
        <f t="shared" si="1073"/>
        <v>1</v>
      </c>
      <c r="P1401" s="21" t="str">
        <f t="shared" ref="P1401:P1464" si="1121">$S$1&amp;R1401&amp;$Q$1&amp;T1401</f>
        <v>所有飞兵生命增加:1</v>
      </c>
      <c r="Q1401" s="21"/>
      <c r="R1401" t="str">
        <f t="shared" si="1119"/>
        <v>生命</v>
      </c>
      <c r="T1401" t="str">
        <f t="shared" si="1097"/>
        <v>:1</v>
      </c>
      <c r="U1401" t="str">
        <f t="shared" si="1056"/>
        <v>飞兵</v>
      </c>
      <c r="V1401" t="s">
        <v>4688</v>
      </c>
      <c r="W1401">
        <f>属性类型!G1401</f>
        <v>131</v>
      </c>
      <c r="X1401">
        <v>1</v>
      </c>
    </row>
    <row r="1402" customFormat="1" ht="16.5" spans="1:24">
      <c r="A1402" s="17">
        <f t="shared" si="1118"/>
        <v>40003</v>
      </c>
      <c r="B1402" s="17">
        <f t="shared" si="1078"/>
        <v>40000</v>
      </c>
      <c r="C1402" s="17" t="str">
        <f t="shared" si="1104"/>
        <v>4</v>
      </c>
      <c r="D1402" s="17">
        <f t="shared" si="1120"/>
        <v>40001</v>
      </c>
      <c r="E1402" s="17">
        <v>1</v>
      </c>
      <c r="F1402" s="17">
        <f t="shared" si="1072"/>
        <v>1</v>
      </c>
      <c r="G1402" s="17" t="str">
        <f>G1401</f>
        <v>初级生命</v>
      </c>
      <c r="H1402" s="17" t="str">
        <f>H1401</f>
        <v>icon_01</v>
      </c>
      <c r="I1402" s="20">
        <v>0</v>
      </c>
      <c r="J1402" s="17">
        <v>3</v>
      </c>
      <c r="K1402" s="17">
        <f t="shared" si="1093"/>
        <v>40004</v>
      </c>
      <c r="L1402" s="17" t="s">
        <v>53</v>
      </c>
      <c r="M1402" s="17">
        <f>M1401</f>
        <v>0</v>
      </c>
      <c r="N1402" s="16" t="str">
        <f t="shared" si="1063"/>
        <v>131:1</v>
      </c>
      <c r="O1402" s="17">
        <f t="shared" si="1073"/>
        <v>1</v>
      </c>
      <c r="P1402" s="21" t="str">
        <f t="shared" si="1121"/>
        <v>所有飞兵生命增加:1</v>
      </c>
      <c r="Q1402" s="21"/>
      <c r="R1402" t="str">
        <f t="shared" si="1119"/>
        <v>生命</v>
      </c>
      <c r="T1402" t="str">
        <f t="shared" si="1097"/>
        <v>:1</v>
      </c>
      <c r="U1402" t="str">
        <f t="shared" si="1056"/>
        <v>飞兵</v>
      </c>
      <c r="V1402" t="s">
        <v>4688</v>
      </c>
      <c r="W1402">
        <f>属性类型!G1402</f>
        <v>131</v>
      </c>
      <c r="X1402">
        <v>1</v>
      </c>
    </row>
    <row r="1403" customFormat="1" ht="16.5" spans="1:24">
      <c r="A1403" s="17">
        <f t="shared" si="1118"/>
        <v>40004</v>
      </c>
      <c r="B1403" s="17">
        <f t="shared" si="1078"/>
        <v>40000</v>
      </c>
      <c r="C1403" s="17" t="str">
        <f t="shared" si="1104"/>
        <v>4</v>
      </c>
      <c r="D1403" s="17">
        <f t="shared" si="1120"/>
        <v>40001</v>
      </c>
      <c r="E1403" s="17">
        <v>1</v>
      </c>
      <c r="F1403" s="17">
        <f t="shared" si="1072"/>
        <v>1</v>
      </c>
      <c r="G1403" s="17" t="str">
        <f>G1402</f>
        <v>初级生命</v>
      </c>
      <c r="H1403" s="17" t="str">
        <f>H1402</f>
        <v>icon_01</v>
      </c>
      <c r="I1403" s="20">
        <v>0</v>
      </c>
      <c r="J1403" s="17">
        <v>4</v>
      </c>
      <c r="K1403" s="17">
        <f t="shared" si="1093"/>
        <v>40005</v>
      </c>
      <c r="L1403" s="17" t="s">
        <v>57</v>
      </c>
      <c r="M1403" s="17">
        <f>M1402</f>
        <v>0</v>
      </c>
      <c r="N1403" s="16" t="str">
        <f t="shared" si="1063"/>
        <v>131:1</v>
      </c>
      <c r="O1403" s="17">
        <f t="shared" si="1073"/>
        <v>1</v>
      </c>
      <c r="P1403" s="21" t="str">
        <f t="shared" si="1121"/>
        <v>所有飞兵生命增加:1</v>
      </c>
      <c r="Q1403" s="21"/>
      <c r="R1403" t="str">
        <f t="shared" si="1119"/>
        <v>生命</v>
      </c>
      <c r="T1403" t="str">
        <f t="shared" si="1097"/>
        <v>:1</v>
      </c>
      <c r="U1403" t="str">
        <f t="shared" si="1056"/>
        <v>飞兵</v>
      </c>
      <c r="V1403" t="s">
        <v>4688</v>
      </c>
      <c r="W1403">
        <f>属性类型!G1403</f>
        <v>131</v>
      </c>
      <c r="X1403">
        <v>1</v>
      </c>
    </row>
    <row r="1404" customFormat="1" ht="16.5" spans="1:24">
      <c r="A1404" s="17">
        <f t="shared" si="1118"/>
        <v>40005</v>
      </c>
      <c r="B1404" s="17">
        <f t="shared" si="1078"/>
        <v>40000</v>
      </c>
      <c r="C1404" s="17" t="str">
        <f t="shared" si="1104"/>
        <v>4</v>
      </c>
      <c r="D1404" s="17">
        <f t="shared" si="1120"/>
        <v>40001</v>
      </c>
      <c r="E1404" s="17">
        <v>1</v>
      </c>
      <c r="F1404" s="17">
        <f t="shared" si="1072"/>
        <v>1</v>
      </c>
      <c r="G1404" s="17" t="str">
        <f>G1403</f>
        <v>初级生命</v>
      </c>
      <c r="H1404" s="17" t="str">
        <f>H1403</f>
        <v>icon_01</v>
      </c>
      <c r="I1404" s="20">
        <v>0</v>
      </c>
      <c r="J1404" s="17">
        <v>5</v>
      </c>
      <c r="K1404" s="17">
        <v>0</v>
      </c>
      <c r="L1404" s="17">
        <v>0</v>
      </c>
      <c r="M1404" s="17">
        <f>M1403</f>
        <v>0</v>
      </c>
      <c r="N1404" s="16" t="str">
        <f t="shared" si="1063"/>
        <v>131:1</v>
      </c>
      <c r="O1404" s="17">
        <f t="shared" si="1073"/>
        <v>1</v>
      </c>
      <c r="P1404" s="21" t="str">
        <f t="shared" si="1121"/>
        <v>所有飞兵生命增加:1</v>
      </c>
      <c r="Q1404" s="21"/>
      <c r="R1404" t="str">
        <f t="shared" si="1119"/>
        <v>生命</v>
      </c>
      <c r="T1404" t="str">
        <f t="shared" si="1097"/>
        <v>:1</v>
      </c>
      <c r="U1404" t="str">
        <f t="shared" si="1056"/>
        <v>飞兵</v>
      </c>
      <c r="V1404" t="s">
        <v>4688</v>
      </c>
      <c r="W1404">
        <f>属性类型!G1404</f>
        <v>131</v>
      </c>
      <c r="X1404">
        <v>1</v>
      </c>
    </row>
    <row r="1405" customFormat="1" ht="16.5" spans="1:24">
      <c r="A1405" s="18">
        <f>A1399+100</f>
        <v>40100</v>
      </c>
      <c r="B1405" s="18">
        <f t="shared" si="1078"/>
        <v>40100</v>
      </c>
      <c r="C1405" s="18" t="str">
        <f t="shared" si="1104"/>
        <v>4</v>
      </c>
      <c r="D1405" s="17">
        <f t="shared" si="1120"/>
        <v>40001</v>
      </c>
      <c r="E1405" s="17">
        <v>1</v>
      </c>
      <c r="F1405" s="18">
        <f t="shared" si="1072"/>
        <v>1</v>
      </c>
      <c r="G1405" s="18" t="s">
        <v>62</v>
      </c>
      <c r="H1405" s="18" t="s">
        <v>63</v>
      </c>
      <c r="I1405" s="20">
        <v>0</v>
      </c>
      <c r="J1405" s="18">
        <v>0</v>
      </c>
      <c r="K1405" s="18">
        <f t="shared" ref="K1405:K1409" si="1122">A1406</f>
        <v>40101</v>
      </c>
      <c r="L1405" s="18" t="s">
        <v>40</v>
      </c>
      <c r="M1405" s="18" t="s">
        <v>65</v>
      </c>
      <c r="N1405" s="16" t="str">
        <f t="shared" si="1063"/>
        <v>133:1</v>
      </c>
      <c r="O1405" s="18">
        <f t="shared" si="1073"/>
        <v>2</v>
      </c>
      <c r="P1405" s="21" t="str">
        <f t="shared" si="1121"/>
        <v>所有飞兵防御增加:1</v>
      </c>
      <c r="Q1405" s="21"/>
      <c r="R1405" t="s">
        <v>4272</v>
      </c>
      <c r="T1405" t="str">
        <f t="shared" si="1097"/>
        <v>:1</v>
      </c>
      <c r="U1405" t="str">
        <f t="shared" si="1056"/>
        <v>飞兵</v>
      </c>
      <c r="V1405" t="s">
        <v>4689</v>
      </c>
      <c r="W1405">
        <f>属性类型!G1405</f>
        <v>133</v>
      </c>
      <c r="X1405">
        <v>1</v>
      </c>
    </row>
    <row r="1406" customFormat="1" ht="16.5" spans="1:24">
      <c r="A1406" s="17">
        <f t="shared" ref="A1406:A1410" si="1123">A1405+1</f>
        <v>40101</v>
      </c>
      <c r="B1406" s="17">
        <f t="shared" si="1078"/>
        <v>40100</v>
      </c>
      <c r="C1406" s="17" t="str">
        <f t="shared" si="1104"/>
        <v>4</v>
      </c>
      <c r="D1406" s="17">
        <f t="shared" si="1120"/>
        <v>40001</v>
      </c>
      <c r="E1406" s="17">
        <v>1</v>
      </c>
      <c r="F1406" s="17">
        <f t="shared" si="1072"/>
        <v>1</v>
      </c>
      <c r="G1406" s="17" t="str">
        <f>G1405</f>
        <v>初级防御</v>
      </c>
      <c r="H1406" s="17" t="str">
        <f>H1405</f>
        <v>icon_02</v>
      </c>
      <c r="I1406" s="20">
        <v>0</v>
      </c>
      <c r="J1406" s="17">
        <v>1</v>
      </c>
      <c r="K1406" s="17">
        <f t="shared" si="1122"/>
        <v>40102</v>
      </c>
      <c r="L1406" s="17" t="s">
        <v>44</v>
      </c>
      <c r="M1406" s="17" t="str">
        <f>M1405</f>
        <v>1:10000:1</v>
      </c>
      <c r="N1406" s="16" t="str">
        <f t="shared" si="1063"/>
        <v>133:1</v>
      </c>
      <c r="O1406" s="17">
        <f t="shared" si="1073"/>
        <v>2</v>
      </c>
      <c r="P1406" s="21" t="str">
        <f t="shared" si="1121"/>
        <v>所有飞兵防御增加:1</v>
      </c>
      <c r="Q1406" s="21"/>
      <c r="R1406" t="str">
        <f t="shared" ref="R1406:R1410" si="1124">R1405</f>
        <v>防御</v>
      </c>
      <c r="T1406" t="str">
        <f t="shared" si="1097"/>
        <v>:1</v>
      </c>
      <c r="U1406" t="str">
        <f t="shared" si="1056"/>
        <v>飞兵</v>
      </c>
      <c r="V1406" t="s">
        <v>4689</v>
      </c>
      <c r="W1406">
        <f>属性类型!G1406</f>
        <v>133</v>
      </c>
      <c r="X1406">
        <v>1</v>
      </c>
    </row>
    <row r="1407" customFormat="1" ht="16.5" spans="1:24">
      <c r="A1407" s="17">
        <f t="shared" si="1123"/>
        <v>40102</v>
      </c>
      <c r="B1407" s="17">
        <f t="shared" si="1078"/>
        <v>40100</v>
      </c>
      <c r="C1407" s="17" t="str">
        <f t="shared" si="1104"/>
        <v>4</v>
      </c>
      <c r="D1407" s="17">
        <f t="shared" si="1120"/>
        <v>40001</v>
      </c>
      <c r="E1407" s="17">
        <v>1</v>
      </c>
      <c r="F1407" s="17">
        <f t="shared" si="1072"/>
        <v>1</v>
      </c>
      <c r="G1407" s="17" t="str">
        <f>G1406</f>
        <v>初级防御</v>
      </c>
      <c r="H1407" s="17" t="str">
        <f>H1406</f>
        <v>icon_02</v>
      </c>
      <c r="I1407" s="20">
        <v>0</v>
      </c>
      <c r="J1407" s="17">
        <v>2</v>
      </c>
      <c r="K1407" s="17">
        <f t="shared" si="1122"/>
        <v>40103</v>
      </c>
      <c r="L1407" s="17" t="s">
        <v>49</v>
      </c>
      <c r="M1407" s="17" t="str">
        <f>M1406</f>
        <v>1:10000:1</v>
      </c>
      <c r="N1407" s="16" t="str">
        <f t="shared" si="1063"/>
        <v>133:1</v>
      </c>
      <c r="O1407" s="17">
        <f t="shared" si="1073"/>
        <v>2</v>
      </c>
      <c r="P1407" s="21" t="str">
        <f t="shared" si="1121"/>
        <v>所有飞兵防御增加:1</v>
      </c>
      <c r="Q1407" s="21"/>
      <c r="R1407" t="str">
        <f t="shared" si="1124"/>
        <v>防御</v>
      </c>
      <c r="T1407" t="str">
        <f t="shared" si="1097"/>
        <v>:1</v>
      </c>
      <c r="U1407" t="str">
        <f t="shared" si="1056"/>
        <v>飞兵</v>
      </c>
      <c r="V1407" t="s">
        <v>4689</v>
      </c>
      <c r="W1407">
        <f>属性类型!G1407</f>
        <v>133</v>
      </c>
      <c r="X1407">
        <v>1</v>
      </c>
    </row>
    <row r="1408" customFormat="1" ht="16.5" spans="1:24">
      <c r="A1408" s="17">
        <f t="shared" si="1123"/>
        <v>40103</v>
      </c>
      <c r="B1408" s="17">
        <f t="shared" si="1078"/>
        <v>40100</v>
      </c>
      <c r="C1408" s="17" t="str">
        <f t="shared" si="1104"/>
        <v>4</v>
      </c>
      <c r="D1408" s="17">
        <f t="shared" si="1120"/>
        <v>40001</v>
      </c>
      <c r="E1408" s="17">
        <v>1</v>
      </c>
      <c r="F1408" s="17">
        <f t="shared" si="1072"/>
        <v>1</v>
      </c>
      <c r="G1408" s="17" t="str">
        <f>G1407</f>
        <v>初级防御</v>
      </c>
      <c r="H1408" s="17" t="str">
        <f>H1407</f>
        <v>icon_02</v>
      </c>
      <c r="I1408" s="20">
        <v>0</v>
      </c>
      <c r="J1408" s="17">
        <v>3</v>
      </c>
      <c r="K1408" s="17">
        <f t="shared" si="1122"/>
        <v>40104</v>
      </c>
      <c r="L1408" s="17" t="s">
        <v>53</v>
      </c>
      <c r="M1408" s="17" t="str">
        <f>M1407</f>
        <v>1:10000:1</v>
      </c>
      <c r="N1408" s="16" t="str">
        <f t="shared" si="1063"/>
        <v>133:1</v>
      </c>
      <c r="O1408" s="17">
        <f t="shared" si="1073"/>
        <v>2</v>
      </c>
      <c r="P1408" s="21" t="str">
        <f t="shared" si="1121"/>
        <v>所有飞兵防御增加:1</v>
      </c>
      <c r="Q1408" s="21"/>
      <c r="R1408" t="str">
        <f t="shared" si="1124"/>
        <v>防御</v>
      </c>
      <c r="T1408" t="str">
        <f t="shared" si="1097"/>
        <v>:1</v>
      </c>
      <c r="U1408" t="str">
        <f t="shared" si="1056"/>
        <v>飞兵</v>
      </c>
      <c r="V1408" t="s">
        <v>4689</v>
      </c>
      <c r="W1408">
        <f>属性类型!G1408</f>
        <v>133</v>
      </c>
      <c r="X1408">
        <v>1</v>
      </c>
    </row>
    <row r="1409" customFormat="1" ht="16.5" spans="1:24">
      <c r="A1409" s="17">
        <f t="shared" si="1123"/>
        <v>40104</v>
      </c>
      <c r="B1409" s="17">
        <f t="shared" si="1078"/>
        <v>40100</v>
      </c>
      <c r="C1409" s="17" t="str">
        <f t="shared" si="1104"/>
        <v>4</v>
      </c>
      <c r="D1409" s="17">
        <f t="shared" si="1120"/>
        <v>40001</v>
      </c>
      <c r="E1409" s="17">
        <v>1</v>
      </c>
      <c r="F1409" s="17">
        <f t="shared" si="1072"/>
        <v>1</v>
      </c>
      <c r="G1409" s="17" t="str">
        <f>G1408</f>
        <v>初级防御</v>
      </c>
      <c r="H1409" s="17" t="str">
        <f>H1408</f>
        <v>icon_02</v>
      </c>
      <c r="I1409" s="20">
        <v>0</v>
      </c>
      <c r="J1409" s="17">
        <v>4</v>
      </c>
      <c r="K1409" s="17">
        <f t="shared" si="1122"/>
        <v>40105</v>
      </c>
      <c r="L1409" s="17" t="s">
        <v>57</v>
      </c>
      <c r="M1409" s="17" t="str">
        <f>M1408</f>
        <v>1:10000:1</v>
      </c>
      <c r="N1409" s="16" t="str">
        <f t="shared" si="1063"/>
        <v>133:1</v>
      </c>
      <c r="O1409" s="17">
        <f t="shared" si="1073"/>
        <v>2</v>
      </c>
      <c r="P1409" s="21" t="str">
        <f t="shared" si="1121"/>
        <v>所有飞兵防御增加:1</v>
      </c>
      <c r="Q1409" s="21"/>
      <c r="R1409" t="str">
        <f t="shared" si="1124"/>
        <v>防御</v>
      </c>
      <c r="T1409" t="str">
        <f t="shared" si="1097"/>
        <v>:1</v>
      </c>
      <c r="U1409" t="str">
        <f t="shared" si="1056"/>
        <v>飞兵</v>
      </c>
      <c r="V1409" t="s">
        <v>4689</v>
      </c>
      <c r="W1409">
        <f>属性类型!G1409</f>
        <v>133</v>
      </c>
      <c r="X1409">
        <v>1</v>
      </c>
    </row>
    <row r="1410" customFormat="1" ht="16.5" spans="1:24">
      <c r="A1410" s="17">
        <f t="shared" si="1123"/>
        <v>40105</v>
      </c>
      <c r="B1410" s="17">
        <f t="shared" si="1078"/>
        <v>40100</v>
      </c>
      <c r="C1410" s="17" t="str">
        <f t="shared" si="1104"/>
        <v>4</v>
      </c>
      <c r="D1410" s="17">
        <f t="shared" si="1120"/>
        <v>40001</v>
      </c>
      <c r="E1410" s="17">
        <v>1</v>
      </c>
      <c r="F1410" s="17">
        <f t="shared" si="1072"/>
        <v>1</v>
      </c>
      <c r="G1410" s="17" t="str">
        <f>G1409</f>
        <v>初级防御</v>
      </c>
      <c r="H1410" s="17" t="str">
        <f>H1409</f>
        <v>icon_02</v>
      </c>
      <c r="I1410" s="20">
        <v>0</v>
      </c>
      <c r="J1410" s="17">
        <v>5</v>
      </c>
      <c r="K1410" s="17">
        <v>0</v>
      </c>
      <c r="L1410" s="17">
        <v>0</v>
      </c>
      <c r="M1410" s="17" t="str">
        <f>M1409</f>
        <v>1:10000:1</v>
      </c>
      <c r="N1410" s="16" t="str">
        <f t="shared" si="1063"/>
        <v>133:1</v>
      </c>
      <c r="O1410" s="17">
        <f t="shared" si="1073"/>
        <v>2</v>
      </c>
      <c r="P1410" s="21" t="str">
        <f t="shared" si="1121"/>
        <v>所有飞兵防御增加:1</v>
      </c>
      <c r="Q1410" s="21"/>
      <c r="R1410" t="str">
        <f t="shared" si="1124"/>
        <v>防御</v>
      </c>
      <c r="T1410" t="str">
        <f t="shared" si="1097"/>
        <v>:1</v>
      </c>
      <c r="U1410" t="str">
        <f t="shared" si="1056"/>
        <v>飞兵</v>
      </c>
      <c r="V1410" t="s">
        <v>4689</v>
      </c>
      <c r="W1410">
        <f>属性类型!G1410</f>
        <v>133</v>
      </c>
      <c r="X1410">
        <v>1</v>
      </c>
    </row>
    <row r="1411" customFormat="1" ht="16.5" spans="1:24">
      <c r="A1411" s="18">
        <f>A1405+100</f>
        <v>40200</v>
      </c>
      <c r="B1411" s="18">
        <f t="shared" si="1078"/>
        <v>40200</v>
      </c>
      <c r="C1411" s="18" t="str">
        <f t="shared" si="1104"/>
        <v>4</v>
      </c>
      <c r="D1411" s="17">
        <f t="shared" si="1120"/>
        <v>40001</v>
      </c>
      <c r="E1411" s="17">
        <v>1</v>
      </c>
      <c r="F1411" s="18">
        <f t="shared" si="1072"/>
        <v>1</v>
      </c>
      <c r="G1411" s="18" t="s">
        <v>79</v>
      </c>
      <c r="H1411" s="18" t="s">
        <v>80</v>
      </c>
      <c r="I1411" s="20">
        <v>0</v>
      </c>
      <c r="J1411" s="18">
        <v>0</v>
      </c>
      <c r="K1411" s="18">
        <f t="shared" ref="K1411:K1415" si="1125">A1412</f>
        <v>40201</v>
      </c>
      <c r="L1411" s="18" t="s">
        <v>40</v>
      </c>
      <c r="M1411" s="18" t="s">
        <v>65</v>
      </c>
      <c r="N1411" s="16" t="str">
        <f t="shared" si="1063"/>
        <v>132:1</v>
      </c>
      <c r="O1411" s="18">
        <f t="shared" si="1073"/>
        <v>3</v>
      </c>
      <c r="P1411" s="21" t="str">
        <f t="shared" si="1121"/>
        <v>所有飞兵攻击增加:1</v>
      </c>
      <c r="Q1411" s="21"/>
      <c r="R1411" t="s">
        <v>4274</v>
      </c>
      <c r="T1411" t="str">
        <f t="shared" si="1097"/>
        <v>:1</v>
      </c>
      <c r="U1411" t="str">
        <f t="shared" si="1056"/>
        <v>飞兵</v>
      </c>
      <c r="V1411" t="s">
        <v>4690</v>
      </c>
      <c r="W1411">
        <f>属性类型!G1411</f>
        <v>132</v>
      </c>
      <c r="X1411">
        <v>1</v>
      </c>
    </row>
    <row r="1412" customFormat="1" ht="16.5" spans="1:24">
      <c r="A1412" s="17">
        <f t="shared" ref="A1412:A1416" si="1126">A1411+1</f>
        <v>40201</v>
      </c>
      <c r="B1412" s="17">
        <f t="shared" si="1078"/>
        <v>40200</v>
      </c>
      <c r="C1412" s="17" t="str">
        <f t="shared" si="1104"/>
        <v>4</v>
      </c>
      <c r="D1412" s="17">
        <f t="shared" si="1120"/>
        <v>40001</v>
      </c>
      <c r="E1412" s="17">
        <v>1</v>
      </c>
      <c r="F1412" s="17">
        <f t="shared" si="1072"/>
        <v>1</v>
      </c>
      <c r="G1412" s="17" t="str">
        <f>G1411</f>
        <v>初级攻击</v>
      </c>
      <c r="H1412" s="17" t="str">
        <f>H1411</f>
        <v>icon_03</v>
      </c>
      <c r="I1412" s="20">
        <v>0</v>
      </c>
      <c r="J1412" s="17">
        <v>1</v>
      </c>
      <c r="K1412" s="17">
        <f t="shared" si="1125"/>
        <v>40202</v>
      </c>
      <c r="L1412" s="17" t="s">
        <v>44</v>
      </c>
      <c r="M1412" s="17" t="str">
        <f>M1411</f>
        <v>1:10000:1</v>
      </c>
      <c r="N1412" s="16" t="str">
        <f t="shared" si="1063"/>
        <v>132:1</v>
      </c>
      <c r="O1412" s="17">
        <f t="shared" si="1073"/>
        <v>3</v>
      </c>
      <c r="P1412" s="21" t="str">
        <f t="shared" si="1121"/>
        <v>所有飞兵攻击增加:1</v>
      </c>
      <c r="Q1412" s="21"/>
      <c r="R1412" t="str">
        <f t="shared" ref="R1412:R1416" si="1127">R1411</f>
        <v>攻击</v>
      </c>
      <c r="T1412" t="str">
        <f t="shared" si="1097"/>
        <v>:1</v>
      </c>
      <c r="U1412" t="str">
        <f t="shared" si="1056"/>
        <v>飞兵</v>
      </c>
      <c r="V1412" t="s">
        <v>4690</v>
      </c>
      <c r="W1412">
        <f>属性类型!G1412</f>
        <v>132</v>
      </c>
      <c r="X1412">
        <v>1</v>
      </c>
    </row>
    <row r="1413" customFormat="1" ht="16.5" spans="1:24">
      <c r="A1413" s="17">
        <f t="shared" si="1126"/>
        <v>40202</v>
      </c>
      <c r="B1413" s="17">
        <f t="shared" si="1078"/>
        <v>40200</v>
      </c>
      <c r="C1413" s="17" t="str">
        <f t="shared" si="1104"/>
        <v>4</v>
      </c>
      <c r="D1413" s="17">
        <f t="shared" si="1120"/>
        <v>40001</v>
      </c>
      <c r="E1413" s="17">
        <v>1</v>
      </c>
      <c r="F1413" s="17">
        <f t="shared" si="1072"/>
        <v>1</v>
      </c>
      <c r="G1413" s="17" t="str">
        <f>G1412</f>
        <v>初级攻击</v>
      </c>
      <c r="H1413" s="17" t="str">
        <f>H1412</f>
        <v>icon_03</v>
      </c>
      <c r="I1413" s="20">
        <v>0</v>
      </c>
      <c r="J1413" s="17">
        <v>2</v>
      </c>
      <c r="K1413" s="17">
        <f t="shared" si="1125"/>
        <v>40203</v>
      </c>
      <c r="L1413" s="17" t="s">
        <v>49</v>
      </c>
      <c r="M1413" s="17" t="str">
        <f>M1412</f>
        <v>1:10000:1</v>
      </c>
      <c r="N1413" s="16" t="str">
        <f t="shared" si="1063"/>
        <v>132:1</v>
      </c>
      <c r="O1413" s="17">
        <f t="shared" si="1073"/>
        <v>3</v>
      </c>
      <c r="P1413" s="21" t="str">
        <f t="shared" si="1121"/>
        <v>所有飞兵攻击增加:1</v>
      </c>
      <c r="Q1413" s="21"/>
      <c r="R1413" t="str">
        <f t="shared" si="1127"/>
        <v>攻击</v>
      </c>
      <c r="T1413" t="str">
        <f t="shared" si="1097"/>
        <v>:1</v>
      </c>
      <c r="U1413" t="str">
        <f t="shared" ref="U1413:U1476" si="1128">MID(P1413,3,2)</f>
        <v>飞兵</v>
      </c>
      <c r="V1413" t="s">
        <v>4690</v>
      </c>
      <c r="W1413">
        <f>属性类型!G1413</f>
        <v>132</v>
      </c>
      <c r="X1413">
        <v>1</v>
      </c>
    </row>
    <row r="1414" customFormat="1" ht="16.5" spans="1:24">
      <c r="A1414" s="17">
        <f t="shared" si="1126"/>
        <v>40203</v>
      </c>
      <c r="B1414" s="17">
        <f t="shared" si="1078"/>
        <v>40200</v>
      </c>
      <c r="C1414" s="17" t="str">
        <f t="shared" si="1104"/>
        <v>4</v>
      </c>
      <c r="D1414" s="17">
        <f t="shared" si="1120"/>
        <v>40001</v>
      </c>
      <c r="E1414" s="17">
        <v>1</v>
      </c>
      <c r="F1414" s="17">
        <f t="shared" si="1072"/>
        <v>1</v>
      </c>
      <c r="G1414" s="17" t="str">
        <f>G1413</f>
        <v>初级攻击</v>
      </c>
      <c r="H1414" s="17" t="str">
        <f>H1413</f>
        <v>icon_03</v>
      </c>
      <c r="I1414" s="20">
        <v>0</v>
      </c>
      <c r="J1414" s="17">
        <v>3</v>
      </c>
      <c r="K1414" s="17">
        <f t="shared" si="1125"/>
        <v>40204</v>
      </c>
      <c r="L1414" s="17" t="s">
        <v>53</v>
      </c>
      <c r="M1414" s="17" t="str">
        <f>M1413</f>
        <v>1:10000:1</v>
      </c>
      <c r="N1414" s="16" t="str">
        <f t="shared" si="1063"/>
        <v>132:1</v>
      </c>
      <c r="O1414" s="17">
        <f t="shared" si="1073"/>
        <v>3</v>
      </c>
      <c r="P1414" s="21" t="str">
        <f t="shared" si="1121"/>
        <v>所有飞兵攻击增加:1</v>
      </c>
      <c r="Q1414" s="21"/>
      <c r="R1414" t="str">
        <f t="shared" si="1127"/>
        <v>攻击</v>
      </c>
      <c r="T1414" t="str">
        <f t="shared" si="1097"/>
        <v>:1</v>
      </c>
      <c r="U1414" t="str">
        <f t="shared" si="1128"/>
        <v>飞兵</v>
      </c>
      <c r="V1414" t="s">
        <v>4690</v>
      </c>
      <c r="W1414">
        <f>属性类型!G1414</f>
        <v>132</v>
      </c>
      <c r="X1414">
        <v>1</v>
      </c>
    </row>
    <row r="1415" customFormat="1" ht="16.5" spans="1:24">
      <c r="A1415" s="17">
        <f t="shared" si="1126"/>
        <v>40204</v>
      </c>
      <c r="B1415" s="17">
        <f t="shared" si="1078"/>
        <v>40200</v>
      </c>
      <c r="C1415" s="17" t="str">
        <f t="shared" si="1104"/>
        <v>4</v>
      </c>
      <c r="D1415" s="17">
        <f t="shared" si="1120"/>
        <v>40001</v>
      </c>
      <c r="E1415" s="17">
        <v>1</v>
      </c>
      <c r="F1415" s="17">
        <f t="shared" si="1072"/>
        <v>1</v>
      </c>
      <c r="G1415" s="17" t="str">
        <f>G1414</f>
        <v>初级攻击</v>
      </c>
      <c r="H1415" s="17" t="str">
        <f>H1414</f>
        <v>icon_03</v>
      </c>
      <c r="I1415" s="20">
        <v>0</v>
      </c>
      <c r="J1415" s="17">
        <v>4</v>
      </c>
      <c r="K1415" s="17">
        <f t="shared" si="1125"/>
        <v>40205</v>
      </c>
      <c r="L1415" s="17" t="s">
        <v>57</v>
      </c>
      <c r="M1415" s="17" t="str">
        <f>M1414</f>
        <v>1:10000:1</v>
      </c>
      <c r="N1415" s="16" t="str">
        <f t="shared" si="1063"/>
        <v>132:1</v>
      </c>
      <c r="O1415" s="17">
        <f t="shared" si="1073"/>
        <v>3</v>
      </c>
      <c r="P1415" s="21" t="str">
        <f t="shared" si="1121"/>
        <v>所有飞兵攻击增加:1</v>
      </c>
      <c r="Q1415" s="21"/>
      <c r="R1415" t="str">
        <f t="shared" si="1127"/>
        <v>攻击</v>
      </c>
      <c r="T1415" t="str">
        <f t="shared" si="1097"/>
        <v>:1</v>
      </c>
      <c r="U1415" t="str">
        <f t="shared" si="1128"/>
        <v>飞兵</v>
      </c>
      <c r="V1415" t="s">
        <v>4690</v>
      </c>
      <c r="W1415">
        <f>属性类型!G1415</f>
        <v>132</v>
      </c>
      <c r="X1415">
        <v>1</v>
      </c>
    </row>
    <row r="1416" customFormat="1" ht="16.5" spans="1:24">
      <c r="A1416" s="17">
        <f t="shared" si="1126"/>
        <v>40205</v>
      </c>
      <c r="B1416" s="17">
        <f t="shared" si="1078"/>
        <v>40200</v>
      </c>
      <c r="C1416" s="17" t="str">
        <f t="shared" si="1104"/>
        <v>4</v>
      </c>
      <c r="D1416" s="17">
        <f t="shared" si="1120"/>
        <v>40001</v>
      </c>
      <c r="E1416" s="17">
        <v>1</v>
      </c>
      <c r="F1416" s="17">
        <f t="shared" si="1072"/>
        <v>1</v>
      </c>
      <c r="G1416" s="17" t="str">
        <f>G1415</f>
        <v>初级攻击</v>
      </c>
      <c r="H1416" s="17" t="str">
        <f>H1415</f>
        <v>icon_03</v>
      </c>
      <c r="I1416" s="20">
        <v>0</v>
      </c>
      <c r="J1416" s="17">
        <v>5</v>
      </c>
      <c r="K1416" s="17">
        <v>0</v>
      </c>
      <c r="L1416" s="17">
        <v>0</v>
      </c>
      <c r="M1416" s="17" t="str">
        <f>M1415</f>
        <v>1:10000:1</v>
      </c>
      <c r="N1416" s="16" t="str">
        <f t="shared" si="1063"/>
        <v>132:1</v>
      </c>
      <c r="O1416" s="17">
        <f t="shared" si="1073"/>
        <v>3</v>
      </c>
      <c r="P1416" s="21" t="str">
        <f t="shared" si="1121"/>
        <v>所有飞兵攻击增加:1</v>
      </c>
      <c r="Q1416" s="21"/>
      <c r="R1416" t="str">
        <f t="shared" si="1127"/>
        <v>攻击</v>
      </c>
      <c r="T1416" t="str">
        <f t="shared" si="1097"/>
        <v>:1</v>
      </c>
      <c r="U1416" t="str">
        <f t="shared" si="1128"/>
        <v>飞兵</v>
      </c>
      <c r="V1416" t="s">
        <v>4690</v>
      </c>
      <c r="W1416">
        <f>属性类型!G1416</f>
        <v>132</v>
      </c>
      <c r="X1416">
        <v>1</v>
      </c>
    </row>
    <row r="1417" customFormat="1" ht="16.5" spans="1:24">
      <c r="A1417" s="18">
        <f>A1411+100</f>
        <v>40300</v>
      </c>
      <c r="B1417" s="18">
        <f t="shared" si="1078"/>
        <v>40300</v>
      </c>
      <c r="C1417" s="18" t="str">
        <f t="shared" si="1104"/>
        <v>4</v>
      </c>
      <c r="D1417" s="17">
        <f t="shared" si="1120"/>
        <v>40001</v>
      </c>
      <c r="E1417" s="17">
        <v>1</v>
      </c>
      <c r="F1417" s="18">
        <f t="shared" si="1072"/>
        <v>1</v>
      </c>
      <c r="G1417" s="18" t="s">
        <v>95</v>
      </c>
      <c r="H1417" s="18" t="s">
        <v>96</v>
      </c>
      <c r="I1417" s="20">
        <v>0</v>
      </c>
      <c r="J1417" s="18">
        <v>0</v>
      </c>
      <c r="K1417" s="18">
        <f t="shared" ref="K1417:K1421" si="1129">A1418</f>
        <v>40301</v>
      </c>
      <c r="L1417" s="18" t="s">
        <v>40</v>
      </c>
      <c r="M1417" s="18" t="s">
        <v>65</v>
      </c>
      <c r="N1417" s="16" t="str">
        <f t="shared" si="1063"/>
        <v>134:1</v>
      </c>
      <c r="O1417" s="18">
        <f t="shared" si="1073"/>
        <v>4</v>
      </c>
      <c r="P1417" s="21" t="str">
        <f t="shared" si="1121"/>
        <v>所有飞兵魔防增加:1</v>
      </c>
      <c r="Q1417" s="21"/>
      <c r="R1417" t="s">
        <v>4276</v>
      </c>
      <c r="T1417" t="str">
        <f t="shared" si="1097"/>
        <v>:1</v>
      </c>
      <c r="U1417" t="str">
        <f t="shared" si="1128"/>
        <v>飞兵</v>
      </c>
      <c r="V1417" t="s">
        <v>4691</v>
      </c>
      <c r="W1417">
        <f>属性类型!G1417</f>
        <v>134</v>
      </c>
      <c r="X1417">
        <v>1</v>
      </c>
    </row>
    <row r="1418" customFormat="1" ht="16.5" spans="1:24">
      <c r="A1418" s="17">
        <f t="shared" ref="A1418:A1422" si="1130">A1417+1</f>
        <v>40301</v>
      </c>
      <c r="B1418" s="17">
        <f t="shared" si="1078"/>
        <v>40300</v>
      </c>
      <c r="C1418" s="17" t="str">
        <f t="shared" si="1104"/>
        <v>4</v>
      </c>
      <c r="D1418" s="17">
        <f t="shared" si="1120"/>
        <v>40001</v>
      </c>
      <c r="E1418" s="17">
        <v>1</v>
      </c>
      <c r="F1418" s="17">
        <f t="shared" si="1072"/>
        <v>1</v>
      </c>
      <c r="G1418" s="17" t="str">
        <f>G1417</f>
        <v>初级魔防</v>
      </c>
      <c r="H1418" s="17" t="str">
        <f>H1417</f>
        <v>icon_04</v>
      </c>
      <c r="I1418" s="20">
        <v>0</v>
      </c>
      <c r="J1418" s="17">
        <v>1</v>
      </c>
      <c r="K1418" s="17">
        <f t="shared" si="1129"/>
        <v>40302</v>
      </c>
      <c r="L1418" s="17" t="s">
        <v>44</v>
      </c>
      <c r="M1418" s="17" t="str">
        <f>M1417</f>
        <v>1:10000:1</v>
      </c>
      <c r="N1418" s="16" t="str">
        <f t="shared" si="1063"/>
        <v>134:1</v>
      </c>
      <c r="O1418" s="17">
        <f t="shared" si="1073"/>
        <v>4</v>
      </c>
      <c r="P1418" s="21" t="str">
        <f t="shared" si="1121"/>
        <v>所有飞兵魔防增加:1</v>
      </c>
      <c r="Q1418" s="21"/>
      <c r="R1418" t="str">
        <f t="shared" ref="R1418:R1422" si="1131">R1417</f>
        <v>魔防</v>
      </c>
      <c r="T1418" t="str">
        <f t="shared" si="1097"/>
        <v>:1</v>
      </c>
      <c r="U1418" t="str">
        <f t="shared" si="1128"/>
        <v>飞兵</v>
      </c>
      <c r="V1418" t="s">
        <v>4691</v>
      </c>
      <c r="W1418">
        <f>属性类型!G1418</f>
        <v>134</v>
      </c>
      <c r="X1418">
        <v>1</v>
      </c>
    </row>
    <row r="1419" customFormat="1" ht="16.5" spans="1:24">
      <c r="A1419" s="17">
        <f t="shared" si="1130"/>
        <v>40302</v>
      </c>
      <c r="B1419" s="17">
        <f t="shared" si="1078"/>
        <v>40300</v>
      </c>
      <c r="C1419" s="17" t="str">
        <f t="shared" si="1104"/>
        <v>4</v>
      </c>
      <c r="D1419" s="17">
        <f t="shared" si="1120"/>
        <v>40001</v>
      </c>
      <c r="E1419" s="17">
        <v>1</v>
      </c>
      <c r="F1419" s="17">
        <f t="shared" si="1072"/>
        <v>1</v>
      </c>
      <c r="G1419" s="17" t="str">
        <f>G1418</f>
        <v>初级魔防</v>
      </c>
      <c r="H1419" s="17" t="str">
        <f>H1418</f>
        <v>icon_04</v>
      </c>
      <c r="I1419" s="20">
        <v>0</v>
      </c>
      <c r="J1419" s="17">
        <v>2</v>
      </c>
      <c r="K1419" s="17">
        <f t="shared" si="1129"/>
        <v>40303</v>
      </c>
      <c r="L1419" s="17" t="s">
        <v>49</v>
      </c>
      <c r="M1419" s="17" t="str">
        <f>M1418</f>
        <v>1:10000:1</v>
      </c>
      <c r="N1419" s="16" t="str">
        <f t="shared" ref="N1419:N1482" si="1132">W1419&amp;$W$2&amp;X1419</f>
        <v>134:1</v>
      </c>
      <c r="O1419" s="17">
        <f t="shared" si="1073"/>
        <v>4</v>
      </c>
      <c r="P1419" s="21" t="str">
        <f t="shared" si="1121"/>
        <v>所有飞兵魔防增加:1</v>
      </c>
      <c r="Q1419" s="21"/>
      <c r="R1419" t="str">
        <f t="shared" si="1131"/>
        <v>魔防</v>
      </c>
      <c r="T1419" t="str">
        <f t="shared" si="1097"/>
        <v>:1</v>
      </c>
      <c r="U1419" t="str">
        <f t="shared" si="1128"/>
        <v>飞兵</v>
      </c>
      <c r="V1419" t="s">
        <v>4691</v>
      </c>
      <c r="W1419">
        <f>属性类型!G1419</f>
        <v>134</v>
      </c>
      <c r="X1419">
        <v>1</v>
      </c>
    </row>
    <row r="1420" customFormat="1" ht="16.5" spans="1:24">
      <c r="A1420" s="17">
        <f t="shared" si="1130"/>
        <v>40303</v>
      </c>
      <c r="B1420" s="17">
        <f t="shared" si="1078"/>
        <v>40300</v>
      </c>
      <c r="C1420" s="17" t="str">
        <f t="shared" si="1104"/>
        <v>4</v>
      </c>
      <c r="D1420" s="17">
        <f t="shared" si="1120"/>
        <v>40001</v>
      </c>
      <c r="E1420" s="17">
        <v>1</v>
      </c>
      <c r="F1420" s="17">
        <f t="shared" si="1072"/>
        <v>1</v>
      </c>
      <c r="G1420" s="17" t="str">
        <f>G1419</f>
        <v>初级魔防</v>
      </c>
      <c r="H1420" s="17" t="str">
        <f>H1419</f>
        <v>icon_04</v>
      </c>
      <c r="I1420" s="20">
        <v>0</v>
      </c>
      <c r="J1420" s="17">
        <v>3</v>
      </c>
      <c r="K1420" s="17">
        <f t="shared" si="1129"/>
        <v>40304</v>
      </c>
      <c r="L1420" s="17" t="s">
        <v>53</v>
      </c>
      <c r="M1420" s="17" t="str">
        <f>M1419</f>
        <v>1:10000:1</v>
      </c>
      <c r="N1420" s="16" t="str">
        <f t="shared" si="1132"/>
        <v>134:1</v>
      </c>
      <c r="O1420" s="17">
        <f t="shared" si="1073"/>
        <v>4</v>
      </c>
      <c r="P1420" s="21" t="str">
        <f t="shared" si="1121"/>
        <v>所有飞兵魔防增加:1</v>
      </c>
      <c r="Q1420" s="21"/>
      <c r="R1420" t="str">
        <f t="shared" si="1131"/>
        <v>魔防</v>
      </c>
      <c r="T1420" t="str">
        <f t="shared" si="1097"/>
        <v>:1</v>
      </c>
      <c r="U1420" t="str">
        <f t="shared" si="1128"/>
        <v>飞兵</v>
      </c>
      <c r="V1420" t="s">
        <v>4691</v>
      </c>
      <c r="W1420">
        <f>属性类型!G1420</f>
        <v>134</v>
      </c>
      <c r="X1420">
        <v>1</v>
      </c>
    </row>
    <row r="1421" customFormat="1" ht="16.5" spans="1:24">
      <c r="A1421" s="17">
        <f t="shared" si="1130"/>
        <v>40304</v>
      </c>
      <c r="B1421" s="17">
        <f t="shared" si="1078"/>
        <v>40300</v>
      </c>
      <c r="C1421" s="17" t="str">
        <f t="shared" si="1104"/>
        <v>4</v>
      </c>
      <c r="D1421" s="17">
        <f t="shared" si="1120"/>
        <v>40001</v>
      </c>
      <c r="E1421" s="17">
        <v>1</v>
      </c>
      <c r="F1421" s="17">
        <f t="shared" si="1072"/>
        <v>1</v>
      </c>
      <c r="G1421" s="17" t="str">
        <f>G1420</f>
        <v>初级魔防</v>
      </c>
      <c r="H1421" s="17" t="str">
        <f>H1420</f>
        <v>icon_04</v>
      </c>
      <c r="I1421" s="20">
        <v>0</v>
      </c>
      <c r="J1421" s="17">
        <v>4</v>
      </c>
      <c r="K1421" s="17">
        <f t="shared" si="1129"/>
        <v>40305</v>
      </c>
      <c r="L1421" s="17" t="s">
        <v>57</v>
      </c>
      <c r="M1421" s="17" t="str">
        <f>M1420</f>
        <v>1:10000:1</v>
      </c>
      <c r="N1421" s="16" t="str">
        <f t="shared" si="1132"/>
        <v>134:1</v>
      </c>
      <c r="O1421" s="17">
        <f t="shared" si="1073"/>
        <v>4</v>
      </c>
      <c r="P1421" s="21" t="str">
        <f t="shared" si="1121"/>
        <v>所有飞兵魔防增加:1</v>
      </c>
      <c r="Q1421" s="21"/>
      <c r="R1421" t="str">
        <f t="shared" si="1131"/>
        <v>魔防</v>
      </c>
      <c r="T1421" t="str">
        <f t="shared" si="1097"/>
        <v>:1</v>
      </c>
      <c r="U1421" t="str">
        <f t="shared" si="1128"/>
        <v>飞兵</v>
      </c>
      <c r="V1421" t="s">
        <v>4691</v>
      </c>
      <c r="W1421">
        <f>属性类型!G1421</f>
        <v>134</v>
      </c>
      <c r="X1421">
        <v>1</v>
      </c>
    </row>
    <row r="1422" customFormat="1" ht="16.5" spans="1:24">
      <c r="A1422" s="17">
        <f t="shared" si="1130"/>
        <v>40305</v>
      </c>
      <c r="B1422" s="17">
        <f t="shared" si="1078"/>
        <v>40300</v>
      </c>
      <c r="C1422" s="17" t="str">
        <f t="shared" si="1104"/>
        <v>4</v>
      </c>
      <c r="D1422" s="17">
        <f t="shared" si="1120"/>
        <v>40001</v>
      </c>
      <c r="E1422" s="17">
        <v>1</v>
      </c>
      <c r="F1422" s="17">
        <f t="shared" si="1072"/>
        <v>1</v>
      </c>
      <c r="G1422" s="17" t="str">
        <f>G1421</f>
        <v>初级魔防</v>
      </c>
      <c r="H1422" s="17" t="str">
        <f>H1421</f>
        <v>icon_04</v>
      </c>
      <c r="I1422" s="20">
        <v>0</v>
      </c>
      <c r="J1422" s="17">
        <v>5</v>
      </c>
      <c r="K1422" s="17">
        <v>0</v>
      </c>
      <c r="L1422" s="17">
        <v>0</v>
      </c>
      <c r="M1422" s="17" t="str">
        <f>M1421</f>
        <v>1:10000:1</v>
      </c>
      <c r="N1422" s="16" t="str">
        <f t="shared" si="1132"/>
        <v>134:1</v>
      </c>
      <c r="O1422" s="17">
        <f t="shared" si="1073"/>
        <v>4</v>
      </c>
      <c r="P1422" s="21" t="str">
        <f t="shared" si="1121"/>
        <v>所有飞兵魔防增加:1</v>
      </c>
      <c r="Q1422" s="21"/>
      <c r="R1422" t="str">
        <f t="shared" si="1131"/>
        <v>魔防</v>
      </c>
      <c r="T1422" t="str">
        <f t="shared" si="1097"/>
        <v>:1</v>
      </c>
      <c r="U1422" t="str">
        <f t="shared" si="1128"/>
        <v>飞兵</v>
      </c>
      <c r="V1422" t="s">
        <v>4691</v>
      </c>
      <c r="W1422">
        <f>属性类型!G1422</f>
        <v>134</v>
      </c>
      <c r="X1422">
        <v>1</v>
      </c>
    </row>
    <row r="1423" customFormat="1" ht="16.5" spans="1:24">
      <c r="A1423" s="18">
        <f>A1417+100</f>
        <v>40400</v>
      </c>
      <c r="B1423" s="18">
        <f t="shared" si="1078"/>
        <v>40400</v>
      </c>
      <c r="C1423" s="18" t="str">
        <f t="shared" si="1104"/>
        <v>4</v>
      </c>
      <c r="D1423" s="17">
        <f t="shared" si="1120"/>
        <v>40001</v>
      </c>
      <c r="E1423" s="17">
        <v>1</v>
      </c>
      <c r="F1423" s="18">
        <f t="shared" si="1072"/>
        <v>1</v>
      </c>
      <c r="G1423" s="18" t="s">
        <v>111</v>
      </c>
      <c r="H1423" s="18" t="s">
        <v>112</v>
      </c>
      <c r="I1423" s="20">
        <v>0</v>
      </c>
      <c r="J1423" s="18">
        <v>0</v>
      </c>
      <c r="K1423" s="18">
        <f t="shared" ref="K1423:K1432" si="1133">A1424</f>
        <v>40401</v>
      </c>
      <c r="L1423" s="18" t="s">
        <v>40</v>
      </c>
      <c r="M1423" s="18" t="s">
        <v>114</v>
      </c>
      <c r="N1423" s="16" t="str">
        <f t="shared" si="1132"/>
        <v>138:1</v>
      </c>
      <c r="O1423" s="18">
        <f t="shared" si="1073"/>
        <v>5</v>
      </c>
      <c r="P1423" s="21" t="str">
        <f t="shared" si="1121"/>
        <v>所有飞兵防御百分比增加1</v>
      </c>
      <c r="Q1423" s="21"/>
      <c r="R1423" t="s">
        <v>4278</v>
      </c>
      <c r="T1423" t="str">
        <f>RIGHT(N1423,1)</f>
        <v>1</v>
      </c>
      <c r="U1423" t="str">
        <f t="shared" si="1128"/>
        <v>飞兵</v>
      </c>
      <c r="V1423" t="s">
        <v>4692</v>
      </c>
      <c r="W1423">
        <f>属性类型!G1423</f>
        <v>138</v>
      </c>
      <c r="X1423">
        <v>1</v>
      </c>
    </row>
    <row r="1424" customFormat="1" ht="16.5" spans="1:24">
      <c r="A1424" s="17">
        <f t="shared" ref="A1424:A1433" si="1134">A1423+1</f>
        <v>40401</v>
      </c>
      <c r="B1424" s="17">
        <f t="shared" si="1078"/>
        <v>40400</v>
      </c>
      <c r="C1424" s="17" t="str">
        <f t="shared" si="1104"/>
        <v>4</v>
      </c>
      <c r="D1424" s="17">
        <f t="shared" si="1120"/>
        <v>40001</v>
      </c>
      <c r="E1424" s="17">
        <v>1</v>
      </c>
      <c r="F1424" s="17">
        <f t="shared" ref="F1424:F1487" si="1135">MID(B1424,2,1)+1</f>
        <v>1</v>
      </c>
      <c r="G1424" s="17" t="str">
        <f t="shared" ref="G1424:G1433" si="1136">G1423</f>
        <v>初级防御百分比</v>
      </c>
      <c r="H1424" s="17" t="str">
        <f t="shared" ref="H1424:H1433" si="1137">H1423</f>
        <v>icon_05</v>
      </c>
      <c r="I1424" s="20">
        <v>0</v>
      </c>
      <c r="J1424" s="17">
        <v>1</v>
      </c>
      <c r="K1424" s="17">
        <f t="shared" si="1133"/>
        <v>40402</v>
      </c>
      <c r="L1424" s="17" t="s">
        <v>44</v>
      </c>
      <c r="M1424" s="17" t="str">
        <f t="shared" ref="M1424:M1433" si="1138">M1423</f>
        <v>1:10100:5</v>
      </c>
      <c r="N1424" s="16" t="str">
        <f t="shared" si="1132"/>
        <v>138:1</v>
      </c>
      <c r="O1424" s="17">
        <f t="shared" ref="O1424:O1487" si="1139">MID(A1424,3,1)+1</f>
        <v>5</v>
      </c>
      <c r="P1424" s="21" t="str">
        <f t="shared" si="1121"/>
        <v>所有飞兵防御百分比增加:1</v>
      </c>
      <c r="Q1424" s="21"/>
      <c r="R1424" t="str">
        <f t="shared" ref="R1424:R1433" si="1140">R1423</f>
        <v>防御百分比</v>
      </c>
      <c r="T1424" t="str">
        <f t="shared" ref="T1424:T1433" si="1141">RIGHT(N1424,2)</f>
        <v>:1</v>
      </c>
      <c r="U1424" t="str">
        <f t="shared" si="1128"/>
        <v>飞兵</v>
      </c>
      <c r="V1424" t="s">
        <v>4692</v>
      </c>
      <c r="W1424">
        <f>属性类型!G1424</f>
        <v>138</v>
      </c>
      <c r="X1424">
        <v>1</v>
      </c>
    </row>
    <row r="1425" customFormat="1" ht="16.5" spans="1:24">
      <c r="A1425" s="17">
        <f t="shared" si="1134"/>
        <v>40402</v>
      </c>
      <c r="B1425" s="17">
        <f t="shared" si="1078"/>
        <v>40400</v>
      </c>
      <c r="C1425" s="17" t="str">
        <f t="shared" si="1104"/>
        <v>4</v>
      </c>
      <c r="D1425" s="17">
        <f t="shared" si="1120"/>
        <v>40001</v>
      </c>
      <c r="E1425" s="17">
        <v>1</v>
      </c>
      <c r="F1425" s="17">
        <f t="shared" si="1135"/>
        <v>1</v>
      </c>
      <c r="G1425" s="17" t="str">
        <f t="shared" si="1136"/>
        <v>初级防御百分比</v>
      </c>
      <c r="H1425" s="17" t="str">
        <f t="shared" si="1137"/>
        <v>icon_05</v>
      </c>
      <c r="I1425" s="20">
        <v>0</v>
      </c>
      <c r="J1425" s="17">
        <v>2</v>
      </c>
      <c r="K1425" s="17">
        <f t="shared" si="1133"/>
        <v>40403</v>
      </c>
      <c r="L1425" s="17" t="s">
        <v>49</v>
      </c>
      <c r="M1425" s="17" t="str">
        <f t="shared" si="1138"/>
        <v>1:10100:5</v>
      </c>
      <c r="N1425" s="16" t="str">
        <f t="shared" si="1132"/>
        <v>138:1</v>
      </c>
      <c r="O1425" s="17">
        <f t="shared" si="1139"/>
        <v>5</v>
      </c>
      <c r="P1425" s="21" t="str">
        <f t="shared" si="1121"/>
        <v>所有飞兵防御百分比增加:1</v>
      </c>
      <c r="Q1425" s="21"/>
      <c r="R1425" t="str">
        <f t="shared" si="1140"/>
        <v>防御百分比</v>
      </c>
      <c r="T1425" t="str">
        <f t="shared" si="1141"/>
        <v>:1</v>
      </c>
      <c r="U1425" t="str">
        <f t="shared" si="1128"/>
        <v>飞兵</v>
      </c>
      <c r="V1425" t="s">
        <v>4692</v>
      </c>
      <c r="W1425">
        <f>属性类型!G1425</f>
        <v>138</v>
      </c>
      <c r="X1425">
        <v>1</v>
      </c>
    </row>
    <row r="1426" customFormat="1" ht="16.5" spans="1:24">
      <c r="A1426" s="17">
        <f t="shared" si="1134"/>
        <v>40403</v>
      </c>
      <c r="B1426" s="17">
        <f t="shared" si="1078"/>
        <v>40400</v>
      </c>
      <c r="C1426" s="17" t="str">
        <f t="shared" si="1104"/>
        <v>4</v>
      </c>
      <c r="D1426" s="17">
        <f t="shared" si="1120"/>
        <v>40001</v>
      </c>
      <c r="E1426" s="17">
        <v>1</v>
      </c>
      <c r="F1426" s="17">
        <f t="shared" si="1135"/>
        <v>1</v>
      </c>
      <c r="G1426" s="17" t="str">
        <f t="shared" si="1136"/>
        <v>初级防御百分比</v>
      </c>
      <c r="H1426" s="17" t="str">
        <f t="shared" si="1137"/>
        <v>icon_05</v>
      </c>
      <c r="I1426" s="20">
        <v>0</v>
      </c>
      <c r="J1426" s="17">
        <v>3</v>
      </c>
      <c r="K1426" s="17">
        <f t="shared" si="1133"/>
        <v>40404</v>
      </c>
      <c r="L1426" s="17" t="s">
        <v>53</v>
      </c>
      <c r="M1426" s="17" t="str">
        <f t="shared" si="1138"/>
        <v>1:10100:5</v>
      </c>
      <c r="N1426" s="16" t="str">
        <f t="shared" si="1132"/>
        <v>138:1</v>
      </c>
      <c r="O1426" s="17">
        <f t="shared" si="1139"/>
        <v>5</v>
      </c>
      <c r="P1426" s="21" t="str">
        <f t="shared" si="1121"/>
        <v>所有飞兵防御百分比增加:1</v>
      </c>
      <c r="Q1426" s="21"/>
      <c r="R1426" t="str">
        <f t="shared" si="1140"/>
        <v>防御百分比</v>
      </c>
      <c r="T1426" t="str">
        <f t="shared" si="1141"/>
        <v>:1</v>
      </c>
      <c r="U1426" t="str">
        <f t="shared" si="1128"/>
        <v>飞兵</v>
      </c>
      <c r="V1426" t="s">
        <v>4692</v>
      </c>
      <c r="W1426">
        <f>属性类型!G1426</f>
        <v>138</v>
      </c>
      <c r="X1426">
        <v>1</v>
      </c>
    </row>
    <row r="1427" customFormat="1" ht="16.5" spans="1:24">
      <c r="A1427" s="17">
        <f t="shared" si="1134"/>
        <v>40404</v>
      </c>
      <c r="B1427" s="17">
        <f t="shared" si="1078"/>
        <v>40400</v>
      </c>
      <c r="C1427" s="17" t="str">
        <f t="shared" si="1104"/>
        <v>4</v>
      </c>
      <c r="D1427" s="17">
        <f t="shared" si="1120"/>
        <v>40001</v>
      </c>
      <c r="E1427" s="17">
        <v>1</v>
      </c>
      <c r="F1427" s="17">
        <f t="shared" si="1135"/>
        <v>1</v>
      </c>
      <c r="G1427" s="17" t="str">
        <f t="shared" si="1136"/>
        <v>初级防御百分比</v>
      </c>
      <c r="H1427" s="17" t="str">
        <f t="shared" si="1137"/>
        <v>icon_05</v>
      </c>
      <c r="I1427" s="20">
        <v>0</v>
      </c>
      <c r="J1427" s="17">
        <v>4</v>
      </c>
      <c r="K1427" s="17">
        <f t="shared" si="1133"/>
        <v>40405</v>
      </c>
      <c r="L1427" s="17" t="s">
        <v>57</v>
      </c>
      <c r="M1427" s="17" t="str">
        <f t="shared" si="1138"/>
        <v>1:10100:5</v>
      </c>
      <c r="N1427" s="16" t="str">
        <f t="shared" si="1132"/>
        <v>138:1</v>
      </c>
      <c r="O1427" s="17">
        <f t="shared" si="1139"/>
        <v>5</v>
      </c>
      <c r="P1427" s="21" t="str">
        <f t="shared" si="1121"/>
        <v>所有飞兵防御百分比增加:1</v>
      </c>
      <c r="Q1427" s="21"/>
      <c r="R1427" t="str">
        <f t="shared" si="1140"/>
        <v>防御百分比</v>
      </c>
      <c r="T1427" t="str">
        <f t="shared" si="1141"/>
        <v>:1</v>
      </c>
      <c r="U1427" t="str">
        <f t="shared" si="1128"/>
        <v>飞兵</v>
      </c>
      <c r="V1427" t="s">
        <v>4692</v>
      </c>
      <c r="W1427">
        <f>属性类型!G1427</f>
        <v>138</v>
      </c>
      <c r="X1427">
        <v>1</v>
      </c>
    </row>
    <row r="1428" customFormat="1" ht="16.5" spans="1:24">
      <c r="A1428" s="17">
        <f t="shared" si="1134"/>
        <v>40405</v>
      </c>
      <c r="B1428" s="17">
        <f t="shared" si="1078"/>
        <v>40400</v>
      </c>
      <c r="C1428" s="17" t="str">
        <f t="shared" si="1104"/>
        <v>4</v>
      </c>
      <c r="D1428" s="17">
        <f t="shared" si="1120"/>
        <v>40001</v>
      </c>
      <c r="E1428" s="17">
        <v>1</v>
      </c>
      <c r="F1428" s="17">
        <f t="shared" si="1135"/>
        <v>1</v>
      </c>
      <c r="G1428" s="17" t="str">
        <f t="shared" si="1136"/>
        <v>初级防御百分比</v>
      </c>
      <c r="H1428" s="17" t="str">
        <f t="shared" si="1137"/>
        <v>icon_05</v>
      </c>
      <c r="I1428" s="20">
        <v>0</v>
      </c>
      <c r="J1428" s="17">
        <v>5</v>
      </c>
      <c r="K1428" s="17">
        <f t="shared" si="1133"/>
        <v>40406</v>
      </c>
      <c r="L1428" s="17" t="s">
        <v>127</v>
      </c>
      <c r="M1428" s="17" t="str">
        <f t="shared" si="1138"/>
        <v>1:10100:5</v>
      </c>
      <c r="N1428" s="16" t="str">
        <f t="shared" si="1132"/>
        <v>138:1</v>
      </c>
      <c r="O1428" s="17">
        <f t="shared" si="1139"/>
        <v>5</v>
      </c>
      <c r="P1428" s="21" t="str">
        <f t="shared" si="1121"/>
        <v>所有飞兵防御百分比增加:1</v>
      </c>
      <c r="Q1428" s="21"/>
      <c r="R1428" t="str">
        <f t="shared" si="1140"/>
        <v>防御百分比</v>
      </c>
      <c r="T1428" t="str">
        <f t="shared" si="1141"/>
        <v>:1</v>
      </c>
      <c r="U1428" t="str">
        <f t="shared" si="1128"/>
        <v>飞兵</v>
      </c>
      <c r="V1428" t="s">
        <v>4692</v>
      </c>
      <c r="W1428">
        <f>属性类型!G1428</f>
        <v>138</v>
      </c>
      <c r="X1428">
        <v>1</v>
      </c>
    </row>
    <row r="1429" customFormat="1" ht="16.5" spans="1:24">
      <c r="A1429" s="17">
        <f t="shared" si="1134"/>
        <v>40406</v>
      </c>
      <c r="B1429" s="17">
        <f t="shared" ref="B1429:B1492" si="1142">ROUND(A1429,-2)</f>
        <v>40400</v>
      </c>
      <c r="C1429" s="17" t="str">
        <f t="shared" si="1104"/>
        <v>4</v>
      </c>
      <c r="D1429" s="17">
        <f t="shared" si="1120"/>
        <v>40001</v>
      </c>
      <c r="E1429" s="17">
        <v>1</v>
      </c>
      <c r="F1429" s="17">
        <f t="shared" si="1135"/>
        <v>1</v>
      </c>
      <c r="G1429" s="17" t="str">
        <f t="shared" si="1136"/>
        <v>初级防御百分比</v>
      </c>
      <c r="H1429" s="17" t="str">
        <f t="shared" si="1137"/>
        <v>icon_05</v>
      </c>
      <c r="I1429" s="20">
        <v>0</v>
      </c>
      <c r="J1429" s="17">
        <v>6</v>
      </c>
      <c r="K1429" s="17">
        <f t="shared" si="1133"/>
        <v>40407</v>
      </c>
      <c r="L1429" s="17" t="s">
        <v>131</v>
      </c>
      <c r="M1429" s="17" t="str">
        <f t="shared" si="1138"/>
        <v>1:10100:5</v>
      </c>
      <c r="N1429" s="16" t="str">
        <f t="shared" si="1132"/>
        <v>138:1</v>
      </c>
      <c r="O1429" s="17">
        <f t="shared" si="1139"/>
        <v>5</v>
      </c>
      <c r="P1429" s="21" t="str">
        <f t="shared" si="1121"/>
        <v>所有飞兵防御百分比增加:1</v>
      </c>
      <c r="Q1429" s="21"/>
      <c r="R1429" t="str">
        <f t="shared" si="1140"/>
        <v>防御百分比</v>
      </c>
      <c r="T1429" t="str">
        <f t="shared" si="1141"/>
        <v>:1</v>
      </c>
      <c r="U1429" t="str">
        <f t="shared" si="1128"/>
        <v>飞兵</v>
      </c>
      <c r="V1429" t="s">
        <v>4692</v>
      </c>
      <c r="W1429">
        <f>属性类型!G1429</f>
        <v>138</v>
      </c>
      <c r="X1429">
        <v>1</v>
      </c>
    </row>
    <row r="1430" customFormat="1" ht="16.5" spans="1:24">
      <c r="A1430" s="17">
        <f t="shared" si="1134"/>
        <v>40407</v>
      </c>
      <c r="B1430" s="17">
        <f t="shared" si="1142"/>
        <v>40400</v>
      </c>
      <c r="C1430" s="17" t="str">
        <f t="shared" si="1104"/>
        <v>4</v>
      </c>
      <c r="D1430" s="17">
        <f t="shared" si="1120"/>
        <v>40001</v>
      </c>
      <c r="E1430" s="17">
        <v>1</v>
      </c>
      <c r="F1430" s="17">
        <f t="shared" si="1135"/>
        <v>1</v>
      </c>
      <c r="G1430" s="17" t="str">
        <f t="shared" si="1136"/>
        <v>初级防御百分比</v>
      </c>
      <c r="H1430" s="17" t="str">
        <f t="shared" si="1137"/>
        <v>icon_05</v>
      </c>
      <c r="I1430" s="20">
        <v>0</v>
      </c>
      <c r="J1430" s="17">
        <v>7</v>
      </c>
      <c r="K1430" s="17">
        <f t="shared" si="1133"/>
        <v>40408</v>
      </c>
      <c r="L1430" s="17" t="s">
        <v>135</v>
      </c>
      <c r="M1430" s="17" t="str">
        <f t="shared" si="1138"/>
        <v>1:10100:5</v>
      </c>
      <c r="N1430" s="16" t="str">
        <f t="shared" si="1132"/>
        <v>138:1</v>
      </c>
      <c r="O1430" s="17">
        <f t="shared" si="1139"/>
        <v>5</v>
      </c>
      <c r="P1430" s="21" t="str">
        <f t="shared" si="1121"/>
        <v>所有飞兵防御百分比增加:1</v>
      </c>
      <c r="Q1430" s="21"/>
      <c r="R1430" t="str">
        <f t="shared" si="1140"/>
        <v>防御百分比</v>
      </c>
      <c r="T1430" t="str">
        <f t="shared" si="1141"/>
        <v>:1</v>
      </c>
      <c r="U1430" t="str">
        <f t="shared" si="1128"/>
        <v>飞兵</v>
      </c>
      <c r="V1430" t="s">
        <v>4692</v>
      </c>
      <c r="W1430">
        <f>属性类型!G1430</f>
        <v>138</v>
      </c>
      <c r="X1430">
        <v>1</v>
      </c>
    </row>
    <row r="1431" customFormat="1" ht="16.5" spans="1:24">
      <c r="A1431" s="17">
        <f t="shared" si="1134"/>
        <v>40408</v>
      </c>
      <c r="B1431" s="17">
        <f t="shared" si="1142"/>
        <v>40400</v>
      </c>
      <c r="C1431" s="17" t="str">
        <f t="shared" si="1104"/>
        <v>4</v>
      </c>
      <c r="D1431" s="17">
        <f t="shared" si="1120"/>
        <v>40001</v>
      </c>
      <c r="E1431" s="17">
        <v>1</v>
      </c>
      <c r="F1431" s="17">
        <f t="shared" si="1135"/>
        <v>1</v>
      </c>
      <c r="G1431" s="17" t="str">
        <f t="shared" si="1136"/>
        <v>初级防御百分比</v>
      </c>
      <c r="H1431" s="17" t="str">
        <f t="shared" si="1137"/>
        <v>icon_05</v>
      </c>
      <c r="I1431" s="20">
        <v>0</v>
      </c>
      <c r="J1431" s="17">
        <v>8</v>
      </c>
      <c r="K1431" s="17">
        <f t="shared" si="1133"/>
        <v>40409</v>
      </c>
      <c r="L1431" s="17" t="s">
        <v>139</v>
      </c>
      <c r="M1431" s="17" t="str">
        <f t="shared" si="1138"/>
        <v>1:10100:5</v>
      </c>
      <c r="N1431" s="16" t="str">
        <f t="shared" si="1132"/>
        <v>138:1</v>
      </c>
      <c r="O1431" s="17">
        <f t="shared" si="1139"/>
        <v>5</v>
      </c>
      <c r="P1431" s="21" t="str">
        <f t="shared" si="1121"/>
        <v>所有飞兵防御百分比增加:1</v>
      </c>
      <c r="Q1431" s="21"/>
      <c r="R1431" t="str">
        <f t="shared" si="1140"/>
        <v>防御百分比</v>
      </c>
      <c r="T1431" t="str">
        <f t="shared" si="1141"/>
        <v>:1</v>
      </c>
      <c r="U1431" t="str">
        <f t="shared" si="1128"/>
        <v>飞兵</v>
      </c>
      <c r="V1431" t="s">
        <v>4692</v>
      </c>
      <c r="W1431">
        <f>属性类型!G1431</f>
        <v>138</v>
      </c>
      <c r="X1431">
        <v>1</v>
      </c>
    </row>
    <row r="1432" customFormat="1" ht="16.5" spans="1:24">
      <c r="A1432" s="17">
        <f t="shared" si="1134"/>
        <v>40409</v>
      </c>
      <c r="B1432" s="17">
        <f t="shared" si="1142"/>
        <v>40400</v>
      </c>
      <c r="C1432" s="17" t="str">
        <f t="shared" si="1104"/>
        <v>4</v>
      </c>
      <c r="D1432" s="17">
        <f t="shared" si="1120"/>
        <v>40001</v>
      </c>
      <c r="E1432" s="17">
        <v>1</v>
      </c>
      <c r="F1432" s="17">
        <f t="shared" si="1135"/>
        <v>1</v>
      </c>
      <c r="G1432" s="17" t="str">
        <f t="shared" si="1136"/>
        <v>初级防御百分比</v>
      </c>
      <c r="H1432" s="17" t="str">
        <f t="shared" si="1137"/>
        <v>icon_05</v>
      </c>
      <c r="I1432" s="20">
        <v>0</v>
      </c>
      <c r="J1432" s="17">
        <v>9</v>
      </c>
      <c r="K1432" s="17">
        <f t="shared" si="1133"/>
        <v>40410</v>
      </c>
      <c r="L1432" s="17" t="s">
        <v>143</v>
      </c>
      <c r="M1432" s="17" t="str">
        <f t="shared" si="1138"/>
        <v>1:10100:5</v>
      </c>
      <c r="N1432" s="16" t="str">
        <f t="shared" si="1132"/>
        <v>138:1</v>
      </c>
      <c r="O1432" s="17">
        <f t="shared" si="1139"/>
        <v>5</v>
      </c>
      <c r="P1432" s="21" t="str">
        <f t="shared" si="1121"/>
        <v>所有飞兵防御百分比增加:1</v>
      </c>
      <c r="Q1432" s="21"/>
      <c r="R1432" t="str">
        <f t="shared" si="1140"/>
        <v>防御百分比</v>
      </c>
      <c r="T1432" t="str">
        <f t="shared" si="1141"/>
        <v>:1</v>
      </c>
      <c r="U1432" t="str">
        <f t="shared" si="1128"/>
        <v>飞兵</v>
      </c>
      <c r="V1432" t="s">
        <v>4692</v>
      </c>
      <c r="W1432">
        <f>属性类型!G1432</f>
        <v>138</v>
      </c>
      <c r="X1432">
        <v>1</v>
      </c>
    </row>
    <row r="1433" customFormat="1" ht="16.5" spans="1:24">
      <c r="A1433" s="17">
        <f t="shared" si="1134"/>
        <v>40410</v>
      </c>
      <c r="B1433" s="17">
        <f t="shared" si="1142"/>
        <v>40400</v>
      </c>
      <c r="C1433" s="17" t="str">
        <f t="shared" si="1104"/>
        <v>4</v>
      </c>
      <c r="D1433" s="17">
        <f t="shared" si="1120"/>
        <v>40001</v>
      </c>
      <c r="E1433" s="17">
        <v>1</v>
      </c>
      <c r="F1433" s="17">
        <f t="shared" si="1135"/>
        <v>1</v>
      </c>
      <c r="G1433" s="17" t="str">
        <f t="shared" si="1136"/>
        <v>初级防御百分比</v>
      </c>
      <c r="H1433" s="17" t="str">
        <f t="shared" si="1137"/>
        <v>icon_05</v>
      </c>
      <c r="I1433" s="20">
        <v>0</v>
      </c>
      <c r="J1433" s="17">
        <v>10</v>
      </c>
      <c r="K1433" s="17">
        <v>0</v>
      </c>
      <c r="L1433" s="17">
        <v>0</v>
      </c>
      <c r="M1433" s="17" t="str">
        <f t="shared" si="1138"/>
        <v>1:10100:5</v>
      </c>
      <c r="N1433" s="16" t="str">
        <f t="shared" si="1132"/>
        <v>138:1</v>
      </c>
      <c r="O1433" s="17">
        <f t="shared" si="1139"/>
        <v>5</v>
      </c>
      <c r="P1433" s="21" t="str">
        <f t="shared" si="1121"/>
        <v>所有飞兵防御百分比增加:1</v>
      </c>
      <c r="Q1433" s="21"/>
      <c r="R1433" t="str">
        <f t="shared" si="1140"/>
        <v>防御百分比</v>
      </c>
      <c r="T1433" t="str">
        <f t="shared" si="1141"/>
        <v>:1</v>
      </c>
      <c r="U1433" t="str">
        <f t="shared" si="1128"/>
        <v>飞兵</v>
      </c>
      <c r="V1433" t="s">
        <v>4692</v>
      </c>
      <c r="W1433">
        <f>属性类型!G1433</f>
        <v>138</v>
      </c>
      <c r="X1433">
        <v>1</v>
      </c>
    </row>
    <row r="1434" customFormat="1" ht="16.5" spans="1:24">
      <c r="A1434" s="18">
        <f>A1423+100</f>
        <v>40500</v>
      </c>
      <c r="B1434" s="18">
        <f t="shared" si="1142"/>
        <v>40500</v>
      </c>
      <c r="C1434" s="18" t="str">
        <f t="shared" si="1104"/>
        <v>4</v>
      </c>
      <c r="D1434" s="17">
        <f t="shared" si="1120"/>
        <v>40001</v>
      </c>
      <c r="E1434" s="17">
        <v>1</v>
      </c>
      <c r="F1434" s="18">
        <f t="shared" si="1135"/>
        <v>1</v>
      </c>
      <c r="G1434" s="18" t="s">
        <v>148</v>
      </c>
      <c r="H1434" s="18" t="s">
        <v>149</v>
      </c>
      <c r="I1434" s="20">
        <v>0</v>
      </c>
      <c r="J1434" s="18">
        <v>0</v>
      </c>
      <c r="K1434" s="18">
        <f t="shared" ref="K1434:K1443" si="1143">A1435</f>
        <v>40501</v>
      </c>
      <c r="L1434" s="18" t="s">
        <v>40</v>
      </c>
      <c r="M1434" s="18" t="s">
        <v>151</v>
      </c>
      <c r="N1434" s="16" t="str">
        <f t="shared" si="1132"/>
        <v>137:1</v>
      </c>
      <c r="O1434" s="18">
        <f t="shared" si="1139"/>
        <v>6</v>
      </c>
      <c r="P1434" s="21" t="str">
        <f t="shared" si="1121"/>
        <v>所有飞兵攻击百分比增加1</v>
      </c>
      <c r="Q1434" s="21"/>
      <c r="R1434" t="s">
        <v>4280</v>
      </c>
      <c r="T1434" t="str">
        <f>RIGHT(N1434,1)</f>
        <v>1</v>
      </c>
      <c r="U1434" t="str">
        <f t="shared" si="1128"/>
        <v>飞兵</v>
      </c>
      <c r="V1434" t="s">
        <v>4693</v>
      </c>
      <c r="W1434">
        <f>属性类型!G1434</f>
        <v>137</v>
      </c>
      <c r="X1434">
        <v>1</v>
      </c>
    </row>
    <row r="1435" customFormat="1" ht="16.5" spans="1:24">
      <c r="A1435" s="17">
        <f t="shared" ref="A1435:A1444" si="1144">A1434+1</f>
        <v>40501</v>
      </c>
      <c r="B1435" s="17">
        <f t="shared" si="1142"/>
        <v>40500</v>
      </c>
      <c r="C1435" s="17" t="str">
        <f t="shared" si="1104"/>
        <v>4</v>
      </c>
      <c r="D1435" s="17">
        <f t="shared" si="1120"/>
        <v>40001</v>
      </c>
      <c r="E1435" s="17">
        <v>1</v>
      </c>
      <c r="F1435" s="17">
        <f t="shared" si="1135"/>
        <v>1</v>
      </c>
      <c r="G1435" s="17" t="str">
        <f t="shared" ref="G1435:G1444" si="1145">G1434</f>
        <v>初级攻击百分比</v>
      </c>
      <c r="H1435" s="17" t="str">
        <f t="shared" ref="H1435:H1444" si="1146">H1434</f>
        <v>icon_06</v>
      </c>
      <c r="I1435" s="20">
        <v>0</v>
      </c>
      <c r="J1435" s="17">
        <v>1</v>
      </c>
      <c r="K1435" s="17">
        <f t="shared" si="1143"/>
        <v>40502</v>
      </c>
      <c r="L1435" s="17" t="s">
        <v>44</v>
      </c>
      <c r="M1435" s="17" t="str">
        <f t="shared" ref="M1435:M1444" si="1147">M1434</f>
        <v>1:10200:5</v>
      </c>
      <c r="N1435" s="16" t="str">
        <f t="shared" si="1132"/>
        <v>137:1</v>
      </c>
      <c r="O1435" s="17">
        <f t="shared" si="1139"/>
        <v>6</v>
      </c>
      <c r="P1435" s="21" t="str">
        <f t="shared" si="1121"/>
        <v>所有飞兵攻击百分比增加:1</v>
      </c>
      <c r="Q1435" s="21"/>
      <c r="R1435" t="str">
        <f t="shared" ref="R1435:R1444" si="1148">R1434</f>
        <v>攻击百分比</v>
      </c>
      <c r="T1435" t="str">
        <f t="shared" ref="T1435:T1444" si="1149">RIGHT(N1435,2)</f>
        <v>:1</v>
      </c>
      <c r="U1435" t="str">
        <f t="shared" si="1128"/>
        <v>飞兵</v>
      </c>
      <c r="V1435" t="s">
        <v>4693</v>
      </c>
      <c r="W1435">
        <f>属性类型!G1435</f>
        <v>137</v>
      </c>
      <c r="X1435">
        <v>1</v>
      </c>
    </row>
    <row r="1436" customFormat="1" ht="16.5" spans="1:24">
      <c r="A1436" s="17">
        <f t="shared" si="1144"/>
        <v>40502</v>
      </c>
      <c r="B1436" s="17">
        <f t="shared" si="1142"/>
        <v>40500</v>
      </c>
      <c r="C1436" s="17" t="str">
        <f t="shared" si="1104"/>
        <v>4</v>
      </c>
      <c r="D1436" s="17">
        <f t="shared" si="1120"/>
        <v>40001</v>
      </c>
      <c r="E1436" s="17">
        <v>1</v>
      </c>
      <c r="F1436" s="17">
        <f t="shared" si="1135"/>
        <v>1</v>
      </c>
      <c r="G1436" s="17" t="str">
        <f t="shared" si="1145"/>
        <v>初级攻击百分比</v>
      </c>
      <c r="H1436" s="17" t="str">
        <f t="shared" si="1146"/>
        <v>icon_06</v>
      </c>
      <c r="I1436" s="20">
        <v>0</v>
      </c>
      <c r="J1436" s="17">
        <v>2</v>
      </c>
      <c r="K1436" s="17">
        <f t="shared" si="1143"/>
        <v>40503</v>
      </c>
      <c r="L1436" s="17" t="s">
        <v>49</v>
      </c>
      <c r="M1436" s="17" t="str">
        <f t="shared" si="1147"/>
        <v>1:10200:5</v>
      </c>
      <c r="N1436" s="16" t="str">
        <f t="shared" si="1132"/>
        <v>137:1</v>
      </c>
      <c r="O1436" s="17">
        <f t="shared" si="1139"/>
        <v>6</v>
      </c>
      <c r="P1436" s="21" t="str">
        <f t="shared" si="1121"/>
        <v>所有飞兵攻击百分比增加:1</v>
      </c>
      <c r="Q1436" s="21"/>
      <c r="R1436" t="str">
        <f t="shared" si="1148"/>
        <v>攻击百分比</v>
      </c>
      <c r="T1436" t="str">
        <f t="shared" si="1149"/>
        <v>:1</v>
      </c>
      <c r="U1436" t="str">
        <f t="shared" si="1128"/>
        <v>飞兵</v>
      </c>
      <c r="V1436" t="s">
        <v>4693</v>
      </c>
      <c r="W1436">
        <f>属性类型!G1436</f>
        <v>137</v>
      </c>
      <c r="X1436">
        <v>1</v>
      </c>
    </row>
    <row r="1437" customFormat="1" ht="16.5" spans="1:24">
      <c r="A1437" s="17">
        <f t="shared" si="1144"/>
        <v>40503</v>
      </c>
      <c r="B1437" s="17">
        <f t="shared" si="1142"/>
        <v>40500</v>
      </c>
      <c r="C1437" s="17" t="str">
        <f t="shared" si="1104"/>
        <v>4</v>
      </c>
      <c r="D1437" s="17">
        <f t="shared" si="1120"/>
        <v>40001</v>
      </c>
      <c r="E1437" s="17">
        <v>1</v>
      </c>
      <c r="F1437" s="17">
        <f t="shared" si="1135"/>
        <v>1</v>
      </c>
      <c r="G1437" s="17" t="str">
        <f t="shared" si="1145"/>
        <v>初级攻击百分比</v>
      </c>
      <c r="H1437" s="17" t="str">
        <f t="shared" si="1146"/>
        <v>icon_06</v>
      </c>
      <c r="I1437" s="20">
        <v>0</v>
      </c>
      <c r="J1437" s="17">
        <v>3</v>
      </c>
      <c r="K1437" s="17">
        <f t="shared" si="1143"/>
        <v>40504</v>
      </c>
      <c r="L1437" s="17" t="s">
        <v>53</v>
      </c>
      <c r="M1437" s="17" t="str">
        <f t="shared" si="1147"/>
        <v>1:10200:5</v>
      </c>
      <c r="N1437" s="16" t="str">
        <f t="shared" si="1132"/>
        <v>137:1</v>
      </c>
      <c r="O1437" s="17">
        <f t="shared" si="1139"/>
        <v>6</v>
      </c>
      <c r="P1437" s="21" t="str">
        <f t="shared" si="1121"/>
        <v>所有飞兵攻击百分比增加:1</v>
      </c>
      <c r="Q1437" s="21"/>
      <c r="R1437" t="str">
        <f t="shared" si="1148"/>
        <v>攻击百分比</v>
      </c>
      <c r="T1437" t="str">
        <f t="shared" si="1149"/>
        <v>:1</v>
      </c>
      <c r="U1437" t="str">
        <f t="shared" si="1128"/>
        <v>飞兵</v>
      </c>
      <c r="V1437" t="s">
        <v>4693</v>
      </c>
      <c r="W1437">
        <f>属性类型!G1437</f>
        <v>137</v>
      </c>
      <c r="X1437">
        <v>1</v>
      </c>
    </row>
    <row r="1438" customFormat="1" ht="16.5" spans="1:24">
      <c r="A1438" s="17">
        <f t="shared" si="1144"/>
        <v>40504</v>
      </c>
      <c r="B1438" s="17">
        <f t="shared" si="1142"/>
        <v>40500</v>
      </c>
      <c r="C1438" s="17" t="str">
        <f t="shared" si="1104"/>
        <v>4</v>
      </c>
      <c r="D1438" s="17">
        <f t="shared" si="1120"/>
        <v>40001</v>
      </c>
      <c r="E1438" s="17">
        <v>1</v>
      </c>
      <c r="F1438" s="17">
        <f t="shared" si="1135"/>
        <v>1</v>
      </c>
      <c r="G1438" s="17" t="str">
        <f t="shared" si="1145"/>
        <v>初级攻击百分比</v>
      </c>
      <c r="H1438" s="17" t="str">
        <f t="shared" si="1146"/>
        <v>icon_06</v>
      </c>
      <c r="I1438" s="20">
        <v>0</v>
      </c>
      <c r="J1438" s="17">
        <v>4</v>
      </c>
      <c r="K1438" s="17">
        <f t="shared" si="1143"/>
        <v>40505</v>
      </c>
      <c r="L1438" s="17" t="s">
        <v>57</v>
      </c>
      <c r="M1438" s="17" t="str">
        <f t="shared" si="1147"/>
        <v>1:10200:5</v>
      </c>
      <c r="N1438" s="16" t="str">
        <f t="shared" si="1132"/>
        <v>137:1</v>
      </c>
      <c r="O1438" s="17">
        <f t="shared" si="1139"/>
        <v>6</v>
      </c>
      <c r="P1438" s="21" t="str">
        <f t="shared" si="1121"/>
        <v>所有飞兵攻击百分比增加:1</v>
      </c>
      <c r="Q1438" s="21"/>
      <c r="R1438" t="str">
        <f t="shared" si="1148"/>
        <v>攻击百分比</v>
      </c>
      <c r="T1438" t="str">
        <f t="shared" si="1149"/>
        <v>:1</v>
      </c>
      <c r="U1438" t="str">
        <f t="shared" si="1128"/>
        <v>飞兵</v>
      </c>
      <c r="V1438" t="s">
        <v>4693</v>
      </c>
      <c r="W1438">
        <f>属性类型!G1438</f>
        <v>137</v>
      </c>
      <c r="X1438">
        <v>1</v>
      </c>
    </row>
    <row r="1439" customFormat="1" ht="16.5" spans="1:24">
      <c r="A1439" s="17">
        <f t="shared" si="1144"/>
        <v>40505</v>
      </c>
      <c r="B1439" s="17">
        <f t="shared" si="1142"/>
        <v>40500</v>
      </c>
      <c r="C1439" s="17" t="str">
        <f t="shared" si="1104"/>
        <v>4</v>
      </c>
      <c r="D1439" s="17">
        <f t="shared" si="1120"/>
        <v>40001</v>
      </c>
      <c r="E1439" s="17">
        <v>1</v>
      </c>
      <c r="F1439" s="17">
        <f t="shared" si="1135"/>
        <v>1</v>
      </c>
      <c r="G1439" s="17" t="str">
        <f t="shared" si="1145"/>
        <v>初级攻击百分比</v>
      </c>
      <c r="H1439" s="17" t="str">
        <f t="shared" si="1146"/>
        <v>icon_06</v>
      </c>
      <c r="I1439" s="20">
        <v>0</v>
      </c>
      <c r="J1439" s="17">
        <v>5</v>
      </c>
      <c r="K1439" s="17">
        <f t="shared" si="1143"/>
        <v>40506</v>
      </c>
      <c r="L1439" s="17" t="s">
        <v>127</v>
      </c>
      <c r="M1439" s="17" t="str">
        <f t="shared" si="1147"/>
        <v>1:10200:5</v>
      </c>
      <c r="N1439" s="16" t="str">
        <f t="shared" si="1132"/>
        <v>137:1</v>
      </c>
      <c r="O1439" s="17">
        <f t="shared" si="1139"/>
        <v>6</v>
      </c>
      <c r="P1439" s="21" t="str">
        <f t="shared" si="1121"/>
        <v>所有飞兵攻击百分比增加:1</v>
      </c>
      <c r="Q1439" s="21"/>
      <c r="R1439" t="str">
        <f t="shared" si="1148"/>
        <v>攻击百分比</v>
      </c>
      <c r="T1439" t="str">
        <f t="shared" si="1149"/>
        <v>:1</v>
      </c>
      <c r="U1439" t="str">
        <f t="shared" si="1128"/>
        <v>飞兵</v>
      </c>
      <c r="V1439" t="s">
        <v>4693</v>
      </c>
      <c r="W1439">
        <f>属性类型!G1439</f>
        <v>137</v>
      </c>
      <c r="X1439">
        <v>1</v>
      </c>
    </row>
    <row r="1440" customFormat="1" ht="16.5" spans="1:24">
      <c r="A1440" s="17">
        <f t="shared" si="1144"/>
        <v>40506</v>
      </c>
      <c r="B1440" s="17">
        <f t="shared" si="1142"/>
        <v>40500</v>
      </c>
      <c r="C1440" s="17" t="str">
        <f t="shared" si="1104"/>
        <v>4</v>
      </c>
      <c r="D1440" s="17">
        <f t="shared" si="1120"/>
        <v>40001</v>
      </c>
      <c r="E1440" s="17">
        <v>1</v>
      </c>
      <c r="F1440" s="17">
        <f t="shared" si="1135"/>
        <v>1</v>
      </c>
      <c r="G1440" s="17" t="str">
        <f t="shared" si="1145"/>
        <v>初级攻击百分比</v>
      </c>
      <c r="H1440" s="17" t="str">
        <f t="shared" si="1146"/>
        <v>icon_06</v>
      </c>
      <c r="I1440" s="20">
        <v>0</v>
      </c>
      <c r="J1440" s="17">
        <v>6</v>
      </c>
      <c r="K1440" s="17">
        <f t="shared" si="1143"/>
        <v>40507</v>
      </c>
      <c r="L1440" s="17" t="s">
        <v>131</v>
      </c>
      <c r="M1440" s="17" t="str">
        <f t="shared" si="1147"/>
        <v>1:10200:5</v>
      </c>
      <c r="N1440" s="16" t="str">
        <f t="shared" si="1132"/>
        <v>137:1</v>
      </c>
      <c r="O1440" s="17">
        <f t="shared" si="1139"/>
        <v>6</v>
      </c>
      <c r="P1440" s="21" t="str">
        <f t="shared" si="1121"/>
        <v>所有飞兵攻击百分比增加:1</v>
      </c>
      <c r="Q1440" s="21"/>
      <c r="R1440" t="str">
        <f t="shared" si="1148"/>
        <v>攻击百分比</v>
      </c>
      <c r="T1440" t="str">
        <f t="shared" si="1149"/>
        <v>:1</v>
      </c>
      <c r="U1440" t="str">
        <f t="shared" si="1128"/>
        <v>飞兵</v>
      </c>
      <c r="V1440" t="s">
        <v>4693</v>
      </c>
      <c r="W1440">
        <f>属性类型!G1440</f>
        <v>137</v>
      </c>
      <c r="X1440">
        <v>1</v>
      </c>
    </row>
    <row r="1441" customFormat="1" ht="16.5" spans="1:24">
      <c r="A1441" s="17">
        <f t="shared" si="1144"/>
        <v>40507</v>
      </c>
      <c r="B1441" s="17">
        <f t="shared" si="1142"/>
        <v>40500</v>
      </c>
      <c r="C1441" s="17" t="str">
        <f t="shared" si="1104"/>
        <v>4</v>
      </c>
      <c r="D1441" s="17">
        <f t="shared" si="1120"/>
        <v>40001</v>
      </c>
      <c r="E1441" s="17">
        <v>1</v>
      </c>
      <c r="F1441" s="17">
        <f t="shared" si="1135"/>
        <v>1</v>
      </c>
      <c r="G1441" s="17" t="str">
        <f t="shared" si="1145"/>
        <v>初级攻击百分比</v>
      </c>
      <c r="H1441" s="17" t="str">
        <f t="shared" si="1146"/>
        <v>icon_06</v>
      </c>
      <c r="I1441" s="20">
        <v>0</v>
      </c>
      <c r="J1441" s="17">
        <v>7</v>
      </c>
      <c r="K1441" s="17">
        <f t="shared" si="1143"/>
        <v>40508</v>
      </c>
      <c r="L1441" s="17" t="s">
        <v>135</v>
      </c>
      <c r="M1441" s="17" t="str">
        <f t="shared" si="1147"/>
        <v>1:10200:5</v>
      </c>
      <c r="N1441" s="16" t="str">
        <f t="shared" si="1132"/>
        <v>137:1</v>
      </c>
      <c r="O1441" s="17">
        <f t="shared" si="1139"/>
        <v>6</v>
      </c>
      <c r="P1441" s="21" t="str">
        <f t="shared" si="1121"/>
        <v>所有飞兵攻击百分比增加:1</v>
      </c>
      <c r="Q1441" s="21"/>
      <c r="R1441" t="str">
        <f t="shared" si="1148"/>
        <v>攻击百分比</v>
      </c>
      <c r="T1441" t="str">
        <f t="shared" si="1149"/>
        <v>:1</v>
      </c>
      <c r="U1441" t="str">
        <f t="shared" si="1128"/>
        <v>飞兵</v>
      </c>
      <c r="V1441" t="s">
        <v>4693</v>
      </c>
      <c r="W1441">
        <f>属性类型!G1441</f>
        <v>137</v>
      </c>
      <c r="X1441">
        <v>1</v>
      </c>
    </row>
    <row r="1442" customFormat="1" ht="16.5" spans="1:24">
      <c r="A1442" s="17">
        <f t="shared" si="1144"/>
        <v>40508</v>
      </c>
      <c r="B1442" s="17">
        <f t="shared" si="1142"/>
        <v>40500</v>
      </c>
      <c r="C1442" s="17" t="str">
        <f t="shared" si="1104"/>
        <v>4</v>
      </c>
      <c r="D1442" s="17">
        <f t="shared" si="1120"/>
        <v>40001</v>
      </c>
      <c r="E1442" s="17">
        <v>1</v>
      </c>
      <c r="F1442" s="17">
        <f t="shared" si="1135"/>
        <v>1</v>
      </c>
      <c r="G1442" s="17" t="str">
        <f t="shared" si="1145"/>
        <v>初级攻击百分比</v>
      </c>
      <c r="H1442" s="17" t="str">
        <f t="shared" si="1146"/>
        <v>icon_06</v>
      </c>
      <c r="I1442" s="20">
        <v>0</v>
      </c>
      <c r="J1442" s="17">
        <v>8</v>
      </c>
      <c r="K1442" s="17">
        <f t="shared" si="1143"/>
        <v>40509</v>
      </c>
      <c r="L1442" s="17" t="s">
        <v>139</v>
      </c>
      <c r="M1442" s="17" t="str">
        <f t="shared" si="1147"/>
        <v>1:10200:5</v>
      </c>
      <c r="N1442" s="16" t="str">
        <f t="shared" si="1132"/>
        <v>137:1</v>
      </c>
      <c r="O1442" s="17">
        <f t="shared" si="1139"/>
        <v>6</v>
      </c>
      <c r="P1442" s="21" t="str">
        <f t="shared" si="1121"/>
        <v>所有飞兵攻击百分比增加:1</v>
      </c>
      <c r="Q1442" s="21"/>
      <c r="R1442" t="str">
        <f t="shared" si="1148"/>
        <v>攻击百分比</v>
      </c>
      <c r="T1442" t="str">
        <f t="shared" si="1149"/>
        <v>:1</v>
      </c>
      <c r="U1442" t="str">
        <f t="shared" si="1128"/>
        <v>飞兵</v>
      </c>
      <c r="V1442" t="s">
        <v>4693</v>
      </c>
      <c r="W1442">
        <f>属性类型!G1442</f>
        <v>137</v>
      </c>
      <c r="X1442">
        <v>1</v>
      </c>
    </row>
    <row r="1443" customFormat="1" ht="16.5" spans="1:24">
      <c r="A1443" s="17">
        <f t="shared" si="1144"/>
        <v>40509</v>
      </c>
      <c r="B1443" s="17">
        <f t="shared" si="1142"/>
        <v>40500</v>
      </c>
      <c r="C1443" s="17" t="str">
        <f t="shared" si="1104"/>
        <v>4</v>
      </c>
      <c r="D1443" s="17">
        <f t="shared" si="1120"/>
        <v>40001</v>
      </c>
      <c r="E1443" s="17">
        <v>1</v>
      </c>
      <c r="F1443" s="17">
        <f t="shared" si="1135"/>
        <v>1</v>
      </c>
      <c r="G1443" s="17" t="str">
        <f t="shared" si="1145"/>
        <v>初级攻击百分比</v>
      </c>
      <c r="H1443" s="17" t="str">
        <f t="shared" si="1146"/>
        <v>icon_06</v>
      </c>
      <c r="I1443" s="20">
        <v>0</v>
      </c>
      <c r="J1443" s="17">
        <v>9</v>
      </c>
      <c r="K1443" s="17">
        <f t="shared" si="1143"/>
        <v>40510</v>
      </c>
      <c r="L1443" s="17" t="s">
        <v>143</v>
      </c>
      <c r="M1443" s="17" t="str">
        <f t="shared" si="1147"/>
        <v>1:10200:5</v>
      </c>
      <c r="N1443" s="16" t="str">
        <f t="shared" si="1132"/>
        <v>137:1</v>
      </c>
      <c r="O1443" s="17">
        <f t="shared" si="1139"/>
        <v>6</v>
      </c>
      <c r="P1443" s="21" t="str">
        <f t="shared" si="1121"/>
        <v>所有飞兵攻击百分比增加:1</v>
      </c>
      <c r="Q1443" s="21"/>
      <c r="R1443" t="str">
        <f t="shared" si="1148"/>
        <v>攻击百分比</v>
      </c>
      <c r="T1443" t="str">
        <f t="shared" si="1149"/>
        <v>:1</v>
      </c>
      <c r="U1443" t="str">
        <f t="shared" si="1128"/>
        <v>飞兵</v>
      </c>
      <c r="V1443" t="s">
        <v>4693</v>
      </c>
      <c r="W1443">
        <f>属性类型!G1443</f>
        <v>137</v>
      </c>
      <c r="X1443">
        <v>1</v>
      </c>
    </row>
    <row r="1444" customFormat="1" ht="16.5" spans="1:24">
      <c r="A1444" s="17">
        <f t="shared" si="1144"/>
        <v>40510</v>
      </c>
      <c r="B1444" s="17">
        <f t="shared" si="1142"/>
        <v>40500</v>
      </c>
      <c r="C1444" s="17" t="str">
        <f t="shared" si="1104"/>
        <v>4</v>
      </c>
      <c r="D1444" s="17">
        <f t="shared" si="1120"/>
        <v>40001</v>
      </c>
      <c r="E1444" s="17">
        <v>1</v>
      </c>
      <c r="F1444" s="17">
        <f t="shared" si="1135"/>
        <v>1</v>
      </c>
      <c r="G1444" s="17" t="str">
        <f t="shared" si="1145"/>
        <v>初级攻击百分比</v>
      </c>
      <c r="H1444" s="17" t="str">
        <f t="shared" si="1146"/>
        <v>icon_06</v>
      </c>
      <c r="I1444" s="20">
        <v>0</v>
      </c>
      <c r="J1444" s="17">
        <v>10</v>
      </c>
      <c r="K1444" s="17">
        <v>0</v>
      </c>
      <c r="L1444" s="17">
        <v>0</v>
      </c>
      <c r="M1444" s="17" t="str">
        <f t="shared" si="1147"/>
        <v>1:10200:5</v>
      </c>
      <c r="N1444" s="16" t="str">
        <f t="shared" si="1132"/>
        <v>137:1</v>
      </c>
      <c r="O1444" s="17">
        <f t="shared" si="1139"/>
        <v>6</v>
      </c>
      <c r="P1444" s="21" t="str">
        <f t="shared" si="1121"/>
        <v>所有飞兵攻击百分比增加:1</v>
      </c>
      <c r="Q1444" s="21"/>
      <c r="R1444" t="str">
        <f t="shared" si="1148"/>
        <v>攻击百分比</v>
      </c>
      <c r="T1444" t="str">
        <f t="shared" si="1149"/>
        <v>:1</v>
      </c>
      <c r="U1444" t="str">
        <f t="shared" si="1128"/>
        <v>飞兵</v>
      </c>
      <c r="V1444" t="s">
        <v>4693</v>
      </c>
      <c r="W1444">
        <f>属性类型!G1444</f>
        <v>137</v>
      </c>
      <c r="X1444">
        <v>1</v>
      </c>
    </row>
    <row r="1445" customFormat="1" ht="16.5" spans="1:24">
      <c r="A1445" s="18">
        <f>A1434+100</f>
        <v>40600</v>
      </c>
      <c r="B1445" s="18">
        <f t="shared" si="1142"/>
        <v>40600</v>
      </c>
      <c r="C1445" s="18" t="str">
        <f t="shared" si="1104"/>
        <v>4</v>
      </c>
      <c r="D1445" s="17">
        <f t="shared" si="1120"/>
        <v>40001</v>
      </c>
      <c r="E1445" s="17">
        <v>1</v>
      </c>
      <c r="F1445" s="18">
        <f t="shared" si="1135"/>
        <v>1</v>
      </c>
      <c r="G1445" s="18" t="s">
        <v>175</v>
      </c>
      <c r="H1445" s="18" t="s">
        <v>176</v>
      </c>
      <c r="I1445" s="20">
        <v>0</v>
      </c>
      <c r="J1445" s="18">
        <v>0</v>
      </c>
      <c r="K1445" s="18">
        <f t="shared" ref="K1445:K1454" si="1150">A1446</f>
        <v>40601</v>
      </c>
      <c r="L1445" s="18" t="s">
        <v>40</v>
      </c>
      <c r="M1445" s="18" t="s">
        <v>178</v>
      </c>
      <c r="N1445" s="16" t="str">
        <f t="shared" si="1132"/>
        <v>139:1</v>
      </c>
      <c r="O1445" s="18">
        <f t="shared" si="1139"/>
        <v>7</v>
      </c>
      <c r="P1445" s="21" t="str">
        <f t="shared" si="1121"/>
        <v>所有飞兵魔防百分比增加1</v>
      </c>
      <c r="Q1445" s="21"/>
      <c r="R1445" t="s">
        <v>4282</v>
      </c>
      <c r="T1445" t="str">
        <f>RIGHT(N1445,1)</f>
        <v>1</v>
      </c>
      <c r="U1445" t="str">
        <f t="shared" si="1128"/>
        <v>飞兵</v>
      </c>
      <c r="V1445" t="s">
        <v>4694</v>
      </c>
      <c r="W1445">
        <f>属性类型!G1445</f>
        <v>139</v>
      </c>
      <c r="X1445">
        <v>1</v>
      </c>
    </row>
    <row r="1446" customFormat="1" ht="16.5" spans="1:24">
      <c r="A1446" s="17">
        <f t="shared" ref="A1446:A1455" si="1151">A1445+1</f>
        <v>40601</v>
      </c>
      <c r="B1446" s="17">
        <f t="shared" si="1142"/>
        <v>40600</v>
      </c>
      <c r="C1446" s="17" t="str">
        <f t="shared" si="1104"/>
        <v>4</v>
      </c>
      <c r="D1446" s="17">
        <f t="shared" si="1120"/>
        <v>40001</v>
      </c>
      <c r="E1446" s="17">
        <v>1</v>
      </c>
      <c r="F1446" s="17">
        <f t="shared" si="1135"/>
        <v>1</v>
      </c>
      <c r="G1446" s="17" t="str">
        <f t="shared" ref="G1446:G1455" si="1152">G1445</f>
        <v>初级魔防百分比</v>
      </c>
      <c r="H1446" s="17" t="str">
        <f t="shared" ref="H1446:H1455" si="1153">H1445</f>
        <v>icon_07</v>
      </c>
      <c r="I1446" s="20">
        <v>0</v>
      </c>
      <c r="J1446" s="17">
        <v>1</v>
      </c>
      <c r="K1446" s="17">
        <f t="shared" si="1150"/>
        <v>40602</v>
      </c>
      <c r="L1446" s="17" t="s">
        <v>44</v>
      </c>
      <c r="M1446" s="17" t="str">
        <f t="shared" ref="M1446:M1455" si="1154">M1445</f>
        <v>1:10300:5</v>
      </c>
      <c r="N1446" s="16" t="str">
        <f t="shared" si="1132"/>
        <v>139:1</v>
      </c>
      <c r="O1446" s="17">
        <f t="shared" si="1139"/>
        <v>7</v>
      </c>
      <c r="P1446" s="21" t="str">
        <f t="shared" si="1121"/>
        <v>所有飞兵魔防百分比增加:1</v>
      </c>
      <c r="Q1446" s="21"/>
      <c r="R1446" t="str">
        <f t="shared" ref="R1446:R1455" si="1155">R1445</f>
        <v>魔防百分比</v>
      </c>
      <c r="T1446" t="str">
        <f t="shared" ref="T1446:T1455" si="1156">RIGHT(N1446,2)</f>
        <v>:1</v>
      </c>
      <c r="U1446" t="str">
        <f t="shared" si="1128"/>
        <v>飞兵</v>
      </c>
      <c r="V1446" t="s">
        <v>4694</v>
      </c>
      <c r="W1446">
        <f>属性类型!G1446</f>
        <v>139</v>
      </c>
      <c r="X1446">
        <v>1</v>
      </c>
    </row>
    <row r="1447" customFormat="1" ht="16.5" spans="1:24">
      <c r="A1447" s="17">
        <f t="shared" si="1151"/>
        <v>40602</v>
      </c>
      <c r="B1447" s="17">
        <f t="shared" si="1142"/>
        <v>40600</v>
      </c>
      <c r="C1447" s="17" t="str">
        <f t="shared" si="1104"/>
        <v>4</v>
      </c>
      <c r="D1447" s="17">
        <f t="shared" si="1120"/>
        <v>40001</v>
      </c>
      <c r="E1447" s="17">
        <v>1</v>
      </c>
      <c r="F1447" s="17">
        <f t="shared" si="1135"/>
        <v>1</v>
      </c>
      <c r="G1447" s="17" t="str">
        <f t="shared" si="1152"/>
        <v>初级魔防百分比</v>
      </c>
      <c r="H1447" s="17" t="str">
        <f t="shared" si="1153"/>
        <v>icon_07</v>
      </c>
      <c r="I1447" s="20">
        <v>0</v>
      </c>
      <c r="J1447" s="17">
        <v>2</v>
      </c>
      <c r="K1447" s="17">
        <f t="shared" si="1150"/>
        <v>40603</v>
      </c>
      <c r="L1447" s="17" t="s">
        <v>49</v>
      </c>
      <c r="M1447" s="17" t="str">
        <f t="shared" si="1154"/>
        <v>1:10300:5</v>
      </c>
      <c r="N1447" s="16" t="str">
        <f t="shared" si="1132"/>
        <v>139:1</v>
      </c>
      <c r="O1447" s="17">
        <f t="shared" si="1139"/>
        <v>7</v>
      </c>
      <c r="P1447" s="21" t="str">
        <f t="shared" si="1121"/>
        <v>所有飞兵魔防百分比增加:1</v>
      </c>
      <c r="Q1447" s="21"/>
      <c r="R1447" t="str">
        <f t="shared" si="1155"/>
        <v>魔防百分比</v>
      </c>
      <c r="T1447" t="str">
        <f t="shared" si="1156"/>
        <v>:1</v>
      </c>
      <c r="U1447" t="str">
        <f t="shared" si="1128"/>
        <v>飞兵</v>
      </c>
      <c r="V1447" t="s">
        <v>4694</v>
      </c>
      <c r="W1447">
        <f>属性类型!G1447</f>
        <v>139</v>
      </c>
      <c r="X1447">
        <v>1</v>
      </c>
    </row>
    <row r="1448" customFormat="1" ht="16.5" spans="1:24">
      <c r="A1448" s="17">
        <f t="shared" si="1151"/>
        <v>40603</v>
      </c>
      <c r="B1448" s="17">
        <f t="shared" si="1142"/>
        <v>40600</v>
      </c>
      <c r="C1448" s="17" t="str">
        <f t="shared" si="1104"/>
        <v>4</v>
      </c>
      <c r="D1448" s="17">
        <f t="shared" si="1120"/>
        <v>40001</v>
      </c>
      <c r="E1448" s="17">
        <v>1</v>
      </c>
      <c r="F1448" s="17">
        <f t="shared" si="1135"/>
        <v>1</v>
      </c>
      <c r="G1448" s="17" t="str">
        <f t="shared" si="1152"/>
        <v>初级魔防百分比</v>
      </c>
      <c r="H1448" s="17" t="str">
        <f t="shared" si="1153"/>
        <v>icon_07</v>
      </c>
      <c r="I1448" s="20">
        <v>0</v>
      </c>
      <c r="J1448" s="17">
        <v>3</v>
      </c>
      <c r="K1448" s="17">
        <f t="shared" si="1150"/>
        <v>40604</v>
      </c>
      <c r="L1448" s="17" t="s">
        <v>53</v>
      </c>
      <c r="M1448" s="17" t="str">
        <f t="shared" si="1154"/>
        <v>1:10300:5</v>
      </c>
      <c r="N1448" s="16" t="str">
        <f t="shared" si="1132"/>
        <v>139:1</v>
      </c>
      <c r="O1448" s="17">
        <f t="shared" si="1139"/>
        <v>7</v>
      </c>
      <c r="P1448" s="21" t="str">
        <f t="shared" si="1121"/>
        <v>所有飞兵魔防百分比增加:1</v>
      </c>
      <c r="Q1448" s="21"/>
      <c r="R1448" t="str">
        <f t="shared" si="1155"/>
        <v>魔防百分比</v>
      </c>
      <c r="T1448" t="str">
        <f t="shared" si="1156"/>
        <v>:1</v>
      </c>
      <c r="U1448" t="str">
        <f t="shared" si="1128"/>
        <v>飞兵</v>
      </c>
      <c r="V1448" t="s">
        <v>4694</v>
      </c>
      <c r="W1448">
        <f>属性类型!G1448</f>
        <v>139</v>
      </c>
      <c r="X1448">
        <v>1</v>
      </c>
    </row>
    <row r="1449" customFormat="1" ht="16.5" spans="1:24">
      <c r="A1449" s="17">
        <f t="shared" si="1151"/>
        <v>40604</v>
      </c>
      <c r="B1449" s="17">
        <f t="shared" si="1142"/>
        <v>40600</v>
      </c>
      <c r="C1449" s="17" t="str">
        <f t="shared" si="1104"/>
        <v>4</v>
      </c>
      <c r="D1449" s="17">
        <f t="shared" si="1120"/>
        <v>40001</v>
      </c>
      <c r="E1449" s="17">
        <v>1</v>
      </c>
      <c r="F1449" s="17">
        <f t="shared" si="1135"/>
        <v>1</v>
      </c>
      <c r="G1449" s="17" t="str">
        <f t="shared" si="1152"/>
        <v>初级魔防百分比</v>
      </c>
      <c r="H1449" s="17" t="str">
        <f t="shared" si="1153"/>
        <v>icon_07</v>
      </c>
      <c r="I1449" s="20">
        <v>0</v>
      </c>
      <c r="J1449" s="17">
        <v>4</v>
      </c>
      <c r="K1449" s="17">
        <f t="shared" si="1150"/>
        <v>40605</v>
      </c>
      <c r="L1449" s="17" t="s">
        <v>57</v>
      </c>
      <c r="M1449" s="17" t="str">
        <f t="shared" si="1154"/>
        <v>1:10300:5</v>
      </c>
      <c r="N1449" s="16" t="str">
        <f t="shared" si="1132"/>
        <v>139:1</v>
      </c>
      <c r="O1449" s="17">
        <f t="shared" si="1139"/>
        <v>7</v>
      </c>
      <c r="P1449" s="21" t="str">
        <f t="shared" si="1121"/>
        <v>所有飞兵魔防百分比增加:1</v>
      </c>
      <c r="Q1449" s="21"/>
      <c r="R1449" t="str">
        <f t="shared" si="1155"/>
        <v>魔防百分比</v>
      </c>
      <c r="T1449" t="str">
        <f t="shared" si="1156"/>
        <v>:1</v>
      </c>
      <c r="U1449" t="str">
        <f t="shared" si="1128"/>
        <v>飞兵</v>
      </c>
      <c r="V1449" t="s">
        <v>4694</v>
      </c>
      <c r="W1449">
        <f>属性类型!G1449</f>
        <v>139</v>
      </c>
      <c r="X1449">
        <v>1</v>
      </c>
    </row>
    <row r="1450" customFormat="1" ht="16.5" spans="1:24">
      <c r="A1450" s="17">
        <f t="shared" si="1151"/>
        <v>40605</v>
      </c>
      <c r="B1450" s="17">
        <f t="shared" si="1142"/>
        <v>40600</v>
      </c>
      <c r="C1450" s="17" t="str">
        <f t="shared" ref="C1450:C1466" si="1157">LEFT(A1450,1)</f>
        <v>4</v>
      </c>
      <c r="D1450" s="17">
        <f t="shared" si="1120"/>
        <v>40001</v>
      </c>
      <c r="E1450" s="17">
        <v>1</v>
      </c>
      <c r="F1450" s="17">
        <f t="shared" si="1135"/>
        <v>1</v>
      </c>
      <c r="G1450" s="17" t="str">
        <f t="shared" si="1152"/>
        <v>初级魔防百分比</v>
      </c>
      <c r="H1450" s="17" t="str">
        <f t="shared" si="1153"/>
        <v>icon_07</v>
      </c>
      <c r="I1450" s="20">
        <v>0</v>
      </c>
      <c r="J1450" s="17">
        <v>5</v>
      </c>
      <c r="K1450" s="17">
        <f t="shared" si="1150"/>
        <v>40606</v>
      </c>
      <c r="L1450" s="17" t="s">
        <v>127</v>
      </c>
      <c r="M1450" s="17" t="str">
        <f t="shared" si="1154"/>
        <v>1:10300:5</v>
      </c>
      <c r="N1450" s="16" t="str">
        <f t="shared" si="1132"/>
        <v>139:1</v>
      </c>
      <c r="O1450" s="17">
        <f t="shared" si="1139"/>
        <v>7</v>
      </c>
      <c r="P1450" s="21" t="str">
        <f t="shared" si="1121"/>
        <v>所有飞兵魔防百分比增加:1</v>
      </c>
      <c r="Q1450" s="21"/>
      <c r="R1450" t="str">
        <f t="shared" si="1155"/>
        <v>魔防百分比</v>
      </c>
      <c r="T1450" t="str">
        <f t="shared" si="1156"/>
        <v>:1</v>
      </c>
      <c r="U1450" t="str">
        <f t="shared" si="1128"/>
        <v>飞兵</v>
      </c>
      <c r="V1450" t="s">
        <v>4694</v>
      </c>
      <c r="W1450">
        <f>属性类型!G1450</f>
        <v>139</v>
      </c>
      <c r="X1450">
        <v>1</v>
      </c>
    </row>
    <row r="1451" customFormat="1" ht="16.5" spans="1:24">
      <c r="A1451" s="17">
        <f t="shared" si="1151"/>
        <v>40606</v>
      </c>
      <c r="B1451" s="17">
        <f t="shared" si="1142"/>
        <v>40600</v>
      </c>
      <c r="C1451" s="17" t="str">
        <f t="shared" si="1157"/>
        <v>4</v>
      </c>
      <c r="D1451" s="17">
        <f t="shared" si="1120"/>
        <v>40001</v>
      </c>
      <c r="E1451" s="17">
        <v>1</v>
      </c>
      <c r="F1451" s="17">
        <f t="shared" si="1135"/>
        <v>1</v>
      </c>
      <c r="G1451" s="17" t="str">
        <f t="shared" si="1152"/>
        <v>初级魔防百分比</v>
      </c>
      <c r="H1451" s="17" t="str">
        <f t="shared" si="1153"/>
        <v>icon_07</v>
      </c>
      <c r="I1451" s="20">
        <v>0</v>
      </c>
      <c r="J1451" s="17">
        <v>6</v>
      </c>
      <c r="K1451" s="17">
        <f t="shared" si="1150"/>
        <v>40607</v>
      </c>
      <c r="L1451" s="17" t="s">
        <v>131</v>
      </c>
      <c r="M1451" s="17" t="str">
        <f t="shared" si="1154"/>
        <v>1:10300:5</v>
      </c>
      <c r="N1451" s="16" t="str">
        <f t="shared" si="1132"/>
        <v>139:1</v>
      </c>
      <c r="O1451" s="17">
        <f t="shared" si="1139"/>
        <v>7</v>
      </c>
      <c r="P1451" s="21" t="str">
        <f t="shared" si="1121"/>
        <v>所有飞兵魔防百分比增加:1</v>
      </c>
      <c r="Q1451" s="21"/>
      <c r="R1451" t="str">
        <f t="shared" si="1155"/>
        <v>魔防百分比</v>
      </c>
      <c r="T1451" t="str">
        <f t="shared" si="1156"/>
        <v>:1</v>
      </c>
      <c r="U1451" t="str">
        <f t="shared" si="1128"/>
        <v>飞兵</v>
      </c>
      <c r="V1451" t="s">
        <v>4694</v>
      </c>
      <c r="W1451">
        <f>属性类型!G1451</f>
        <v>139</v>
      </c>
      <c r="X1451">
        <v>1</v>
      </c>
    </row>
    <row r="1452" customFormat="1" ht="16.5" spans="1:24">
      <c r="A1452" s="17">
        <f t="shared" si="1151"/>
        <v>40607</v>
      </c>
      <c r="B1452" s="17">
        <f t="shared" si="1142"/>
        <v>40600</v>
      </c>
      <c r="C1452" s="17" t="str">
        <f t="shared" si="1157"/>
        <v>4</v>
      </c>
      <c r="D1452" s="17">
        <f t="shared" si="1120"/>
        <v>40001</v>
      </c>
      <c r="E1452" s="17">
        <v>1</v>
      </c>
      <c r="F1452" s="17">
        <f t="shared" si="1135"/>
        <v>1</v>
      </c>
      <c r="G1452" s="17" t="str">
        <f t="shared" si="1152"/>
        <v>初级魔防百分比</v>
      </c>
      <c r="H1452" s="17" t="str">
        <f t="shared" si="1153"/>
        <v>icon_07</v>
      </c>
      <c r="I1452" s="20">
        <v>0</v>
      </c>
      <c r="J1452" s="17">
        <v>7</v>
      </c>
      <c r="K1452" s="17">
        <f t="shared" si="1150"/>
        <v>40608</v>
      </c>
      <c r="L1452" s="17" t="s">
        <v>135</v>
      </c>
      <c r="M1452" s="17" t="str">
        <f t="shared" si="1154"/>
        <v>1:10300:5</v>
      </c>
      <c r="N1452" s="16" t="str">
        <f t="shared" si="1132"/>
        <v>139:1</v>
      </c>
      <c r="O1452" s="17">
        <f t="shared" si="1139"/>
        <v>7</v>
      </c>
      <c r="P1452" s="21" t="str">
        <f t="shared" si="1121"/>
        <v>所有飞兵魔防百分比增加:1</v>
      </c>
      <c r="Q1452" s="21"/>
      <c r="R1452" t="str">
        <f t="shared" si="1155"/>
        <v>魔防百分比</v>
      </c>
      <c r="T1452" t="str">
        <f t="shared" si="1156"/>
        <v>:1</v>
      </c>
      <c r="U1452" t="str">
        <f t="shared" si="1128"/>
        <v>飞兵</v>
      </c>
      <c r="V1452" t="s">
        <v>4694</v>
      </c>
      <c r="W1452">
        <f>属性类型!G1452</f>
        <v>139</v>
      </c>
      <c r="X1452">
        <v>1</v>
      </c>
    </row>
    <row r="1453" customFormat="1" ht="16.5" spans="1:24">
      <c r="A1453" s="17">
        <f t="shared" si="1151"/>
        <v>40608</v>
      </c>
      <c r="B1453" s="17">
        <f t="shared" si="1142"/>
        <v>40600</v>
      </c>
      <c r="C1453" s="17" t="str">
        <f t="shared" si="1157"/>
        <v>4</v>
      </c>
      <c r="D1453" s="17">
        <f t="shared" si="1120"/>
        <v>40001</v>
      </c>
      <c r="E1453" s="17">
        <v>1</v>
      </c>
      <c r="F1453" s="17">
        <f t="shared" si="1135"/>
        <v>1</v>
      </c>
      <c r="G1453" s="17" t="str">
        <f t="shared" si="1152"/>
        <v>初级魔防百分比</v>
      </c>
      <c r="H1453" s="17" t="str">
        <f t="shared" si="1153"/>
        <v>icon_07</v>
      </c>
      <c r="I1453" s="20">
        <v>0</v>
      </c>
      <c r="J1453" s="17">
        <v>8</v>
      </c>
      <c r="K1453" s="17">
        <f t="shared" si="1150"/>
        <v>40609</v>
      </c>
      <c r="L1453" s="17" t="s">
        <v>139</v>
      </c>
      <c r="M1453" s="17" t="str">
        <f t="shared" si="1154"/>
        <v>1:10300:5</v>
      </c>
      <c r="N1453" s="16" t="str">
        <f t="shared" si="1132"/>
        <v>139:1</v>
      </c>
      <c r="O1453" s="17">
        <f t="shared" si="1139"/>
        <v>7</v>
      </c>
      <c r="P1453" s="21" t="str">
        <f t="shared" si="1121"/>
        <v>所有飞兵魔防百分比增加:1</v>
      </c>
      <c r="Q1453" s="21"/>
      <c r="R1453" t="str">
        <f t="shared" si="1155"/>
        <v>魔防百分比</v>
      </c>
      <c r="T1453" t="str">
        <f t="shared" si="1156"/>
        <v>:1</v>
      </c>
      <c r="U1453" t="str">
        <f t="shared" si="1128"/>
        <v>飞兵</v>
      </c>
      <c r="V1453" t="s">
        <v>4694</v>
      </c>
      <c r="W1453">
        <f>属性类型!G1453</f>
        <v>139</v>
      </c>
      <c r="X1453">
        <v>1</v>
      </c>
    </row>
    <row r="1454" customFormat="1" ht="16.5" spans="1:24">
      <c r="A1454" s="17">
        <f t="shared" si="1151"/>
        <v>40609</v>
      </c>
      <c r="B1454" s="17">
        <f t="shared" si="1142"/>
        <v>40600</v>
      </c>
      <c r="C1454" s="17" t="str">
        <f t="shared" si="1157"/>
        <v>4</v>
      </c>
      <c r="D1454" s="17">
        <f t="shared" si="1120"/>
        <v>40001</v>
      </c>
      <c r="E1454" s="17">
        <v>1</v>
      </c>
      <c r="F1454" s="17">
        <f t="shared" si="1135"/>
        <v>1</v>
      </c>
      <c r="G1454" s="17" t="str">
        <f t="shared" si="1152"/>
        <v>初级魔防百分比</v>
      </c>
      <c r="H1454" s="17" t="str">
        <f t="shared" si="1153"/>
        <v>icon_07</v>
      </c>
      <c r="I1454" s="20">
        <v>0</v>
      </c>
      <c r="J1454" s="17">
        <v>9</v>
      </c>
      <c r="K1454" s="17">
        <f t="shared" si="1150"/>
        <v>40610</v>
      </c>
      <c r="L1454" s="17" t="s">
        <v>143</v>
      </c>
      <c r="M1454" s="17" t="str">
        <f t="shared" si="1154"/>
        <v>1:10300:5</v>
      </c>
      <c r="N1454" s="16" t="str">
        <f t="shared" si="1132"/>
        <v>139:1</v>
      </c>
      <c r="O1454" s="17">
        <f t="shared" si="1139"/>
        <v>7</v>
      </c>
      <c r="P1454" s="21" t="str">
        <f t="shared" si="1121"/>
        <v>所有飞兵魔防百分比增加:1</v>
      </c>
      <c r="Q1454" s="21"/>
      <c r="R1454" t="str">
        <f t="shared" si="1155"/>
        <v>魔防百分比</v>
      </c>
      <c r="T1454" t="str">
        <f t="shared" si="1156"/>
        <v>:1</v>
      </c>
      <c r="U1454" t="str">
        <f t="shared" si="1128"/>
        <v>飞兵</v>
      </c>
      <c r="V1454" t="s">
        <v>4694</v>
      </c>
      <c r="W1454">
        <f>属性类型!G1454</f>
        <v>139</v>
      </c>
      <c r="X1454">
        <v>1</v>
      </c>
    </row>
    <row r="1455" customFormat="1" ht="16.5" spans="1:24">
      <c r="A1455" s="17">
        <f t="shared" si="1151"/>
        <v>40610</v>
      </c>
      <c r="B1455" s="17">
        <f t="shared" si="1142"/>
        <v>40600</v>
      </c>
      <c r="C1455" s="17" t="str">
        <f t="shared" si="1157"/>
        <v>4</v>
      </c>
      <c r="D1455" s="17">
        <f t="shared" si="1120"/>
        <v>40001</v>
      </c>
      <c r="E1455" s="17">
        <v>1</v>
      </c>
      <c r="F1455" s="17">
        <f t="shared" si="1135"/>
        <v>1</v>
      </c>
      <c r="G1455" s="17" t="str">
        <f t="shared" si="1152"/>
        <v>初级魔防百分比</v>
      </c>
      <c r="H1455" s="17" t="str">
        <f t="shared" si="1153"/>
        <v>icon_07</v>
      </c>
      <c r="I1455" s="20">
        <v>0</v>
      </c>
      <c r="J1455" s="17">
        <v>10</v>
      </c>
      <c r="K1455" s="17">
        <v>0</v>
      </c>
      <c r="L1455" s="17">
        <v>0</v>
      </c>
      <c r="M1455" s="17" t="str">
        <f t="shared" si="1154"/>
        <v>1:10300:5</v>
      </c>
      <c r="N1455" s="16" t="str">
        <f t="shared" si="1132"/>
        <v>139:1</v>
      </c>
      <c r="O1455" s="17">
        <f t="shared" si="1139"/>
        <v>7</v>
      </c>
      <c r="P1455" s="21" t="str">
        <f t="shared" si="1121"/>
        <v>所有飞兵魔防百分比增加:1</v>
      </c>
      <c r="Q1455" s="21"/>
      <c r="R1455" t="str">
        <f t="shared" si="1155"/>
        <v>魔防百分比</v>
      </c>
      <c r="T1455" t="str">
        <f t="shared" si="1156"/>
        <v>:1</v>
      </c>
      <c r="U1455" t="str">
        <f t="shared" si="1128"/>
        <v>飞兵</v>
      </c>
      <c r="V1455" t="s">
        <v>4694</v>
      </c>
      <c r="W1455">
        <f>属性类型!G1455</f>
        <v>139</v>
      </c>
      <c r="X1455">
        <v>1</v>
      </c>
    </row>
    <row r="1456" customFormat="1" ht="16.5" spans="1:24">
      <c r="A1456" s="18">
        <f>A1445+100</f>
        <v>40700</v>
      </c>
      <c r="B1456" s="18">
        <f t="shared" si="1142"/>
        <v>40700</v>
      </c>
      <c r="C1456" s="18" t="str">
        <f t="shared" si="1157"/>
        <v>4</v>
      </c>
      <c r="D1456" s="17">
        <f t="shared" si="1120"/>
        <v>40001</v>
      </c>
      <c r="E1456" s="17">
        <v>2</v>
      </c>
      <c r="F1456" s="18">
        <f t="shared" si="1135"/>
        <v>1</v>
      </c>
      <c r="G1456" s="18" t="s">
        <v>4695</v>
      </c>
      <c r="H1456" s="18" t="s">
        <v>2323</v>
      </c>
      <c r="I1456" s="20">
        <v>1.2</v>
      </c>
      <c r="J1456" s="18">
        <v>0</v>
      </c>
      <c r="K1456" s="18">
        <f t="shared" ref="K1456:K1475" si="1158">A1457</f>
        <v>40701</v>
      </c>
      <c r="L1456" s="18" t="s">
        <v>206</v>
      </c>
      <c r="M1456" s="18" t="s">
        <v>207</v>
      </c>
      <c r="N1456" s="16" t="str">
        <f t="shared" si="1132"/>
        <v>10031:1</v>
      </c>
      <c r="O1456" s="18">
        <f t="shared" si="1139"/>
        <v>8</v>
      </c>
      <c r="P1456" s="21" t="s">
        <v>4696</v>
      </c>
      <c r="Q1456" s="21"/>
      <c r="R1456" t="s">
        <v>4697</v>
      </c>
      <c r="T1456" t="str">
        <f>RIGHT(N1456,1)</f>
        <v>1</v>
      </c>
      <c r="U1456" t="str">
        <f t="shared" si="1128"/>
        <v>马骑</v>
      </c>
      <c r="V1456" t="s">
        <v>4695</v>
      </c>
      <c r="W1456">
        <f>属性类型!G1456</f>
        <v>10031</v>
      </c>
      <c r="X1456">
        <v>1</v>
      </c>
    </row>
    <row r="1457" customFormat="1" ht="16.5" spans="1:24">
      <c r="A1457" s="17">
        <f t="shared" ref="A1457:A1466" si="1159">A1456+1</f>
        <v>40701</v>
      </c>
      <c r="B1457" s="17">
        <f t="shared" si="1142"/>
        <v>40700</v>
      </c>
      <c r="C1457" s="17" t="str">
        <f t="shared" si="1157"/>
        <v>4</v>
      </c>
      <c r="D1457" s="17">
        <f t="shared" si="1120"/>
        <v>40001</v>
      </c>
      <c r="E1457" s="17">
        <v>2</v>
      </c>
      <c r="F1457" s="17">
        <f t="shared" si="1135"/>
        <v>1</v>
      </c>
      <c r="G1457" s="17" t="str">
        <f t="shared" ref="G1457:G1476" si="1160">G1456</f>
        <v>圣天马骑士防御百分比</v>
      </c>
      <c r="H1457" s="17" t="str">
        <f t="shared" ref="H1457:H1476" si="1161">H1456</f>
        <v>feibing01_Lv3</v>
      </c>
      <c r="I1457" s="20">
        <f t="shared" ref="I1457:I1476" si="1162">I1456</f>
        <v>1.2</v>
      </c>
      <c r="J1457" s="17">
        <v>1</v>
      </c>
      <c r="K1457" s="17">
        <f t="shared" si="1158"/>
        <v>40702</v>
      </c>
      <c r="L1457" s="17" t="s">
        <v>211</v>
      </c>
      <c r="M1457" s="17" t="str">
        <f t="shared" ref="M1457:M1476" si="1163">M1456</f>
        <v>1:10400:5</v>
      </c>
      <c r="N1457" s="16" t="str">
        <f t="shared" si="1132"/>
        <v>10031:1</v>
      </c>
      <c r="O1457" s="17">
        <f t="shared" si="1139"/>
        <v>8</v>
      </c>
      <c r="P1457" s="21" t="s">
        <v>4698</v>
      </c>
      <c r="Q1457" s="21"/>
      <c r="R1457" t="s">
        <v>4697</v>
      </c>
      <c r="T1457" t="str">
        <f t="shared" ref="T1457:T1466" si="1164">RIGHT(N1457,2)</f>
        <v>:1</v>
      </c>
      <c r="U1457" t="str">
        <f t="shared" si="1128"/>
        <v>马骑</v>
      </c>
      <c r="V1457" t="s">
        <v>4695</v>
      </c>
      <c r="W1457">
        <f>属性类型!G1457</f>
        <v>10031</v>
      </c>
      <c r="X1457">
        <v>1</v>
      </c>
    </row>
    <row r="1458" customFormat="1" ht="16.5" spans="1:24">
      <c r="A1458" s="17">
        <f t="shared" si="1159"/>
        <v>40702</v>
      </c>
      <c r="B1458" s="17">
        <f t="shared" si="1142"/>
        <v>40700</v>
      </c>
      <c r="C1458" s="17" t="str">
        <f t="shared" si="1157"/>
        <v>4</v>
      </c>
      <c r="D1458" s="17">
        <f t="shared" si="1120"/>
        <v>40001</v>
      </c>
      <c r="E1458" s="17">
        <v>2</v>
      </c>
      <c r="F1458" s="17">
        <f t="shared" si="1135"/>
        <v>1</v>
      </c>
      <c r="G1458" s="17" t="str">
        <f t="shared" si="1160"/>
        <v>圣天马骑士防御百分比</v>
      </c>
      <c r="H1458" s="17" t="str">
        <f t="shared" si="1161"/>
        <v>feibing01_Lv3</v>
      </c>
      <c r="I1458" s="20">
        <f t="shared" si="1162"/>
        <v>1.2</v>
      </c>
      <c r="J1458" s="17">
        <v>2</v>
      </c>
      <c r="K1458" s="17">
        <f t="shared" si="1158"/>
        <v>40703</v>
      </c>
      <c r="L1458" s="17" t="s">
        <v>215</v>
      </c>
      <c r="M1458" s="17" t="str">
        <f t="shared" si="1163"/>
        <v>1:10400:5</v>
      </c>
      <c r="N1458" s="16" t="str">
        <f t="shared" si="1132"/>
        <v>10031:1</v>
      </c>
      <c r="O1458" s="17">
        <f t="shared" si="1139"/>
        <v>8</v>
      </c>
      <c r="P1458" s="21" t="s">
        <v>4699</v>
      </c>
      <c r="Q1458" s="21"/>
      <c r="R1458" t="s">
        <v>4697</v>
      </c>
      <c r="T1458" t="str">
        <f t="shared" si="1164"/>
        <v>:1</v>
      </c>
      <c r="U1458" t="str">
        <f t="shared" si="1128"/>
        <v>马骑</v>
      </c>
      <c r="V1458" t="s">
        <v>4695</v>
      </c>
      <c r="W1458">
        <f>属性类型!G1458</f>
        <v>10031</v>
      </c>
      <c r="X1458">
        <v>1</v>
      </c>
    </row>
    <row r="1459" customFormat="1" ht="16.5" spans="1:24">
      <c r="A1459" s="17">
        <f t="shared" si="1159"/>
        <v>40703</v>
      </c>
      <c r="B1459" s="17">
        <f t="shared" si="1142"/>
        <v>40700</v>
      </c>
      <c r="C1459" s="17" t="str">
        <f t="shared" si="1157"/>
        <v>4</v>
      </c>
      <c r="D1459" s="17">
        <f t="shared" si="1120"/>
        <v>40001</v>
      </c>
      <c r="E1459" s="17">
        <v>2</v>
      </c>
      <c r="F1459" s="17">
        <f t="shared" si="1135"/>
        <v>1</v>
      </c>
      <c r="G1459" s="17" t="str">
        <f t="shared" si="1160"/>
        <v>圣天马骑士防御百分比</v>
      </c>
      <c r="H1459" s="17" t="str">
        <f t="shared" si="1161"/>
        <v>feibing01_Lv3</v>
      </c>
      <c r="I1459" s="20">
        <f t="shared" si="1162"/>
        <v>1.2</v>
      </c>
      <c r="J1459" s="17">
        <v>3</v>
      </c>
      <c r="K1459" s="17">
        <f t="shared" si="1158"/>
        <v>40704</v>
      </c>
      <c r="L1459" s="17" t="s">
        <v>218</v>
      </c>
      <c r="M1459" s="17" t="str">
        <f t="shared" si="1163"/>
        <v>1:10400:5</v>
      </c>
      <c r="N1459" s="16" t="str">
        <f t="shared" si="1132"/>
        <v>10031:1</v>
      </c>
      <c r="O1459" s="17">
        <f t="shared" si="1139"/>
        <v>8</v>
      </c>
      <c r="P1459" s="21" t="s">
        <v>4700</v>
      </c>
      <c r="Q1459" s="21"/>
      <c r="R1459" t="s">
        <v>4697</v>
      </c>
      <c r="T1459" t="str">
        <f t="shared" si="1164"/>
        <v>:1</v>
      </c>
      <c r="U1459" t="str">
        <f t="shared" si="1128"/>
        <v>马骑</v>
      </c>
      <c r="V1459" t="s">
        <v>4695</v>
      </c>
      <c r="W1459">
        <f>属性类型!G1459</f>
        <v>10031</v>
      </c>
      <c r="X1459">
        <v>1</v>
      </c>
    </row>
    <row r="1460" customFormat="1" ht="16.5" spans="1:24">
      <c r="A1460" s="17">
        <f t="shared" si="1159"/>
        <v>40704</v>
      </c>
      <c r="B1460" s="17">
        <f t="shared" si="1142"/>
        <v>40700</v>
      </c>
      <c r="C1460" s="17" t="str">
        <f t="shared" si="1157"/>
        <v>4</v>
      </c>
      <c r="D1460" s="17">
        <f t="shared" si="1120"/>
        <v>40001</v>
      </c>
      <c r="E1460" s="17">
        <v>2</v>
      </c>
      <c r="F1460" s="17">
        <f t="shared" si="1135"/>
        <v>1</v>
      </c>
      <c r="G1460" s="17" t="str">
        <f t="shared" si="1160"/>
        <v>圣天马骑士防御百分比</v>
      </c>
      <c r="H1460" s="17" t="str">
        <f t="shared" si="1161"/>
        <v>feibing01_Lv3</v>
      </c>
      <c r="I1460" s="20">
        <f t="shared" si="1162"/>
        <v>1.2</v>
      </c>
      <c r="J1460" s="17">
        <v>4</v>
      </c>
      <c r="K1460" s="17">
        <f t="shared" si="1158"/>
        <v>40705</v>
      </c>
      <c r="L1460" s="17" t="s">
        <v>221</v>
      </c>
      <c r="M1460" s="17" t="str">
        <f t="shared" si="1163"/>
        <v>1:10400:5</v>
      </c>
      <c r="N1460" s="16" t="str">
        <f t="shared" si="1132"/>
        <v>10031:1</v>
      </c>
      <c r="O1460" s="17">
        <f t="shared" si="1139"/>
        <v>8</v>
      </c>
      <c r="P1460" s="21" t="s">
        <v>4701</v>
      </c>
      <c r="Q1460" s="21"/>
      <c r="R1460" t="s">
        <v>4697</v>
      </c>
      <c r="T1460" t="str">
        <f t="shared" si="1164"/>
        <v>:1</v>
      </c>
      <c r="U1460" t="str">
        <f t="shared" si="1128"/>
        <v>马骑</v>
      </c>
      <c r="V1460" t="s">
        <v>4695</v>
      </c>
      <c r="W1460">
        <f>属性类型!G1460</f>
        <v>10031</v>
      </c>
      <c r="X1460">
        <v>1</v>
      </c>
    </row>
    <row r="1461" customFormat="1" ht="16.5" spans="1:24">
      <c r="A1461" s="17">
        <f t="shared" si="1159"/>
        <v>40705</v>
      </c>
      <c r="B1461" s="17">
        <f t="shared" si="1142"/>
        <v>40700</v>
      </c>
      <c r="C1461" s="17" t="str">
        <f t="shared" si="1157"/>
        <v>4</v>
      </c>
      <c r="D1461" s="17">
        <f t="shared" si="1120"/>
        <v>40001</v>
      </c>
      <c r="E1461" s="17">
        <v>2</v>
      </c>
      <c r="F1461" s="17">
        <f t="shared" si="1135"/>
        <v>1</v>
      </c>
      <c r="G1461" s="17" t="str">
        <f t="shared" si="1160"/>
        <v>圣天马骑士防御百分比</v>
      </c>
      <c r="H1461" s="17" t="str">
        <f t="shared" si="1161"/>
        <v>feibing01_Lv3</v>
      </c>
      <c r="I1461" s="20">
        <f t="shared" si="1162"/>
        <v>1.2</v>
      </c>
      <c r="J1461" s="17">
        <v>5</v>
      </c>
      <c r="K1461" s="17">
        <f t="shared" si="1158"/>
        <v>40706</v>
      </c>
      <c r="L1461" s="17" t="s">
        <v>224</v>
      </c>
      <c r="M1461" s="17" t="str">
        <f t="shared" si="1163"/>
        <v>1:10400:5</v>
      </c>
      <c r="N1461" s="16" t="str">
        <f t="shared" si="1132"/>
        <v>10031:1</v>
      </c>
      <c r="O1461" s="17">
        <f t="shared" si="1139"/>
        <v>8</v>
      </c>
      <c r="P1461" s="21" t="s">
        <v>4702</v>
      </c>
      <c r="Q1461" s="21"/>
      <c r="R1461" t="s">
        <v>4697</v>
      </c>
      <c r="T1461" t="str">
        <f t="shared" si="1164"/>
        <v>:1</v>
      </c>
      <c r="U1461" t="str">
        <f t="shared" si="1128"/>
        <v>马骑</v>
      </c>
      <c r="V1461" t="s">
        <v>4695</v>
      </c>
      <c r="W1461">
        <f>属性类型!G1461</f>
        <v>10031</v>
      </c>
      <c r="X1461">
        <v>1</v>
      </c>
    </row>
    <row r="1462" customFormat="1" ht="16.5" spans="1:24">
      <c r="A1462" s="17">
        <f t="shared" si="1159"/>
        <v>40706</v>
      </c>
      <c r="B1462" s="17">
        <f t="shared" si="1142"/>
        <v>40700</v>
      </c>
      <c r="C1462" s="17" t="str">
        <f t="shared" si="1157"/>
        <v>4</v>
      </c>
      <c r="D1462" s="17">
        <f t="shared" si="1120"/>
        <v>40001</v>
      </c>
      <c r="E1462" s="17">
        <v>2</v>
      </c>
      <c r="F1462" s="17">
        <f t="shared" si="1135"/>
        <v>1</v>
      </c>
      <c r="G1462" s="17" t="str">
        <f t="shared" si="1160"/>
        <v>圣天马骑士防御百分比</v>
      </c>
      <c r="H1462" s="17" t="str">
        <f t="shared" si="1161"/>
        <v>feibing01_Lv3</v>
      </c>
      <c r="I1462" s="20">
        <f t="shared" si="1162"/>
        <v>1.2</v>
      </c>
      <c r="J1462" s="17">
        <v>6</v>
      </c>
      <c r="K1462" s="17">
        <f t="shared" si="1158"/>
        <v>40707</v>
      </c>
      <c r="L1462" s="17" t="s">
        <v>227</v>
      </c>
      <c r="M1462" s="17" t="str">
        <f t="shared" si="1163"/>
        <v>1:10400:5</v>
      </c>
      <c r="N1462" s="16" t="str">
        <f t="shared" si="1132"/>
        <v>10031:1</v>
      </c>
      <c r="O1462" s="17">
        <f t="shared" si="1139"/>
        <v>8</v>
      </c>
      <c r="P1462" s="21" t="s">
        <v>4703</v>
      </c>
      <c r="Q1462" s="21"/>
      <c r="R1462" t="s">
        <v>4697</v>
      </c>
      <c r="T1462" t="str">
        <f t="shared" si="1164"/>
        <v>:1</v>
      </c>
      <c r="U1462" t="str">
        <f t="shared" si="1128"/>
        <v>马骑</v>
      </c>
      <c r="V1462" t="s">
        <v>4695</v>
      </c>
      <c r="W1462">
        <f>属性类型!G1462</f>
        <v>10031</v>
      </c>
      <c r="X1462">
        <v>1</v>
      </c>
    </row>
    <row r="1463" customFormat="1" ht="16.5" spans="1:24">
      <c r="A1463" s="17">
        <f t="shared" si="1159"/>
        <v>40707</v>
      </c>
      <c r="B1463" s="17">
        <f t="shared" si="1142"/>
        <v>40700</v>
      </c>
      <c r="C1463" s="17" t="str">
        <f t="shared" si="1157"/>
        <v>4</v>
      </c>
      <c r="D1463" s="17">
        <f t="shared" si="1120"/>
        <v>40001</v>
      </c>
      <c r="E1463" s="17">
        <v>2</v>
      </c>
      <c r="F1463" s="17">
        <f t="shared" si="1135"/>
        <v>1</v>
      </c>
      <c r="G1463" s="17" t="str">
        <f t="shared" si="1160"/>
        <v>圣天马骑士防御百分比</v>
      </c>
      <c r="H1463" s="17" t="str">
        <f t="shared" si="1161"/>
        <v>feibing01_Lv3</v>
      </c>
      <c r="I1463" s="20">
        <f t="shared" si="1162"/>
        <v>1.2</v>
      </c>
      <c r="J1463" s="17">
        <v>7</v>
      </c>
      <c r="K1463" s="17">
        <f t="shared" si="1158"/>
        <v>40708</v>
      </c>
      <c r="L1463" s="17" t="s">
        <v>230</v>
      </c>
      <c r="M1463" s="17" t="str">
        <f t="shared" si="1163"/>
        <v>1:10400:5</v>
      </c>
      <c r="N1463" s="16" t="str">
        <f t="shared" si="1132"/>
        <v>10031:1</v>
      </c>
      <c r="O1463" s="17">
        <f t="shared" si="1139"/>
        <v>8</v>
      </c>
      <c r="P1463" s="21" t="s">
        <v>4704</v>
      </c>
      <c r="Q1463" s="21"/>
      <c r="R1463" t="s">
        <v>4697</v>
      </c>
      <c r="T1463" t="str">
        <f t="shared" si="1164"/>
        <v>:1</v>
      </c>
      <c r="U1463" t="str">
        <f t="shared" si="1128"/>
        <v>马骑</v>
      </c>
      <c r="V1463" t="s">
        <v>4695</v>
      </c>
      <c r="W1463">
        <f>属性类型!G1463</f>
        <v>10031</v>
      </c>
      <c r="X1463">
        <v>1</v>
      </c>
    </row>
    <row r="1464" customFormat="1" ht="16.5" spans="1:24">
      <c r="A1464" s="17">
        <f t="shared" si="1159"/>
        <v>40708</v>
      </c>
      <c r="B1464" s="17">
        <f t="shared" si="1142"/>
        <v>40700</v>
      </c>
      <c r="C1464" s="17" t="str">
        <f t="shared" si="1157"/>
        <v>4</v>
      </c>
      <c r="D1464" s="17">
        <f t="shared" si="1120"/>
        <v>40001</v>
      </c>
      <c r="E1464" s="17">
        <v>2</v>
      </c>
      <c r="F1464" s="17">
        <f t="shared" si="1135"/>
        <v>1</v>
      </c>
      <c r="G1464" s="17" t="str">
        <f t="shared" si="1160"/>
        <v>圣天马骑士防御百分比</v>
      </c>
      <c r="H1464" s="17" t="str">
        <f t="shared" si="1161"/>
        <v>feibing01_Lv3</v>
      </c>
      <c r="I1464" s="20">
        <f t="shared" si="1162"/>
        <v>1.2</v>
      </c>
      <c r="J1464" s="17">
        <v>8</v>
      </c>
      <c r="K1464" s="17">
        <f t="shared" si="1158"/>
        <v>40709</v>
      </c>
      <c r="L1464" s="17" t="s">
        <v>233</v>
      </c>
      <c r="M1464" s="17" t="str">
        <f t="shared" si="1163"/>
        <v>1:10400:5</v>
      </c>
      <c r="N1464" s="16" t="str">
        <f t="shared" si="1132"/>
        <v>10031:1</v>
      </c>
      <c r="O1464" s="17">
        <f t="shared" si="1139"/>
        <v>8</v>
      </c>
      <c r="P1464" s="21" t="s">
        <v>4705</v>
      </c>
      <c r="Q1464" s="21"/>
      <c r="R1464" t="s">
        <v>4697</v>
      </c>
      <c r="T1464" t="str">
        <f t="shared" si="1164"/>
        <v>:1</v>
      </c>
      <c r="U1464" t="str">
        <f t="shared" si="1128"/>
        <v>马骑</v>
      </c>
      <c r="V1464" t="s">
        <v>4695</v>
      </c>
      <c r="W1464">
        <f>属性类型!G1464</f>
        <v>10031</v>
      </c>
      <c r="X1464">
        <v>1</v>
      </c>
    </row>
    <row r="1465" customFormat="1" ht="16.5" spans="1:24">
      <c r="A1465" s="17">
        <f t="shared" si="1159"/>
        <v>40709</v>
      </c>
      <c r="B1465" s="17">
        <f t="shared" si="1142"/>
        <v>40700</v>
      </c>
      <c r="C1465" s="17" t="str">
        <f t="shared" si="1157"/>
        <v>4</v>
      </c>
      <c r="D1465" s="17">
        <f>$A$1399+F1465</f>
        <v>40001</v>
      </c>
      <c r="E1465" s="17">
        <v>2</v>
      </c>
      <c r="F1465" s="17">
        <f t="shared" si="1135"/>
        <v>1</v>
      </c>
      <c r="G1465" s="17" t="str">
        <f t="shared" si="1160"/>
        <v>圣天马骑士防御百分比</v>
      </c>
      <c r="H1465" s="17" t="str">
        <f t="shared" si="1161"/>
        <v>feibing01_Lv3</v>
      </c>
      <c r="I1465" s="20">
        <f t="shared" si="1162"/>
        <v>1.2</v>
      </c>
      <c r="J1465" s="17">
        <v>9</v>
      </c>
      <c r="K1465" s="17">
        <f t="shared" si="1158"/>
        <v>40710</v>
      </c>
      <c r="L1465" s="17" t="s">
        <v>236</v>
      </c>
      <c r="M1465" s="17" t="str">
        <f t="shared" si="1163"/>
        <v>1:10400:5</v>
      </c>
      <c r="N1465" s="16" t="str">
        <f t="shared" si="1132"/>
        <v>10031:1</v>
      </c>
      <c r="O1465" s="17">
        <f t="shared" si="1139"/>
        <v>8</v>
      </c>
      <c r="P1465" s="21" t="s">
        <v>4706</v>
      </c>
      <c r="Q1465" s="21"/>
      <c r="R1465" t="s">
        <v>4697</v>
      </c>
      <c r="T1465" t="str">
        <f t="shared" si="1164"/>
        <v>:1</v>
      </c>
      <c r="U1465" t="str">
        <f t="shared" si="1128"/>
        <v>马骑</v>
      </c>
      <c r="V1465" t="s">
        <v>4695</v>
      </c>
      <c r="W1465">
        <f>属性类型!G1465</f>
        <v>10031</v>
      </c>
      <c r="X1465">
        <v>1</v>
      </c>
    </row>
    <row r="1466" customFormat="1" ht="16.5" spans="1:24">
      <c r="A1466" s="17">
        <f t="shared" si="1159"/>
        <v>40710</v>
      </c>
      <c r="B1466" s="17">
        <f t="shared" si="1142"/>
        <v>40700</v>
      </c>
      <c r="C1466" s="17" t="str">
        <f t="shared" si="1157"/>
        <v>4</v>
      </c>
      <c r="D1466" s="17">
        <f>$A$1399+F1466</f>
        <v>40001</v>
      </c>
      <c r="E1466" s="17">
        <v>2</v>
      </c>
      <c r="F1466" s="17">
        <f t="shared" si="1135"/>
        <v>1</v>
      </c>
      <c r="G1466" s="17" t="str">
        <f t="shared" si="1160"/>
        <v>圣天马骑士防御百分比</v>
      </c>
      <c r="H1466" s="17" t="str">
        <f t="shared" si="1161"/>
        <v>feibing01_Lv3</v>
      </c>
      <c r="I1466" s="20">
        <f t="shared" si="1162"/>
        <v>1.2</v>
      </c>
      <c r="J1466" s="17">
        <v>10</v>
      </c>
      <c r="K1466" s="17">
        <f t="shared" si="1158"/>
        <v>40711</v>
      </c>
      <c r="L1466" s="17" t="s">
        <v>238</v>
      </c>
      <c r="M1466" s="17" t="str">
        <f t="shared" si="1163"/>
        <v>1:10400:5</v>
      </c>
      <c r="N1466" s="16" t="str">
        <f t="shared" si="1132"/>
        <v>10031:1</v>
      </c>
      <c r="O1466" s="17">
        <f t="shared" si="1139"/>
        <v>8</v>
      </c>
      <c r="P1466" s="21" t="s">
        <v>4707</v>
      </c>
      <c r="Q1466" s="21"/>
      <c r="R1466" t="s">
        <v>4697</v>
      </c>
      <c r="T1466" t="str">
        <f t="shared" si="1164"/>
        <v>:1</v>
      </c>
      <c r="U1466" t="str">
        <f t="shared" si="1128"/>
        <v>马骑</v>
      </c>
      <c r="V1466" t="s">
        <v>4695</v>
      </c>
      <c r="W1466">
        <f>属性类型!G1466</f>
        <v>10031</v>
      </c>
      <c r="X1466">
        <v>1</v>
      </c>
    </row>
    <row r="1467" customFormat="1" ht="16.5" spans="1:24">
      <c r="A1467" s="17">
        <f t="shared" ref="A1467:A1478" si="1165">A1466+1</f>
        <v>40711</v>
      </c>
      <c r="B1467" s="17">
        <f t="shared" ref="B1467:B1487" si="1166">ROUND(A1467,-2)</f>
        <v>40700</v>
      </c>
      <c r="C1467" s="17" t="str">
        <f t="shared" ref="C1467:C1487" si="1167">LEFT(A1467,1)</f>
        <v>4</v>
      </c>
      <c r="D1467" s="17">
        <f t="shared" ref="D1467:D1487" si="1168">$A$1399+F1467</f>
        <v>40001</v>
      </c>
      <c r="E1467" s="17">
        <v>2</v>
      </c>
      <c r="F1467" s="17">
        <f t="shared" si="1135"/>
        <v>1</v>
      </c>
      <c r="G1467" s="17" t="str">
        <f t="shared" si="1160"/>
        <v>圣天马骑士防御百分比</v>
      </c>
      <c r="H1467" s="17" t="str">
        <f t="shared" si="1161"/>
        <v>feibing01_Lv3</v>
      </c>
      <c r="I1467" s="20">
        <f t="shared" si="1162"/>
        <v>1.2</v>
      </c>
      <c r="J1467" s="17">
        <v>11</v>
      </c>
      <c r="K1467" s="17">
        <f t="shared" si="1158"/>
        <v>40712</v>
      </c>
      <c r="L1467" s="17" t="s">
        <v>529</v>
      </c>
      <c r="M1467" s="17" t="str">
        <f t="shared" si="1163"/>
        <v>1:10400:5</v>
      </c>
      <c r="N1467" s="16" t="str">
        <f t="shared" si="1132"/>
        <v>10031:1</v>
      </c>
      <c r="O1467" s="17">
        <f t="shared" si="1139"/>
        <v>8</v>
      </c>
      <c r="P1467" s="21" t="s">
        <v>4708</v>
      </c>
      <c r="Q1467" s="21"/>
      <c r="R1467" t="s">
        <v>4697</v>
      </c>
      <c r="U1467" t="str">
        <f t="shared" si="1128"/>
        <v>马骑</v>
      </c>
      <c r="V1467" t="s">
        <v>4695</v>
      </c>
      <c r="W1467">
        <f>属性类型!G1467</f>
        <v>10031</v>
      </c>
      <c r="X1467">
        <v>1</v>
      </c>
    </row>
    <row r="1468" customFormat="1" ht="16.5" spans="1:24">
      <c r="A1468" s="17">
        <f t="shared" si="1165"/>
        <v>40712</v>
      </c>
      <c r="B1468" s="17">
        <f t="shared" si="1166"/>
        <v>40700</v>
      </c>
      <c r="C1468" s="17" t="str">
        <f t="shared" si="1167"/>
        <v>4</v>
      </c>
      <c r="D1468" s="17">
        <f t="shared" si="1168"/>
        <v>40001</v>
      </c>
      <c r="E1468" s="17">
        <v>2</v>
      </c>
      <c r="F1468" s="17">
        <f t="shared" si="1135"/>
        <v>1</v>
      </c>
      <c r="G1468" s="17" t="str">
        <f t="shared" si="1160"/>
        <v>圣天马骑士防御百分比</v>
      </c>
      <c r="H1468" s="17" t="str">
        <f t="shared" si="1161"/>
        <v>feibing01_Lv3</v>
      </c>
      <c r="I1468" s="20">
        <f t="shared" si="1162"/>
        <v>1.2</v>
      </c>
      <c r="J1468" s="17">
        <v>12</v>
      </c>
      <c r="K1468" s="17">
        <f t="shared" si="1158"/>
        <v>40713</v>
      </c>
      <c r="L1468" s="17" t="s">
        <v>532</v>
      </c>
      <c r="M1468" s="17" t="str">
        <f t="shared" si="1163"/>
        <v>1:10400:5</v>
      </c>
      <c r="N1468" s="16" t="str">
        <f t="shared" si="1132"/>
        <v>10031:1</v>
      </c>
      <c r="O1468" s="17">
        <f t="shared" si="1139"/>
        <v>8</v>
      </c>
      <c r="P1468" s="21" t="s">
        <v>4709</v>
      </c>
      <c r="Q1468" s="21"/>
      <c r="R1468" t="s">
        <v>4697</v>
      </c>
      <c r="U1468" t="str">
        <f t="shared" si="1128"/>
        <v>马骑</v>
      </c>
      <c r="V1468" t="s">
        <v>4695</v>
      </c>
      <c r="W1468">
        <f>属性类型!G1468</f>
        <v>10031</v>
      </c>
      <c r="X1468">
        <v>1</v>
      </c>
    </row>
    <row r="1469" customFormat="1" ht="16.5" spans="1:24">
      <c r="A1469" s="17">
        <f t="shared" si="1165"/>
        <v>40713</v>
      </c>
      <c r="B1469" s="17">
        <f t="shared" si="1166"/>
        <v>40700</v>
      </c>
      <c r="C1469" s="17" t="str">
        <f t="shared" si="1167"/>
        <v>4</v>
      </c>
      <c r="D1469" s="17">
        <f t="shared" si="1168"/>
        <v>40001</v>
      </c>
      <c r="E1469" s="17">
        <v>2</v>
      </c>
      <c r="F1469" s="17">
        <f t="shared" si="1135"/>
        <v>1</v>
      </c>
      <c r="G1469" s="17" t="str">
        <f t="shared" si="1160"/>
        <v>圣天马骑士防御百分比</v>
      </c>
      <c r="H1469" s="17" t="str">
        <f t="shared" si="1161"/>
        <v>feibing01_Lv3</v>
      </c>
      <c r="I1469" s="20">
        <f t="shared" si="1162"/>
        <v>1.2</v>
      </c>
      <c r="J1469" s="17">
        <v>13</v>
      </c>
      <c r="K1469" s="17">
        <f t="shared" si="1158"/>
        <v>40714</v>
      </c>
      <c r="L1469" s="17" t="s">
        <v>561</v>
      </c>
      <c r="M1469" s="17" t="str">
        <f t="shared" si="1163"/>
        <v>1:10400:5</v>
      </c>
      <c r="N1469" s="16" t="str">
        <f t="shared" si="1132"/>
        <v>10031:1</v>
      </c>
      <c r="O1469" s="17">
        <f t="shared" si="1139"/>
        <v>8</v>
      </c>
      <c r="P1469" s="21" t="s">
        <v>4710</v>
      </c>
      <c r="Q1469" s="21"/>
      <c r="R1469" t="s">
        <v>4697</v>
      </c>
      <c r="U1469" t="str">
        <f t="shared" si="1128"/>
        <v>马骑</v>
      </c>
      <c r="V1469" t="s">
        <v>4695</v>
      </c>
      <c r="W1469">
        <f>属性类型!G1469</f>
        <v>10031</v>
      </c>
      <c r="X1469">
        <v>1</v>
      </c>
    </row>
    <row r="1470" customFormat="1" ht="16.5" spans="1:24">
      <c r="A1470" s="17">
        <f t="shared" si="1165"/>
        <v>40714</v>
      </c>
      <c r="B1470" s="17">
        <f t="shared" si="1166"/>
        <v>40700</v>
      </c>
      <c r="C1470" s="17" t="str">
        <f t="shared" si="1167"/>
        <v>4</v>
      </c>
      <c r="D1470" s="17">
        <f t="shared" si="1168"/>
        <v>40001</v>
      </c>
      <c r="E1470" s="17">
        <v>2</v>
      </c>
      <c r="F1470" s="17">
        <f t="shared" si="1135"/>
        <v>1</v>
      </c>
      <c r="G1470" s="17" t="str">
        <f t="shared" si="1160"/>
        <v>圣天马骑士防御百分比</v>
      </c>
      <c r="H1470" s="17" t="str">
        <f t="shared" si="1161"/>
        <v>feibing01_Lv3</v>
      </c>
      <c r="I1470" s="20">
        <f t="shared" si="1162"/>
        <v>1.2</v>
      </c>
      <c r="J1470" s="17">
        <v>14</v>
      </c>
      <c r="K1470" s="17">
        <f t="shared" si="1158"/>
        <v>40715</v>
      </c>
      <c r="L1470" s="17" t="s">
        <v>564</v>
      </c>
      <c r="M1470" s="17" t="str">
        <f t="shared" si="1163"/>
        <v>1:10400:5</v>
      </c>
      <c r="N1470" s="16" t="str">
        <f t="shared" si="1132"/>
        <v>10031:1</v>
      </c>
      <c r="O1470" s="17">
        <f t="shared" si="1139"/>
        <v>8</v>
      </c>
      <c r="P1470" s="21" t="s">
        <v>4711</v>
      </c>
      <c r="Q1470" s="21"/>
      <c r="R1470" t="s">
        <v>4697</v>
      </c>
      <c r="U1470" t="str">
        <f t="shared" si="1128"/>
        <v>马骑</v>
      </c>
      <c r="V1470" t="s">
        <v>4695</v>
      </c>
      <c r="W1470">
        <f>属性类型!G1470</f>
        <v>10031</v>
      </c>
      <c r="X1470">
        <v>1</v>
      </c>
    </row>
    <row r="1471" customFormat="1" ht="16.5" spans="1:24">
      <c r="A1471" s="17">
        <f t="shared" si="1165"/>
        <v>40715</v>
      </c>
      <c r="B1471" s="17">
        <f t="shared" si="1166"/>
        <v>40700</v>
      </c>
      <c r="C1471" s="17" t="str">
        <f t="shared" si="1167"/>
        <v>4</v>
      </c>
      <c r="D1471" s="17">
        <f t="shared" si="1168"/>
        <v>40001</v>
      </c>
      <c r="E1471" s="17">
        <v>2</v>
      </c>
      <c r="F1471" s="17">
        <f t="shared" si="1135"/>
        <v>1</v>
      </c>
      <c r="G1471" s="17" t="str">
        <f t="shared" si="1160"/>
        <v>圣天马骑士防御百分比</v>
      </c>
      <c r="H1471" s="17" t="str">
        <f t="shared" si="1161"/>
        <v>feibing01_Lv3</v>
      </c>
      <c r="I1471" s="20">
        <f t="shared" si="1162"/>
        <v>1.2</v>
      </c>
      <c r="J1471" s="17">
        <v>15</v>
      </c>
      <c r="K1471" s="17">
        <f t="shared" si="1158"/>
        <v>40716</v>
      </c>
      <c r="L1471" s="17" t="s">
        <v>630</v>
      </c>
      <c r="M1471" s="17" t="str">
        <f t="shared" si="1163"/>
        <v>1:10400:5</v>
      </c>
      <c r="N1471" s="16" t="str">
        <f t="shared" si="1132"/>
        <v>10031:1</v>
      </c>
      <c r="O1471" s="17">
        <f t="shared" si="1139"/>
        <v>8</v>
      </c>
      <c r="P1471" s="21" t="s">
        <v>4712</v>
      </c>
      <c r="Q1471" s="21"/>
      <c r="R1471" t="s">
        <v>4697</v>
      </c>
      <c r="U1471" t="str">
        <f t="shared" si="1128"/>
        <v>马骑</v>
      </c>
      <c r="V1471" t="s">
        <v>4695</v>
      </c>
      <c r="W1471">
        <f>属性类型!G1471</f>
        <v>10031</v>
      </c>
      <c r="X1471">
        <v>1</v>
      </c>
    </row>
    <row r="1472" customFormat="1" ht="16.5" spans="1:24">
      <c r="A1472" s="17">
        <f t="shared" si="1165"/>
        <v>40716</v>
      </c>
      <c r="B1472" s="17">
        <f t="shared" si="1166"/>
        <v>40700</v>
      </c>
      <c r="C1472" s="17" t="str">
        <f t="shared" si="1167"/>
        <v>4</v>
      </c>
      <c r="D1472" s="17">
        <f t="shared" si="1168"/>
        <v>40001</v>
      </c>
      <c r="E1472" s="17">
        <v>2</v>
      </c>
      <c r="F1472" s="17">
        <f t="shared" si="1135"/>
        <v>1</v>
      </c>
      <c r="G1472" s="17" t="str">
        <f t="shared" si="1160"/>
        <v>圣天马骑士防御百分比</v>
      </c>
      <c r="H1472" s="17" t="str">
        <f t="shared" si="1161"/>
        <v>feibing01_Lv3</v>
      </c>
      <c r="I1472" s="20">
        <f t="shared" si="1162"/>
        <v>1.2</v>
      </c>
      <c r="J1472" s="17">
        <v>16</v>
      </c>
      <c r="K1472" s="17">
        <f t="shared" si="1158"/>
        <v>40717</v>
      </c>
      <c r="L1472" s="17" t="s">
        <v>633</v>
      </c>
      <c r="M1472" s="17" t="str">
        <f t="shared" si="1163"/>
        <v>1:10400:5</v>
      </c>
      <c r="N1472" s="16" t="str">
        <f t="shared" si="1132"/>
        <v>10031:1</v>
      </c>
      <c r="O1472" s="17">
        <f t="shared" si="1139"/>
        <v>8</v>
      </c>
      <c r="P1472" s="21" t="s">
        <v>4713</v>
      </c>
      <c r="Q1472" s="21"/>
      <c r="R1472" t="s">
        <v>4697</v>
      </c>
      <c r="U1472" t="str">
        <f t="shared" si="1128"/>
        <v>马骑</v>
      </c>
      <c r="V1472" t="s">
        <v>4695</v>
      </c>
      <c r="W1472">
        <f>属性类型!G1472</f>
        <v>10031</v>
      </c>
      <c r="X1472">
        <v>1</v>
      </c>
    </row>
    <row r="1473" customFormat="1" ht="16.5" spans="1:24">
      <c r="A1473" s="17">
        <f t="shared" si="1165"/>
        <v>40717</v>
      </c>
      <c r="B1473" s="17">
        <f t="shared" si="1166"/>
        <v>40700</v>
      </c>
      <c r="C1473" s="17" t="str">
        <f t="shared" si="1167"/>
        <v>4</v>
      </c>
      <c r="D1473" s="17">
        <f t="shared" si="1168"/>
        <v>40001</v>
      </c>
      <c r="E1473" s="17">
        <v>2</v>
      </c>
      <c r="F1473" s="17">
        <f t="shared" si="1135"/>
        <v>1</v>
      </c>
      <c r="G1473" s="17" t="str">
        <f t="shared" si="1160"/>
        <v>圣天马骑士防御百分比</v>
      </c>
      <c r="H1473" s="17" t="str">
        <f t="shared" si="1161"/>
        <v>feibing01_Lv3</v>
      </c>
      <c r="I1473" s="20">
        <f t="shared" si="1162"/>
        <v>1.2</v>
      </c>
      <c r="J1473" s="17">
        <v>17</v>
      </c>
      <c r="K1473" s="17">
        <f t="shared" si="1158"/>
        <v>40718</v>
      </c>
      <c r="L1473" s="17" t="s">
        <v>637</v>
      </c>
      <c r="M1473" s="17" t="str">
        <f t="shared" si="1163"/>
        <v>1:10400:5</v>
      </c>
      <c r="N1473" s="16" t="str">
        <f t="shared" si="1132"/>
        <v>10031:1</v>
      </c>
      <c r="O1473" s="17">
        <f t="shared" si="1139"/>
        <v>8</v>
      </c>
      <c r="P1473" s="21" t="s">
        <v>4714</v>
      </c>
      <c r="Q1473" s="21"/>
      <c r="R1473" t="s">
        <v>4697</v>
      </c>
      <c r="U1473" t="str">
        <f t="shared" si="1128"/>
        <v>马骑</v>
      </c>
      <c r="V1473" t="s">
        <v>4695</v>
      </c>
      <c r="W1473">
        <f>属性类型!G1473</f>
        <v>10031</v>
      </c>
      <c r="X1473">
        <v>1</v>
      </c>
    </row>
    <row r="1474" customFormat="1" ht="16.5" spans="1:24">
      <c r="A1474" s="17">
        <f t="shared" si="1165"/>
        <v>40718</v>
      </c>
      <c r="B1474" s="17">
        <f t="shared" si="1166"/>
        <v>40700</v>
      </c>
      <c r="C1474" s="17" t="str">
        <f t="shared" si="1167"/>
        <v>4</v>
      </c>
      <c r="D1474" s="17">
        <f t="shared" si="1168"/>
        <v>40001</v>
      </c>
      <c r="E1474" s="17">
        <v>2</v>
      </c>
      <c r="F1474" s="17">
        <f t="shared" si="1135"/>
        <v>1</v>
      </c>
      <c r="G1474" s="17" t="str">
        <f t="shared" si="1160"/>
        <v>圣天马骑士防御百分比</v>
      </c>
      <c r="H1474" s="17" t="str">
        <f t="shared" si="1161"/>
        <v>feibing01_Lv3</v>
      </c>
      <c r="I1474" s="20">
        <f t="shared" si="1162"/>
        <v>1.2</v>
      </c>
      <c r="J1474" s="17">
        <v>18</v>
      </c>
      <c r="K1474" s="17">
        <f t="shared" si="1158"/>
        <v>40719</v>
      </c>
      <c r="L1474" s="17" t="s">
        <v>641</v>
      </c>
      <c r="M1474" s="17" t="str">
        <f t="shared" si="1163"/>
        <v>1:10400:5</v>
      </c>
      <c r="N1474" s="16" t="str">
        <f t="shared" si="1132"/>
        <v>10031:1</v>
      </c>
      <c r="O1474" s="17">
        <f t="shared" si="1139"/>
        <v>8</v>
      </c>
      <c r="P1474" s="21" t="s">
        <v>4715</v>
      </c>
      <c r="Q1474" s="21"/>
      <c r="R1474" t="s">
        <v>4697</v>
      </c>
      <c r="U1474" t="str">
        <f t="shared" si="1128"/>
        <v>马骑</v>
      </c>
      <c r="V1474" t="s">
        <v>4695</v>
      </c>
      <c r="W1474">
        <f>属性类型!G1474</f>
        <v>10031</v>
      </c>
      <c r="X1474">
        <v>1</v>
      </c>
    </row>
    <row r="1475" customFormat="1" ht="16.5" spans="1:24">
      <c r="A1475" s="17">
        <f t="shared" si="1165"/>
        <v>40719</v>
      </c>
      <c r="B1475" s="17">
        <f t="shared" si="1166"/>
        <v>40700</v>
      </c>
      <c r="C1475" s="17" t="str">
        <f t="shared" si="1167"/>
        <v>4</v>
      </c>
      <c r="D1475" s="17">
        <f t="shared" si="1168"/>
        <v>40001</v>
      </c>
      <c r="E1475" s="17">
        <v>2</v>
      </c>
      <c r="F1475" s="17">
        <f t="shared" si="1135"/>
        <v>1</v>
      </c>
      <c r="G1475" s="17" t="str">
        <f t="shared" si="1160"/>
        <v>圣天马骑士防御百分比</v>
      </c>
      <c r="H1475" s="17" t="str">
        <f t="shared" si="1161"/>
        <v>feibing01_Lv3</v>
      </c>
      <c r="I1475" s="20">
        <f t="shared" si="1162"/>
        <v>1.2</v>
      </c>
      <c r="J1475" s="17">
        <v>19</v>
      </c>
      <c r="K1475" s="17">
        <f t="shared" si="1158"/>
        <v>40720</v>
      </c>
      <c r="L1475" s="17" t="s">
        <v>645</v>
      </c>
      <c r="M1475" s="17" t="str">
        <f t="shared" si="1163"/>
        <v>1:10400:5</v>
      </c>
      <c r="N1475" s="16" t="str">
        <f t="shared" si="1132"/>
        <v>10031:1</v>
      </c>
      <c r="O1475" s="17">
        <f t="shared" si="1139"/>
        <v>8</v>
      </c>
      <c r="P1475" s="21" t="s">
        <v>4716</v>
      </c>
      <c r="Q1475" s="21"/>
      <c r="R1475" t="s">
        <v>4697</v>
      </c>
      <c r="U1475" t="str">
        <f t="shared" si="1128"/>
        <v>马骑</v>
      </c>
      <c r="V1475" t="s">
        <v>4695</v>
      </c>
      <c r="W1475">
        <f>属性类型!G1475</f>
        <v>10031</v>
      </c>
      <c r="X1475">
        <v>1</v>
      </c>
    </row>
    <row r="1476" customFormat="1" ht="16.5" spans="1:24">
      <c r="A1476" s="17">
        <f t="shared" si="1165"/>
        <v>40720</v>
      </c>
      <c r="B1476" s="17">
        <f t="shared" si="1166"/>
        <v>40700</v>
      </c>
      <c r="C1476" s="17" t="str">
        <f t="shared" si="1167"/>
        <v>4</v>
      </c>
      <c r="D1476" s="17">
        <f t="shared" si="1168"/>
        <v>40001</v>
      </c>
      <c r="E1476" s="17">
        <v>2</v>
      </c>
      <c r="F1476" s="17">
        <f t="shared" si="1135"/>
        <v>1</v>
      </c>
      <c r="G1476" s="17" t="str">
        <f t="shared" si="1160"/>
        <v>圣天马骑士防御百分比</v>
      </c>
      <c r="H1476" s="17" t="str">
        <f t="shared" si="1161"/>
        <v>feibing01_Lv3</v>
      </c>
      <c r="I1476" s="20">
        <f t="shared" si="1162"/>
        <v>1.2</v>
      </c>
      <c r="J1476" s="17">
        <v>20</v>
      </c>
      <c r="K1476" s="17">
        <v>0</v>
      </c>
      <c r="L1476" s="17">
        <v>0</v>
      </c>
      <c r="M1476" s="17" t="str">
        <f t="shared" si="1163"/>
        <v>1:10400:5</v>
      </c>
      <c r="N1476" s="16" t="str">
        <f t="shared" si="1132"/>
        <v>10031:1</v>
      </c>
      <c r="O1476" s="17">
        <f t="shared" si="1139"/>
        <v>8</v>
      </c>
      <c r="P1476" s="21" t="s">
        <v>4716</v>
      </c>
      <c r="Q1476" s="21"/>
      <c r="R1476" t="s">
        <v>4697</v>
      </c>
      <c r="U1476" t="str">
        <f t="shared" si="1128"/>
        <v>马骑</v>
      </c>
      <c r="V1476" t="s">
        <v>4695</v>
      </c>
      <c r="W1476">
        <f>属性类型!G1476</f>
        <v>10031</v>
      </c>
      <c r="X1476">
        <v>1</v>
      </c>
    </row>
    <row r="1477" customFormat="1" ht="16.5" spans="1:24">
      <c r="A1477" s="18">
        <f>A1456+100</f>
        <v>40800</v>
      </c>
      <c r="B1477" s="18">
        <f t="shared" si="1166"/>
        <v>40800</v>
      </c>
      <c r="C1477" s="18" t="str">
        <f t="shared" si="1167"/>
        <v>4</v>
      </c>
      <c r="D1477" s="17">
        <f t="shared" si="1168"/>
        <v>40001</v>
      </c>
      <c r="E1477" s="17">
        <v>2</v>
      </c>
      <c r="F1477" s="18">
        <f t="shared" si="1135"/>
        <v>1</v>
      </c>
      <c r="G1477" s="18" t="s">
        <v>4717</v>
      </c>
      <c r="H1477" s="18" t="s">
        <v>2323</v>
      </c>
      <c r="I1477" s="20">
        <v>1.2</v>
      </c>
      <c r="J1477" s="18">
        <v>0</v>
      </c>
      <c r="K1477" s="18">
        <f t="shared" ref="K1477:K1496" si="1169">A1478</f>
        <v>40801</v>
      </c>
      <c r="L1477" s="18" t="s">
        <v>206</v>
      </c>
      <c r="M1477" s="18" t="s">
        <v>244</v>
      </c>
      <c r="N1477" s="16" t="str">
        <f t="shared" si="1132"/>
        <v>10032:1</v>
      </c>
      <c r="O1477" s="18">
        <f t="shared" si="1139"/>
        <v>9</v>
      </c>
      <c r="P1477" s="21" t="s">
        <v>4718</v>
      </c>
      <c r="Q1477" s="21"/>
      <c r="R1477" t="s">
        <v>4697</v>
      </c>
      <c r="T1477" t="str">
        <f>RIGHT(N1477,1)</f>
        <v>1</v>
      </c>
      <c r="U1477" t="str">
        <f t="shared" ref="U1477:U1540" si="1170">MID(P1477,3,2)</f>
        <v>马骑</v>
      </c>
      <c r="V1477" t="s">
        <v>4717</v>
      </c>
      <c r="W1477">
        <f>属性类型!G1477</f>
        <v>10032</v>
      </c>
      <c r="X1477">
        <v>1</v>
      </c>
    </row>
    <row r="1478" customFormat="1" ht="16.5" spans="1:24">
      <c r="A1478" s="17">
        <f t="shared" ref="A1478:A1487" si="1171">A1477+1</f>
        <v>40801</v>
      </c>
      <c r="B1478" s="17">
        <f t="shared" si="1166"/>
        <v>40800</v>
      </c>
      <c r="C1478" s="17" t="str">
        <f t="shared" si="1167"/>
        <v>4</v>
      </c>
      <c r="D1478" s="17">
        <f t="shared" si="1168"/>
        <v>40001</v>
      </c>
      <c r="E1478" s="17">
        <v>2</v>
      </c>
      <c r="F1478" s="17">
        <f t="shared" si="1135"/>
        <v>1</v>
      </c>
      <c r="G1478" s="17" t="str">
        <f t="shared" ref="G1478:G1497" si="1172">G1477</f>
        <v>圣天马骑士攻击百分比</v>
      </c>
      <c r="H1478" s="17" t="str">
        <f t="shared" ref="H1478:H1497" si="1173">H1477</f>
        <v>feibing01_Lv3</v>
      </c>
      <c r="I1478" s="20">
        <f t="shared" ref="I1478:I1497" si="1174">I1477</f>
        <v>1.2</v>
      </c>
      <c r="J1478" s="17">
        <v>1</v>
      </c>
      <c r="K1478" s="17">
        <f t="shared" si="1169"/>
        <v>40802</v>
      </c>
      <c r="L1478" s="17" t="s">
        <v>211</v>
      </c>
      <c r="M1478" s="17" t="str">
        <f t="shared" ref="M1478:M1497" si="1175">M1477</f>
        <v>1:10500:5</v>
      </c>
      <c r="N1478" s="16" t="str">
        <f t="shared" si="1132"/>
        <v>10032:1</v>
      </c>
      <c r="O1478" s="17">
        <f t="shared" si="1139"/>
        <v>9</v>
      </c>
      <c r="P1478" s="21" t="s">
        <v>4719</v>
      </c>
      <c r="Q1478" s="21"/>
      <c r="R1478" t="s">
        <v>4697</v>
      </c>
      <c r="T1478" t="str">
        <f t="shared" ref="T1478:T1487" si="1176">RIGHT(N1478,2)</f>
        <v>:1</v>
      </c>
      <c r="U1478" t="str">
        <f t="shared" si="1170"/>
        <v>马骑</v>
      </c>
      <c r="V1478" t="s">
        <v>4717</v>
      </c>
      <c r="W1478">
        <f>属性类型!G1478</f>
        <v>10032</v>
      </c>
      <c r="X1478">
        <v>1</v>
      </c>
    </row>
    <row r="1479" customFormat="1" ht="16.5" spans="1:24">
      <c r="A1479" s="17">
        <f t="shared" si="1171"/>
        <v>40802</v>
      </c>
      <c r="B1479" s="17">
        <f t="shared" si="1166"/>
        <v>40800</v>
      </c>
      <c r="C1479" s="17" t="str">
        <f t="shared" si="1167"/>
        <v>4</v>
      </c>
      <c r="D1479" s="17">
        <f t="shared" si="1168"/>
        <v>40001</v>
      </c>
      <c r="E1479" s="17">
        <v>2</v>
      </c>
      <c r="F1479" s="17">
        <f t="shared" si="1135"/>
        <v>1</v>
      </c>
      <c r="G1479" s="17" t="str">
        <f t="shared" si="1172"/>
        <v>圣天马骑士攻击百分比</v>
      </c>
      <c r="H1479" s="17" t="str">
        <f t="shared" si="1173"/>
        <v>feibing01_Lv3</v>
      </c>
      <c r="I1479" s="20">
        <f t="shared" si="1174"/>
        <v>1.2</v>
      </c>
      <c r="J1479" s="17">
        <v>2</v>
      </c>
      <c r="K1479" s="17">
        <f t="shared" si="1169"/>
        <v>40803</v>
      </c>
      <c r="L1479" s="17" t="s">
        <v>215</v>
      </c>
      <c r="M1479" s="17" t="str">
        <f t="shared" si="1175"/>
        <v>1:10500:5</v>
      </c>
      <c r="N1479" s="16" t="str">
        <f t="shared" si="1132"/>
        <v>10032:1</v>
      </c>
      <c r="O1479" s="17">
        <f t="shared" si="1139"/>
        <v>9</v>
      </c>
      <c r="P1479" s="21" t="s">
        <v>4720</v>
      </c>
      <c r="Q1479" s="21"/>
      <c r="R1479" t="s">
        <v>4697</v>
      </c>
      <c r="T1479" t="str">
        <f t="shared" si="1176"/>
        <v>:1</v>
      </c>
      <c r="U1479" t="str">
        <f t="shared" si="1170"/>
        <v>马骑</v>
      </c>
      <c r="V1479" t="s">
        <v>4717</v>
      </c>
      <c r="W1479">
        <f>属性类型!G1479</f>
        <v>10032</v>
      </c>
      <c r="X1479">
        <v>1</v>
      </c>
    </row>
    <row r="1480" customFormat="1" ht="16.5" spans="1:24">
      <c r="A1480" s="17">
        <f t="shared" si="1171"/>
        <v>40803</v>
      </c>
      <c r="B1480" s="17">
        <f t="shared" si="1166"/>
        <v>40800</v>
      </c>
      <c r="C1480" s="17" t="str">
        <f t="shared" si="1167"/>
        <v>4</v>
      </c>
      <c r="D1480" s="17">
        <f t="shared" si="1168"/>
        <v>40001</v>
      </c>
      <c r="E1480" s="17">
        <v>2</v>
      </c>
      <c r="F1480" s="17">
        <f t="shared" si="1135"/>
        <v>1</v>
      </c>
      <c r="G1480" s="17" t="str">
        <f t="shared" si="1172"/>
        <v>圣天马骑士攻击百分比</v>
      </c>
      <c r="H1480" s="17" t="str">
        <f t="shared" si="1173"/>
        <v>feibing01_Lv3</v>
      </c>
      <c r="I1480" s="20">
        <f t="shared" si="1174"/>
        <v>1.2</v>
      </c>
      <c r="J1480" s="17">
        <v>3</v>
      </c>
      <c r="K1480" s="17">
        <f t="shared" si="1169"/>
        <v>40804</v>
      </c>
      <c r="L1480" s="17" t="s">
        <v>218</v>
      </c>
      <c r="M1480" s="17" t="str">
        <f t="shared" si="1175"/>
        <v>1:10500:5</v>
      </c>
      <c r="N1480" s="16" t="str">
        <f t="shared" si="1132"/>
        <v>10032:1</v>
      </c>
      <c r="O1480" s="17">
        <f t="shared" si="1139"/>
        <v>9</v>
      </c>
      <c r="P1480" s="21" t="s">
        <v>4721</v>
      </c>
      <c r="Q1480" s="21"/>
      <c r="R1480" t="s">
        <v>4697</v>
      </c>
      <c r="T1480" t="str">
        <f t="shared" si="1176"/>
        <v>:1</v>
      </c>
      <c r="U1480" t="str">
        <f t="shared" si="1170"/>
        <v>马骑</v>
      </c>
      <c r="V1480" t="s">
        <v>4717</v>
      </c>
      <c r="W1480">
        <f>属性类型!G1480</f>
        <v>10032</v>
      </c>
      <c r="X1480">
        <v>1</v>
      </c>
    </row>
    <row r="1481" customFormat="1" ht="16.5" spans="1:24">
      <c r="A1481" s="17">
        <f t="shared" si="1171"/>
        <v>40804</v>
      </c>
      <c r="B1481" s="17">
        <f t="shared" si="1166"/>
        <v>40800</v>
      </c>
      <c r="C1481" s="17" t="str">
        <f t="shared" si="1167"/>
        <v>4</v>
      </c>
      <c r="D1481" s="17">
        <f t="shared" si="1168"/>
        <v>40001</v>
      </c>
      <c r="E1481" s="17">
        <v>2</v>
      </c>
      <c r="F1481" s="17">
        <f t="shared" si="1135"/>
        <v>1</v>
      </c>
      <c r="G1481" s="17" t="str">
        <f t="shared" si="1172"/>
        <v>圣天马骑士攻击百分比</v>
      </c>
      <c r="H1481" s="17" t="str">
        <f t="shared" si="1173"/>
        <v>feibing01_Lv3</v>
      </c>
      <c r="I1481" s="20">
        <f t="shared" si="1174"/>
        <v>1.2</v>
      </c>
      <c r="J1481" s="17">
        <v>4</v>
      </c>
      <c r="K1481" s="17">
        <f t="shared" si="1169"/>
        <v>40805</v>
      </c>
      <c r="L1481" s="17" t="s">
        <v>221</v>
      </c>
      <c r="M1481" s="17" t="str">
        <f t="shared" si="1175"/>
        <v>1:10500:5</v>
      </c>
      <c r="N1481" s="16" t="str">
        <f t="shared" si="1132"/>
        <v>10032:1</v>
      </c>
      <c r="O1481" s="17">
        <f t="shared" si="1139"/>
        <v>9</v>
      </c>
      <c r="P1481" s="21" t="s">
        <v>4722</v>
      </c>
      <c r="Q1481" s="21"/>
      <c r="R1481" t="s">
        <v>4697</v>
      </c>
      <c r="T1481" t="str">
        <f t="shared" si="1176"/>
        <v>:1</v>
      </c>
      <c r="U1481" t="str">
        <f t="shared" si="1170"/>
        <v>马骑</v>
      </c>
      <c r="V1481" t="s">
        <v>4717</v>
      </c>
      <c r="W1481">
        <f>属性类型!G1481</f>
        <v>10032</v>
      </c>
      <c r="X1481">
        <v>1</v>
      </c>
    </row>
    <row r="1482" customFormat="1" ht="16.5" spans="1:24">
      <c r="A1482" s="17">
        <f t="shared" si="1171"/>
        <v>40805</v>
      </c>
      <c r="B1482" s="17">
        <f t="shared" si="1166"/>
        <v>40800</v>
      </c>
      <c r="C1482" s="17" t="str">
        <f t="shared" si="1167"/>
        <v>4</v>
      </c>
      <c r="D1482" s="17">
        <f t="shared" si="1168"/>
        <v>40001</v>
      </c>
      <c r="E1482" s="17">
        <v>2</v>
      </c>
      <c r="F1482" s="17">
        <f t="shared" si="1135"/>
        <v>1</v>
      </c>
      <c r="G1482" s="17" t="str">
        <f t="shared" si="1172"/>
        <v>圣天马骑士攻击百分比</v>
      </c>
      <c r="H1482" s="17" t="str">
        <f t="shared" si="1173"/>
        <v>feibing01_Lv3</v>
      </c>
      <c r="I1482" s="20">
        <f t="shared" si="1174"/>
        <v>1.2</v>
      </c>
      <c r="J1482" s="17">
        <v>5</v>
      </c>
      <c r="K1482" s="17">
        <f t="shared" si="1169"/>
        <v>40806</v>
      </c>
      <c r="L1482" s="17" t="s">
        <v>224</v>
      </c>
      <c r="M1482" s="17" t="str">
        <f t="shared" si="1175"/>
        <v>1:10500:5</v>
      </c>
      <c r="N1482" s="16" t="str">
        <f t="shared" si="1132"/>
        <v>10032:1</v>
      </c>
      <c r="O1482" s="17">
        <f t="shared" si="1139"/>
        <v>9</v>
      </c>
      <c r="P1482" s="21" t="s">
        <v>4723</v>
      </c>
      <c r="Q1482" s="21"/>
      <c r="R1482" t="s">
        <v>4697</v>
      </c>
      <c r="T1482" t="str">
        <f t="shared" si="1176"/>
        <v>:1</v>
      </c>
      <c r="U1482" t="str">
        <f t="shared" si="1170"/>
        <v>马骑</v>
      </c>
      <c r="V1482" t="s">
        <v>4717</v>
      </c>
      <c r="W1482">
        <f>属性类型!G1482</f>
        <v>10032</v>
      </c>
      <c r="X1482">
        <v>1</v>
      </c>
    </row>
    <row r="1483" customFormat="1" ht="16.5" spans="1:24">
      <c r="A1483" s="17">
        <f t="shared" si="1171"/>
        <v>40806</v>
      </c>
      <c r="B1483" s="17">
        <f t="shared" si="1166"/>
        <v>40800</v>
      </c>
      <c r="C1483" s="17" t="str">
        <f t="shared" si="1167"/>
        <v>4</v>
      </c>
      <c r="D1483" s="17">
        <f t="shared" si="1168"/>
        <v>40001</v>
      </c>
      <c r="E1483" s="17">
        <v>2</v>
      </c>
      <c r="F1483" s="17">
        <f t="shared" si="1135"/>
        <v>1</v>
      </c>
      <c r="G1483" s="17" t="str">
        <f t="shared" si="1172"/>
        <v>圣天马骑士攻击百分比</v>
      </c>
      <c r="H1483" s="17" t="str">
        <f t="shared" si="1173"/>
        <v>feibing01_Lv3</v>
      </c>
      <c r="I1483" s="20">
        <f t="shared" si="1174"/>
        <v>1.2</v>
      </c>
      <c r="J1483" s="17">
        <v>6</v>
      </c>
      <c r="K1483" s="17">
        <f t="shared" si="1169"/>
        <v>40807</v>
      </c>
      <c r="L1483" s="17" t="s">
        <v>227</v>
      </c>
      <c r="M1483" s="17" t="str">
        <f t="shared" si="1175"/>
        <v>1:10500:5</v>
      </c>
      <c r="N1483" s="16" t="str">
        <f t="shared" ref="N1483:N1546" si="1177">W1483&amp;$W$2&amp;X1483</f>
        <v>10032:1</v>
      </c>
      <c r="O1483" s="17">
        <f t="shared" si="1139"/>
        <v>9</v>
      </c>
      <c r="P1483" s="21" t="s">
        <v>4724</v>
      </c>
      <c r="Q1483" s="21"/>
      <c r="R1483" t="s">
        <v>4697</v>
      </c>
      <c r="T1483" t="str">
        <f t="shared" si="1176"/>
        <v>:1</v>
      </c>
      <c r="U1483" t="str">
        <f t="shared" si="1170"/>
        <v>马骑</v>
      </c>
      <c r="V1483" t="s">
        <v>4717</v>
      </c>
      <c r="W1483">
        <f>属性类型!G1483</f>
        <v>10032</v>
      </c>
      <c r="X1483">
        <v>1</v>
      </c>
    </row>
    <row r="1484" customFormat="1" ht="16.5" spans="1:24">
      <c r="A1484" s="17">
        <f t="shared" si="1171"/>
        <v>40807</v>
      </c>
      <c r="B1484" s="17">
        <f t="shared" si="1166"/>
        <v>40800</v>
      </c>
      <c r="C1484" s="17" t="str">
        <f t="shared" si="1167"/>
        <v>4</v>
      </c>
      <c r="D1484" s="17">
        <f t="shared" si="1168"/>
        <v>40001</v>
      </c>
      <c r="E1484" s="17">
        <v>2</v>
      </c>
      <c r="F1484" s="17">
        <f t="shared" si="1135"/>
        <v>1</v>
      </c>
      <c r="G1484" s="17" t="str">
        <f t="shared" si="1172"/>
        <v>圣天马骑士攻击百分比</v>
      </c>
      <c r="H1484" s="17" t="str">
        <f t="shared" si="1173"/>
        <v>feibing01_Lv3</v>
      </c>
      <c r="I1484" s="20">
        <f t="shared" si="1174"/>
        <v>1.2</v>
      </c>
      <c r="J1484" s="17">
        <v>7</v>
      </c>
      <c r="K1484" s="17">
        <f t="shared" si="1169"/>
        <v>40808</v>
      </c>
      <c r="L1484" s="17" t="s">
        <v>230</v>
      </c>
      <c r="M1484" s="17" t="str">
        <f t="shared" si="1175"/>
        <v>1:10500:5</v>
      </c>
      <c r="N1484" s="16" t="str">
        <f t="shared" si="1177"/>
        <v>10032:1</v>
      </c>
      <c r="O1484" s="17">
        <f t="shared" si="1139"/>
        <v>9</v>
      </c>
      <c r="P1484" s="21" t="s">
        <v>4725</v>
      </c>
      <c r="Q1484" s="21"/>
      <c r="R1484" t="s">
        <v>4697</v>
      </c>
      <c r="T1484" t="str">
        <f t="shared" si="1176"/>
        <v>:1</v>
      </c>
      <c r="U1484" t="str">
        <f t="shared" si="1170"/>
        <v>马骑</v>
      </c>
      <c r="V1484" t="s">
        <v>4717</v>
      </c>
      <c r="W1484">
        <f>属性类型!G1484</f>
        <v>10032</v>
      </c>
      <c r="X1484">
        <v>1</v>
      </c>
    </row>
    <row r="1485" customFormat="1" ht="16.5" spans="1:24">
      <c r="A1485" s="17">
        <f t="shared" si="1171"/>
        <v>40808</v>
      </c>
      <c r="B1485" s="17">
        <f t="shared" si="1166"/>
        <v>40800</v>
      </c>
      <c r="C1485" s="17" t="str">
        <f t="shared" si="1167"/>
        <v>4</v>
      </c>
      <c r="D1485" s="17">
        <f t="shared" si="1168"/>
        <v>40001</v>
      </c>
      <c r="E1485" s="17">
        <v>2</v>
      </c>
      <c r="F1485" s="17">
        <f t="shared" si="1135"/>
        <v>1</v>
      </c>
      <c r="G1485" s="17" t="str">
        <f t="shared" si="1172"/>
        <v>圣天马骑士攻击百分比</v>
      </c>
      <c r="H1485" s="17" t="str">
        <f t="shared" si="1173"/>
        <v>feibing01_Lv3</v>
      </c>
      <c r="I1485" s="20">
        <f t="shared" si="1174"/>
        <v>1.2</v>
      </c>
      <c r="J1485" s="17">
        <v>8</v>
      </c>
      <c r="K1485" s="17">
        <f t="shared" si="1169"/>
        <v>40809</v>
      </c>
      <c r="L1485" s="17" t="s">
        <v>233</v>
      </c>
      <c r="M1485" s="17" t="str">
        <f t="shared" si="1175"/>
        <v>1:10500:5</v>
      </c>
      <c r="N1485" s="16" t="str">
        <f t="shared" si="1177"/>
        <v>10032:1</v>
      </c>
      <c r="O1485" s="17">
        <f t="shared" si="1139"/>
        <v>9</v>
      </c>
      <c r="P1485" s="21" t="s">
        <v>4726</v>
      </c>
      <c r="Q1485" s="21"/>
      <c r="R1485" t="s">
        <v>4697</v>
      </c>
      <c r="T1485" t="str">
        <f t="shared" si="1176"/>
        <v>:1</v>
      </c>
      <c r="U1485" t="str">
        <f t="shared" si="1170"/>
        <v>马骑</v>
      </c>
      <c r="V1485" t="s">
        <v>4717</v>
      </c>
      <c r="W1485">
        <f>属性类型!G1485</f>
        <v>10032</v>
      </c>
      <c r="X1485">
        <v>1</v>
      </c>
    </row>
    <row r="1486" customFormat="1" ht="16.5" spans="1:24">
      <c r="A1486" s="17">
        <f t="shared" si="1171"/>
        <v>40809</v>
      </c>
      <c r="B1486" s="17">
        <f t="shared" si="1166"/>
        <v>40800</v>
      </c>
      <c r="C1486" s="17" t="str">
        <f t="shared" si="1167"/>
        <v>4</v>
      </c>
      <c r="D1486" s="17">
        <f t="shared" si="1168"/>
        <v>40001</v>
      </c>
      <c r="E1486" s="17">
        <v>2</v>
      </c>
      <c r="F1486" s="17">
        <f t="shared" si="1135"/>
        <v>1</v>
      </c>
      <c r="G1486" s="17" t="str">
        <f t="shared" si="1172"/>
        <v>圣天马骑士攻击百分比</v>
      </c>
      <c r="H1486" s="17" t="str">
        <f t="shared" si="1173"/>
        <v>feibing01_Lv3</v>
      </c>
      <c r="I1486" s="20">
        <f t="shared" si="1174"/>
        <v>1.2</v>
      </c>
      <c r="J1486" s="17">
        <v>9</v>
      </c>
      <c r="K1486" s="17">
        <f t="shared" si="1169"/>
        <v>40810</v>
      </c>
      <c r="L1486" s="17" t="s">
        <v>236</v>
      </c>
      <c r="M1486" s="17" t="str">
        <f t="shared" si="1175"/>
        <v>1:10500:5</v>
      </c>
      <c r="N1486" s="16" t="str">
        <f t="shared" si="1177"/>
        <v>10032:1</v>
      </c>
      <c r="O1486" s="17">
        <f t="shared" si="1139"/>
        <v>9</v>
      </c>
      <c r="P1486" s="21" t="s">
        <v>4727</v>
      </c>
      <c r="Q1486" s="21"/>
      <c r="R1486" t="s">
        <v>4697</v>
      </c>
      <c r="T1486" t="str">
        <f t="shared" si="1176"/>
        <v>:1</v>
      </c>
      <c r="U1486" t="str">
        <f t="shared" si="1170"/>
        <v>马骑</v>
      </c>
      <c r="V1486" t="s">
        <v>4717</v>
      </c>
      <c r="W1486">
        <f>属性类型!G1486</f>
        <v>10032</v>
      </c>
      <c r="X1486">
        <v>1</v>
      </c>
    </row>
    <row r="1487" customFormat="1" ht="16.5" spans="1:24">
      <c r="A1487" s="17">
        <f t="shared" si="1171"/>
        <v>40810</v>
      </c>
      <c r="B1487" s="17">
        <f t="shared" si="1166"/>
        <v>40800</v>
      </c>
      <c r="C1487" s="17" t="str">
        <f t="shared" si="1167"/>
        <v>4</v>
      </c>
      <c r="D1487" s="17">
        <f t="shared" si="1168"/>
        <v>40001</v>
      </c>
      <c r="E1487" s="17">
        <v>2</v>
      </c>
      <c r="F1487" s="17">
        <f t="shared" si="1135"/>
        <v>1</v>
      </c>
      <c r="G1487" s="17" t="str">
        <f t="shared" si="1172"/>
        <v>圣天马骑士攻击百分比</v>
      </c>
      <c r="H1487" s="17" t="str">
        <f t="shared" si="1173"/>
        <v>feibing01_Lv3</v>
      </c>
      <c r="I1487" s="20">
        <f t="shared" si="1174"/>
        <v>1.2</v>
      </c>
      <c r="J1487" s="17">
        <v>10</v>
      </c>
      <c r="K1487" s="17">
        <f t="shared" si="1169"/>
        <v>40811</v>
      </c>
      <c r="L1487" s="17" t="s">
        <v>238</v>
      </c>
      <c r="M1487" s="17" t="str">
        <f t="shared" si="1175"/>
        <v>1:10500:5</v>
      </c>
      <c r="N1487" s="16" t="str">
        <f t="shared" si="1177"/>
        <v>10032:1</v>
      </c>
      <c r="O1487" s="17">
        <f t="shared" si="1139"/>
        <v>9</v>
      </c>
      <c r="P1487" s="21" t="s">
        <v>4728</v>
      </c>
      <c r="Q1487" s="21"/>
      <c r="R1487" t="s">
        <v>4697</v>
      </c>
      <c r="T1487" t="str">
        <f t="shared" si="1176"/>
        <v>:1</v>
      </c>
      <c r="U1487" t="str">
        <f t="shared" si="1170"/>
        <v>马骑</v>
      </c>
      <c r="V1487" t="s">
        <v>4717</v>
      </c>
      <c r="W1487">
        <f>属性类型!G1487</f>
        <v>10032</v>
      </c>
      <c r="X1487">
        <v>1</v>
      </c>
    </row>
    <row r="1488" customFormat="1" ht="16.5" spans="1:24">
      <c r="A1488" s="17">
        <f t="shared" ref="A1488:A1498" si="1178">A1487+1</f>
        <v>40811</v>
      </c>
      <c r="B1488" s="17">
        <f t="shared" ref="B1488:B1508" si="1179">ROUND(A1488,-2)</f>
        <v>40800</v>
      </c>
      <c r="C1488" s="17" t="str">
        <f t="shared" ref="C1488:C1498" si="1180">LEFT(A1488,1)</f>
        <v>4</v>
      </c>
      <c r="D1488" s="17">
        <f t="shared" ref="D1488:D1508" si="1181">$A$1399+F1488</f>
        <v>40001</v>
      </c>
      <c r="E1488" s="17">
        <v>2</v>
      </c>
      <c r="F1488" s="17">
        <f t="shared" ref="F1488:F1551" si="1182">MID(B1488,2,1)+1</f>
        <v>1</v>
      </c>
      <c r="G1488" s="17" t="str">
        <f t="shared" si="1172"/>
        <v>圣天马骑士攻击百分比</v>
      </c>
      <c r="H1488" s="17" t="str">
        <f t="shared" si="1173"/>
        <v>feibing01_Lv3</v>
      </c>
      <c r="I1488" s="20">
        <f t="shared" si="1174"/>
        <v>1.2</v>
      </c>
      <c r="J1488" s="17">
        <v>11</v>
      </c>
      <c r="K1488" s="17">
        <f t="shared" si="1169"/>
        <v>40812</v>
      </c>
      <c r="L1488" s="17" t="s">
        <v>529</v>
      </c>
      <c r="M1488" s="17" t="str">
        <f t="shared" si="1175"/>
        <v>1:10500:5</v>
      </c>
      <c r="N1488" s="16" t="str">
        <f t="shared" si="1177"/>
        <v>10032:1</v>
      </c>
      <c r="O1488" s="17">
        <f t="shared" ref="O1488:O1551" si="1183">MID(A1488,3,1)+1</f>
        <v>9</v>
      </c>
      <c r="P1488" s="21" t="s">
        <v>4729</v>
      </c>
      <c r="Q1488" s="21"/>
      <c r="R1488" t="s">
        <v>4697</v>
      </c>
      <c r="U1488" t="str">
        <f t="shared" si="1170"/>
        <v>马骑</v>
      </c>
      <c r="V1488" t="s">
        <v>4717</v>
      </c>
      <c r="W1488">
        <f>属性类型!G1488</f>
        <v>10032</v>
      </c>
      <c r="X1488">
        <v>1</v>
      </c>
    </row>
    <row r="1489" customFormat="1" ht="16.5" spans="1:24">
      <c r="A1489" s="17">
        <f t="shared" si="1178"/>
        <v>40812</v>
      </c>
      <c r="B1489" s="17">
        <f t="shared" si="1179"/>
        <v>40800</v>
      </c>
      <c r="C1489" s="17" t="str">
        <f t="shared" si="1180"/>
        <v>4</v>
      </c>
      <c r="D1489" s="17">
        <f t="shared" si="1181"/>
        <v>40001</v>
      </c>
      <c r="E1489" s="17">
        <v>2</v>
      </c>
      <c r="F1489" s="17">
        <f t="shared" si="1182"/>
        <v>1</v>
      </c>
      <c r="G1489" s="17" t="str">
        <f t="shared" si="1172"/>
        <v>圣天马骑士攻击百分比</v>
      </c>
      <c r="H1489" s="17" t="str">
        <f t="shared" si="1173"/>
        <v>feibing01_Lv3</v>
      </c>
      <c r="I1489" s="20">
        <f t="shared" si="1174"/>
        <v>1.2</v>
      </c>
      <c r="J1489" s="17">
        <v>12</v>
      </c>
      <c r="K1489" s="17">
        <f t="shared" si="1169"/>
        <v>40813</v>
      </c>
      <c r="L1489" s="17" t="s">
        <v>532</v>
      </c>
      <c r="M1489" s="17" t="str">
        <f t="shared" si="1175"/>
        <v>1:10500:5</v>
      </c>
      <c r="N1489" s="16" t="str">
        <f t="shared" si="1177"/>
        <v>10032:1</v>
      </c>
      <c r="O1489" s="17">
        <f t="shared" si="1183"/>
        <v>9</v>
      </c>
      <c r="P1489" s="21" t="s">
        <v>4730</v>
      </c>
      <c r="Q1489" s="21"/>
      <c r="R1489" t="s">
        <v>4697</v>
      </c>
      <c r="U1489" t="str">
        <f t="shared" si="1170"/>
        <v>马骑</v>
      </c>
      <c r="V1489" t="s">
        <v>4717</v>
      </c>
      <c r="W1489">
        <f>属性类型!G1489</f>
        <v>10032</v>
      </c>
      <c r="X1489">
        <v>1</v>
      </c>
    </row>
    <row r="1490" customFormat="1" ht="16.5" spans="1:24">
      <c r="A1490" s="17">
        <f t="shared" si="1178"/>
        <v>40813</v>
      </c>
      <c r="B1490" s="17">
        <f t="shared" si="1179"/>
        <v>40800</v>
      </c>
      <c r="C1490" s="17" t="str">
        <f t="shared" si="1180"/>
        <v>4</v>
      </c>
      <c r="D1490" s="17">
        <f t="shared" si="1181"/>
        <v>40001</v>
      </c>
      <c r="E1490" s="17">
        <v>2</v>
      </c>
      <c r="F1490" s="17">
        <f t="shared" si="1182"/>
        <v>1</v>
      </c>
      <c r="G1490" s="17" t="str">
        <f t="shared" si="1172"/>
        <v>圣天马骑士攻击百分比</v>
      </c>
      <c r="H1490" s="17" t="str">
        <f t="shared" si="1173"/>
        <v>feibing01_Lv3</v>
      </c>
      <c r="I1490" s="20">
        <f t="shared" si="1174"/>
        <v>1.2</v>
      </c>
      <c r="J1490" s="17">
        <v>13</v>
      </c>
      <c r="K1490" s="17">
        <f t="shared" si="1169"/>
        <v>40814</v>
      </c>
      <c r="L1490" s="17" t="s">
        <v>561</v>
      </c>
      <c r="M1490" s="17" t="str">
        <f t="shared" si="1175"/>
        <v>1:10500:5</v>
      </c>
      <c r="N1490" s="16" t="str">
        <f t="shared" si="1177"/>
        <v>10032:1</v>
      </c>
      <c r="O1490" s="17">
        <f t="shared" si="1183"/>
        <v>9</v>
      </c>
      <c r="P1490" s="21" t="s">
        <v>4731</v>
      </c>
      <c r="Q1490" s="21"/>
      <c r="R1490" t="s">
        <v>4697</v>
      </c>
      <c r="U1490" t="str">
        <f t="shared" si="1170"/>
        <v>马骑</v>
      </c>
      <c r="V1490" t="s">
        <v>4717</v>
      </c>
      <c r="W1490">
        <f>属性类型!G1490</f>
        <v>10032</v>
      </c>
      <c r="X1490">
        <v>1</v>
      </c>
    </row>
    <row r="1491" customFormat="1" ht="16.5" spans="1:24">
      <c r="A1491" s="17">
        <f t="shared" si="1178"/>
        <v>40814</v>
      </c>
      <c r="B1491" s="17">
        <f t="shared" si="1179"/>
        <v>40800</v>
      </c>
      <c r="C1491" s="17" t="str">
        <f t="shared" si="1180"/>
        <v>4</v>
      </c>
      <c r="D1491" s="17">
        <f t="shared" si="1181"/>
        <v>40001</v>
      </c>
      <c r="E1491" s="17">
        <v>2</v>
      </c>
      <c r="F1491" s="17">
        <f t="shared" si="1182"/>
        <v>1</v>
      </c>
      <c r="G1491" s="17" t="str">
        <f t="shared" si="1172"/>
        <v>圣天马骑士攻击百分比</v>
      </c>
      <c r="H1491" s="17" t="str">
        <f t="shared" si="1173"/>
        <v>feibing01_Lv3</v>
      </c>
      <c r="I1491" s="20">
        <f t="shared" si="1174"/>
        <v>1.2</v>
      </c>
      <c r="J1491" s="17">
        <v>14</v>
      </c>
      <c r="K1491" s="17">
        <f t="shared" si="1169"/>
        <v>40815</v>
      </c>
      <c r="L1491" s="17" t="s">
        <v>564</v>
      </c>
      <c r="M1491" s="17" t="str">
        <f t="shared" si="1175"/>
        <v>1:10500:5</v>
      </c>
      <c r="N1491" s="16" t="str">
        <f t="shared" si="1177"/>
        <v>10032:1</v>
      </c>
      <c r="O1491" s="17">
        <f t="shared" si="1183"/>
        <v>9</v>
      </c>
      <c r="P1491" s="21" t="s">
        <v>4732</v>
      </c>
      <c r="Q1491" s="21"/>
      <c r="R1491" t="s">
        <v>4697</v>
      </c>
      <c r="U1491" t="str">
        <f t="shared" si="1170"/>
        <v>马骑</v>
      </c>
      <c r="V1491" t="s">
        <v>4717</v>
      </c>
      <c r="W1491">
        <f>属性类型!G1491</f>
        <v>10032</v>
      </c>
      <c r="X1491">
        <v>1</v>
      </c>
    </row>
    <row r="1492" customFormat="1" ht="16.5" spans="1:24">
      <c r="A1492" s="17">
        <f t="shared" si="1178"/>
        <v>40815</v>
      </c>
      <c r="B1492" s="17">
        <f t="shared" si="1179"/>
        <v>40800</v>
      </c>
      <c r="C1492" s="17" t="str">
        <f t="shared" si="1180"/>
        <v>4</v>
      </c>
      <c r="D1492" s="17">
        <f t="shared" si="1181"/>
        <v>40001</v>
      </c>
      <c r="E1492" s="17">
        <v>2</v>
      </c>
      <c r="F1492" s="17">
        <f t="shared" si="1182"/>
        <v>1</v>
      </c>
      <c r="G1492" s="17" t="str">
        <f t="shared" si="1172"/>
        <v>圣天马骑士攻击百分比</v>
      </c>
      <c r="H1492" s="17" t="str">
        <f t="shared" si="1173"/>
        <v>feibing01_Lv3</v>
      </c>
      <c r="I1492" s="20">
        <f t="shared" si="1174"/>
        <v>1.2</v>
      </c>
      <c r="J1492" s="17">
        <v>15</v>
      </c>
      <c r="K1492" s="17">
        <f t="shared" si="1169"/>
        <v>40816</v>
      </c>
      <c r="L1492" s="17" t="s">
        <v>630</v>
      </c>
      <c r="M1492" s="17" t="str">
        <f t="shared" si="1175"/>
        <v>1:10500:5</v>
      </c>
      <c r="N1492" s="16" t="str">
        <f t="shared" si="1177"/>
        <v>10032:1</v>
      </c>
      <c r="O1492" s="17">
        <f t="shared" si="1183"/>
        <v>9</v>
      </c>
      <c r="P1492" s="21" t="s">
        <v>4733</v>
      </c>
      <c r="Q1492" s="21"/>
      <c r="R1492" t="s">
        <v>4697</v>
      </c>
      <c r="U1492" t="str">
        <f t="shared" si="1170"/>
        <v>马骑</v>
      </c>
      <c r="V1492" t="s">
        <v>4717</v>
      </c>
      <c r="W1492">
        <f>属性类型!G1492</f>
        <v>10032</v>
      </c>
      <c r="X1492">
        <v>1</v>
      </c>
    </row>
    <row r="1493" customFormat="1" ht="16.5" spans="1:24">
      <c r="A1493" s="17">
        <f t="shared" si="1178"/>
        <v>40816</v>
      </c>
      <c r="B1493" s="17">
        <f t="shared" si="1179"/>
        <v>40800</v>
      </c>
      <c r="C1493" s="17" t="str">
        <f t="shared" si="1180"/>
        <v>4</v>
      </c>
      <c r="D1493" s="17">
        <f t="shared" si="1181"/>
        <v>40001</v>
      </c>
      <c r="E1493" s="17">
        <v>2</v>
      </c>
      <c r="F1493" s="17">
        <f t="shared" si="1182"/>
        <v>1</v>
      </c>
      <c r="G1493" s="17" t="str">
        <f t="shared" si="1172"/>
        <v>圣天马骑士攻击百分比</v>
      </c>
      <c r="H1493" s="17" t="str">
        <f t="shared" si="1173"/>
        <v>feibing01_Lv3</v>
      </c>
      <c r="I1493" s="20">
        <f t="shared" si="1174"/>
        <v>1.2</v>
      </c>
      <c r="J1493" s="17">
        <v>16</v>
      </c>
      <c r="K1493" s="17">
        <f t="shared" si="1169"/>
        <v>40817</v>
      </c>
      <c r="L1493" s="17" t="s">
        <v>633</v>
      </c>
      <c r="M1493" s="17" t="str">
        <f t="shared" si="1175"/>
        <v>1:10500:5</v>
      </c>
      <c r="N1493" s="16" t="str">
        <f t="shared" si="1177"/>
        <v>10032:1</v>
      </c>
      <c r="O1493" s="17">
        <f t="shared" si="1183"/>
        <v>9</v>
      </c>
      <c r="P1493" s="21" t="s">
        <v>4734</v>
      </c>
      <c r="Q1493" s="21"/>
      <c r="R1493" t="s">
        <v>4697</v>
      </c>
      <c r="U1493" t="str">
        <f t="shared" si="1170"/>
        <v>马骑</v>
      </c>
      <c r="V1493" t="s">
        <v>4717</v>
      </c>
      <c r="W1493">
        <f>属性类型!G1493</f>
        <v>10032</v>
      </c>
      <c r="X1493">
        <v>1</v>
      </c>
    </row>
    <row r="1494" customFormat="1" ht="16.5" spans="1:24">
      <c r="A1494" s="17">
        <f t="shared" si="1178"/>
        <v>40817</v>
      </c>
      <c r="B1494" s="17">
        <f t="shared" si="1179"/>
        <v>40800</v>
      </c>
      <c r="C1494" s="17" t="str">
        <f t="shared" si="1180"/>
        <v>4</v>
      </c>
      <c r="D1494" s="17">
        <f t="shared" si="1181"/>
        <v>40001</v>
      </c>
      <c r="E1494" s="17">
        <v>2</v>
      </c>
      <c r="F1494" s="17">
        <f t="shared" si="1182"/>
        <v>1</v>
      </c>
      <c r="G1494" s="17" t="str">
        <f t="shared" si="1172"/>
        <v>圣天马骑士攻击百分比</v>
      </c>
      <c r="H1494" s="17" t="str">
        <f t="shared" si="1173"/>
        <v>feibing01_Lv3</v>
      </c>
      <c r="I1494" s="20">
        <f t="shared" si="1174"/>
        <v>1.2</v>
      </c>
      <c r="J1494" s="17">
        <v>17</v>
      </c>
      <c r="K1494" s="17">
        <f t="shared" si="1169"/>
        <v>40818</v>
      </c>
      <c r="L1494" s="17" t="s">
        <v>637</v>
      </c>
      <c r="M1494" s="17" t="str">
        <f t="shared" si="1175"/>
        <v>1:10500:5</v>
      </c>
      <c r="N1494" s="16" t="str">
        <f t="shared" si="1177"/>
        <v>10032:1</v>
      </c>
      <c r="O1494" s="17">
        <f t="shared" si="1183"/>
        <v>9</v>
      </c>
      <c r="P1494" s="21" t="s">
        <v>4735</v>
      </c>
      <c r="Q1494" s="21"/>
      <c r="R1494" t="s">
        <v>4697</v>
      </c>
      <c r="U1494" t="str">
        <f t="shared" si="1170"/>
        <v>马骑</v>
      </c>
      <c r="V1494" t="s">
        <v>4717</v>
      </c>
      <c r="W1494">
        <f>属性类型!G1494</f>
        <v>10032</v>
      </c>
      <c r="X1494">
        <v>1</v>
      </c>
    </row>
    <row r="1495" customFormat="1" ht="16.5" spans="1:24">
      <c r="A1495" s="17">
        <f t="shared" si="1178"/>
        <v>40818</v>
      </c>
      <c r="B1495" s="17">
        <f t="shared" si="1179"/>
        <v>40800</v>
      </c>
      <c r="C1495" s="17" t="str">
        <f t="shared" si="1180"/>
        <v>4</v>
      </c>
      <c r="D1495" s="17">
        <f t="shared" si="1181"/>
        <v>40001</v>
      </c>
      <c r="E1495" s="17">
        <v>2</v>
      </c>
      <c r="F1495" s="17">
        <f t="shared" si="1182"/>
        <v>1</v>
      </c>
      <c r="G1495" s="17" t="str">
        <f t="shared" si="1172"/>
        <v>圣天马骑士攻击百分比</v>
      </c>
      <c r="H1495" s="17" t="str">
        <f t="shared" si="1173"/>
        <v>feibing01_Lv3</v>
      </c>
      <c r="I1495" s="20">
        <f t="shared" si="1174"/>
        <v>1.2</v>
      </c>
      <c r="J1495" s="17">
        <v>18</v>
      </c>
      <c r="K1495" s="17">
        <f t="shared" si="1169"/>
        <v>40819</v>
      </c>
      <c r="L1495" s="17" t="s">
        <v>641</v>
      </c>
      <c r="M1495" s="17" t="str">
        <f t="shared" si="1175"/>
        <v>1:10500:5</v>
      </c>
      <c r="N1495" s="16" t="str">
        <f t="shared" si="1177"/>
        <v>10032:1</v>
      </c>
      <c r="O1495" s="17">
        <f t="shared" si="1183"/>
        <v>9</v>
      </c>
      <c r="P1495" s="21" t="s">
        <v>4736</v>
      </c>
      <c r="Q1495" s="21"/>
      <c r="R1495" t="s">
        <v>4697</v>
      </c>
      <c r="U1495" t="str">
        <f t="shared" si="1170"/>
        <v>马骑</v>
      </c>
      <c r="V1495" t="s">
        <v>4717</v>
      </c>
      <c r="W1495">
        <f>属性类型!G1495</f>
        <v>10032</v>
      </c>
      <c r="X1495">
        <v>1</v>
      </c>
    </row>
    <row r="1496" customFormat="1" ht="16.5" spans="1:24">
      <c r="A1496" s="17">
        <f t="shared" si="1178"/>
        <v>40819</v>
      </c>
      <c r="B1496" s="17">
        <f t="shared" si="1179"/>
        <v>40800</v>
      </c>
      <c r="C1496" s="17" t="str">
        <f t="shared" si="1180"/>
        <v>4</v>
      </c>
      <c r="D1496" s="17">
        <f t="shared" si="1181"/>
        <v>40001</v>
      </c>
      <c r="E1496" s="17">
        <v>2</v>
      </c>
      <c r="F1496" s="17">
        <f t="shared" si="1182"/>
        <v>1</v>
      </c>
      <c r="G1496" s="17" t="str">
        <f t="shared" si="1172"/>
        <v>圣天马骑士攻击百分比</v>
      </c>
      <c r="H1496" s="17" t="str">
        <f t="shared" si="1173"/>
        <v>feibing01_Lv3</v>
      </c>
      <c r="I1496" s="20">
        <f t="shared" si="1174"/>
        <v>1.2</v>
      </c>
      <c r="J1496" s="17">
        <v>19</v>
      </c>
      <c r="K1496" s="17">
        <f t="shared" si="1169"/>
        <v>40820</v>
      </c>
      <c r="L1496" s="17" t="s">
        <v>645</v>
      </c>
      <c r="M1496" s="17" t="str">
        <f t="shared" si="1175"/>
        <v>1:10500:5</v>
      </c>
      <c r="N1496" s="16" t="str">
        <f t="shared" si="1177"/>
        <v>10032:1</v>
      </c>
      <c r="O1496" s="17">
        <f t="shared" si="1183"/>
        <v>9</v>
      </c>
      <c r="P1496" s="21" t="s">
        <v>4737</v>
      </c>
      <c r="Q1496" s="21"/>
      <c r="R1496" t="s">
        <v>4697</v>
      </c>
      <c r="U1496" t="str">
        <f t="shared" si="1170"/>
        <v>马骑</v>
      </c>
      <c r="V1496" t="s">
        <v>4717</v>
      </c>
      <c r="W1496">
        <f>属性类型!G1496</f>
        <v>10032</v>
      </c>
      <c r="X1496">
        <v>1</v>
      </c>
    </row>
    <row r="1497" customFormat="1" ht="16.5" spans="1:24">
      <c r="A1497" s="17">
        <f t="shared" si="1178"/>
        <v>40820</v>
      </c>
      <c r="B1497" s="17">
        <f t="shared" si="1179"/>
        <v>40800</v>
      </c>
      <c r="C1497" s="17" t="str">
        <f t="shared" si="1180"/>
        <v>4</v>
      </c>
      <c r="D1497" s="17">
        <f t="shared" si="1181"/>
        <v>40001</v>
      </c>
      <c r="E1497" s="17">
        <v>2</v>
      </c>
      <c r="F1497" s="17">
        <f t="shared" si="1182"/>
        <v>1</v>
      </c>
      <c r="G1497" s="17" t="str">
        <f t="shared" si="1172"/>
        <v>圣天马骑士攻击百分比</v>
      </c>
      <c r="H1497" s="17" t="str">
        <f t="shared" si="1173"/>
        <v>feibing01_Lv3</v>
      </c>
      <c r="I1497" s="20">
        <f t="shared" si="1174"/>
        <v>1.2</v>
      </c>
      <c r="J1497" s="17">
        <v>20</v>
      </c>
      <c r="K1497" s="17">
        <v>0</v>
      </c>
      <c r="L1497" s="17">
        <v>0</v>
      </c>
      <c r="M1497" s="17" t="str">
        <f t="shared" si="1175"/>
        <v>1:10500:5</v>
      </c>
      <c r="N1497" s="16" t="str">
        <f t="shared" si="1177"/>
        <v>10032:1</v>
      </c>
      <c r="O1497" s="17">
        <f t="shared" si="1183"/>
        <v>9</v>
      </c>
      <c r="P1497" s="21" t="s">
        <v>4737</v>
      </c>
      <c r="Q1497" s="21"/>
      <c r="R1497" t="s">
        <v>4697</v>
      </c>
      <c r="U1497" t="str">
        <f t="shared" si="1170"/>
        <v>马骑</v>
      </c>
      <c r="V1497" t="s">
        <v>4717</v>
      </c>
      <c r="W1497">
        <f>属性类型!G1497</f>
        <v>10032</v>
      </c>
      <c r="X1497">
        <v>1</v>
      </c>
    </row>
    <row r="1498" customFormat="1" ht="16.5" spans="1:24">
      <c r="A1498" s="18">
        <f>A1477+100</f>
        <v>40900</v>
      </c>
      <c r="B1498" s="18">
        <f t="shared" si="1179"/>
        <v>40900</v>
      </c>
      <c r="C1498" s="18" t="str">
        <f t="shared" ref="C1498:C1533" si="1184">LEFT(A1498,1)</f>
        <v>4</v>
      </c>
      <c r="D1498" s="17">
        <f t="shared" si="1181"/>
        <v>40001</v>
      </c>
      <c r="E1498" s="17">
        <v>2</v>
      </c>
      <c r="F1498" s="18">
        <f t="shared" si="1182"/>
        <v>1</v>
      </c>
      <c r="G1498" s="18" t="s">
        <v>4738</v>
      </c>
      <c r="H1498" s="18" t="s">
        <v>2323</v>
      </c>
      <c r="I1498" s="20">
        <v>1.2</v>
      </c>
      <c r="J1498" s="18">
        <v>0</v>
      </c>
      <c r="K1498" s="18">
        <f t="shared" ref="K1498:K1517" si="1185">A1499</f>
        <v>40901</v>
      </c>
      <c r="L1498" s="18" t="s">
        <v>206</v>
      </c>
      <c r="M1498" s="18" t="s">
        <v>271</v>
      </c>
      <c r="N1498" s="16" t="str">
        <f t="shared" si="1177"/>
        <v>10033:1</v>
      </c>
      <c r="O1498" s="18">
        <f t="shared" si="1183"/>
        <v>10</v>
      </c>
      <c r="P1498" s="21" t="s">
        <v>4739</v>
      </c>
      <c r="Q1498" s="21"/>
      <c r="R1498" t="s">
        <v>4697</v>
      </c>
      <c r="T1498" t="str">
        <f>RIGHT(N1498,1)</f>
        <v>1</v>
      </c>
      <c r="U1498" t="str">
        <f t="shared" si="1170"/>
        <v>马骑</v>
      </c>
      <c r="V1498" t="s">
        <v>4738</v>
      </c>
      <c r="W1498">
        <f>属性类型!G1498</f>
        <v>10033</v>
      </c>
      <c r="X1498">
        <v>1</v>
      </c>
    </row>
    <row r="1499" customFormat="1" ht="16.5" spans="1:24">
      <c r="A1499" s="17">
        <f t="shared" ref="A1499:A1508" si="1186">A1498+1</f>
        <v>40901</v>
      </c>
      <c r="B1499" s="17">
        <f t="shared" si="1179"/>
        <v>40900</v>
      </c>
      <c r="C1499" s="17" t="str">
        <f t="shared" si="1184"/>
        <v>4</v>
      </c>
      <c r="D1499" s="17">
        <f t="shared" si="1181"/>
        <v>40001</v>
      </c>
      <c r="E1499" s="17">
        <v>2</v>
      </c>
      <c r="F1499" s="17">
        <f t="shared" si="1182"/>
        <v>1</v>
      </c>
      <c r="G1499" s="17" t="str">
        <f t="shared" ref="G1499:G1518" si="1187">G1498</f>
        <v>圣天马骑士魔防百分比</v>
      </c>
      <c r="H1499" s="17" t="str">
        <f t="shared" ref="H1499:H1518" si="1188">H1498</f>
        <v>feibing01_Lv3</v>
      </c>
      <c r="I1499" s="20">
        <f t="shared" ref="I1499:I1518" si="1189">I1498</f>
        <v>1.2</v>
      </c>
      <c r="J1499" s="17">
        <v>1</v>
      </c>
      <c r="K1499" s="17">
        <f t="shared" si="1185"/>
        <v>40902</v>
      </c>
      <c r="L1499" s="17" t="s">
        <v>211</v>
      </c>
      <c r="M1499" s="17" t="str">
        <f t="shared" ref="M1499:M1518" si="1190">M1498</f>
        <v>1:10600:5</v>
      </c>
      <c r="N1499" s="16" t="str">
        <f t="shared" si="1177"/>
        <v>10033:1</v>
      </c>
      <c r="O1499" s="17">
        <f t="shared" si="1183"/>
        <v>10</v>
      </c>
      <c r="P1499" s="21" t="s">
        <v>4740</v>
      </c>
      <c r="Q1499" s="21"/>
      <c r="R1499" t="s">
        <v>4697</v>
      </c>
      <c r="T1499" t="str">
        <f t="shared" ref="T1499:T1508" si="1191">RIGHT(N1499,2)</f>
        <v>:1</v>
      </c>
      <c r="U1499" t="str">
        <f t="shared" si="1170"/>
        <v>马骑</v>
      </c>
      <c r="V1499" t="s">
        <v>4738</v>
      </c>
      <c r="W1499">
        <f>属性类型!G1499</f>
        <v>10033</v>
      </c>
      <c r="X1499">
        <v>1</v>
      </c>
    </row>
    <row r="1500" customFormat="1" ht="16.5" spans="1:24">
      <c r="A1500" s="17">
        <f t="shared" si="1186"/>
        <v>40902</v>
      </c>
      <c r="B1500" s="17">
        <f t="shared" si="1179"/>
        <v>40900</v>
      </c>
      <c r="C1500" s="17" t="str">
        <f t="shared" si="1184"/>
        <v>4</v>
      </c>
      <c r="D1500" s="17">
        <f t="shared" si="1181"/>
        <v>40001</v>
      </c>
      <c r="E1500" s="17">
        <v>2</v>
      </c>
      <c r="F1500" s="17">
        <f t="shared" si="1182"/>
        <v>1</v>
      </c>
      <c r="G1500" s="17" t="str">
        <f t="shared" si="1187"/>
        <v>圣天马骑士魔防百分比</v>
      </c>
      <c r="H1500" s="17" t="str">
        <f t="shared" si="1188"/>
        <v>feibing01_Lv3</v>
      </c>
      <c r="I1500" s="20">
        <f t="shared" si="1189"/>
        <v>1.2</v>
      </c>
      <c r="J1500" s="17">
        <v>2</v>
      </c>
      <c r="K1500" s="17">
        <f t="shared" si="1185"/>
        <v>40903</v>
      </c>
      <c r="L1500" s="17" t="s">
        <v>215</v>
      </c>
      <c r="M1500" s="17" t="str">
        <f t="shared" si="1190"/>
        <v>1:10600:5</v>
      </c>
      <c r="N1500" s="16" t="str">
        <f t="shared" si="1177"/>
        <v>10033:1</v>
      </c>
      <c r="O1500" s="17">
        <f t="shared" si="1183"/>
        <v>10</v>
      </c>
      <c r="P1500" s="21" t="s">
        <v>4741</v>
      </c>
      <c r="Q1500" s="21"/>
      <c r="R1500" t="s">
        <v>4697</v>
      </c>
      <c r="T1500" t="str">
        <f t="shared" si="1191"/>
        <v>:1</v>
      </c>
      <c r="U1500" t="str">
        <f t="shared" si="1170"/>
        <v>马骑</v>
      </c>
      <c r="V1500" t="s">
        <v>4738</v>
      </c>
      <c r="W1500">
        <f>属性类型!G1500</f>
        <v>10033</v>
      </c>
      <c r="X1500">
        <v>1</v>
      </c>
    </row>
    <row r="1501" customFormat="1" ht="16.5" spans="1:24">
      <c r="A1501" s="17">
        <f t="shared" si="1186"/>
        <v>40903</v>
      </c>
      <c r="B1501" s="17">
        <f t="shared" si="1179"/>
        <v>40900</v>
      </c>
      <c r="C1501" s="17" t="str">
        <f t="shared" si="1184"/>
        <v>4</v>
      </c>
      <c r="D1501" s="17">
        <f t="shared" si="1181"/>
        <v>40001</v>
      </c>
      <c r="E1501" s="17">
        <v>2</v>
      </c>
      <c r="F1501" s="17">
        <f t="shared" si="1182"/>
        <v>1</v>
      </c>
      <c r="G1501" s="17" t="str">
        <f t="shared" si="1187"/>
        <v>圣天马骑士魔防百分比</v>
      </c>
      <c r="H1501" s="17" t="str">
        <f t="shared" si="1188"/>
        <v>feibing01_Lv3</v>
      </c>
      <c r="I1501" s="20">
        <f t="shared" si="1189"/>
        <v>1.2</v>
      </c>
      <c r="J1501" s="17">
        <v>3</v>
      </c>
      <c r="K1501" s="17">
        <f t="shared" si="1185"/>
        <v>40904</v>
      </c>
      <c r="L1501" s="17" t="s">
        <v>218</v>
      </c>
      <c r="M1501" s="17" t="str">
        <f t="shared" si="1190"/>
        <v>1:10600:5</v>
      </c>
      <c r="N1501" s="16" t="str">
        <f t="shared" si="1177"/>
        <v>10033:1</v>
      </c>
      <c r="O1501" s="17">
        <f t="shared" si="1183"/>
        <v>10</v>
      </c>
      <c r="P1501" s="21" t="s">
        <v>4742</v>
      </c>
      <c r="Q1501" s="21"/>
      <c r="R1501" t="s">
        <v>4697</v>
      </c>
      <c r="T1501" t="str">
        <f t="shared" si="1191"/>
        <v>:1</v>
      </c>
      <c r="U1501" t="str">
        <f t="shared" si="1170"/>
        <v>马骑</v>
      </c>
      <c r="V1501" t="s">
        <v>4738</v>
      </c>
      <c r="W1501">
        <f>属性类型!G1501</f>
        <v>10033</v>
      </c>
      <c r="X1501">
        <v>1</v>
      </c>
    </row>
    <row r="1502" customFormat="1" ht="16.5" spans="1:24">
      <c r="A1502" s="17">
        <f t="shared" si="1186"/>
        <v>40904</v>
      </c>
      <c r="B1502" s="17">
        <f t="shared" si="1179"/>
        <v>40900</v>
      </c>
      <c r="C1502" s="17" t="str">
        <f t="shared" si="1184"/>
        <v>4</v>
      </c>
      <c r="D1502" s="17">
        <f t="shared" si="1181"/>
        <v>40001</v>
      </c>
      <c r="E1502" s="17">
        <v>2</v>
      </c>
      <c r="F1502" s="17">
        <f t="shared" si="1182"/>
        <v>1</v>
      </c>
      <c r="G1502" s="17" t="str">
        <f t="shared" si="1187"/>
        <v>圣天马骑士魔防百分比</v>
      </c>
      <c r="H1502" s="17" t="str">
        <f t="shared" si="1188"/>
        <v>feibing01_Lv3</v>
      </c>
      <c r="I1502" s="20">
        <f t="shared" si="1189"/>
        <v>1.2</v>
      </c>
      <c r="J1502" s="17">
        <v>4</v>
      </c>
      <c r="K1502" s="17">
        <f t="shared" si="1185"/>
        <v>40905</v>
      </c>
      <c r="L1502" s="17" t="s">
        <v>221</v>
      </c>
      <c r="M1502" s="17" t="str">
        <f t="shared" si="1190"/>
        <v>1:10600:5</v>
      </c>
      <c r="N1502" s="16" t="str">
        <f t="shared" si="1177"/>
        <v>10033:1</v>
      </c>
      <c r="O1502" s="17">
        <f t="shared" si="1183"/>
        <v>10</v>
      </c>
      <c r="P1502" s="21" t="s">
        <v>4743</v>
      </c>
      <c r="Q1502" s="21"/>
      <c r="R1502" t="s">
        <v>4697</v>
      </c>
      <c r="T1502" t="str">
        <f t="shared" si="1191"/>
        <v>:1</v>
      </c>
      <c r="U1502" t="str">
        <f t="shared" si="1170"/>
        <v>马骑</v>
      </c>
      <c r="V1502" t="s">
        <v>4738</v>
      </c>
      <c r="W1502">
        <f>属性类型!G1502</f>
        <v>10033</v>
      </c>
      <c r="X1502">
        <v>1</v>
      </c>
    </row>
    <row r="1503" customFormat="1" ht="16.5" spans="1:24">
      <c r="A1503" s="17">
        <f t="shared" si="1186"/>
        <v>40905</v>
      </c>
      <c r="B1503" s="17">
        <f t="shared" si="1179"/>
        <v>40900</v>
      </c>
      <c r="C1503" s="17" t="str">
        <f t="shared" si="1184"/>
        <v>4</v>
      </c>
      <c r="D1503" s="17">
        <f t="shared" si="1181"/>
        <v>40001</v>
      </c>
      <c r="E1503" s="17">
        <v>2</v>
      </c>
      <c r="F1503" s="17">
        <f t="shared" si="1182"/>
        <v>1</v>
      </c>
      <c r="G1503" s="17" t="str">
        <f t="shared" si="1187"/>
        <v>圣天马骑士魔防百分比</v>
      </c>
      <c r="H1503" s="17" t="str">
        <f t="shared" si="1188"/>
        <v>feibing01_Lv3</v>
      </c>
      <c r="I1503" s="20">
        <f t="shared" si="1189"/>
        <v>1.2</v>
      </c>
      <c r="J1503" s="17">
        <v>5</v>
      </c>
      <c r="K1503" s="17">
        <f t="shared" si="1185"/>
        <v>40906</v>
      </c>
      <c r="L1503" s="17" t="s">
        <v>224</v>
      </c>
      <c r="M1503" s="17" t="str">
        <f t="shared" si="1190"/>
        <v>1:10600:5</v>
      </c>
      <c r="N1503" s="16" t="str">
        <f t="shared" si="1177"/>
        <v>10033:1</v>
      </c>
      <c r="O1503" s="17">
        <f t="shared" si="1183"/>
        <v>10</v>
      </c>
      <c r="P1503" s="21" t="s">
        <v>4744</v>
      </c>
      <c r="Q1503" s="21"/>
      <c r="R1503" t="s">
        <v>4697</v>
      </c>
      <c r="T1503" t="str">
        <f t="shared" si="1191"/>
        <v>:1</v>
      </c>
      <c r="U1503" t="str">
        <f t="shared" si="1170"/>
        <v>马骑</v>
      </c>
      <c r="V1503" t="s">
        <v>4738</v>
      </c>
      <c r="W1503">
        <f>属性类型!G1503</f>
        <v>10033</v>
      </c>
      <c r="X1503">
        <v>1</v>
      </c>
    </row>
    <row r="1504" customFormat="1" ht="16.5" spans="1:24">
      <c r="A1504" s="17">
        <f t="shared" si="1186"/>
        <v>40906</v>
      </c>
      <c r="B1504" s="17">
        <f t="shared" si="1179"/>
        <v>40900</v>
      </c>
      <c r="C1504" s="17" t="str">
        <f t="shared" si="1184"/>
        <v>4</v>
      </c>
      <c r="D1504" s="17">
        <f t="shared" si="1181"/>
        <v>40001</v>
      </c>
      <c r="E1504" s="17">
        <v>2</v>
      </c>
      <c r="F1504" s="17">
        <f t="shared" si="1182"/>
        <v>1</v>
      </c>
      <c r="G1504" s="17" t="str">
        <f t="shared" si="1187"/>
        <v>圣天马骑士魔防百分比</v>
      </c>
      <c r="H1504" s="17" t="str">
        <f t="shared" si="1188"/>
        <v>feibing01_Lv3</v>
      </c>
      <c r="I1504" s="20">
        <f t="shared" si="1189"/>
        <v>1.2</v>
      </c>
      <c r="J1504" s="17">
        <v>6</v>
      </c>
      <c r="K1504" s="17">
        <f t="shared" si="1185"/>
        <v>40907</v>
      </c>
      <c r="L1504" s="17" t="s">
        <v>227</v>
      </c>
      <c r="M1504" s="17" t="str">
        <f t="shared" si="1190"/>
        <v>1:10600:5</v>
      </c>
      <c r="N1504" s="16" t="str">
        <f t="shared" si="1177"/>
        <v>10033:1</v>
      </c>
      <c r="O1504" s="17">
        <f t="shared" si="1183"/>
        <v>10</v>
      </c>
      <c r="P1504" s="21" t="s">
        <v>4745</v>
      </c>
      <c r="Q1504" s="21"/>
      <c r="R1504" t="s">
        <v>4697</v>
      </c>
      <c r="T1504" t="str">
        <f t="shared" si="1191"/>
        <v>:1</v>
      </c>
      <c r="U1504" t="str">
        <f t="shared" si="1170"/>
        <v>马骑</v>
      </c>
      <c r="V1504" t="s">
        <v>4738</v>
      </c>
      <c r="W1504">
        <f>属性类型!G1504</f>
        <v>10033</v>
      </c>
      <c r="X1504">
        <v>1</v>
      </c>
    </row>
    <row r="1505" customFormat="1" ht="16.5" spans="1:24">
      <c r="A1505" s="17">
        <f t="shared" si="1186"/>
        <v>40907</v>
      </c>
      <c r="B1505" s="17">
        <f t="shared" si="1179"/>
        <v>40900</v>
      </c>
      <c r="C1505" s="17" t="str">
        <f t="shared" si="1184"/>
        <v>4</v>
      </c>
      <c r="D1505" s="17">
        <f t="shared" si="1181"/>
        <v>40001</v>
      </c>
      <c r="E1505" s="17">
        <v>2</v>
      </c>
      <c r="F1505" s="17">
        <f t="shared" si="1182"/>
        <v>1</v>
      </c>
      <c r="G1505" s="17" t="str">
        <f t="shared" si="1187"/>
        <v>圣天马骑士魔防百分比</v>
      </c>
      <c r="H1505" s="17" t="str">
        <f t="shared" si="1188"/>
        <v>feibing01_Lv3</v>
      </c>
      <c r="I1505" s="20">
        <f t="shared" si="1189"/>
        <v>1.2</v>
      </c>
      <c r="J1505" s="17">
        <v>7</v>
      </c>
      <c r="K1505" s="17">
        <f t="shared" si="1185"/>
        <v>40908</v>
      </c>
      <c r="L1505" s="17" t="s">
        <v>230</v>
      </c>
      <c r="M1505" s="17" t="str">
        <f t="shared" si="1190"/>
        <v>1:10600:5</v>
      </c>
      <c r="N1505" s="16" t="str">
        <f t="shared" si="1177"/>
        <v>10033:1</v>
      </c>
      <c r="O1505" s="17">
        <f t="shared" si="1183"/>
        <v>10</v>
      </c>
      <c r="P1505" s="21" t="s">
        <v>4746</v>
      </c>
      <c r="Q1505" s="21"/>
      <c r="R1505" t="s">
        <v>4697</v>
      </c>
      <c r="T1505" t="str">
        <f t="shared" si="1191"/>
        <v>:1</v>
      </c>
      <c r="U1505" t="str">
        <f t="shared" si="1170"/>
        <v>马骑</v>
      </c>
      <c r="V1505" t="s">
        <v>4738</v>
      </c>
      <c r="W1505">
        <f>属性类型!G1505</f>
        <v>10033</v>
      </c>
      <c r="X1505">
        <v>1</v>
      </c>
    </row>
    <row r="1506" customFormat="1" ht="16.5" spans="1:24">
      <c r="A1506" s="17">
        <f t="shared" si="1186"/>
        <v>40908</v>
      </c>
      <c r="B1506" s="17">
        <f t="shared" si="1179"/>
        <v>40900</v>
      </c>
      <c r="C1506" s="17" t="str">
        <f t="shared" si="1184"/>
        <v>4</v>
      </c>
      <c r="D1506" s="17">
        <f t="shared" si="1181"/>
        <v>40001</v>
      </c>
      <c r="E1506" s="17">
        <v>2</v>
      </c>
      <c r="F1506" s="17">
        <f t="shared" si="1182"/>
        <v>1</v>
      </c>
      <c r="G1506" s="17" t="str">
        <f t="shared" si="1187"/>
        <v>圣天马骑士魔防百分比</v>
      </c>
      <c r="H1506" s="17" t="str">
        <f t="shared" si="1188"/>
        <v>feibing01_Lv3</v>
      </c>
      <c r="I1506" s="20">
        <f t="shared" si="1189"/>
        <v>1.2</v>
      </c>
      <c r="J1506" s="17">
        <v>8</v>
      </c>
      <c r="K1506" s="17">
        <f t="shared" si="1185"/>
        <v>40909</v>
      </c>
      <c r="L1506" s="17" t="s">
        <v>233</v>
      </c>
      <c r="M1506" s="17" t="str">
        <f t="shared" si="1190"/>
        <v>1:10600:5</v>
      </c>
      <c r="N1506" s="16" t="str">
        <f t="shared" si="1177"/>
        <v>10033:1</v>
      </c>
      <c r="O1506" s="17">
        <f t="shared" si="1183"/>
        <v>10</v>
      </c>
      <c r="P1506" s="21" t="s">
        <v>4747</v>
      </c>
      <c r="Q1506" s="21"/>
      <c r="R1506" t="s">
        <v>4697</v>
      </c>
      <c r="T1506" t="str">
        <f t="shared" si="1191"/>
        <v>:1</v>
      </c>
      <c r="U1506" t="str">
        <f t="shared" si="1170"/>
        <v>马骑</v>
      </c>
      <c r="V1506" t="s">
        <v>4738</v>
      </c>
      <c r="W1506">
        <f>属性类型!G1506</f>
        <v>10033</v>
      </c>
      <c r="X1506">
        <v>1</v>
      </c>
    </row>
    <row r="1507" customFormat="1" ht="16.5" spans="1:24">
      <c r="A1507" s="17">
        <f t="shared" si="1186"/>
        <v>40909</v>
      </c>
      <c r="B1507" s="17">
        <f t="shared" si="1179"/>
        <v>40900</v>
      </c>
      <c r="C1507" s="17" t="str">
        <f t="shared" si="1184"/>
        <v>4</v>
      </c>
      <c r="D1507" s="17">
        <f t="shared" si="1181"/>
        <v>40001</v>
      </c>
      <c r="E1507" s="17">
        <v>2</v>
      </c>
      <c r="F1507" s="17">
        <f t="shared" si="1182"/>
        <v>1</v>
      </c>
      <c r="G1507" s="17" t="str">
        <f t="shared" si="1187"/>
        <v>圣天马骑士魔防百分比</v>
      </c>
      <c r="H1507" s="17" t="str">
        <f t="shared" si="1188"/>
        <v>feibing01_Lv3</v>
      </c>
      <c r="I1507" s="20">
        <f t="shared" si="1189"/>
        <v>1.2</v>
      </c>
      <c r="J1507" s="17">
        <v>9</v>
      </c>
      <c r="K1507" s="17">
        <f t="shared" si="1185"/>
        <v>40910</v>
      </c>
      <c r="L1507" s="17" t="s">
        <v>236</v>
      </c>
      <c r="M1507" s="17" t="str">
        <f t="shared" si="1190"/>
        <v>1:10600:5</v>
      </c>
      <c r="N1507" s="16" t="str">
        <f t="shared" si="1177"/>
        <v>10033:1</v>
      </c>
      <c r="O1507" s="17">
        <f t="shared" si="1183"/>
        <v>10</v>
      </c>
      <c r="P1507" s="21" t="s">
        <v>4748</v>
      </c>
      <c r="Q1507" s="21"/>
      <c r="R1507" t="s">
        <v>4697</v>
      </c>
      <c r="T1507" t="str">
        <f t="shared" si="1191"/>
        <v>:1</v>
      </c>
      <c r="U1507" t="str">
        <f t="shared" si="1170"/>
        <v>马骑</v>
      </c>
      <c r="V1507" t="s">
        <v>4738</v>
      </c>
      <c r="W1507">
        <f>属性类型!G1507</f>
        <v>10033</v>
      </c>
      <c r="X1507">
        <v>1</v>
      </c>
    </row>
    <row r="1508" customFormat="1" ht="16.5" spans="1:24">
      <c r="A1508" s="17">
        <f t="shared" si="1186"/>
        <v>40910</v>
      </c>
      <c r="B1508" s="17">
        <f t="shared" si="1179"/>
        <v>40900</v>
      </c>
      <c r="C1508" s="17" t="str">
        <f t="shared" si="1184"/>
        <v>4</v>
      </c>
      <c r="D1508" s="17">
        <f t="shared" si="1181"/>
        <v>40001</v>
      </c>
      <c r="E1508" s="17">
        <v>2</v>
      </c>
      <c r="F1508" s="17">
        <f t="shared" si="1182"/>
        <v>1</v>
      </c>
      <c r="G1508" s="17" t="str">
        <f t="shared" si="1187"/>
        <v>圣天马骑士魔防百分比</v>
      </c>
      <c r="H1508" s="17" t="str">
        <f t="shared" si="1188"/>
        <v>feibing01_Lv3</v>
      </c>
      <c r="I1508" s="20">
        <f t="shared" si="1189"/>
        <v>1.2</v>
      </c>
      <c r="J1508" s="17">
        <v>10</v>
      </c>
      <c r="K1508" s="17">
        <f t="shared" si="1185"/>
        <v>40911</v>
      </c>
      <c r="L1508" s="17" t="s">
        <v>238</v>
      </c>
      <c r="M1508" s="17" t="str">
        <f t="shared" si="1190"/>
        <v>1:10600:5</v>
      </c>
      <c r="N1508" s="16" t="str">
        <f t="shared" si="1177"/>
        <v>10033:1</v>
      </c>
      <c r="O1508" s="17">
        <f t="shared" si="1183"/>
        <v>10</v>
      </c>
      <c r="P1508" s="21" t="s">
        <v>4749</v>
      </c>
      <c r="Q1508" s="21"/>
      <c r="R1508" t="s">
        <v>4697</v>
      </c>
      <c r="T1508" t="str">
        <f t="shared" si="1191"/>
        <v>:1</v>
      </c>
      <c r="U1508" t="str">
        <f t="shared" si="1170"/>
        <v>马骑</v>
      </c>
      <c r="V1508" t="s">
        <v>4738</v>
      </c>
      <c r="W1508">
        <f>属性类型!G1508</f>
        <v>10033</v>
      </c>
      <c r="X1508">
        <v>1</v>
      </c>
    </row>
    <row r="1509" customFormat="1" ht="16.5" spans="1:24">
      <c r="A1509" s="17">
        <f t="shared" ref="A1509:A1518" si="1192">A1508+1</f>
        <v>40911</v>
      </c>
      <c r="B1509" s="17">
        <f t="shared" ref="B1509:B1522" si="1193">ROUND(A1509,-2)</f>
        <v>40900</v>
      </c>
      <c r="C1509" s="17" t="str">
        <f t="shared" ref="C1509:C1543" si="1194">LEFT(A1509,1)</f>
        <v>4</v>
      </c>
      <c r="D1509" s="17">
        <f t="shared" ref="D1509:D1518" si="1195">$A$1399+F1509</f>
        <v>40001</v>
      </c>
      <c r="E1509" s="17">
        <v>2</v>
      </c>
      <c r="F1509" s="17">
        <f t="shared" si="1182"/>
        <v>1</v>
      </c>
      <c r="G1509" s="17" t="str">
        <f t="shared" si="1187"/>
        <v>圣天马骑士魔防百分比</v>
      </c>
      <c r="H1509" s="17" t="str">
        <f t="shared" si="1188"/>
        <v>feibing01_Lv3</v>
      </c>
      <c r="I1509" s="20">
        <f t="shared" si="1189"/>
        <v>1.2</v>
      </c>
      <c r="J1509" s="17">
        <v>11</v>
      </c>
      <c r="K1509" s="17">
        <f t="shared" si="1185"/>
        <v>40912</v>
      </c>
      <c r="L1509" s="17" t="s">
        <v>529</v>
      </c>
      <c r="M1509" s="17" t="str">
        <f t="shared" si="1190"/>
        <v>1:10600:5</v>
      </c>
      <c r="N1509" s="16" t="str">
        <f t="shared" si="1177"/>
        <v>10033:1</v>
      </c>
      <c r="O1509" s="17">
        <f t="shared" si="1183"/>
        <v>10</v>
      </c>
      <c r="P1509" s="21" t="s">
        <v>4750</v>
      </c>
      <c r="Q1509" s="21"/>
      <c r="R1509" t="s">
        <v>4697</v>
      </c>
      <c r="U1509" t="str">
        <f t="shared" si="1170"/>
        <v>马骑</v>
      </c>
      <c r="V1509" t="s">
        <v>4738</v>
      </c>
      <c r="W1509">
        <f>属性类型!G1509</f>
        <v>10033</v>
      </c>
      <c r="X1509">
        <v>1</v>
      </c>
    </row>
    <row r="1510" customFormat="1" ht="16.5" spans="1:24">
      <c r="A1510" s="17">
        <f t="shared" si="1192"/>
        <v>40912</v>
      </c>
      <c r="B1510" s="17">
        <f t="shared" si="1193"/>
        <v>40900</v>
      </c>
      <c r="C1510" s="17" t="str">
        <f t="shared" si="1194"/>
        <v>4</v>
      </c>
      <c r="D1510" s="17">
        <f t="shared" si="1195"/>
        <v>40001</v>
      </c>
      <c r="E1510" s="17">
        <v>2</v>
      </c>
      <c r="F1510" s="17">
        <f t="shared" si="1182"/>
        <v>1</v>
      </c>
      <c r="G1510" s="17" t="str">
        <f t="shared" si="1187"/>
        <v>圣天马骑士魔防百分比</v>
      </c>
      <c r="H1510" s="17" t="str">
        <f t="shared" si="1188"/>
        <v>feibing01_Lv3</v>
      </c>
      <c r="I1510" s="20">
        <f t="shared" si="1189"/>
        <v>1.2</v>
      </c>
      <c r="J1510" s="17">
        <v>12</v>
      </c>
      <c r="K1510" s="17">
        <f t="shared" si="1185"/>
        <v>40913</v>
      </c>
      <c r="L1510" s="17" t="s">
        <v>532</v>
      </c>
      <c r="M1510" s="17" t="str">
        <f t="shared" si="1190"/>
        <v>1:10600:5</v>
      </c>
      <c r="N1510" s="16" t="str">
        <f t="shared" si="1177"/>
        <v>10033:1</v>
      </c>
      <c r="O1510" s="17">
        <f t="shared" si="1183"/>
        <v>10</v>
      </c>
      <c r="P1510" s="21" t="s">
        <v>4751</v>
      </c>
      <c r="Q1510" s="21"/>
      <c r="R1510" t="s">
        <v>4697</v>
      </c>
      <c r="U1510" t="str">
        <f t="shared" si="1170"/>
        <v>马骑</v>
      </c>
      <c r="V1510" t="s">
        <v>4738</v>
      </c>
      <c r="W1510">
        <f>属性类型!G1510</f>
        <v>10033</v>
      </c>
      <c r="X1510">
        <v>1</v>
      </c>
    </row>
    <row r="1511" customFormat="1" ht="16.5" spans="1:24">
      <c r="A1511" s="17">
        <f t="shared" si="1192"/>
        <v>40913</v>
      </c>
      <c r="B1511" s="17">
        <f t="shared" si="1193"/>
        <v>40900</v>
      </c>
      <c r="C1511" s="17" t="str">
        <f t="shared" si="1194"/>
        <v>4</v>
      </c>
      <c r="D1511" s="17">
        <f t="shared" si="1195"/>
        <v>40001</v>
      </c>
      <c r="E1511" s="17">
        <v>2</v>
      </c>
      <c r="F1511" s="17">
        <f t="shared" si="1182"/>
        <v>1</v>
      </c>
      <c r="G1511" s="17" t="str">
        <f t="shared" si="1187"/>
        <v>圣天马骑士魔防百分比</v>
      </c>
      <c r="H1511" s="17" t="str">
        <f t="shared" si="1188"/>
        <v>feibing01_Lv3</v>
      </c>
      <c r="I1511" s="20">
        <f t="shared" si="1189"/>
        <v>1.2</v>
      </c>
      <c r="J1511" s="17">
        <v>13</v>
      </c>
      <c r="K1511" s="17">
        <f t="shared" si="1185"/>
        <v>40914</v>
      </c>
      <c r="L1511" s="17" t="s">
        <v>561</v>
      </c>
      <c r="M1511" s="17" t="str">
        <f t="shared" si="1190"/>
        <v>1:10600:5</v>
      </c>
      <c r="N1511" s="16" t="str">
        <f t="shared" si="1177"/>
        <v>10033:1</v>
      </c>
      <c r="O1511" s="17">
        <f t="shared" si="1183"/>
        <v>10</v>
      </c>
      <c r="P1511" s="21" t="s">
        <v>4752</v>
      </c>
      <c r="Q1511" s="21"/>
      <c r="R1511" t="s">
        <v>4697</v>
      </c>
      <c r="U1511" t="str">
        <f t="shared" si="1170"/>
        <v>马骑</v>
      </c>
      <c r="V1511" t="s">
        <v>4738</v>
      </c>
      <c r="W1511">
        <f>属性类型!G1511</f>
        <v>10033</v>
      </c>
      <c r="X1511">
        <v>1</v>
      </c>
    </row>
    <row r="1512" customFormat="1" ht="16.5" spans="1:24">
      <c r="A1512" s="17">
        <f t="shared" si="1192"/>
        <v>40914</v>
      </c>
      <c r="B1512" s="17">
        <f t="shared" si="1193"/>
        <v>40900</v>
      </c>
      <c r="C1512" s="17" t="str">
        <f t="shared" si="1194"/>
        <v>4</v>
      </c>
      <c r="D1512" s="17">
        <f t="shared" si="1195"/>
        <v>40001</v>
      </c>
      <c r="E1512" s="17">
        <v>2</v>
      </c>
      <c r="F1512" s="17">
        <f t="shared" si="1182"/>
        <v>1</v>
      </c>
      <c r="G1512" s="17" t="str">
        <f t="shared" si="1187"/>
        <v>圣天马骑士魔防百分比</v>
      </c>
      <c r="H1512" s="17" t="str">
        <f t="shared" si="1188"/>
        <v>feibing01_Lv3</v>
      </c>
      <c r="I1512" s="20">
        <f t="shared" si="1189"/>
        <v>1.2</v>
      </c>
      <c r="J1512" s="17">
        <v>14</v>
      </c>
      <c r="K1512" s="17">
        <f t="shared" si="1185"/>
        <v>40915</v>
      </c>
      <c r="L1512" s="17" t="s">
        <v>564</v>
      </c>
      <c r="M1512" s="17" t="str">
        <f t="shared" si="1190"/>
        <v>1:10600:5</v>
      </c>
      <c r="N1512" s="16" t="str">
        <f t="shared" si="1177"/>
        <v>10033:1</v>
      </c>
      <c r="O1512" s="17">
        <f t="shared" si="1183"/>
        <v>10</v>
      </c>
      <c r="P1512" s="21" t="s">
        <v>4753</v>
      </c>
      <c r="Q1512" s="21"/>
      <c r="R1512" t="s">
        <v>4697</v>
      </c>
      <c r="U1512" t="str">
        <f t="shared" si="1170"/>
        <v>马骑</v>
      </c>
      <c r="V1512" t="s">
        <v>4738</v>
      </c>
      <c r="W1512">
        <f>属性类型!G1512</f>
        <v>10033</v>
      </c>
      <c r="X1512">
        <v>1</v>
      </c>
    </row>
    <row r="1513" customFormat="1" ht="16.5" spans="1:24">
      <c r="A1513" s="17">
        <f t="shared" si="1192"/>
        <v>40915</v>
      </c>
      <c r="B1513" s="17">
        <f t="shared" si="1193"/>
        <v>40900</v>
      </c>
      <c r="C1513" s="17" t="str">
        <f t="shared" si="1194"/>
        <v>4</v>
      </c>
      <c r="D1513" s="17">
        <f t="shared" si="1195"/>
        <v>40001</v>
      </c>
      <c r="E1513" s="17">
        <v>2</v>
      </c>
      <c r="F1513" s="17">
        <f t="shared" si="1182"/>
        <v>1</v>
      </c>
      <c r="G1513" s="17" t="str">
        <f t="shared" si="1187"/>
        <v>圣天马骑士魔防百分比</v>
      </c>
      <c r="H1513" s="17" t="str">
        <f t="shared" si="1188"/>
        <v>feibing01_Lv3</v>
      </c>
      <c r="I1513" s="20">
        <f t="shared" si="1189"/>
        <v>1.2</v>
      </c>
      <c r="J1513" s="17">
        <v>15</v>
      </c>
      <c r="K1513" s="17">
        <f t="shared" si="1185"/>
        <v>40916</v>
      </c>
      <c r="L1513" s="17" t="s">
        <v>630</v>
      </c>
      <c r="M1513" s="17" t="str">
        <f t="shared" si="1190"/>
        <v>1:10600:5</v>
      </c>
      <c r="N1513" s="16" t="str">
        <f t="shared" si="1177"/>
        <v>10033:1</v>
      </c>
      <c r="O1513" s="17">
        <f t="shared" si="1183"/>
        <v>10</v>
      </c>
      <c r="P1513" s="21" t="s">
        <v>4754</v>
      </c>
      <c r="Q1513" s="21"/>
      <c r="R1513" t="s">
        <v>4697</v>
      </c>
      <c r="U1513" t="str">
        <f t="shared" si="1170"/>
        <v>马骑</v>
      </c>
      <c r="V1513" t="s">
        <v>4738</v>
      </c>
      <c r="W1513">
        <f>属性类型!G1513</f>
        <v>10033</v>
      </c>
      <c r="X1513">
        <v>1</v>
      </c>
    </row>
    <row r="1514" customFormat="1" ht="16.5" spans="1:24">
      <c r="A1514" s="17">
        <f t="shared" si="1192"/>
        <v>40916</v>
      </c>
      <c r="B1514" s="17">
        <f t="shared" si="1193"/>
        <v>40900</v>
      </c>
      <c r="C1514" s="17" t="str">
        <f t="shared" si="1194"/>
        <v>4</v>
      </c>
      <c r="D1514" s="17">
        <f t="shared" si="1195"/>
        <v>40001</v>
      </c>
      <c r="E1514" s="17">
        <v>2</v>
      </c>
      <c r="F1514" s="17">
        <f t="shared" si="1182"/>
        <v>1</v>
      </c>
      <c r="G1514" s="17" t="str">
        <f t="shared" si="1187"/>
        <v>圣天马骑士魔防百分比</v>
      </c>
      <c r="H1514" s="17" t="str">
        <f t="shared" si="1188"/>
        <v>feibing01_Lv3</v>
      </c>
      <c r="I1514" s="20">
        <f t="shared" si="1189"/>
        <v>1.2</v>
      </c>
      <c r="J1514" s="17">
        <v>16</v>
      </c>
      <c r="K1514" s="17">
        <f t="shared" si="1185"/>
        <v>40917</v>
      </c>
      <c r="L1514" s="17" t="s">
        <v>633</v>
      </c>
      <c r="M1514" s="17" t="str">
        <f t="shared" si="1190"/>
        <v>1:10600:5</v>
      </c>
      <c r="N1514" s="16" t="str">
        <f t="shared" si="1177"/>
        <v>10033:1</v>
      </c>
      <c r="O1514" s="17">
        <f t="shared" si="1183"/>
        <v>10</v>
      </c>
      <c r="P1514" s="21" t="s">
        <v>4755</v>
      </c>
      <c r="Q1514" s="21"/>
      <c r="R1514" t="s">
        <v>4697</v>
      </c>
      <c r="U1514" t="str">
        <f t="shared" si="1170"/>
        <v>马骑</v>
      </c>
      <c r="V1514" t="s">
        <v>4738</v>
      </c>
      <c r="W1514">
        <f>属性类型!G1514</f>
        <v>10033</v>
      </c>
      <c r="X1514">
        <v>1</v>
      </c>
    </row>
    <row r="1515" customFormat="1" ht="16.5" spans="1:24">
      <c r="A1515" s="17">
        <f t="shared" si="1192"/>
        <v>40917</v>
      </c>
      <c r="B1515" s="17">
        <f t="shared" si="1193"/>
        <v>40900</v>
      </c>
      <c r="C1515" s="17" t="str">
        <f t="shared" si="1194"/>
        <v>4</v>
      </c>
      <c r="D1515" s="17">
        <f t="shared" si="1195"/>
        <v>40001</v>
      </c>
      <c r="E1515" s="17">
        <v>2</v>
      </c>
      <c r="F1515" s="17">
        <f t="shared" si="1182"/>
        <v>1</v>
      </c>
      <c r="G1515" s="17" t="str">
        <f t="shared" si="1187"/>
        <v>圣天马骑士魔防百分比</v>
      </c>
      <c r="H1515" s="17" t="str">
        <f t="shared" si="1188"/>
        <v>feibing01_Lv3</v>
      </c>
      <c r="I1515" s="20">
        <f t="shared" si="1189"/>
        <v>1.2</v>
      </c>
      <c r="J1515" s="17">
        <v>17</v>
      </c>
      <c r="K1515" s="17">
        <f t="shared" si="1185"/>
        <v>40918</v>
      </c>
      <c r="L1515" s="17" t="s">
        <v>637</v>
      </c>
      <c r="M1515" s="17" t="str">
        <f t="shared" si="1190"/>
        <v>1:10600:5</v>
      </c>
      <c r="N1515" s="16" t="str">
        <f t="shared" si="1177"/>
        <v>10033:1</v>
      </c>
      <c r="O1515" s="17">
        <f t="shared" si="1183"/>
        <v>10</v>
      </c>
      <c r="P1515" s="21" t="s">
        <v>4756</v>
      </c>
      <c r="Q1515" s="21"/>
      <c r="R1515" t="s">
        <v>4697</v>
      </c>
      <c r="U1515" t="str">
        <f t="shared" si="1170"/>
        <v>马骑</v>
      </c>
      <c r="V1515" t="s">
        <v>4738</v>
      </c>
      <c r="W1515">
        <f>属性类型!G1515</f>
        <v>10033</v>
      </c>
      <c r="X1515">
        <v>1</v>
      </c>
    </row>
    <row r="1516" customFormat="1" ht="16.5" spans="1:24">
      <c r="A1516" s="17">
        <f t="shared" si="1192"/>
        <v>40918</v>
      </c>
      <c r="B1516" s="17">
        <f t="shared" si="1193"/>
        <v>40900</v>
      </c>
      <c r="C1516" s="17" t="str">
        <f t="shared" si="1194"/>
        <v>4</v>
      </c>
      <c r="D1516" s="17">
        <f t="shared" si="1195"/>
        <v>40001</v>
      </c>
      <c r="E1516" s="17">
        <v>2</v>
      </c>
      <c r="F1516" s="17">
        <f t="shared" si="1182"/>
        <v>1</v>
      </c>
      <c r="G1516" s="17" t="str">
        <f t="shared" si="1187"/>
        <v>圣天马骑士魔防百分比</v>
      </c>
      <c r="H1516" s="17" t="str">
        <f t="shared" si="1188"/>
        <v>feibing01_Lv3</v>
      </c>
      <c r="I1516" s="20">
        <f t="shared" si="1189"/>
        <v>1.2</v>
      </c>
      <c r="J1516" s="17">
        <v>18</v>
      </c>
      <c r="K1516" s="17">
        <f t="shared" si="1185"/>
        <v>40919</v>
      </c>
      <c r="L1516" s="17" t="s">
        <v>641</v>
      </c>
      <c r="M1516" s="17" t="str">
        <f t="shared" si="1190"/>
        <v>1:10600:5</v>
      </c>
      <c r="N1516" s="16" t="str">
        <f t="shared" si="1177"/>
        <v>10033:1</v>
      </c>
      <c r="O1516" s="17">
        <f t="shared" si="1183"/>
        <v>10</v>
      </c>
      <c r="P1516" s="21" t="s">
        <v>4757</v>
      </c>
      <c r="Q1516" s="21"/>
      <c r="R1516" t="s">
        <v>4697</v>
      </c>
      <c r="U1516" t="str">
        <f t="shared" si="1170"/>
        <v>马骑</v>
      </c>
      <c r="V1516" t="s">
        <v>4738</v>
      </c>
      <c r="W1516">
        <f>属性类型!G1516</f>
        <v>10033</v>
      </c>
      <c r="X1516">
        <v>1</v>
      </c>
    </row>
    <row r="1517" customFormat="1" ht="16.5" spans="1:24">
      <c r="A1517" s="17">
        <f t="shared" si="1192"/>
        <v>40919</v>
      </c>
      <c r="B1517" s="17">
        <f t="shared" si="1193"/>
        <v>40900</v>
      </c>
      <c r="C1517" s="17" t="str">
        <f t="shared" si="1194"/>
        <v>4</v>
      </c>
      <c r="D1517" s="17">
        <f t="shared" si="1195"/>
        <v>40001</v>
      </c>
      <c r="E1517" s="17">
        <v>2</v>
      </c>
      <c r="F1517" s="17">
        <f t="shared" si="1182"/>
        <v>1</v>
      </c>
      <c r="G1517" s="17" t="str">
        <f t="shared" si="1187"/>
        <v>圣天马骑士魔防百分比</v>
      </c>
      <c r="H1517" s="17" t="str">
        <f t="shared" si="1188"/>
        <v>feibing01_Lv3</v>
      </c>
      <c r="I1517" s="20">
        <f t="shared" si="1189"/>
        <v>1.2</v>
      </c>
      <c r="J1517" s="17">
        <v>19</v>
      </c>
      <c r="K1517" s="17">
        <f t="shared" si="1185"/>
        <v>40920</v>
      </c>
      <c r="L1517" s="17" t="s">
        <v>645</v>
      </c>
      <c r="M1517" s="17" t="str">
        <f t="shared" si="1190"/>
        <v>1:10600:5</v>
      </c>
      <c r="N1517" s="16" t="str">
        <f t="shared" si="1177"/>
        <v>10033:1</v>
      </c>
      <c r="O1517" s="17">
        <f t="shared" si="1183"/>
        <v>10</v>
      </c>
      <c r="P1517" s="21" t="s">
        <v>4758</v>
      </c>
      <c r="Q1517" s="21"/>
      <c r="R1517" t="s">
        <v>4697</v>
      </c>
      <c r="U1517" t="str">
        <f t="shared" si="1170"/>
        <v>马骑</v>
      </c>
      <c r="V1517" t="s">
        <v>4738</v>
      </c>
      <c r="W1517">
        <f>属性类型!G1517</f>
        <v>10033</v>
      </c>
      <c r="X1517">
        <v>1</v>
      </c>
    </row>
    <row r="1518" customFormat="1" ht="16.5" spans="1:24">
      <c r="A1518" s="17">
        <f t="shared" si="1192"/>
        <v>40920</v>
      </c>
      <c r="B1518" s="17">
        <f t="shared" si="1193"/>
        <v>40900</v>
      </c>
      <c r="C1518" s="17" t="str">
        <f t="shared" si="1194"/>
        <v>4</v>
      </c>
      <c r="D1518" s="17">
        <f t="shared" si="1195"/>
        <v>40001</v>
      </c>
      <c r="E1518" s="17">
        <v>2</v>
      </c>
      <c r="F1518" s="17">
        <f t="shared" si="1182"/>
        <v>1</v>
      </c>
      <c r="G1518" s="17" t="str">
        <f t="shared" si="1187"/>
        <v>圣天马骑士魔防百分比</v>
      </c>
      <c r="H1518" s="17" t="str">
        <f t="shared" si="1188"/>
        <v>feibing01_Lv3</v>
      </c>
      <c r="I1518" s="20">
        <f t="shared" si="1189"/>
        <v>1.2</v>
      </c>
      <c r="J1518" s="17">
        <v>20</v>
      </c>
      <c r="K1518" s="17">
        <v>0</v>
      </c>
      <c r="L1518" s="17">
        <v>0</v>
      </c>
      <c r="M1518" s="17" t="str">
        <f t="shared" si="1190"/>
        <v>1:10600:5</v>
      </c>
      <c r="N1518" s="16" t="str">
        <f t="shared" si="1177"/>
        <v>10033:1</v>
      </c>
      <c r="O1518" s="17">
        <f t="shared" si="1183"/>
        <v>10</v>
      </c>
      <c r="P1518" s="21" t="s">
        <v>4758</v>
      </c>
      <c r="Q1518" s="21"/>
      <c r="R1518" t="s">
        <v>4697</v>
      </c>
      <c r="U1518" t="str">
        <f t="shared" si="1170"/>
        <v>马骑</v>
      </c>
      <c r="V1518" t="s">
        <v>4738</v>
      </c>
      <c r="W1518">
        <f>属性类型!G1518</f>
        <v>10033</v>
      </c>
      <c r="X1518">
        <v>1</v>
      </c>
    </row>
    <row r="1519" s="14" customFormat="1" ht="16.5" spans="1:24">
      <c r="A1519" s="18">
        <f>A1498+100</f>
        <v>41000</v>
      </c>
      <c r="B1519" s="18">
        <f t="shared" si="1193"/>
        <v>41000</v>
      </c>
      <c r="C1519" s="18" t="str">
        <f t="shared" si="1194"/>
        <v>4</v>
      </c>
      <c r="D1519" s="17">
        <f t="shared" ref="D1519:D1558" si="1196">$A$1399+F1519</f>
        <v>40002</v>
      </c>
      <c r="E1519" s="18">
        <v>1</v>
      </c>
      <c r="F1519" s="18">
        <f t="shared" si="1182"/>
        <v>2</v>
      </c>
      <c r="G1519" s="18" t="s">
        <v>295</v>
      </c>
      <c r="H1519" s="18" t="s">
        <v>38</v>
      </c>
      <c r="I1519" s="20">
        <v>0</v>
      </c>
      <c r="J1519" s="18">
        <v>0</v>
      </c>
      <c r="K1519" s="18">
        <f t="shared" ref="K1519:K1528" si="1197">A1520</f>
        <v>41001</v>
      </c>
      <c r="L1519" s="18" t="s">
        <v>297</v>
      </c>
      <c r="M1519" s="18" t="s">
        <v>298</v>
      </c>
      <c r="N1519" s="16" t="str">
        <f t="shared" si="1177"/>
        <v>131:1</v>
      </c>
      <c r="O1519" s="18">
        <f t="shared" si="1183"/>
        <v>1</v>
      </c>
      <c r="P1519" s="21" t="str">
        <f>$S$1&amp;R1519&amp;$Q$1&amp;T1519</f>
        <v>所有飞兵生命增加1</v>
      </c>
      <c r="Q1519" s="22"/>
      <c r="R1519" t="s">
        <v>4270</v>
      </c>
      <c r="T1519" t="str">
        <f>RIGHT(N1519,1)</f>
        <v>1</v>
      </c>
      <c r="U1519" t="str">
        <f t="shared" si="1170"/>
        <v>飞兵</v>
      </c>
      <c r="V1519" t="s">
        <v>4688</v>
      </c>
      <c r="W1519">
        <f>属性类型!G1519</f>
        <v>131</v>
      </c>
      <c r="X1519">
        <v>1</v>
      </c>
    </row>
    <row r="1520" customFormat="1" ht="16.5" spans="1:24">
      <c r="A1520" s="17">
        <f t="shared" ref="A1520:A1529" si="1198">A1519+1</f>
        <v>41001</v>
      </c>
      <c r="B1520" s="17">
        <f t="shared" si="1193"/>
        <v>41000</v>
      </c>
      <c r="C1520" s="17" t="str">
        <f t="shared" si="1194"/>
        <v>4</v>
      </c>
      <c r="D1520" s="17">
        <f t="shared" si="1196"/>
        <v>40002</v>
      </c>
      <c r="E1520" s="17">
        <v>1</v>
      </c>
      <c r="F1520" s="17">
        <f t="shared" si="1182"/>
        <v>2</v>
      </c>
      <c r="G1520" s="17" t="str">
        <f t="shared" ref="G1520:G1529" si="1199">G1519</f>
        <v>中级生命</v>
      </c>
      <c r="H1520" s="17" t="str">
        <f t="shared" ref="H1520:H1529" si="1200">H1519</f>
        <v>icon_01</v>
      </c>
      <c r="I1520" s="20">
        <v>0</v>
      </c>
      <c r="J1520" s="17">
        <v>1</v>
      </c>
      <c r="K1520" s="17">
        <f t="shared" si="1197"/>
        <v>41002</v>
      </c>
      <c r="L1520" s="17" t="s">
        <v>300</v>
      </c>
      <c r="M1520" s="17" t="str">
        <f t="shared" ref="M1520:M1529" si="1201">M1519</f>
        <v>2:10001:30</v>
      </c>
      <c r="N1520" s="16" t="str">
        <f t="shared" si="1177"/>
        <v>131:1</v>
      </c>
      <c r="O1520" s="17">
        <f t="shared" si="1183"/>
        <v>1</v>
      </c>
      <c r="P1520" s="21" t="str">
        <f>$S$1&amp;R1520&amp;$Q$1&amp;T1520</f>
        <v>所有飞兵生命增加:1</v>
      </c>
      <c r="Q1520" s="21"/>
      <c r="R1520" t="str">
        <f t="shared" ref="R1520:R1529" si="1202">R1519</f>
        <v>生命</v>
      </c>
      <c r="T1520" t="str">
        <f t="shared" ref="T1520:T1529" si="1203">RIGHT(N1520,2)</f>
        <v>:1</v>
      </c>
      <c r="U1520" t="str">
        <f t="shared" si="1170"/>
        <v>飞兵</v>
      </c>
      <c r="V1520" t="s">
        <v>4688</v>
      </c>
      <c r="W1520">
        <f>属性类型!G1520</f>
        <v>131</v>
      </c>
      <c r="X1520">
        <v>1</v>
      </c>
    </row>
    <row r="1521" customFormat="1" ht="16.5" spans="1:24">
      <c r="A1521" s="17">
        <f t="shared" si="1198"/>
        <v>41002</v>
      </c>
      <c r="B1521" s="17">
        <f t="shared" si="1193"/>
        <v>41000</v>
      </c>
      <c r="C1521" s="17" t="str">
        <f t="shared" si="1194"/>
        <v>4</v>
      </c>
      <c r="D1521" s="17">
        <f t="shared" si="1196"/>
        <v>40002</v>
      </c>
      <c r="E1521" s="17">
        <v>1</v>
      </c>
      <c r="F1521" s="17">
        <f t="shared" si="1182"/>
        <v>2</v>
      </c>
      <c r="G1521" s="17" t="str">
        <f t="shared" si="1199"/>
        <v>中级生命</v>
      </c>
      <c r="H1521" s="17" t="str">
        <f t="shared" si="1200"/>
        <v>icon_01</v>
      </c>
      <c r="I1521" s="20">
        <v>0</v>
      </c>
      <c r="J1521" s="17">
        <v>2</v>
      </c>
      <c r="K1521" s="17">
        <f t="shared" si="1197"/>
        <v>41003</v>
      </c>
      <c r="L1521" s="17" t="s">
        <v>304</v>
      </c>
      <c r="M1521" s="17" t="str">
        <f t="shared" si="1201"/>
        <v>2:10001:30</v>
      </c>
      <c r="N1521" s="16" t="str">
        <f t="shared" si="1177"/>
        <v>131:1</v>
      </c>
      <c r="O1521" s="17">
        <f t="shared" si="1183"/>
        <v>1</v>
      </c>
      <c r="P1521" s="21" t="str">
        <f>$S$1&amp;R1521&amp;$Q$1&amp;T1521</f>
        <v>所有飞兵生命增加:1</v>
      </c>
      <c r="Q1521" s="21"/>
      <c r="R1521" t="str">
        <f t="shared" si="1202"/>
        <v>生命</v>
      </c>
      <c r="T1521" t="str">
        <f t="shared" si="1203"/>
        <v>:1</v>
      </c>
      <c r="U1521" t="str">
        <f t="shared" si="1170"/>
        <v>飞兵</v>
      </c>
      <c r="V1521" t="s">
        <v>4688</v>
      </c>
      <c r="W1521">
        <f>属性类型!G1521</f>
        <v>131</v>
      </c>
      <c r="X1521">
        <v>1</v>
      </c>
    </row>
    <row r="1522" customFormat="1" ht="16.5" spans="1:24">
      <c r="A1522" s="17">
        <f t="shared" si="1198"/>
        <v>41003</v>
      </c>
      <c r="B1522" s="17">
        <f t="shared" si="1193"/>
        <v>41000</v>
      </c>
      <c r="C1522" s="17" t="str">
        <f t="shared" si="1194"/>
        <v>4</v>
      </c>
      <c r="D1522" s="17">
        <f t="shared" si="1196"/>
        <v>40002</v>
      </c>
      <c r="E1522" s="17">
        <v>1</v>
      </c>
      <c r="F1522" s="17">
        <f t="shared" si="1182"/>
        <v>2</v>
      </c>
      <c r="G1522" s="17" t="str">
        <f t="shared" si="1199"/>
        <v>中级生命</v>
      </c>
      <c r="H1522" s="17" t="str">
        <f t="shared" si="1200"/>
        <v>icon_01</v>
      </c>
      <c r="I1522" s="20">
        <v>0</v>
      </c>
      <c r="J1522" s="17">
        <v>3</v>
      </c>
      <c r="K1522" s="17">
        <f t="shared" si="1197"/>
        <v>41004</v>
      </c>
      <c r="L1522" s="17" t="s">
        <v>307</v>
      </c>
      <c r="M1522" s="17" t="str">
        <f t="shared" si="1201"/>
        <v>2:10001:30</v>
      </c>
      <c r="N1522" s="16" t="str">
        <f t="shared" si="1177"/>
        <v>131:1</v>
      </c>
      <c r="O1522" s="17">
        <f t="shared" si="1183"/>
        <v>1</v>
      </c>
      <c r="P1522" s="21" t="str">
        <f>$S$1&amp;R1522&amp;$Q$1&amp;T1522</f>
        <v>所有飞兵生命增加:1</v>
      </c>
      <c r="Q1522" s="21"/>
      <c r="R1522" t="str">
        <f t="shared" si="1202"/>
        <v>生命</v>
      </c>
      <c r="T1522" t="str">
        <f t="shared" si="1203"/>
        <v>:1</v>
      </c>
      <c r="U1522" t="str">
        <f t="shared" si="1170"/>
        <v>飞兵</v>
      </c>
      <c r="V1522" t="s">
        <v>4688</v>
      </c>
      <c r="W1522">
        <f>属性类型!G1522</f>
        <v>131</v>
      </c>
      <c r="X1522">
        <v>1</v>
      </c>
    </row>
    <row r="1523" customFormat="1" ht="16.5" spans="1:24">
      <c r="A1523" s="17">
        <f t="shared" si="1198"/>
        <v>41004</v>
      </c>
      <c r="B1523" s="17">
        <f t="shared" ref="B1523:B1586" si="1204">ROUND(A1523,-2)</f>
        <v>41000</v>
      </c>
      <c r="C1523" s="17" t="str">
        <f t="shared" si="1194"/>
        <v>4</v>
      </c>
      <c r="D1523" s="17">
        <f t="shared" si="1196"/>
        <v>40002</v>
      </c>
      <c r="E1523" s="17">
        <v>1</v>
      </c>
      <c r="F1523" s="17">
        <f t="shared" si="1182"/>
        <v>2</v>
      </c>
      <c r="G1523" s="17" t="str">
        <f t="shared" si="1199"/>
        <v>中级生命</v>
      </c>
      <c r="H1523" s="17" t="str">
        <f t="shared" si="1200"/>
        <v>icon_01</v>
      </c>
      <c r="I1523" s="20">
        <v>0</v>
      </c>
      <c r="J1523" s="17">
        <v>4</v>
      </c>
      <c r="K1523" s="17">
        <f t="shared" si="1197"/>
        <v>41005</v>
      </c>
      <c r="L1523" s="17" t="s">
        <v>309</v>
      </c>
      <c r="M1523" s="17" t="str">
        <f t="shared" si="1201"/>
        <v>2:10001:30</v>
      </c>
      <c r="N1523" s="16" t="str">
        <f t="shared" si="1177"/>
        <v>131:1</v>
      </c>
      <c r="O1523" s="17">
        <f t="shared" si="1183"/>
        <v>1</v>
      </c>
      <c r="P1523" s="21" t="str">
        <f>$S$1&amp;R1523&amp;$Q$1&amp;T1523</f>
        <v>所有飞兵生命增加:1</v>
      </c>
      <c r="Q1523" s="21"/>
      <c r="R1523" t="str">
        <f t="shared" si="1202"/>
        <v>生命</v>
      </c>
      <c r="T1523" t="str">
        <f t="shared" si="1203"/>
        <v>:1</v>
      </c>
      <c r="U1523" t="str">
        <f t="shared" si="1170"/>
        <v>飞兵</v>
      </c>
      <c r="V1523" t="s">
        <v>4688</v>
      </c>
      <c r="W1523">
        <f>属性类型!G1523</f>
        <v>131</v>
      </c>
      <c r="X1523">
        <v>1</v>
      </c>
    </row>
    <row r="1524" customFormat="1" ht="16.5" spans="1:24">
      <c r="A1524" s="17">
        <f t="shared" si="1198"/>
        <v>41005</v>
      </c>
      <c r="B1524" s="17">
        <f t="shared" si="1204"/>
        <v>41000</v>
      </c>
      <c r="C1524" s="17" t="str">
        <f t="shared" si="1194"/>
        <v>4</v>
      </c>
      <c r="D1524" s="17">
        <f t="shared" si="1196"/>
        <v>40002</v>
      </c>
      <c r="E1524" s="17">
        <v>1</v>
      </c>
      <c r="F1524" s="17">
        <f t="shared" si="1182"/>
        <v>2</v>
      </c>
      <c r="G1524" s="17" t="str">
        <f t="shared" si="1199"/>
        <v>中级生命</v>
      </c>
      <c r="H1524" s="17" t="str">
        <f t="shared" si="1200"/>
        <v>icon_01</v>
      </c>
      <c r="I1524" s="20">
        <v>0</v>
      </c>
      <c r="J1524" s="17">
        <v>5</v>
      </c>
      <c r="K1524" s="17">
        <f t="shared" si="1197"/>
        <v>41006</v>
      </c>
      <c r="L1524" s="17" t="s">
        <v>312</v>
      </c>
      <c r="M1524" s="17" t="str">
        <f t="shared" si="1201"/>
        <v>2:10001:30</v>
      </c>
      <c r="N1524" s="16" t="str">
        <f t="shared" si="1177"/>
        <v>131:1</v>
      </c>
      <c r="O1524" s="17">
        <f t="shared" si="1183"/>
        <v>1</v>
      </c>
      <c r="P1524" s="21" t="str">
        <f>$S$1&amp;R1524&amp;$Q$1&amp;T1524</f>
        <v>所有飞兵生命增加:1</v>
      </c>
      <c r="Q1524" s="21"/>
      <c r="R1524" t="str">
        <f t="shared" si="1202"/>
        <v>生命</v>
      </c>
      <c r="T1524" t="str">
        <f t="shared" si="1203"/>
        <v>:1</v>
      </c>
      <c r="U1524" t="str">
        <f t="shared" si="1170"/>
        <v>飞兵</v>
      </c>
      <c r="V1524" t="s">
        <v>4688</v>
      </c>
      <c r="W1524">
        <f>属性类型!G1524</f>
        <v>131</v>
      </c>
      <c r="X1524">
        <v>1</v>
      </c>
    </row>
    <row r="1525" customFormat="1" ht="16.5" spans="1:24">
      <c r="A1525" s="17">
        <f t="shared" si="1198"/>
        <v>41006</v>
      </c>
      <c r="B1525" s="17">
        <f t="shared" si="1204"/>
        <v>41000</v>
      </c>
      <c r="C1525" s="17" t="str">
        <f t="shared" si="1194"/>
        <v>4</v>
      </c>
      <c r="D1525" s="17">
        <f t="shared" si="1196"/>
        <v>40002</v>
      </c>
      <c r="E1525" s="17">
        <v>1</v>
      </c>
      <c r="F1525" s="17">
        <f t="shared" si="1182"/>
        <v>2</v>
      </c>
      <c r="G1525" s="17" t="str">
        <f t="shared" si="1199"/>
        <v>中级生命</v>
      </c>
      <c r="H1525" s="17" t="str">
        <f t="shared" si="1200"/>
        <v>icon_01</v>
      </c>
      <c r="I1525" s="20">
        <v>0</v>
      </c>
      <c r="J1525" s="17">
        <v>6</v>
      </c>
      <c r="K1525" s="17">
        <f t="shared" si="1197"/>
        <v>41007</v>
      </c>
      <c r="L1525" s="17" t="s">
        <v>315</v>
      </c>
      <c r="M1525" s="17" t="str">
        <f t="shared" si="1201"/>
        <v>2:10001:30</v>
      </c>
      <c r="N1525" s="16" t="str">
        <f t="shared" si="1177"/>
        <v>131:1</v>
      </c>
      <c r="O1525" s="17">
        <f t="shared" si="1183"/>
        <v>1</v>
      </c>
      <c r="P1525" s="21" t="str">
        <f>$S$1&amp;R1525&amp;$Q$1&amp;T1525</f>
        <v>所有飞兵生命增加:1</v>
      </c>
      <c r="Q1525" s="21"/>
      <c r="R1525" t="str">
        <f t="shared" si="1202"/>
        <v>生命</v>
      </c>
      <c r="T1525" t="str">
        <f t="shared" si="1203"/>
        <v>:1</v>
      </c>
      <c r="U1525" t="str">
        <f t="shared" si="1170"/>
        <v>飞兵</v>
      </c>
      <c r="V1525" t="s">
        <v>4688</v>
      </c>
      <c r="W1525">
        <f>属性类型!G1525</f>
        <v>131</v>
      </c>
      <c r="X1525">
        <v>1</v>
      </c>
    </row>
    <row r="1526" customFormat="1" ht="16.5" spans="1:24">
      <c r="A1526" s="17">
        <f t="shared" si="1198"/>
        <v>41007</v>
      </c>
      <c r="B1526" s="17">
        <f t="shared" si="1204"/>
        <v>41000</v>
      </c>
      <c r="C1526" s="17" t="str">
        <f t="shared" si="1194"/>
        <v>4</v>
      </c>
      <c r="D1526" s="17">
        <f t="shared" si="1196"/>
        <v>40002</v>
      </c>
      <c r="E1526" s="17">
        <v>1</v>
      </c>
      <c r="F1526" s="17">
        <f t="shared" si="1182"/>
        <v>2</v>
      </c>
      <c r="G1526" s="17" t="str">
        <f t="shared" si="1199"/>
        <v>中级生命</v>
      </c>
      <c r="H1526" s="17" t="str">
        <f t="shared" si="1200"/>
        <v>icon_01</v>
      </c>
      <c r="I1526" s="20">
        <v>0</v>
      </c>
      <c r="J1526" s="17">
        <v>7</v>
      </c>
      <c r="K1526" s="17">
        <f t="shared" si="1197"/>
        <v>41008</v>
      </c>
      <c r="L1526" s="17" t="s">
        <v>317</v>
      </c>
      <c r="M1526" s="17" t="str">
        <f t="shared" si="1201"/>
        <v>2:10001:30</v>
      </c>
      <c r="N1526" s="16" t="str">
        <f t="shared" si="1177"/>
        <v>131:1</v>
      </c>
      <c r="O1526" s="17">
        <f t="shared" si="1183"/>
        <v>1</v>
      </c>
      <c r="P1526" s="21" t="str">
        <f>$S$1&amp;R1526&amp;$Q$1&amp;T1526</f>
        <v>所有飞兵生命增加:1</v>
      </c>
      <c r="Q1526" s="21"/>
      <c r="R1526" t="str">
        <f t="shared" si="1202"/>
        <v>生命</v>
      </c>
      <c r="T1526" t="str">
        <f t="shared" si="1203"/>
        <v>:1</v>
      </c>
      <c r="U1526" t="str">
        <f t="shared" si="1170"/>
        <v>飞兵</v>
      </c>
      <c r="V1526" t="s">
        <v>4688</v>
      </c>
      <c r="W1526">
        <f>属性类型!G1526</f>
        <v>131</v>
      </c>
      <c r="X1526">
        <v>1</v>
      </c>
    </row>
    <row r="1527" customFormat="1" ht="16.5" spans="1:24">
      <c r="A1527" s="17">
        <f t="shared" si="1198"/>
        <v>41008</v>
      </c>
      <c r="B1527" s="17">
        <f t="shared" si="1204"/>
        <v>41000</v>
      </c>
      <c r="C1527" s="17" t="str">
        <f t="shared" si="1194"/>
        <v>4</v>
      </c>
      <c r="D1527" s="17">
        <f t="shared" si="1196"/>
        <v>40002</v>
      </c>
      <c r="E1527" s="17">
        <v>1</v>
      </c>
      <c r="F1527" s="17">
        <f t="shared" si="1182"/>
        <v>2</v>
      </c>
      <c r="G1527" s="17" t="str">
        <f t="shared" si="1199"/>
        <v>中级生命</v>
      </c>
      <c r="H1527" s="17" t="str">
        <f t="shared" si="1200"/>
        <v>icon_01</v>
      </c>
      <c r="I1527" s="20">
        <v>0</v>
      </c>
      <c r="J1527" s="17">
        <v>8</v>
      </c>
      <c r="K1527" s="17">
        <f t="shared" si="1197"/>
        <v>41009</v>
      </c>
      <c r="L1527" s="17" t="s">
        <v>320</v>
      </c>
      <c r="M1527" s="17" t="str">
        <f t="shared" si="1201"/>
        <v>2:10001:30</v>
      </c>
      <c r="N1527" s="16" t="str">
        <f t="shared" si="1177"/>
        <v>131:1</v>
      </c>
      <c r="O1527" s="17">
        <f t="shared" si="1183"/>
        <v>1</v>
      </c>
      <c r="P1527" s="21" t="str">
        <f>$S$1&amp;R1527&amp;$Q$1&amp;T1527</f>
        <v>所有飞兵生命增加:1</v>
      </c>
      <c r="Q1527" s="21"/>
      <c r="R1527" t="str">
        <f t="shared" si="1202"/>
        <v>生命</v>
      </c>
      <c r="T1527" t="str">
        <f t="shared" si="1203"/>
        <v>:1</v>
      </c>
      <c r="U1527" t="str">
        <f t="shared" si="1170"/>
        <v>飞兵</v>
      </c>
      <c r="V1527" t="s">
        <v>4688</v>
      </c>
      <c r="W1527">
        <f>属性类型!G1527</f>
        <v>131</v>
      </c>
      <c r="X1527">
        <v>1</v>
      </c>
    </row>
    <row r="1528" customFormat="1" ht="16.5" spans="1:24">
      <c r="A1528" s="17">
        <f t="shared" si="1198"/>
        <v>41009</v>
      </c>
      <c r="B1528" s="17">
        <f t="shared" si="1204"/>
        <v>41000</v>
      </c>
      <c r="C1528" s="17" t="str">
        <f t="shared" si="1194"/>
        <v>4</v>
      </c>
      <c r="D1528" s="17">
        <f t="shared" si="1196"/>
        <v>40002</v>
      </c>
      <c r="E1528" s="17">
        <v>1</v>
      </c>
      <c r="F1528" s="17">
        <f t="shared" si="1182"/>
        <v>2</v>
      </c>
      <c r="G1528" s="17" t="str">
        <f t="shared" si="1199"/>
        <v>中级生命</v>
      </c>
      <c r="H1528" s="17" t="str">
        <f t="shared" si="1200"/>
        <v>icon_01</v>
      </c>
      <c r="I1528" s="20">
        <v>0</v>
      </c>
      <c r="J1528" s="17">
        <v>9</v>
      </c>
      <c r="K1528" s="17">
        <f t="shared" si="1197"/>
        <v>41010</v>
      </c>
      <c r="L1528" s="17" t="s">
        <v>323</v>
      </c>
      <c r="M1528" s="17" t="str">
        <f t="shared" si="1201"/>
        <v>2:10001:30</v>
      </c>
      <c r="N1528" s="16" t="str">
        <f t="shared" si="1177"/>
        <v>131:1</v>
      </c>
      <c r="O1528" s="17">
        <f t="shared" si="1183"/>
        <v>1</v>
      </c>
      <c r="P1528" s="21" t="str">
        <f>$S$1&amp;R1528&amp;$Q$1&amp;T1528</f>
        <v>所有飞兵生命增加:1</v>
      </c>
      <c r="Q1528" s="21"/>
      <c r="R1528" t="str">
        <f t="shared" si="1202"/>
        <v>生命</v>
      </c>
      <c r="T1528" t="str">
        <f t="shared" si="1203"/>
        <v>:1</v>
      </c>
      <c r="U1528" t="str">
        <f t="shared" si="1170"/>
        <v>飞兵</v>
      </c>
      <c r="V1528" t="s">
        <v>4688</v>
      </c>
      <c r="W1528">
        <f>属性类型!G1528</f>
        <v>131</v>
      </c>
      <c r="X1528">
        <v>1</v>
      </c>
    </row>
    <row r="1529" customFormat="1" ht="16.5" spans="1:24">
      <c r="A1529" s="17">
        <f t="shared" si="1198"/>
        <v>41010</v>
      </c>
      <c r="B1529" s="17">
        <f t="shared" si="1204"/>
        <v>41000</v>
      </c>
      <c r="C1529" s="17" t="str">
        <f t="shared" si="1194"/>
        <v>4</v>
      </c>
      <c r="D1529" s="17">
        <f t="shared" si="1196"/>
        <v>40002</v>
      </c>
      <c r="E1529" s="17">
        <v>1</v>
      </c>
      <c r="F1529" s="17">
        <f t="shared" si="1182"/>
        <v>2</v>
      </c>
      <c r="G1529" s="17" t="str">
        <f t="shared" si="1199"/>
        <v>中级生命</v>
      </c>
      <c r="H1529" s="17" t="str">
        <f t="shared" si="1200"/>
        <v>icon_01</v>
      </c>
      <c r="I1529" s="20">
        <v>0</v>
      </c>
      <c r="J1529" s="17">
        <v>10</v>
      </c>
      <c r="K1529" s="17">
        <v>0</v>
      </c>
      <c r="L1529" s="17">
        <v>0</v>
      </c>
      <c r="M1529" s="17" t="str">
        <f t="shared" si="1201"/>
        <v>2:10001:30</v>
      </c>
      <c r="N1529" s="16" t="str">
        <f t="shared" si="1177"/>
        <v>131:1</v>
      </c>
      <c r="O1529" s="17">
        <f t="shared" si="1183"/>
        <v>1</v>
      </c>
      <c r="P1529" s="21" t="str">
        <f t="shared" ref="P1529:P1592" si="1205">$S$1&amp;R1529&amp;$Q$1&amp;T1529</f>
        <v>所有飞兵生命增加:1</v>
      </c>
      <c r="Q1529" s="21"/>
      <c r="R1529" t="str">
        <f t="shared" si="1202"/>
        <v>生命</v>
      </c>
      <c r="T1529" t="str">
        <f t="shared" si="1203"/>
        <v>:1</v>
      </c>
      <c r="U1529" t="str">
        <f t="shared" si="1170"/>
        <v>飞兵</v>
      </c>
      <c r="V1529" t="s">
        <v>4688</v>
      </c>
      <c r="W1529">
        <f>属性类型!G1529</f>
        <v>131</v>
      </c>
      <c r="X1529">
        <v>1</v>
      </c>
    </row>
    <row r="1530" customFormat="1" ht="16.5" spans="1:24">
      <c r="A1530" s="18">
        <f>A1519+100</f>
        <v>41100</v>
      </c>
      <c r="B1530" s="18">
        <f t="shared" si="1204"/>
        <v>41100</v>
      </c>
      <c r="C1530" s="18" t="str">
        <f t="shared" si="1194"/>
        <v>4</v>
      </c>
      <c r="D1530" s="17">
        <f t="shared" si="1196"/>
        <v>40002</v>
      </c>
      <c r="E1530" s="17">
        <v>1</v>
      </c>
      <c r="F1530" s="18">
        <f t="shared" si="1182"/>
        <v>2</v>
      </c>
      <c r="G1530" s="18" t="s">
        <v>327</v>
      </c>
      <c r="H1530" s="18" t="s">
        <v>63</v>
      </c>
      <c r="I1530" s="20">
        <v>0</v>
      </c>
      <c r="J1530" s="18">
        <v>0</v>
      </c>
      <c r="K1530" s="18">
        <f t="shared" ref="K1530:K1539" si="1206">A1531</f>
        <v>41101</v>
      </c>
      <c r="L1530" s="18" t="s">
        <v>297</v>
      </c>
      <c r="M1530" s="18" t="s">
        <v>329</v>
      </c>
      <c r="N1530" s="16" t="str">
        <f t="shared" si="1177"/>
        <v>133:1</v>
      </c>
      <c r="O1530" s="18">
        <f t="shared" si="1183"/>
        <v>2</v>
      </c>
      <c r="P1530" s="21" t="str">
        <f t="shared" si="1205"/>
        <v>所有飞兵防御增加1</v>
      </c>
      <c r="Q1530" s="21"/>
      <c r="R1530" t="s">
        <v>4272</v>
      </c>
      <c r="T1530" t="str">
        <f>RIGHT(N1530,1)</f>
        <v>1</v>
      </c>
      <c r="U1530" t="str">
        <f t="shared" si="1170"/>
        <v>飞兵</v>
      </c>
      <c r="V1530" t="s">
        <v>4689</v>
      </c>
      <c r="W1530">
        <f>属性类型!G1530</f>
        <v>133</v>
      </c>
      <c r="X1530">
        <v>1</v>
      </c>
    </row>
    <row r="1531" customFormat="1" ht="16.5" spans="1:24">
      <c r="A1531" s="17">
        <f t="shared" ref="A1531:A1540" si="1207">A1530+1</f>
        <v>41101</v>
      </c>
      <c r="B1531" s="17">
        <f t="shared" si="1204"/>
        <v>41100</v>
      </c>
      <c r="C1531" s="17" t="str">
        <f t="shared" si="1194"/>
        <v>4</v>
      </c>
      <c r="D1531" s="17">
        <f t="shared" si="1196"/>
        <v>40002</v>
      </c>
      <c r="E1531" s="17">
        <v>1</v>
      </c>
      <c r="F1531" s="17">
        <f t="shared" si="1182"/>
        <v>2</v>
      </c>
      <c r="G1531" s="17" t="str">
        <f t="shared" ref="G1531:G1540" si="1208">G1530</f>
        <v>中级防御</v>
      </c>
      <c r="H1531" s="17" t="str">
        <f t="shared" ref="H1531:H1540" si="1209">H1530</f>
        <v>icon_02</v>
      </c>
      <c r="I1531" s="20">
        <v>0</v>
      </c>
      <c r="J1531" s="17">
        <v>1</v>
      </c>
      <c r="K1531" s="17">
        <f t="shared" si="1206"/>
        <v>41102</v>
      </c>
      <c r="L1531" s="17" t="s">
        <v>300</v>
      </c>
      <c r="M1531" s="17" t="str">
        <f t="shared" ref="M1531:M1540" si="1210">M1530</f>
        <v>1:11000:5</v>
      </c>
      <c r="N1531" s="16" t="str">
        <f t="shared" si="1177"/>
        <v>133:1</v>
      </c>
      <c r="O1531" s="17">
        <f t="shared" si="1183"/>
        <v>2</v>
      </c>
      <c r="P1531" s="21" t="str">
        <f t="shared" si="1205"/>
        <v>所有飞兵防御增加:1</v>
      </c>
      <c r="Q1531" s="21"/>
      <c r="R1531" t="str">
        <f t="shared" ref="R1531:R1540" si="1211">R1530</f>
        <v>防御</v>
      </c>
      <c r="T1531" t="str">
        <f t="shared" ref="T1531:T1540" si="1212">RIGHT(N1531,2)</f>
        <v>:1</v>
      </c>
      <c r="U1531" t="str">
        <f t="shared" si="1170"/>
        <v>飞兵</v>
      </c>
      <c r="V1531" t="s">
        <v>4689</v>
      </c>
      <c r="W1531">
        <f>属性类型!G1531</f>
        <v>133</v>
      </c>
      <c r="X1531">
        <v>1</v>
      </c>
    </row>
    <row r="1532" customFormat="1" ht="16.5" spans="1:24">
      <c r="A1532" s="17">
        <f t="shared" si="1207"/>
        <v>41102</v>
      </c>
      <c r="B1532" s="17">
        <f t="shared" si="1204"/>
        <v>41100</v>
      </c>
      <c r="C1532" s="17" t="str">
        <f t="shared" si="1194"/>
        <v>4</v>
      </c>
      <c r="D1532" s="17">
        <f t="shared" si="1196"/>
        <v>40002</v>
      </c>
      <c r="E1532" s="17">
        <v>1</v>
      </c>
      <c r="F1532" s="17">
        <f t="shared" si="1182"/>
        <v>2</v>
      </c>
      <c r="G1532" s="17" t="str">
        <f t="shared" si="1208"/>
        <v>中级防御</v>
      </c>
      <c r="H1532" s="17" t="str">
        <f t="shared" si="1209"/>
        <v>icon_02</v>
      </c>
      <c r="I1532" s="20">
        <v>0</v>
      </c>
      <c r="J1532" s="17">
        <v>2</v>
      </c>
      <c r="K1532" s="17">
        <f t="shared" si="1206"/>
        <v>41103</v>
      </c>
      <c r="L1532" s="17" t="s">
        <v>304</v>
      </c>
      <c r="M1532" s="17" t="str">
        <f t="shared" si="1210"/>
        <v>1:11000:5</v>
      </c>
      <c r="N1532" s="16" t="str">
        <f t="shared" si="1177"/>
        <v>133:1</v>
      </c>
      <c r="O1532" s="17">
        <f t="shared" si="1183"/>
        <v>2</v>
      </c>
      <c r="P1532" s="21" t="str">
        <f t="shared" si="1205"/>
        <v>所有飞兵防御增加:1</v>
      </c>
      <c r="Q1532" s="21"/>
      <c r="R1532" t="str">
        <f t="shared" si="1211"/>
        <v>防御</v>
      </c>
      <c r="T1532" t="str">
        <f t="shared" si="1212"/>
        <v>:1</v>
      </c>
      <c r="U1532" t="str">
        <f t="shared" si="1170"/>
        <v>飞兵</v>
      </c>
      <c r="V1532" t="s">
        <v>4689</v>
      </c>
      <c r="W1532">
        <f>属性类型!G1532</f>
        <v>133</v>
      </c>
      <c r="X1532">
        <v>1</v>
      </c>
    </row>
    <row r="1533" customFormat="1" ht="16.5" spans="1:24">
      <c r="A1533" s="17">
        <f t="shared" si="1207"/>
        <v>41103</v>
      </c>
      <c r="B1533" s="17">
        <f t="shared" si="1204"/>
        <v>41100</v>
      </c>
      <c r="C1533" s="17" t="str">
        <f t="shared" si="1194"/>
        <v>4</v>
      </c>
      <c r="D1533" s="17">
        <f t="shared" si="1196"/>
        <v>40002</v>
      </c>
      <c r="E1533" s="17">
        <v>1</v>
      </c>
      <c r="F1533" s="17">
        <f t="shared" si="1182"/>
        <v>2</v>
      </c>
      <c r="G1533" s="17" t="str">
        <f t="shared" si="1208"/>
        <v>中级防御</v>
      </c>
      <c r="H1533" s="17" t="str">
        <f t="shared" si="1209"/>
        <v>icon_02</v>
      </c>
      <c r="I1533" s="20">
        <v>0</v>
      </c>
      <c r="J1533" s="17">
        <v>3</v>
      </c>
      <c r="K1533" s="17">
        <f t="shared" si="1206"/>
        <v>41104</v>
      </c>
      <c r="L1533" s="17" t="s">
        <v>307</v>
      </c>
      <c r="M1533" s="17" t="str">
        <f t="shared" si="1210"/>
        <v>1:11000:5</v>
      </c>
      <c r="N1533" s="16" t="str">
        <f t="shared" si="1177"/>
        <v>133:1</v>
      </c>
      <c r="O1533" s="17">
        <f t="shared" si="1183"/>
        <v>2</v>
      </c>
      <c r="P1533" s="21" t="str">
        <f t="shared" si="1205"/>
        <v>所有飞兵防御增加:1</v>
      </c>
      <c r="Q1533" s="21"/>
      <c r="R1533" t="str">
        <f t="shared" si="1211"/>
        <v>防御</v>
      </c>
      <c r="T1533" t="str">
        <f t="shared" si="1212"/>
        <v>:1</v>
      </c>
      <c r="U1533" t="str">
        <f t="shared" si="1170"/>
        <v>飞兵</v>
      </c>
      <c r="V1533" t="s">
        <v>4689</v>
      </c>
      <c r="W1533">
        <f>属性类型!G1533</f>
        <v>133</v>
      </c>
      <c r="X1533">
        <v>1</v>
      </c>
    </row>
    <row r="1534" customFormat="1" ht="16.5" spans="1:24">
      <c r="A1534" s="17">
        <f t="shared" si="1207"/>
        <v>41104</v>
      </c>
      <c r="B1534" s="17">
        <f t="shared" si="1204"/>
        <v>41100</v>
      </c>
      <c r="C1534" s="17" t="str">
        <f t="shared" si="1194"/>
        <v>4</v>
      </c>
      <c r="D1534" s="17">
        <f t="shared" si="1196"/>
        <v>40002</v>
      </c>
      <c r="E1534" s="17">
        <v>1</v>
      </c>
      <c r="F1534" s="17">
        <f t="shared" si="1182"/>
        <v>2</v>
      </c>
      <c r="G1534" s="17" t="str">
        <f t="shared" si="1208"/>
        <v>中级防御</v>
      </c>
      <c r="H1534" s="17" t="str">
        <f t="shared" si="1209"/>
        <v>icon_02</v>
      </c>
      <c r="I1534" s="20">
        <v>0</v>
      </c>
      <c r="J1534" s="17">
        <v>4</v>
      </c>
      <c r="K1534" s="17">
        <f t="shared" si="1206"/>
        <v>41105</v>
      </c>
      <c r="L1534" s="17" t="s">
        <v>309</v>
      </c>
      <c r="M1534" s="17" t="str">
        <f t="shared" si="1210"/>
        <v>1:11000:5</v>
      </c>
      <c r="N1534" s="16" t="str">
        <f t="shared" si="1177"/>
        <v>133:1</v>
      </c>
      <c r="O1534" s="17">
        <f t="shared" si="1183"/>
        <v>2</v>
      </c>
      <c r="P1534" s="21" t="str">
        <f t="shared" si="1205"/>
        <v>所有飞兵防御增加:1</v>
      </c>
      <c r="Q1534" s="21"/>
      <c r="R1534" t="str">
        <f t="shared" si="1211"/>
        <v>防御</v>
      </c>
      <c r="T1534" t="str">
        <f t="shared" si="1212"/>
        <v>:1</v>
      </c>
      <c r="U1534" t="str">
        <f t="shared" si="1170"/>
        <v>飞兵</v>
      </c>
      <c r="V1534" t="s">
        <v>4689</v>
      </c>
      <c r="W1534">
        <f>属性类型!G1534</f>
        <v>133</v>
      </c>
      <c r="X1534">
        <v>1</v>
      </c>
    </row>
    <row r="1535" customFormat="1" ht="16.5" spans="1:24">
      <c r="A1535" s="17">
        <f t="shared" si="1207"/>
        <v>41105</v>
      </c>
      <c r="B1535" s="17">
        <f t="shared" si="1204"/>
        <v>41100</v>
      </c>
      <c r="C1535" s="17" t="str">
        <f t="shared" si="1194"/>
        <v>4</v>
      </c>
      <c r="D1535" s="17">
        <f t="shared" si="1196"/>
        <v>40002</v>
      </c>
      <c r="E1535" s="17">
        <v>1</v>
      </c>
      <c r="F1535" s="17">
        <f t="shared" si="1182"/>
        <v>2</v>
      </c>
      <c r="G1535" s="17" t="str">
        <f t="shared" si="1208"/>
        <v>中级防御</v>
      </c>
      <c r="H1535" s="17" t="str">
        <f t="shared" si="1209"/>
        <v>icon_02</v>
      </c>
      <c r="I1535" s="20">
        <v>0</v>
      </c>
      <c r="J1535" s="17">
        <v>5</v>
      </c>
      <c r="K1535" s="17">
        <f t="shared" si="1206"/>
        <v>41106</v>
      </c>
      <c r="L1535" s="17" t="s">
        <v>312</v>
      </c>
      <c r="M1535" s="17" t="str">
        <f t="shared" si="1210"/>
        <v>1:11000:5</v>
      </c>
      <c r="N1535" s="16" t="str">
        <f t="shared" si="1177"/>
        <v>133:1</v>
      </c>
      <c r="O1535" s="17">
        <f t="shared" si="1183"/>
        <v>2</v>
      </c>
      <c r="P1535" s="21" t="str">
        <f t="shared" si="1205"/>
        <v>所有飞兵防御增加:1</v>
      </c>
      <c r="Q1535" s="21"/>
      <c r="R1535" t="str">
        <f t="shared" si="1211"/>
        <v>防御</v>
      </c>
      <c r="T1535" t="str">
        <f t="shared" si="1212"/>
        <v>:1</v>
      </c>
      <c r="U1535" t="str">
        <f t="shared" si="1170"/>
        <v>飞兵</v>
      </c>
      <c r="V1535" t="s">
        <v>4689</v>
      </c>
      <c r="W1535">
        <f>属性类型!G1535</f>
        <v>133</v>
      </c>
      <c r="X1535">
        <v>1</v>
      </c>
    </row>
    <row r="1536" customFormat="1" ht="16.5" spans="1:24">
      <c r="A1536" s="17">
        <f t="shared" si="1207"/>
        <v>41106</v>
      </c>
      <c r="B1536" s="17">
        <f t="shared" si="1204"/>
        <v>41100</v>
      </c>
      <c r="C1536" s="17" t="str">
        <f t="shared" si="1194"/>
        <v>4</v>
      </c>
      <c r="D1536" s="17">
        <f t="shared" si="1196"/>
        <v>40002</v>
      </c>
      <c r="E1536" s="17">
        <v>1</v>
      </c>
      <c r="F1536" s="17">
        <f t="shared" si="1182"/>
        <v>2</v>
      </c>
      <c r="G1536" s="17" t="str">
        <f t="shared" si="1208"/>
        <v>中级防御</v>
      </c>
      <c r="H1536" s="17" t="str">
        <f t="shared" si="1209"/>
        <v>icon_02</v>
      </c>
      <c r="I1536" s="20">
        <v>0</v>
      </c>
      <c r="J1536" s="17">
        <v>6</v>
      </c>
      <c r="K1536" s="17">
        <f t="shared" si="1206"/>
        <v>41107</v>
      </c>
      <c r="L1536" s="17" t="s">
        <v>315</v>
      </c>
      <c r="M1536" s="17" t="str">
        <f t="shared" si="1210"/>
        <v>1:11000:5</v>
      </c>
      <c r="N1536" s="16" t="str">
        <f t="shared" si="1177"/>
        <v>133:1</v>
      </c>
      <c r="O1536" s="17">
        <f t="shared" si="1183"/>
        <v>2</v>
      </c>
      <c r="P1536" s="21" t="str">
        <f t="shared" si="1205"/>
        <v>所有飞兵防御增加:1</v>
      </c>
      <c r="Q1536" s="21"/>
      <c r="R1536" t="str">
        <f t="shared" si="1211"/>
        <v>防御</v>
      </c>
      <c r="T1536" t="str">
        <f t="shared" si="1212"/>
        <v>:1</v>
      </c>
      <c r="U1536" t="str">
        <f t="shared" si="1170"/>
        <v>飞兵</v>
      </c>
      <c r="V1536" t="s">
        <v>4689</v>
      </c>
      <c r="W1536">
        <f>属性类型!G1536</f>
        <v>133</v>
      </c>
      <c r="X1536">
        <v>1</v>
      </c>
    </row>
    <row r="1537" customFormat="1" ht="16.5" spans="1:24">
      <c r="A1537" s="17">
        <f t="shared" si="1207"/>
        <v>41107</v>
      </c>
      <c r="B1537" s="17">
        <f t="shared" si="1204"/>
        <v>41100</v>
      </c>
      <c r="C1537" s="17" t="str">
        <f t="shared" si="1194"/>
        <v>4</v>
      </c>
      <c r="D1537" s="17">
        <f t="shared" si="1196"/>
        <v>40002</v>
      </c>
      <c r="E1537" s="17">
        <v>1</v>
      </c>
      <c r="F1537" s="17">
        <f t="shared" si="1182"/>
        <v>2</v>
      </c>
      <c r="G1537" s="17" t="str">
        <f t="shared" si="1208"/>
        <v>中级防御</v>
      </c>
      <c r="H1537" s="17" t="str">
        <f t="shared" si="1209"/>
        <v>icon_02</v>
      </c>
      <c r="I1537" s="20">
        <v>0</v>
      </c>
      <c r="J1537" s="17">
        <v>7</v>
      </c>
      <c r="K1537" s="17">
        <f t="shared" si="1206"/>
        <v>41108</v>
      </c>
      <c r="L1537" s="17" t="s">
        <v>317</v>
      </c>
      <c r="M1537" s="17" t="str">
        <f t="shared" si="1210"/>
        <v>1:11000:5</v>
      </c>
      <c r="N1537" s="16" t="str">
        <f t="shared" si="1177"/>
        <v>133:1</v>
      </c>
      <c r="O1537" s="17">
        <f t="shared" si="1183"/>
        <v>2</v>
      </c>
      <c r="P1537" s="21" t="str">
        <f t="shared" si="1205"/>
        <v>所有飞兵防御增加:1</v>
      </c>
      <c r="Q1537" s="21"/>
      <c r="R1537" t="str">
        <f t="shared" si="1211"/>
        <v>防御</v>
      </c>
      <c r="T1537" t="str">
        <f t="shared" si="1212"/>
        <v>:1</v>
      </c>
      <c r="U1537" t="str">
        <f t="shared" si="1170"/>
        <v>飞兵</v>
      </c>
      <c r="V1537" t="s">
        <v>4689</v>
      </c>
      <c r="W1537">
        <f>属性类型!G1537</f>
        <v>133</v>
      </c>
      <c r="X1537">
        <v>1</v>
      </c>
    </row>
    <row r="1538" customFormat="1" ht="16.5" spans="1:24">
      <c r="A1538" s="17">
        <f t="shared" si="1207"/>
        <v>41108</v>
      </c>
      <c r="B1538" s="17">
        <f t="shared" si="1204"/>
        <v>41100</v>
      </c>
      <c r="C1538" s="17" t="str">
        <f t="shared" si="1194"/>
        <v>4</v>
      </c>
      <c r="D1538" s="17">
        <f t="shared" si="1196"/>
        <v>40002</v>
      </c>
      <c r="E1538" s="17">
        <v>1</v>
      </c>
      <c r="F1538" s="17">
        <f t="shared" si="1182"/>
        <v>2</v>
      </c>
      <c r="G1538" s="17" t="str">
        <f t="shared" si="1208"/>
        <v>中级防御</v>
      </c>
      <c r="H1538" s="17" t="str">
        <f t="shared" si="1209"/>
        <v>icon_02</v>
      </c>
      <c r="I1538" s="20">
        <v>0</v>
      </c>
      <c r="J1538" s="17">
        <v>8</v>
      </c>
      <c r="K1538" s="17">
        <f t="shared" si="1206"/>
        <v>41109</v>
      </c>
      <c r="L1538" s="17" t="s">
        <v>320</v>
      </c>
      <c r="M1538" s="17" t="str">
        <f t="shared" si="1210"/>
        <v>1:11000:5</v>
      </c>
      <c r="N1538" s="16" t="str">
        <f t="shared" si="1177"/>
        <v>133:1</v>
      </c>
      <c r="O1538" s="17">
        <f t="shared" si="1183"/>
        <v>2</v>
      </c>
      <c r="P1538" s="21" t="str">
        <f t="shared" si="1205"/>
        <v>所有飞兵防御增加:1</v>
      </c>
      <c r="Q1538" s="21"/>
      <c r="R1538" t="str">
        <f t="shared" si="1211"/>
        <v>防御</v>
      </c>
      <c r="T1538" t="str">
        <f t="shared" si="1212"/>
        <v>:1</v>
      </c>
      <c r="U1538" t="str">
        <f t="shared" si="1170"/>
        <v>飞兵</v>
      </c>
      <c r="V1538" t="s">
        <v>4689</v>
      </c>
      <c r="W1538">
        <f>属性类型!G1538</f>
        <v>133</v>
      </c>
      <c r="X1538">
        <v>1</v>
      </c>
    </row>
    <row r="1539" customFormat="1" ht="16.5" spans="1:24">
      <c r="A1539" s="17">
        <f t="shared" si="1207"/>
        <v>41109</v>
      </c>
      <c r="B1539" s="17">
        <f t="shared" si="1204"/>
        <v>41100</v>
      </c>
      <c r="C1539" s="17" t="str">
        <f t="shared" si="1194"/>
        <v>4</v>
      </c>
      <c r="D1539" s="17">
        <f t="shared" si="1196"/>
        <v>40002</v>
      </c>
      <c r="E1539" s="17">
        <v>1</v>
      </c>
      <c r="F1539" s="17">
        <f t="shared" si="1182"/>
        <v>2</v>
      </c>
      <c r="G1539" s="17" t="str">
        <f t="shared" si="1208"/>
        <v>中级防御</v>
      </c>
      <c r="H1539" s="17" t="str">
        <f t="shared" si="1209"/>
        <v>icon_02</v>
      </c>
      <c r="I1539" s="20">
        <v>0</v>
      </c>
      <c r="J1539" s="17">
        <v>9</v>
      </c>
      <c r="K1539" s="17">
        <f t="shared" si="1206"/>
        <v>41110</v>
      </c>
      <c r="L1539" s="17" t="s">
        <v>323</v>
      </c>
      <c r="M1539" s="17" t="str">
        <f t="shared" si="1210"/>
        <v>1:11000:5</v>
      </c>
      <c r="N1539" s="16" t="str">
        <f t="shared" si="1177"/>
        <v>133:1</v>
      </c>
      <c r="O1539" s="17">
        <f t="shared" si="1183"/>
        <v>2</v>
      </c>
      <c r="P1539" s="21" t="str">
        <f t="shared" si="1205"/>
        <v>所有飞兵防御增加:1</v>
      </c>
      <c r="Q1539" s="21"/>
      <c r="R1539" t="str">
        <f t="shared" si="1211"/>
        <v>防御</v>
      </c>
      <c r="T1539" t="str">
        <f t="shared" si="1212"/>
        <v>:1</v>
      </c>
      <c r="U1539" t="str">
        <f t="shared" si="1170"/>
        <v>飞兵</v>
      </c>
      <c r="V1539" t="s">
        <v>4689</v>
      </c>
      <c r="W1539">
        <f>属性类型!G1539</f>
        <v>133</v>
      </c>
      <c r="X1539">
        <v>1</v>
      </c>
    </row>
    <row r="1540" customFormat="1" ht="16.5" spans="1:24">
      <c r="A1540" s="17">
        <f t="shared" si="1207"/>
        <v>41110</v>
      </c>
      <c r="B1540" s="17">
        <f t="shared" si="1204"/>
        <v>41100</v>
      </c>
      <c r="C1540" s="17" t="str">
        <f t="shared" si="1194"/>
        <v>4</v>
      </c>
      <c r="D1540" s="17">
        <f t="shared" si="1196"/>
        <v>40002</v>
      </c>
      <c r="E1540" s="17">
        <v>1</v>
      </c>
      <c r="F1540" s="17">
        <f t="shared" si="1182"/>
        <v>2</v>
      </c>
      <c r="G1540" s="17" t="str">
        <f t="shared" si="1208"/>
        <v>中级防御</v>
      </c>
      <c r="H1540" s="17" t="str">
        <f t="shared" si="1209"/>
        <v>icon_02</v>
      </c>
      <c r="I1540" s="20">
        <v>0</v>
      </c>
      <c r="J1540" s="17">
        <v>10</v>
      </c>
      <c r="K1540" s="17">
        <v>0</v>
      </c>
      <c r="L1540" s="17">
        <v>0</v>
      </c>
      <c r="M1540" s="17" t="str">
        <f t="shared" si="1210"/>
        <v>1:11000:5</v>
      </c>
      <c r="N1540" s="16" t="str">
        <f t="shared" si="1177"/>
        <v>133:1</v>
      </c>
      <c r="O1540" s="17">
        <f t="shared" si="1183"/>
        <v>2</v>
      </c>
      <c r="P1540" s="21" t="str">
        <f t="shared" si="1205"/>
        <v>所有飞兵防御增加:1</v>
      </c>
      <c r="Q1540" s="21"/>
      <c r="R1540" t="str">
        <f t="shared" si="1211"/>
        <v>防御</v>
      </c>
      <c r="T1540" t="str">
        <f t="shared" si="1212"/>
        <v>:1</v>
      </c>
      <c r="U1540" t="str">
        <f t="shared" si="1170"/>
        <v>飞兵</v>
      </c>
      <c r="V1540" t="s">
        <v>4689</v>
      </c>
      <c r="W1540">
        <f>属性类型!G1540</f>
        <v>133</v>
      </c>
      <c r="X1540">
        <v>1</v>
      </c>
    </row>
    <row r="1541" customFormat="1" ht="16.5" spans="1:24">
      <c r="A1541" s="18">
        <f>A1530+100</f>
        <v>41200</v>
      </c>
      <c r="B1541" s="18">
        <f t="shared" si="1204"/>
        <v>41200</v>
      </c>
      <c r="C1541" s="18" t="str">
        <f t="shared" si="1194"/>
        <v>4</v>
      </c>
      <c r="D1541" s="17">
        <f t="shared" si="1196"/>
        <v>40002</v>
      </c>
      <c r="E1541" s="17">
        <v>1</v>
      </c>
      <c r="F1541" s="18">
        <f t="shared" si="1182"/>
        <v>2</v>
      </c>
      <c r="G1541" s="18" t="s">
        <v>350</v>
      </c>
      <c r="H1541" s="18" t="s">
        <v>80</v>
      </c>
      <c r="I1541" s="20">
        <v>0</v>
      </c>
      <c r="J1541" s="18">
        <v>0</v>
      </c>
      <c r="K1541" s="18">
        <f t="shared" ref="K1541:K1550" si="1213">A1542</f>
        <v>41201</v>
      </c>
      <c r="L1541" s="18" t="s">
        <v>297</v>
      </c>
      <c r="M1541" s="18" t="s">
        <v>329</v>
      </c>
      <c r="N1541" s="16" t="str">
        <f t="shared" si="1177"/>
        <v>132:1</v>
      </c>
      <c r="O1541" s="18">
        <f t="shared" si="1183"/>
        <v>3</v>
      </c>
      <c r="P1541" s="21" t="str">
        <f t="shared" si="1205"/>
        <v>所有飞兵攻击增加1</v>
      </c>
      <c r="Q1541" s="21"/>
      <c r="R1541" t="s">
        <v>4274</v>
      </c>
      <c r="T1541" t="str">
        <f>RIGHT(N1541,1)</f>
        <v>1</v>
      </c>
      <c r="U1541" t="str">
        <f t="shared" ref="U1541:U1604" si="1214">MID(P1541,3,2)</f>
        <v>飞兵</v>
      </c>
      <c r="V1541" t="s">
        <v>4690</v>
      </c>
      <c r="W1541">
        <f>属性类型!G1541</f>
        <v>132</v>
      </c>
      <c r="X1541">
        <v>1</v>
      </c>
    </row>
    <row r="1542" customFormat="1" ht="16.5" spans="1:24">
      <c r="A1542" s="17">
        <f t="shared" ref="A1542:A1551" si="1215">A1541+1</f>
        <v>41201</v>
      </c>
      <c r="B1542" s="17">
        <f t="shared" si="1204"/>
        <v>41200</v>
      </c>
      <c r="C1542" s="17" t="str">
        <f t="shared" si="1194"/>
        <v>4</v>
      </c>
      <c r="D1542" s="17">
        <f t="shared" si="1196"/>
        <v>40002</v>
      </c>
      <c r="E1542" s="17">
        <v>1</v>
      </c>
      <c r="F1542" s="17">
        <f t="shared" si="1182"/>
        <v>2</v>
      </c>
      <c r="G1542" s="17" t="str">
        <f t="shared" ref="G1542:G1551" si="1216">G1541</f>
        <v>中级攻击</v>
      </c>
      <c r="H1542" s="17" t="str">
        <f t="shared" ref="H1542:H1551" si="1217">H1541</f>
        <v>icon_03</v>
      </c>
      <c r="I1542" s="20">
        <v>0</v>
      </c>
      <c r="J1542" s="17">
        <v>1</v>
      </c>
      <c r="K1542" s="17">
        <f t="shared" si="1213"/>
        <v>41202</v>
      </c>
      <c r="L1542" s="17" t="s">
        <v>300</v>
      </c>
      <c r="M1542" s="17" t="str">
        <f t="shared" ref="M1542:M1551" si="1218">M1541</f>
        <v>1:11000:5</v>
      </c>
      <c r="N1542" s="16" t="str">
        <f t="shared" si="1177"/>
        <v>132:1</v>
      </c>
      <c r="O1542" s="17">
        <f t="shared" si="1183"/>
        <v>3</v>
      </c>
      <c r="P1542" s="21" t="str">
        <f t="shared" si="1205"/>
        <v>所有飞兵攻击增加:1</v>
      </c>
      <c r="Q1542" s="21"/>
      <c r="R1542" t="str">
        <f t="shared" ref="R1542:R1551" si="1219">R1541</f>
        <v>攻击</v>
      </c>
      <c r="T1542" t="str">
        <f t="shared" ref="T1542:T1551" si="1220">RIGHT(N1542,2)</f>
        <v>:1</v>
      </c>
      <c r="U1542" t="str">
        <f t="shared" si="1214"/>
        <v>飞兵</v>
      </c>
      <c r="V1542" t="s">
        <v>4690</v>
      </c>
      <c r="W1542">
        <f>属性类型!G1542</f>
        <v>132</v>
      </c>
      <c r="X1542">
        <v>1</v>
      </c>
    </row>
    <row r="1543" customFormat="1" ht="16.5" spans="1:24">
      <c r="A1543" s="17">
        <f t="shared" si="1215"/>
        <v>41202</v>
      </c>
      <c r="B1543" s="17">
        <f t="shared" si="1204"/>
        <v>41200</v>
      </c>
      <c r="C1543" s="17" t="str">
        <f t="shared" si="1194"/>
        <v>4</v>
      </c>
      <c r="D1543" s="17">
        <f t="shared" si="1196"/>
        <v>40002</v>
      </c>
      <c r="E1543" s="17">
        <v>1</v>
      </c>
      <c r="F1543" s="17">
        <f t="shared" si="1182"/>
        <v>2</v>
      </c>
      <c r="G1543" s="17" t="str">
        <f t="shared" si="1216"/>
        <v>中级攻击</v>
      </c>
      <c r="H1543" s="17" t="str">
        <f t="shared" si="1217"/>
        <v>icon_03</v>
      </c>
      <c r="I1543" s="20">
        <v>0</v>
      </c>
      <c r="J1543" s="17">
        <v>2</v>
      </c>
      <c r="K1543" s="17">
        <f t="shared" si="1213"/>
        <v>41203</v>
      </c>
      <c r="L1543" s="17" t="s">
        <v>304</v>
      </c>
      <c r="M1543" s="17" t="str">
        <f t="shared" si="1218"/>
        <v>1:11000:5</v>
      </c>
      <c r="N1543" s="16" t="str">
        <f t="shared" si="1177"/>
        <v>132:1</v>
      </c>
      <c r="O1543" s="17">
        <f t="shared" si="1183"/>
        <v>3</v>
      </c>
      <c r="P1543" s="21" t="str">
        <f t="shared" si="1205"/>
        <v>所有飞兵攻击增加:1</v>
      </c>
      <c r="Q1543" s="21"/>
      <c r="R1543" t="str">
        <f t="shared" si="1219"/>
        <v>攻击</v>
      </c>
      <c r="T1543" t="str">
        <f t="shared" si="1220"/>
        <v>:1</v>
      </c>
      <c r="U1543" t="str">
        <f t="shared" si="1214"/>
        <v>飞兵</v>
      </c>
      <c r="V1543" t="s">
        <v>4690</v>
      </c>
      <c r="W1543">
        <f>属性类型!G1543</f>
        <v>132</v>
      </c>
      <c r="X1543">
        <v>1</v>
      </c>
    </row>
    <row r="1544" customFormat="1" ht="16.5" spans="1:24">
      <c r="A1544" s="17">
        <f t="shared" si="1215"/>
        <v>41203</v>
      </c>
      <c r="B1544" s="17">
        <f t="shared" si="1204"/>
        <v>41200</v>
      </c>
      <c r="C1544" s="17" t="str">
        <f t="shared" ref="C1544:C1607" si="1221">LEFT(A1544,1)</f>
        <v>4</v>
      </c>
      <c r="D1544" s="17">
        <f t="shared" si="1196"/>
        <v>40002</v>
      </c>
      <c r="E1544" s="17">
        <v>1</v>
      </c>
      <c r="F1544" s="17">
        <f t="shared" si="1182"/>
        <v>2</v>
      </c>
      <c r="G1544" s="17" t="str">
        <f t="shared" si="1216"/>
        <v>中级攻击</v>
      </c>
      <c r="H1544" s="17" t="str">
        <f t="shared" si="1217"/>
        <v>icon_03</v>
      </c>
      <c r="I1544" s="20">
        <v>0</v>
      </c>
      <c r="J1544" s="17">
        <v>3</v>
      </c>
      <c r="K1544" s="17">
        <f t="shared" si="1213"/>
        <v>41204</v>
      </c>
      <c r="L1544" s="17" t="s">
        <v>307</v>
      </c>
      <c r="M1544" s="17" t="str">
        <f t="shared" si="1218"/>
        <v>1:11000:5</v>
      </c>
      <c r="N1544" s="16" t="str">
        <f t="shared" si="1177"/>
        <v>132:1</v>
      </c>
      <c r="O1544" s="17">
        <f t="shared" si="1183"/>
        <v>3</v>
      </c>
      <c r="P1544" s="21" t="str">
        <f t="shared" si="1205"/>
        <v>所有飞兵攻击增加:1</v>
      </c>
      <c r="Q1544" s="21"/>
      <c r="R1544" t="str">
        <f t="shared" si="1219"/>
        <v>攻击</v>
      </c>
      <c r="T1544" t="str">
        <f t="shared" si="1220"/>
        <v>:1</v>
      </c>
      <c r="U1544" t="str">
        <f t="shared" si="1214"/>
        <v>飞兵</v>
      </c>
      <c r="V1544" t="s">
        <v>4690</v>
      </c>
      <c r="W1544">
        <f>属性类型!G1544</f>
        <v>132</v>
      </c>
      <c r="X1544">
        <v>1</v>
      </c>
    </row>
    <row r="1545" customFormat="1" ht="16.5" spans="1:24">
      <c r="A1545" s="17">
        <f t="shared" si="1215"/>
        <v>41204</v>
      </c>
      <c r="B1545" s="17">
        <f t="shared" si="1204"/>
        <v>41200</v>
      </c>
      <c r="C1545" s="17" t="str">
        <f t="shared" si="1221"/>
        <v>4</v>
      </c>
      <c r="D1545" s="17">
        <f t="shared" si="1196"/>
        <v>40002</v>
      </c>
      <c r="E1545" s="17">
        <v>1</v>
      </c>
      <c r="F1545" s="17">
        <f t="shared" si="1182"/>
        <v>2</v>
      </c>
      <c r="G1545" s="17" t="str">
        <f t="shared" si="1216"/>
        <v>中级攻击</v>
      </c>
      <c r="H1545" s="17" t="str">
        <f t="shared" si="1217"/>
        <v>icon_03</v>
      </c>
      <c r="I1545" s="20">
        <v>0</v>
      </c>
      <c r="J1545" s="17">
        <v>4</v>
      </c>
      <c r="K1545" s="17">
        <f t="shared" si="1213"/>
        <v>41205</v>
      </c>
      <c r="L1545" s="17" t="s">
        <v>309</v>
      </c>
      <c r="M1545" s="17" t="str">
        <f t="shared" si="1218"/>
        <v>1:11000:5</v>
      </c>
      <c r="N1545" s="16" t="str">
        <f t="shared" si="1177"/>
        <v>132:1</v>
      </c>
      <c r="O1545" s="17">
        <f t="shared" si="1183"/>
        <v>3</v>
      </c>
      <c r="P1545" s="21" t="str">
        <f t="shared" si="1205"/>
        <v>所有飞兵攻击增加:1</v>
      </c>
      <c r="Q1545" s="21"/>
      <c r="R1545" t="str">
        <f t="shared" si="1219"/>
        <v>攻击</v>
      </c>
      <c r="T1545" t="str">
        <f t="shared" si="1220"/>
        <v>:1</v>
      </c>
      <c r="U1545" t="str">
        <f t="shared" si="1214"/>
        <v>飞兵</v>
      </c>
      <c r="V1545" t="s">
        <v>4690</v>
      </c>
      <c r="W1545">
        <f>属性类型!G1545</f>
        <v>132</v>
      </c>
      <c r="X1545">
        <v>1</v>
      </c>
    </row>
    <row r="1546" customFormat="1" ht="16.5" spans="1:24">
      <c r="A1546" s="17">
        <f t="shared" si="1215"/>
        <v>41205</v>
      </c>
      <c r="B1546" s="17">
        <f t="shared" si="1204"/>
        <v>41200</v>
      </c>
      <c r="C1546" s="17" t="str">
        <f t="shared" si="1221"/>
        <v>4</v>
      </c>
      <c r="D1546" s="17">
        <f t="shared" si="1196"/>
        <v>40002</v>
      </c>
      <c r="E1546" s="17">
        <v>1</v>
      </c>
      <c r="F1546" s="17">
        <f t="shared" si="1182"/>
        <v>2</v>
      </c>
      <c r="G1546" s="17" t="str">
        <f t="shared" si="1216"/>
        <v>中级攻击</v>
      </c>
      <c r="H1546" s="17" t="str">
        <f t="shared" si="1217"/>
        <v>icon_03</v>
      </c>
      <c r="I1546" s="20">
        <v>0</v>
      </c>
      <c r="J1546" s="17">
        <v>5</v>
      </c>
      <c r="K1546" s="17">
        <f t="shared" si="1213"/>
        <v>41206</v>
      </c>
      <c r="L1546" s="17" t="s">
        <v>312</v>
      </c>
      <c r="M1546" s="17" t="str">
        <f t="shared" si="1218"/>
        <v>1:11000:5</v>
      </c>
      <c r="N1546" s="16" t="str">
        <f t="shared" si="1177"/>
        <v>132:1</v>
      </c>
      <c r="O1546" s="17">
        <f t="shared" si="1183"/>
        <v>3</v>
      </c>
      <c r="P1546" s="21" t="str">
        <f t="shared" si="1205"/>
        <v>所有飞兵攻击增加:1</v>
      </c>
      <c r="Q1546" s="21"/>
      <c r="R1546" t="str">
        <f t="shared" si="1219"/>
        <v>攻击</v>
      </c>
      <c r="T1546" t="str">
        <f t="shared" si="1220"/>
        <v>:1</v>
      </c>
      <c r="U1546" t="str">
        <f t="shared" si="1214"/>
        <v>飞兵</v>
      </c>
      <c r="V1546" t="s">
        <v>4690</v>
      </c>
      <c r="W1546">
        <f>属性类型!G1546</f>
        <v>132</v>
      </c>
      <c r="X1546">
        <v>1</v>
      </c>
    </row>
    <row r="1547" customFormat="1" ht="16.5" spans="1:24">
      <c r="A1547" s="17">
        <f t="shared" si="1215"/>
        <v>41206</v>
      </c>
      <c r="B1547" s="17">
        <f t="shared" si="1204"/>
        <v>41200</v>
      </c>
      <c r="C1547" s="17" t="str">
        <f t="shared" si="1221"/>
        <v>4</v>
      </c>
      <c r="D1547" s="17">
        <f t="shared" si="1196"/>
        <v>40002</v>
      </c>
      <c r="E1547" s="17">
        <v>1</v>
      </c>
      <c r="F1547" s="17">
        <f t="shared" si="1182"/>
        <v>2</v>
      </c>
      <c r="G1547" s="17" t="str">
        <f t="shared" si="1216"/>
        <v>中级攻击</v>
      </c>
      <c r="H1547" s="17" t="str">
        <f t="shared" si="1217"/>
        <v>icon_03</v>
      </c>
      <c r="I1547" s="20">
        <v>0</v>
      </c>
      <c r="J1547" s="17">
        <v>6</v>
      </c>
      <c r="K1547" s="17">
        <f t="shared" si="1213"/>
        <v>41207</v>
      </c>
      <c r="L1547" s="17" t="s">
        <v>315</v>
      </c>
      <c r="M1547" s="17" t="str">
        <f t="shared" si="1218"/>
        <v>1:11000:5</v>
      </c>
      <c r="N1547" s="16" t="str">
        <f t="shared" ref="N1547:N1610" si="1222">W1547&amp;$W$2&amp;X1547</f>
        <v>132:1</v>
      </c>
      <c r="O1547" s="17">
        <f t="shared" si="1183"/>
        <v>3</v>
      </c>
      <c r="P1547" s="21" t="str">
        <f t="shared" si="1205"/>
        <v>所有飞兵攻击增加:1</v>
      </c>
      <c r="Q1547" s="21"/>
      <c r="R1547" t="str">
        <f t="shared" si="1219"/>
        <v>攻击</v>
      </c>
      <c r="T1547" t="str">
        <f t="shared" si="1220"/>
        <v>:1</v>
      </c>
      <c r="U1547" t="str">
        <f t="shared" si="1214"/>
        <v>飞兵</v>
      </c>
      <c r="V1547" t="s">
        <v>4690</v>
      </c>
      <c r="W1547">
        <f>属性类型!G1547</f>
        <v>132</v>
      </c>
      <c r="X1547">
        <v>1</v>
      </c>
    </row>
    <row r="1548" customFormat="1" ht="16.5" spans="1:24">
      <c r="A1548" s="17">
        <f t="shared" si="1215"/>
        <v>41207</v>
      </c>
      <c r="B1548" s="17">
        <f t="shared" si="1204"/>
        <v>41200</v>
      </c>
      <c r="C1548" s="17" t="str">
        <f t="shared" si="1221"/>
        <v>4</v>
      </c>
      <c r="D1548" s="17">
        <f t="shared" si="1196"/>
        <v>40002</v>
      </c>
      <c r="E1548" s="17">
        <v>1</v>
      </c>
      <c r="F1548" s="17">
        <f t="shared" si="1182"/>
        <v>2</v>
      </c>
      <c r="G1548" s="17" t="str">
        <f t="shared" si="1216"/>
        <v>中级攻击</v>
      </c>
      <c r="H1548" s="17" t="str">
        <f t="shared" si="1217"/>
        <v>icon_03</v>
      </c>
      <c r="I1548" s="20">
        <v>0</v>
      </c>
      <c r="J1548" s="17">
        <v>7</v>
      </c>
      <c r="K1548" s="17">
        <f t="shared" si="1213"/>
        <v>41208</v>
      </c>
      <c r="L1548" s="17" t="s">
        <v>317</v>
      </c>
      <c r="M1548" s="17" t="str">
        <f t="shared" si="1218"/>
        <v>1:11000:5</v>
      </c>
      <c r="N1548" s="16" t="str">
        <f t="shared" si="1222"/>
        <v>132:1</v>
      </c>
      <c r="O1548" s="17">
        <f t="shared" si="1183"/>
        <v>3</v>
      </c>
      <c r="P1548" s="21" t="str">
        <f t="shared" si="1205"/>
        <v>所有飞兵攻击增加:1</v>
      </c>
      <c r="Q1548" s="21"/>
      <c r="R1548" t="str">
        <f t="shared" si="1219"/>
        <v>攻击</v>
      </c>
      <c r="T1548" t="str">
        <f t="shared" si="1220"/>
        <v>:1</v>
      </c>
      <c r="U1548" t="str">
        <f t="shared" si="1214"/>
        <v>飞兵</v>
      </c>
      <c r="V1548" t="s">
        <v>4690</v>
      </c>
      <c r="W1548">
        <f>属性类型!G1548</f>
        <v>132</v>
      </c>
      <c r="X1548">
        <v>1</v>
      </c>
    </row>
    <row r="1549" customFormat="1" ht="16.5" spans="1:24">
      <c r="A1549" s="17">
        <f t="shared" si="1215"/>
        <v>41208</v>
      </c>
      <c r="B1549" s="17">
        <f t="shared" si="1204"/>
        <v>41200</v>
      </c>
      <c r="C1549" s="17" t="str">
        <f t="shared" si="1221"/>
        <v>4</v>
      </c>
      <c r="D1549" s="17">
        <f t="shared" si="1196"/>
        <v>40002</v>
      </c>
      <c r="E1549" s="17">
        <v>1</v>
      </c>
      <c r="F1549" s="17">
        <f t="shared" si="1182"/>
        <v>2</v>
      </c>
      <c r="G1549" s="17" t="str">
        <f t="shared" si="1216"/>
        <v>中级攻击</v>
      </c>
      <c r="H1549" s="17" t="str">
        <f t="shared" si="1217"/>
        <v>icon_03</v>
      </c>
      <c r="I1549" s="20">
        <v>0</v>
      </c>
      <c r="J1549" s="17">
        <v>8</v>
      </c>
      <c r="K1549" s="17">
        <f t="shared" si="1213"/>
        <v>41209</v>
      </c>
      <c r="L1549" s="17" t="s">
        <v>320</v>
      </c>
      <c r="M1549" s="17" t="str">
        <f t="shared" si="1218"/>
        <v>1:11000:5</v>
      </c>
      <c r="N1549" s="16" t="str">
        <f t="shared" si="1222"/>
        <v>132:1</v>
      </c>
      <c r="O1549" s="17">
        <f t="shared" si="1183"/>
        <v>3</v>
      </c>
      <c r="P1549" s="21" t="str">
        <f t="shared" si="1205"/>
        <v>所有飞兵攻击增加:1</v>
      </c>
      <c r="Q1549" s="21"/>
      <c r="R1549" t="str">
        <f t="shared" si="1219"/>
        <v>攻击</v>
      </c>
      <c r="T1549" t="str">
        <f t="shared" si="1220"/>
        <v>:1</v>
      </c>
      <c r="U1549" t="str">
        <f t="shared" si="1214"/>
        <v>飞兵</v>
      </c>
      <c r="V1549" t="s">
        <v>4690</v>
      </c>
      <c r="W1549">
        <f>属性类型!G1549</f>
        <v>132</v>
      </c>
      <c r="X1549">
        <v>1</v>
      </c>
    </row>
    <row r="1550" customFormat="1" ht="16.5" spans="1:24">
      <c r="A1550" s="17">
        <f t="shared" si="1215"/>
        <v>41209</v>
      </c>
      <c r="B1550" s="17">
        <f t="shared" si="1204"/>
        <v>41200</v>
      </c>
      <c r="C1550" s="17" t="str">
        <f t="shared" si="1221"/>
        <v>4</v>
      </c>
      <c r="D1550" s="17">
        <f t="shared" si="1196"/>
        <v>40002</v>
      </c>
      <c r="E1550" s="17">
        <v>1</v>
      </c>
      <c r="F1550" s="17">
        <f t="shared" si="1182"/>
        <v>2</v>
      </c>
      <c r="G1550" s="17" t="str">
        <f t="shared" si="1216"/>
        <v>中级攻击</v>
      </c>
      <c r="H1550" s="17" t="str">
        <f t="shared" si="1217"/>
        <v>icon_03</v>
      </c>
      <c r="I1550" s="20">
        <v>0</v>
      </c>
      <c r="J1550" s="17">
        <v>9</v>
      </c>
      <c r="K1550" s="17">
        <f t="shared" si="1213"/>
        <v>41210</v>
      </c>
      <c r="L1550" s="17" t="s">
        <v>323</v>
      </c>
      <c r="M1550" s="17" t="str">
        <f t="shared" si="1218"/>
        <v>1:11000:5</v>
      </c>
      <c r="N1550" s="16" t="str">
        <f t="shared" si="1222"/>
        <v>132:1</v>
      </c>
      <c r="O1550" s="17">
        <f t="shared" si="1183"/>
        <v>3</v>
      </c>
      <c r="P1550" s="21" t="str">
        <f t="shared" si="1205"/>
        <v>所有飞兵攻击增加:1</v>
      </c>
      <c r="Q1550" s="21"/>
      <c r="R1550" t="str">
        <f t="shared" si="1219"/>
        <v>攻击</v>
      </c>
      <c r="T1550" t="str">
        <f t="shared" si="1220"/>
        <v>:1</v>
      </c>
      <c r="U1550" t="str">
        <f t="shared" si="1214"/>
        <v>飞兵</v>
      </c>
      <c r="V1550" t="s">
        <v>4690</v>
      </c>
      <c r="W1550">
        <f>属性类型!G1550</f>
        <v>132</v>
      </c>
      <c r="X1550">
        <v>1</v>
      </c>
    </row>
    <row r="1551" customFormat="1" ht="16.5" spans="1:24">
      <c r="A1551" s="17">
        <f t="shared" si="1215"/>
        <v>41210</v>
      </c>
      <c r="B1551" s="17">
        <f t="shared" si="1204"/>
        <v>41200</v>
      </c>
      <c r="C1551" s="17" t="str">
        <f t="shared" si="1221"/>
        <v>4</v>
      </c>
      <c r="D1551" s="17">
        <f t="shared" si="1196"/>
        <v>40002</v>
      </c>
      <c r="E1551" s="17">
        <v>1</v>
      </c>
      <c r="F1551" s="17">
        <f t="shared" si="1182"/>
        <v>2</v>
      </c>
      <c r="G1551" s="17" t="str">
        <f t="shared" si="1216"/>
        <v>中级攻击</v>
      </c>
      <c r="H1551" s="17" t="str">
        <f t="shared" si="1217"/>
        <v>icon_03</v>
      </c>
      <c r="I1551" s="20">
        <v>0</v>
      </c>
      <c r="J1551" s="17">
        <v>10</v>
      </c>
      <c r="K1551" s="17">
        <v>0</v>
      </c>
      <c r="L1551" s="17">
        <v>0</v>
      </c>
      <c r="M1551" s="17" t="str">
        <f t="shared" si="1218"/>
        <v>1:11000:5</v>
      </c>
      <c r="N1551" s="16" t="str">
        <f t="shared" si="1222"/>
        <v>132:1</v>
      </c>
      <c r="O1551" s="17">
        <f t="shared" si="1183"/>
        <v>3</v>
      </c>
      <c r="P1551" s="21" t="str">
        <f t="shared" si="1205"/>
        <v>所有飞兵攻击增加:1</v>
      </c>
      <c r="Q1551" s="21"/>
      <c r="R1551" t="str">
        <f t="shared" si="1219"/>
        <v>攻击</v>
      </c>
      <c r="T1551" t="str">
        <f t="shared" si="1220"/>
        <v>:1</v>
      </c>
      <c r="U1551" t="str">
        <f t="shared" si="1214"/>
        <v>飞兵</v>
      </c>
      <c r="V1551" t="s">
        <v>4690</v>
      </c>
      <c r="W1551">
        <f>属性类型!G1551</f>
        <v>132</v>
      </c>
      <c r="X1551">
        <v>1</v>
      </c>
    </row>
    <row r="1552" customFormat="1" ht="16.5" spans="1:24">
      <c r="A1552" s="18">
        <f>A1541+100</f>
        <v>41300</v>
      </c>
      <c r="B1552" s="18">
        <f t="shared" si="1204"/>
        <v>41300</v>
      </c>
      <c r="C1552" s="18" t="str">
        <f t="shared" si="1221"/>
        <v>4</v>
      </c>
      <c r="D1552" s="17">
        <f t="shared" si="1196"/>
        <v>40002</v>
      </c>
      <c r="E1552" s="17">
        <v>1</v>
      </c>
      <c r="F1552" s="18">
        <f t="shared" ref="F1552:F1615" si="1223">MID(B1552,2,1)+1</f>
        <v>2</v>
      </c>
      <c r="G1552" s="18" t="s">
        <v>372</v>
      </c>
      <c r="H1552" s="18" t="s">
        <v>96</v>
      </c>
      <c r="I1552" s="20">
        <v>0</v>
      </c>
      <c r="J1552" s="18">
        <v>0</v>
      </c>
      <c r="K1552" s="18">
        <f t="shared" ref="K1552:K1561" si="1224">A1553</f>
        <v>41301</v>
      </c>
      <c r="L1552" s="18" t="s">
        <v>297</v>
      </c>
      <c r="M1552" s="18" t="s">
        <v>329</v>
      </c>
      <c r="N1552" s="16" t="str">
        <f t="shared" si="1222"/>
        <v>134:1</v>
      </c>
      <c r="O1552" s="18">
        <f t="shared" ref="O1552:O1615" si="1225">MID(A1552,3,1)+1</f>
        <v>4</v>
      </c>
      <c r="P1552" s="21" t="str">
        <f t="shared" si="1205"/>
        <v>所有飞兵魔防增加1</v>
      </c>
      <c r="Q1552" s="21"/>
      <c r="R1552" t="s">
        <v>4276</v>
      </c>
      <c r="T1552" t="str">
        <f>RIGHT(N1552,1)</f>
        <v>1</v>
      </c>
      <c r="U1552" t="str">
        <f t="shared" si="1214"/>
        <v>飞兵</v>
      </c>
      <c r="V1552" t="s">
        <v>4691</v>
      </c>
      <c r="W1552">
        <f>属性类型!G1552</f>
        <v>134</v>
      </c>
      <c r="X1552">
        <v>1</v>
      </c>
    </row>
    <row r="1553" customFormat="1" ht="16.5" spans="1:24">
      <c r="A1553" s="17">
        <f t="shared" ref="A1553:A1562" si="1226">A1552+1</f>
        <v>41301</v>
      </c>
      <c r="B1553" s="17">
        <f t="shared" si="1204"/>
        <v>41300</v>
      </c>
      <c r="C1553" s="17" t="str">
        <f t="shared" si="1221"/>
        <v>4</v>
      </c>
      <c r="D1553" s="17">
        <f t="shared" si="1196"/>
        <v>40002</v>
      </c>
      <c r="E1553" s="17">
        <v>1</v>
      </c>
      <c r="F1553" s="17">
        <f t="shared" si="1223"/>
        <v>2</v>
      </c>
      <c r="G1553" s="17" t="str">
        <f t="shared" ref="G1553:G1562" si="1227">G1552</f>
        <v>中级魔防</v>
      </c>
      <c r="H1553" s="17" t="str">
        <f t="shared" ref="H1553:H1562" si="1228">H1552</f>
        <v>icon_04</v>
      </c>
      <c r="I1553" s="20">
        <v>0</v>
      </c>
      <c r="J1553" s="17">
        <v>1</v>
      </c>
      <c r="K1553" s="17">
        <f t="shared" si="1224"/>
        <v>41302</v>
      </c>
      <c r="L1553" s="17" t="s">
        <v>300</v>
      </c>
      <c r="M1553" s="17" t="str">
        <f t="shared" ref="M1553:M1562" si="1229">M1552</f>
        <v>1:11000:5</v>
      </c>
      <c r="N1553" s="16" t="str">
        <f t="shared" si="1222"/>
        <v>134:1</v>
      </c>
      <c r="O1553" s="17">
        <f t="shared" si="1225"/>
        <v>4</v>
      </c>
      <c r="P1553" s="21" t="str">
        <f t="shared" si="1205"/>
        <v>所有飞兵魔防增加:1</v>
      </c>
      <c r="Q1553" s="21"/>
      <c r="R1553" t="str">
        <f t="shared" ref="R1553:R1562" si="1230">R1552</f>
        <v>魔防</v>
      </c>
      <c r="T1553" t="str">
        <f t="shared" ref="T1553:T1562" si="1231">RIGHT(N1553,2)</f>
        <v>:1</v>
      </c>
      <c r="U1553" t="str">
        <f t="shared" si="1214"/>
        <v>飞兵</v>
      </c>
      <c r="V1553" t="s">
        <v>4691</v>
      </c>
      <c r="W1553">
        <f>属性类型!G1553</f>
        <v>134</v>
      </c>
      <c r="X1553">
        <v>1</v>
      </c>
    </row>
    <row r="1554" customFormat="1" ht="16.5" spans="1:24">
      <c r="A1554" s="17">
        <f t="shared" si="1226"/>
        <v>41302</v>
      </c>
      <c r="B1554" s="17">
        <f t="shared" si="1204"/>
        <v>41300</v>
      </c>
      <c r="C1554" s="17" t="str">
        <f t="shared" si="1221"/>
        <v>4</v>
      </c>
      <c r="D1554" s="17">
        <f t="shared" si="1196"/>
        <v>40002</v>
      </c>
      <c r="E1554" s="17">
        <v>1</v>
      </c>
      <c r="F1554" s="17">
        <f t="shared" si="1223"/>
        <v>2</v>
      </c>
      <c r="G1554" s="17" t="str">
        <f t="shared" si="1227"/>
        <v>中级魔防</v>
      </c>
      <c r="H1554" s="17" t="str">
        <f t="shared" si="1228"/>
        <v>icon_04</v>
      </c>
      <c r="I1554" s="20">
        <v>0</v>
      </c>
      <c r="J1554" s="17">
        <v>2</v>
      </c>
      <c r="K1554" s="17">
        <f t="shared" si="1224"/>
        <v>41303</v>
      </c>
      <c r="L1554" s="17" t="s">
        <v>304</v>
      </c>
      <c r="M1554" s="17" t="str">
        <f t="shared" si="1229"/>
        <v>1:11000:5</v>
      </c>
      <c r="N1554" s="16" t="str">
        <f t="shared" si="1222"/>
        <v>134:1</v>
      </c>
      <c r="O1554" s="17">
        <f t="shared" si="1225"/>
        <v>4</v>
      </c>
      <c r="P1554" s="21" t="str">
        <f t="shared" si="1205"/>
        <v>所有飞兵魔防增加:1</v>
      </c>
      <c r="Q1554" s="21"/>
      <c r="R1554" t="str">
        <f t="shared" si="1230"/>
        <v>魔防</v>
      </c>
      <c r="T1554" t="str">
        <f t="shared" si="1231"/>
        <v>:1</v>
      </c>
      <c r="U1554" t="str">
        <f t="shared" si="1214"/>
        <v>飞兵</v>
      </c>
      <c r="V1554" t="s">
        <v>4691</v>
      </c>
      <c r="W1554">
        <f>属性类型!G1554</f>
        <v>134</v>
      </c>
      <c r="X1554">
        <v>1</v>
      </c>
    </row>
    <row r="1555" customFormat="1" ht="16.5" spans="1:24">
      <c r="A1555" s="17">
        <f t="shared" si="1226"/>
        <v>41303</v>
      </c>
      <c r="B1555" s="17">
        <f t="shared" si="1204"/>
        <v>41300</v>
      </c>
      <c r="C1555" s="17" t="str">
        <f t="shared" si="1221"/>
        <v>4</v>
      </c>
      <c r="D1555" s="17">
        <f t="shared" si="1196"/>
        <v>40002</v>
      </c>
      <c r="E1555" s="17">
        <v>1</v>
      </c>
      <c r="F1555" s="17">
        <f t="shared" si="1223"/>
        <v>2</v>
      </c>
      <c r="G1555" s="17" t="str">
        <f t="shared" si="1227"/>
        <v>中级魔防</v>
      </c>
      <c r="H1555" s="17" t="str">
        <f t="shared" si="1228"/>
        <v>icon_04</v>
      </c>
      <c r="I1555" s="20">
        <v>0</v>
      </c>
      <c r="J1555" s="17">
        <v>3</v>
      </c>
      <c r="K1555" s="17">
        <f t="shared" si="1224"/>
        <v>41304</v>
      </c>
      <c r="L1555" s="17" t="s">
        <v>307</v>
      </c>
      <c r="M1555" s="17" t="str">
        <f t="shared" si="1229"/>
        <v>1:11000:5</v>
      </c>
      <c r="N1555" s="16" t="str">
        <f t="shared" si="1222"/>
        <v>134:1</v>
      </c>
      <c r="O1555" s="17">
        <f t="shared" si="1225"/>
        <v>4</v>
      </c>
      <c r="P1555" s="21" t="str">
        <f t="shared" si="1205"/>
        <v>所有飞兵魔防增加:1</v>
      </c>
      <c r="Q1555" s="21"/>
      <c r="R1555" t="str">
        <f t="shared" si="1230"/>
        <v>魔防</v>
      </c>
      <c r="T1555" t="str">
        <f t="shared" si="1231"/>
        <v>:1</v>
      </c>
      <c r="U1555" t="str">
        <f t="shared" si="1214"/>
        <v>飞兵</v>
      </c>
      <c r="V1555" t="s">
        <v>4691</v>
      </c>
      <c r="W1555">
        <f>属性类型!G1555</f>
        <v>134</v>
      </c>
      <c r="X1555">
        <v>1</v>
      </c>
    </row>
    <row r="1556" customFormat="1" ht="16.5" spans="1:24">
      <c r="A1556" s="17">
        <f t="shared" si="1226"/>
        <v>41304</v>
      </c>
      <c r="B1556" s="17">
        <f t="shared" si="1204"/>
        <v>41300</v>
      </c>
      <c r="C1556" s="17" t="str">
        <f t="shared" si="1221"/>
        <v>4</v>
      </c>
      <c r="D1556" s="17">
        <f t="shared" si="1196"/>
        <v>40002</v>
      </c>
      <c r="E1556" s="17">
        <v>1</v>
      </c>
      <c r="F1556" s="17">
        <f t="shared" si="1223"/>
        <v>2</v>
      </c>
      <c r="G1556" s="17" t="str">
        <f t="shared" si="1227"/>
        <v>中级魔防</v>
      </c>
      <c r="H1556" s="17" t="str">
        <f t="shared" si="1228"/>
        <v>icon_04</v>
      </c>
      <c r="I1556" s="20">
        <v>0</v>
      </c>
      <c r="J1556" s="17">
        <v>4</v>
      </c>
      <c r="K1556" s="17">
        <f t="shared" si="1224"/>
        <v>41305</v>
      </c>
      <c r="L1556" s="17" t="s">
        <v>309</v>
      </c>
      <c r="M1556" s="17" t="str">
        <f t="shared" si="1229"/>
        <v>1:11000:5</v>
      </c>
      <c r="N1556" s="16" t="str">
        <f t="shared" si="1222"/>
        <v>134:1</v>
      </c>
      <c r="O1556" s="17">
        <f t="shared" si="1225"/>
        <v>4</v>
      </c>
      <c r="P1556" s="21" t="str">
        <f t="shared" si="1205"/>
        <v>所有飞兵魔防增加:1</v>
      </c>
      <c r="Q1556" s="21"/>
      <c r="R1556" t="str">
        <f t="shared" si="1230"/>
        <v>魔防</v>
      </c>
      <c r="T1556" t="str">
        <f t="shared" si="1231"/>
        <v>:1</v>
      </c>
      <c r="U1556" t="str">
        <f t="shared" si="1214"/>
        <v>飞兵</v>
      </c>
      <c r="V1556" t="s">
        <v>4691</v>
      </c>
      <c r="W1556">
        <f>属性类型!G1556</f>
        <v>134</v>
      </c>
      <c r="X1556">
        <v>1</v>
      </c>
    </row>
    <row r="1557" customFormat="1" ht="16.5" spans="1:24">
      <c r="A1557" s="17">
        <f t="shared" si="1226"/>
        <v>41305</v>
      </c>
      <c r="B1557" s="17">
        <f t="shared" si="1204"/>
        <v>41300</v>
      </c>
      <c r="C1557" s="17" t="str">
        <f t="shared" si="1221"/>
        <v>4</v>
      </c>
      <c r="D1557" s="17">
        <f t="shared" si="1196"/>
        <v>40002</v>
      </c>
      <c r="E1557" s="17">
        <v>1</v>
      </c>
      <c r="F1557" s="17">
        <f t="shared" si="1223"/>
        <v>2</v>
      </c>
      <c r="G1557" s="17" t="str">
        <f t="shared" si="1227"/>
        <v>中级魔防</v>
      </c>
      <c r="H1557" s="17" t="str">
        <f t="shared" si="1228"/>
        <v>icon_04</v>
      </c>
      <c r="I1557" s="20">
        <v>0</v>
      </c>
      <c r="J1557" s="17">
        <v>5</v>
      </c>
      <c r="K1557" s="17">
        <f t="shared" si="1224"/>
        <v>41306</v>
      </c>
      <c r="L1557" s="17" t="s">
        <v>312</v>
      </c>
      <c r="M1557" s="17" t="str">
        <f t="shared" si="1229"/>
        <v>1:11000:5</v>
      </c>
      <c r="N1557" s="16" t="str">
        <f t="shared" si="1222"/>
        <v>134:1</v>
      </c>
      <c r="O1557" s="17">
        <f t="shared" si="1225"/>
        <v>4</v>
      </c>
      <c r="P1557" s="21" t="str">
        <f t="shared" si="1205"/>
        <v>所有飞兵魔防增加:1</v>
      </c>
      <c r="Q1557" s="21"/>
      <c r="R1557" t="str">
        <f t="shared" si="1230"/>
        <v>魔防</v>
      </c>
      <c r="T1557" t="str">
        <f t="shared" si="1231"/>
        <v>:1</v>
      </c>
      <c r="U1557" t="str">
        <f t="shared" si="1214"/>
        <v>飞兵</v>
      </c>
      <c r="V1557" t="s">
        <v>4691</v>
      </c>
      <c r="W1557">
        <f>属性类型!G1557</f>
        <v>134</v>
      </c>
      <c r="X1557">
        <v>1</v>
      </c>
    </row>
    <row r="1558" customFormat="1" ht="16.5" spans="1:24">
      <c r="A1558" s="17">
        <f t="shared" si="1226"/>
        <v>41306</v>
      </c>
      <c r="B1558" s="17">
        <f t="shared" si="1204"/>
        <v>41300</v>
      </c>
      <c r="C1558" s="17" t="str">
        <f t="shared" si="1221"/>
        <v>4</v>
      </c>
      <c r="D1558" s="17">
        <f t="shared" si="1196"/>
        <v>40002</v>
      </c>
      <c r="E1558" s="17">
        <v>1</v>
      </c>
      <c r="F1558" s="17">
        <f t="shared" si="1223"/>
        <v>2</v>
      </c>
      <c r="G1558" s="17" t="str">
        <f t="shared" si="1227"/>
        <v>中级魔防</v>
      </c>
      <c r="H1558" s="17" t="str">
        <f t="shared" si="1228"/>
        <v>icon_04</v>
      </c>
      <c r="I1558" s="20">
        <v>0</v>
      </c>
      <c r="J1558" s="17">
        <v>6</v>
      </c>
      <c r="K1558" s="17">
        <f t="shared" si="1224"/>
        <v>41307</v>
      </c>
      <c r="L1558" s="17" t="s">
        <v>315</v>
      </c>
      <c r="M1558" s="17" t="str">
        <f t="shared" si="1229"/>
        <v>1:11000:5</v>
      </c>
      <c r="N1558" s="16" t="str">
        <f t="shared" si="1222"/>
        <v>134:1</v>
      </c>
      <c r="O1558" s="17">
        <f t="shared" si="1225"/>
        <v>4</v>
      </c>
      <c r="P1558" s="21" t="str">
        <f t="shared" si="1205"/>
        <v>所有飞兵魔防增加:1</v>
      </c>
      <c r="Q1558" s="21"/>
      <c r="R1558" t="str">
        <f t="shared" si="1230"/>
        <v>魔防</v>
      </c>
      <c r="T1558" t="str">
        <f t="shared" si="1231"/>
        <v>:1</v>
      </c>
      <c r="U1558" t="str">
        <f t="shared" si="1214"/>
        <v>飞兵</v>
      </c>
      <c r="V1558" t="s">
        <v>4691</v>
      </c>
      <c r="W1558">
        <f>属性类型!G1558</f>
        <v>134</v>
      </c>
      <c r="X1558">
        <v>1</v>
      </c>
    </row>
    <row r="1559" customFormat="1" ht="16.5" spans="1:24">
      <c r="A1559" s="17">
        <f t="shared" si="1226"/>
        <v>41307</v>
      </c>
      <c r="B1559" s="17">
        <f t="shared" si="1204"/>
        <v>41300</v>
      </c>
      <c r="C1559" s="17" t="str">
        <f t="shared" si="1221"/>
        <v>4</v>
      </c>
      <c r="D1559" s="17">
        <f t="shared" ref="D1559:D1622" si="1232">$A$1399+F1559</f>
        <v>40002</v>
      </c>
      <c r="E1559" s="17">
        <v>1</v>
      </c>
      <c r="F1559" s="17">
        <f t="shared" si="1223"/>
        <v>2</v>
      </c>
      <c r="G1559" s="17" t="str">
        <f t="shared" si="1227"/>
        <v>中级魔防</v>
      </c>
      <c r="H1559" s="17" t="str">
        <f t="shared" si="1228"/>
        <v>icon_04</v>
      </c>
      <c r="I1559" s="20">
        <v>0</v>
      </c>
      <c r="J1559" s="17">
        <v>7</v>
      </c>
      <c r="K1559" s="17">
        <f t="shared" si="1224"/>
        <v>41308</v>
      </c>
      <c r="L1559" s="17" t="s">
        <v>317</v>
      </c>
      <c r="M1559" s="17" t="str">
        <f t="shared" si="1229"/>
        <v>1:11000:5</v>
      </c>
      <c r="N1559" s="16" t="str">
        <f t="shared" si="1222"/>
        <v>134:1</v>
      </c>
      <c r="O1559" s="17">
        <f t="shared" si="1225"/>
        <v>4</v>
      </c>
      <c r="P1559" s="21" t="str">
        <f t="shared" si="1205"/>
        <v>所有飞兵魔防增加:1</v>
      </c>
      <c r="Q1559" s="21"/>
      <c r="R1559" t="str">
        <f t="shared" si="1230"/>
        <v>魔防</v>
      </c>
      <c r="T1559" t="str">
        <f t="shared" si="1231"/>
        <v>:1</v>
      </c>
      <c r="U1559" t="str">
        <f t="shared" si="1214"/>
        <v>飞兵</v>
      </c>
      <c r="V1559" t="s">
        <v>4691</v>
      </c>
      <c r="W1559">
        <f>属性类型!G1559</f>
        <v>134</v>
      </c>
      <c r="X1559">
        <v>1</v>
      </c>
    </row>
    <row r="1560" customFormat="1" ht="16.5" spans="1:24">
      <c r="A1560" s="17">
        <f t="shared" si="1226"/>
        <v>41308</v>
      </c>
      <c r="B1560" s="17">
        <f t="shared" si="1204"/>
        <v>41300</v>
      </c>
      <c r="C1560" s="17" t="str">
        <f t="shared" si="1221"/>
        <v>4</v>
      </c>
      <c r="D1560" s="17">
        <f t="shared" si="1232"/>
        <v>40002</v>
      </c>
      <c r="E1560" s="17">
        <v>1</v>
      </c>
      <c r="F1560" s="17">
        <f t="shared" si="1223"/>
        <v>2</v>
      </c>
      <c r="G1560" s="17" t="str">
        <f t="shared" si="1227"/>
        <v>中级魔防</v>
      </c>
      <c r="H1560" s="17" t="str">
        <f t="shared" si="1228"/>
        <v>icon_04</v>
      </c>
      <c r="I1560" s="20">
        <v>0</v>
      </c>
      <c r="J1560" s="17">
        <v>8</v>
      </c>
      <c r="K1560" s="17">
        <f t="shared" si="1224"/>
        <v>41309</v>
      </c>
      <c r="L1560" s="17" t="s">
        <v>320</v>
      </c>
      <c r="M1560" s="17" t="str">
        <f t="shared" si="1229"/>
        <v>1:11000:5</v>
      </c>
      <c r="N1560" s="16" t="str">
        <f t="shared" si="1222"/>
        <v>134:1</v>
      </c>
      <c r="O1560" s="17">
        <f t="shared" si="1225"/>
        <v>4</v>
      </c>
      <c r="P1560" s="21" t="str">
        <f t="shared" si="1205"/>
        <v>所有飞兵魔防增加:1</v>
      </c>
      <c r="Q1560" s="21"/>
      <c r="R1560" t="str">
        <f t="shared" si="1230"/>
        <v>魔防</v>
      </c>
      <c r="T1560" t="str">
        <f t="shared" si="1231"/>
        <v>:1</v>
      </c>
      <c r="U1560" t="str">
        <f t="shared" si="1214"/>
        <v>飞兵</v>
      </c>
      <c r="V1560" t="s">
        <v>4691</v>
      </c>
      <c r="W1560">
        <f>属性类型!G1560</f>
        <v>134</v>
      </c>
      <c r="X1560">
        <v>1</v>
      </c>
    </row>
    <row r="1561" customFormat="1" ht="16.5" spans="1:24">
      <c r="A1561" s="17">
        <f t="shared" si="1226"/>
        <v>41309</v>
      </c>
      <c r="B1561" s="17">
        <f t="shared" si="1204"/>
        <v>41300</v>
      </c>
      <c r="C1561" s="17" t="str">
        <f t="shared" si="1221"/>
        <v>4</v>
      </c>
      <c r="D1561" s="17">
        <f t="shared" si="1232"/>
        <v>40002</v>
      </c>
      <c r="E1561" s="17">
        <v>1</v>
      </c>
      <c r="F1561" s="17">
        <f t="shared" si="1223"/>
        <v>2</v>
      </c>
      <c r="G1561" s="17" t="str">
        <f t="shared" si="1227"/>
        <v>中级魔防</v>
      </c>
      <c r="H1561" s="17" t="str">
        <f t="shared" si="1228"/>
        <v>icon_04</v>
      </c>
      <c r="I1561" s="20">
        <v>0</v>
      </c>
      <c r="J1561" s="17">
        <v>9</v>
      </c>
      <c r="K1561" s="17">
        <f t="shared" si="1224"/>
        <v>41310</v>
      </c>
      <c r="L1561" s="17" t="s">
        <v>323</v>
      </c>
      <c r="M1561" s="17" t="str">
        <f t="shared" si="1229"/>
        <v>1:11000:5</v>
      </c>
      <c r="N1561" s="16" t="str">
        <f t="shared" si="1222"/>
        <v>134:1</v>
      </c>
      <c r="O1561" s="17">
        <f t="shared" si="1225"/>
        <v>4</v>
      </c>
      <c r="P1561" s="21" t="str">
        <f t="shared" si="1205"/>
        <v>所有飞兵魔防增加:1</v>
      </c>
      <c r="Q1561" s="21"/>
      <c r="R1561" t="str">
        <f t="shared" si="1230"/>
        <v>魔防</v>
      </c>
      <c r="T1561" t="str">
        <f t="shared" si="1231"/>
        <v>:1</v>
      </c>
      <c r="U1561" t="str">
        <f t="shared" si="1214"/>
        <v>飞兵</v>
      </c>
      <c r="V1561" t="s">
        <v>4691</v>
      </c>
      <c r="W1561">
        <f>属性类型!G1561</f>
        <v>134</v>
      </c>
      <c r="X1561">
        <v>1</v>
      </c>
    </row>
    <row r="1562" customFormat="1" ht="16.5" spans="1:24">
      <c r="A1562" s="17">
        <f t="shared" si="1226"/>
        <v>41310</v>
      </c>
      <c r="B1562" s="17">
        <f t="shared" si="1204"/>
        <v>41300</v>
      </c>
      <c r="C1562" s="17" t="str">
        <f t="shared" si="1221"/>
        <v>4</v>
      </c>
      <c r="D1562" s="17">
        <f t="shared" si="1232"/>
        <v>40002</v>
      </c>
      <c r="E1562" s="17">
        <v>1</v>
      </c>
      <c r="F1562" s="17">
        <f t="shared" si="1223"/>
        <v>2</v>
      </c>
      <c r="G1562" s="17" t="str">
        <f t="shared" si="1227"/>
        <v>中级魔防</v>
      </c>
      <c r="H1562" s="17" t="str">
        <f t="shared" si="1228"/>
        <v>icon_04</v>
      </c>
      <c r="I1562" s="20">
        <v>0</v>
      </c>
      <c r="J1562" s="17">
        <v>10</v>
      </c>
      <c r="K1562" s="17">
        <v>0</v>
      </c>
      <c r="L1562" s="17">
        <v>0</v>
      </c>
      <c r="M1562" s="17" t="str">
        <f t="shared" si="1229"/>
        <v>1:11000:5</v>
      </c>
      <c r="N1562" s="16" t="str">
        <f t="shared" si="1222"/>
        <v>134:1</v>
      </c>
      <c r="O1562" s="17">
        <f t="shared" si="1225"/>
        <v>4</v>
      </c>
      <c r="P1562" s="21" t="str">
        <f t="shared" si="1205"/>
        <v>所有飞兵魔防增加:1</v>
      </c>
      <c r="Q1562" s="21"/>
      <c r="R1562" t="str">
        <f t="shared" si="1230"/>
        <v>魔防</v>
      </c>
      <c r="T1562" t="str">
        <f t="shared" si="1231"/>
        <v>:1</v>
      </c>
      <c r="U1562" t="str">
        <f t="shared" si="1214"/>
        <v>飞兵</v>
      </c>
      <c r="V1562" t="s">
        <v>4691</v>
      </c>
      <c r="W1562">
        <f>属性类型!G1562</f>
        <v>134</v>
      </c>
      <c r="X1562">
        <v>1</v>
      </c>
    </row>
    <row r="1563" customFormat="1" ht="16.5" spans="1:24">
      <c r="A1563" s="18">
        <f>A1552+100</f>
        <v>41400</v>
      </c>
      <c r="B1563" s="18">
        <f t="shared" si="1204"/>
        <v>41400</v>
      </c>
      <c r="C1563" s="18" t="str">
        <f t="shared" si="1221"/>
        <v>4</v>
      </c>
      <c r="D1563" s="17">
        <f t="shared" si="1232"/>
        <v>40002</v>
      </c>
      <c r="E1563" s="17">
        <v>1</v>
      </c>
      <c r="F1563" s="18">
        <f t="shared" si="1223"/>
        <v>2</v>
      </c>
      <c r="G1563" s="18" t="s">
        <v>4348</v>
      </c>
      <c r="H1563" s="18" t="s">
        <v>112</v>
      </c>
      <c r="I1563" s="20">
        <v>0</v>
      </c>
      <c r="J1563" s="18">
        <v>0</v>
      </c>
      <c r="K1563" s="18">
        <f t="shared" ref="K1563:K1577" si="1233">A1564</f>
        <v>41401</v>
      </c>
      <c r="L1563" s="18" t="s">
        <v>297</v>
      </c>
      <c r="M1563" s="18" t="s">
        <v>396</v>
      </c>
      <c r="N1563" s="16" t="str">
        <f t="shared" si="1222"/>
        <v>136:1</v>
      </c>
      <c r="O1563" s="18">
        <f t="shared" si="1225"/>
        <v>5</v>
      </c>
      <c r="P1563" s="21" t="str">
        <f t="shared" si="1205"/>
        <v>所有飞兵生命百分比增加1</v>
      </c>
      <c r="Q1563" s="21"/>
      <c r="R1563" t="s">
        <v>4414</v>
      </c>
      <c r="T1563" t="str">
        <f>RIGHT(N1563,1)</f>
        <v>1</v>
      </c>
      <c r="U1563" t="str">
        <f t="shared" si="1214"/>
        <v>飞兵</v>
      </c>
      <c r="V1563" t="s">
        <v>4759</v>
      </c>
      <c r="W1563">
        <f>属性类型!G1563</f>
        <v>136</v>
      </c>
      <c r="X1563">
        <v>1</v>
      </c>
    </row>
    <row r="1564" customFormat="1" ht="16.5" spans="1:24">
      <c r="A1564" s="17">
        <f t="shared" ref="A1564:A1578" si="1234">A1563+1</f>
        <v>41401</v>
      </c>
      <c r="B1564" s="17">
        <f t="shared" si="1204"/>
        <v>41400</v>
      </c>
      <c r="C1564" s="17" t="str">
        <f t="shared" si="1221"/>
        <v>4</v>
      </c>
      <c r="D1564" s="17">
        <f t="shared" si="1232"/>
        <v>40002</v>
      </c>
      <c r="E1564" s="17">
        <v>1</v>
      </c>
      <c r="F1564" s="17">
        <f t="shared" si="1223"/>
        <v>2</v>
      </c>
      <c r="G1564" s="17" t="str">
        <f t="shared" ref="G1564:G1578" si="1235">G1563</f>
        <v>中级生命百分比</v>
      </c>
      <c r="H1564" s="17" t="str">
        <f t="shared" ref="H1564:H1578" si="1236">H1563</f>
        <v>icon_05</v>
      </c>
      <c r="I1564" s="20">
        <v>0</v>
      </c>
      <c r="J1564" s="17">
        <v>1</v>
      </c>
      <c r="K1564" s="17">
        <f t="shared" si="1233"/>
        <v>41402</v>
      </c>
      <c r="L1564" s="17" t="s">
        <v>300</v>
      </c>
      <c r="M1564" s="17" t="str">
        <f t="shared" ref="M1564:M1578" si="1237">M1563</f>
        <v>1:11100:5</v>
      </c>
      <c r="N1564" s="16" t="str">
        <f t="shared" si="1222"/>
        <v>136:1</v>
      </c>
      <c r="O1564" s="17">
        <f t="shared" si="1225"/>
        <v>5</v>
      </c>
      <c r="P1564" s="21" t="str">
        <f t="shared" si="1205"/>
        <v>所有飞兵生命百分比增加:1</v>
      </c>
      <c r="Q1564" s="21"/>
      <c r="R1564" t="str">
        <f t="shared" ref="R1564:R1578" si="1238">R1563</f>
        <v>生命百分比</v>
      </c>
      <c r="T1564" t="str">
        <f t="shared" ref="T1564:T1578" si="1239">RIGHT(N1564,2)</f>
        <v>:1</v>
      </c>
      <c r="U1564" t="str">
        <f t="shared" si="1214"/>
        <v>飞兵</v>
      </c>
      <c r="V1564" t="s">
        <v>4759</v>
      </c>
      <c r="W1564">
        <f>属性类型!G1564</f>
        <v>136</v>
      </c>
      <c r="X1564">
        <v>1</v>
      </c>
    </row>
    <row r="1565" customFormat="1" ht="16.5" spans="1:24">
      <c r="A1565" s="17">
        <f t="shared" si="1234"/>
        <v>41402</v>
      </c>
      <c r="B1565" s="17">
        <f t="shared" si="1204"/>
        <v>41400</v>
      </c>
      <c r="C1565" s="17" t="str">
        <f t="shared" si="1221"/>
        <v>4</v>
      </c>
      <c r="D1565" s="17">
        <f t="shared" si="1232"/>
        <v>40002</v>
      </c>
      <c r="E1565" s="17">
        <v>1</v>
      </c>
      <c r="F1565" s="17">
        <f t="shared" si="1223"/>
        <v>2</v>
      </c>
      <c r="G1565" s="17" t="str">
        <f t="shared" si="1235"/>
        <v>中级生命百分比</v>
      </c>
      <c r="H1565" s="17" t="str">
        <f t="shared" si="1236"/>
        <v>icon_05</v>
      </c>
      <c r="I1565" s="20">
        <v>0</v>
      </c>
      <c r="J1565" s="17">
        <v>2</v>
      </c>
      <c r="K1565" s="17">
        <f t="shared" si="1233"/>
        <v>41403</v>
      </c>
      <c r="L1565" s="17" t="s">
        <v>304</v>
      </c>
      <c r="M1565" s="17" t="str">
        <f t="shared" si="1237"/>
        <v>1:11100:5</v>
      </c>
      <c r="N1565" s="16" t="str">
        <f t="shared" si="1222"/>
        <v>136:1</v>
      </c>
      <c r="O1565" s="17">
        <f t="shared" si="1225"/>
        <v>5</v>
      </c>
      <c r="P1565" s="21" t="str">
        <f t="shared" si="1205"/>
        <v>所有飞兵生命百分比增加:1</v>
      </c>
      <c r="Q1565" s="21"/>
      <c r="R1565" t="str">
        <f t="shared" si="1238"/>
        <v>生命百分比</v>
      </c>
      <c r="T1565" t="str">
        <f t="shared" si="1239"/>
        <v>:1</v>
      </c>
      <c r="U1565" t="str">
        <f t="shared" si="1214"/>
        <v>飞兵</v>
      </c>
      <c r="V1565" t="s">
        <v>4759</v>
      </c>
      <c r="W1565">
        <f>属性类型!G1565</f>
        <v>136</v>
      </c>
      <c r="X1565">
        <v>1</v>
      </c>
    </row>
    <row r="1566" customFormat="1" ht="16.5" spans="1:24">
      <c r="A1566" s="17">
        <f t="shared" si="1234"/>
        <v>41403</v>
      </c>
      <c r="B1566" s="17">
        <f t="shared" si="1204"/>
        <v>41400</v>
      </c>
      <c r="C1566" s="17" t="str">
        <f t="shared" si="1221"/>
        <v>4</v>
      </c>
      <c r="D1566" s="17">
        <f t="shared" si="1232"/>
        <v>40002</v>
      </c>
      <c r="E1566" s="17">
        <v>1</v>
      </c>
      <c r="F1566" s="17">
        <f t="shared" si="1223"/>
        <v>2</v>
      </c>
      <c r="G1566" s="17" t="str">
        <f t="shared" si="1235"/>
        <v>中级生命百分比</v>
      </c>
      <c r="H1566" s="17" t="str">
        <f t="shared" si="1236"/>
        <v>icon_05</v>
      </c>
      <c r="I1566" s="20">
        <v>0</v>
      </c>
      <c r="J1566" s="17">
        <v>3</v>
      </c>
      <c r="K1566" s="17">
        <f t="shared" si="1233"/>
        <v>41404</v>
      </c>
      <c r="L1566" s="17" t="s">
        <v>307</v>
      </c>
      <c r="M1566" s="17" t="str">
        <f t="shared" si="1237"/>
        <v>1:11100:5</v>
      </c>
      <c r="N1566" s="16" t="str">
        <f t="shared" si="1222"/>
        <v>136:1</v>
      </c>
      <c r="O1566" s="17">
        <f t="shared" si="1225"/>
        <v>5</v>
      </c>
      <c r="P1566" s="21" t="str">
        <f t="shared" si="1205"/>
        <v>所有飞兵生命百分比增加:1</v>
      </c>
      <c r="Q1566" s="21"/>
      <c r="R1566" t="str">
        <f t="shared" si="1238"/>
        <v>生命百分比</v>
      </c>
      <c r="T1566" t="str">
        <f t="shared" si="1239"/>
        <v>:1</v>
      </c>
      <c r="U1566" t="str">
        <f t="shared" si="1214"/>
        <v>飞兵</v>
      </c>
      <c r="V1566" t="s">
        <v>4759</v>
      </c>
      <c r="W1566">
        <f>属性类型!G1566</f>
        <v>136</v>
      </c>
      <c r="X1566">
        <v>1</v>
      </c>
    </row>
    <row r="1567" customFormat="1" ht="16.5" spans="1:24">
      <c r="A1567" s="17">
        <f t="shared" si="1234"/>
        <v>41404</v>
      </c>
      <c r="B1567" s="17">
        <f t="shared" si="1204"/>
        <v>41400</v>
      </c>
      <c r="C1567" s="17" t="str">
        <f t="shared" si="1221"/>
        <v>4</v>
      </c>
      <c r="D1567" s="17">
        <f t="shared" si="1232"/>
        <v>40002</v>
      </c>
      <c r="E1567" s="17">
        <v>1</v>
      </c>
      <c r="F1567" s="17">
        <f t="shared" si="1223"/>
        <v>2</v>
      </c>
      <c r="G1567" s="17" t="str">
        <f t="shared" si="1235"/>
        <v>中级生命百分比</v>
      </c>
      <c r="H1567" s="17" t="str">
        <f t="shared" si="1236"/>
        <v>icon_05</v>
      </c>
      <c r="I1567" s="20">
        <v>0</v>
      </c>
      <c r="J1567" s="17">
        <v>4</v>
      </c>
      <c r="K1567" s="17">
        <f t="shared" si="1233"/>
        <v>41405</v>
      </c>
      <c r="L1567" s="17" t="s">
        <v>309</v>
      </c>
      <c r="M1567" s="17" t="str">
        <f t="shared" si="1237"/>
        <v>1:11100:5</v>
      </c>
      <c r="N1567" s="16" t="str">
        <f t="shared" si="1222"/>
        <v>136:1</v>
      </c>
      <c r="O1567" s="17">
        <f t="shared" si="1225"/>
        <v>5</v>
      </c>
      <c r="P1567" s="21" t="str">
        <f t="shared" si="1205"/>
        <v>所有飞兵生命百分比增加:1</v>
      </c>
      <c r="Q1567" s="21"/>
      <c r="R1567" t="str">
        <f t="shared" si="1238"/>
        <v>生命百分比</v>
      </c>
      <c r="T1567" t="str">
        <f t="shared" si="1239"/>
        <v>:1</v>
      </c>
      <c r="U1567" t="str">
        <f t="shared" si="1214"/>
        <v>飞兵</v>
      </c>
      <c r="V1567" t="s">
        <v>4759</v>
      </c>
      <c r="W1567">
        <f>属性类型!G1567</f>
        <v>136</v>
      </c>
      <c r="X1567">
        <v>1</v>
      </c>
    </row>
    <row r="1568" customFormat="1" ht="16.5" spans="1:24">
      <c r="A1568" s="17">
        <f t="shared" si="1234"/>
        <v>41405</v>
      </c>
      <c r="B1568" s="17">
        <f t="shared" si="1204"/>
        <v>41400</v>
      </c>
      <c r="C1568" s="17" t="str">
        <f t="shared" si="1221"/>
        <v>4</v>
      </c>
      <c r="D1568" s="17">
        <f t="shared" si="1232"/>
        <v>40002</v>
      </c>
      <c r="E1568" s="17">
        <v>1</v>
      </c>
      <c r="F1568" s="17">
        <f t="shared" si="1223"/>
        <v>2</v>
      </c>
      <c r="G1568" s="17" t="str">
        <f t="shared" si="1235"/>
        <v>中级生命百分比</v>
      </c>
      <c r="H1568" s="17" t="str">
        <f t="shared" si="1236"/>
        <v>icon_05</v>
      </c>
      <c r="I1568" s="20">
        <v>0</v>
      </c>
      <c r="J1568" s="17">
        <v>5</v>
      </c>
      <c r="K1568" s="17">
        <f t="shared" si="1233"/>
        <v>41406</v>
      </c>
      <c r="L1568" s="17" t="s">
        <v>312</v>
      </c>
      <c r="M1568" s="17" t="str">
        <f t="shared" si="1237"/>
        <v>1:11100:5</v>
      </c>
      <c r="N1568" s="16" t="str">
        <f t="shared" si="1222"/>
        <v>136:1</v>
      </c>
      <c r="O1568" s="17">
        <f t="shared" si="1225"/>
        <v>5</v>
      </c>
      <c r="P1568" s="21" t="str">
        <f t="shared" si="1205"/>
        <v>所有飞兵生命百分比增加:1</v>
      </c>
      <c r="Q1568" s="21"/>
      <c r="R1568" t="str">
        <f t="shared" si="1238"/>
        <v>生命百分比</v>
      </c>
      <c r="T1568" t="str">
        <f t="shared" si="1239"/>
        <v>:1</v>
      </c>
      <c r="U1568" t="str">
        <f t="shared" si="1214"/>
        <v>飞兵</v>
      </c>
      <c r="V1568" t="s">
        <v>4759</v>
      </c>
      <c r="W1568">
        <f>属性类型!G1568</f>
        <v>136</v>
      </c>
      <c r="X1568">
        <v>1</v>
      </c>
    </row>
    <row r="1569" customFormat="1" ht="16.5" spans="1:24">
      <c r="A1569" s="17">
        <f t="shared" si="1234"/>
        <v>41406</v>
      </c>
      <c r="B1569" s="17">
        <f t="shared" si="1204"/>
        <v>41400</v>
      </c>
      <c r="C1569" s="17" t="str">
        <f t="shared" si="1221"/>
        <v>4</v>
      </c>
      <c r="D1569" s="17">
        <f t="shared" si="1232"/>
        <v>40002</v>
      </c>
      <c r="E1569" s="17">
        <v>1</v>
      </c>
      <c r="F1569" s="17">
        <f t="shared" si="1223"/>
        <v>2</v>
      </c>
      <c r="G1569" s="17" t="str">
        <f t="shared" si="1235"/>
        <v>中级生命百分比</v>
      </c>
      <c r="H1569" s="17" t="str">
        <f t="shared" si="1236"/>
        <v>icon_05</v>
      </c>
      <c r="I1569" s="20">
        <v>0</v>
      </c>
      <c r="J1569" s="17">
        <v>6</v>
      </c>
      <c r="K1569" s="17">
        <f t="shared" si="1233"/>
        <v>41407</v>
      </c>
      <c r="L1569" s="17" t="s">
        <v>315</v>
      </c>
      <c r="M1569" s="17" t="str">
        <f t="shared" si="1237"/>
        <v>1:11100:5</v>
      </c>
      <c r="N1569" s="16" t="str">
        <f t="shared" si="1222"/>
        <v>136:1</v>
      </c>
      <c r="O1569" s="17">
        <f t="shared" si="1225"/>
        <v>5</v>
      </c>
      <c r="P1569" s="21" t="str">
        <f t="shared" si="1205"/>
        <v>所有飞兵生命百分比增加:1</v>
      </c>
      <c r="Q1569" s="21"/>
      <c r="R1569" t="str">
        <f t="shared" si="1238"/>
        <v>生命百分比</v>
      </c>
      <c r="T1569" t="str">
        <f t="shared" si="1239"/>
        <v>:1</v>
      </c>
      <c r="U1569" t="str">
        <f t="shared" si="1214"/>
        <v>飞兵</v>
      </c>
      <c r="V1569" t="s">
        <v>4759</v>
      </c>
      <c r="W1569">
        <f>属性类型!G1569</f>
        <v>136</v>
      </c>
      <c r="X1569">
        <v>1</v>
      </c>
    </row>
    <row r="1570" customFormat="1" ht="16.5" spans="1:24">
      <c r="A1570" s="17">
        <f t="shared" si="1234"/>
        <v>41407</v>
      </c>
      <c r="B1570" s="17">
        <f t="shared" si="1204"/>
        <v>41400</v>
      </c>
      <c r="C1570" s="17" t="str">
        <f t="shared" si="1221"/>
        <v>4</v>
      </c>
      <c r="D1570" s="17">
        <f t="shared" si="1232"/>
        <v>40002</v>
      </c>
      <c r="E1570" s="17">
        <v>1</v>
      </c>
      <c r="F1570" s="17">
        <f t="shared" si="1223"/>
        <v>2</v>
      </c>
      <c r="G1570" s="17" t="str">
        <f t="shared" si="1235"/>
        <v>中级生命百分比</v>
      </c>
      <c r="H1570" s="17" t="str">
        <f t="shared" si="1236"/>
        <v>icon_05</v>
      </c>
      <c r="I1570" s="20">
        <v>0</v>
      </c>
      <c r="J1570" s="17">
        <v>7</v>
      </c>
      <c r="K1570" s="17">
        <f t="shared" si="1233"/>
        <v>41408</v>
      </c>
      <c r="L1570" s="17" t="s">
        <v>317</v>
      </c>
      <c r="M1570" s="17" t="str">
        <f t="shared" si="1237"/>
        <v>1:11100:5</v>
      </c>
      <c r="N1570" s="16" t="str">
        <f t="shared" si="1222"/>
        <v>136:1</v>
      </c>
      <c r="O1570" s="17">
        <f t="shared" si="1225"/>
        <v>5</v>
      </c>
      <c r="P1570" s="21" t="str">
        <f t="shared" si="1205"/>
        <v>所有飞兵生命百分比增加:1</v>
      </c>
      <c r="Q1570" s="21"/>
      <c r="R1570" t="str">
        <f t="shared" si="1238"/>
        <v>生命百分比</v>
      </c>
      <c r="T1570" t="str">
        <f t="shared" si="1239"/>
        <v>:1</v>
      </c>
      <c r="U1570" t="str">
        <f t="shared" si="1214"/>
        <v>飞兵</v>
      </c>
      <c r="V1570" t="s">
        <v>4759</v>
      </c>
      <c r="W1570">
        <f>属性类型!G1570</f>
        <v>136</v>
      </c>
      <c r="X1570">
        <v>1</v>
      </c>
    </row>
    <row r="1571" customFormat="1" ht="16.5" spans="1:24">
      <c r="A1571" s="17">
        <f t="shared" si="1234"/>
        <v>41408</v>
      </c>
      <c r="B1571" s="17">
        <f t="shared" si="1204"/>
        <v>41400</v>
      </c>
      <c r="C1571" s="17" t="str">
        <f t="shared" si="1221"/>
        <v>4</v>
      </c>
      <c r="D1571" s="17">
        <f t="shared" si="1232"/>
        <v>40002</v>
      </c>
      <c r="E1571" s="17">
        <v>1</v>
      </c>
      <c r="F1571" s="17">
        <f t="shared" si="1223"/>
        <v>2</v>
      </c>
      <c r="G1571" s="17" t="str">
        <f t="shared" si="1235"/>
        <v>中级生命百分比</v>
      </c>
      <c r="H1571" s="17" t="str">
        <f t="shared" si="1236"/>
        <v>icon_05</v>
      </c>
      <c r="I1571" s="20">
        <v>0</v>
      </c>
      <c r="J1571" s="17">
        <v>8</v>
      </c>
      <c r="K1571" s="17">
        <f t="shared" si="1233"/>
        <v>41409</v>
      </c>
      <c r="L1571" s="17" t="s">
        <v>320</v>
      </c>
      <c r="M1571" s="17" t="str">
        <f t="shared" si="1237"/>
        <v>1:11100:5</v>
      </c>
      <c r="N1571" s="16" t="str">
        <f t="shared" si="1222"/>
        <v>136:1</v>
      </c>
      <c r="O1571" s="17">
        <f t="shared" si="1225"/>
        <v>5</v>
      </c>
      <c r="P1571" s="21" t="str">
        <f t="shared" si="1205"/>
        <v>所有飞兵生命百分比增加:1</v>
      </c>
      <c r="Q1571" s="21"/>
      <c r="R1571" t="str">
        <f t="shared" si="1238"/>
        <v>生命百分比</v>
      </c>
      <c r="T1571" t="str">
        <f t="shared" si="1239"/>
        <v>:1</v>
      </c>
      <c r="U1571" t="str">
        <f t="shared" si="1214"/>
        <v>飞兵</v>
      </c>
      <c r="V1571" t="s">
        <v>4759</v>
      </c>
      <c r="W1571">
        <f>属性类型!G1571</f>
        <v>136</v>
      </c>
      <c r="X1571">
        <v>1</v>
      </c>
    </row>
    <row r="1572" customFormat="1" ht="16.5" spans="1:24">
      <c r="A1572" s="17">
        <f t="shared" si="1234"/>
        <v>41409</v>
      </c>
      <c r="B1572" s="17">
        <f t="shared" si="1204"/>
        <v>41400</v>
      </c>
      <c r="C1572" s="17" t="str">
        <f t="shared" si="1221"/>
        <v>4</v>
      </c>
      <c r="D1572" s="17">
        <f t="shared" si="1232"/>
        <v>40002</v>
      </c>
      <c r="E1572" s="17">
        <v>1</v>
      </c>
      <c r="F1572" s="17">
        <f t="shared" si="1223"/>
        <v>2</v>
      </c>
      <c r="G1572" s="17" t="str">
        <f t="shared" si="1235"/>
        <v>中级生命百分比</v>
      </c>
      <c r="H1572" s="17" t="str">
        <f t="shared" si="1236"/>
        <v>icon_05</v>
      </c>
      <c r="I1572" s="20">
        <v>0</v>
      </c>
      <c r="J1572" s="17">
        <v>9</v>
      </c>
      <c r="K1572" s="17">
        <f t="shared" si="1233"/>
        <v>41410</v>
      </c>
      <c r="L1572" s="17" t="s">
        <v>323</v>
      </c>
      <c r="M1572" s="17" t="str">
        <f t="shared" si="1237"/>
        <v>1:11100:5</v>
      </c>
      <c r="N1572" s="16" t="str">
        <f t="shared" si="1222"/>
        <v>136:1</v>
      </c>
      <c r="O1572" s="17">
        <f t="shared" si="1225"/>
        <v>5</v>
      </c>
      <c r="P1572" s="21" t="str">
        <f t="shared" si="1205"/>
        <v>所有飞兵生命百分比增加:1</v>
      </c>
      <c r="Q1572" s="21"/>
      <c r="R1572" t="str">
        <f t="shared" si="1238"/>
        <v>生命百分比</v>
      </c>
      <c r="T1572" t="str">
        <f t="shared" si="1239"/>
        <v>:1</v>
      </c>
      <c r="U1572" t="str">
        <f t="shared" si="1214"/>
        <v>飞兵</v>
      </c>
      <c r="V1572" t="s">
        <v>4759</v>
      </c>
      <c r="W1572">
        <f>属性类型!G1572</f>
        <v>136</v>
      </c>
      <c r="X1572">
        <v>1</v>
      </c>
    </row>
    <row r="1573" customFormat="1" ht="16.5" spans="1:24">
      <c r="A1573" s="17">
        <f t="shared" si="1234"/>
        <v>41410</v>
      </c>
      <c r="B1573" s="17">
        <f t="shared" si="1204"/>
        <v>41400</v>
      </c>
      <c r="C1573" s="17" t="str">
        <f t="shared" si="1221"/>
        <v>4</v>
      </c>
      <c r="D1573" s="17">
        <f t="shared" si="1232"/>
        <v>40002</v>
      </c>
      <c r="E1573" s="17">
        <v>1</v>
      </c>
      <c r="F1573" s="17">
        <f t="shared" si="1223"/>
        <v>2</v>
      </c>
      <c r="G1573" s="17" t="str">
        <f t="shared" si="1235"/>
        <v>中级生命百分比</v>
      </c>
      <c r="H1573" s="17" t="str">
        <f t="shared" si="1236"/>
        <v>icon_05</v>
      </c>
      <c r="I1573" s="20">
        <v>0</v>
      </c>
      <c r="J1573" s="17">
        <v>10</v>
      </c>
      <c r="K1573" s="17">
        <f t="shared" si="1233"/>
        <v>41411</v>
      </c>
      <c r="L1573" s="17" t="s">
        <v>407</v>
      </c>
      <c r="M1573" s="17" t="str">
        <f t="shared" si="1237"/>
        <v>1:11100:5</v>
      </c>
      <c r="N1573" s="16" t="str">
        <f t="shared" si="1222"/>
        <v>136:1</v>
      </c>
      <c r="O1573" s="17">
        <f t="shared" si="1225"/>
        <v>5</v>
      </c>
      <c r="P1573" s="21" t="str">
        <f t="shared" si="1205"/>
        <v>所有飞兵生命百分比增加:1</v>
      </c>
      <c r="Q1573" s="21"/>
      <c r="R1573" t="str">
        <f t="shared" si="1238"/>
        <v>生命百分比</v>
      </c>
      <c r="T1573" t="str">
        <f t="shared" si="1239"/>
        <v>:1</v>
      </c>
      <c r="U1573" t="str">
        <f t="shared" si="1214"/>
        <v>飞兵</v>
      </c>
      <c r="V1573" t="s">
        <v>4759</v>
      </c>
      <c r="W1573">
        <f>属性类型!G1573</f>
        <v>136</v>
      </c>
      <c r="X1573">
        <v>1</v>
      </c>
    </row>
    <row r="1574" customFormat="1" ht="16.5" spans="1:24">
      <c r="A1574" s="17">
        <f t="shared" si="1234"/>
        <v>41411</v>
      </c>
      <c r="B1574" s="17">
        <f t="shared" si="1204"/>
        <v>41400</v>
      </c>
      <c r="C1574" s="17" t="str">
        <f t="shared" si="1221"/>
        <v>4</v>
      </c>
      <c r="D1574" s="17">
        <f t="shared" si="1232"/>
        <v>40002</v>
      </c>
      <c r="E1574" s="17">
        <v>1</v>
      </c>
      <c r="F1574" s="17">
        <f t="shared" si="1223"/>
        <v>2</v>
      </c>
      <c r="G1574" s="17" t="str">
        <f t="shared" si="1235"/>
        <v>中级生命百分比</v>
      </c>
      <c r="H1574" s="17" t="str">
        <f t="shared" si="1236"/>
        <v>icon_05</v>
      </c>
      <c r="I1574" s="20">
        <v>0</v>
      </c>
      <c r="J1574" s="17">
        <v>11</v>
      </c>
      <c r="K1574" s="17">
        <f t="shared" si="1233"/>
        <v>41412</v>
      </c>
      <c r="L1574" s="17" t="s">
        <v>410</v>
      </c>
      <c r="M1574" s="17" t="str">
        <f t="shared" si="1237"/>
        <v>1:11100:5</v>
      </c>
      <c r="N1574" s="16" t="str">
        <f t="shared" si="1222"/>
        <v>136:1</v>
      </c>
      <c r="O1574" s="17">
        <f t="shared" si="1225"/>
        <v>5</v>
      </c>
      <c r="P1574" s="21" t="str">
        <f t="shared" si="1205"/>
        <v>所有飞兵生命百分比增加:1</v>
      </c>
      <c r="Q1574" s="21"/>
      <c r="R1574" t="str">
        <f t="shared" si="1238"/>
        <v>生命百分比</v>
      </c>
      <c r="T1574" t="str">
        <f t="shared" si="1239"/>
        <v>:1</v>
      </c>
      <c r="U1574" t="str">
        <f t="shared" si="1214"/>
        <v>飞兵</v>
      </c>
      <c r="V1574" t="s">
        <v>4759</v>
      </c>
      <c r="W1574">
        <f>属性类型!G1574</f>
        <v>136</v>
      </c>
      <c r="X1574">
        <v>1</v>
      </c>
    </row>
    <row r="1575" customFormat="1" ht="16.5" spans="1:24">
      <c r="A1575" s="17">
        <f t="shared" si="1234"/>
        <v>41412</v>
      </c>
      <c r="B1575" s="17">
        <f t="shared" si="1204"/>
        <v>41400</v>
      </c>
      <c r="C1575" s="17" t="str">
        <f t="shared" si="1221"/>
        <v>4</v>
      </c>
      <c r="D1575" s="17">
        <f t="shared" si="1232"/>
        <v>40002</v>
      </c>
      <c r="E1575" s="17">
        <v>1</v>
      </c>
      <c r="F1575" s="17">
        <f t="shared" si="1223"/>
        <v>2</v>
      </c>
      <c r="G1575" s="17" t="str">
        <f t="shared" si="1235"/>
        <v>中级生命百分比</v>
      </c>
      <c r="H1575" s="17" t="str">
        <f t="shared" si="1236"/>
        <v>icon_05</v>
      </c>
      <c r="I1575" s="20">
        <v>0</v>
      </c>
      <c r="J1575" s="17">
        <v>12</v>
      </c>
      <c r="K1575" s="17">
        <f t="shared" si="1233"/>
        <v>41413</v>
      </c>
      <c r="L1575" s="17" t="s">
        <v>414</v>
      </c>
      <c r="M1575" s="17" t="str">
        <f t="shared" si="1237"/>
        <v>1:11100:5</v>
      </c>
      <c r="N1575" s="16" t="str">
        <f t="shared" si="1222"/>
        <v>136:1</v>
      </c>
      <c r="O1575" s="17">
        <f t="shared" si="1225"/>
        <v>5</v>
      </c>
      <c r="P1575" s="21" t="str">
        <f t="shared" si="1205"/>
        <v>所有飞兵生命百分比增加:1</v>
      </c>
      <c r="Q1575" s="21"/>
      <c r="R1575" t="str">
        <f t="shared" si="1238"/>
        <v>生命百分比</v>
      </c>
      <c r="T1575" t="str">
        <f t="shared" si="1239"/>
        <v>:1</v>
      </c>
      <c r="U1575" t="str">
        <f t="shared" si="1214"/>
        <v>飞兵</v>
      </c>
      <c r="V1575" t="s">
        <v>4759</v>
      </c>
      <c r="W1575">
        <f>属性类型!G1575</f>
        <v>136</v>
      </c>
      <c r="X1575">
        <v>1</v>
      </c>
    </row>
    <row r="1576" customFormat="1" ht="16.5" spans="1:24">
      <c r="A1576" s="17">
        <f t="shared" si="1234"/>
        <v>41413</v>
      </c>
      <c r="B1576" s="17">
        <f t="shared" si="1204"/>
        <v>41400</v>
      </c>
      <c r="C1576" s="17" t="str">
        <f t="shared" si="1221"/>
        <v>4</v>
      </c>
      <c r="D1576" s="17">
        <f t="shared" si="1232"/>
        <v>40002</v>
      </c>
      <c r="E1576" s="17">
        <v>1</v>
      </c>
      <c r="F1576" s="17">
        <f t="shared" si="1223"/>
        <v>2</v>
      </c>
      <c r="G1576" s="17" t="str">
        <f t="shared" si="1235"/>
        <v>中级生命百分比</v>
      </c>
      <c r="H1576" s="17" t="str">
        <f t="shared" si="1236"/>
        <v>icon_05</v>
      </c>
      <c r="I1576" s="20">
        <v>0</v>
      </c>
      <c r="J1576" s="17">
        <v>13</v>
      </c>
      <c r="K1576" s="17">
        <f t="shared" si="1233"/>
        <v>41414</v>
      </c>
      <c r="L1576" s="17" t="s">
        <v>418</v>
      </c>
      <c r="M1576" s="17" t="str">
        <f t="shared" si="1237"/>
        <v>1:11100:5</v>
      </c>
      <c r="N1576" s="16" t="str">
        <f t="shared" si="1222"/>
        <v>136:1</v>
      </c>
      <c r="O1576" s="17">
        <f t="shared" si="1225"/>
        <v>5</v>
      </c>
      <c r="P1576" s="21" t="str">
        <f t="shared" si="1205"/>
        <v>所有飞兵生命百分比增加:1</v>
      </c>
      <c r="Q1576" s="21"/>
      <c r="R1576" t="str">
        <f t="shared" si="1238"/>
        <v>生命百分比</v>
      </c>
      <c r="T1576" t="str">
        <f t="shared" si="1239"/>
        <v>:1</v>
      </c>
      <c r="U1576" t="str">
        <f t="shared" si="1214"/>
        <v>飞兵</v>
      </c>
      <c r="V1576" t="s">
        <v>4759</v>
      </c>
      <c r="W1576">
        <f>属性类型!G1576</f>
        <v>136</v>
      </c>
      <c r="X1576">
        <v>1</v>
      </c>
    </row>
    <row r="1577" customFormat="1" ht="16.5" spans="1:24">
      <c r="A1577" s="17">
        <f t="shared" si="1234"/>
        <v>41414</v>
      </c>
      <c r="B1577" s="17">
        <f t="shared" si="1204"/>
        <v>41400</v>
      </c>
      <c r="C1577" s="17" t="str">
        <f t="shared" si="1221"/>
        <v>4</v>
      </c>
      <c r="D1577" s="17">
        <f t="shared" si="1232"/>
        <v>40002</v>
      </c>
      <c r="E1577" s="17">
        <v>1</v>
      </c>
      <c r="F1577" s="17">
        <f t="shared" si="1223"/>
        <v>2</v>
      </c>
      <c r="G1577" s="17" t="str">
        <f t="shared" si="1235"/>
        <v>中级生命百分比</v>
      </c>
      <c r="H1577" s="17" t="str">
        <f t="shared" si="1236"/>
        <v>icon_05</v>
      </c>
      <c r="I1577" s="20">
        <v>0</v>
      </c>
      <c r="J1577" s="17">
        <v>14</v>
      </c>
      <c r="K1577" s="17">
        <f t="shared" si="1233"/>
        <v>41415</v>
      </c>
      <c r="L1577" s="17" t="s">
        <v>422</v>
      </c>
      <c r="M1577" s="17" t="str">
        <f t="shared" si="1237"/>
        <v>1:11100:5</v>
      </c>
      <c r="N1577" s="16" t="str">
        <f t="shared" si="1222"/>
        <v>136:1</v>
      </c>
      <c r="O1577" s="17">
        <f t="shared" si="1225"/>
        <v>5</v>
      </c>
      <c r="P1577" s="21" t="str">
        <f t="shared" si="1205"/>
        <v>所有飞兵生命百分比增加:1</v>
      </c>
      <c r="Q1577" s="21"/>
      <c r="R1577" t="str">
        <f t="shared" si="1238"/>
        <v>生命百分比</v>
      </c>
      <c r="T1577" t="str">
        <f t="shared" si="1239"/>
        <v>:1</v>
      </c>
      <c r="U1577" t="str">
        <f t="shared" si="1214"/>
        <v>飞兵</v>
      </c>
      <c r="V1577" t="s">
        <v>4759</v>
      </c>
      <c r="W1577">
        <f>属性类型!G1577</f>
        <v>136</v>
      </c>
      <c r="X1577">
        <v>1</v>
      </c>
    </row>
    <row r="1578" customFormat="1" ht="16.5" spans="1:24">
      <c r="A1578" s="17">
        <f t="shared" si="1234"/>
        <v>41415</v>
      </c>
      <c r="B1578" s="17">
        <f t="shared" si="1204"/>
        <v>41400</v>
      </c>
      <c r="C1578" s="17" t="str">
        <f t="shared" si="1221"/>
        <v>4</v>
      </c>
      <c r="D1578" s="17">
        <f t="shared" si="1232"/>
        <v>40002</v>
      </c>
      <c r="E1578" s="17">
        <v>1</v>
      </c>
      <c r="F1578" s="17">
        <f t="shared" si="1223"/>
        <v>2</v>
      </c>
      <c r="G1578" s="17" t="str">
        <f t="shared" si="1235"/>
        <v>中级生命百分比</v>
      </c>
      <c r="H1578" s="17" t="str">
        <f t="shared" si="1236"/>
        <v>icon_05</v>
      </c>
      <c r="I1578" s="20">
        <v>0</v>
      </c>
      <c r="J1578" s="17">
        <v>15</v>
      </c>
      <c r="K1578" s="17">
        <v>0</v>
      </c>
      <c r="L1578" s="17">
        <v>0</v>
      </c>
      <c r="M1578" s="17" t="str">
        <f t="shared" si="1237"/>
        <v>1:11100:5</v>
      </c>
      <c r="N1578" s="16" t="str">
        <f t="shared" si="1222"/>
        <v>136:1</v>
      </c>
      <c r="O1578" s="17">
        <f t="shared" si="1225"/>
        <v>5</v>
      </c>
      <c r="P1578" s="21" t="str">
        <f t="shared" si="1205"/>
        <v>所有飞兵生命百分比增加:1</v>
      </c>
      <c r="Q1578" s="21"/>
      <c r="R1578" t="str">
        <f t="shared" si="1238"/>
        <v>生命百分比</v>
      </c>
      <c r="T1578" t="str">
        <f t="shared" si="1239"/>
        <v>:1</v>
      </c>
      <c r="U1578" t="str">
        <f t="shared" si="1214"/>
        <v>飞兵</v>
      </c>
      <c r="V1578" t="s">
        <v>4759</v>
      </c>
      <c r="W1578">
        <f>属性类型!G1578</f>
        <v>136</v>
      </c>
      <c r="X1578">
        <v>1</v>
      </c>
    </row>
    <row r="1579" customFormat="1" ht="16.5" spans="1:24">
      <c r="A1579" s="18">
        <f>A1563+100</f>
        <v>41500</v>
      </c>
      <c r="B1579" s="18">
        <f t="shared" si="1204"/>
        <v>41500</v>
      </c>
      <c r="C1579" s="18" t="str">
        <f t="shared" si="1221"/>
        <v>4</v>
      </c>
      <c r="D1579" s="17">
        <f t="shared" si="1232"/>
        <v>40002</v>
      </c>
      <c r="E1579" s="17">
        <v>1</v>
      </c>
      <c r="F1579" s="18">
        <f t="shared" si="1223"/>
        <v>2</v>
      </c>
      <c r="G1579" s="18" t="s">
        <v>427</v>
      </c>
      <c r="H1579" s="18" t="s">
        <v>149</v>
      </c>
      <c r="I1579" s="20">
        <v>0</v>
      </c>
      <c r="J1579" s="18">
        <v>0</v>
      </c>
      <c r="K1579" s="18">
        <f t="shared" ref="K1579:K1593" si="1240">A1580</f>
        <v>41501</v>
      </c>
      <c r="L1579" s="18" t="s">
        <v>297</v>
      </c>
      <c r="M1579" s="18" t="s">
        <v>429</v>
      </c>
      <c r="N1579" s="16" t="str">
        <f t="shared" si="1222"/>
        <v>137:1</v>
      </c>
      <c r="O1579" s="18">
        <f t="shared" si="1225"/>
        <v>6</v>
      </c>
      <c r="P1579" s="21" t="str">
        <f t="shared" si="1205"/>
        <v>所有飞兵攻击百分比增加1</v>
      </c>
      <c r="Q1579" s="21"/>
      <c r="R1579" t="s">
        <v>4280</v>
      </c>
      <c r="T1579" t="str">
        <f>RIGHT(N1579,1)</f>
        <v>1</v>
      </c>
      <c r="U1579" t="str">
        <f t="shared" si="1214"/>
        <v>飞兵</v>
      </c>
      <c r="V1579" t="s">
        <v>4693</v>
      </c>
      <c r="W1579">
        <f>属性类型!G1579</f>
        <v>137</v>
      </c>
      <c r="X1579">
        <v>1</v>
      </c>
    </row>
    <row r="1580" customFormat="1" ht="16.5" spans="1:24">
      <c r="A1580" s="17">
        <f t="shared" ref="A1580:A1594" si="1241">A1579+1</f>
        <v>41501</v>
      </c>
      <c r="B1580" s="17">
        <f t="shared" si="1204"/>
        <v>41500</v>
      </c>
      <c r="C1580" s="17" t="str">
        <f t="shared" si="1221"/>
        <v>4</v>
      </c>
      <c r="D1580" s="17">
        <f t="shared" si="1232"/>
        <v>40002</v>
      </c>
      <c r="E1580" s="17">
        <v>1</v>
      </c>
      <c r="F1580" s="17">
        <f t="shared" si="1223"/>
        <v>2</v>
      </c>
      <c r="G1580" s="17" t="str">
        <f t="shared" ref="G1580:G1594" si="1242">G1579</f>
        <v>中级攻击百分比</v>
      </c>
      <c r="H1580" s="17" t="str">
        <f t="shared" ref="H1580:H1594" si="1243">H1579</f>
        <v>icon_06</v>
      </c>
      <c r="I1580" s="20">
        <v>0</v>
      </c>
      <c r="J1580" s="17">
        <v>1</v>
      </c>
      <c r="K1580" s="17">
        <f t="shared" si="1240"/>
        <v>41502</v>
      </c>
      <c r="L1580" s="17" t="s">
        <v>300</v>
      </c>
      <c r="M1580" s="17" t="str">
        <f t="shared" ref="M1580:M1594" si="1244">M1579</f>
        <v>1:11200:5</v>
      </c>
      <c r="N1580" s="16" t="str">
        <f t="shared" si="1222"/>
        <v>137:1</v>
      </c>
      <c r="O1580" s="17">
        <f t="shared" si="1225"/>
        <v>6</v>
      </c>
      <c r="P1580" s="21" t="str">
        <f t="shared" si="1205"/>
        <v>所有飞兵攻击百分比增加:1</v>
      </c>
      <c r="Q1580" s="21"/>
      <c r="R1580" t="str">
        <f t="shared" ref="R1580:R1594" si="1245">R1579</f>
        <v>攻击百分比</v>
      </c>
      <c r="T1580" t="str">
        <f t="shared" ref="T1580:T1594" si="1246">RIGHT(N1580,2)</f>
        <v>:1</v>
      </c>
      <c r="U1580" t="str">
        <f t="shared" si="1214"/>
        <v>飞兵</v>
      </c>
      <c r="V1580" t="s">
        <v>4693</v>
      </c>
      <c r="W1580">
        <f>属性类型!G1580</f>
        <v>137</v>
      </c>
      <c r="X1580">
        <v>1</v>
      </c>
    </row>
    <row r="1581" customFormat="1" ht="16.5" spans="1:24">
      <c r="A1581" s="17">
        <f t="shared" si="1241"/>
        <v>41502</v>
      </c>
      <c r="B1581" s="17">
        <f t="shared" si="1204"/>
        <v>41500</v>
      </c>
      <c r="C1581" s="17" t="str">
        <f t="shared" si="1221"/>
        <v>4</v>
      </c>
      <c r="D1581" s="17">
        <f t="shared" si="1232"/>
        <v>40002</v>
      </c>
      <c r="E1581" s="17">
        <v>1</v>
      </c>
      <c r="F1581" s="17">
        <f t="shared" si="1223"/>
        <v>2</v>
      </c>
      <c r="G1581" s="17" t="str">
        <f t="shared" si="1242"/>
        <v>中级攻击百分比</v>
      </c>
      <c r="H1581" s="17" t="str">
        <f t="shared" si="1243"/>
        <v>icon_06</v>
      </c>
      <c r="I1581" s="20">
        <v>0</v>
      </c>
      <c r="J1581" s="17">
        <v>2</v>
      </c>
      <c r="K1581" s="17">
        <f t="shared" si="1240"/>
        <v>41503</v>
      </c>
      <c r="L1581" s="17" t="s">
        <v>304</v>
      </c>
      <c r="M1581" s="17" t="str">
        <f t="shared" si="1244"/>
        <v>1:11200:5</v>
      </c>
      <c r="N1581" s="16" t="str">
        <f t="shared" si="1222"/>
        <v>137:1</v>
      </c>
      <c r="O1581" s="17">
        <f t="shared" si="1225"/>
        <v>6</v>
      </c>
      <c r="P1581" s="21" t="str">
        <f t="shared" si="1205"/>
        <v>所有飞兵攻击百分比增加:1</v>
      </c>
      <c r="Q1581" s="21"/>
      <c r="R1581" t="str">
        <f t="shared" si="1245"/>
        <v>攻击百分比</v>
      </c>
      <c r="T1581" t="str">
        <f t="shared" si="1246"/>
        <v>:1</v>
      </c>
      <c r="U1581" t="str">
        <f t="shared" si="1214"/>
        <v>飞兵</v>
      </c>
      <c r="V1581" t="s">
        <v>4693</v>
      </c>
      <c r="W1581">
        <f>属性类型!G1581</f>
        <v>137</v>
      </c>
      <c r="X1581">
        <v>1</v>
      </c>
    </row>
    <row r="1582" customFormat="1" ht="16.5" spans="1:24">
      <c r="A1582" s="17">
        <f t="shared" si="1241"/>
        <v>41503</v>
      </c>
      <c r="B1582" s="17">
        <f t="shared" si="1204"/>
        <v>41500</v>
      </c>
      <c r="C1582" s="17" t="str">
        <f t="shared" si="1221"/>
        <v>4</v>
      </c>
      <c r="D1582" s="17">
        <f t="shared" si="1232"/>
        <v>40002</v>
      </c>
      <c r="E1582" s="17">
        <v>1</v>
      </c>
      <c r="F1582" s="17">
        <f t="shared" si="1223"/>
        <v>2</v>
      </c>
      <c r="G1582" s="17" t="str">
        <f t="shared" si="1242"/>
        <v>中级攻击百分比</v>
      </c>
      <c r="H1582" s="17" t="str">
        <f t="shared" si="1243"/>
        <v>icon_06</v>
      </c>
      <c r="I1582" s="20">
        <v>0</v>
      </c>
      <c r="J1582" s="17">
        <v>3</v>
      </c>
      <c r="K1582" s="17">
        <f t="shared" si="1240"/>
        <v>41504</v>
      </c>
      <c r="L1582" s="17" t="s">
        <v>307</v>
      </c>
      <c r="M1582" s="17" t="str">
        <f t="shared" si="1244"/>
        <v>1:11200:5</v>
      </c>
      <c r="N1582" s="16" t="str">
        <f t="shared" si="1222"/>
        <v>137:1</v>
      </c>
      <c r="O1582" s="17">
        <f t="shared" si="1225"/>
        <v>6</v>
      </c>
      <c r="P1582" s="21" t="str">
        <f t="shared" si="1205"/>
        <v>所有飞兵攻击百分比增加:1</v>
      </c>
      <c r="Q1582" s="21"/>
      <c r="R1582" t="str">
        <f t="shared" si="1245"/>
        <v>攻击百分比</v>
      </c>
      <c r="T1582" t="str">
        <f t="shared" si="1246"/>
        <v>:1</v>
      </c>
      <c r="U1582" t="str">
        <f t="shared" si="1214"/>
        <v>飞兵</v>
      </c>
      <c r="V1582" t="s">
        <v>4693</v>
      </c>
      <c r="W1582">
        <f>属性类型!G1582</f>
        <v>137</v>
      </c>
      <c r="X1582">
        <v>1</v>
      </c>
    </row>
    <row r="1583" customFormat="1" ht="16.5" spans="1:24">
      <c r="A1583" s="17">
        <f t="shared" si="1241"/>
        <v>41504</v>
      </c>
      <c r="B1583" s="17">
        <f t="shared" si="1204"/>
        <v>41500</v>
      </c>
      <c r="C1583" s="17" t="str">
        <f t="shared" si="1221"/>
        <v>4</v>
      </c>
      <c r="D1583" s="17">
        <f t="shared" si="1232"/>
        <v>40002</v>
      </c>
      <c r="E1583" s="17">
        <v>1</v>
      </c>
      <c r="F1583" s="17">
        <f t="shared" si="1223"/>
        <v>2</v>
      </c>
      <c r="G1583" s="17" t="str">
        <f t="shared" si="1242"/>
        <v>中级攻击百分比</v>
      </c>
      <c r="H1583" s="17" t="str">
        <f t="shared" si="1243"/>
        <v>icon_06</v>
      </c>
      <c r="I1583" s="20">
        <v>0</v>
      </c>
      <c r="J1583" s="17">
        <v>4</v>
      </c>
      <c r="K1583" s="17">
        <f t="shared" si="1240"/>
        <v>41505</v>
      </c>
      <c r="L1583" s="17" t="s">
        <v>309</v>
      </c>
      <c r="M1583" s="17" t="str">
        <f t="shared" si="1244"/>
        <v>1:11200:5</v>
      </c>
      <c r="N1583" s="16" t="str">
        <f t="shared" si="1222"/>
        <v>137:1</v>
      </c>
      <c r="O1583" s="17">
        <f t="shared" si="1225"/>
        <v>6</v>
      </c>
      <c r="P1583" s="21" t="str">
        <f t="shared" si="1205"/>
        <v>所有飞兵攻击百分比增加:1</v>
      </c>
      <c r="Q1583" s="21"/>
      <c r="R1583" t="str">
        <f t="shared" si="1245"/>
        <v>攻击百分比</v>
      </c>
      <c r="T1583" t="str">
        <f t="shared" si="1246"/>
        <v>:1</v>
      </c>
      <c r="U1583" t="str">
        <f t="shared" si="1214"/>
        <v>飞兵</v>
      </c>
      <c r="V1583" t="s">
        <v>4693</v>
      </c>
      <c r="W1583">
        <f>属性类型!G1583</f>
        <v>137</v>
      </c>
      <c r="X1583">
        <v>1</v>
      </c>
    </row>
    <row r="1584" customFormat="1" ht="16.5" spans="1:24">
      <c r="A1584" s="17">
        <f t="shared" si="1241"/>
        <v>41505</v>
      </c>
      <c r="B1584" s="17">
        <f t="shared" si="1204"/>
        <v>41500</v>
      </c>
      <c r="C1584" s="17" t="str">
        <f t="shared" si="1221"/>
        <v>4</v>
      </c>
      <c r="D1584" s="17">
        <f t="shared" si="1232"/>
        <v>40002</v>
      </c>
      <c r="E1584" s="17">
        <v>1</v>
      </c>
      <c r="F1584" s="17">
        <f t="shared" si="1223"/>
        <v>2</v>
      </c>
      <c r="G1584" s="17" t="str">
        <f t="shared" si="1242"/>
        <v>中级攻击百分比</v>
      </c>
      <c r="H1584" s="17" t="str">
        <f t="shared" si="1243"/>
        <v>icon_06</v>
      </c>
      <c r="I1584" s="20">
        <v>0</v>
      </c>
      <c r="J1584" s="17">
        <v>5</v>
      </c>
      <c r="K1584" s="17">
        <f t="shared" si="1240"/>
        <v>41506</v>
      </c>
      <c r="L1584" s="17" t="s">
        <v>312</v>
      </c>
      <c r="M1584" s="17" t="str">
        <f t="shared" si="1244"/>
        <v>1:11200:5</v>
      </c>
      <c r="N1584" s="16" t="str">
        <f t="shared" si="1222"/>
        <v>137:1</v>
      </c>
      <c r="O1584" s="17">
        <f t="shared" si="1225"/>
        <v>6</v>
      </c>
      <c r="P1584" s="21" t="str">
        <f t="shared" si="1205"/>
        <v>所有飞兵攻击百分比增加:1</v>
      </c>
      <c r="Q1584" s="21"/>
      <c r="R1584" t="str">
        <f t="shared" si="1245"/>
        <v>攻击百分比</v>
      </c>
      <c r="T1584" t="str">
        <f t="shared" si="1246"/>
        <v>:1</v>
      </c>
      <c r="U1584" t="str">
        <f t="shared" si="1214"/>
        <v>飞兵</v>
      </c>
      <c r="V1584" t="s">
        <v>4693</v>
      </c>
      <c r="W1584">
        <f>属性类型!G1584</f>
        <v>137</v>
      </c>
      <c r="X1584">
        <v>1</v>
      </c>
    </row>
    <row r="1585" customFormat="1" ht="16.5" spans="1:24">
      <c r="A1585" s="17">
        <f t="shared" si="1241"/>
        <v>41506</v>
      </c>
      <c r="B1585" s="17">
        <f t="shared" si="1204"/>
        <v>41500</v>
      </c>
      <c r="C1585" s="17" t="str">
        <f t="shared" si="1221"/>
        <v>4</v>
      </c>
      <c r="D1585" s="17">
        <f t="shared" si="1232"/>
        <v>40002</v>
      </c>
      <c r="E1585" s="17">
        <v>1</v>
      </c>
      <c r="F1585" s="17">
        <f t="shared" si="1223"/>
        <v>2</v>
      </c>
      <c r="G1585" s="17" t="str">
        <f t="shared" si="1242"/>
        <v>中级攻击百分比</v>
      </c>
      <c r="H1585" s="17" t="str">
        <f t="shared" si="1243"/>
        <v>icon_06</v>
      </c>
      <c r="I1585" s="20">
        <v>0</v>
      </c>
      <c r="J1585" s="17">
        <v>6</v>
      </c>
      <c r="K1585" s="17">
        <f t="shared" si="1240"/>
        <v>41507</v>
      </c>
      <c r="L1585" s="17" t="s">
        <v>315</v>
      </c>
      <c r="M1585" s="17" t="str">
        <f t="shared" si="1244"/>
        <v>1:11200:5</v>
      </c>
      <c r="N1585" s="16" t="str">
        <f t="shared" si="1222"/>
        <v>137:1</v>
      </c>
      <c r="O1585" s="17">
        <f t="shared" si="1225"/>
        <v>6</v>
      </c>
      <c r="P1585" s="21" t="str">
        <f t="shared" si="1205"/>
        <v>所有飞兵攻击百分比增加:1</v>
      </c>
      <c r="Q1585" s="21"/>
      <c r="R1585" t="str">
        <f t="shared" si="1245"/>
        <v>攻击百分比</v>
      </c>
      <c r="T1585" t="str">
        <f t="shared" si="1246"/>
        <v>:1</v>
      </c>
      <c r="U1585" t="str">
        <f t="shared" si="1214"/>
        <v>飞兵</v>
      </c>
      <c r="V1585" t="s">
        <v>4693</v>
      </c>
      <c r="W1585">
        <f>属性类型!G1585</f>
        <v>137</v>
      </c>
      <c r="X1585">
        <v>1</v>
      </c>
    </row>
    <row r="1586" customFormat="1" ht="16.5" spans="1:24">
      <c r="A1586" s="17">
        <f t="shared" si="1241"/>
        <v>41507</v>
      </c>
      <c r="B1586" s="17">
        <f t="shared" si="1204"/>
        <v>41500</v>
      </c>
      <c r="C1586" s="17" t="str">
        <f t="shared" si="1221"/>
        <v>4</v>
      </c>
      <c r="D1586" s="17">
        <f t="shared" si="1232"/>
        <v>40002</v>
      </c>
      <c r="E1586" s="17">
        <v>1</v>
      </c>
      <c r="F1586" s="17">
        <f t="shared" si="1223"/>
        <v>2</v>
      </c>
      <c r="G1586" s="17" t="str">
        <f t="shared" si="1242"/>
        <v>中级攻击百分比</v>
      </c>
      <c r="H1586" s="17" t="str">
        <f t="shared" si="1243"/>
        <v>icon_06</v>
      </c>
      <c r="I1586" s="20">
        <v>0</v>
      </c>
      <c r="J1586" s="17">
        <v>7</v>
      </c>
      <c r="K1586" s="17">
        <f t="shared" si="1240"/>
        <v>41508</v>
      </c>
      <c r="L1586" s="17" t="s">
        <v>317</v>
      </c>
      <c r="M1586" s="17" t="str">
        <f t="shared" si="1244"/>
        <v>1:11200:5</v>
      </c>
      <c r="N1586" s="16" t="str">
        <f t="shared" si="1222"/>
        <v>137:1</v>
      </c>
      <c r="O1586" s="17">
        <f t="shared" si="1225"/>
        <v>6</v>
      </c>
      <c r="P1586" s="21" t="str">
        <f t="shared" si="1205"/>
        <v>所有飞兵攻击百分比增加:1</v>
      </c>
      <c r="Q1586" s="21"/>
      <c r="R1586" t="str">
        <f t="shared" si="1245"/>
        <v>攻击百分比</v>
      </c>
      <c r="T1586" t="str">
        <f t="shared" si="1246"/>
        <v>:1</v>
      </c>
      <c r="U1586" t="str">
        <f t="shared" si="1214"/>
        <v>飞兵</v>
      </c>
      <c r="V1586" t="s">
        <v>4693</v>
      </c>
      <c r="W1586">
        <f>属性类型!G1586</f>
        <v>137</v>
      </c>
      <c r="X1586">
        <v>1</v>
      </c>
    </row>
    <row r="1587" customFormat="1" ht="16.5" spans="1:24">
      <c r="A1587" s="17">
        <f t="shared" si="1241"/>
        <v>41508</v>
      </c>
      <c r="B1587" s="17">
        <f t="shared" ref="B1587:B1650" si="1247">ROUND(A1587,-2)</f>
        <v>41500</v>
      </c>
      <c r="C1587" s="17" t="str">
        <f t="shared" si="1221"/>
        <v>4</v>
      </c>
      <c r="D1587" s="17">
        <f t="shared" si="1232"/>
        <v>40002</v>
      </c>
      <c r="E1587" s="17">
        <v>1</v>
      </c>
      <c r="F1587" s="17">
        <f t="shared" si="1223"/>
        <v>2</v>
      </c>
      <c r="G1587" s="17" t="str">
        <f t="shared" si="1242"/>
        <v>中级攻击百分比</v>
      </c>
      <c r="H1587" s="17" t="str">
        <f t="shared" si="1243"/>
        <v>icon_06</v>
      </c>
      <c r="I1587" s="20">
        <v>0</v>
      </c>
      <c r="J1587" s="17">
        <v>8</v>
      </c>
      <c r="K1587" s="17">
        <f t="shared" si="1240"/>
        <v>41509</v>
      </c>
      <c r="L1587" s="17" t="s">
        <v>320</v>
      </c>
      <c r="M1587" s="17" t="str">
        <f t="shared" si="1244"/>
        <v>1:11200:5</v>
      </c>
      <c r="N1587" s="16" t="str">
        <f t="shared" si="1222"/>
        <v>137:1</v>
      </c>
      <c r="O1587" s="17">
        <f t="shared" si="1225"/>
        <v>6</v>
      </c>
      <c r="P1587" s="21" t="str">
        <f t="shared" si="1205"/>
        <v>所有飞兵攻击百分比增加:1</v>
      </c>
      <c r="Q1587" s="21"/>
      <c r="R1587" t="str">
        <f t="shared" si="1245"/>
        <v>攻击百分比</v>
      </c>
      <c r="T1587" t="str">
        <f t="shared" si="1246"/>
        <v>:1</v>
      </c>
      <c r="U1587" t="str">
        <f t="shared" si="1214"/>
        <v>飞兵</v>
      </c>
      <c r="V1587" t="s">
        <v>4693</v>
      </c>
      <c r="W1587">
        <f>属性类型!G1587</f>
        <v>137</v>
      </c>
      <c r="X1587">
        <v>1</v>
      </c>
    </row>
    <row r="1588" customFormat="1" ht="16.5" spans="1:24">
      <c r="A1588" s="17">
        <f t="shared" si="1241"/>
        <v>41509</v>
      </c>
      <c r="B1588" s="17">
        <f t="shared" si="1247"/>
        <v>41500</v>
      </c>
      <c r="C1588" s="17" t="str">
        <f t="shared" si="1221"/>
        <v>4</v>
      </c>
      <c r="D1588" s="17">
        <f t="shared" si="1232"/>
        <v>40002</v>
      </c>
      <c r="E1588" s="17">
        <v>1</v>
      </c>
      <c r="F1588" s="17">
        <f t="shared" si="1223"/>
        <v>2</v>
      </c>
      <c r="G1588" s="17" t="str">
        <f t="shared" si="1242"/>
        <v>中级攻击百分比</v>
      </c>
      <c r="H1588" s="17" t="str">
        <f t="shared" si="1243"/>
        <v>icon_06</v>
      </c>
      <c r="I1588" s="20">
        <v>0</v>
      </c>
      <c r="J1588" s="17">
        <v>9</v>
      </c>
      <c r="K1588" s="17">
        <f t="shared" si="1240"/>
        <v>41510</v>
      </c>
      <c r="L1588" s="17" t="s">
        <v>323</v>
      </c>
      <c r="M1588" s="17" t="str">
        <f t="shared" si="1244"/>
        <v>1:11200:5</v>
      </c>
      <c r="N1588" s="16" t="str">
        <f t="shared" si="1222"/>
        <v>137:1</v>
      </c>
      <c r="O1588" s="17">
        <f t="shared" si="1225"/>
        <v>6</v>
      </c>
      <c r="P1588" s="21" t="str">
        <f t="shared" si="1205"/>
        <v>所有飞兵攻击百分比增加:1</v>
      </c>
      <c r="Q1588" s="21"/>
      <c r="R1588" t="str">
        <f t="shared" si="1245"/>
        <v>攻击百分比</v>
      </c>
      <c r="T1588" t="str">
        <f t="shared" si="1246"/>
        <v>:1</v>
      </c>
      <c r="U1588" t="str">
        <f t="shared" si="1214"/>
        <v>飞兵</v>
      </c>
      <c r="V1588" t="s">
        <v>4693</v>
      </c>
      <c r="W1588">
        <f>属性类型!G1588</f>
        <v>137</v>
      </c>
      <c r="X1588">
        <v>1</v>
      </c>
    </row>
    <row r="1589" customFormat="1" ht="16.5" spans="1:24">
      <c r="A1589" s="17">
        <f t="shared" si="1241"/>
        <v>41510</v>
      </c>
      <c r="B1589" s="17">
        <f t="shared" si="1247"/>
        <v>41500</v>
      </c>
      <c r="C1589" s="17" t="str">
        <f t="shared" si="1221"/>
        <v>4</v>
      </c>
      <c r="D1589" s="17">
        <f t="shared" si="1232"/>
        <v>40002</v>
      </c>
      <c r="E1589" s="17">
        <v>1</v>
      </c>
      <c r="F1589" s="17">
        <f t="shared" si="1223"/>
        <v>2</v>
      </c>
      <c r="G1589" s="17" t="str">
        <f t="shared" si="1242"/>
        <v>中级攻击百分比</v>
      </c>
      <c r="H1589" s="17" t="str">
        <f t="shared" si="1243"/>
        <v>icon_06</v>
      </c>
      <c r="I1589" s="20">
        <v>0</v>
      </c>
      <c r="J1589" s="17">
        <v>10</v>
      </c>
      <c r="K1589" s="17">
        <f t="shared" si="1240"/>
        <v>41511</v>
      </c>
      <c r="L1589" s="17" t="s">
        <v>407</v>
      </c>
      <c r="M1589" s="17" t="str">
        <f t="shared" si="1244"/>
        <v>1:11200:5</v>
      </c>
      <c r="N1589" s="16" t="str">
        <f t="shared" si="1222"/>
        <v>137:1</v>
      </c>
      <c r="O1589" s="17">
        <f t="shared" si="1225"/>
        <v>6</v>
      </c>
      <c r="P1589" s="21" t="str">
        <f t="shared" si="1205"/>
        <v>所有飞兵攻击百分比增加:1</v>
      </c>
      <c r="Q1589" s="21"/>
      <c r="R1589" t="str">
        <f t="shared" si="1245"/>
        <v>攻击百分比</v>
      </c>
      <c r="T1589" t="str">
        <f t="shared" si="1246"/>
        <v>:1</v>
      </c>
      <c r="U1589" t="str">
        <f t="shared" si="1214"/>
        <v>飞兵</v>
      </c>
      <c r="V1589" t="s">
        <v>4693</v>
      </c>
      <c r="W1589">
        <f>属性类型!G1589</f>
        <v>137</v>
      </c>
      <c r="X1589">
        <v>1</v>
      </c>
    </row>
    <row r="1590" customFormat="1" ht="16.5" spans="1:24">
      <c r="A1590" s="17">
        <f t="shared" si="1241"/>
        <v>41511</v>
      </c>
      <c r="B1590" s="17">
        <f t="shared" si="1247"/>
        <v>41500</v>
      </c>
      <c r="C1590" s="17" t="str">
        <f t="shared" si="1221"/>
        <v>4</v>
      </c>
      <c r="D1590" s="17">
        <f t="shared" si="1232"/>
        <v>40002</v>
      </c>
      <c r="E1590" s="17">
        <v>1</v>
      </c>
      <c r="F1590" s="17">
        <f t="shared" si="1223"/>
        <v>2</v>
      </c>
      <c r="G1590" s="17" t="str">
        <f t="shared" si="1242"/>
        <v>中级攻击百分比</v>
      </c>
      <c r="H1590" s="17" t="str">
        <f t="shared" si="1243"/>
        <v>icon_06</v>
      </c>
      <c r="I1590" s="20">
        <v>0</v>
      </c>
      <c r="J1590" s="17">
        <v>11</v>
      </c>
      <c r="K1590" s="17">
        <f t="shared" si="1240"/>
        <v>41512</v>
      </c>
      <c r="L1590" s="17" t="s">
        <v>410</v>
      </c>
      <c r="M1590" s="17" t="str">
        <f t="shared" si="1244"/>
        <v>1:11200:5</v>
      </c>
      <c r="N1590" s="16" t="str">
        <f t="shared" si="1222"/>
        <v>137:1</v>
      </c>
      <c r="O1590" s="17">
        <f t="shared" si="1225"/>
        <v>6</v>
      </c>
      <c r="P1590" s="21" t="str">
        <f t="shared" si="1205"/>
        <v>所有飞兵攻击百分比增加:1</v>
      </c>
      <c r="Q1590" s="21"/>
      <c r="R1590" t="str">
        <f t="shared" si="1245"/>
        <v>攻击百分比</v>
      </c>
      <c r="T1590" t="str">
        <f t="shared" si="1246"/>
        <v>:1</v>
      </c>
      <c r="U1590" t="str">
        <f t="shared" si="1214"/>
        <v>飞兵</v>
      </c>
      <c r="V1590" t="s">
        <v>4693</v>
      </c>
      <c r="W1590">
        <f>属性类型!G1590</f>
        <v>137</v>
      </c>
      <c r="X1590">
        <v>1</v>
      </c>
    </row>
    <row r="1591" customFormat="1" ht="16.5" spans="1:24">
      <c r="A1591" s="17">
        <f t="shared" si="1241"/>
        <v>41512</v>
      </c>
      <c r="B1591" s="17">
        <f t="shared" si="1247"/>
        <v>41500</v>
      </c>
      <c r="C1591" s="17" t="str">
        <f t="shared" si="1221"/>
        <v>4</v>
      </c>
      <c r="D1591" s="17">
        <f t="shared" si="1232"/>
        <v>40002</v>
      </c>
      <c r="E1591" s="17">
        <v>1</v>
      </c>
      <c r="F1591" s="17">
        <f t="shared" si="1223"/>
        <v>2</v>
      </c>
      <c r="G1591" s="17" t="str">
        <f t="shared" si="1242"/>
        <v>中级攻击百分比</v>
      </c>
      <c r="H1591" s="17" t="str">
        <f t="shared" si="1243"/>
        <v>icon_06</v>
      </c>
      <c r="I1591" s="20">
        <v>0</v>
      </c>
      <c r="J1591" s="17">
        <v>12</v>
      </c>
      <c r="K1591" s="17">
        <f t="shared" si="1240"/>
        <v>41513</v>
      </c>
      <c r="L1591" s="17" t="s">
        <v>414</v>
      </c>
      <c r="M1591" s="17" t="str">
        <f t="shared" si="1244"/>
        <v>1:11200:5</v>
      </c>
      <c r="N1591" s="16" t="str">
        <f t="shared" si="1222"/>
        <v>137:1</v>
      </c>
      <c r="O1591" s="17">
        <f t="shared" si="1225"/>
        <v>6</v>
      </c>
      <c r="P1591" s="21" t="str">
        <f t="shared" si="1205"/>
        <v>所有飞兵攻击百分比增加:1</v>
      </c>
      <c r="Q1591" s="21"/>
      <c r="R1591" t="str">
        <f t="shared" si="1245"/>
        <v>攻击百分比</v>
      </c>
      <c r="T1591" t="str">
        <f t="shared" si="1246"/>
        <v>:1</v>
      </c>
      <c r="U1591" t="str">
        <f t="shared" si="1214"/>
        <v>飞兵</v>
      </c>
      <c r="V1591" t="s">
        <v>4693</v>
      </c>
      <c r="W1591">
        <f>属性类型!G1591</f>
        <v>137</v>
      </c>
      <c r="X1591">
        <v>1</v>
      </c>
    </row>
    <row r="1592" customFormat="1" ht="16.5" spans="1:24">
      <c r="A1592" s="17">
        <f t="shared" si="1241"/>
        <v>41513</v>
      </c>
      <c r="B1592" s="17">
        <f t="shared" si="1247"/>
        <v>41500</v>
      </c>
      <c r="C1592" s="17" t="str">
        <f t="shared" si="1221"/>
        <v>4</v>
      </c>
      <c r="D1592" s="17">
        <f t="shared" si="1232"/>
        <v>40002</v>
      </c>
      <c r="E1592" s="17">
        <v>1</v>
      </c>
      <c r="F1592" s="17">
        <f t="shared" si="1223"/>
        <v>2</v>
      </c>
      <c r="G1592" s="17" t="str">
        <f t="shared" si="1242"/>
        <v>中级攻击百分比</v>
      </c>
      <c r="H1592" s="17" t="str">
        <f t="shared" si="1243"/>
        <v>icon_06</v>
      </c>
      <c r="I1592" s="20">
        <v>0</v>
      </c>
      <c r="J1592" s="17">
        <v>13</v>
      </c>
      <c r="K1592" s="17">
        <f t="shared" si="1240"/>
        <v>41514</v>
      </c>
      <c r="L1592" s="17" t="s">
        <v>418</v>
      </c>
      <c r="M1592" s="17" t="str">
        <f t="shared" si="1244"/>
        <v>1:11200:5</v>
      </c>
      <c r="N1592" s="16" t="str">
        <f t="shared" si="1222"/>
        <v>137:1</v>
      </c>
      <c r="O1592" s="17">
        <f t="shared" si="1225"/>
        <v>6</v>
      </c>
      <c r="P1592" s="21" t="str">
        <f t="shared" si="1205"/>
        <v>所有飞兵攻击百分比增加:1</v>
      </c>
      <c r="Q1592" s="21"/>
      <c r="R1592" t="str">
        <f t="shared" si="1245"/>
        <v>攻击百分比</v>
      </c>
      <c r="T1592" t="str">
        <f t="shared" si="1246"/>
        <v>:1</v>
      </c>
      <c r="U1592" t="str">
        <f t="shared" si="1214"/>
        <v>飞兵</v>
      </c>
      <c r="V1592" t="s">
        <v>4693</v>
      </c>
      <c r="W1592">
        <f>属性类型!G1592</f>
        <v>137</v>
      </c>
      <c r="X1592">
        <v>1</v>
      </c>
    </row>
    <row r="1593" customFormat="1" ht="16.5" spans="1:24">
      <c r="A1593" s="17">
        <f t="shared" si="1241"/>
        <v>41514</v>
      </c>
      <c r="B1593" s="17">
        <f t="shared" si="1247"/>
        <v>41500</v>
      </c>
      <c r="C1593" s="17" t="str">
        <f t="shared" si="1221"/>
        <v>4</v>
      </c>
      <c r="D1593" s="17">
        <f t="shared" si="1232"/>
        <v>40002</v>
      </c>
      <c r="E1593" s="17">
        <v>1</v>
      </c>
      <c r="F1593" s="17">
        <f t="shared" si="1223"/>
        <v>2</v>
      </c>
      <c r="G1593" s="17" t="str">
        <f t="shared" si="1242"/>
        <v>中级攻击百分比</v>
      </c>
      <c r="H1593" s="17" t="str">
        <f t="shared" si="1243"/>
        <v>icon_06</v>
      </c>
      <c r="I1593" s="20">
        <v>0</v>
      </c>
      <c r="J1593" s="17">
        <v>14</v>
      </c>
      <c r="K1593" s="17">
        <f t="shared" si="1240"/>
        <v>41515</v>
      </c>
      <c r="L1593" s="17" t="s">
        <v>422</v>
      </c>
      <c r="M1593" s="17" t="str">
        <f t="shared" si="1244"/>
        <v>1:11200:5</v>
      </c>
      <c r="N1593" s="16" t="str">
        <f t="shared" si="1222"/>
        <v>137:1</v>
      </c>
      <c r="O1593" s="17">
        <f t="shared" si="1225"/>
        <v>6</v>
      </c>
      <c r="P1593" s="21" t="str">
        <f>$S$1&amp;R1593&amp;$Q$1&amp;T1593</f>
        <v>所有飞兵攻击百分比增加:1</v>
      </c>
      <c r="Q1593" s="21"/>
      <c r="R1593" t="str">
        <f t="shared" si="1245"/>
        <v>攻击百分比</v>
      </c>
      <c r="T1593" t="str">
        <f t="shared" si="1246"/>
        <v>:1</v>
      </c>
      <c r="U1593" t="str">
        <f t="shared" si="1214"/>
        <v>飞兵</v>
      </c>
      <c r="V1593" t="s">
        <v>4693</v>
      </c>
      <c r="W1593">
        <f>属性类型!G1593</f>
        <v>137</v>
      </c>
      <c r="X1593">
        <v>1</v>
      </c>
    </row>
    <row r="1594" customFormat="1" ht="16.5" spans="1:24">
      <c r="A1594" s="17">
        <f t="shared" si="1241"/>
        <v>41515</v>
      </c>
      <c r="B1594" s="17">
        <f t="shared" si="1247"/>
        <v>41500</v>
      </c>
      <c r="C1594" s="17" t="str">
        <f t="shared" si="1221"/>
        <v>4</v>
      </c>
      <c r="D1594" s="17">
        <f t="shared" si="1232"/>
        <v>40002</v>
      </c>
      <c r="E1594" s="17">
        <v>1</v>
      </c>
      <c r="F1594" s="17">
        <f t="shared" si="1223"/>
        <v>2</v>
      </c>
      <c r="G1594" s="17" t="str">
        <f t="shared" si="1242"/>
        <v>中级攻击百分比</v>
      </c>
      <c r="H1594" s="17" t="str">
        <f t="shared" si="1243"/>
        <v>icon_06</v>
      </c>
      <c r="I1594" s="20">
        <v>0</v>
      </c>
      <c r="J1594" s="17">
        <v>15</v>
      </c>
      <c r="K1594" s="17">
        <v>0</v>
      </c>
      <c r="L1594" s="17">
        <v>0</v>
      </c>
      <c r="M1594" s="17" t="str">
        <f t="shared" si="1244"/>
        <v>1:11200:5</v>
      </c>
      <c r="N1594" s="16" t="str">
        <f t="shared" si="1222"/>
        <v>137:1</v>
      </c>
      <c r="O1594" s="17">
        <f t="shared" si="1225"/>
        <v>6</v>
      </c>
      <c r="P1594" s="21" t="str">
        <f>$S$1&amp;R1594&amp;$Q$1&amp;T1594</f>
        <v>所有飞兵攻击百分比增加:1</v>
      </c>
      <c r="Q1594" s="21"/>
      <c r="R1594" t="str">
        <f t="shared" si="1245"/>
        <v>攻击百分比</v>
      </c>
      <c r="T1594" t="str">
        <f t="shared" si="1246"/>
        <v>:1</v>
      </c>
      <c r="U1594" t="str">
        <f t="shared" si="1214"/>
        <v>飞兵</v>
      </c>
      <c r="V1594" t="s">
        <v>4693</v>
      </c>
      <c r="W1594">
        <f>属性类型!G1594</f>
        <v>137</v>
      </c>
      <c r="X1594">
        <v>1</v>
      </c>
    </row>
    <row r="1595" customFormat="1" ht="16.5" spans="1:24">
      <c r="A1595" s="18">
        <f>A1579+100</f>
        <v>41600</v>
      </c>
      <c r="B1595" s="18">
        <f t="shared" si="1247"/>
        <v>41600</v>
      </c>
      <c r="C1595" s="18" t="str">
        <f t="shared" si="1221"/>
        <v>4</v>
      </c>
      <c r="D1595" s="17">
        <f t="shared" si="1232"/>
        <v>40002</v>
      </c>
      <c r="E1595" s="17">
        <v>1</v>
      </c>
      <c r="F1595" s="18">
        <f t="shared" si="1223"/>
        <v>2</v>
      </c>
      <c r="G1595" s="18" t="s">
        <v>450</v>
      </c>
      <c r="H1595" s="18" t="s">
        <v>176</v>
      </c>
      <c r="I1595" s="20">
        <v>0</v>
      </c>
      <c r="J1595" s="18">
        <v>0</v>
      </c>
      <c r="K1595" s="18">
        <f t="shared" ref="K1595:K1609" si="1248">A1596</f>
        <v>41601</v>
      </c>
      <c r="L1595" s="18" t="s">
        <v>297</v>
      </c>
      <c r="M1595" s="18" t="s">
        <v>452</v>
      </c>
      <c r="N1595" s="16" t="str">
        <f t="shared" si="1222"/>
        <v>139:1</v>
      </c>
      <c r="O1595" s="18">
        <f t="shared" si="1225"/>
        <v>7</v>
      </c>
      <c r="P1595" s="21" t="str">
        <f>$S$1&amp;R1595&amp;$Q$1&amp;T1595</f>
        <v>所有飞兵魔防百分比增加1</v>
      </c>
      <c r="Q1595" s="21"/>
      <c r="R1595" t="s">
        <v>4282</v>
      </c>
      <c r="T1595" t="str">
        <f>RIGHT(N1595,1)</f>
        <v>1</v>
      </c>
      <c r="U1595" t="str">
        <f t="shared" si="1214"/>
        <v>飞兵</v>
      </c>
      <c r="V1595" t="s">
        <v>4694</v>
      </c>
      <c r="W1595">
        <f>属性类型!G1595</f>
        <v>139</v>
      </c>
      <c r="X1595">
        <v>1</v>
      </c>
    </row>
    <row r="1596" customFormat="1" ht="16.5" spans="1:24">
      <c r="A1596" s="17">
        <f t="shared" ref="A1596:A1610" si="1249">A1595+1</f>
        <v>41601</v>
      </c>
      <c r="B1596" s="17">
        <f t="shared" si="1247"/>
        <v>41600</v>
      </c>
      <c r="C1596" s="17" t="str">
        <f t="shared" si="1221"/>
        <v>4</v>
      </c>
      <c r="D1596" s="17">
        <f t="shared" si="1232"/>
        <v>40002</v>
      </c>
      <c r="E1596" s="17">
        <v>1</v>
      </c>
      <c r="F1596" s="17">
        <f t="shared" si="1223"/>
        <v>2</v>
      </c>
      <c r="G1596" s="17" t="str">
        <f t="shared" ref="G1596:G1610" si="1250">G1595</f>
        <v>中级魔防百分比</v>
      </c>
      <c r="H1596" s="17" t="str">
        <f t="shared" ref="H1596:H1610" si="1251">H1595</f>
        <v>icon_07</v>
      </c>
      <c r="I1596" s="20">
        <v>0</v>
      </c>
      <c r="J1596" s="17">
        <v>1</v>
      </c>
      <c r="K1596" s="17">
        <f t="shared" si="1248"/>
        <v>41602</v>
      </c>
      <c r="L1596" s="17" t="s">
        <v>300</v>
      </c>
      <c r="M1596" s="17" t="str">
        <f t="shared" ref="M1596:M1610" si="1252">M1595</f>
        <v>1:11300:5</v>
      </c>
      <c r="N1596" s="16" t="str">
        <f t="shared" si="1222"/>
        <v>139:1</v>
      </c>
      <c r="O1596" s="17">
        <f t="shared" si="1225"/>
        <v>7</v>
      </c>
      <c r="P1596" s="21" t="str">
        <f>$S$1&amp;R1596&amp;$Q$1&amp;T1596</f>
        <v>所有飞兵魔防百分比增加:1</v>
      </c>
      <c r="Q1596" s="21"/>
      <c r="R1596" t="str">
        <f t="shared" ref="R1596:R1610" si="1253">R1595</f>
        <v>魔防百分比</v>
      </c>
      <c r="T1596" t="str">
        <f t="shared" ref="T1596:T1610" si="1254">RIGHT(N1596,2)</f>
        <v>:1</v>
      </c>
      <c r="U1596" t="str">
        <f t="shared" si="1214"/>
        <v>飞兵</v>
      </c>
      <c r="V1596" t="s">
        <v>4694</v>
      </c>
      <c r="W1596">
        <f>属性类型!G1596</f>
        <v>139</v>
      </c>
      <c r="X1596">
        <v>1</v>
      </c>
    </row>
    <row r="1597" customFormat="1" ht="16.5" spans="1:24">
      <c r="A1597" s="17">
        <f t="shared" si="1249"/>
        <v>41602</v>
      </c>
      <c r="B1597" s="17">
        <f t="shared" si="1247"/>
        <v>41600</v>
      </c>
      <c r="C1597" s="17" t="str">
        <f t="shared" si="1221"/>
        <v>4</v>
      </c>
      <c r="D1597" s="17">
        <f t="shared" si="1232"/>
        <v>40002</v>
      </c>
      <c r="E1597" s="17">
        <v>1</v>
      </c>
      <c r="F1597" s="17">
        <f t="shared" si="1223"/>
        <v>2</v>
      </c>
      <c r="G1597" s="17" t="str">
        <f t="shared" si="1250"/>
        <v>中级魔防百分比</v>
      </c>
      <c r="H1597" s="17" t="str">
        <f t="shared" si="1251"/>
        <v>icon_07</v>
      </c>
      <c r="I1597" s="20">
        <v>0</v>
      </c>
      <c r="J1597" s="17">
        <v>2</v>
      </c>
      <c r="K1597" s="17">
        <f t="shared" si="1248"/>
        <v>41603</v>
      </c>
      <c r="L1597" s="17" t="s">
        <v>304</v>
      </c>
      <c r="M1597" s="17" t="str">
        <f t="shared" si="1252"/>
        <v>1:11300:5</v>
      </c>
      <c r="N1597" s="16" t="str">
        <f t="shared" si="1222"/>
        <v>139:1</v>
      </c>
      <c r="O1597" s="17">
        <f t="shared" si="1225"/>
        <v>7</v>
      </c>
      <c r="P1597" s="21" t="str">
        <f>$S$1&amp;R1597&amp;$Q$1&amp;T1597</f>
        <v>所有飞兵魔防百分比增加:1</v>
      </c>
      <c r="Q1597" s="21"/>
      <c r="R1597" t="str">
        <f t="shared" si="1253"/>
        <v>魔防百分比</v>
      </c>
      <c r="T1597" t="str">
        <f t="shared" si="1254"/>
        <v>:1</v>
      </c>
      <c r="U1597" t="str">
        <f t="shared" si="1214"/>
        <v>飞兵</v>
      </c>
      <c r="V1597" t="s">
        <v>4694</v>
      </c>
      <c r="W1597">
        <f>属性类型!G1597</f>
        <v>139</v>
      </c>
      <c r="X1597">
        <v>1</v>
      </c>
    </row>
    <row r="1598" customFormat="1" ht="16.5" spans="1:24">
      <c r="A1598" s="17">
        <f t="shared" si="1249"/>
        <v>41603</v>
      </c>
      <c r="B1598" s="17">
        <f t="shared" si="1247"/>
        <v>41600</v>
      </c>
      <c r="C1598" s="17" t="str">
        <f t="shared" si="1221"/>
        <v>4</v>
      </c>
      <c r="D1598" s="17">
        <f t="shared" si="1232"/>
        <v>40002</v>
      </c>
      <c r="E1598" s="17">
        <v>1</v>
      </c>
      <c r="F1598" s="17">
        <f t="shared" si="1223"/>
        <v>2</v>
      </c>
      <c r="G1598" s="17" t="str">
        <f t="shared" si="1250"/>
        <v>中级魔防百分比</v>
      </c>
      <c r="H1598" s="17" t="str">
        <f t="shared" si="1251"/>
        <v>icon_07</v>
      </c>
      <c r="I1598" s="20">
        <v>0</v>
      </c>
      <c r="J1598" s="17">
        <v>3</v>
      </c>
      <c r="K1598" s="17">
        <f t="shared" si="1248"/>
        <v>41604</v>
      </c>
      <c r="L1598" s="17" t="s">
        <v>307</v>
      </c>
      <c r="M1598" s="17" t="str">
        <f t="shared" si="1252"/>
        <v>1:11300:5</v>
      </c>
      <c r="N1598" s="16" t="str">
        <f t="shared" si="1222"/>
        <v>139:1</v>
      </c>
      <c r="O1598" s="17">
        <f t="shared" si="1225"/>
        <v>7</v>
      </c>
      <c r="P1598" s="21" t="str">
        <f>$S$1&amp;R1598&amp;$Q$1&amp;T1598</f>
        <v>所有飞兵魔防百分比增加:1</v>
      </c>
      <c r="Q1598" s="21"/>
      <c r="R1598" t="str">
        <f t="shared" si="1253"/>
        <v>魔防百分比</v>
      </c>
      <c r="T1598" t="str">
        <f t="shared" si="1254"/>
        <v>:1</v>
      </c>
      <c r="U1598" t="str">
        <f t="shared" si="1214"/>
        <v>飞兵</v>
      </c>
      <c r="V1598" t="s">
        <v>4694</v>
      </c>
      <c r="W1598">
        <f>属性类型!G1598</f>
        <v>139</v>
      </c>
      <c r="X1598">
        <v>1</v>
      </c>
    </row>
    <row r="1599" customFormat="1" ht="16.5" spans="1:24">
      <c r="A1599" s="17">
        <f t="shared" si="1249"/>
        <v>41604</v>
      </c>
      <c r="B1599" s="17">
        <f t="shared" si="1247"/>
        <v>41600</v>
      </c>
      <c r="C1599" s="17" t="str">
        <f t="shared" si="1221"/>
        <v>4</v>
      </c>
      <c r="D1599" s="17">
        <f t="shared" si="1232"/>
        <v>40002</v>
      </c>
      <c r="E1599" s="17">
        <v>1</v>
      </c>
      <c r="F1599" s="17">
        <f t="shared" si="1223"/>
        <v>2</v>
      </c>
      <c r="G1599" s="17" t="str">
        <f t="shared" si="1250"/>
        <v>中级魔防百分比</v>
      </c>
      <c r="H1599" s="17" t="str">
        <f t="shared" si="1251"/>
        <v>icon_07</v>
      </c>
      <c r="I1599" s="20">
        <v>0</v>
      </c>
      <c r="J1599" s="17">
        <v>4</v>
      </c>
      <c r="K1599" s="17">
        <f t="shared" si="1248"/>
        <v>41605</v>
      </c>
      <c r="L1599" s="17" t="s">
        <v>309</v>
      </c>
      <c r="M1599" s="17" t="str">
        <f t="shared" si="1252"/>
        <v>1:11300:5</v>
      </c>
      <c r="N1599" s="16" t="str">
        <f t="shared" si="1222"/>
        <v>139:1</v>
      </c>
      <c r="O1599" s="17">
        <f t="shared" si="1225"/>
        <v>7</v>
      </c>
      <c r="P1599" s="21" t="str">
        <f>$S$1&amp;R1599&amp;$Q$1&amp;T1599</f>
        <v>所有飞兵魔防百分比增加:1</v>
      </c>
      <c r="Q1599" s="21"/>
      <c r="R1599" t="str">
        <f t="shared" si="1253"/>
        <v>魔防百分比</v>
      </c>
      <c r="T1599" t="str">
        <f t="shared" si="1254"/>
        <v>:1</v>
      </c>
      <c r="U1599" t="str">
        <f t="shared" si="1214"/>
        <v>飞兵</v>
      </c>
      <c r="V1599" t="s">
        <v>4694</v>
      </c>
      <c r="W1599">
        <f>属性类型!G1599</f>
        <v>139</v>
      </c>
      <c r="X1599">
        <v>1</v>
      </c>
    </row>
    <row r="1600" customFormat="1" ht="16.5" spans="1:24">
      <c r="A1600" s="17">
        <f t="shared" si="1249"/>
        <v>41605</v>
      </c>
      <c r="B1600" s="17">
        <f t="shared" si="1247"/>
        <v>41600</v>
      </c>
      <c r="C1600" s="17" t="str">
        <f t="shared" si="1221"/>
        <v>4</v>
      </c>
      <c r="D1600" s="17">
        <f t="shared" si="1232"/>
        <v>40002</v>
      </c>
      <c r="E1600" s="17">
        <v>1</v>
      </c>
      <c r="F1600" s="17">
        <f t="shared" si="1223"/>
        <v>2</v>
      </c>
      <c r="G1600" s="17" t="str">
        <f t="shared" si="1250"/>
        <v>中级魔防百分比</v>
      </c>
      <c r="H1600" s="17" t="str">
        <f t="shared" si="1251"/>
        <v>icon_07</v>
      </c>
      <c r="I1600" s="20">
        <v>0</v>
      </c>
      <c r="J1600" s="17">
        <v>5</v>
      </c>
      <c r="K1600" s="17">
        <f t="shared" si="1248"/>
        <v>41606</v>
      </c>
      <c r="L1600" s="17" t="s">
        <v>312</v>
      </c>
      <c r="M1600" s="17" t="str">
        <f t="shared" si="1252"/>
        <v>1:11300:5</v>
      </c>
      <c r="N1600" s="16" t="str">
        <f t="shared" si="1222"/>
        <v>139:1</v>
      </c>
      <c r="O1600" s="17">
        <f t="shared" si="1225"/>
        <v>7</v>
      </c>
      <c r="P1600" s="21" t="str">
        <f>$S$1&amp;R1600&amp;$Q$1&amp;T1600</f>
        <v>所有飞兵魔防百分比增加:1</v>
      </c>
      <c r="Q1600" s="21"/>
      <c r="R1600" t="str">
        <f t="shared" si="1253"/>
        <v>魔防百分比</v>
      </c>
      <c r="T1600" t="str">
        <f t="shared" si="1254"/>
        <v>:1</v>
      </c>
      <c r="U1600" t="str">
        <f t="shared" si="1214"/>
        <v>飞兵</v>
      </c>
      <c r="V1600" t="s">
        <v>4694</v>
      </c>
      <c r="W1600">
        <f>属性类型!G1600</f>
        <v>139</v>
      </c>
      <c r="X1600">
        <v>1</v>
      </c>
    </row>
    <row r="1601" customFormat="1" ht="16.5" spans="1:24">
      <c r="A1601" s="17">
        <f t="shared" si="1249"/>
        <v>41606</v>
      </c>
      <c r="B1601" s="17">
        <f t="shared" si="1247"/>
        <v>41600</v>
      </c>
      <c r="C1601" s="17" t="str">
        <f t="shared" si="1221"/>
        <v>4</v>
      </c>
      <c r="D1601" s="17">
        <f t="shared" si="1232"/>
        <v>40002</v>
      </c>
      <c r="E1601" s="17">
        <v>1</v>
      </c>
      <c r="F1601" s="17">
        <f t="shared" si="1223"/>
        <v>2</v>
      </c>
      <c r="G1601" s="17" t="str">
        <f t="shared" si="1250"/>
        <v>中级魔防百分比</v>
      </c>
      <c r="H1601" s="17" t="str">
        <f t="shared" si="1251"/>
        <v>icon_07</v>
      </c>
      <c r="I1601" s="20">
        <v>0</v>
      </c>
      <c r="J1601" s="17">
        <v>6</v>
      </c>
      <c r="K1601" s="17">
        <f t="shared" si="1248"/>
        <v>41607</v>
      </c>
      <c r="L1601" s="17" t="s">
        <v>315</v>
      </c>
      <c r="M1601" s="17" t="str">
        <f t="shared" si="1252"/>
        <v>1:11300:5</v>
      </c>
      <c r="N1601" s="16" t="str">
        <f t="shared" si="1222"/>
        <v>139:1</v>
      </c>
      <c r="O1601" s="17">
        <f t="shared" si="1225"/>
        <v>7</v>
      </c>
      <c r="P1601" s="21" t="str">
        <f>$S$1&amp;R1601&amp;$Q$1&amp;T1601</f>
        <v>所有飞兵魔防百分比增加:1</v>
      </c>
      <c r="Q1601" s="21"/>
      <c r="R1601" t="str">
        <f t="shared" si="1253"/>
        <v>魔防百分比</v>
      </c>
      <c r="T1601" t="str">
        <f t="shared" si="1254"/>
        <v>:1</v>
      </c>
      <c r="U1601" t="str">
        <f t="shared" si="1214"/>
        <v>飞兵</v>
      </c>
      <c r="V1601" t="s">
        <v>4694</v>
      </c>
      <c r="W1601">
        <f>属性类型!G1601</f>
        <v>139</v>
      </c>
      <c r="X1601">
        <v>1</v>
      </c>
    </row>
    <row r="1602" customFormat="1" ht="16.5" spans="1:24">
      <c r="A1602" s="17">
        <f t="shared" si="1249"/>
        <v>41607</v>
      </c>
      <c r="B1602" s="17">
        <f t="shared" si="1247"/>
        <v>41600</v>
      </c>
      <c r="C1602" s="17" t="str">
        <f t="shared" si="1221"/>
        <v>4</v>
      </c>
      <c r="D1602" s="17">
        <f t="shared" si="1232"/>
        <v>40002</v>
      </c>
      <c r="E1602" s="17">
        <v>1</v>
      </c>
      <c r="F1602" s="17">
        <f t="shared" si="1223"/>
        <v>2</v>
      </c>
      <c r="G1602" s="17" t="str">
        <f t="shared" si="1250"/>
        <v>中级魔防百分比</v>
      </c>
      <c r="H1602" s="17" t="str">
        <f t="shared" si="1251"/>
        <v>icon_07</v>
      </c>
      <c r="I1602" s="20">
        <v>0</v>
      </c>
      <c r="J1602" s="17">
        <v>7</v>
      </c>
      <c r="K1602" s="17">
        <f t="shared" si="1248"/>
        <v>41608</v>
      </c>
      <c r="L1602" s="17" t="s">
        <v>317</v>
      </c>
      <c r="M1602" s="17" t="str">
        <f t="shared" si="1252"/>
        <v>1:11300:5</v>
      </c>
      <c r="N1602" s="16" t="str">
        <f t="shared" si="1222"/>
        <v>139:1</v>
      </c>
      <c r="O1602" s="17">
        <f t="shared" si="1225"/>
        <v>7</v>
      </c>
      <c r="P1602" s="21" t="str">
        <f>$S$1&amp;R1602&amp;$Q$1&amp;T1602</f>
        <v>所有飞兵魔防百分比增加:1</v>
      </c>
      <c r="Q1602" s="21"/>
      <c r="R1602" t="str">
        <f t="shared" si="1253"/>
        <v>魔防百分比</v>
      </c>
      <c r="T1602" t="str">
        <f t="shared" si="1254"/>
        <v>:1</v>
      </c>
      <c r="U1602" t="str">
        <f t="shared" si="1214"/>
        <v>飞兵</v>
      </c>
      <c r="V1602" t="s">
        <v>4694</v>
      </c>
      <c r="W1602">
        <f>属性类型!G1602</f>
        <v>139</v>
      </c>
      <c r="X1602">
        <v>1</v>
      </c>
    </row>
    <row r="1603" customFormat="1" ht="16.5" spans="1:24">
      <c r="A1603" s="17">
        <f t="shared" si="1249"/>
        <v>41608</v>
      </c>
      <c r="B1603" s="17">
        <f t="shared" si="1247"/>
        <v>41600</v>
      </c>
      <c r="C1603" s="17" t="str">
        <f t="shared" si="1221"/>
        <v>4</v>
      </c>
      <c r="D1603" s="17">
        <f t="shared" si="1232"/>
        <v>40002</v>
      </c>
      <c r="E1603" s="17">
        <v>1</v>
      </c>
      <c r="F1603" s="17">
        <f t="shared" si="1223"/>
        <v>2</v>
      </c>
      <c r="G1603" s="17" t="str">
        <f t="shared" si="1250"/>
        <v>中级魔防百分比</v>
      </c>
      <c r="H1603" s="17" t="str">
        <f t="shared" si="1251"/>
        <v>icon_07</v>
      </c>
      <c r="I1603" s="20">
        <v>0</v>
      </c>
      <c r="J1603" s="17">
        <v>8</v>
      </c>
      <c r="K1603" s="17">
        <f t="shared" si="1248"/>
        <v>41609</v>
      </c>
      <c r="L1603" s="17" t="s">
        <v>320</v>
      </c>
      <c r="M1603" s="17" t="str">
        <f t="shared" si="1252"/>
        <v>1:11300:5</v>
      </c>
      <c r="N1603" s="16" t="str">
        <f t="shared" si="1222"/>
        <v>139:1</v>
      </c>
      <c r="O1603" s="17">
        <f t="shared" si="1225"/>
        <v>7</v>
      </c>
      <c r="P1603" s="21" t="str">
        <f>$S$1&amp;R1603&amp;$Q$1&amp;T1603</f>
        <v>所有飞兵魔防百分比增加:1</v>
      </c>
      <c r="Q1603" s="21"/>
      <c r="R1603" t="str">
        <f t="shared" si="1253"/>
        <v>魔防百分比</v>
      </c>
      <c r="T1603" t="str">
        <f t="shared" si="1254"/>
        <v>:1</v>
      </c>
      <c r="U1603" t="str">
        <f t="shared" si="1214"/>
        <v>飞兵</v>
      </c>
      <c r="V1603" t="s">
        <v>4694</v>
      </c>
      <c r="W1603">
        <f>属性类型!G1603</f>
        <v>139</v>
      </c>
      <c r="X1603">
        <v>1</v>
      </c>
    </row>
    <row r="1604" customFormat="1" ht="16.5" spans="1:24">
      <c r="A1604" s="17">
        <f t="shared" si="1249"/>
        <v>41609</v>
      </c>
      <c r="B1604" s="17">
        <f t="shared" si="1247"/>
        <v>41600</v>
      </c>
      <c r="C1604" s="17" t="str">
        <f t="shared" si="1221"/>
        <v>4</v>
      </c>
      <c r="D1604" s="17">
        <f t="shared" si="1232"/>
        <v>40002</v>
      </c>
      <c r="E1604" s="17">
        <v>1</v>
      </c>
      <c r="F1604" s="17">
        <f t="shared" si="1223"/>
        <v>2</v>
      </c>
      <c r="G1604" s="17" t="str">
        <f t="shared" si="1250"/>
        <v>中级魔防百分比</v>
      </c>
      <c r="H1604" s="17" t="str">
        <f t="shared" si="1251"/>
        <v>icon_07</v>
      </c>
      <c r="I1604" s="20">
        <v>0</v>
      </c>
      <c r="J1604" s="17">
        <v>9</v>
      </c>
      <c r="K1604" s="17">
        <f t="shared" si="1248"/>
        <v>41610</v>
      </c>
      <c r="L1604" s="17" t="s">
        <v>323</v>
      </c>
      <c r="M1604" s="17" t="str">
        <f t="shared" si="1252"/>
        <v>1:11300:5</v>
      </c>
      <c r="N1604" s="16" t="str">
        <f t="shared" si="1222"/>
        <v>139:1</v>
      </c>
      <c r="O1604" s="17">
        <f t="shared" si="1225"/>
        <v>7</v>
      </c>
      <c r="P1604" s="21" t="str">
        <f>$S$1&amp;R1604&amp;$Q$1&amp;T1604</f>
        <v>所有飞兵魔防百分比增加:1</v>
      </c>
      <c r="Q1604" s="21"/>
      <c r="R1604" t="str">
        <f t="shared" si="1253"/>
        <v>魔防百分比</v>
      </c>
      <c r="T1604" t="str">
        <f t="shared" si="1254"/>
        <v>:1</v>
      </c>
      <c r="U1604" t="str">
        <f t="shared" si="1214"/>
        <v>飞兵</v>
      </c>
      <c r="V1604" t="s">
        <v>4694</v>
      </c>
      <c r="W1604">
        <f>属性类型!G1604</f>
        <v>139</v>
      </c>
      <c r="X1604">
        <v>1</v>
      </c>
    </row>
    <row r="1605" customFormat="1" ht="16.5" spans="1:24">
      <c r="A1605" s="17">
        <f t="shared" si="1249"/>
        <v>41610</v>
      </c>
      <c r="B1605" s="17">
        <f t="shared" si="1247"/>
        <v>41600</v>
      </c>
      <c r="C1605" s="17" t="str">
        <f t="shared" si="1221"/>
        <v>4</v>
      </c>
      <c r="D1605" s="17">
        <f t="shared" si="1232"/>
        <v>40002</v>
      </c>
      <c r="E1605" s="17">
        <v>1</v>
      </c>
      <c r="F1605" s="17">
        <f t="shared" si="1223"/>
        <v>2</v>
      </c>
      <c r="G1605" s="17" t="str">
        <f t="shared" si="1250"/>
        <v>中级魔防百分比</v>
      </c>
      <c r="H1605" s="17" t="str">
        <f t="shared" si="1251"/>
        <v>icon_07</v>
      </c>
      <c r="I1605" s="20">
        <v>0</v>
      </c>
      <c r="J1605" s="17">
        <v>10</v>
      </c>
      <c r="K1605" s="17">
        <f t="shared" si="1248"/>
        <v>41611</v>
      </c>
      <c r="L1605" s="17" t="s">
        <v>407</v>
      </c>
      <c r="M1605" s="17" t="str">
        <f t="shared" si="1252"/>
        <v>1:11300:5</v>
      </c>
      <c r="N1605" s="16" t="str">
        <f t="shared" si="1222"/>
        <v>139:1</v>
      </c>
      <c r="O1605" s="17">
        <f t="shared" si="1225"/>
        <v>7</v>
      </c>
      <c r="P1605" s="21" t="str">
        <f>$S$1&amp;R1605&amp;$Q$1&amp;T1605</f>
        <v>所有飞兵魔防百分比增加:1</v>
      </c>
      <c r="Q1605" s="21"/>
      <c r="R1605" t="str">
        <f t="shared" si="1253"/>
        <v>魔防百分比</v>
      </c>
      <c r="T1605" t="str">
        <f t="shared" si="1254"/>
        <v>:1</v>
      </c>
      <c r="U1605" t="str">
        <f t="shared" ref="U1605:U1668" si="1255">MID(P1605,3,2)</f>
        <v>飞兵</v>
      </c>
      <c r="V1605" t="s">
        <v>4694</v>
      </c>
      <c r="W1605">
        <f>属性类型!G1605</f>
        <v>139</v>
      </c>
      <c r="X1605">
        <v>1</v>
      </c>
    </row>
    <row r="1606" customFormat="1" ht="16.5" spans="1:24">
      <c r="A1606" s="17">
        <f t="shared" si="1249"/>
        <v>41611</v>
      </c>
      <c r="B1606" s="17">
        <f t="shared" si="1247"/>
        <v>41600</v>
      </c>
      <c r="C1606" s="17" t="str">
        <f t="shared" si="1221"/>
        <v>4</v>
      </c>
      <c r="D1606" s="17">
        <f t="shared" si="1232"/>
        <v>40002</v>
      </c>
      <c r="E1606" s="17">
        <v>1</v>
      </c>
      <c r="F1606" s="17">
        <f t="shared" si="1223"/>
        <v>2</v>
      </c>
      <c r="G1606" s="17" t="str">
        <f t="shared" si="1250"/>
        <v>中级魔防百分比</v>
      </c>
      <c r="H1606" s="17" t="str">
        <f t="shared" si="1251"/>
        <v>icon_07</v>
      </c>
      <c r="I1606" s="20">
        <v>0</v>
      </c>
      <c r="J1606" s="17">
        <v>11</v>
      </c>
      <c r="K1606" s="17">
        <f t="shared" si="1248"/>
        <v>41612</v>
      </c>
      <c r="L1606" s="17" t="s">
        <v>410</v>
      </c>
      <c r="M1606" s="17" t="str">
        <f t="shared" si="1252"/>
        <v>1:11300:5</v>
      </c>
      <c r="N1606" s="16" t="str">
        <f t="shared" si="1222"/>
        <v>139:1</v>
      </c>
      <c r="O1606" s="17">
        <f t="shared" si="1225"/>
        <v>7</v>
      </c>
      <c r="P1606" s="21" t="str">
        <f>$S$1&amp;R1606&amp;$Q$1&amp;T1606</f>
        <v>所有飞兵魔防百分比增加:1</v>
      </c>
      <c r="Q1606" s="21"/>
      <c r="R1606" t="str">
        <f t="shared" si="1253"/>
        <v>魔防百分比</v>
      </c>
      <c r="T1606" t="str">
        <f t="shared" si="1254"/>
        <v>:1</v>
      </c>
      <c r="U1606" t="str">
        <f t="shared" si="1255"/>
        <v>飞兵</v>
      </c>
      <c r="V1606" t="s">
        <v>4694</v>
      </c>
      <c r="W1606">
        <f>属性类型!G1606</f>
        <v>139</v>
      </c>
      <c r="X1606">
        <v>1</v>
      </c>
    </row>
    <row r="1607" customFormat="1" ht="16.5" spans="1:24">
      <c r="A1607" s="17">
        <f t="shared" si="1249"/>
        <v>41612</v>
      </c>
      <c r="B1607" s="17">
        <f t="shared" si="1247"/>
        <v>41600</v>
      </c>
      <c r="C1607" s="17" t="str">
        <f t="shared" si="1221"/>
        <v>4</v>
      </c>
      <c r="D1607" s="17">
        <f t="shared" si="1232"/>
        <v>40002</v>
      </c>
      <c r="E1607" s="17">
        <v>1</v>
      </c>
      <c r="F1607" s="17">
        <f t="shared" si="1223"/>
        <v>2</v>
      </c>
      <c r="G1607" s="17" t="str">
        <f t="shared" si="1250"/>
        <v>中级魔防百分比</v>
      </c>
      <c r="H1607" s="17" t="str">
        <f t="shared" si="1251"/>
        <v>icon_07</v>
      </c>
      <c r="I1607" s="20">
        <v>0</v>
      </c>
      <c r="J1607" s="17">
        <v>12</v>
      </c>
      <c r="K1607" s="17">
        <f t="shared" si="1248"/>
        <v>41613</v>
      </c>
      <c r="L1607" s="17" t="s">
        <v>414</v>
      </c>
      <c r="M1607" s="17" t="str">
        <f t="shared" si="1252"/>
        <v>1:11300:5</v>
      </c>
      <c r="N1607" s="16" t="str">
        <f t="shared" si="1222"/>
        <v>139:1</v>
      </c>
      <c r="O1607" s="17">
        <f t="shared" si="1225"/>
        <v>7</v>
      </c>
      <c r="P1607" s="21" t="str">
        <f>$S$1&amp;R1607&amp;$Q$1&amp;T1607</f>
        <v>所有飞兵魔防百分比增加:1</v>
      </c>
      <c r="Q1607" s="21"/>
      <c r="R1607" t="str">
        <f t="shared" si="1253"/>
        <v>魔防百分比</v>
      </c>
      <c r="T1607" t="str">
        <f t="shared" si="1254"/>
        <v>:1</v>
      </c>
      <c r="U1607" t="str">
        <f t="shared" si="1255"/>
        <v>飞兵</v>
      </c>
      <c r="V1607" t="s">
        <v>4694</v>
      </c>
      <c r="W1607">
        <f>属性类型!G1607</f>
        <v>139</v>
      </c>
      <c r="X1607">
        <v>1</v>
      </c>
    </row>
    <row r="1608" customFormat="1" ht="16.5" spans="1:24">
      <c r="A1608" s="17">
        <f t="shared" si="1249"/>
        <v>41613</v>
      </c>
      <c r="B1608" s="17">
        <f t="shared" si="1247"/>
        <v>41600</v>
      </c>
      <c r="C1608" s="17" t="str">
        <f t="shared" ref="C1608:C1652" si="1256">LEFT(A1608,1)</f>
        <v>4</v>
      </c>
      <c r="D1608" s="17">
        <f t="shared" si="1232"/>
        <v>40002</v>
      </c>
      <c r="E1608" s="17">
        <v>1</v>
      </c>
      <c r="F1608" s="17">
        <f t="shared" si="1223"/>
        <v>2</v>
      </c>
      <c r="G1608" s="17" t="str">
        <f t="shared" si="1250"/>
        <v>中级魔防百分比</v>
      </c>
      <c r="H1608" s="17" t="str">
        <f t="shared" si="1251"/>
        <v>icon_07</v>
      </c>
      <c r="I1608" s="20">
        <v>0</v>
      </c>
      <c r="J1608" s="17">
        <v>13</v>
      </c>
      <c r="K1608" s="17">
        <f t="shared" si="1248"/>
        <v>41614</v>
      </c>
      <c r="L1608" s="17" t="s">
        <v>418</v>
      </c>
      <c r="M1608" s="17" t="str">
        <f t="shared" si="1252"/>
        <v>1:11300:5</v>
      </c>
      <c r="N1608" s="16" t="str">
        <f t="shared" si="1222"/>
        <v>139:1</v>
      </c>
      <c r="O1608" s="17">
        <f t="shared" si="1225"/>
        <v>7</v>
      </c>
      <c r="P1608" s="21" t="str">
        <f>$S$1&amp;R1608&amp;$Q$1&amp;T1608</f>
        <v>所有飞兵魔防百分比增加:1</v>
      </c>
      <c r="Q1608" s="21"/>
      <c r="R1608" t="str">
        <f t="shared" si="1253"/>
        <v>魔防百分比</v>
      </c>
      <c r="T1608" t="str">
        <f t="shared" si="1254"/>
        <v>:1</v>
      </c>
      <c r="U1608" t="str">
        <f t="shared" si="1255"/>
        <v>飞兵</v>
      </c>
      <c r="V1608" t="s">
        <v>4694</v>
      </c>
      <c r="W1608">
        <f>属性类型!G1608</f>
        <v>139</v>
      </c>
      <c r="X1608">
        <v>1</v>
      </c>
    </row>
    <row r="1609" customFormat="1" ht="16.5" spans="1:24">
      <c r="A1609" s="17">
        <f t="shared" si="1249"/>
        <v>41614</v>
      </c>
      <c r="B1609" s="17">
        <f t="shared" si="1247"/>
        <v>41600</v>
      </c>
      <c r="C1609" s="17" t="str">
        <f t="shared" si="1256"/>
        <v>4</v>
      </c>
      <c r="D1609" s="17">
        <f t="shared" si="1232"/>
        <v>40002</v>
      </c>
      <c r="E1609" s="17">
        <v>1</v>
      </c>
      <c r="F1609" s="17">
        <f t="shared" si="1223"/>
        <v>2</v>
      </c>
      <c r="G1609" s="17" t="str">
        <f t="shared" si="1250"/>
        <v>中级魔防百分比</v>
      </c>
      <c r="H1609" s="17" t="str">
        <f t="shared" si="1251"/>
        <v>icon_07</v>
      </c>
      <c r="I1609" s="20">
        <v>0</v>
      </c>
      <c r="J1609" s="17">
        <v>14</v>
      </c>
      <c r="K1609" s="17">
        <f t="shared" si="1248"/>
        <v>41615</v>
      </c>
      <c r="L1609" s="17" t="s">
        <v>422</v>
      </c>
      <c r="M1609" s="17" t="str">
        <f t="shared" si="1252"/>
        <v>1:11300:5</v>
      </c>
      <c r="N1609" s="16" t="str">
        <f t="shared" si="1222"/>
        <v>139:1</v>
      </c>
      <c r="O1609" s="17">
        <f t="shared" si="1225"/>
        <v>7</v>
      </c>
      <c r="P1609" s="21" t="str">
        <f>$S$1&amp;R1609&amp;$Q$1&amp;T1609</f>
        <v>所有飞兵魔防百分比增加:1</v>
      </c>
      <c r="Q1609" s="21"/>
      <c r="R1609" t="str">
        <f t="shared" si="1253"/>
        <v>魔防百分比</v>
      </c>
      <c r="T1609" t="str">
        <f t="shared" si="1254"/>
        <v>:1</v>
      </c>
      <c r="U1609" t="str">
        <f t="shared" si="1255"/>
        <v>飞兵</v>
      </c>
      <c r="V1609" t="s">
        <v>4694</v>
      </c>
      <c r="W1609">
        <f>属性类型!G1609</f>
        <v>139</v>
      </c>
      <c r="X1609">
        <v>1</v>
      </c>
    </row>
    <row r="1610" customFormat="1" ht="16.5" spans="1:24">
      <c r="A1610" s="17">
        <f t="shared" si="1249"/>
        <v>41615</v>
      </c>
      <c r="B1610" s="17">
        <f t="shared" si="1247"/>
        <v>41600</v>
      </c>
      <c r="C1610" s="17" t="str">
        <f t="shared" si="1256"/>
        <v>4</v>
      </c>
      <c r="D1610" s="17">
        <f t="shared" si="1232"/>
        <v>40002</v>
      </c>
      <c r="E1610" s="17">
        <v>1</v>
      </c>
      <c r="F1610" s="17">
        <f t="shared" si="1223"/>
        <v>2</v>
      </c>
      <c r="G1610" s="17" t="str">
        <f t="shared" si="1250"/>
        <v>中级魔防百分比</v>
      </c>
      <c r="H1610" s="17" t="str">
        <f t="shared" si="1251"/>
        <v>icon_07</v>
      </c>
      <c r="I1610" s="20">
        <v>0</v>
      </c>
      <c r="J1610" s="17">
        <v>15</v>
      </c>
      <c r="K1610" s="17">
        <v>0</v>
      </c>
      <c r="L1610" s="17">
        <v>0</v>
      </c>
      <c r="M1610" s="17" t="str">
        <f t="shared" si="1252"/>
        <v>1:11300:5</v>
      </c>
      <c r="N1610" s="16" t="str">
        <f t="shared" si="1222"/>
        <v>139:1</v>
      </c>
      <c r="O1610" s="17">
        <f t="shared" si="1225"/>
        <v>7</v>
      </c>
      <c r="P1610" s="21" t="str">
        <f>$S$1&amp;R1610&amp;$Q$1&amp;T1610</f>
        <v>所有飞兵魔防百分比增加:1</v>
      </c>
      <c r="Q1610" s="21"/>
      <c r="R1610" t="str">
        <f t="shared" si="1253"/>
        <v>魔防百分比</v>
      </c>
      <c r="T1610" t="str">
        <f t="shared" si="1254"/>
        <v>:1</v>
      </c>
      <c r="U1610" t="str">
        <f t="shared" si="1255"/>
        <v>飞兵</v>
      </c>
      <c r="V1610" t="s">
        <v>4694</v>
      </c>
      <c r="W1610">
        <f>属性类型!G1610</f>
        <v>139</v>
      </c>
      <c r="X1610">
        <v>1</v>
      </c>
    </row>
    <row r="1611" customFormat="1" ht="16.5" spans="1:24">
      <c r="A1611" s="18">
        <f>A1595+100</f>
        <v>41700</v>
      </c>
      <c r="B1611" s="18">
        <f t="shared" si="1247"/>
        <v>41700</v>
      </c>
      <c r="C1611" s="18" t="str">
        <f t="shared" si="1256"/>
        <v>4</v>
      </c>
      <c r="D1611" s="17">
        <f t="shared" si="1232"/>
        <v>40002</v>
      </c>
      <c r="E1611" s="17">
        <v>2</v>
      </c>
      <c r="F1611" s="18">
        <f t="shared" si="1223"/>
        <v>2</v>
      </c>
      <c r="G1611" s="18" t="s">
        <v>4760</v>
      </c>
      <c r="H1611" s="18" t="s">
        <v>2361</v>
      </c>
      <c r="I1611" s="20">
        <v>1.2</v>
      </c>
      <c r="J1611" s="18">
        <v>0</v>
      </c>
      <c r="K1611" s="18">
        <f t="shared" ref="K1611:K1630" si="1257">A1612</f>
        <v>41701</v>
      </c>
      <c r="L1611" s="18" t="s">
        <v>206</v>
      </c>
      <c r="M1611" s="18" t="s">
        <v>474</v>
      </c>
      <c r="N1611" s="16" t="str">
        <f t="shared" ref="N1611:N1674" si="1258">W1611&amp;$W$2&amp;X1611</f>
        <v>10034:1</v>
      </c>
      <c r="O1611" s="18">
        <f t="shared" si="1225"/>
        <v>8</v>
      </c>
      <c r="P1611" s="21" t="s">
        <v>4761</v>
      </c>
      <c r="Q1611" s="21"/>
      <c r="R1611" t="s">
        <v>4762</v>
      </c>
      <c r="T1611" t="str">
        <f>RIGHT(N1611,1)</f>
        <v>1</v>
      </c>
      <c r="U1611" t="str">
        <f t="shared" si="1255"/>
        <v>骑士</v>
      </c>
      <c r="V1611" t="s">
        <v>4760</v>
      </c>
      <c r="W1611">
        <f>属性类型!G1611</f>
        <v>10034</v>
      </c>
      <c r="X1611">
        <v>1</v>
      </c>
    </row>
    <row r="1612" customFormat="1" ht="16.5" spans="1:24">
      <c r="A1612" s="17">
        <f t="shared" ref="A1612:A1631" si="1259">A1611+1</f>
        <v>41701</v>
      </c>
      <c r="B1612" s="17">
        <f t="shared" si="1247"/>
        <v>41700</v>
      </c>
      <c r="C1612" s="17" t="str">
        <f t="shared" si="1256"/>
        <v>4</v>
      </c>
      <c r="D1612" s="17">
        <f t="shared" si="1232"/>
        <v>40002</v>
      </c>
      <c r="E1612" s="17">
        <v>2</v>
      </c>
      <c r="F1612" s="17">
        <f t="shared" si="1223"/>
        <v>2</v>
      </c>
      <c r="G1612" s="17" t="str">
        <f t="shared" ref="G1612:G1631" si="1260">G1611</f>
        <v>飞龙骑士防御百分比</v>
      </c>
      <c r="H1612" s="17" t="str">
        <f t="shared" ref="H1612:H1631" si="1261">H1611</f>
        <v>feibing02_Lv3</v>
      </c>
      <c r="I1612" s="20">
        <f t="shared" ref="I1612:I1631" si="1262">I1611</f>
        <v>1.2</v>
      </c>
      <c r="J1612" s="17">
        <v>1</v>
      </c>
      <c r="K1612" s="17">
        <f t="shared" si="1257"/>
        <v>41702</v>
      </c>
      <c r="L1612" s="17" t="s">
        <v>211</v>
      </c>
      <c r="M1612" s="17" t="str">
        <f t="shared" ref="M1612:M1631" si="1263">M1611</f>
        <v>1:11400:5</v>
      </c>
      <c r="N1612" s="16" t="str">
        <f t="shared" si="1258"/>
        <v>10034:1</v>
      </c>
      <c r="O1612" s="17">
        <f t="shared" si="1225"/>
        <v>8</v>
      </c>
      <c r="P1612" s="21" t="s">
        <v>4763</v>
      </c>
      <c r="Q1612" s="21"/>
      <c r="R1612" t="s">
        <v>4762</v>
      </c>
      <c r="T1612" t="str">
        <f t="shared" ref="T1612:T1631" si="1264">RIGHT(N1612,2)</f>
        <v>:1</v>
      </c>
      <c r="U1612" t="str">
        <f t="shared" si="1255"/>
        <v>骑士</v>
      </c>
      <c r="V1612" t="s">
        <v>4760</v>
      </c>
      <c r="W1612">
        <f>属性类型!G1612</f>
        <v>10034</v>
      </c>
      <c r="X1612">
        <v>1</v>
      </c>
    </row>
    <row r="1613" customFormat="1" ht="16.5" spans="1:24">
      <c r="A1613" s="17">
        <f t="shared" si="1259"/>
        <v>41702</v>
      </c>
      <c r="B1613" s="17">
        <f t="shared" si="1247"/>
        <v>41700</v>
      </c>
      <c r="C1613" s="17" t="str">
        <f t="shared" si="1256"/>
        <v>4</v>
      </c>
      <c r="D1613" s="17">
        <f t="shared" si="1232"/>
        <v>40002</v>
      </c>
      <c r="E1613" s="17">
        <v>2</v>
      </c>
      <c r="F1613" s="17">
        <f t="shared" si="1223"/>
        <v>2</v>
      </c>
      <c r="G1613" s="17" t="str">
        <f t="shared" si="1260"/>
        <v>飞龙骑士防御百分比</v>
      </c>
      <c r="H1613" s="17" t="str">
        <f t="shared" si="1261"/>
        <v>feibing02_Lv3</v>
      </c>
      <c r="I1613" s="20">
        <f t="shared" si="1262"/>
        <v>1.2</v>
      </c>
      <c r="J1613" s="17">
        <v>2</v>
      </c>
      <c r="K1613" s="17">
        <f t="shared" si="1257"/>
        <v>41703</v>
      </c>
      <c r="L1613" s="17" t="s">
        <v>215</v>
      </c>
      <c r="M1613" s="17" t="str">
        <f t="shared" si="1263"/>
        <v>1:11400:5</v>
      </c>
      <c r="N1613" s="16" t="str">
        <f t="shared" si="1258"/>
        <v>10034:1</v>
      </c>
      <c r="O1613" s="17">
        <f t="shared" si="1225"/>
        <v>8</v>
      </c>
      <c r="P1613" s="21" t="s">
        <v>4764</v>
      </c>
      <c r="Q1613" s="21"/>
      <c r="R1613" t="s">
        <v>4762</v>
      </c>
      <c r="T1613" t="str">
        <f t="shared" si="1264"/>
        <v>:1</v>
      </c>
      <c r="U1613" t="str">
        <f t="shared" si="1255"/>
        <v>骑士</v>
      </c>
      <c r="V1613" t="s">
        <v>4760</v>
      </c>
      <c r="W1613">
        <f>属性类型!G1613</f>
        <v>10034</v>
      </c>
      <c r="X1613">
        <v>1</v>
      </c>
    </row>
    <row r="1614" customFormat="1" ht="16.5" spans="1:24">
      <c r="A1614" s="17">
        <f t="shared" si="1259"/>
        <v>41703</v>
      </c>
      <c r="B1614" s="17">
        <f t="shared" si="1247"/>
        <v>41700</v>
      </c>
      <c r="C1614" s="17" t="str">
        <f t="shared" si="1256"/>
        <v>4</v>
      </c>
      <c r="D1614" s="17">
        <f t="shared" si="1232"/>
        <v>40002</v>
      </c>
      <c r="E1614" s="17">
        <v>2</v>
      </c>
      <c r="F1614" s="17">
        <f t="shared" si="1223"/>
        <v>2</v>
      </c>
      <c r="G1614" s="17" t="str">
        <f t="shared" si="1260"/>
        <v>飞龙骑士防御百分比</v>
      </c>
      <c r="H1614" s="17" t="str">
        <f t="shared" si="1261"/>
        <v>feibing02_Lv3</v>
      </c>
      <c r="I1614" s="20">
        <f t="shared" si="1262"/>
        <v>1.2</v>
      </c>
      <c r="J1614" s="17">
        <v>3</v>
      </c>
      <c r="K1614" s="17">
        <f t="shared" si="1257"/>
        <v>41704</v>
      </c>
      <c r="L1614" s="17" t="s">
        <v>218</v>
      </c>
      <c r="M1614" s="17" t="str">
        <f t="shared" si="1263"/>
        <v>1:11400:5</v>
      </c>
      <c r="N1614" s="16" t="str">
        <f t="shared" si="1258"/>
        <v>10034:1</v>
      </c>
      <c r="O1614" s="17">
        <f t="shared" si="1225"/>
        <v>8</v>
      </c>
      <c r="P1614" s="21" t="s">
        <v>4765</v>
      </c>
      <c r="Q1614" s="21"/>
      <c r="R1614" t="s">
        <v>4762</v>
      </c>
      <c r="T1614" t="str">
        <f t="shared" si="1264"/>
        <v>:1</v>
      </c>
      <c r="U1614" t="str">
        <f t="shared" si="1255"/>
        <v>骑士</v>
      </c>
      <c r="V1614" t="s">
        <v>4760</v>
      </c>
      <c r="W1614">
        <f>属性类型!G1614</f>
        <v>10034</v>
      </c>
      <c r="X1614">
        <v>1</v>
      </c>
    </row>
    <row r="1615" customFormat="1" ht="16.5" spans="1:24">
      <c r="A1615" s="17">
        <f t="shared" si="1259"/>
        <v>41704</v>
      </c>
      <c r="B1615" s="17">
        <f t="shared" si="1247"/>
        <v>41700</v>
      </c>
      <c r="C1615" s="17" t="str">
        <f t="shared" si="1256"/>
        <v>4</v>
      </c>
      <c r="D1615" s="17">
        <f t="shared" si="1232"/>
        <v>40002</v>
      </c>
      <c r="E1615" s="17">
        <v>2</v>
      </c>
      <c r="F1615" s="17">
        <f t="shared" si="1223"/>
        <v>2</v>
      </c>
      <c r="G1615" s="17" t="str">
        <f t="shared" si="1260"/>
        <v>飞龙骑士防御百分比</v>
      </c>
      <c r="H1615" s="17" t="str">
        <f t="shared" si="1261"/>
        <v>feibing02_Lv3</v>
      </c>
      <c r="I1615" s="20">
        <f t="shared" si="1262"/>
        <v>1.2</v>
      </c>
      <c r="J1615" s="17">
        <v>4</v>
      </c>
      <c r="K1615" s="17">
        <f t="shared" si="1257"/>
        <v>41705</v>
      </c>
      <c r="L1615" s="17" t="s">
        <v>221</v>
      </c>
      <c r="M1615" s="17" t="str">
        <f t="shared" si="1263"/>
        <v>1:11400:5</v>
      </c>
      <c r="N1615" s="16" t="str">
        <f t="shared" si="1258"/>
        <v>10034:1</v>
      </c>
      <c r="O1615" s="17">
        <f t="shared" si="1225"/>
        <v>8</v>
      </c>
      <c r="P1615" s="21" t="s">
        <v>4766</v>
      </c>
      <c r="Q1615" s="21"/>
      <c r="R1615" t="s">
        <v>4762</v>
      </c>
      <c r="T1615" t="str">
        <f t="shared" si="1264"/>
        <v>:1</v>
      </c>
      <c r="U1615" t="str">
        <f t="shared" si="1255"/>
        <v>骑士</v>
      </c>
      <c r="V1615" t="s">
        <v>4760</v>
      </c>
      <c r="W1615">
        <f>属性类型!G1615</f>
        <v>10034</v>
      </c>
      <c r="X1615">
        <v>1</v>
      </c>
    </row>
    <row r="1616" customFormat="1" ht="16.5" spans="1:24">
      <c r="A1616" s="17">
        <f t="shared" si="1259"/>
        <v>41705</v>
      </c>
      <c r="B1616" s="17">
        <f t="shared" si="1247"/>
        <v>41700</v>
      </c>
      <c r="C1616" s="17" t="str">
        <f t="shared" si="1256"/>
        <v>4</v>
      </c>
      <c r="D1616" s="17">
        <f t="shared" si="1232"/>
        <v>40002</v>
      </c>
      <c r="E1616" s="17">
        <v>2</v>
      </c>
      <c r="F1616" s="17">
        <f t="shared" ref="F1616:F1679" si="1265">MID(B1616,2,1)+1</f>
        <v>2</v>
      </c>
      <c r="G1616" s="17" t="str">
        <f t="shared" si="1260"/>
        <v>飞龙骑士防御百分比</v>
      </c>
      <c r="H1616" s="17" t="str">
        <f t="shared" si="1261"/>
        <v>feibing02_Lv3</v>
      </c>
      <c r="I1616" s="20">
        <f t="shared" si="1262"/>
        <v>1.2</v>
      </c>
      <c r="J1616" s="17">
        <v>5</v>
      </c>
      <c r="K1616" s="17">
        <f t="shared" si="1257"/>
        <v>41706</v>
      </c>
      <c r="L1616" s="17" t="s">
        <v>224</v>
      </c>
      <c r="M1616" s="17" t="str">
        <f t="shared" si="1263"/>
        <v>1:11400:5</v>
      </c>
      <c r="N1616" s="16" t="str">
        <f t="shared" si="1258"/>
        <v>10034:1</v>
      </c>
      <c r="O1616" s="17">
        <f t="shared" ref="O1616:O1679" si="1266">MID(A1616,3,1)+1</f>
        <v>8</v>
      </c>
      <c r="P1616" s="21" t="s">
        <v>4767</v>
      </c>
      <c r="Q1616" s="21"/>
      <c r="R1616" t="s">
        <v>4762</v>
      </c>
      <c r="T1616" t="str">
        <f t="shared" si="1264"/>
        <v>:1</v>
      </c>
      <c r="U1616" t="str">
        <f t="shared" si="1255"/>
        <v>骑士</v>
      </c>
      <c r="V1616" t="s">
        <v>4760</v>
      </c>
      <c r="W1616">
        <f>属性类型!G1616</f>
        <v>10034</v>
      </c>
      <c r="X1616">
        <v>1</v>
      </c>
    </row>
    <row r="1617" customFormat="1" ht="16.5" spans="1:24">
      <c r="A1617" s="17">
        <f t="shared" si="1259"/>
        <v>41706</v>
      </c>
      <c r="B1617" s="17">
        <f t="shared" si="1247"/>
        <v>41700</v>
      </c>
      <c r="C1617" s="17" t="str">
        <f t="shared" si="1256"/>
        <v>4</v>
      </c>
      <c r="D1617" s="17">
        <f t="shared" si="1232"/>
        <v>40002</v>
      </c>
      <c r="E1617" s="17">
        <v>2</v>
      </c>
      <c r="F1617" s="17">
        <f t="shared" si="1265"/>
        <v>2</v>
      </c>
      <c r="G1617" s="17" t="str">
        <f t="shared" si="1260"/>
        <v>飞龙骑士防御百分比</v>
      </c>
      <c r="H1617" s="17" t="str">
        <f t="shared" si="1261"/>
        <v>feibing02_Lv3</v>
      </c>
      <c r="I1617" s="20">
        <f t="shared" si="1262"/>
        <v>1.2</v>
      </c>
      <c r="J1617" s="17">
        <v>6</v>
      </c>
      <c r="K1617" s="17">
        <f t="shared" si="1257"/>
        <v>41707</v>
      </c>
      <c r="L1617" s="17" t="s">
        <v>227</v>
      </c>
      <c r="M1617" s="17" t="str">
        <f t="shared" si="1263"/>
        <v>1:11400:5</v>
      </c>
      <c r="N1617" s="16" t="str">
        <f t="shared" si="1258"/>
        <v>10034:1</v>
      </c>
      <c r="O1617" s="17">
        <f t="shared" si="1266"/>
        <v>8</v>
      </c>
      <c r="P1617" s="21" t="s">
        <v>4768</v>
      </c>
      <c r="Q1617" s="21"/>
      <c r="R1617" t="s">
        <v>4762</v>
      </c>
      <c r="T1617" t="str">
        <f t="shared" si="1264"/>
        <v>:1</v>
      </c>
      <c r="U1617" t="str">
        <f t="shared" si="1255"/>
        <v>骑士</v>
      </c>
      <c r="V1617" t="s">
        <v>4760</v>
      </c>
      <c r="W1617">
        <f>属性类型!G1617</f>
        <v>10034</v>
      </c>
      <c r="X1617">
        <v>1</v>
      </c>
    </row>
    <row r="1618" customFormat="1" ht="16.5" spans="1:24">
      <c r="A1618" s="17">
        <f t="shared" si="1259"/>
        <v>41707</v>
      </c>
      <c r="B1618" s="17">
        <f t="shared" si="1247"/>
        <v>41700</v>
      </c>
      <c r="C1618" s="17" t="str">
        <f t="shared" si="1256"/>
        <v>4</v>
      </c>
      <c r="D1618" s="17">
        <f t="shared" si="1232"/>
        <v>40002</v>
      </c>
      <c r="E1618" s="17">
        <v>2</v>
      </c>
      <c r="F1618" s="17">
        <f t="shared" si="1265"/>
        <v>2</v>
      </c>
      <c r="G1618" s="17" t="str">
        <f t="shared" si="1260"/>
        <v>飞龙骑士防御百分比</v>
      </c>
      <c r="H1618" s="17" t="str">
        <f t="shared" si="1261"/>
        <v>feibing02_Lv3</v>
      </c>
      <c r="I1618" s="20">
        <f t="shared" si="1262"/>
        <v>1.2</v>
      </c>
      <c r="J1618" s="17">
        <v>7</v>
      </c>
      <c r="K1618" s="17">
        <f t="shared" si="1257"/>
        <v>41708</v>
      </c>
      <c r="L1618" s="17" t="s">
        <v>230</v>
      </c>
      <c r="M1618" s="17" t="str">
        <f t="shared" si="1263"/>
        <v>1:11400:5</v>
      </c>
      <c r="N1618" s="16" t="str">
        <f t="shared" si="1258"/>
        <v>10034:1</v>
      </c>
      <c r="O1618" s="17">
        <f t="shared" si="1266"/>
        <v>8</v>
      </c>
      <c r="P1618" s="21" t="s">
        <v>4769</v>
      </c>
      <c r="Q1618" s="21"/>
      <c r="R1618" t="s">
        <v>4762</v>
      </c>
      <c r="T1618" t="str">
        <f t="shared" si="1264"/>
        <v>:1</v>
      </c>
      <c r="U1618" t="str">
        <f t="shared" si="1255"/>
        <v>骑士</v>
      </c>
      <c r="V1618" t="s">
        <v>4760</v>
      </c>
      <c r="W1618">
        <f>属性类型!G1618</f>
        <v>10034</v>
      </c>
      <c r="X1618">
        <v>1</v>
      </c>
    </row>
    <row r="1619" customFormat="1" ht="16.5" spans="1:24">
      <c r="A1619" s="17">
        <f t="shared" si="1259"/>
        <v>41708</v>
      </c>
      <c r="B1619" s="17">
        <f t="shared" si="1247"/>
        <v>41700</v>
      </c>
      <c r="C1619" s="17" t="str">
        <f t="shared" si="1256"/>
        <v>4</v>
      </c>
      <c r="D1619" s="17">
        <f t="shared" si="1232"/>
        <v>40002</v>
      </c>
      <c r="E1619" s="17">
        <v>2</v>
      </c>
      <c r="F1619" s="17">
        <f t="shared" si="1265"/>
        <v>2</v>
      </c>
      <c r="G1619" s="17" t="str">
        <f t="shared" si="1260"/>
        <v>飞龙骑士防御百分比</v>
      </c>
      <c r="H1619" s="17" t="str">
        <f t="shared" si="1261"/>
        <v>feibing02_Lv3</v>
      </c>
      <c r="I1619" s="20">
        <f t="shared" si="1262"/>
        <v>1.2</v>
      </c>
      <c r="J1619" s="17">
        <v>8</v>
      </c>
      <c r="K1619" s="17">
        <f t="shared" si="1257"/>
        <v>41709</v>
      </c>
      <c r="L1619" s="17" t="s">
        <v>233</v>
      </c>
      <c r="M1619" s="17" t="str">
        <f t="shared" si="1263"/>
        <v>1:11400:5</v>
      </c>
      <c r="N1619" s="16" t="str">
        <f t="shared" si="1258"/>
        <v>10034:1</v>
      </c>
      <c r="O1619" s="17">
        <f t="shared" si="1266"/>
        <v>8</v>
      </c>
      <c r="P1619" s="21" t="s">
        <v>4770</v>
      </c>
      <c r="Q1619" s="21"/>
      <c r="R1619" t="s">
        <v>4762</v>
      </c>
      <c r="T1619" t="str">
        <f t="shared" si="1264"/>
        <v>:1</v>
      </c>
      <c r="U1619" t="str">
        <f t="shared" si="1255"/>
        <v>骑士</v>
      </c>
      <c r="V1619" t="s">
        <v>4760</v>
      </c>
      <c r="W1619">
        <f>属性类型!G1619</f>
        <v>10034</v>
      </c>
      <c r="X1619">
        <v>1</v>
      </c>
    </row>
    <row r="1620" customFormat="1" ht="16.5" spans="1:24">
      <c r="A1620" s="17">
        <f t="shared" si="1259"/>
        <v>41709</v>
      </c>
      <c r="B1620" s="17">
        <f t="shared" si="1247"/>
        <v>41700</v>
      </c>
      <c r="C1620" s="17" t="str">
        <f t="shared" si="1256"/>
        <v>4</v>
      </c>
      <c r="D1620" s="17">
        <f t="shared" si="1232"/>
        <v>40002</v>
      </c>
      <c r="E1620" s="17">
        <v>2</v>
      </c>
      <c r="F1620" s="17">
        <f t="shared" si="1265"/>
        <v>2</v>
      </c>
      <c r="G1620" s="17" t="str">
        <f t="shared" si="1260"/>
        <v>飞龙骑士防御百分比</v>
      </c>
      <c r="H1620" s="17" t="str">
        <f t="shared" si="1261"/>
        <v>feibing02_Lv3</v>
      </c>
      <c r="I1620" s="20">
        <f t="shared" si="1262"/>
        <v>1.2</v>
      </c>
      <c r="J1620" s="17">
        <v>9</v>
      </c>
      <c r="K1620" s="17">
        <f t="shared" si="1257"/>
        <v>41710</v>
      </c>
      <c r="L1620" s="17" t="s">
        <v>236</v>
      </c>
      <c r="M1620" s="17" t="str">
        <f t="shared" si="1263"/>
        <v>1:11400:5</v>
      </c>
      <c r="N1620" s="16" t="str">
        <f t="shared" si="1258"/>
        <v>10034:1</v>
      </c>
      <c r="O1620" s="17">
        <f t="shared" si="1266"/>
        <v>8</v>
      </c>
      <c r="P1620" s="21" t="s">
        <v>4771</v>
      </c>
      <c r="Q1620" s="21"/>
      <c r="R1620" t="s">
        <v>4762</v>
      </c>
      <c r="T1620" t="str">
        <f t="shared" si="1264"/>
        <v>:1</v>
      </c>
      <c r="U1620" t="str">
        <f t="shared" si="1255"/>
        <v>骑士</v>
      </c>
      <c r="V1620" t="s">
        <v>4760</v>
      </c>
      <c r="W1620">
        <f>属性类型!G1620</f>
        <v>10034</v>
      </c>
      <c r="X1620">
        <v>1</v>
      </c>
    </row>
    <row r="1621" customFormat="1" ht="16.5" spans="1:24">
      <c r="A1621" s="17">
        <f t="shared" si="1259"/>
        <v>41710</v>
      </c>
      <c r="B1621" s="17">
        <f t="shared" si="1247"/>
        <v>41700</v>
      </c>
      <c r="C1621" s="17" t="str">
        <f t="shared" si="1256"/>
        <v>4</v>
      </c>
      <c r="D1621" s="17">
        <f t="shared" si="1232"/>
        <v>40002</v>
      </c>
      <c r="E1621" s="17">
        <v>2</v>
      </c>
      <c r="F1621" s="17">
        <f t="shared" si="1265"/>
        <v>2</v>
      </c>
      <c r="G1621" s="17" t="str">
        <f t="shared" si="1260"/>
        <v>飞龙骑士防御百分比</v>
      </c>
      <c r="H1621" s="17" t="str">
        <f t="shared" si="1261"/>
        <v>feibing02_Lv3</v>
      </c>
      <c r="I1621" s="20">
        <f t="shared" si="1262"/>
        <v>1.2</v>
      </c>
      <c r="J1621" s="17">
        <v>10</v>
      </c>
      <c r="K1621" s="17">
        <f t="shared" si="1257"/>
        <v>41711</v>
      </c>
      <c r="L1621" s="17" t="s">
        <v>238</v>
      </c>
      <c r="M1621" s="17" t="str">
        <f t="shared" si="1263"/>
        <v>1:11400:5</v>
      </c>
      <c r="N1621" s="16" t="str">
        <f t="shared" si="1258"/>
        <v>10034:1</v>
      </c>
      <c r="O1621" s="17">
        <f t="shared" si="1266"/>
        <v>8</v>
      </c>
      <c r="P1621" s="21" t="s">
        <v>4772</v>
      </c>
      <c r="Q1621" s="21"/>
      <c r="R1621" t="s">
        <v>4762</v>
      </c>
      <c r="T1621" t="str">
        <f t="shared" si="1264"/>
        <v>:1</v>
      </c>
      <c r="U1621" t="str">
        <f t="shared" si="1255"/>
        <v>骑士</v>
      </c>
      <c r="V1621" t="s">
        <v>4760</v>
      </c>
      <c r="W1621">
        <f>属性类型!G1621</f>
        <v>10034</v>
      </c>
      <c r="X1621">
        <v>1</v>
      </c>
    </row>
    <row r="1622" customFormat="1" ht="16.5" spans="1:24">
      <c r="A1622" s="17">
        <f t="shared" si="1259"/>
        <v>41711</v>
      </c>
      <c r="B1622" s="17">
        <f t="shared" si="1247"/>
        <v>41700</v>
      </c>
      <c r="C1622" s="17" t="str">
        <f t="shared" si="1256"/>
        <v>4</v>
      </c>
      <c r="D1622" s="17">
        <f t="shared" si="1232"/>
        <v>40002</v>
      </c>
      <c r="E1622" s="17">
        <v>2</v>
      </c>
      <c r="F1622" s="17">
        <f t="shared" si="1265"/>
        <v>2</v>
      </c>
      <c r="G1622" s="17" t="str">
        <f t="shared" si="1260"/>
        <v>飞龙骑士防御百分比</v>
      </c>
      <c r="H1622" s="17" t="str">
        <f t="shared" si="1261"/>
        <v>feibing02_Lv3</v>
      </c>
      <c r="I1622" s="20">
        <f t="shared" si="1262"/>
        <v>1.2</v>
      </c>
      <c r="J1622" s="17">
        <v>11</v>
      </c>
      <c r="K1622" s="17">
        <f t="shared" si="1257"/>
        <v>41712</v>
      </c>
      <c r="L1622" s="17" t="s">
        <v>529</v>
      </c>
      <c r="M1622" s="17" t="str">
        <f t="shared" si="1263"/>
        <v>1:11400:5</v>
      </c>
      <c r="N1622" s="16" t="str">
        <f t="shared" si="1258"/>
        <v>10034:1</v>
      </c>
      <c r="O1622" s="17">
        <f t="shared" si="1266"/>
        <v>8</v>
      </c>
      <c r="P1622" s="21" t="s">
        <v>4773</v>
      </c>
      <c r="Q1622" s="21"/>
      <c r="R1622" t="s">
        <v>4762</v>
      </c>
      <c r="T1622" t="str">
        <f t="shared" si="1264"/>
        <v>:1</v>
      </c>
      <c r="U1622" t="str">
        <f t="shared" si="1255"/>
        <v>骑士</v>
      </c>
      <c r="V1622" t="s">
        <v>4760</v>
      </c>
      <c r="W1622">
        <f>属性类型!G1622</f>
        <v>10034</v>
      </c>
      <c r="X1622">
        <v>1</v>
      </c>
    </row>
    <row r="1623" customFormat="1" ht="16.5" spans="1:24">
      <c r="A1623" s="17">
        <f t="shared" si="1259"/>
        <v>41712</v>
      </c>
      <c r="B1623" s="17">
        <f t="shared" si="1247"/>
        <v>41700</v>
      </c>
      <c r="C1623" s="17" t="str">
        <f t="shared" si="1256"/>
        <v>4</v>
      </c>
      <c r="D1623" s="17">
        <f t="shared" ref="D1623:D1673" si="1267">$A$1399+F1623</f>
        <v>40002</v>
      </c>
      <c r="E1623" s="17">
        <v>2</v>
      </c>
      <c r="F1623" s="17">
        <f t="shared" si="1265"/>
        <v>2</v>
      </c>
      <c r="G1623" s="17" t="str">
        <f t="shared" si="1260"/>
        <v>飞龙骑士防御百分比</v>
      </c>
      <c r="H1623" s="17" t="str">
        <f t="shared" si="1261"/>
        <v>feibing02_Lv3</v>
      </c>
      <c r="I1623" s="20">
        <f t="shared" si="1262"/>
        <v>1.2</v>
      </c>
      <c r="J1623" s="17">
        <v>12</v>
      </c>
      <c r="K1623" s="17">
        <f t="shared" si="1257"/>
        <v>41713</v>
      </c>
      <c r="L1623" s="17" t="s">
        <v>532</v>
      </c>
      <c r="M1623" s="17" t="str">
        <f t="shared" si="1263"/>
        <v>1:11400:5</v>
      </c>
      <c r="N1623" s="16" t="str">
        <f t="shared" si="1258"/>
        <v>10034:1</v>
      </c>
      <c r="O1623" s="17">
        <f t="shared" si="1266"/>
        <v>8</v>
      </c>
      <c r="P1623" s="21" t="s">
        <v>4774</v>
      </c>
      <c r="Q1623" s="21"/>
      <c r="R1623" t="s">
        <v>4762</v>
      </c>
      <c r="T1623" t="str">
        <f t="shared" si="1264"/>
        <v>:1</v>
      </c>
      <c r="U1623" t="str">
        <f t="shared" si="1255"/>
        <v>骑士</v>
      </c>
      <c r="V1623" t="s">
        <v>4760</v>
      </c>
      <c r="W1623">
        <f>属性类型!G1623</f>
        <v>10034</v>
      </c>
      <c r="X1623">
        <v>1</v>
      </c>
    </row>
    <row r="1624" customFormat="1" ht="16.5" spans="1:24">
      <c r="A1624" s="17">
        <f t="shared" si="1259"/>
        <v>41713</v>
      </c>
      <c r="B1624" s="17">
        <f t="shared" si="1247"/>
        <v>41700</v>
      </c>
      <c r="C1624" s="17" t="str">
        <f t="shared" si="1256"/>
        <v>4</v>
      </c>
      <c r="D1624" s="17">
        <f t="shared" si="1267"/>
        <v>40002</v>
      </c>
      <c r="E1624" s="17">
        <v>2</v>
      </c>
      <c r="F1624" s="17">
        <f t="shared" si="1265"/>
        <v>2</v>
      </c>
      <c r="G1624" s="17" t="str">
        <f t="shared" si="1260"/>
        <v>飞龙骑士防御百分比</v>
      </c>
      <c r="H1624" s="17" t="str">
        <f t="shared" si="1261"/>
        <v>feibing02_Lv3</v>
      </c>
      <c r="I1624" s="20">
        <f t="shared" si="1262"/>
        <v>1.2</v>
      </c>
      <c r="J1624" s="17">
        <v>13</v>
      </c>
      <c r="K1624" s="17">
        <f t="shared" si="1257"/>
        <v>41714</v>
      </c>
      <c r="L1624" s="17" t="s">
        <v>561</v>
      </c>
      <c r="M1624" s="17" t="str">
        <f t="shared" si="1263"/>
        <v>1:11400:5</v>
      </c>
      <c r="N1624" s="16" t="str">
        <f t="shared" si="1258"/>
        <v>10034:1</v>
      </c>
      <c r="O1624" s="17">
        <f t="shared" si="1266"/>
        <v>8</v>
      </c>
      <c r="P1624" s="21" t="s">
        <v>4775</v>
      </c>
      <c r="Q1624" s="21"/>
      <c r="R1624" t="s">
        <v>4762</v>
      </c>
      <c r="T1624" t="str">
        <f t="shared" si="1264"/>
        <v>:1</v>
      </c>
      <c r="U1624" t="str">
        <f t="shared" si="1255"/>
        <v>骑士</v>
      </c>
      <c r="V1624" t="s">
        <v>4760</v>
      </c>
      <c r="W1624">
        <f>属性类型!G1624</f>
        <v>10034</v>
      </c>
      <c r="X1624">
        <v>1</v>
      </c>
    </row>
    <row r="1625" customFormat="1" ht="16.5" spans="1:24">
      <c r="A1625" s="17">
        <f t="shared" si="1259"/>
        <v>41714</v>
      </c>
      <c r="B1625" s="17">
        <f t="shared" si="1247"/>
        <v>41700</v>
      </c>
      <c r="C1625" s="17" t="str">
        <f t="shared" si="1256"/>
        <v>4</v>
      </c>
      <c r="D1625" s="17">
        <f t="shared" si="1267"/>
        <v>40002</v>
      </c>
      <c r="E1625" s="17">
        <v>2</v>
      </c>
      <c r="F1625" s="17">
        <f t="shared" si="1265"/>
        <v>2</v>
      </c>
      <c r="G1625" s="17" t="str">
        <f t="shared" si="1260"/>
        <v>飞龙骑士防御百分比</v>
      </c>
      <c r="H1625" s="17" t="str">
        <f t="shared" si="1261"/>
        <v>feibing02_Lv3</v>
      </c>
      <c r="I1625" s="20">
        <f t="shared" si="1262"/>
        <v>1.2</v>
      </c>
      <c r="J1625" s="17">
        <v>14</v>
      </c>
      <c r="K1625" s="17">
        <f t="shared" si="1257"/>
        <v>41715</v>
      </c>
      <c r="L1625" s="17" t="s">
        <v>564</v>
      </c>
      <c r="M1625" s="17" t="str">
        <f t="shared" si="1263"/>
        <v>1:11400:5</v>
      </c>
      <c r="N1625" s="16" t="str">
        <f t="shared" si="1258"/>
        <v>10034:1</v>
      </c>
      <c r="O1625" s="17">
        <f t="shared" si="1266"/>
        <v>8</v>
      </c>
      <c r="P1625" s="21" t="s">
        <v>4776</v>
      </c>
      <c r="Q1625" s="21"/>
      <c r="R1625" t="s">
        <v>4762</v>
      </c>
      <c r="T1625" t="str">
        <f t="shared" si="1264"/>
        <v>:1</v>
      </c>
      <c r="U1625" t="str">
        <f t="shared" si="1255"/>
        <v>骑士</v>
      </c>
      <c r="V1625" t="s">
        <v>4760</v>
      </c>
      <c r="W1625">
        <f>属性类型!G1625</f>
        <v>10034</v>
      </c>
      <c r="X1625">
        <v>1</v>
      </c>
    </row>
    <row r="1626" customFormat="1" ht="16.5" spans="1:24">
      <c r="A1626" s="17">
        <f t="shared" si="1259"/>
        <v>41715</v>
      </c>
      <c r="B1626" s="17">
        <f t="shared" si="1247"/>
        <v>41700</v>
      </c>
      <c r="C1626" s="17" t="str">
        <f t="shared" si="1256"/>
        <v>4</v>
      </c>
      <c r="D1626" s="17">
        <f t="shared" si="1267"/>
        <v>40002</v>
      </c>
      <c r="E1626" s="17">
        <v>2</v>
      </c>
      <c r="F1626" s="17">
        <f t="shared" si="1265"/>
        <v>2</v>
      </c>
      <c r="G1626" s="17" t="str">
        <f t="shared" si="1260"/>
        <v>飞龙骑士防御百分比</v>
      </c>
      <c r="H1626" s="17" t="str">
        <f t="shared" si="1261"/>
        <v>feibing02_Lv3</v>
      </c>
      <c r="I1626" s="20">
        <f t="shared" si="1262"/>
        <v>1.2</v>
      </c>
      <c r="J1626" s="17">
        <v>15</v>
      </c>
      <c r="K1626" s="17">
        <f t="shared" si="1257"/>
        <v>41716</v>
      </c>
      <c r="L1626" s="17" t="s">
        <v>630</v>
      </c>
      <c r="M1626" s="17" t="str">
        <f t="shared" si="1263"/>
        <v>1:11400:5</v>
      </c>
      <c r="N1626" s="16" t="str">
        <f t="shared" si="1258"/>
        <v>10034:1</v>
      </c>
      <c r="O1626" s="17">
        <f t="shared" si="1266"/>
        <v>8</v>
      </c>
      <c r="P1626" s="21" t="s">
        <v>4777</v>
      </c>
      <c r="Q1626" s="21"/>
      <c r="R1626" t="s">
        <v>4762</v>
      </c>
      <c r="T1626" t="str">
        <f t="shared" si="1264"/>
        <v>:1</v>
      </c>
      <c r="U1626" t="str">
        <f t="shared" si="1255"/>
        <v>骑士</v>
      </c>
      <c r="V1626" t="s">
        <v>4760</v>
      </c>
      <c r="W1626">
        <f>属性类型!G1626</f>
        <v>10034</v>
      </c>
      <c r="X1626">
        <v>1</v>
      </c>
    </row>
    <row r="1627" customFormat="1" ht="16.5" spans="1:24">
      <c r="A1627" s="17">
        <f t="shared" si="1259"/>
        <v>41716</v>
      </c>
      <c r="B1627" s="17">
        <f t="shared" si="1247"/>
        <v>41700</v>
      </c>
      <c r="C1627" s="17" t="str">
        <f t="shared" si="1256"/>
        <v>4</v>
      </c>
      <c r="D1627" s="17">
        <f t="shared" si="1267"/>
        <v>40002</v>
      </c>
      <c r="E1627" s="17">
        <v>2</v>
      </c>
      <c r="F1627" s="17">
        <f t="shared" si="1265"/>
        <v>2</v>
      </c>
      <c r="G1627" s="17" t="str">
        <f t="shared" si="1260"/>
        <v>飞龙骑士防御百分比</v>
      </c>
      <c r="H1627" s="17" t="str">
        <f t="shared" si="1261"/>
        <v>feibing02_Lv3</v>
      </c>
      <c r="I1627" s="20">
        <f t="shared" si="1262"/>
        <v>1.2</v>
      </c>
      <c r="J1627" s="17">
        <v>16</v>
      </c>
      <c r="K1627" s="17">
        <f t="shared" si="1257"/>
        <v>41717</v>
      </c>
      <c r="L1627" s="17" t="s">
        <v>633</v>
      </c>
      <c r="M1627" s="17" t="str">
        <f t="shared" si="1263"/>
        <v>1:11400:5</v>
      </c>
      <c r="N1627" s="16" t="str">
        <f t="shared" si="1258"/>
        <v>10034:1</v>
      </c>
      <c r="O1627" s="17">
        <f t="shared" si="1266"/>
        <v>8</v>
      </c>
      <c r="P1627" s="21" t="s">
        <v>4778</v>
      </c>
      <c r="Q1627" s="21"/>
      <c r="R1627" t="s">
        <v>4762</v>
      </c>
      <c r="T1627" t="str">
        <f t="shared" si="1264"/>
        <v>:1</v>
      </c>
      <c r="U1627" t="str">
        <f t="shared" si="1255"/>
        <v>骑士</v>
      </c>
      <c r="V1627" t="s">
        <v>4760</v>
      </c>
      <c r="W1627">
        <f>属性类型!G1627</f>
        <v>10034</v>
      </c>
      <c r="X1627">
        <v>1</v>
      </c>
    </row>
    <row r="1628" customFormat="1" ht="16.5" spans="1:24">
      <c r="A1628" s="17">
        <f t="shared" si="1259"/>
        <v>41717</v>
      </c>
      <c r="B1628" s="17">
        <f t="shared" si="1247"/>
        <v>41700</v>
      </c>
      <c r="C1628" s="17" t="str">
        <f t="shared" si="1256"/>
        <v>4</v>
      </c>
      <c r="D1628" s="17">
        <f t="shared" si="1267"/>
        <v>40002</v>
      </c>
      <c r="E1628" s="17">
        <v>2</v>
      </c>
      <c r="F1628" s="17">
        <f t="shared" si="1265"/>
        <v>2</v>
      </c>
      <c r="G1628" s="17" t="str">
        <f t="shared" si="1260"/>
        <v>飞龙骑士防御百分比</v>
      </c>
      <c r="H1628" s="17" t="str">
        <f t="shared" si="1261"/>
        <v>feibing02_Lv3</v>
      </c>
      <c r="I1628" s="20">
        <f t="shared" si="1262"/>
        <v>1.2</v>
      </c>
      <c r="J1628" s="17">
        <v>17</v>
      </c>
      <c r="K1628" s="17">
        <f t="shared" si="1257"/>
        <v>41718</v>
      </c>
      <c r="L1628" s="17" t="s">
        <v>637</v>
      </c>
      <c r="M1628" s="17" t="str">
        <f t="shared" si="1263"/>
        <v>1:11400:5</v>
      </c>
      <c r="N1628" s="16" t="str">
        <f t="shared" si="1258"/>
        <v>10034:1</v>
      </c>
      <c r="O1628" s="17">
        <f t="shared" si="1266"/>
        <v>8</v>
      </c>
      <c r="P1628" s="21" t="s">
        <v>4779</v>
      </c>
      <c r="Q1628" s="21"/>
      <c r="R1628" t="s">
        <v>4762</v>
      </c>
      <c r="T1628" t="str">
        <f t="shared" si="1264"/>
        <v>:1</v>
      </c>
      <c r="U1628" t="str">
        <f t="shared" si="1255"/>
        <v>骑士</v>
      </c>
      <c r="V1628" t="s">
        <v>4760</v>
      </c>
      <c r="W1628">
        <f>属性类型!G1628</f>
        <v>10034</v>
      </c>
      <c r="X1628">
        <v>1</v>
      </c>
    </row>
    <row r="1629" customFormat="1" ht="16.5" spans="1:24">
      <c r="A1629" s="17">
        <f t="shared" si="1259"/>
        <v>41718</v>
      </c>
      <c r="B1629" s="17">
        <f t="shared" si="1247"/>
        <v>41700</v>
      </c>
      <c r="C1629" s="17" t="str">
        <f t="shared" si="1256"/>
        <v>4</v>
      </c>
      <c r="D1629" s="17">
        <f t="shared" si="1267"/>
        <v>40002</v>
      </c>
      <c r="E1629" s="17">
        <v>2</v>
      </c>
      <c r="F1629" s="17">
        <f t="shared" si="1265"/>
        <v>2</v>
      </c>
      <c r="G1629" s="17" t="str">
        <f t="shared" si="1260"/>
        <v>飞龙骑士防御百分比</v>
      </c>
      <c r="H1629" s="17" t="str">
        <f t="shared" si="1261"/>
        <v>feibing02_Lv3</v>
      </c>
      <c r="I1629" s="20">
        <f t="shared" si="1262"/>
        <v>1.2</v>
      </c>
      <c r="J1629" s="17">
        <v>18</v>
      </c>
      <c r="K1629" s="17">
        <f t="shared" si="1257"/>
        <v>41719</v>
      </c>
      <c r="L1629" s="17" t="s">
        <v>641</v>
      </c>
      <c r="M1629" s="17" t="str">
        <f t="shared" si="1263"/>
        <v>1:11400:5</v>
      </c>
      <c r="N1629" s="16" t="str">
        <f t="shared" si="1258"/>
        <v>10034:1</v>
      </c>
      <c r="O1629" s="17">
        <f t="shared" si="1266"/>
        <v>8</v>
      </c>
      <c r="P1629" s="21" t="s">
        <v>4780</v>
      </c>
      <c r="Q1629" s="21"/>
      <c r="R1629" t="s">
        <v>4762</v>
      </c>
      <c r="T1629" t="str">
        <f t="shared" si="1264"/>
        <v>:1</v>
      </c>
      <c r="U1629" t="str">
        <f t="shared" si="1255"/>
        <v>骑士</v>
      </c>
      <c r="V1629" t="s">
        <v>4760</v>
      </c>
      <c r="W1629">
        <f>属性类型!G1629</f>
        <v>10034</v>
      </c>
      <c r="X1629">
        <v>1</v>
      </c>
    </row>
    <row r="1630" customFormat="1" ht="16.5" spans="1:24">
      <c r="A1630" s="17">
        <f t="shared" si="1259"/>
        <v>41719</v>
      </c>
      <c r="B1630" s="17">
        <f t="shared" si="1247"/>
        <v>41700</v>
      </c>
      <c r="C1630" s="17" t="str">
        <f t="shared" si="1256"/>
        <v>4</v>
      </c>
      <c r="D1630" s="17">
        <f t="shared" si="1267"/>
        <v>40002</v>
      </c>
      <c r="E1630" s="17">
        <v>2</v>
      </c>
      <c r="F1630" s="17">
        <f t="shared" si="1265"/>
        <v>2</v>
      </c>
      <c r="G1630" s="17" t="str">
        <f t="shared" si="1260"/>
        <v>飞龙骑士防御百分比</v>
      </c>
      <c r="H1630" s="17" t="str">
        <f t="shared" si="1261"/>
        <v>feibing02_Lv3</v>
      </c>
      <c r="I1630" s="20">
        <f t="shared" si="1262"/>
        <v>1.2</v>
      </c>
      <c r="J1630" s="17">
        <v>19</v>
      </c>
      <c r="K1630" s="17">
        <f t="shared" si="1257"/>
        <v>41720</v>
      </c>
      <c r="L1630" s="17" t="s">
        <v>645</v>
      </c>
      <c r="M1630" s="17" t="str">
        <f t="shared" si="1263"/>
        <v>1:11400:5</v>
      </c>
      <c r="N1630" s="16" t="str">
        <f t="shared" si="1258"/>
        <v>10034:1</v>
      </c>
      <c r="O1630" s="17">
        <f t="shared" si="1266"/>
        <v>8</v>
      </c>
      <c r="P1630" s="21" t="s">
        <v>4781</v>
      </c>
      <c r="Q1630" s="21"/>
      <c r="R1630" t="s">
        <v>4762</v>
      </c>
      <c r="T1630" t="str">
        <f t="shared" si="1264"/>
        <v>:1</v>
      </c>
      <c r="U1630" t="str">
        <f t="shared" si="1255"/>
        <v>骑士</v>
      </c>
      <c r="V1630" t="s">
        <v>4760</v>
      </c>
      <c r="W1630">
        <f>属性类型!G1630</f>
        <v>10034</v>
      </c>
      <c r="X1630">
        <v>1</v>
      </c>
    </row>
    <row r="1631" customFormat="1" ht="16.5" spans="1:24">
      <c r="A1631" s="17">
        <f t="shared" si="1259"/>
        <v>41720</v>
      </c>
      <c r="B1631" s="17">
        <f t="shared" si="1247"/>
        <v>41700</v>
      </c>
      <c r="C1631" s="17" t="str">
        <f t="shared" si="1256"/>
        <v>4</v>
      </c>
      <c r="D1631" s="17">
        <f t="shared" si="1267"/>
        <v>40002</v>
      </c>
      <c r="E1631" s="17">
        <v>2</v>
      </c>
      <c r="F1631" s="17">
        <f t="shared" si="1265"/>
        <v>2</v>
      </c>
      <c r="G1631" s="17" t="str">
        <f t="shared" si="1260"/>
        <v>飞龙骑士防御百分比</v>
      </c>
      <c r="H1631" s="17" t="str">
        <f t="shared" si="1261"/>
        <v>feibing02_Lv3</v>
      </c>
      <c r="I1631" s="20">
        <f t="shared" si="1262"/>
        <v>1.2</v>
      </c>
      <c r="J1631" s="17">
        <v>20</v>
      </c>
      <c r="K1631" s="17">
        <v>0</v>
      </c>
      <c r="L1631" s="17">
        <v>0</v>
      </c>
      <c r="M1631" s="17" t="str">
        <f t="shared" si="1263"/>
        <v>1:11400:5</v>
      </c>
      <c r="N1631" s="16" t="str">
        <f t="shared" si="1258"/>
        <v>10034:1</v>
      </c>
      <c r="O1631" s="17">
        <f t="shared" si="1266"/>
        <v>8</v>
      </c>
      <c r="P1631" s="21" t="s">
        <v>4781</v>
      </c>
      <c r="Q1631" s="21"/>
      <c r="R1631" t="s">
        <v>4762</v>
      </c>
      <c r="T1631" t="str">
        <f t="shared" si="1264"/>
        <v>:1</v>
      </c>
      <c r="U1631" t="str">
        <f t="shared" si="1255"/>
        <v>骑士</v>
      </c>
      <c r="V1631" t="s">
        <v>4760</v>
      </c>
      <c r="W1631">
        <f>属性类型!G1631</f>
        <v>10034</v>
      </c>
      <c r="X1631">
        <v>1</v>
      </c>
    </row>
    <row r="1632" customFormat="1" ht="16.5" spans="1:24">
      <c r="A1632" s="18">
        <f>A1611+100</f>
        <v>41800</v>
      </c>
      <c r="B1632" s="18">
        <f t="shared" si="1247"/>
        <v>41800</v>
      </c>
      <c r="C1632" s="18" t="str">
        <f t="shared" si="1256"/>
        <v>4</v>
      </c>
      <c r="D1632" s="17">
        <f t="shared" si="1267"/>
        <v>40002</v>
      </c>
      <c r="E1632" s="17">
        <v>2</v>
      </c>
      <c r="F1632" s="18">
        <f t="shared" si="1265"/>
        <v>2</v>
      </c>
      <c r="G1632" s="18" t="s">
        <v>4782</v>
      </c>
      <c r="H1632" s="18" t="s">
        <v>2361</v>
      </c>
      <c r="I1632" s="20">
        <v>1.2</v>
      </c>
      <c r="J1632" s="18">
        <v>0</v>
      </c>
      <c r="K1632" s="18">
        <f t="shared" ref="K1632:K1651" si="1268">A1633</f>
        <v>41801</v>
      </c>
      <c r="L1632" s="18" t="s">
        <v>206</v>
      </c>
      <c r="M1632" s="18" t="s">
        <v>488</v>
      </c>
      <c r="N1632" s="16" t="str">
        <f t="shared" si="1258"/>
        <v>10035:1</v>
      </c>
      <c r="O1632" s="18">
        <f t="shared" si="1266"/>
        <v>9</v>
      </c>
      <c r="P1632" s="21" t="s">
        <v>4783</v>
      </c>
      <c r="Q1632" s="21"/>
      <c r="R1632" t="s">
        <v>4762</v>
      </c>
      <c r="T1632">
        <v>1</v>
      </c>
      <c r="U1632" t="str">
        <f t="shared" si="1255"/>
        <v>骑士</v>
      </c>
      <c r="V1632" t="s">
        <v>4782</v>
      </c>
      <c r="W1632">
        <f>属性类型!G1632</f>
        <v>10035</v>
      </c>
      <c r="X1632">
        <v>1</v>
      </c>
    </row>
    <row r="1633" customFormat="1" ht="16.5" spans="1:24">
      <c r="A1633" s="17">
        <f t="shared" ref="A1633:A1652" si="1269">A1632+1</f>
        <v>41801</v>
      </c>
      <c r="B1633" s="17">
        <f t="shared" si="1247"/>
        <v>41800</v>
      </c>
      <c r="C1633" s="17" t="str">
        <f t="shared" si="1256"/>
        <v>4</v>
      </c>
      <c r="D1633" s="17">
        <f t="shared" si="1267"/>
        <v>40002</v>
      </c>
      <c r="E1633" s="17">
        <v>2</v>
      </c>
      <c r="F1633" s="17">
        <f t="shared" si="1265"/>
        <v>2</v>
      </c>
      <c r="G1633" s="17" t="str">
        <f t="shared" ref="G1633:G1652" si="1270">G1632</f>
        <v>飞龙骑士攻击百分比</v>
      </c>
      <c r="H1633" s="17" t="str">
        <f t="shared" ref="H1633:H1652" si="1271">H1632</f>
        <v>feibing02_Lv3</v>
      </c>
      <c r="I1633" s="20">
        <f t="shared" ref="I1633:I1652" si="1272">I1632</f>
        <v>1.2</v>
      </c>
      <c r="J1633" s="17">
        <v>1</v>
      </c>
      <c r="K1633" s="17">
        <f t="shared" si="1268"/>
        <v>41802</v>
      </c>
      <c r="L1633" s="17" t="s">
        <v>211</v>
      </c>
      <c r="M1633" s="17" t="str">
        <f t="shared" ref="M1633:M1652" si="1273">M1632</f>
        <v>1:11500:5</v>
      </c>
      <c r="N1633" s="16" t="str">
        <f t="shared" si="1258"/>
        <v>10035:1</v>
      </c>
      <c r="O1633" s="17">
        <f t="shared" si="1266"/>
        <v>9</v>
      </c>
      <c r="P1633" s="21" t="s">
        <v>4784</v>
      </c>
      <c r="Q1633" s="21"/>
      <c r="R1633" t="s">
        <v>4762</v>
      </c>
      <c r="T1633">
        <v>2</v>
      </c>
      <c r="U1633" t="str">
        <f t="shared" si="1255"/>
        <v>骑士</v>
      </c>
      <c r="V1633" t="s">
        <v>4782</v>
      </c>
      <c r="W1633">
        <f>属性类型!G1633</f>
        <v>10035</v>
      </c>
      <c r="X1633">
        <v>1</v>
      </c>
    </row>
    <row r="1634" customFormat="1" ht="16.5" spans="1:24">
      <c r="A1634" s="17">
        <f t="shared" si="1269"/>
        <v>41802</v>
      </c>
      <c r="B1634" s="17">
        <f t="shared" si="1247"/>
        <v>41800</v>
      </c>
      <c r="C1634" s="17" t="str">
        <f t="shared" si="1256"/>
        <v>4</v>
      </c>
      <c r="D1634" s="17">
        <f t="shared" si="1267"/>
        <v>40002</v>
      </c>
      <c r="E1634" s="17">
        <v>2</v>
      </c>
      <c r="F1634" s="17">
        <f t="shared" si="1265"/>
        <v>2</v>
      </c>
      <c r="G1634" s="17" t="str">
        <f t="shared" si="1270"/>
        <v>飞龙骑士攻击百分比</v>
      </c>
      <c r="H1634" s="17" t="str">
        <f t="shared" si="1271"/>
        <v>feibing02_Lv3</v>
      </c>
      <c r="I1634" s="20">
        <f t="shared" si="1272"/>
        <v>1.2</v>
      </c>
      <c r="J1634" s="17">
        <v>2</v>
      </c>
      <c r="K1634" s="17">
        <f t="shared" si="1268"/>
        <v>41803</v>
      </c>
      <c r="L1634" s="17" t="s">
        <v>215</v>
      </c>
      <c r="M1634" s="17" t="str">
        <f t="shared" si="1273"/>
        <v>1:11500:5</v>
      </c>
      <c r="N1634" s="16" t="str">
        <f t="shared" si="1258"/>
        <v>10035:1</v>
      </c>
      <c r="O1634" s="17">
        <f t="shared" si="1266"/>
        <v>9</v>
      </c>
      <c r="P1634" s="21" t="s">
        <v>4785</v>
      </c>
      <c r="Q1634" s="21"/>
      <c r="R1634" t="s">
        <v>4762</v>
      </c>
      <c r="T1634">
        <v>3</v>
      </c>
      <c r="U1634" t="str">
        <f t="shared" si="1255"/>
        <v>骑士</v>
      </c>
      <c r="V1634" t="s">
        <v>4782</v>
      </c>
      <c r="W1634">
        <f>属性类型!G1634</f>
        <v>10035</v>
      </c>
      <c r="X1634">
        <v>1</v>
      </c>
    </row>
    <row r="1635" customFormat="1" ht="16.5" spans="1:24">
      <c r="A1635" s="17">
        <f t="shared" si="1269"/>
        <v>41803</v>
      </c>
      <c r="B1635" s="17">
        <f t="shared" si="1247"/>
        <v>41800</v>
      </c>
      <c r="C1635" s="17" t="str">
        <f t="shared" si="1256"/>
        <v>4</v>
      </c>
      <c r="D1635" s="17">
        <f t="shared" si="1267"/>
        <v>40002</v>
      </c>
      <c r="E1635" s="17">
        <v>2</v>
      </c>
      <c r="F1635" s="17">
        <f t="shared" si="1265"/>
        <v>2</v>
      </c>
      <c r="G1635" s="17" t="str">
        <f t="shared" si="1270"/>
        <v>飞龙骑士攻击百分比</v>
      </c>
      <c r="H1635" s="17" t="str">
        <f t="shared" si="1271"/>
        <v>feibing02_Lv3</v>
      </c>
      <c r="I1635" s="20">
        <f t="shared" si="1272"/>
        <v>1.2</v>
      </c>
      <c r="J1635" s="17">
        <v>3</v>
      </c>
      <c r="K1635" s="17">
        <f t="shared" si="1268"/>
        <v>41804</v>
      </c>
      <c r="L1635" s="17" t="s">
        <v>218</v>
      </c>
      <c r="M1635" s="17" t="str">
        <f t="shared" si="1273"/>
        <v>1:11500:5</v>
      </c>
      <c r="N1635" s="16" t="str">
        <f t="shared" si="1258"/>
        <v>10035:1</v>
      </c>
      <c r="O1635" s="17">
        <f t="shared" si="1266"/>
        <v>9</v>
      </c>
      <c r="P1635" s="21" t="s">
        <v>4786</v>
      </c>
      <c r="Q1635" s="21"/>
      <c r="R1635" t="s">
        <v>4762</v>
      </c>
      <c r="T1635">
        <v>4</v>
      </c>
      <c r="U1635" t="str">
        <f t="shared" si="1255"/>
        <v>骑士</v>
      </c>
      <c r="V1635" t="s">
        <v>4782</v>
      </c>
      <c r="W1635">
        <f>属性类型!G1635</f>
        <v>10035</v>
      </c>
      <c r="X1635">
        <v>1</v>
      </c>
    </row>
    <row r="1636" customFormat="1" ht="16.5" spans="1:24">
      <c r="A1636" s="17">
        <f t="shared" si="1269"/>
        <v>41804</v>
      </c>
      <c r="B1636" s="17">
        <f t="shared" si="1247"/>
        <v>41800</v>
      </c>
      <c r="C1636" s="17" t="str">
        <f t="shared" si="1256"/>
        <v>4</v>
      </c>
      <c r="D1636" s="17">
        <f t="shared" si="1267"/>
        <v>40002</v>
      </c>
      <c r="E1636" s="17">
        <v>2</v>
      </c>
      <c r="F1636" s="17">
        <f t="shared" si="1265"/>
        <v>2</v>
      </c>
      <c r="G1636" s="17" t="str">
        <f t="shared" si="1270"/>
        <v>飞龙骑士攻击百分比</v>
      </c>
      <c r="H1636" s="17" t="str">
        <f t="shared" si="1271"/>
        <v>feibing02_Lv3</v>
      </c>
      <c r="I1636" s="20">
        <f t="shared" si="1272"/>
        <v>1.2</v>
      </c>
      <c r="J1636" s="17">
        <v>4</v>
      </c>
      <c r="K1636" s="17">
        <f t="shared" si="1268"/>
        <v>41805</v>
      </c>
      <c r="L1636" s="17" t="s">
        <v>221</v>
      </c>
      <c r="M1636" s="17" t="str">
        <f t="shared" si="1273"/>
        <v>1:11500:5</v>
      </c>
      <c r="N1636" s="16" t="str">
        <f t="shared" si="1258"/>
        <v>10035:1</v>
      </c>
      <c r="O1636" s="17">
        <f t="shared" si="1266"/>
        <v>9</v>
      </c>
      <c r="P1636" s="21" t="s">
        <v>4787</v>
      </c>
      <c r="Q1636" s="21"/>
      <c r="R1636" t="s">
        <v>4762</v>
      </c>
      <c r="T1636">
        <v>5</v>
      </c>
      <c r="U1636" t="str">
        <f t="shared" si="1255"/>
        <v>骑士</v>
      </c>
      <c r="V1636" t="s">
        <v>4782</v>
      </c>
      <c r="W1636">
        <f>属性类型!G1636</f>
        <v>10035</v>
      </c>
      <c r="X1636">
        <v>1</v>
      </c>
    </row>
    <row r="1637" customFormat="1" ht="16.5" spans="1:24">
      <c r="A1637" s="17">
        <f t="shared" si="1269"/>
        <v>41805</v>
      </c>
      <c r="B1637" s="17">
        <f t="shared" si="1247"/>
        <v>41800</v>
      </c>
      <c r="C1637" s="17" t="str">
        <f t="shared" si="1256"/>
        <v>4</v>
      </c>
      <c r="D1637" s="17">
        <f t="shared" si="1267"/>
        <v>40002</v>
      </c>
      <c r="E1637" s="17">
        <v>2</v>
      </c>
      <c r="F1637" s="17">
        <f t="shared" si="1265"/>
        <v>2</v>
      </c>
      <c r="G1637" s="17" t="str">
        <f t="shared" si="1270"/>
        <v>飞龙骑士攻击百分比</v>
      </c>
      <c r="H1637" s="17" t="str">
        <f t="shared" si="1271"/>
        <v>feibing02_Lv3</v>
      </c>
      <c r="I1637" s="20">
        <f t="shared" si="1272"/>
        <v>1.2</v>
      </c>
      <c r="J1637" s="17">
        <v>5</v>
      </c>
      <c r="K1637" s="17">
        <f t="shared" si="1268"/>
        <v>41806</v>
      </c>
      <c r="L1637" s="17" t="s">
        <v>224</v>
      </c>
      <c r="M1637" s="17" t="str">
        <f t="shared" si="1273"/>
        <v>1:11500:5</v>
      </c>
      <c r="N1637" s="16" t="str">
        <f t="shared" si="1258"/>
        <v>10035:1</v>
      </c>
      <c r="O1637" s="17">
        <f t="shared" si="1266"/>
        <v>9</v>
      </c>
      <c r="P1637" s="21" t="s">
        <v>4788</v>
      </c>
      <c r="Q1637" s="21"/>
      <c r="R1637" t="s">
        <v>4762</v>
      </c>
      <c r="T1637">
        <v>6</v>
      </c>
      <c r="U1637" t="str">
        <f t="shared" si="1255"/>
        <v>骑士</v>
      </c>
      <c r="V1637" t="s">
        <v>4782</v>
      </c>
      <c r="W1637">
        <f>属性类型!G1637</f>
        <v>10035</v>
      </c>
      <c r="X1637">
        <v>1</v>
      </c>
    </row>
    <row r="1638" customFormat="1" ht="16.5" spans="1:24">
      <c r="A1638" s="17">
        <f t="shared" si="1269"/>
        <v>41806</v>
      </c>
      <c r="B1638" s="17">
        <f t="shared" si="1247"/>
        <v>41800</v>
      </c>
      <c r="C1638" s="17" t="str">
        <f t="shared" si="1256"/>
        <v>4</v>
      </c>
      <c r="D1638" s="17">
        <f t="shared" si="1267"/>
        <v>40002</v>
      </c>
      <c r="E1638" s="17">
        <v>2</v>
      </c>
      <c r="F1638" s="17">
        <f t="shared" si="1265"/>
        <v>2</v>
      </c>
      <c r="G1638" s="17" t="str">
        <f t="shared" si="1270"/>
        <v>飞龙骑士攻击百分比</v>
      </c>
      <c r="H1638" s="17" t="str">
        <f t="shared" si="1271"/>
        <v>feibing02_Lv3</v>
      </c>
      <c r="I1638" s="20">
        <f t="shared" si="1272"/>
        <v>1.2</v>
      </c>
      <c r="J1638" s="17">
        <v>6</v>
      </c>
      <c r="K1638" s="17">
        <f t="shared" si="1268"/>
        <v>41807</v>
      </c>
      <c r="L1638" s="17" t="s">
        <v>227</v>
      </c>
      <c r="M1638" s="17" t="str">
        <f t="shared" si="1273"/>
        <v>1:11500:5</v>
      </c>
      <c r="N1638" s="16" t="str">
        <f t="shared" si="1258"/>
        <v>10035:1</v>
      </c>
      <c r="O1638" s="17">
        <f t="shared" si="1266"/>
        <v>9</v>
      </c>
      <c r="P1638" s="21" t="s">
        <v>4789</v>
      </c>
      <c r="Q1638" s="21"/>
      <c r="R1638" t="s">
        <v>4762</v>
      </c>
      <c r="T1638">
        <v>7</v>
      </c>
      <c r="U1638" t="str">
        <f t="shared" si="1255"/>
        <v>骑士</v>
      </c>
      <c r="V1638" t="s">
        <v>4782</v>
      </c>
      <c r="W1638">
        <f>属性类型!G1638</f>
        <v>10035</v>
      </c>
      <c r="X1638">
        <v>1</v>
      </c>
    </row>
    <row r="1639" customFormat="1" ht="16.5" spans="1:24">
      <c r="A1639" s="17">
        <f t="shared" si="1269"/>
        <v>41807</v>
      </c>
      <c r="B1639" s="17">
        <f t="shared" si="1247"/>
        <v>41800</v>
      </c>
      <c r="C1639" s="17" t="str">
        <f t="shared" si="1256"/>
        <v>4</v>
      </c>
      <c r="D1639" s="17">
        <f t="shared" si="1267"/>
        <v>40002</v>
      </c>
      <c r="E1639" s="17">
        <v>2</v>
      </c>
      <c r="F1639" s="17">
        <f t="shared" si="1265"/>
        <v>2</v>
      </c>
      <c r="G1639" s="17" t="str">
        <f t="shared" si="1270"/>
        <v>飞龙骑士攻击百分比</v>
      </c>
      <c r="H1639" s="17" t="str">
        <f t="shared" si="1271"/>
        <v>feibing02_Lv3</v>
      </c>
      <c r="I1639" s="20">
        <f t="shared" si="1272"/>
        <v>1.2</v>
      </c>
      <c r="J1639" s="17">
        <v>7</v>
      </c>
      <c r="K1639" s="17">
        <f t="shared" si="1268"/>
        <v>41808</v>
      </c>
      <c r="L1639" s="17" t="s">
        <v>230</v>
      </c>
      <c r="M1639" s="17" t="str">
        <f t="shared" si="1273"/>
        <v>1:11500:5</v>
      </c>
      <c r="N1639" s="16" t="str">
        <f t="shared" si="1258"/>
        <v>10035:1</v>
      </c>
      <c r="O1639" s="17">
        <f t="shared" si="1266"/>
        <v>9</v>
      </c>
      <c r="P1639" s="21" t="s">
        <v>4790</v>
      </c>
      <c r="Q1639" s="21"/>
      <c r="R1639" t="s">
        <v>4762</v>
      </c>
      <c r="T1639">
        <v>8</v>
      </c>
      <c r="U1639" t="str">
        <f t="shared" si="1255"/>
        <v>骑士</v>
      </c>
      <c r="V1639" t="s">
        <v>4782</v>
      </c>
      <c r="W1639">
        <f>属性类型!G1639</f>
        <v>10035</v>
      </c>
      <c r="X1639">
        <v>1</v>
      </c>
    </row>
    <row r="1640" customFormat="1" ht="16.5" spans="1:24">
      <c r="A1640" s="17">
        <f t="shared" si="1269"/>
        <v>41808</v>
      </c>
      <c r="B1640" s="17">
        <f t="shared" si="1247"/>
        <v>41800</v>
      </c>
      <c r="C1640" s="17" t="str">
        <f t="shared" si="1256"/>
        <v>4</v>
      </c>
      <c r="D1640" s="17">
        <f t="shared" si="1267"/>
        <v>40002</v>
      </c>
      <c r="E1640" s="17">
        <v>2</v>
      </c>
      <c r="F1640" s="17">
        <f t="shared" si="1265"/>
        <v>2</v>
      </c>
      <c r="G1640" s="17" t="str">
        <f t="shared" si="1270"/>
        <v>飞龙骑士攻击百分比</v>
      </c>
      <c r="H1640" s="17" t="str">
        <f t="shared" si="1271"/>
        <v>feibing02_Lv3</v>
      </c>
      <c r="I1640" s="20">
        <f t="shared" si="1272"/>
        <v>1.2</v>
      </c>
      <c r="J1640" s="17">
        <v>8</v>
      </c>
      <c r="K1640" s="17">
        <f t="shared" si="1268"/>
        <v>41809</v>
      </c>
      <c r="L1640" s="17" t="s">
        <v>233</v>
      </c>
      <c r="M1640" s="17" t="str">
        <f t="shared" si="1273"/>
        <v>1:11500:5</v>
      </c>
      <c r="N1640" s="16" t="str">
        <f t="shared" si="1258"/>
        <v>10035:1</v>
      </c>
      <c r="O1640" s="17">
        <f t="shared" si="1266"/>
        <v>9</v>
      </c>
      <c r="P1640" s="21" t="s">
        <v>4791</v>
      </c>
      <c r="Q1640" s="21"/>
      <c r="R1640" t="s">
        <v>4762</v>
      </c>
      <c r="T1640">
        <v>9</v>
      </c>
      <c r="U1640" t="str">
        <f t="shared" si="1255"/>
        <v>骑士</v>
      </c>
      <c r="V1640" t="s">
        <v>4782</v>
      </c>
      <c r="W1640">
        <f>属性类型!G1640</f>
        <v>10035</v>
      </c>
      <c r="X1640">
        <v>1</v>
      </c>
    </row>
    <row r="1641" customFormat="1" ht="16.5" spans="1:24">
      <c r="A1641" s="17">
        <f t="shared" si="1269"/>
        <v>41809</v>
      </c>
      <c r="B1641" s="17">
        <f t="shared" si="1247"/>
        <v>41800</v>
      </c>
      <c r="C1641" s="17" t="str">
        <f t="shared" si="1256"/>
        <v>4</v>
      </c>
      <c r="D1641" s="17">
        <f t="shared" si="1267"/>
        <v>40002</v>
      </c>
      <c r="E1641" s="17">
        <v>2</v>
      </c>
      <c r="F1641" s="17">
        <f t="shared" si="1265"/>
        <v>2</v>
      </c>
      <c r="G1641" s="17" t="str">
        <f t="shared" si="1270"/>
        <v>飞龙骑士攻击百分比</v>
      </c>
      <c r="H1641" s="17" t="str">
        <f t="shared" si="1271"/>
        <v>feibing02_Lv3</v>
      </c>
      <c r="I1641" s="20">
        <f t="shared" si="1272"/>
        <v>1.2</v>
      </c>
      <c r="J1641" s="17">
        <v>9</v>
      </c>
      <c r="K1641" s="17">
        <f t="shared" si="1268"/>
        <v>41810</v>
      </c>
      <c r="L1641" s="17" t="s">
        <v>236</v>
      </c>
      <c r="M1641" s="17" t="str">
        <f t="shared" si="1273"/>
        <v>1:11500:5</v>
      </c>
      <c r="N1641" s="16" t="str">
        <f t="shared" si="1258"/>
        <v>10035:1</v>
      </c>
      <c r="O1641" s="17">
        <f t="shared" si="1266"/>
        <v>9</v>
      </c>
      <c r="P1641" s="21" t="s">
        <v>4792</v>
      </c>
      <c r="Q1641" s="21"/>
      <c r="R1641" t="s">
        <v>4762</v>
      </c>
      <c r="T1641">
        <v>10</v>
      </c>
      <c r="U1641" t="str">
        <f t="shared" si="1255"/>
        <v>骑士</v>
      </c>
      <c r="V1641" t="s">
        <v>4782</v>
      </c>
      <c r="W1641">
        <f>属性类型!G1641</f>
        <v>10035</v>
      </c>
      <c r="X1641">
        <v>1</v>
      </c>
    </row>
    <row r="1642" customFormat="1" ht="16.5" spans="1:24">
      <c r="A1642" s="17">
        <f t="shared" si="1269"/>
        <v>41810</v>
      </c>
      <c r="B1642" s="17">
        <f t="shared" si="1247"/>
        <v>41800</v>
      </c>
      <c r="C1642" s="17" t="str">
        <f t="shared" si="1256"/>
        <v>4</v>
      </c>
      <c r="D1642" s="17">
        <f t="shared" si="1267"/>
        <v>40002</v>
      </c>
      <c r="E1642" s="17">
        <v>2</v>
      </c>
      <c r="F1642" s="17">
        <f t="shared" si="1265"/>
        <v>2</v>
      </c>
      <c r="G1642" s="17" t="str">
        <f t="shared" si="1270"/>
        <v>飞龙骑士攻击百分比</v>
      </c>
      <c r="H1642" s="17" t="str">
        <f t="shared" si="1271"/>
        <v>feibing02_Lv3</v>
      </c>
      <c r="I1642" s="20">
        <f t="shared" si="1272"/>
        <v>1.2</v>
      </c>
      <c r="J1642" s="17">
        <v>10</v>
      </c>
      <c r="K1642" s="17">
        <f t="shared" si="1268"/>
        <v>41811</v>
      </c>
      <c r="L1642" s="17" t="s">
        <v>238</v>
      </c>
      <c r="M1642" s="17" t="str">
        <f t="shared" si="1273"/>
        <v>1:11500:5</v>
      </c>
      <c r="N1642" s="16" t="str">
        <f t="shared" si="1258"/>
        <v>10035:1</v>
      </c>
      <c r="O1642" s="17">
        <f t="shared" si="1266"/>
        <v>9</v>
      </c>
      <c r="P1642" s="21" t="s">
        <v>4793</v>
      </c>
      <c r="Q1642" s="21"/>
      <c r="R1642" t="s">
        <v>4762</v>
      </c>
      <c r="T1642">
        <v>11</v>
      </c>
      <c r="U1642" t="str">
        <f t="shared" si="1255"/>
        <v>骑士</v>
      </c>
      <c r="V1642" t="s">
        <v>4782</v>
      </c>
      <c r="W1642">
        <f>属性类型!G1642</f>
        <v>10035</v>
      </c>
      <c r="X1642">
        <v>1</v>
      </c>
    </row>
    <row r="1643" customFormat="1" ht="16.5" spans="1:24">
      <c r="A1643" s="17">
        <f t="shared" si="1269"/>
        <v>41811</v>
      </c>
      <c r="B1643" s="17">
        <f t="shared" si="1247"/>
        <v>41800</v>
      </c>
      <c r="C1643" s="17" t="str">
        <f t="shared" si="1256"/>
        <v>4</v>
      </c>
      <c r="D1643" s="17">
        <f t="shared" si="1267"/>
        <v>40002</v>
      </c>
      <c r="E1643" s="17">
        <v>2</v>
      </c>
      <c r="F1643" s="17">
        <f t="shared" si="1265"/>
        <v>2</v>
      </c>
      <c r="G1643" s="17" t="str">
        <f t="shared" si="1270"/>
        <v>飞龙骑士攻击百分比</v>
      </c>
      <c r="H1643" s="17" t="str">
        <f t="shared" si="1271"/>
        <v>feibing02_Lv3</v>
      </c>
      <c r="I1643" s="20">
        <f t="shared" si="1272"/>
        <v>1.2</v>
      </c>
      <c r="J1643" s="17">
        <v>11</v>
      </c>
      <c r="K1643" s="17">
        <f t="shared" si="1268"/>
        <v>41812</v>
      </c>
      <c r="L1643" s="17" t="s">
        <v>529</v>
      </c>
      <c r="M1643" s="17" t="str">
        <f t="shared" si="1273"/>
        <v>1:11500:5</v>
      </c>
      <c r="N1643" s="16" t="str">
        <f t="shared" si="1258"/>
        <v>10035:1</v>
      </c>
      <c r="O1643" s="17">
        <f t="shared" si="1266"/>
        <v>9</v>
      </c>
      <c r="P1643" s="21" t="s">
        <v>4794</v>
      </c>
      <c r="Q1643" s="21"/>
      <c r="R1643" t="s">
        <v>4762</v>
      </c>
      <c r="T1643">
        <v>12</v>
      </c>
      <c r="U1643" t="str">
        <f t="shared" si="1255"/>
        <v>骑士</v>
      </c>
      <c r="V1643" t="s">
        <v>4782</v>
      </c>
      <c r="W1643">
        <f>属性类型!G1643</f>
        <v>10035</v>
      </c>
      <c r="X1643">
        <v>1</v>
      </c>
    </row>
    <row r="1644" customFormat="1" ht="16.5" spans="1:24">
      <c r="A1644" s="17">
        <f t="shared" si="1269"/>
        <v>41812</v>
      </c>
      <c r="B1644" s="17">
        <f t="shared" si="1247"/>
        <v>41800</v>
      </c>
      <c r="C1644" s="17" t="str">
        <f t="shared" si="1256"/>
        <v>4</v>
      </c>
      <c r="D1644" s="17">
        <f t="shared" si="1267"/>
        <v>40002</v>
      </c>
      <c r="E1644" s="17">
        <v>2</v>
      </c>
      <c r="F1644" s="17">
        <f t="shared" si="1265"/>
        <v>2</v>
      </c>
      <c r="G1644" s="17" t="str">
        <f t="shared" si="1270"/>
        <v>飞龙骑士攻击百分比</v>
      </c>
      <c r="H1644" s="17" t="str">
        <f t="shared" si="1271"/>
        <v>feibing02_Lv3</v>
      </c>
      <c r="I1644" s="20">
        <f t="shared" si="1272"/>
        <v>1.2</v>
      </c>
      <c r="J1644" s="17">
        <v>12</v>
      </c>
      <c r="K1644" s="17">
        <f t="shared" si="1268"/>
        <v>41813</v>
      </c>
      <c r="L1644" s="17" t="s">
        <v>532</v>
      </c>
      <c r="M1644" s="17" t="str">
        <f t="shared" si="1273"/>
        <v>1:11500:5</v>
      </c>
      <c r="N1644" s="16" t="str">
        <f t="shared" si="1258"/>
        <v>10035:1</v>
      </c>
      <c r="O1644" s="17">
        <f t="shared" si="1266"/>
        <v>9</v>
      </c>
      <c r="P1644" s="21" t="s">
        <v>4795</v>
      </c>
      <c r="Q1644" s="21"/>
      <c r="R1644" t="s">
        <v>4762</v>
      </c>
      <c r="T1644">
        <v>13</v>
      </c>
      <c r="U1644" t="str">
        <f t="shared" si="1255"/>
        <v>骑士</v>
      </c>
      <c r="V1644" t="s">
        <v>4782</v>
      </c>
      <c r="W1644">
        <f>属性类型!G1644</f>
        <v>10035</v>
      </c>
      <c r="X1644">
        <v>1</v>
      </c>
    </row>
    <row r="1645" customFormat="1" ht="16.5" spans="1:24">
      <c r="A1645" s="17">
        <f t="shared" si="1269"/>
        <v>41813</v>
      </c>
      <c r="B1645" s="17">
        <f t="shared" si="1247"/>
        <v>41800</v>
      </c>
      <c r="C1645" s="17" t="str">
        <f t="shared" si="1256"/>
        <v>4</v>
      </c>
      <c r="D1645" s="17">
        <f t="shared" si="1267"/>
        <v>40002</v>
      </c>
      <c r="E1645" s="17">
        <v>2</v>
      </c>
      <c r="F1645" s="17">
        <f t="shared" si="1265"/>
        <v>2</v>
      </c>
      <c r="G1645" s="17" t="str">
        <f t="shared" si="1270"/>
        <v>飞龙骑士攻击百分比</v>
      </c>
      <c r="H1645" s="17" t="str">
        <f t="shared" si="1271"/>
        <v>feibing02_Lv3</v>
      </c>
      <c r="I1645" s="20">
        <f t="shared" si="1272"/>
        <v>1.2</v>
      </c>
      <c r="J1645" s="17">
        <v>13</v>
      </c>
      <c r="K1645" s="17">
        <f t="shared" si="1268"/>
        <v>41814</v>
      </c>
      <c r="L1645" s="17" t="s">
        <v>561</v>
      </c>
      <c r="M1645" s="17" t="str">
        <f t="shared" si="1273"/>
        <v>1:11500:5</v>
      </c>
      <c r="N1645" s="16" t="str">
        <f t="shared" si="1258"/>
        <v>10035:1</v>
      </c>
      <c r="O1645" s="17">
        <f t="shared" si="1266"/>
        <v>9</v>
      </c>
      <c r="P1645" s="21" t="s">
        <v>4796</v>
      </c>
      <c r="Q1645" s="21"/>
      <c r="R1645" t="s">
        <v>4762</v>
      </c>
      <c r="T1645">
        <v>14</v>
      </c>
      <c r="U1645" t="str">
        <f t="shared" si="1255"/>
        <v>骑士</v>
      </c>
      <c r="V1645" t="s">
        <v>4782</v>
      </c>
      <c r="W1645">
        <f>属性类型!G1645</f>
        <v>10035</v>
      </c>
      <c r="X1645">
        <v>1</v>
      </c>
    </row>
    <row r="1646" customFormat="1" ht="16.5" spans="1:24">
      <c r="A1646" s="17">
        <f t="shared" si="1269"/>
        <v>41814</v>
      </c>
      <c r="B1646" s="17">
        <f t="shared" si="1247"/>
        <v>41800</v>
      </c>
      <c r="C1646" s="17" t="str">
        <f t="shared" si="1256"/>
        <v>4</v>
      </c>
      <c r="D1646" s="17">
        <f t="shared" si="1267"/>
        <v>40002</v>
      </c>
      <c r="E1646" s="17">
        <v>2</v>
      </c>
      <c r="F1646" s="17">
        <f t="shared" si="1265"/>
        <v>2</v>
      </c>
      <c r="G1646" s="17" t="str">
        <f t="shared" si="1270"/>
        <v>飞龙骑士攻击百分比</v>
      </c>
      <c r="H1646" s="17" t="str">
        <f t="shared" si="1271"/>
        <v>feibing02_Lv3</v>
      </c>
      <c r="I1646" s="20">
        <f t="shared" si="1272"/>
        <v>1.2</v>
      </c>
      <c r="J1646" s="17">
        <v>14</v>
      </c>
      <c r="K1646" s="17">
        <f t="shared" si="1268"/>
        <v>41815</v>
      </c>
      <c r="L1646" s="17" t="s">
        <v>564</v>
      </c>
      <c r="M1646" s="17" t="str">
        <f t="shared" si="1273"/>
        <v>1:11500:5</v>
      </c>
      <c r="N1646" s="16" t="str">
        <f t="shared" si="1258"/>
        <v>10035:1</v>
      </c>
      <c r="O1646" s="17">
        <f t="shared" si="1266"/>
        <v>9</v>
      </c>
      <c r="P1646" s="21" t="s">
        <v>4797</v>
      </c>
      <c r="Q1646" s="21"/>
      <c r="R1646" t="s">
        <v>4762</v>
      </c>
      <c r="T1646">
        <v>15</v>
      </c>
      <c r="U1646" t="str">
        <f t="shared" si="1255"/>
        <v>骑士</v>
      </c>
      <c r="V1646" t="s">
        <v>4782</v>
      </c>
      <c r="W1646">
        <f>属性类型!G1646</f>
        <v>10035</v>
      </c>
      <c r="X1646">
        <v>1</v>
      </c>
    </row>
    <row r="1647" customFormat="1" ht="16.5" spans="1:24">
      <c r="A1647" s="17">
        <f t="shared" si="1269"/>
        <v>41815</v>
      </c>
      <c r="B1647" s="17">
        <f t="shared" si="1247"/>
        <v>41800</v>
      </c>
      <c r="C1647" s="17" t="str">
        <f t="shared" si="1256"/>
        <v>4</v>
      </c>
      <c r="D1647" s="17">
        <f t="shared" si="1267"/>
        <v>40002</v>
      </c>
      <c r="E1647" s="17">
        <v>2</v>
      </c>
      <c r="F1647" s="17">
        <f t="shared" si="1265"/>
        <v>2</v>
      </c>
      <c r="G1647" s="17" t="str">
        <f t="shared" si="1270"/>
        <v>飞龙骑士攻击百分比</v>
      </c>
      <c r="H1647" s="17" t="str">
        <f t="shared" si="1271"/>
        <v>feibing02_Lv3</v>
      </c>
      <c r="I1647" s="20">
        <f t="shared" si="1272"/>
        <v>1.2</v>
      </c>
      <c r="J1647" s="17">
        <v>15</v>
      </c>
      <c r="K1647" s="17">
        <f t="shared" si="1268"/>
        <v>41816</v>
      </c>
      <c r="L1647" s="17" t="s">
        <v>630</v>
      </c>
      <c r="M1647" s="17" t="str">
        <f t="shared" si="1273"/>
        <v>1:11500:5</v>
      </c>
      <c r="N1647" s="16" t="str">
        <f t="shared" si="1258"/>
        <v>10035:1</v>
      </c>
      <c r="O1647" s="17">
        <f t="shared" si="1266"/>
        <v>9</v>
      </c>
      <c r="P1647" s="21" t="s">
        <v>4798</v>
      </c>
      <c r="Q1647" s="21"/>
      <c r="R1647" t="s">
        <v>4762</v>
      </c>
      <c r="T1647">
        <v>15</v>
      </c>
      <c r="U1647" t="str">
        <f t="shared" si="1255"/>
        <v>骑士</v>
      </c>
      <c r="V1647" t="s">
        <v>4782</v>
      </c>
      <c r="W1647">
        <f>属性类型!G1647</f>
        <v>10035</v>
      </c>
      <c r="X1647">
        <v>1</v>
      </c>
    </row>
    <row r="1648" customFormat="1" ht="16.5" spans="1:24">
      <c r="A1648" s="17">
        <f t="shared" si="1269"/>
        <v>41816</v>
      </c>
      <c r="B1648" s="17">
        <f t="shared" si="1247"/>
        <v>41800</v>
      </c>
      <c r="C1648" s="17" t="str">
        <f t="shared" si="1256"/>
        <v>4</v>
      </c>
      <c r="D1648" s="17">
        <f t="shared" si="1267"/>
        <v>40002</v>
      </c>
      <c r="E1648" s="17">
        <v>2</v>
      </c>
      <c r="F1648" s="17">
        <f t="shared" si="1265"/>
        <v>2</v>
      </c>
      <c r="G1648" s="17" t="str">
        <f t="shared" si="1270"/>
        <v>飞龙骑士攻击百分比</v>
      </c>
      <c r="H1648" s="17" t="str">
        <f t="shared" si="1271"/>
        <v>feibing02_Lv3</v>
      </c>
      <c r="I1648" s="20">
        <f t="shared" si="1272"/>
        <v>1.2</v>
      </c>
      <c r="J1648" s="17">
        <v>16</v>
      </c>
      <c r="K1648" s="17">
        <f t="shared" si="1268"/>
        <v>41817</v>
      </c>
      <c r="L1648" s="17" t="s">
        <v>633</v>
      </c>
      <c r="M1648" s="17" t="str">
        <f t="shared" si="1273"/>
        <v>1:11500:5</v>
      </c>
      <c r="N1648" s="16" t="str">
        <f t="shared" si="1258"/>
        <v>10035:1</v>
      </c>
      <c r="O1648" s="17">
        <f t="shared" si="1266"/>
        <v>9</v>
      </c>
      <c r="P1648" s="21" t="s">
        <v>4799</v>
      </c>
      <c r="Q1648" s="21"/>
      <c r="R1648" t="s">
        <v>4762</v>
      </c>
      <c r="U1648" t="str">
        <f t="shared" si="1255"/>
        <v>骑士</v>
      </c>
      <c r="V1648" t="s">
        <v>4782</v>
      </c>
      <c r="W1648">
        <f>属性类型!G1648</f>
        <v>10035</v>
      </c>
      <c r="X1648">
        <v>1</v>
      </c>
    </row>
    <row r="1649" customFormat="1" ht="16.5" spans="1:24">
      <c r="A1649" s="17">
        <f t="shared" si="1269"/>
        <v>41817</v>
      </c>
      <c r="B1649" s="17">
        <f t="shared" si="1247"/>
        <v>41800</v>
      </c>
      <c r="C1649" s="17" t="str">
        <f t="shared" si="1256"/>
        <v>4</v>
      </c>
      <c r="D1649" s="17">
        <f t="shared" si="1267"/>
        <v>40002</v>
      </c>
      <c r="E1649" s="17">
        <v>2</v>
      </c>
      <c r="F1649" s="17">
        <f t="shared" si="1265"/>
        <v>2</v>
      </c>
      <c r="G1649" s="17" t="str">
        <f t="shared" si="1270"/>
        <v>飞龙骑士攻击百分比</v>
      </c>
      <c r="H1649" s="17" t="str">
        <f t="shared" si="1271"/>
        <v>feibing02_Lv3</v>
      </c>
      <c r="I1649" s="20">
        <f t="shared" si="1272"/>
        <v>1.2</v>
      </c>
      <c r="J1649" s="17">
        <v>17</v>
      </c>
      <c r="K1649" s="17">
        <f t="shared" si="1268"/>
        <v>41818</v>
      </c>
      <c r="L1649" s="17" t="s">
        <v>637</v>
      </c>
      <c r="M1649" s="17" t="str">
        <f t="shared" si="1273"/>
        <v>1:11500:5</v>
      </c>
      <c r="N1649" s="16" t="str">
        <f t="shared" si="1258"/>
        <v>10035:1</v>
      </c>
      <c r="O1649" s="17">
        <f t="shared" si="1266"/>
        <v>9</v>
      </c>
      <c r="P1649" s="21" t="s">
        <v>4800</v>
      </c>
      <c r="Q1649" s="21"/>
      <c r="R1649" t="s">
        <v>4762</v>
      </c>
      <c r="U1649" t="str">
        <f t="shared" si="1255"/>
        <v>骑士</v>
      </c>
      <c r="V1649" t="s">
        <v>4782</v>
      </c>
      <c r="W1649">
        <f>属性类型!G1649</f>
        <v>10035</v>
      </c>
      <c r="X1649">
        <v>1</v>
      </c>
    </row>
    <row r="1650" customFormat="1" ht="16.5" spans="1:24">
      <c r="A1650" s="17">
        <f t="shared" si="1269"/>
        <v>41818</v>
      </c>
      <c r="B1650" s="17">
        <f t="shared" si="1247"/>
        <v>41800</v>
      </c>
      <c r="C1650" s="17" t="str">
        <f t="shared" si="1256"/>
        <v>4</v>
      </c>
      <c r="D1650" s="17">
        <f t="shared" si="1267"/>
        <v>40002</v>
      </c>
      <c r="E1650" s="17">
        <v>2</v>
      </c>
      <c r="F1650" s="17">
        <f t="shared" si="1265"/>
        <v>2</v>
      </c>
      <c r="G1650" s="17" t="str">
        <f t="shared" si="1270"/>
        <v>飞龙骑士攻击百分比</v>
      </c>
      <c r="H1650" s="17" t="str">
        <f t="shared" si="1271"/>
        <v>feibing02_Lv3</v>
      </c>
      <c r="I1650" s="20">
        <f t="shared" si="1272"/>
        <v>1.2</v>
      </c>
      <c r="J1650" s="17">
        <v>18</v>
      </c>
      <c r="K1650" s="17">
        <f t="shared" si="1268"/>
        <v>41819</v>
      </c>
      <c r="L1650" s="17" t="s">
        <v>641</v>
      </c>
      <c r="M1650" s="17" t="str">
        <f t="shared" si="1273"/>
        <v>1:11500:5</v>
      </c>
      <c r="N1650" s="16" t="str">
        <f t="shared" si="1258"/>
        <v>10035:1</v>
      </c>
      <c r="O1650" s="17">
        <f t="shared" si="1266"/>
        <v>9</v>
      </c>
      <c r="P1650" s="21" t="s">
        <v>4801</v>
      </c>
      <c r="Q1650" s="21"/>
      <c r="R1650" t="s">
        <v>4762</v>
      </c>
      <c r="U1650" t="str">
        <f t="shared" si="1255"/>
        <v>骑士</v>
      </c>
      <c r="V1650" t="s">
        <v>4782</v>
      </c>
      <c r="W1650">
        <f>属性类型!G1650</f>
        <v>10035</v>
      </c>
      <c r="X1650">
        <v>1</v>
      </c>
    </row>
    <row r="1651" customFormat="1" ht="16.5" spans="1:24">
      <c r="A1651" s="17">
        <f t="shared" si="1269"/>
        <v>41819</v>
      </c>
      <c r="B1651" s="17">
        <f t="shared" ref="B1651:B1673" si="1274">ROUND(A1651,-2)</f>
        <v>41800</v>
      </c>
      <c r="C1651" s="17" t="str">
        <f t="shared" si="1256"/>
        <v>4</v>
      </c>
      <c r="D1651" s="17">
        <f t="shared" si="1267"/>
        <v>40002</v>
      </c>
      <c r="E1651" s="17">
        <v>2</v>
      </c>
      <c r="F1651" s="17">
        <f t="shared" si="1265"/>
        <v>2</v>
      </c>
      <c r="G1651" s="17" t="str">
        <f t="shared" si="1270"/>
        <v>飞龙骑士攻击百分比</v>
      </c>
      <c r="H1651" s="17" t="str">
        <f t="shared" si="1271"/>
        <v>feibing02_Lv3</v>
      </c>
      <c r="I1651" s="20">
        <f t="shared" si="1272"/>
        <v>1.2</v>
      </c>
      <c r="J1651" s="17">
        <v>19</v>
      </c>
      <c r="K1651" s="17">
        <f t="shared" si="1268"/>
        <v>41820</v>
      </c>
      <c r="L1651" s="17" t="s">
        <v>645</v>
      </c>
      <c r="M1651" s="17" t="str">
        <f t="shared" si="1273"/>
        <v>1:11500:5</v>
      </c>
      <c r="N1651" s="16" t="str">
        <f t="shared" si="1258"/>
        <v>10035:1</v>
      </c>
      <c r="O1651" s="17">
        <f t="shared" si="1266"/>
        <v>9</v>
      </c>
      <c r="P1651" s="21" t="s">
        <v>4802</v>
      </c>
      <c r="Q1651" s="21"/>
      <c r="R1651" t="s">
        <v>4762</v>
      </c>
      <c r="U1651" t="str">
        <f t="shared" si="1255"/>
        <v>骑士</v>
      </c>
      <c r="V1651" t="s">
        <v>4782</v>
      </c>
      <c r="W1651">
        <f>属性类型!G1651</f>
        <v>10035</v>
      </c>
      <c r="X1651">
        <v>1</v>
      </c>
    </row>
    <row r="1652" customFormat="1" ht="16.5" spans="1:24">
      <c r="A1652" s="17">
        <f t="shared" si="1269"/>
        <v>41820</v>
      </c>
      <c r="B1652" s="17">
        <f t="shared" si="1274"/>
        <v>41800</v>
      </c>
      <c r="C1652" s="17" t="str">
        <f t="shared" si="1256"/>
        <v>4</v>
      </c>
      <c r="D1652" s="17">
        <f t="shared" si="1267"/>
        <v>40002</v>
      </c>
      <c r="E1652" s="17">
        <v>2</v>
      </c>
      <c r="F1652" s="17">
        <f t="shared" si="1265"/>
        <v>2</v>
      </c>
      <c r="G1652" s="17" t="str">
        <f t="shared" si="1270"/>
        <v>飞龙骑士攻击百分比</v>
      </c>
      <c r="H1652" s="17" t="str">
        <f t="shared" si="1271"/>
        <v>feibing02_Lv3</v>
      </c>
      <c r="I1652" s="20">
        <f t="shared" si="1272"/>
        <v>1.2</v>
      </c>
      <c r="J1652" s="17">
        <v>20</v>
      </c>
      <c r="K1652" s="17">
        <v>0</v>
      </c>
      <c r="L1652" s="17">
        <v>0</v>
      </c>
      <c r="M1652" s="17" t="str">
        <f t="shared" si="1273"/>
        <v>1:11500:5</v>
      </c>
      <c r="N1652" s="16" t="str">
        <f t="shared" si="1258"/>
        <v>10035:1</v>
      </c>
      <c r="O1652" s="17">
        <f t="shared" si="1266"/>
        <v>9</v>
      </c>
      <c r="P1652" s="21" t="s">
        <v>4802</v>
      </c>
      <c r="Q1652" s="21"/>
      <c r="R1652" t="s">
        <v>4762</v>
      </c>
      <c r="U1652" t="str">
        <f t="shared" si="1255"/>
        <v>骑士</v>
      </c>
      <c r="V1652" t="s">
        <v>4782</v>
      </c>
      <c r="W1652">
        <f>属性类型!G1652</f>
        <v>10035</v>
      </c>
      <c r="X1652">
        <v>1</v>
      </c>
    </row>
    <row r="1653" customFormat="1" ht="16.5" spans="1:24">
      <c r="A1653" s="18">
        <f>A1632+100</f>
        <v>41900</v>
      </c>
      <c r="B1653" s="18">
        <f t="shared" si="1274"/>
        <v>41900</v>
      </c>
      <c r="C1653" s="18" t="str">
        <f t="shared" ref="C1653:C1686" si="1275">LEFT(A1653,1)</f>
        <v>4</v>
      </c>
      <c r="D1653" s="17">
        <f t="shared" si="1267"/>
        <v>40002</v>
      </c>
      <c r="E1653" s="17">
        <v>2</v>
      </c>
      <c r="F1653" s="18">
        <f t="shared" si="1265"/>
        <v>2</v>
      </c>
      <c r="G1653" s="18" t="s">
        <v>4803</v>
      </c>
      <c r="H1653" s="18" t="s">
        <v>2361</v>
      </c>
      <c r="I1653" s="20">
        <v>1.2</v>
      </c>
      <c r="J1653" s="18">
        <v>0</v>
      </c>
      <c r="K1653" s="18">
        <f t="shared" ref="K1653:K1672" si="1276">A1654</f>
        <v>41901</v>
      </c>
      <c r="L1653" s="18" t="s">
        <v>206</v>
      </c>
      <c r="M1653" s="18" t="s">
        <v>502</v>
      </c>
      <c r="N1653" s="16" t="str">
        <f t="shared" si="1258"/>
        <v>10036:1</v>
      </c>
      <c r="O1653" s="18">
        <f t="shared" si="1266"/>
        <v>10</v>
      </c>
      <c r="P1653" s="21" t="s">
        <v>4804</v>
      </c>
      <c r="Q1653" s="21"/>
      <c r="R1653" t="s">
        <v>4762</v>
      </c>
      <c r="T1653" t="str">
        <f>RIGHT(N1653,1)</f>
        <v>1</v>
      </c>
      <c r="U1653" t="str">
        <f t="shared" si="1255"/>
        <v>骑士</v>
      </c>
      <c r="V1653" t="s">
        <v>4803</v>
      </c>
      <c r="W1653">
        <f>属性类型!G1653</f>
        <v>10036</v>
      </c>
      <c r="X1653">
        <v>1</v>
      </c>
    </row>
    <row r="1654" customFormat="1" ht="16.5" spans="1:24">
      <c r="A1654" s="17">
        <f t="shared" ref="A1654:A1673" si="1277">A1653+1</f>
        <v>41901</v>
      </c>
      <c r="B1654" s="17">
        <f t="shared" si="1274"/>
        <v>41900</v>
      </c>
      <c r="C1654" s="17" t="str">
        <f t="shared" si="1275"/>
        <v>4</v>
      </c>
      <c r="D1654" s="17">
        <f t="shared" si="1267"/>
        <v>40002</v>
      </c>
      <c r="E1654" s="17">
        <v>2</v>
      </c>
      <c r="F1654" s="17">
        <f t="shared" si="1265"/>
        <v>2</v>
      </c>
      <c r="G1654" s="17" t="str">
        <f t="shared" ref="G1654:G1673" si="1278">G1653</f>
        <v>飞龙骑士魔防百分比</v>
      </c>
      <c r="H1654" s="17" t="str">
        <f t="shared" ref="H1654:H1673" si="1279">H1653</f>
        <v>feibing02_Lv3</v>
      </c>
      <c r="I1654" s="20">
        <f t="shared" ref="I1654:I1673" si="1280">I1653</f>
        <v>1.2</v>
      </c>
      <c r="J1654" s="17">
        <v>1</v>
      </c>
      <c r="K1654" s="17">
        <f t="shared" si="1276"/>
        <v>41902</v>
      </c>
      <c r="L1654" s="17" t="s">
        <v>211</v>
      </c>
      <c r="M1654" s="17" t="str">
        <f t="shared" ref="M1654:M1673" si="1281">M1653</f>
        <v>1:11600:5</v>
      </c>
      <c r="N1654" s="16" t="str">
        <f t="shared" si="1258"/>
        <v>10036:1</v>
      </c>
      <c r="O1654" s="17">
        <f t="shared" si="1266"/>
        <v>10</v>
      </c>
      <c r="P1654" s="21" t="s">
        <v>4805</v>
      </c>
      <c r="Q1654" s="21"/>
      <c r="R1654" t="s">
        <v>4762</v>
      </c>
      <c r="T1654" t="str">
        <f t="shared" ref="T1654:T1673" si="1282">RIGHT(N1654,2)</f>
        <v>:1</v>
      </c>
      <c r="U1654" t="str">
        <f t="shared" si="1255"/>
        <v>骑士</v>
      </c>
      <c r="V1654" t="s">
        <v>4803</v>
      </c>
      <c r="W1654">
        <f>属性类型!G1654</f>
        <v>10036</v>
      </c>
      <c r="X1654">
        <v>1</v>
      </c>
    </row>
    <row r="1655" customFormat="1" ht="16.5" spans="1:24">
      <c r="A1655" s="17">
        <f t="shared" si="1277"/>
        <v>41902</v>
      </c>
      <c r="B1655" s="17">
        <f t="shared" si="1274"/>
        <v>41900</v>
      </c>
      <c r="C1655" s="17" t="str">
        <f t="shared" si="1275"/>
        <v>4</v>
      </c>
      <c r="D1655" s="17">
        <f t="shared" si="1267"/>
        <v>40002</v>
      </c>
      <c r="E1655" s="17">
        <v>2</v>
      </c>
      <c r="F1655" s="17">
        <f t="shared" si="1265"/>
        <v>2</v>
      </c>
      <c r="G1655" s="17" t="str">
        <f t="shared" si="1278"/>
        <v>飞龙骑士魔防百分比</v>
      </c>
      <c r="H1655" s="17" t="str">
        <f t="shared" si="1279"/>
        <v>feibing02_Lv3</v>
      </c>
      <c r="I1655" s="20">
        <f t="shared" si="1280"/>
        <v>1.2</v>
      </c>
      <c r="J1655" s="17">
        <v>2</v>
      </c>
      <c r="K1655" s="17">
        <f t="shared" si="1276"/>
        <v>41903</v>
      </c>
      <c r="L1655" s="17" t="s">
        <v>215</v>
      </c>
      <c r="M1655" s="17" t="str">
        <f t="shared" si="1281"/>
        <v>1:11600:5</v>
      </c>
      <c r="N1655" s="16" t="str">
        <f t="shared" si="1258"/>
        <v>10036:1</v>
      </c>
      <c r="O1655" s="17">
        <f t="shared" si="1266"/>
        <v>10</v>
      </c>
      <c r="P1655" s="21" t="s">
        <v>4806</v>
      </c>
      <c r="Q1655" s="21"/>
      <c r="R1655" t="s">
        <v>4762</v>
      </c>
      <c r="T1655" t="str">
        <f t="shared" si="1282"/>
        <v>:1</v>
      </c>
      <c r="U1655" t="str">
        <f t="shared" si="1255"/>
        <v>骑士</v>
      </c>
      <c r="V1655" t="s">
        <v>4803</v>
      </c>
      <c r="W1655">
        <f>属性类型!G1655</f>
        <v>10036</v>
      </c>
      <c r="X1655">
        <v>1</v>
      </c>
    </row>
    <row r="1656" customFormat="1" ht="16.5" spans="1:24">
      <c r="A1656" s="17">
        <f t="shared" si="1277"/>
        <v>41903</v>
      </c>
      <c r="B1656" s="17">
        <f t="shared" si="1274"/>
        <v>41900</v>
      </c>
      <c r="C1656" s="17" t="str">
        <f t="shared" si="1275"/>
        <v>4</v>
      </c>
      <c r="D1656" s="17">
        <f t="shared" si="1267"/>
        <v>40002</v>
      </c>
      <c r="E1656" s="17">
        <v>2</v>
      </c>
      <c r="F1656" s="17">
        <f t="shared" si="1265"/>
        <v>2</v>
      </c>
      <c r="G1656" s="17" t="str">
        <f t="shared" si="1278"/>
        <v>飞龙骑士魔防百分比</v>
      </c>
      <c r="H1656" s="17" t="str">
        <f t="shared" si="1279"/>
        <v>feibing02_Lv3</v>
      </c>
      <c r="I1656" s="20">
        <f t="shared" si="1280"/>
        <v>1.2</v>
      </c>
      <c r="J1656" s="17">
        <v>3</v>
      </c>
      <c r="K1656" s="17">
        <f t="shared" si="1276"/>
        <v>41904</v>
      </c>
      <c r="L1656" s="17" t="s">
        <v>218</v>
      </c>
      <c r="M1656" s="17" t="str">
        <f t="shared" si="1281"/>
        <v>1:11600:5</v>
      </c>
      <c r="N1656" s="16" t="str">
        <f t="shared" si="1258"/>
        <v>10036:1</v>
      </c>
      <c r="O1656" s="17">
        <f t="shared" si="1266"/>
        <v>10</v>
      </c>
      <c r="P1656" s="21" t="s">
        <v>4807</v>
      </c>
      <c r="Q1656" s="21"/>
      <c r="R1656" t="s">
        <v>4762</v>
      </c>
      <c r="T1656" t="str">
        <f t="shared" si="1282"/>
        <v>:1</v>
      </c>
      <c r="U1656" t="str">
        <f t="shared" si="1255"/>
        <v>骑士</v>
      </c>
      <c r="V1656" t="s">
        <v>4803</v>
      </c>
      <c r="W1656">
        <f>属性类型!G1656</f>
        <v>10036</v>
      </c>
      <c r="X1656">
        <v>1</v>
      </c>
    </row>
    <row r="1657" customFormat="1" ht="16.5" spans="1:24">
      <c r="A1657" s="17">
        <f t="shared" si="1277"/>
        <v>41904</v>
      </c>
      <c r="B1657" s="17">
        <f t="shared" si="1274"/>
        <v>41900</v>
      </c>
      <c r="C1657" s="17" t="str">
        <f t="shared" si="1275"/>
        <v>4</v>
      </c>
      <c r="D1657" s="17">
        <f t="shared" si="1267"/>
        <v>40002</v>
      </c>
      <c r="E1657" s="17">
        <v>2</v>
      </c>
      <c r="F1657" s="17">
        <f t="shared" si="1265"/>
        <v>2</v>
      </c>
      <c r="G1657" s="17" t="str">
        <f t="shared" si="1278"/>
        <v>飞龙骑士魔防百分比</v>
      </c>
      <c r="H1657" s="17" t="str">
        <f t="shared" si="1279"/>
        <v>feibing02_Lv3</v>
      </c>
      <c r="I1657" s="20">
        <f t="shared" si="1280"/>
        <v>1.2</v>
      </c>
      <c r="J1657" s="17">
        <v>4</v>
      </c>
      <c r="K1657" s="17">
        <f t="shared" si="1276"/>
        <v>41905</v>
      </c>
      <c r="L1657" s="17" t="s">
        <v>221</v>
      </c>
      <c r="M1657" s="17" t="str">
        <f t="shared" si="1281"/>
        <v>1:11600:5</v>
      </c>
      <c r="N1657" s="16" t="str">
        <f t="shared" si="1258"/>
        <v>10036:1</v>
      </c>
      <c r="O1657" s="17">
        <f t="shared" si="1266"/>
        <v>10</v>
      </c>
      <c r="P1657" s="21" t="s">
        <v>4808</v>
      </c>
      <c r="Q1657" s="21"/>
      <c r="R1657" t="s">
        <v>4762</v>
      </c>
      <c r="T1657" t="str">
        <f t="shared" si="1282"/>
        <v>:1</v>
      </c>
      <c r="U1657" t="str">
        <f t="shared" si="1255"/>
        <v>骑士</v>
      </c>
      <c r="V1657" t="s">
        <v>4803</v>
      </c>
      <c r="W1657">
        <f>属性类型!G1657</f>
        <v>10036</v>
      </c>
      <c r="X1657">
        <v>1</v>
      </c>
    </row>
    <row r="1658" customFormat="1" ht="16.5" spans="1:24">
      <c r="A1658" s="17">
        <f t="shared" si="1277"/>
        <v>41905</v>
      </c>
      <c r="B1658" s="17">
        <f t="shared" si="1274"/>
        <v>41900</v>
      </c>
      <c r="C1658" s="17" t="str">
        <f t="shared" si="1275"/>
        <v>4</v>
      </c>
      <c r="D1658" s="17">
        <f t="shared" si="1267"/>
        <v>40002</v>
      </c>
      <c r="E1658" s="17">
        <v>2</v>
      </c>
      <c r="F1658" s="17">
        <f t="shared" si="1265"/>
        <v>2</v>
      </c>
      <c r="G1658" s="17" t="str">
        <f t="shared" si="1278"/>
        <v>飞龙骑士魔防百分比</v>
      </c>
      <c r="H1658" s="17" t="str">
        <f t="shared" si="1279"/>
        <v>feibing02_Lv3</v>
      </c>
      <c r="I1658" s="20">
        <f t="shared" si="1280"/>
        <v>1.2</v>
      </c>
      <c r="J1658" s="17">
        <v>5</v>
      </c>
      <c r="K1658" s="17">
        <f t="shared" si="1276"/>
        <v>41906</v>
      </c>
      <c r="L1658" s="17" t="s">
        <v>224</v>
      </c>
      <c r="M1658" s="17" t="str">
        <f t="shared" si="1281"/>
        <v>1:11600:5</v>
      </c>
      <c r="N1658" s="16" t="str">
        <f t="shared" si="1258"/>
        <v>10036:1</v>
      </c>
      <c r="O1658" s="17">
        <f t="shared" si="1266"/>
        <v>10</v>
      </c>
      <c r="P1658" s="21" t="s">
        <v>4809</v>
      </c>
      <c r="Q1658" s="21"/>
      <c r="R1658" t="s">
        <v>4762</v>
      </c>
      <c r="T1658" t="str">
        <f t="shared" si="1282"/>
        <v>:1</v>
      </c>
      <c r="U1658" t="str">
        <f t="shared" si="1255"/>
        <v>骑士</v>
      </c>
      <c r="V1658" t="s">
        <v>4803</v>
      </c>
      <c r="W1658">
        <f>属性类型!G1658</f>
        <v>10036</v>
      </c>
      <c r="X1658">
        <v>1</v>
      </c>
    </row>
    <row r="1659" customFormat="1" ht="16.5" spans="1:24">
      <c r="A1659" s="17">
        <f t="shared" si="1277"/>
        <v>41906</v>
      </c>
      <c r="B1659" s="17">
        <f t="shared" si="1274"/>
        <v>41900</v>
      </c>
      <c r="C1659" s="17" t="str">
        <f t="shared" si="1275"/>
        <v>4</v>
      </c>
      <c r="D1659" s="17">
        <f t="shared" si="1267"/>
        <v>40002</v>
      </c>
      <c r="E1659" s="17">
        <v>2</v>
      </c>
      <c r="F1659" s="17">
        <f t="shared" si="1265"/>
        <v>2</v>
      </c>
      <c r="G1659" s="17" t="str">
        <f t="shared" si="1278"/>
        <v>飞龙骑士魔防百分比</v>
      </c>
      <c r="H1659" s="17" t="str">
        <f t="shared" si="1279"/>
        <v>feibing02_Lv3</v>
      </c>
      <c r="I1659" s="20">
        <f t="shared" si="1280"/>
        <v>1.2</v>
      </c>
      <c r="J1659" s="17">
        <v>6</v>
      </c>
      <c r="K1659" s="17">
        <f t="shared" si="1276"/>
        <v>41907</v>
      </c>
      <c r="L1659" s="17" t="s">
        <v>227</v>
      </c>
      <c r="M1659" s="17" t="str">
        <f t="shared" si="1281"/>
        <v>1:11600:5</v>
      </c>
      <c r="N1659" s="16" t="str">
        <f t="shared" si="1258"/>
        <v>10036:1</v>
      </c>
      <c r="O1659" s="17">
        <f t="shared" si="1266"/>
        <v>10</v>
      </c>
      <c r="P1659" s="21" t="s">
        <v>4810</v>
      </c>
      <c r="Q1659" s="21"/>
      <c r="R1659" t="s">
        <v>4762</v>
      </c>
      <c r="T1659" t="str">
        <f t="shared" si="1282"/>
        <v>:1</v>
      </c>
      <c r="U1659" t="str">
        <f t="shared" si="1255"/>
        <v>骑士</v>
      </c>
      <c r="V1659" t="s">
        <v>4803</v>
      </c>
      <c r="W1659">
        <f>属性类型!G1659</f>
        <v>10036</v>
      </c>
      <c r="X1659">
        <v>1</v>
      </c>
    </row>
    <row r="1660" customFormat="1" ht="16.5" spans="1:24">
      <c r="A1660" s="17">
        <f t="shared" si="1277"/>
        <v>41907</v>
      </c>
      <c r="B1660" s="17">
        <f t="shared" si="1274"/>
        <v>41900</v>
      </c>
      <c r="C1660" s="17" t="str">
        <f t="shared" si="1275"/>
        <v>4</v>
      </c>
      <c r="D1660" s="17">
        <f t="shared" si="1267"/>
        <v>40002</v>
      </c>
      <c r="E1660" s="17">
        <v>2</v>
      </c>
      <c r="F1660" s="17">
        <f t="shared" si="1265"/>
        <v>2</v>
      </c>
      <c r="G1660" s="17" t="str">
        <f t="shared" si="1278"/>
        <v>飞龙骑士魔防百分比</v>
      </c>
      <c r="H1660" s="17" t="str">
        <f t="shared" si="1279"/>
        <v>feibing02_Lv3</v>
      </c>
      <c r="I1660" s="20">
        <f t="shared" si="1280"/>
        <v>1.2</v>
      </c>
      <c r="J1660" s="17">
        <v>7</v>
      </c>
      <c r="K1660" s="17">
        <f t="shared" si="1276"/>
        <v>41908</v>
      </c>
      <c r="L1660" s="17" t="s">
        <v>230</v>
      </c>
      <c r="M1660" s="17" t="str">
        <f t="shared" si="1281"/>
        <v>1:11600:5</v>
      </c>
      <c r="N1660" s="16" t="str">
        <f t="shared" si="1258"/>
        <v>10036:1</v>
      </c>
      <c r="O1660" s="17">
        <f t="shared" si="1266"/>
        <v>10</v>
      </c>
      <c r="P1660" s="21" t="s">
        <v>4811</v>
      </c>
      <c r="Q1660" s="21"/>
      <c r="R1660" t="s">
        <v>4762</v>
      </c>
      <c r="T1660" t="str">
        <f t="shared" si="1282"/>
        <v>:1</v>
      </c>
      <c r="U1660" t="str">
        <f t="shared" si="1255"/>
        <v>骑士</v>
      </c>
      <c r="V1660" t="s">
        <v>4803</v>
      </c>
      <c r="W1660">
        <f>属性类型!G1660</f>
        <v>10036</v>
      </c>
      <c r="X1660">
        <v>1</v>
      </c>
    </row>
    <row r="1661" customFormat="1" ht="16.5" spans="1:24">
      <c r="A1661" s="17">
        <f t="shared" si="1277"/>
        <v>41908</v>
      </c>
      <c r="B1661" s="17">
        <f t="shared" si="1274"/>
        <v>41900</v>
      </c>
      <c r="C1661" s="17" t="str">
        <f t="shared" si="1275"/>
        <v>4</v>
      </c>
      <c r="D1661" s="17">
        <f t="shared" si="1267"/>
        <v>40002</v>
      </c>
      <c r="E1661" s="17">
        <v>2</v>
      </c>
      <c r="F1661" s="17">
        <f t="shared" si="1265"/>
        <v>2</v>
      </c>
      <c r="G1661" s="17" t="str">
        <f t="shared" si="1278"/>
        <v>飞龙骑士魔防百分比</v>
      </c>
      <c r="H1661" s="17" t="str">
        <f t="shared" si="1279"/>
        <v>feibing02_Lv3</v>
      </c>
      <c r="I1661" s="20">
        <f t="shared" si="1280"/>
        <v>1.2</v>
      </c>
      <c r="J1661" s="17">
        <v>8</v>
      </c>
      <c r="K1661" s="17">
        <f t="shared" si="1276"/>
        <v>41909</v>
      </c>
      <c r="L1661" s="17" t="s">
        <v>233</v>
      </c>
      <c r="M1661" s="17" t="str">
        <f t="shared" si="1281"/>
        <v>1:11600:5</v>
      </c>
      <c r="N1661" s="16" t="str">
        <f t="shared" si="1258"/>
        <v>10036:1</v>
      </c>
      <c r="O1661" s="17">
        <f t="shared" si="1266"/>
        <v>10</v>
      </c>
      <c r="P1661" s="21" t="s">
        <v>4812</v>
      </c>
      <c r="Q1661" s="21"/>
      <c r="R1661" t="s">
        <v>4762</v>
      </c>
      <c r="T1661" t="str">
        <f t="shared" si="1282"/>
        <v>:1</v>
      </c>
      <c r="U1661" t="str">
        <f t="shared" si="1255"/>
        <v>骑士</v>
      </c>
      <c r="V1661" t="s">
        <v>4803</v>
      </c>
      <c r="W1661">
        <f>属性类型!G1661</f>
        <v>10036</v>
      </c>
      <c r="X1661">
        <v>1</v>
      </c>
    </row>
    <row r="1662" customFormat="1" ht="16.5" spans="1:24">
      <c r="A1662" s="17">
        <f t="shared" si="1277"/>
        <v>41909</v>
      </c>
      <c r="B1662" s="17">
        <f t="shared" si="1274"/>
        <v>41900</v>
      </c>
      <c r="C1662" s="17" t="str">
        <f t="shared" si="1275"/>
        <v>4</v>
      </c>
      <c r="D1662" s="17">
        <f t="shared" si="1267"/>
        <v>40002</v>
      </c>
      <c r="E1662" s="17">
        <v>2</v>
      </c>
      <c r="F1662" s="17">
        <f t="shared" si="1265"/>
        <v>2</v>
      </c>
      <c r="G1662" s="17" t="str">
        <f t="shared" si="1278"/>
        <v>飞龙骑士魔防百分比</v>
      </c>
      <c r="H1662" s="17" t="str">
        <f t="shared" si="1279"/>
        <v>feibing02_Lv3</v>
      </c>
      <c r="I1662" s="20">
        <f t="shared" si="1280"/>
        <v>1.2</v>
      </c>
      <c r="J1662" s="17">
        <v>9</v>
      </c>
      <c r="K1662" s="17">
        <f t="shared" si="1276"/>
        <v>41910</v>
      </c>
      <c r="L1662" s="17" t="s">
        <v>236</v>
      </c>
      <c r="M1662" s="17" t="str">
        <f t="shared" si="1281"/>
        <v>1:11600:5</v>
      </c>
      <c r="N1662" s="16" t="str">
        <f t="shared" si="1258"/>
        <v>10036:1</v>
      </c>
      <c r="O1662" s="17">
        <f t="shared" si="1266"/>
        <v>10</v>
      </c>
      <c r="P1662" s="21" t="s">
        <v>4813</v>
      </c>
      <c r="Q1662" s="21"/>
      <c r="R1662" t="s">
        <v>4762</v>
      </c>
      <c r="T1662" t="str">
        <f t="shared" si="1282"/>
        <v>:1</v>
      </c>
      <c r="U1662" t="str">
        <f t="shared" si="1255"/>
        <v>骑士</v>
      </c>
      <c r="V1662" t="s">
        <v>4803</v>
      </c>
      <c r="W1662">
        <f>属性类型!G1662</f>
        <v>10036</v>
      </c>
      <c r="X1662">
        <v>1</v>
      </c>
    </row>
    <row r="1663" customFormat="1" ht="16.5" spans="1:24">
      <c r="A1663" s="17">
        <f t="shared" si="1277"/>
        <v>41910</v>
      </c>
      <c r="B1663" s="17">
        <f t="shared" si="1274"/>
        <v>41900</v>
      </c>
      <c r="C1663" s="17" t="str">
        <f t="shared" si="1275"/>
        <v>4</v>
      </c>
      <c r="D1663" s="17">
        <f t="shared" si="1267"/>
        <v>40002</v>
      </c>
      <c r="E1663" s="17">
        <v>2</v>
      </c>
      <c r="F1663" s="17">
        <f t="shared" si="1265"/>
        <v>2</v>
      </c>
      <c r="G1663" s="17" t="str">
        <f t="shared" si="1278"/>
        <v>飞龙骑士魔防百分比</v>
      </c>
      <c r="H1663" s="17" t="str">
        <f t="shared" si="1279"/>
        <v>feibing02_Lv3</v>
      </c>
      <c r="I1663" s="20">
        <f t="shared" si="1280"/>
        <v>1.2</v>
      </c>
      <c r="J1663" s="17">
        <v>10</v>
      </c>
      <c r="K1663" s="17">
        <f t="shared" si="1276"/>
        <v>41911</v>
      </c>
      <c r="L1663" s="17" t="s">
        <v>238</v>
      </c>
      <c r="M1663" s="17" t="str">
        <f t="shared" si="1281"/>
        <v>1:11600:5</v>
      </c>
      <c r="N1663" s="16" t="str">
        <f t="shared" si="1258"/>
        <v>10036:1</v>
      </c>
      <c r="O1663" s="17">
        <f t="shared" si="1266"/>
        <v>10</v>
      </c>
      <c r="P1663" s="21" t="s">
        <v>4814</v>
      </c>
      <c r="Q1663" s="21"/>
      <c r="R1663" t="s">
        <v>4762</v>
      </c>
      <c r="T1663" t="str">
        <f t="shared" si="1282"/>
        <v>:1</v>
      </c>
      <c r="U1663" t="str">
        <f t="shared" si="1255"/>
        <v>骑士</v>
      </c>
      <c r="V1663" t="s">
        <v>4803</v>
      </c>
      <c r="W1663">
        <f>属性类型!G1663</f>
        <v>10036</v>
      </c>
      <c r="X1663">
        <v>1</v>
      </c>
    </row>
    <row r="1664" customFormat="1" ht="16.5" spans="1:24">
      <c r="A1664" s="17">
        <f t="shared" si="1277"/>
        <v>41911</v>
      </c>
      <c r="B1664" s="17">
        <f t="shared" si="1274"/>
        <v>41900</v>
      </c>
      <c r="C1664" s="17" t="str">
        <f t="shared" si="1275"/>
        <v>4</v>
      </c>
      <c r="D1664" s="17">
        <f t="shared" si="1267"/>
        <v>40002</v>
      </c>
      <c r="E1664" s="17">
        <v>2</v>
      </c>
      <c r="F1664" s="17">
        <f t="shared" si="1265"/>
        <v>2</v>
      </c>
      <c r="G1664" s="17" t="str">
        <f t="shared" si="1278"/>
        <v>飞龙骑士魔防百分比</v>
      </c>
      <c r="H1664" s="17" t="str">
        <f t="shared" si="1279"/>
        <v>feibing02_Lv3</v>
      </c>
      <c r="I1664" s="20">
        <f t="shared" si="1280"/>
        <v>1.2</v>
      </c>
      <c r="J1664" s="17">
        <v>11</v>
      </c>
      <c r="K1664" s="17">
        <f t="shared" si="1276"/>
        <v>41912</v>
      </c>
      <c r="L1664" s="17" t="s">
        <v>529</v>
      </c>
      <c r="M1664" s="17" t="str">
        <f t="shared" si="1281"/>
        <v>1:11600:5</v>
      </c>
      <c r="N1664" s="16" t="str">
        <f t="shared" si="1258"/>
        <v>10036:1</v>
      </c>
      <c r="O1664" s="17">
        <f t="shared" si="1266"/>
        <v>10</v>
      </c>
      <c r="P1664" s="21" t="s">
        <v>4815</v>
      </c>
      <c r="Q1664" s="21"/>
      <c r="R1664" t="s">
        <v>4762</v>
      </c>
      <c r="T1664" t="str">
        <f t="shared" si="1282"/>
        <v>:1</v>
      </c>
      <c r="U1664" t="str">
        <f t="shared" si="1255"/>
        <v>骑士</v>
      </c>
      <c r="V1664" t="s">
        <v>4803</v>
      </c>
      <c r="W1664">
        <f>属性类型!G1664</f>
        <v>10036</v>
      </c>
      <c r="X1664">
        <v>1</v>
      </c>
    </row>
    <row r="1665" customFormat="1" ht="16.5" spans="1:24">
      <c r="A1665" s="17">
        <f t="shared" si="1277"/>
        <v>41912</v>
      </c>
      <c r="B1665" s="17">
        <f t="shared" si="1274"/>
        <v>41900</v>
      </c>
      <c r="C1665" s="17" t="str">
        <f t="shared" si="1275"/>
        <v>4</v>
      </c>
      <c r="D1665" s="17">
        <f t="shared" si="1267"/>
        <v>40002</v>
      </c>
      <c r="E1665" s="17">
        <v>2</v>
      </c>
      <c r="F1665" s="17">
        <f t="shared" si="1265"/>
        <v>2</v>
      </c>
      <c r="G1665" s="17" t="str">
        <f t="shared" si="1278"/>
        <v>飞龙骑士魔防百分比</v>
      </c>
      <c r="H1665" s="17" t="str">
        <f t="shared" si="1279"/>
        <v>feibing02_Lv3</v>
      </c>
      <c r="I1665" s="20">
        <f t="shared" si="1280"/>
        <v>1.2</v>
      </c>
      <c r="J1665" s="17">
        <v>12</v>
      </c>
      <c r="K1665" s="17">
        <f t="shared" si="1276"/>
        <v>41913</v>
      </c>
      <c r="L1665" s="17" t="s">
        <v>532</v>
      </c>
      <c r="M1665" s="17" t="str">
        <f t="shared" si="1281"/>
        <v>1:11600:5</v>
      </c>
      <c r="N1665" s="16" t="str">
        <f t="shared" si="1258"/>
        <v>10036:1</v>
      </c>
      <c r="O1665" s="17">
        <f t="shared" si="1266"/>
        <v>10</v>
      </c>
      <c r="P1665" s="21" t="s">
        <v>4816</v>
      </c>
      <c r="Q1665" s="21"/>
      <c r="R1665" t="s">
        <v>4762</v>
      </c>
      <c r="T1665" t="str">
        <f t="shared" si="1282"/>
        <v>:1</v>
      </c>
      <c r="U1665" t="str">
        <f t="shared" si="1255"/>
        <v>骑士</v>
      </c>
      <c r="V1665" t="s">
        <v>4803</v>
      </c>
      <c r="W1665">
        <f>属性类型!G1665</f>
        <v>10036</v>
      </c>
      <c r="X1665">
        <v>1</v>
      </c>
    </row>
    <row r="1666" customFormat="1" ht="16.5" spans="1:24">
      <c r="A1666" s="17">
        <f t="shared" si="1277"/>
        <v>41913</v>
      </c>
      <c r="B1666" s="17">
        <f t="shared" si="1274"/>
        <v>41900</v>
      </c>
      <c r="C1666" s="17" t="str">
        <f t="shared" si="1275"/>
        <v>4</v>
      </c>
      <c r="D1666" s="17">
        <f t="shared" si="1267"/>
        <v>40002</v>
      </c>
      <c r="E1666" s="17">
        <v>2</v>
      </c>
      <c r="F1666" s="17">
        <f t="shared" si="1265"/>
        <v>2</v>
      </c>
      <c r="G1666" s="17" t="str">
        <f t="shared" si="1278"/>
        <v>飞龙骑士魔防百分比</v>
      </c>
      <c r="H1666" s="17" t="str">
        <f t="shared" si="1279"/>
        <v>feibing02_Lv3</v>
      </c>
      <c r="I1666" s="20">
        <f t="shared" si="1280"/>
        <v>1.2</v>
      </c>
      <c r="J1666" s="17">
        <v>13</v>
      </c>
      <c r="K1666" s="17">
        <f t="shared" si="1276"/>
        <v>41914</v>
      </c>
      <c r="L1666" s="17" t="s">
        <v>561</v>
      </c>
      <c r="M1666" s="17" t="str">
        <f t="shared" si="1281"/>
        <v>1:11600:5</v>
      </c>
      <c r="N1666" s="16" t="str">
        <f t="shared" si="1258"/>
        <v>10036:1</v>
      </c>
      <c r="O1666" s="17">
        <f t="shared" si="1266"/>
        <v>10</v>
      </c>
      <c r="P1666" s="21" t="s">
        <v>4817</v>
      </c>
      <c r="Q1666" s="21"/>
      <c r="R1666" t="s">
        <v>4762</v>
      </c>
      <c r="T1666" t="str">
        <f t="shared" si="1282"/>
        <v>:1</v>
      </c>
      <c r="U1666" t="str">
        <f t="shared" si="1255"/>
        <v>骑士</v>
      </c>
      <c r="V1666" t="s">
        <v>4803</v>
      </c>
      <c r="W1666">
        <f>属性类型!G1666</f>
        <v>10036</v>
      </c>
      <c r="X1666">
        <v>1</v>
      </c>
    </row>
    <row r="1667" customFormat="1" ht="16.5" spans="1:24">
      <c r="A1667" s="17">
        <f t="shared" si="1277"/>
        <v>41914</v>
      </c>
      <c r="B1667" s="17">
        <f t="shared" si="1274"/>
        <v>41900</v>
      </c>
      <c r="C1667" s="17" t="str">
        <f t="shared" si="1275"/>
        <v>4</v>
      </c>
      <c r="D1667" s="17">
        <f t="shared" si="1267"/>
        <v>40002</v>
      </c>
      <c r="E1667" s="17">
        <v>2</v>
      </c>
      <c r="F1667" s="17">
        <f t="shared" si="1265"/>
        <v>2</v>
      </c>
      <c r="G1667" s="17" t="str">
        <f t="shared" si="1278"/>
        <v>飞龙骑士魔防百分比</v>
      </c>
      <c r="H1667" s="17" t="str">
        <f t="shared" si="1279"/>
        <v>feibing02_Lv3</v>
      </c>
      <c r="I1667" s="20">
        <f t="shared" si="1280"/>
        <v>1.2</v>
      </c>
      <c r="J1667" s="17">
        <v>14</v>
      </c>
      <c r="K1667" s="17">
        <f t="shared" si="1276"/>
        <v>41915</v>
      </c>
      <c r="L1667" s="17" t="s">
        <v>564</v>
      </c>
      <c r="M1667" s="17" t="str">
        <f t="shared" si="1281"/>
        <v>1:11600:5</v>
      </c>
      <c r="N1667" s="16" t="str">
        <f t="shared" si="1258"/>
        <v>10036:1</v>
      </c>
      <c r="O1667" s="17">
        <f t="shared" si="1266"/>
        <v>10</v>
      </c>
      <c r="P1667" s="21" t="s">
        <v>4818</v>
      </c>
      <c r="Q1667" s="21"/>
      <c r="R1667" t="s">
        <v>4762</v>
      </c>
      <c r="T1667" t="str">
        <f t="shared" si="1282"/>
        <v>:1</v>
      </c>
      <c r="U1667" t="str">
        <f t="shared" si="1255"/>
        <v>骑士</v>
      </c>
      <c r="V1667" t="s">
        <v>4803</v>
      </c>
      <c r="W1667">
        <f>属性类型!G1667</f>
        <v>10036</v>
      </c>
      <c r="X1667">
        <v>1</v>
      </c>
    </row>
    <row r="1668" customFormat="1" ht="16.5" spans="1:24">
      <c r="A1668" s="17">
        <f t="shared" si="1277"/>
        <v>41915</v>
      </c>
      <c r="B1668" s="17">
        <f t="shared" si="1274"/>
        <v>41900</v>
      </c>
      <c r="C1668" s="17" t="str">
        <f t="shared" si="1275"/>
        <v>4</v>
      </c>
      <c r="D1668" s="17">
        <f t="shared" si="1267"/>
        <v>40002</v>
      </c>
      <c r="E1668" s="17">
        <v>2</v>
      </c>
      <c r="F1668" s="17">
        <f t="shared" si="1265"/>
        <v>2</v>
      </c>
      <c r="G1668" s="17" t="str">
        <f t="shared" si="1278"/>
        <v>飞龙骑士魔防百分比</v>
      </c>
      <c r="H1668" s="17" t="str">
        <f t="shared" si="1279"/>
        <v>feibing02_Lv3</v>
      </c>
      <c r="I1668" s="20">
        <f t="shared" si="1280"/>
        <v>1.2</v>
      </c>
      <c r="J1668" s="17">
        <v>15</v>
      </c>
      <c r="K1668" s="17">
        <f t="shared" si="1276"/>
        <v>41916</v>
      </c>
      <c r="L1668" s="17" t="s">
        <v>630</v>
      </c>
      <c r="M1668" s="17" t="str">
        <f t="shared" si="1281"/>
        <v>1:11600:5</v>
      </c>
      <c r="N1668" s="16" t="str">
        <f t="shared" si="1258"/>
        <v>10036:1</v>
      </c>
      <c r="O1668" s="17">
        <f t="shared" si="1266"/>
        <v>10</v>
      </c>
      <c r="P1668" s="21" t="s">
        <v>4819</v>
      </c>
      <c r="Q1668" s="21"/>
      <c r="R1668" t="s">
        <v>4762</v>
      </c>
      <c r="T1668" t="str">
        <f t="shared" si="1282"/>
        <v>:1</v>
      </c>
      <c r="U1668" t="str">
        <f t="shared" si="1255"/>
        <v>骑士</v>
      </c>
      <c r="V1668" t="s">
        <v>4803</v>
      </c>
      <c r="W1668">
        <f>属性类型!G1668</f>
        <v>10036</v>
      </c>
      <c r="X1668">
        <v>1</v>
      </c>
    </row>
    <row r="1669" customFormat="1" ht="16.5" spans="1:24">
      <c r="A1669" s="17">
        <f t="shared" si="1277"/>
        <v>41916</v>
      </c>
      <c r="B1669" s="17">
        <f t="shared" si="1274"/>
        <v>41900</v>
      </c>
      <c r="C1669" s="17" t="str">
        <f t="shared" si="1275"/>
        <v>4</v>
      </c>
      <c r="D1669" s="17">
        <f t="shared" si="1267"/>
        <v>40002</v>
      </c>
      <c r="E1669" s="17">
        <v>2</v>
      </c>
      <c r="F1669" s="17">
        <f t="shared" si="1265"/>
        <v>2</v>
      </c>
      <c r="G1669" s="17" t="str">
        <f t="shared" si="1278"/>
        <v>飞龙骑士魔防百分比</v>
      </c>
      <c r="H1669" s="17" t="str">
        <f t="shared" si="1279"/>
        <v>feibing02_Lv3</v>
      </c>
      <c r="I1669" s="20">
        <f t="shared" si="1280"/>
        <v>1.2</v>
      </c>
      <c r="J1669" s="17">
        <v>16</v>
      </c>
      <c r="K1669" s="17">
        <f t="shared" si="1276"/>
        <v>41917</v>
      </c>
      <c r="L1669" s="17" t="s">
        <v>633</v>
      </c>
      <c r="M1669" s="17" t="str">
        <f t="shared" si="1281"/>
        <v>1:11600:5</v>
      </c>
      <c r="N1669" s="16" t="str">
        <f t="shared" si="1258"/>
        <v>10036:1</v>
      </c>
      <c r="O1669" s="17">
        <f t="shared" si="1266"/>
        <v>10</v>
      </c>
      <c r="P1669" s="21" t="s">
        <v>4820</v>
      </c>
      <c r="Q1669" s="21"/>
      <c r="R1669" t="s">
        <v>4762</v>
      </c>
      <c r="T1669" t="str">
        <f t="shared" si="1282"/>
        <v>:1</v>
      </c>
      <c r="U1669" t="str">
        <f t="shared" ref="U1669:U1732" si="1283">MID(P1669,3,2)</f>
        <v>骑士</v>
      </c>
      <c r="V1669" t="s">
        <v>4803</v>
      </c>
      <c r="W1669">
        <f>属性类型!G1669</f>
        <v>10036</v>
      </c>
      <c r="X1669">
        <v>1</v>
      </c>
    </row>
    <row r="1670" customFormat="1" ht="16.5" spans="1:24">
      <c r="A1670" s="17">
        <f t="shared" si="1277"/>
        <v>41917</v>
      </c>
      <c r="B1670" s="17">
        <f t="shared" si="1274"/>
        <v>41900</v>
      </c>
      <c r="C1670" s="17" t="str">
        <f t="shared" si="1275"/>
        <v>4</v>
      </c>
      <c r="D1670" s="17">
        <f t="shared" si="1267"/>
        <v>40002</v>
      </c>
      <c r="E1670" s="17">
        <v>2</v>
      </c>
      <c r="F1670" s="17">
        <f t="shared" si="1265"/>
        <v>2</v>
      </c>
      <c r="G1670" s="17" t="str">
        <f t="shared" si="1278"/>
        <v>飞龙骑士魔防百分比</v>
      </c>
      <c r="H1670" s="17" t="str">
        <f t="shared" si="1279"/>
        <v>feibing02_Lv3</v>
      </c>
      <c r="I1670" s="20">
        <f t="shared" si="1280"/>
        <v>1.2</v>
      </c>
      <c r="J1670" s="17">
        <v>17</v>
      </c>
      <c r="K1670" s="17">
        <f t="shared" si="1276"/>
        <v>41918</v>
      </c>
      <c r="L1670" s="17" t="s">
        <v>637</v>
      </c>
      <c r="M1670" s="17" t="str">
        <f t="shared" si="1281"/>
        <v>1:11600:5</v>
      </c>
      <c r="N1670" s="16" t="str">
        <f t="shared" si="1258"/>
        <v>10036:1</v>
      </c>
      <c r="O1670" s="17">
        <f t="shared" si="1266"/>
        <v>10</v>
      </c>
      <c r="P1670" s="21" t="s">
        <v>4821</v>
      </c>
      <c r="Q1670" s="21"/>
      <c r="R1670" t="s">
        <v>4762</v>
      </c>
      <c r="T1670" t="str">
        <f t="shared" si="1282"/>
        <v>:1</v>
      </c>
      <c r="U1670" t="str">
        <f t="shared" si="1283"/>
        <v>骑士</v>
      </c>
      <c r="V1670" t="s">
        <v>4803</v>
      </c>
      <c r="W1670">
        <f>属性类型!G1670</f>
        <v>10036</v>
      </c>
      <c r="X1670">
        <v>1</v>
      </c>
    </row>
    <row r="1671" customFormat="1" ht="16.5" spans="1:24">
      <c r="A1671" s="17">
        <f t="shared" si="1277"/>
        <v>41918</v>
      </c>
      <c r="B1671" s="17">
        <f t="shared" si="1274"/>
        <v>41900</v>
      </c>
      <c r="C1671" s="17" t="str">
        <f t="shared" si="1275"/>
        <v>4</v>
      </c>
      <c r="D1671" s="17">
        <f t="shared" si="1267"/>
        <v>40002</v>
      </c>
      <c r="E1671" s="17">
        <v>2</v>
      </c>
      <c r="F1671" s="17">
        <f t="shared" si="1265"/>
        <v>2</v>
      </c>
      <c r="G1671" s="17" t="str">
        <f t="shared" si="1278"/>
        <v>飞龙骑士魔防百分比</v>
      </c>
      <c r="H1671" s="17" t="str">
        <f t="shared" si="1279"/>
        <v>feibing02_Lv3</v>
      </c>
      <c r="I1671" s="20">
        <f t="shared" si="1280"/>
        <v>1.2</v>
      </c>
      <c r="J1671" s="17">
        <v>18</v>
      </c>
      <c r="K1671" s="17">
        <f t="shared" si="1276"/>
        <v>41919</v>
      </c>
      <c r="L1671" s="17" t="s">
        <v>641</v>
      </c>
      <c r="M1671" s="17" t="str">
        <f t="shared" si="1281"/>
        <v>1:11600:5</v>
      </c>
      <c r="N1671" s="16" t="str">
        <f t="shared" si="1258"/>
        <v>10036:1</v>
      </c>
      <c r="O1671" s="17">
        <f t="shared" si="1266"/>
        <v>10</v>
      </c>
      <c r="P1671" s="21" t="s">
        <v>4822</v>
      </c>
      <c r="Q1671" s="21"/>
      <c r="R1671" t="s">
        <v>4762</v>
      </c>
      <c r="T1671" t="str">
        <f t="shared" si="1282"/>
        <v>:1</v>
      </c>
      <c r="U1671" t="str">
        <f t="shared" si="1283"/>
        <v>骑士</v>
      </c>
      <c r="V1671" t="s">
        <v>4803</v>
      </c>
      <c r="W1671">
        <f>属性类型!G1671</f>
        <v>10036</v>
      </c>
      <c r="X1671">
        <v>1</v>
      </c>
    </row>
    <row r="1672" customFormat="1" ht="16.5" spans="1:24">
      <c r="A1672" s="17">
        <f t="shared" si="1277"/>
        <v>41919</v>
      </c>
      <c r="B1672" s="17">
        <f t="shared" si="1274"/>
        <v>41900</v>
      </c>
      <c r="C1672" s="17" t="str">
        <f t="shared" si="1275"/>
        <v>4</v>
      </c>
      <c r="D1672" s="17">
        <f t="shared" si="1267"/>
        <v>40002</v>
      </c>
      <c r="E1672" s="17">
        <v>2</v>
      </c>
      <c r="F1672" s="17">
        <f t="shared" si="1265"/>
        <v>2</v>
      </c>
      <c r="G1672" s="17" t="str">
        <f t="shared" si="1278"/>
        <v>飞龙骑士魔防百分比</v>
      </c>
      <c r="H1672" s="17" t="str">
        <f t="shared" si="1279"/>
        <v>feibing02_Lv3</v>
      </c>
      <c r="I1672" s="20">
        <f t="shared" si="1280"/>
        <v>1.2</v>
      </c>
      <c r="J1672" s="17">
        <v>19</v>
      </c>
      <c r="K1672" s="17">
        <f t="shared" si="1276"/>
        <v>41920</v>
      </c>
      <c r="L1672" s="17" t="s">
        <v>645</v>
      </c>
      <c r="M1672" s="17" t="str">
        <f t="shared" si="1281"/>
        <v>1:11600:5</v>
      </c>
      <c r="N1672" s="16" t="str">
        <f t="shared" si="1258"/>
        <v>10036:1</v>
      </c>
      <c r="O1672" s="17">
        <f t="shared" si="1266"/>
        <v>10</v>
      </c>
      <c r="P1672" s="21" t="s">
        <v>4823</v>
      </c>
      <c r="Q1672" s="21"/>
      <c r="R1672" t="s">
        <v>4762</v>
      </c>
      <c r="T1672" t="str">
        <f t="shared" si="1282"/>
        <v>:1</v>
      </c>
      <c r="U1672" t="str">
        <f t="shared" si="1283"/>
        <v>骑士</v>
      </c>
      <c r="V1672" t="s">
        <v>4803</v>
      </c>
      <c r="W1672">
        <f>属性类型!G1672</f>
        <v>10036</v>
      </c>
      <c r="X1672">
        <v>1</v>
      </c>
    </row>
    <row r="1673" customFormat="1" ht="16.5" spans="1:24">
      <c r="A1673" s="17">
        <f t="shared" si="1277"/>
        <v>41920</v>
      </c>
      <c r="B1673" s="17">
        <f t="shared" si="1274"/>
        <v>41900</v>
      </c>
      <c r="C1673" s="17" t="str">
        <f t="shared" si="1275"/>
        <v>4</v>
      </c>
      <c r="D1673" s="17">
        <f t="shared" si="1267"/>
        <v>40002</v>
      </c>
      <c r="E1673" s="17">
        <v>2</v>
      </c>
      <c r="F1673" s="17">
        <f t="shared" si="1265"/>
        <v>2</v>
      </c>
      <c r="G1673" s="17" t="str">
        <f t="shared" si="1278"/>
        <v>飞龙骑士魔防百分比</v>
      </c>
      <c r="H1673" s="17" t="str">
        <f t="shared" si="1279"/>
        <v>feibing02_Lv3</v>
      </c>
      <c r="I1673" s="20">
        <f t="shared" si="1280"/>
        <v>1.2</v>
      </c>
      <c r="J1673" s="17">
        <v>20</v>
      </c>
      <c r="K1673" s="17">
        <v>0</v>
      </c>
      <c r="L1673" s="17">
        <v>0</v>
      </c>
      <c r="M1673" s="17" t="str">
        <f t="shared" si="1281"/>
        <v>1:11600:5</v>
      </c>
      <c r="N1673" s="16" t="str">
        <f t="shared" si="1258"/>
        <v>10036:1</v>
      </c>
      <c r="O1673" s="17">
        <f t="shared" si="1266"/>
        <v>10</v>
      </c>
      <c r="P1673" s="21" t="s">
        <v>4823</v>
      </c>
      <c r="Q1673" s="21"/>
      <c r="R1673" t="s">
        <v>4762</v>
      </c>
      <c r="T1673" t="str">
        <f t="shared" si="1282"/>
        <v>:1</v>
      </c>
      <c r="U1673" t="str">
        <f t="shared" si="1283"/>
        <v>骑士</v>
      </c>
      <c r="V1673" t="s">
        <v>4803</v>
      </c>
      <c r="W1673">
        <f>属性类型!G1673</f>
        <v>10036</v>
      </c>
      <c r="X1673">
        <v>1</v>
      </c>
    </row>
    <row r="1674" customFormat="1" ht="16.5" spans="1:24">
      <c r="A1674" s="18">
        <f>A1653+100</f>
        <v>42000</v>
      </c>
      <c r="B1674" s="18">
        <f t="shared" ref="B1674:B1729" si="1284">ROUND(A1674,-2)</f>
        <v>42000</v>
      </c>
      <c r="C1674" s="18" t="str">
        <f t="shared" si="1275"/>
        <v>4</v>
      </c>
      <c r="D1674" s="17">
        <f t="shared" ref="D1674:D1701" si="1285">$A$1399+F1674</f>
        <v>40003</v>
      </c>
      <c r="E1674" s="17">
        <v>1</v>
      </c>
      <c r="F1674" s="18">
        <f t="shared" si="1265"/>
        <v>3</v>
      </c>
      <c r="G1674" s="18" t="s">
        <v>515</v>
      </c>
      <c r="H1674" s="18" t="s">
        <v>38</v>
      </c>
      <c r="I1674" s="20">
        <v>0</v>
      </c>
      <c r="J1674" s="18">
        <v>0</v>
      </c>
      <c r="K1674" s="18">
        <f t="shared" ref="K1674:K1688" si="1286">A1675</f>
        <v>42001</v>
      </c>
      <c r="L1674" s="18" t="s">
        <v>206</v>
      </c>
      <c r="M1674" s="18" t="s">
        <v>517</v>
      </c>
      <c r="N1674" s="16" t="str">
        <f t="shared" si="1258"/>
        <v>131:1</v>
      </c>
      <c r="O1674" s="18">
        <f t="shared" si="1266"/>
        <v>1</v>
      </c>
      <c r="P1674" s="21" t="str">
        <f t="shared" ref="P1657:P1720" si="1287">$S$1&amp;R1674&amp;$Q$1&amp;T1674</f>
        <v>所有飞兵生命增加1</v>
      </c>
      <c r="Q1674" s="21"/>
      <c r="R1674" t="s">
        <v>4270</v>
      </c>
      <c r="T1674" t="str">
        <f>RIGHT(N1674,1)</f>
        <v>1</v>
      </c>
      <c r="U1674" t="str">
        <f t="shared" si="1283"/>
        <v>飞兵</v>
      </c>
      <c r="V1674" t="s">
        <v>4688</v>
      </c>
      <c r="W1674">
        <f>属性类型!G1674</f>
        <v>131</v>
      </c>
      <c r="X1674">
        <v>1</v>
      </c>
    </row>
    <row r="1675" customFormat="1" ht="16.5" spans="1:24">
      <c r="A1675" s="17">
        <f t="shared" ref="A1675:A1689" si="1288">A1674+1</f>
        <v>42001</v>
      </c>
      <c r="B1675" s="17">
        <f t="shared" si="1284"/>
        <v>42000</v>
      </c>
      <c r="C1675" s="17" t="str">
        <f t="shared" si="1275"/>
        <v>4</v>
      </c>
      <c r="D1675" s="17">
        <f t="shared" si="1285"/>
        <v>40003</v>
      </c>
      <c r="E1675" s="17">
        <v>1</v>
      </c>
      <c r="F1675" s="17">
        <f t="shared" si="1265"/>
        <v>3</v>
      </c>
      <c r="G1675" s="17" t="str">
        <f t="shared" ref="G1675:G1689" si="1289">G1674</f>
        <v>高级生命</v>
      </c>
      <c r="H1675" s="17" t="str">
        <f t="shared" ref="H1675:H1689" si="1290">H1674</f>
        <v>icon_01</v>
      </c>
      <c r="I1675" s="20">
        <v>0</v>
      </c>
      <c r="J1675" s="17">
        <v>1</v>
      </c>
      <c r="K1675" s="17">
        <f t="shared" si="1286"/>
        <v>42002</v>
      </c>
      <c r="L1675" s="17" t="s">
        <v>211</v>
      </c>
      <c r="M1675" s="17" t="str">
        <f t="shared" ref="M1675:M1689" si="1291">M1674</f>
        <v>2:10001:50</v>
      </c>
      <c r="N1675" s="16" t="str">
        <f t="shared" ref="N1675:N1738" si="1292">W1675&amp;$W$2&amp;X1675</f>
        <v>131:1</v>
      </c>
      <c r="O1675" s="17">
        <f t="shared" si="1266"/>
        <v>1</v>
      </c>
      <c r="P1675" s="21" t="str">
        <f t="shared" si="1287"/>
        <v>所有飞兵生命增加:1</v>
      </c>
      <c r="Q1675" s="21"/>
      <c r="R1675" t="str">
        <f t="shared" ref="R1675:R1689" si="1293">R1674</f>
        <v>生命</v>
      </c>
      <c r="T1675" t="str">
        <f t="shared" ref="T1675:T1689" si="1294">RIGHT(N1675,2)</f>
        <v>:1</v>
      </c>
      <c r="U1675" t="str">
        <f t="shared" si="1283"/>
        <v>飞兵</v>
      </c>
      <c r="V1675" t="s">
        <v>4688</v>
      </c>
      <c r="W1675">
        <f>属性类型!G1675</f>
        <v>131</v>
      </c>
      <c r="X1675">
        <v>1</v>
      </c>
    </row>
    <row r="1676" customFormat="1" ht="16.5" spans="1:24">
      <c r="A1676" s="17">
        <f t="shared" si="1288"/>
        <v>42002</v>
      </c>
      <c r="B1676" s="17">
        <f t="shared" si="1284"/>
        <v>42000</v>
      </c>
      <c r="C1676" s="17" t="str">
        <f t="shared" si="1275"/>
        <v>4</v>
      </c>
      <c r="D1676" s="17">
        <f t="shared" si="1285"/>
        <v>40003</v>
      </c>
      <c r="E1676" s="17">
        <v>1</v>
      </c>
      <c r="F1676" s="17">
        <f t="shared" si="1265"/>
        <v>3</v>
      </c>
      <c r="G1676" s="17" t="str">
        <f t="shared" si="1289"/>
        <v>高级生命</v>
      </c>
      <c r="H1676" s="17" t="str">
        <f t="shared" si="1290"/>
        <v>icon_01</v>
      </c>
      <c r="I1676" s="20">
        <v>0</v>
      </c>
      <c r="J1676" s="17">
        <v>2</v>
      </c>
      <c r="K1676" s="17">
        <f t="shared" si="1286"/>
        <v>42003</v>
      </c>
      <c r="L1676" s="17" t="s">
        <v>215</v>
      </c>
      <c r="M1676" s="17" t="str">
        <f t="shared" si="1291"/>
        <v>2:10001:50</v>
      </c>
      <c r="N1676" s="16" t="str">
        <f t="shared" si="1292"/>
        <v>131:1</v>
      </c>
      <c r="O1676" s="17">
        <f t="shared" si="1266"/>
        <v>1</v>
      </c>
      <c r="P1676" s="21" t="str">
        <f t="shared" si="1287"/>
        <v>所有飞兵生命增加:1</v>
      </c>
      <c r="Q1676" s="21"/>
      <c r="R1676" t="str">
        <f t="shared" si="1293"/>
        <v>生命</v>
      </c>
      <c r="T1676" t="str">
        <f t="shared" si="1294"/>
        <v>:1</v>
      </c>
      <c r="U1676" t="str">
        <f t="shared" si="1283"/>
        <v>飞兵</v>
      </c>
      <c r="V1676" t="s">
        <v>4688</v>
      </c>
      <c r="W1676">
        <f>属性类型!G1676</f>
        <v>131</v>
      </c>
      <c r="X1676">
        <v>1</v>
      </c>
    </row>
    <row r="1677" customFormat="1" ht="16.5" spans="1:24">
      <c r="A1677" s="17">
        <f t="shared" si="1288"/>
        <v>42003</v>
      </c>
      <c r="B1677" s="17">
        <f t="shared" si="1284"/>
        <v>42000</v>
      </c>
      <c r="C1677" s="17" t="str">
        <f t="shared" si="1275"/>
        <v>4</v>
      </c>
      <c r="D1677" s="17">
        <f t="shared" si="1285"/>
        <v>40003</v>
      </c>
      <c r="E1677" s="17">
        <v>1</v>
      </c>
      <c r="F1677" s="17">
        <f t="shared" si="1265"/>
        <v>3</v>
      </c>
      <c r="G1677" s="17" t="str">
        <f t="shared" si="1289"/>
        <v>高级生命</v>
      </c>
      <c r="H1677" s="17" t="str">
        <f t="shared" si="1290"/>
        <v>icon_01</v>
      </c>
      <c r="I1677" s="20">
        <v>0</v>
      </c>
      <c r="J1677" s="17">
        <v>3</v>
      </c>
      <c r="K1677" s="17">
        <f t="shared" si="1286"/>
        <v>42004</v>
      </c>
      <c r="L1677" s="17" t="s">
        <v>218</v>
      </c>
      <c r="M1677" s="17" t="str">
        <f t="shared" si="1291"/>
        <v>2:10001:50</v>
      </c>
      <c r="N1677" s="16" t="str">
        <f t="shared" si="1292"/>
        <v>131:1</v>
      </c>
      <c r="O1677" s="17">
        <f t="shared" si="1266"/>
        <v>1</v>
      </c>
      <c r="P1677" s="21" t="str">
        <f t="shared" si="1287"/>
        <v>所有飞兵生命增加:1</v>
      </c>
      <c r="Q1677" s="21"/>
      <c r="R1677" t="str">
        <f t="shared" si="1293"/>
        <v>生命</v>
      </c>
      <c r="T1677" t="str">
        <f t="shared" si="1294"/>
        <v>:1</v>
      </c>
      <c r="U1677" t="str">
        <f t="shared" si="1283"/>
        <v>飞兵</v>
      </c>
      <c r="V1677" t="s">
        <v>4688</v>
      </c>
      <c r="W1677">
        <f>属性类型!G1677</f>
        <v>131</v>
      </c>
      <c r="X1677">
        <v>1</v>
      </c>
    </row>
    <row r="1678" customFormat="1" ht="16.5" spans="1:24">
      <c r="A1678" s="17">
        <f t="shared" si="1288"/>
        <v>42004</v>
      </c>
      <c r="B1678" s="17">
        <f t="shared" si="1284"/>
        <v>42000</v>
      </c>
      <c r="C1678" s="17" t="str">
        <f t="shared" si="1275"/>
        <v>4</v>
      </c>
      <c r="D1678" s="17">
        <f t="shared" si="1285"/>
        <v>40003</v>
      </c>
      <c r="E1678" s="17">
        <v>1</v>
      </c>
      <c r="F1678" s="17">
        <f t="shared" si="1265"/>
        <v>3</v>
      </c>
      <c r="G1678" s="17" t="str">
        <f t="shared" si="1289"/>
        <v>高级生命</v>
      </c>
      <c r="H1678" s="17" t="str">
        <f t="shared" si="1290"/>
        <v>icon_01</v>
      </c>
      <c r="I1678" s="20">
        <v>0</v>
      </c>
      <c r="J1678" s="17">
        <v>4</v>
      </c>
      <c r="K1678" s="17">
        <f t="shared" si="1286"/>
        <v>42005</v>
      </c>
      <c r="L1678" s="17" t="s">
        <v>221</v>
      </c>
      <c r="M1678" s="17" t="str">
        <f t="shared" si="1291"/>
        <v>2:10001:50</v>
      </c>
      <c r="N1678" s="16" t="str">
        <f t="shared" si="1292"/>
        <v>131:1</v>
      </c>
      <c r="O1678" s="17">
        <f t="shared" si="1266"/>
        <v>1</v>
      </c>
      <c r="P1678" s="21" t="str">
        <f t="shared" si="1287"/>
        <v>所有飞兵生命增加:1</v>
      </c>
      <c r="Q1678" s="21"/>
      <c r="R1678" t="str">
        <f t="shared" si="1293"/>
        <v>生命</v>
      </c>
      <c r="T1678" t="str">
        <f t="shared" si="1294"/>
        <v>:1</v>
      </c>
      <c r="U1678" t="str">
        <f t="shared" si="1283"/>
        <v>飞兵</v>
      </c>
      <c r="V1678" t="s">
        <v>4688</v>
      </c>
      <c r="W1678">
        <f>属性类型!G1678</f>
        <v>131</v>
      </c>
      <c r="X1678">
        <v>1</v>
      </c>
    </row>
    <row r="1679" customFormat="1" ht="16.5" spans="1:24">
      <c r="A1679" s="17">
        <f t="shared" si="1288"/>
        <v>42005</v>
      </c>
      <c r="B1679" s="17">
        <f t="shared" si="1284"/>
        <v>42000</v>
      </c>
      <c r="C1679" s="17" t="str">
        <f t="shared" si="1275"/>
        <v>4</v>
      </c>
      <c r="D1679" s="17">
        <f t="shared" si="1285"/>
        <v>40003</v>
      </c>
      <c r="E1679" s="17">
        <v>1</v>
      </c>
      <c r="F1679" s="17">
        <f t="shared" si="1265"/>
        <v>3</v>
      </c>
      <c r="G1679" s="17" t="str">
        <f t="shared" si="1289"/>
        <v>高级生命</v>
      </c>
      <c r="H1679" s="17" t="str">
        <f t="shared" si="1290"/>
        <v>icon_01</v>
      </c>
      <c r="I1679" s="20">
        <v>0</v>
      </c>
      <c r="J1679" s="17">
        <v>5</v>
      </c>
      <c r="K1679" s="17">
        <f t="shared" si="1286"/>
        <v>42006</v>
      </c>
      <c r="L1679" s="17" t="s">
        <v>224</v>
      </c>
      <c r="M1679" s="17" t="str">
        <f t="shared" si="1291"/>
        <v>2:10001:50</v>
      </c>
      <c r="N1679" s="16" t="str">
        <f t="shared" si="1292"/>
        <v>131:1</v>
      </c>
      <c r="O1679" s="17">
        <f t="shared" si="1266"/>
        <v>1</v>
      </c>
      <c r="P1679" s="21" t="str">
        <f t="shared" si="1287"/>
        <v>所有飞兵生命增加:1</v>
      </c>
      <c r="Q1679" s="21"/>
      <c r="R1679" t="str">
        <f t="shared" si="1293"/>
        <v>生命</v>
      </c>
      <c r="T1679" t="str">
        <f t="shared" si="1294"/>
        <v>:1</v>
      </c>
      <c r="U1679" t="str">
        <f t="shared" si="1283"/>
        <v>飞兵</v>
      </c>
      <c r="V1679" t="s">
        <v>4688</v>
      </c>
      <c r="W1679">
        <f>属性类型!G1679</f>
        <v>131</v>
      </c>
      <c r="X1679">
        <v>1</v>
      </c>
    </row>
    <row r="1680" customFormat="1" ht="16.5" spans="1:24">
      <c r="A1680" s="17">
        <f t="shared" si="1288"/>
        <v>42006</v>
      </c>
      <c r="B1680" s="17">
        <f t="shared" si="1284"/>
        <v>42000</v>
      </c>
      <c r="C1680" s="17" t="str">
        <f t="shared" si="1275"/>
        <v>4</v>
      </c>
      <c r="D1680" s="17">
        <f t="shared" si="1285"/>
        <v>40003</v>
      </c>
      <c r="E1680" s="17">
        <v>1</v>
      </c>
      <c r="F1680" s="17">
        <f t="shared" ref="F1680:F1743" si="1295">MID(B1680,2,1)+1</f>
        <v>3</v>
      </c>
      <c r="G1680" s="17" t="str">
        <f t="shared" si="1289"/>
        <v>高级生命</v>
      </c>
      <c r="H1680" s="17" t="str">
        <f t="shared" si="1290"/>
        <v>icon_01</v>
      </c>
      <c r="I1680" s="20">
        <v>0</v>
      </c>
      <c r="J1680" s="17">
        <v>6</v>
      </c>
      <c r="K1680" s="17">
        <f t="shared" si="1286"/>
        <v>42007</v>
      </c>
      <c r="L1680" s="17" t="s">
        <v>227</v>
      </c>
      <c r="M1680" s="17" t="str">
        <f t="shared" si="1291"/>
        <v>2:10001:50</v>
      </c>
      <c r="N1680" s="16" t="str">
        <f t="shared" si="1292"/>
        <v>131:1</v>
      </c>
      <c r="O1680" s="17">
        <f t="shared" ref="O1680:O1743" si="1296">MID(A1680,3,1)+1</f>
        <v>1</v>
      </c>
      <c r="P1680" s="21" t="str">
        <f t="shared" si="1287"/>
        <v>所有飞兵生命增加:1</v>
      </c>
      <c r="Q1680" s="21"/>
      <c r="R1680" t="str">
        <f t="shared" si="1293"/>
        <v>生命</v>
      </c>
      <c r="T1680" t="str">
        <f t="shared" si="1294"/>
        <v>:1</v>
      </c>
      <c r="U1680" t="str">
        <f t="shared" si="1283"/>
        <v>飞兵</v>
      </c>
      <c r="V1680" t="s">
        <v>4688</v>
      </c>
      <c r="W1680">
        <f>属性类型!G1680</f>
        <v>131</v>
      </c>
      <c r="X1680">
        <v>1</v>
      </c>
    </row>
    <row r="1681" customFormat="1" ht="16.5" spans="1:24">
      <c r="A1681" s="17">
        <f t="shared" si="1288"/>
        <v>42007</v>
      </c>
      <c r="B1681" s="17">
        <f t="shared" si="1284"/>
        <v>42000</v>
      </c>
      <c r="C1681" s="17" t="str">
        <f t="shared" si="1275"/>
        <v>4</v>
      </c>
      <c r="D1681" s="17">
        <f t="shared" si="1285"/>
        <v>40003</v>
      </c>
      <c r="E1681" s="17">
        <v>1</v>
      </c>
      <c r="F1681" s="17">
        <f t="shared" si="1295"/>
        <v>3</v>
      </c>
      <c r="G1681" s="17" t="str">
        <f t="shared" si="1289"/>
        <v>高级生命</v>
      </c>
      <c r="H1681" s="17" t="str">
        <f t="shared" si="1290"/>
        <v>icon_01</v>
      </c>
      <c r="I1681" s="20">
        <v>0</v>
      </c>
      <c r="J1681" s="17">
        <v>7</v>
      </c>
      <c r="K1681" s="17">
        <f t="shared" si="1286"/>
        <v>42008</v>
      </c>
      <c r="L1681" s="17" t="s">
        <v>230</v>
      </c>
      <c r="M1681" s="17" t="str">
        <f t="shared" si="1291"/>
        <v>2:10001:50</v>
      </c>
      <c r="N1681" s="16" t="str">
        <f t="shared" si="1292"/>
        <v>131:1</v>
      </c>
      <c r="O1681" s="17">
        <f t="shared" si="1296"/>
        <v>1</v>
      </c>
      <c r="P1681" s="21" t="str">
        <f t="shared" si="1287"/>
        <v>所有飞兵生命增加:1</v>
      </c>
      <c r="Q1681" s="21"/>
      <c r="R1681" t="str">
        <f t="shared" si="1293"/>
        <v>生命</v>
      </c>
      <c r="T1681" t="str">
        <f t="shared" si="1294"/>
        <v>:1</v>
      </c>
      <c r="U1681" t="str">
        <f t="shared" si="1283"/>
        <v>飞兵</v>
      </c>
      <c r="V1681" t="s">
        <v>4688</v>
      </c>
      <c r="W1681">
        <f>属性类型!G1681</f>
        <v>131</v>
      </c>
      <c r="X1681">
        <v>1</v>
      </c>
    </row>
    <row r="1682" customFormat="1" ht="16.5" spans="1:24">
      <c r="A1682" s="17">
        <f t="shared" si="1288"/>
        <v>42008</v>
      </c>
      <c r="B1682" s="17">
        <f t="shared" si="1284"/>
        <v>42000</v>
      </c>
      <c r="C1682" s="17" t="str">
        <f t="shared" si="1275"/>
        <v>4</v>
      </c>
      <c r="D1682" s="17">
        <f t="shared" si="1285"/>
        <v>40003</v>
      </c>
      <c r="E1682" s="17">
        <v>1</v>
      </c>
      <c r="F1682" s="17">
        <f t="shared" si="1295"/>
        <v>3</v>
      </c>
      <c r="G1682" s="17" t="str">
        <f t="shared" si="1289"/>
        <v>高级生命</v>
      </c>
      <c r="H1682" s="17" t="str">
        <f t="shared" si="1290"/>
        <v>icon_01</v>
      </c>
      <c r="I1682" s="20">
        <v>0</v>
      </c>
      <c r="J1682" s="17">
        <v>8</v>
      </c>
      <c r="K1682" s="17">
        <f t="shared" si="1286"/>
        <v>42009</v>
      </c>
      <c r="L1682" s="17" t="s">
        <v>233</v>
      </c>
      <c r="M1682" s="17" t="str">
        <f t="shared" si="1291"/>
        <v>2:10001:50</v>
      </c>
      <c r="N1682" s="16" t="str">
        <f t="shared" si="1292"/>
        <v>131:1</v>
      </c>
      <c r="O1682" s="17">
        <f t="shared" si="1296"/>
        <v>1</v>
      </c>
      <c r="P1682" s="21" t="str">
        <f t="shared" si="1287"/>
        <v>所有飞兵生命增加:1</v>
      </c>
      <c r="Q1682" s="21"/>
      <c r="R1682" t="str">
        <f t="shared" si="1293"/>
        <v>生命</v>
      </c>
      <c r="T1682" t="str">
        <f t="shared" si="1294"/>
        <v>:1</v>
      </c>
      <c r="U1682" t="str">
        <f t="shared" si="1283"/>
        <v>飞兵</v>
      </c>
      <c r="V1682" t="s">
        <v>4688</v>
      </c>
      <c r="W1682">
        <f>属性类型!G1682</f>
        <v>131</v>
      </c>
      <c r="X1682">
        <v>1</v>
      </c>
    </row>
    <row r="1683" customFormat="1" ht="16.5" spans="1:24">
      <c r="A1683" s="17">
        <f t="shared" si="1288"/>
        <v>42009</v>
      </c>
      <c r="B1683" s="17">
        <f t="shared" si="1284"/>
        <v>42000</v>
      </c>
      <c r="C1683" s="17" t="str">
        <f t="shared" si="1275"/>
        <v>4</v>
      </c>
      <c r="D1683" s="17">
        <f t="shared" si="1285"/>
        <v>40003</v>
      </c>
      <c r="E1683" s="17">
        <v>1</v>
      </c>
      <c r="F1683" s="17">
        <f t="shared" si="1295"/>
        <v>3</v>
      </c>
      <c r="G1683" s="17" t="str">
        <f t="shared" si="1289"/>
        <v>高级生命</v>
      </c>
      <c r="H1683" s="17" t="str">
        <f t="shared" si="1290"/>
        <v>icon_01</v>
      </c>
      <c r="I1683" s="20">
        <v>0</v>
      </c>
      <c r="J1683" s="17">
        <v>9</v>
      </c>
      <c r="K1683" s="17">
        <f t="shared" si="1286"/>
        <v>42010</v>
      </c>
      <c r="L1683" s="17" t="s">
        <v>236</v>
      </c>
      <c r="M1683" s="17" t="str">
        <f t="shared" si="1291"/>
        <v>2:10001:50</v>
      </c>
      <c r="N1683" s="16" t="str">
        <f t="shared" si="1292"/>
        <v>131:1</v>
      </c>
      <c r="O1683" s="17">
        <f t="shared" si="1296"/>
        <v>1</v>
      </c>
      <c r="P1683" s="21" t="str">
        <f t="shared" si="1287"/>
        <v>所有飞兵生命增加:1</v>
      </c>
      <c r="Q1683" s="21"/>
      <c r="R1683" t="str">
        <f t="shared" si="1293"/>
        <v>生命</v>
      </c>
      <c r="T1683" t="str">
        <f t="shared" si="1294"/>
        <v>:1</v>
      </c>
      <c r="U1683" t="str">
        <f t="shared" si="1283"/>
        <v>飞兵</v>
      </c>
      <c r="V1683" t="s">
        <v>4688</v>
      </c>
      <c r="W1683">
        <f>属性类型!G1683</f>
        <v>131</v>
      </c>
      <c r="X1683">
        <v>1</v>
      </c>
    </row>
    <row r="1684" customFormat="1" ht="16.5" spans="1:24">
      <c r="A1684" s="17">
        <f t="shared" si="1288"/>
        <v>42010</v>
      </c>
      <c r="B1684" s="17">
        <f t="shared" si="1284"/>
        <v>42000</v>
      </c>
      <c r="C1684" s="17" t="str">
        <f t="shared" si="1275"/>
        <v>4</v>
      </c>
      <c r="D1684" s="17">
        <f t="shared" si="1285"/>
        <v>40003</v>
      </c>
      <c r="E1684" s="17">
        <v>1</v>
      </c>
      <c r="F1684" s="17">
        <f t="shared" si="1295"/>
        <v>3</v>
      </c>
      <c r="G1684" s="17" t="str">
        <f t="shared" si="1289"/>
        <v>高级生命</v>
      </c>
      <c r="H1684" s="17" t="str">
        <f t="shared" si="1290"/>
        <v>icon_01</v>
      </c>
      <c r="I1684" s="20">
        <v>0</v>
      </c>
      <c r="J1684" s="17">
        <v>10</v>
      </c>
      <c r="K1684" s="17">
        <f t="shared" si="1286"/>
        <v>42011</v>
      </c>
      <c r="L1684" s="17" t="s">
        <v>238</v>
      </c>
      <c r="M1684" s="17" t="str">
        <f t="shared" si="1291"/>
        <v>2:10001:50</v>
      </c>
      <c r="N1684" s="16" t="str">
        <f t="shared" si="1292"/>
        <v>131:1</v>
      </c>
      <c r="O1684" s="17">
        <f t="shared" si="1296"/>
        <v>1</v>
      </c>
      <c r="P1684" s="21" t="str">
        <f t="shared" si="1287"/>
        <v>所有飞兵生命增加:1</v>
      </c>
      <c r="Q1684" s="21"/>
      <c r="R1684" t="str">
        <f t="shared" si="1293"/>
        <v>生命</v>
      </c>
      <c r="T1684" t="str">
        <f t="shared" si="1294"/>
        <v>:1</v>
      </c>
      <c r="U1684" t="str">
        <f t="shared" si="1283"/>
        <v>飞兵</v>
      </c>
      <c r="V1684" t="s">
        <v>4688</v>
      </c>
      <c r="W1684">
        <f>属性类型!G1684</f>
        <v>131</v>
      </c>
      <c r="X1684">
        <v>1</v>
      </c>
    </row>
    <row r="1685" customFormat="1" ht="16.5" spans="1:24">
      <c r="A1685" s="17">
        <f t="shared" si="1288"/>
        <v>42011</v>
      </c>
      <c r="B1685" s="17">
        <f t="shared" si="1284"/>
        <v>42000</v>
      </c>
      <c r="C1685" s="17" t="str">
        <f t="shared" si="1275"/>
        <v>4</v>
      </c>
      <c r="D1685" s="17">
        <f t="shared" si="1285"/>
        <v>40003</v>
      </c>
      <c r="E1685" s="17">
        <v>1</v>
      </c>
      <c r="F1685" s="17">
        <f t="shared" si="1295"/>
        <v>3</v>
      </c>
      <c r="G1685" s="17" t="str">
        <f t="shared" si="1289"/>
        <v>高级生命</v>
      </c>
      <c r="H1685" s="17" t="str">
        <f t="shared" si="1290"/>
        <v>icon_01</v>
      </c>
      <c r="I1685" s="20">
        <v>0</v>
      </c>
      <c r="J1685" s="17">
        <v>11</v>
      </c>
      <c r="K1685" s="17">
        <f t="shared" si="1286"/>
        <v>42012</v>
      </c>
      <c r="L1685" s="17" t="s">
        <v>529</v>
      </c>
      <c r="M1685" s="17" t="str">
        <f t="shared" si="1291"/>
        <v>2:10001:50</v>
      </c>
      <c r="N1685" s="16" t="str">
        <f t="shared" si="1292"/>
        <v>131:1</v>
      </c>
      <c r="O1685" s="17">
        <f t="shared" si="1296"/>
        <v>1</v>
      </c>
      <c r="P1685" s="21" t="str">
        <f t="shared" si="1287"/>
        <v>所有飞兵生命增加:1</v>
      </c>
      <c r="Q1685" s="21"/>
      <c r="R1685" t="str">
        <f t="shared" si="1293"/>
        <v>生命</v>
      </c>
      <c r="T1685" t="str">
        <f t="shared" si="1294"/>
        <v>:1</v>
      </c>
      <c r="U1685" t="str">
        <f t="shared" si="1283"/>
        <v>飞兵</v>
      </c>
      <c r="V1685" t="s">
        <v>4688</v>
      </c>
      <c r="W1685">
        <f>属性类型!G1685</f>
        <v>131</v>
      </c>
      <c r="X1685">
        <v>1</v>
      </c>
    </row>
    <row r="1686" customFormat="1" ht="16.5" spans="1:24">
      <c r="A1686" s="17">
        <f t="shared" si="1288"/>
        <v>42012</v>
      </c>
      <c r="B1686" s="17">
        <f t="shared" si="1284"/>
        <v>42000</v>
      </c>
      <c r="C1686" s="17" t="str">
        <f t="shared" si="1275"/>
        <v>4</v>
      </c>
      <c r="D1686" s="17">
        <f t="shared" si="1285"/>
        <v>40003</v>
      </c>
      <c r="E1686" s="17">
        <v>1</v>
      </c>
      <c r="F1686" s="17">
        <f t="shared" si="1295"/>
        <v>3</v>
      </c>
      <c r="G1686" s="17" t="str">
        <f t="shared" si="1289"/>
        <v>高级生命</v>
      </c>
      <c r="H1686" s="17" t="str">
        <f t="shared" si="1290"/>
        <v>icon_01</v>
      </c>
      <c r="I1686" s="20">
        <v>0</v>
      </c>
      <c r="J1686" s="17">
        <v>12</v>
      </c>
      <c r="K1686" s="17">
        <f t="shared" si="1286"/>
        <v>42013</v>
      </c>
      <c r="L1686" s="17" t="s">
        <v>532</v>
      </c>
      <c r="M1686" s="17" t="str">
        <f t="shared" si="1291"/>
        <v>2:10001:50</v>
      </c>
      <c r="N1686" s="16" t="str">
        <f t="shared" si="1292"/>
        <v>131:1</v>
      </c>
      <c r="O1686" s="17">
        <f t="shared" si="1296"/>
        <v>1</v>
      </c>
      <c r="P1686" s="21" t="str">
        <f t="shared" si="1287"/>
        <v>所有飞兵生命增加:1</v>
      </c>
      <c r="Q1686" s="21"/>
      <c r="R1686" t="str">
        <f t="shared" si="1293"/>
        <v>生命</v>
      </c>
      <c r="T1686" t="str">
        <f t="shared" si="1294"/>
        <v>:1</v>
      </c>
      <c r="U1686" t="str">
        <f t="shared" si="1283"/>
        <v>飞兵</v>
      </c>
      <c r="V1686" t="s">
        <v>4688</v>
      </c>
      <c r="W1686">
        <f>属性类型!G1686</f>
        <v>131</v>
      </c>
      <c r="X1686">
        <v>1</v>
      </c>
    </row>
    <row r="1687" customFormat="1" ht="16.5" spans="1:24">
      <c r="A1687" s="17">
        <f t="shared" si="1288"/>
        <v>42013</v>
      </c>
      <c r="B1687" s="17">
        <f t="shared" si="1284"/>
        <v>42000</v>
      </c>
      <c r="C1687" s="17" t="str">
        <f t="shared" ref="C1687:C1750" si="1297">LEFT(A1687,1)</f>
        <v>4</v>
      </c>
      <c r="D1687" s="17">
        <f t="shared" si="1285"/>
        <v>40003</v>
      </c>
      <c r="E1687" s="17">
        <v>1</v>
      </c>
      <c r="F1687" s="17">
        <f t="shared" si="1295"/>
        <v>3</v>
      </c>
      <c r="G1687" s="17" t="str">
        <f t="shared" si="1289"/>
        <v>高级生命</v>
      </c>
      <c r="H1687" s="17" t="str">
        <f t="shared" si="1290"/>
        <v>icon_01</v>
      </c>
      <c r="I1687" s="20">
        <v>0</v>
      </c>
      <c r="J1687" s="17">
        <v>13</v>
      </c>
      <c r="K1687" s="17">
        <f t="shared" si="1286"/>
        <v>42014</v>
      </c>
      <c r="L1687" s="17" t="s">
        <v>535</v>
      </c>
      <c r="M1687" s="17" t="str">
        <f t="shared" si="1291"/>
        <v>2:10001:50</v>
      </c>
      <c r="N1687" s="16" t="str">
        <f t="shared" si="1292"/>
        <v>131:1</v>
      </c>
      <c r="O1687" s="17">
        <f t="shared" si="1296"/>
        <v>1</v>
      </c>
      <c r="P1687" s="21" t="str">
        <f t="shared" si="1287"/>
        <v>所有飞兵生命增加:1</v>
      </c>
      <c r="Q1687" s="21"/>
      <c r="R1687" t="str">
        <f t="shared" si="1293"/>
        <v>生命</v>
      </c>
      <c r="T1687" t="str">
        <f t="shared" si="1294"/>
        <v>:1</v>
      </c>
      <c r="U1687" t="str">
        <f t="shared" si="1283"/>
        <v>飞兵</v>
      </c>
      <c r="V1687" t="s">
        <v>4688</v>
      </c>
      <c r="W1687">
        <f>属性类型!G1687</f>
        <v>131</v>
      </c>
      <c r="X1687">
        <v>1</v>
      </c>
    </row>
    <row r="1688" customFormat="1" ht="16.5" spans="1:24">
      <c r="A1688" s="17">
        <f t="shared" si="1288"/>
        <v>42014</v>
      </c>
      <c r="B1688" s="17">
        <f t="shared" si="1284"/>
        <v>42000</v>
      </c>
      <c r="C1688" s="17" t="str">
        <f t="shared" si="1297"/>
        <v>4</v>
      </c>
      <c r="D1688" s="17">
        <f t="shared" si="1285"/>
        <v>40003</v>
      </c>
      <c r="E1688" s="17">
        <v>1</v>
      </c>
      <c r="F1688" s="17">
        <f t="shared" si="1295"/>
        <v>3</v>
      </c>
      <c r="G1688" s="17" t="str">
        <f t="shared" si="1289"/>
        <v>高级生命</v>
      </c>
      <c r="H1688" s="17" t="str">
        <f t="shared" si="1290"/>
        <v>icon_01</v>
      </c>
      <c r="I1688" s="20">
        <v>0</v>
      </c>
      <c r="J1688" s="17">
        <v>14</v>
      </c>
      <c r="K1688" s="17">
        <f t="shared" si="1286"/>
        <v>42015</v>
      </c>
      <c r="L1688" s="17" t="s">
        <v>538</v>
      </c>
      <c r="M1688" s="17" t="str">
        <f t="shared" si="1291"/>
        <v>2:10001:50</v>
      </c>
      <c r="N1688" s="16" t="str">
        <f t="shared" si="1292"/>
        <v>131:1</v>
      </c>
      <c r="O1688" s="17">
        <f t="shared" si="1296"/>
        <v>1</v>
      </c>
      <c r="P1688" s="21" t="str">
        <f t="shared" si="1287"/>
        <v>所有飞兵生命增加:1</v>
      </c>
      <c r="Q1688" s="21"/>
      <c r="R1688" t="str">
        <f t="shared" si="1293"/>
        <v>生命</v>
      </c>
      <c r="T1688" t="str">
        <f t="shared" si="1294"/>
        <v>:1</v>
      </c>
      <c r="U1688" t="str">
        <f t="shared" si="1283"/>
        <v>飞兵</v>
      </c>
      <c r="V1688" t="s">
        <v>4688</v>
      </c>
      <c r="W1688">
        <f>属性类型!G1688</f>
        <v>131</v>
      </c>
      <c r="X1688">
        <v>1</v>
      </c>
    </row>
    <row r="1689" customFormat="1" ht="16.5" spans="1:24">
      <c r="A1689" s="17">
        <f t="shared" si="1288"/>
        <v>42015</v>
      </c>
      <c r="B1689" s="17">
        <f t="shared" si="1284"/>
        <v>42000</v>
      </c>
      <c r="C1689" s="17" t="str">
        <f t="shared" si="1297"/>
        <v>4</v>
      </c>
      <c r="D1689" s="17">
        <f t="shared" si="1285"/>
        <v>40003</v>
      </c>
      <c r="E1689" s="17">
        <v>1</v>
      </c>
      <c r="F1689" s="17">
        <f t="shared" si="1295"/>
        <v>3</v>
      </c>
      <c r="G1689" s="17" t="str">
        <f t="shared" si="1289"/>
        <v>高级生命</v>
      </c>
      <c r="H1689" s="17" t="str">
        <f t="shared" si="1290"/>
        <v>icon_01</v>
      </c>
      <c r="I1689" s="20">
        <v>0</v>
      </c>
      <c r="J1689" s="17">
        <v>15</v>
      </c>
      <c r="K1689" s="17">
        <v>0</v>
      </c>
      <c r="L1689" s="17" t="s">
        <v>540</v>
      </c>
      <c r="M1689" s="17" t="str">
        <f t="shared" si="1291"/>
        <v>2:10001:50</v>
      </c>
      <c r="N1689" s="16" t="str">
        <f t="shared" si="1292"/>
        <v>131:1</v>
      </c>
      <c r="O1689" s="17">
        <f t="shared" si="1296"/>
        <v>1</v>
      </c>
      <c r="P1689" s="21" t="str">
        <f t="shared" si="1287"/>
        <v>所有飞兵生命增加:1</v>
      </c>
      <c r="Q1689" s="21"/>
      <c r="R1689" t="str">
        <f t="shared" si="1293"/>
        <v>生命</v>
      </c>
      <c r="T1689" t="str">
        <f t="shared" si="1294"/>
        <v>:1</v>
      </c>
      <c r="U1689" t="str">
        <f t="shared" si="1283"/>
        <v>飞兵</v>
      </c>
      <c r="V1689" t="s">
        <v>4688</v>
      </c>
      <c r="W1689">
        <f>属性类型!G1689</f>
        <v>131</v>
      </c>
      <c r="X1689">
        <v>1</v>
      </c>
    </row>
    <row r="1690" customFormat="1" ht="16.5" spans="1:24">
      <c r="A1690" s="18">
        <f>A1674+100</f>
        <v>42100</v>
      </c>
      <c r="B1690" s="18">
        <f t="shared" si="1284"/>
        <v>42100</v>
      </c>
      <c r="C1690" s="18" t="str">
        <f t="shared" si="1297"/>
        <v>4</v>
      </c>
      <c r="D1690" s="17">
        <f t="shared" si="1285"/>
        <v>40003</v>
      </c>
      <c r="E1690" s="17">
        <v>1</v>
      </c>
      <c r="F1690" s="18">
        <f t="shared" si="1295"/>
        <v>3</v>
      </c>
      <c r="G1690" s="18" t="s">
        <v>543</v>
      </c>
      <c r="H1690" s="18" t="s">
        <v>63</v>
      </c>
      <c r="I1690" s="20">
        <v>0</v>
      </c>
      <c r="J1690" s="18">
        <v>0</v>
      </c>
      <c r="K1690" s="18">
        <f t="shared" ref="K1690:K1704" si="1298">A1691</f>
        <v>42101</v>
      </c>
      <c r="L1690" s="18" t="s">
        <v>206</v>
      </c>
      <c r="M1690" s="18" t="s">
        <v>545</v>
      </c>
      <c r="N1690" s="16" t="str">
        <f t="shared" si="1292"/>
        <v>133:1</v>
      </c>
      <c r="O1690" s="18">
        <f t="shared" si="1296"/>
        <v>2</v>
      </c>
      <c r="P1690" s="21" t="str">
        <f t="shared" si="1287"/>
        <v>所有飞兵防御增加1</v>
      </c>
      <c r="Q1690" s="21"/>
      <c r="R1690" t="s">
        <v>4272</v>
      </c>
      <c r="T1690" t="str">
        <f>RIGHT(N1690,1)</f>
        <v>1</v>
      </c>
      <c r="U1690" t="str">
        <f t="shared" si="1283"/>
        <v>飞兵</v>
      </c>
      <c r="V1690" t="s">
        <v>4689</v>
      </c>
      <c r="W1690">
        <f>属性类型!G1690</f>
        <v>133</v>
      </c>
      <c r="X1690">
        <v>1</v>
      </c>
    </row>
    <row r="1691" customFormat="1" ht="16.5" spans="1:24">
      <c r="A1691" s="17">
        <f t="shared" ref="A1691:A1705" si="1299">A1690+1</f>
        <v>42101</v>
      </c>
      <c r="B1691" s="17">
        <f t="shared" si="1284"/>
        <v>42100</v>
      </c>
      <c r="C1691" s="17" t="str">
        <f t="shared" si="1297"/>
        <v>4</v>
      </c>
      <c r="D1691" s="17">
        <f t="shared" si="1285"/>
        <v>40003</v>
      </c>
      <c r="E1691" s="17">
        <v>1</v>
      </c>
      <c r="F1691" s="17">
        <f t="shared" si="1295"/>
        <v>3</v>
      </c>
      <c r="G1691" s="17" t="str">
        <f t="shared" ref="G1691:G1705" si="1300">G1690</f>
        <v>高级防御</v>
      </c>
      <c r="H1691" s="17" t="str">
        <f t="shared" ref="H1691:H1705" si="1301">H1690</f>
        <v>icon_02</v>
      </c>
      <c r="I1691" s="20">
        <v>0</v>
      </c>
      <c r="J1691" s="17">
        <v>1</v>
      </c>
      <c r="K1691" s="17">
        <f t="shared" si="1298"/>
        <v>42102</v>
      </c>
      <c r="L1691" s="17" t="s">
        <v>211</v>
      </c>
      <c r="M1691" s="17" t="str">
        <f t="shared" ref="M1691:M1705" si="1302">M1690</f>
        <v>1:12000:5</v>
      </c>
      <c r="N1691" s="16" t="str">
        <f t="shared" si="1292"/>
        <v>133:1</v>
      </c>
      <c r="O1691" s="17">
        <f t="shared" si="1296"/>
        <v>2</v>
      </c>
      <c r="P1691" s="21" t="str">
        <f t="shared" si="1287"/>
        <v>所有飞兵防御增加:1</v>
      </c>
      <c r="Q1691" s="21"/>
      <c r="R1691" t="str">
        <f t="shared" ref="R1691:R1705" si="1303">R1690</f>
        <v>防御</v>
      </c>
      <c r="T1691" t="str">
        <f t="shared" ref="T1691:T1705" si="1304">RIGHT(N1691,2)</f>
        <v>:1</v>
      </c>
      <c r="U1691" t="str">
        <f t="shared" si="1283"/>
        <v>飞兵</v>
      </c>
      <c r="V1691" t="s">
        <v>4689</v>
      </c>
      <c r="W1691">
        <f>属性类型!G1691</f>
        <v>133</v>
      </c>
      <c r="X1691">
        <v>1</v>
      </c>
    </row>
    <row r="1692" customFormat="1" ht="16.5" spans="1:24">
      <c r="A1692" s="17">
        <f t="shared" si="1299"/>
        <v>42102</v>
      </c>
      <c r="B1692" s="17">
        <f t="shared" si="1284"/>
        <v>42100</v>
      </c>
      <c r="C1692" s="17" t="str">
        <f t="shared" si="1297"/>
        <v>4</v>
      </c>
      <c r="D1692" s="17">
        <f t="shared" si="1285"/>
        <v>40003</v>
      </c>
      <c r="E1692" s="17">
        <v>1</v>
      </c>
      <c r="F1692" s="17">
        <f t="shared" si="1295"/>
        <v>3</v>
      </c>
      <c r="G1692" s="17" t="str">
        <f t="shared" si="1300"/>
        <v>高级防御</v>
      </c>
      <c r="H1692" s="17" t="str">
        <f t="shared" si="1301"/>
        <v>icon_02</v>
      </c>
      <c r="I1692" s="20">
        <v>0</v>
      </c>
      <c r="J1692" s="17">
        <v>2</v>
      </c>
      <c r="K1692" s="17">
        <f t="shared" si="1298"/>
        <v>42103</v>
      </c>
      <c r="L1692" s="17" t="s">
        <v>215</v>
      </c>
      <c r="M1692" s="17" t="str">
        <f t="shared" si="1302"/>
        <v>1:12000:5</v>
      </c>
      <c r="N1692" s="16" t="str">
        <f t="shared" si="1292"/>
        <v>133:1</v>
      </c>
      <c r="O1692" s="17">
        <f t="shared" si="1296"/>
        <v>2</v>
      </c>
      <c r="P1692" s="21" t="str">
        <f t="shared" si="1287"/>
        <v>所有飞兵防御增加:1</v>
      </c>
      <c r="Q1692" s="21"/>
      <c r="R1692" t="str">
        <f t="shared" si="1303"/>
        <v>防御</v>
      </c>
      <c r="T1692" t="str">
        <f t="shared" si="1304"/>
        <v>:1</v>
      </c>
      <c r="U1692" t="str">
        <f t="shared" si="1283"/>
        <v>飞兵</v>
      </c>
      <c r="V1692" t="s">
        <v>4689</v>
      </c>
      <c r="W1692">
        <f>属性类型!G1692</f>
        <v>133</v>
      </c>
      <c r="X1692">
        <v>1</v>
      </c>
    </row>
    <row r="1693" customFormat="1" ht="16.5" spans="1:24">
      <c r="A1693" s="17">
        <f t="shared" si="1299"/>
        <v>42103</v>
      </c>
      <c r="B1693" s="17">
        <f t="shared" si="1284"/>
        <v>42100</v>
      </c>
      <c r="C1693" s="17" t="str">
        <f t="shared" si="1297"/>
        <v>4</v>
      </c>
      <c r="D1693" s="17">
        <f t="shared" si="1285"/>
        <v>40003</v>
      </c>
      <c r="E1693" s="17">
        <v>1</v>
      </c>
      <c r="F1693" s="17">
        <f t="shared" si="1295"/>
        <v>3</v>
      </c>
      <c r="G1693" s="17" t="str">
        <f t="shared" si="1300"/>
        <v>高级防御</v>
      </c>
      <c r="H1693" s="17" t="str">
        <f t="shared" si="1301"/>
        <v>icon_02</v>
      </c>
      <c r="I1693" s="20">
        <v>0</v>
      </c>
      <c r="J1693" s="17">
        <v>3</v>
      </c>
      <c r="K1693" s="17">
        <f t="shared" si="1298"/>
        <v>42104</v>
      </c>
      <c r="L1693" s="17" t="s">
        <v>218</v>
      </c>
      <c r="M1693" s="17" t="str">
        <f t="shared" si="1302"/>
        <v>1:12000:5</v>
      </c>
      <c r="N1693" s="16" t="str">
        <f t="shared" si="1292"/>
        <v>133:1</v>
      </c>
      <c r="O1693" s="17">
        <f t="shared" si="1296"/>
        <v>2</v>
      </c>
      <c r="P1693" s="21" t="str">
        <f t="shared" si="1287"/>
        <v>所有飞兵防御增加:1</v>
      </c>
      <c r="Q1693" s="21"/>
      <c r="R1693" t="str">
        <f t="shared" si="1303"/>
        <v>防御</v>
      </c>
      <c r="T1693" t="str">
        <f t="shared" si="1304"/>
        <v>:1</v>
      </c>
      <c r="U1693" t="str">
        <f t="shared" si="1283"/>
        <v>飞兵</v>
      </c>
      <c r="V1693" t="s">
        <v>4689</v>
      </c>
      <c r="W1693">
        <f>属性类型!G1693</f>
        <v>133</v>
      </c>
      <c r="X1693">
        <v>1</v>
      </c>
    </row>
    <row r="1694" customFormat="1" ht="16.5" spans="1:24">
      <c r="A1694" s="17">
        <f t="shared" si="1299"/>
        <v>42104</v>
      </c>
      <c r="B1694" s="17">
        <f t="shared" si="1284"/>
        <v>42100</v>
      </c>
      <c r="C1694" s="17" t="str">
        <f t="shared" si="1297"/>
        <v>4</v>
      </c>
      <c r="D1694" s="17">
        <f t="shared" si="1285"/>
        <v>40003</v>
      </c>
      <c r="E1694" s="17">
        <v>1</v>
      </c>
      <c r="F1694" s="17">
        <f t="shared" si="1295"/>
        <v>3</v>
      </c>
      <c r="G1694" s="17" t="str">
        <f t="shared" si="1300"/>
        <v>高级防御</v>
      </c>
      <c r="H1694" s="17" t="str">
        <f t="shared" si="1301"/>
        <v>icon_02</v>
      </c>
      <c r="I1694" s="20">
        <v>0</v>
      </c>
      <c r="J1694" s="17">
        <v>4</v>
      </c>
      <c r="K1694" s="17">
        <f t="shared" si="1298"/>
        <v>42105</v>
      </c>
      <c r="L1694" s="17" t="s">
        <v>221</v>
      </c>
      <c r="M1694" s="17" t="str">
        <f t="shared" si="1302"/>
        <v>1:12000:5</v>
      </c>
      <c r="N1694" s="16" t="str">
        <f t="shared" si="1292"/>
        <v>133:1</v>
      </c>
      <c r="O1694" s="17">
        <f t="shared" si="1296"/>
        <v>2</v>
      </c>
      <c r="P1694" s="21" t="str">
        <f t="shared" si="1287"/>
        <v>所有飞兵防御增加:1</v>
      </c>
      <c r="Q1694" s="21"/>
      <c r="R1694" t="str">
        <f t="shared" si="1303"/>
        <v>防御</v>
      </c>
      <c r="T1694" t="str">
        <f t="shared" si="1304"/>
        <v>:1</v>
      </c>
      <c r="U1694" t="str">
        <f t="shared" si="1283"/>
        <v>飞兵</v>
      </c>
      <c r="V1694" t="s">
        <v>4689</v>
      </c>
      <c r="W1694">
        <f>属性类型!G1694</f>
        <v>133</v>
      </c>
      <c r="X1694">
        <v>1</v>
      </c>
    </row>
    <row r="1695" customFormat="1" ht="16.5" spans="1:24">
      <c r="A1695" s="17">
        <f t="shared" si="1299"/>
        <v>42105</v>
      </c>
      <c r="B1695" s="17">
        <f t="shared" si="1284"/>
        <v>42100</v>
      </c>
      <c r="C1695" s="17" t="str">
        <f t="shared" si="1297"/>
        <v>4</v>
      </c>
      <c r="D1695" s="17">
        <f t="shared" si="1285"/>
        <v>40003</v>
      </c>
      <c r="E1695" s="17">
        <v>1</v>
      </c>
      <c r="F1695" s="17">
        <f t="shared" si="1295"/>
        <v>3</v>
      </c>
      <c r="G1695" s="17" t="str">
        <f t="shared" si="1300"/>
        <v>高级防御</v>
      </c>
      <c r="H1695" s="17" t="str">
        <f t="shared" si="1301"/>
        <v>icon_02</v>
      </c>
      <c r="I1695" s="20">
        <v>0</v>
      </c>
      <c r="J1695" s="17">
        <v>5</v>
      </c>
      <c r="K1695" s="17">
        <f t="shared" si="1298"/>
        <v>42106</v>
      </c>
      <c r="L1695" s="17" t="s">
        <v>224</v>
      </c>
      <c r="M1695" s="17" t="str">
        <f t="shared" si="1302"/>
        <v>1:12000:5</v>
      </c>
      <c r="N1695" s="16" t="str">
        <f t="shared" si="1292"/>
        <v>133:1</v>
      </c>
      <c r="O1695" s="17">
        <f t="shared" si="1296"/>
        <v>2</v>
      </c>
      <c r="P1695" s="21" t="str">
        <f t="shared" si="1287"/>
        <v>所有飞兵防御增加:1</v>
      </c>
      <c r="Q1695" s="21"/>
      <c r="R1695" t="str">
        <f t="shared" si="1303"/>
        <v>防御</v>
      </c>
      <c r="T1695" t="str">
        <f t="shared" si="1304"/>
        <v>:1</v>
      </c>
      <c r="U1695" t="str">
        <f t="shared" si="1283"/>
        <v>飞兵</v>
      </c>
      <c r="V1695" t="s">
        <v>4689</v>
      </c>
      <c r="W1695">
        <f>属性类型!G1695</f>
        <v>133</v>
      </c>
      <c r="X1695">
        <v>1</v>
      </c>
    </row>
    <row r="1696" customFormat="1" ht="16.5" spans="1:24">
      <c r="A1696" s="17">
        <f t="shared" si="1299"/>
        <v>42106</v>
      </c>
      <c r="B1696" s="17">
        <f t="shared" si="1284"/>
        <v>42100</v>
      </c>
      <c r="C1696" s="17" t="str">
        <f t="shared" si="1297"/>
        <v>4</v>
      </c>
      <c r="D1696" s="17">
        <f t="shared" si="1285"/>
        <v>40003</v>
      </c>
      <c r="E1696" s="17">
        <v>1</v>
      </c>
      <c r="F1696" s="17">
        <f t="shared" si="1295"/>
        <v>3</v>
      </c>
      <c r="G1696" s="17" t="str">
        <f t="shared" si="1300"/>
        <v>高级防御</v>
      </c>
      <c r="H1696" s="17" t="str">
        <f t="shared" si="1301"/>
        <v>icon_02</v>
      </c>
      <c r="I1696" s="20">
        <v>0</v>
      </c>
      <c r="J1696" s="17">
        <v>6</v>
      </c>
      <c r="K1696" s="17">
        <f t="shared" si="1298"/>
        <v>42107</v>
      </c>
      <c r="L1696" s="17" t="s">
        <v>227</v>
      </c>
      <c r="M1696" s="17" t="str">
        <f t="shared" si="1302"/>
        <v>1:12000:5</v>
      </c>
      <c r="N1696" s="16" t="str">
        <f t="shared" si="1292"/>
        <v>133:1</v>
      </c>
      <c r="O1696" s="17">
        <f t="shared" si="1296"/>
        <v>2</v>
      </c>
      <c r="P1696" s="21" t="str">
        <f t="shared" si="1287"/>
        <v>所有飞兵防御增加:1</v>
      </c>
      <c r="Q1696" s="21"/>
      <c r="R1696" t="str">
        <f t="shared" si="1303"/>
        <v>防御</v>
      </c>
      <c r="T1696" t="str">
        <f t="shared" si="1304"/>
        <v>:1</v>
      </c>
      <c r="U1696" t="str">
        <f t="shared" si="1283"/>
        <v>飞兵</v>
      </c>
      <c r="V1696" t="s">
        <v>4689</v>
      </c>
      <c r="W1696">
        <f>属性类型!G1696</f>
        <v>133</v>
      </c>
      <c r="X1696">
        <v>1</v>
      </c>
    </row>
    <row r="1697" customFormat="1" ht="16.5" spans="1:24">
      <c r="A1697" s="17">
        <f t="shared" si="1299"/>
        <v>42107</v>
      </c>
      <c r="B1697" s="17">
        <f t="shared" si="1284"/>
        <v>42100</v>
      </c>
      <c r="C1697" s="17" t="str">
        <f t="shared" si="1297"/>
        <v>4</v>
      </c>
      <c r="D1697" s="17">
        <f t="shared" si="1285"/>
        <v>40003</v>
      </c>
      <c r="E1697" s="17">
        <v>1</v>
      </c>
      <c r="F1697" s="17">
        <f t="shared" si="1295"/>
        <v>3</v>
      </c>
      <c r="G1697" s="17" t="str">
        <f t="shared" si="1300"/>
        <v>高级防御</v>
      </c>
      <c r="H1697" s="17" t="str">
        <f t="shared" si="1301"/>
        <v>icon_02</v>
      </c>
      <c r="I1697" s="20">
        <v>0</v>
      </c>
      <c r="J1697" s="17">
        <v>7</v>
      </c>
      <c r="K1697" s="17">
        <f t="shared" si="1298"/>
        <v>42108</v>
      </c>
      <c r="L1697" s="17" t="s">
        <v>230</v>
      </c>
      <c r="M1697" s="17" t="str">
        <f t="shared" si="1302"/>
        <v>1:12000:5</v>
      </c>
      <c r="N1697" s="16" t="str">
        <f t="shared" si="1292"/>
        <v>133:1</v>
      </c>
      <c r="O1697" s="17">
        <f t="shared" si="1296"/>
        <v>2</v>
      </c>
      <c r="P1697" s="21" t="str">
        <f t="shared" si="1287"/>
        <v>所有飞兵防御增加:1</v>
      </c>
      <c r="Q1697" s="21"/>
      <c r="R1697" t="str">
        <f t="shared" si="1303"/>
        <v>防御</v>
      </c>
      <c r="T1697" t="str">
        <f t="shared" si="1304"/>
        <v>:1</v>
      </c>
      <c r="U1697" t="str">
        <f t="shared" si="1283"/>
        <v>飞兵</v>
      </c>
      <c r="V1697" t="s">
        <v>4689</v>
      </c>
      <c r="W1697">
        <f>属性类型!G1697</f>
        <v>133</v>
      </c>
      <c r="X1697">
        <v>1</v>
      </c>
    </row>
    <row r="1698" customFormat="1" ht="16.5" spans="1:24">
      <c r="A1698" s="17">
        <f t="shared" si="1299"/>
        <v>42108</v>
      </c>
      <c r="B1698" s="17">
        <f t="shared" si="1284"/>
        <v>42100</v>
      </c>
      <c r="C1698" s="17" t="str">
        <f t="shared" si="1297"/>
        <v>4</v>
      </c>
      <c r="D1698" s="17">
        <f t="shared" si="1285"/>
        <v>40003</v>
      </c>
      <c r="E1698" s="17">
        <v>1</v>
      </c>
      <c r="F1698" s="17">
        <f t="shared" si="1295"/>
        <v>3</v>
      </c>
      <c r="G1698" s="17" t="str">
        <f t="shared" si="1300"/>
        <v>高级防御</v>
      </c>
      <c r="H1698" s="17" t="str">
        <f t="shared" si="1301"/>
        <v>icon_02</v>
      </c>
      <c r="I1698" s="20">
        <v>0</v>
      </c>
      <c r="J1698" s="17">
        <v>8</v>
      </c>
      <c r="K1698" s="17">
        <f t="shared" si="1298"/>
        <v>42109</v>
      </c>
      <c r="L1698" s="17" t="s">
        <v>233</v>
      </c>
      <c r="M1698" s="17" t="str">
        <f t="shared" si="1302"/>
        <v>1:12000:5</v>
      </c>
      <c r="N1698" s="16" t="str">
        <f t="shared" si="1292"/>
        <v>133:1</v>
      </c>
      <c r="O1698" s="17">
        <f t="shared" si="1296"/>
        <v>2</v>
      </c>
      <c r="P1698" s="21" t="str">
        <f t="shared" si="1287"/>
        <v>所有飞兵防御增加:1</v>
      </c>
      <c r="Q1698" s="21"/>
      <c r="R1698" t="str">
        <f t="shared" si="1303"/>
        <v>防御</v>
      </c>
      <c r="T1698" t="str">
        <f t="shared" si="1304"/>
        <v>:1</v>
      </c>
      <c r="U1698" t="str">
        <f t="shared" si="1283"/>
        <v>飞兵</v>
      </c>
      <c r="V1698" t="s">
        <v>4689</v>
      </c>
      <c r="W1698">
        <f>属性类型!G1698</f>
        <v>133</v>
      </c>
      <c r="X1698">
        <v>1</v>
      </c>
    </row>
    <row r="1699" customFormat="1" ht="16.5" spans="1:24">
      <c r="A1699" s="17">
        <f t="shared" si="1299"/>
        <v>42109</v>
      </c>
      <c r="B1699" s="17">
        <f t="shared" si="1284"/>
        <v>42100</v>
      </c>
      <c r="C1699" s="17" t="str">
        <f t="shared" si="1297"/>
        <v>4</v>
      </c>
      <c r="D1699" s="17">
        <f t="shared" si="1285"/>
        <v>40003</v>
      </c>
      <c r="E1699" s="17">
        <v>1</v>
      </c>
      <c r="F1699" s="17">
        <f t="shared" si="1295"/>
        <v>3</v>
      </c>
      <c r="G1699" s="17" t="str">
        <f t="shared" si="1300"/>
        <v>高级防御</v>
      </c>
      <c r="H1699" s="17" t="str">
        <f t="shared" si="1301"/>
        <v>icon_02</v>
      </c>
      <c r="I1699" s="20">
        <v>0</v>
      </c>
      <c r="J1699" s="17">
        <v>9</v>
      </c>
      <c r="K1699" s="17">
        <f t="shared" si="1298"/>
        <v>42110</v>
      </c>
      <c r="L1699" s="17" t="s">
        <v>236</v>
      </c>
      <c r="M1699" s="17" t="str">
        <f t="shared" si="1302"/>
        <v>1:12000:5</v>
      </c>
      <c r="N1699" s="16" t="str">
        <f t="shared" si="1292"/>
        <v>133:1</v>
      </c>
      <c r="O1699" s="17">
        <f t="shared" si="1296"/>
        <v>2</v>
      </c>
      <c r="P1699" s="21" t="str">
        <f t="shared" si="1287"/>
        <v>所有飞兵防御增加:1</v>
      </c>
      <c r="Q1699" s="21"/>
      <c r="R1699" t="str">
        <f t="shared" si="1303"/>
        <v>防御</v>
      </c>
      <c r="T1699" t="str">
        <f t="shared" si="1304"/>
        <v>:1</v>
      </c>
      <c r="U1699" t="str">
        <f t="shared" si="1283"/>
        <v>飞兵</v>
      </c>
      <c r="V1699" t="s">
        <v>4689</v>
      </c>
      <c r="W1699">
        <f>属性类型!G1699</f>
        <v>133</v>
      </c>
      <c r="X1699">
        <v>1</v>
      </c>
    </row>
    <row r="1700" customFormat="1" ht="16.5" spans="1:24">
      <c r="A1700" s="17">
        <f t="shared" si="1299"/>
        <v>42110</v>
      </c>
      <c r="B1700" s="17">
        <f t="shared" si="1284"/>
        <v>42100</v>
      </c>
      <c r="C1700" s="17" t="str">
        <f t="shared" si="1297"/>
        <v>4</v>
      </c>
      <c r="D1700" s="17">
        <f t="shared" si="1285"/>
        <v>40003</v>
      </c>
      <c r="E1700" s="17">
        <v>1</v>
      </c>
      <c r="F1700" s="17">
        <f t="shared" si="1295"/>
        <v>3</v>
      </c>
      <c r="G1700" s="17" t="str">
        <f t="shared" si="1300"/>
        <v>高级防御</v>
      </c>
      <c r="H1700" s="17" t="str">
        <f t="shared" si="1301"/>
        <v>icon_02</v>
      </c>
      <c r="I1700" s="20">
        <v>0</v>
      </c>
      <c r="J1700" s="17">
        <v>10</v>
      </c>
      <c r="K1700" s="17">
        <f t="shared" si="1298"/>
        <v>42111</v>
      </c>
      <c r="L1700" s="17" t="s">
        <v>238</v>
      </c>
      <c r="M1700" s="17" t="str">
        <f t="shared" si="1302"/>
        <v>1:12000:5</v>
      </c>
      <c r="N1700" s="16" t="str">
        <f t="shared" si="1292"/>
        <v>133:1</v>
      </c>
      <c r="O1700" s="17">
        <f t="shared" si="1296"/>
        <v>2</v>
      </c>
      <c r="P1700" s="21" t="str">
        <f t="shared" si="1287"/>
        <v>所有飞兵防御增加:1</v>
      </c>
      <c r="Q1700" s="21"/>
      <c r="R1700" t="str">
        <f t="shared" si="1303"/>
        <v>防御</v>
      </c>
      <c r="T1700" t="str">
        <f t="shared" si="1304"/>
        <v>:1</v>
      </c>
      <c r="U1700" t="str">
        <f t="shared" si="1283"/>
        <v>飞兵</v>
      </c>
      <c r="V1700" t="s">
        <v>4689</v>
      </c>
      <c r="W1700">
        <f>属性类型!G1700</f>
        <v>133</v>
      </c>
      <c r="X1700">
        <v>1</v>
      </c>
    </row>
    <row r="1701" customFormat="1" ht="16.5" spans="1:24">
      <c r="A1701" s="17">
        <f t="shared" si="1299"/>
        <v>42111</v>
      </c>
      <c r="B1701" s="17">
        <f t="shared" si="1284"/>
        <v>42100</v>
      </c>
      <c r="C1701" s="17" t="str">
        <f t="shared" si="1297"/>
        <v>4</v>
      </c>
      <c r="D1701" s="17">
        <f t="shared" si="1285"/>
        <v>40003</v>
      </c>
      <c r="E1701" s="17">
        <v>1</v>
      </c>
      <c r="F1701" s="17">
        <f t="shared" si="1295"/>
        <v>3</v>
      </c>
      <c r="G1701" s="17" t="str">
        <f t="shared" si="1300"/>
        <v>高级防御</v>
      </c>
      <c r="H1701" s="17" t="str">
        <f t="shared" si="1301"/>
        <v>icon_02</v>
      </c>
      <c r="I1701" s="20">
        <v>0</v>
      </c>
      <c r="J1701" s="17">
        <v>11</v>
      </c>
      <c r="K1701" s="17">
        <f t="shared" si="1298"/>
        <v>42112</v>
      </c>
      <c r="L1701" s="17" t="s">
        <v>529</v>
      </c>
      <c r="M1701" s="17" t="str">
        <f t="shared" si="1302"/>
        <v>1:12000:5</v>
      </c>
      <c r="N1701" s="16" t="str">
        <f t="shared" si="1292"/>
        <v>133:1</v>
      </c>
      <c r="O1701" s="17">
        <f t="shared" si="1296"/>
        <v>2</v>
      </c>
      <c r="P1701" s="21" t="str">
        <f t="shared" si="1287"/>
        <v>所有飞兵防御增加:1</v>
      </c>
      <c r="Q1701" s="21"/>
      <c r="R1701" t="str">
        <f t="shared" si="1303"/>
        <v>防御</v>
      </c>
      <c r="T1701" t="str">
        <f t="shared" si="1304"/>
        <v>:1</v>
      </c>
      <c r="U1701" t="str">
        <f t="shared" si="1283"/>
        <v>飞兵</v>
      </c>
      <c r="V1701" t="s">
        <v>4689</v>
      </c>
      <c r="W1701">
        <f>属性类型!G1701</f>
        <v>133</v>
      </c>
      <c r="X1701">
        <v>1</v>
      </c>
    </row>
    <row r="1702" customFormat="1" ht="16.5" spans="1:24">
      <c r="A1702" s="17">
        <f t="shared" si="1299"/>
        <v>42112</v>
      </c>
      <c r="B1702" s="17">
        <f t="shared" si="1284"/>
        <v>42100</v>
      </c>
      <c r="C1702" s="17" t="str">
        <f t="shared" si="1297"/>
        <v>4</v>
      </c>
      <c r="D1702" s="17">
        <f t="shared" ref="D1702:D1765" si="1305">$A$1399+F1702</f>
        <v>40003</v>
      </c>
      <c r="E1702" s="17">
        <v>1</v>
      </c>
      <c r="F1702" s="17">
        <f t="shared" si="1295"/>
        <v>3</v>
      </c>
      <c r="G1702" s="17" t="str">
        <f t="shared" si="1300"/>
        <v>高级防御</v>
      </c>
      <c r="H1702" s="17" t="str">
        <f t="shared" si="1301"/>
        <v>icon_02</v>
      </c>
      <c r="I1702" s="20">
        <v>0</v>
      </c>
      <c r="J1702" s="17">
        <v>12</v>
      </c>
      <c r="K1702" s="17">
        <f t="shared" si="1298"/>
        <v>42113</v>
      </c>
      <c r="L1702" s="17" t="s">
        <v>532</v>
      </c>
      <c r="M1702" s="17" t="str">
        <f t="shared" si="1302"/>
        <v>1:12000:5</v>
      </c>
      <c r="N1702" s="16" t="str">
        <f t="shared" si="1292"/>
        <v>133:1</v>
      </c>
      <c r="O1702" s="17">
        <f t="shared" si="1296"/>
        <v>2</v>
      </c>
      <c r="P1702" s="21" t="str">
        <f t="shared" si="1287"/>
        <v>所有飞兵防御增加:1</v>
      </c>
      <c r="Q1702" s="21"/>
      <c r="R1702" t="str">
        <f t="shared" si="1303"/>
        <v>防御</v>
      </c>
      <c r="T1702" t="str">
        <f t="shared" si="1304"/>
        <v>:1</v>
      </c>
      <c r="U1702" t="str">
        <f t="shared" si="1283"/>
        <v>飞兵</v>
      </c>
      <c r="V1702" t="s">
        <v>4689</v>
      </c>
      <c r="W1702">
        <f>属性类型!G1702</f>
        <v>133</v>
      </c>
      <c r="X1702">
        <v>1</v>
      </c>
    </row>
    <row r="1703" customFormat="1" ht="16.5" spans="1:24">
      <c r="A1703" s="17">
        <f t="shared" si="1299"/>
        <v>42113</v>
      </c>
      <c r="B1703" s="17">
        <f t="shared" si="1284"/>
        <v>42100</v>
      </c>
      <c r="C1703" s="17" t="str">
        <f t="shared" si="1297"/>
        <v>4</v>
      </c>
      <c r="D1703" s="17">
        <f t="shared" si="1305"/>
        <v>40003</v>
      </c>
      <c r="E1703" s="17">
        <v>1</v>
      </c>
      <c r="F1703" s="17">
        <f t="shared" si="1295"/>
        <v>3</v>
      </c>
      <c r="G1703" s="17" t="str">
        <f t="shared" si="1300"/>
        <v>高级防御</v>
      </c>
      <c r="H1703" s="17" t="str">
        <f t="shared" si="1301"/>
        <v>icon_02</v>
      </c>
      <c r="I1703" s="20">
        <v>0</v>
      </c>
      <c r="J1703" s="17">
        <v>13</v>
      </c>
      <c r="K1703" s="17">
        <f t="shared" si="1298"/>
        <v>42114</v>
      </c>
      <c r="L1703" s="17" t="s">
        <v>561</v>
      </c>
      <c r="M1703" s="17" t="str">
        <f t="shared" si="1302"/>
        <v>1:12000:5</v>
      </c>
      <c r="N1703" s="16" t="str">
        <f t="shared" si="1292"/>
        <v>133:1</v>
      </c>
      <c r="O1703" s="17">
        <f t="shared" si="1296"/>
        <v>2</v>
      </c>
      <c r="P1703" s="21" t="str">
        <f t="shared" si="1287"/>
        <v>所有飞兵防御增加:1</v>
      </c>
      <c r="Q1703" s="21"/>
      <c r="R1703" t="str">
        <f t="shared" si="1303"/>
        <v>防御</v>
      </c>
      <c r="T1703" t="str">
        <f t="shared" si="1304"/>
        <v>:1</v>
      </c>
      <c r="U1703" t="str">
        <f t="shared" si="1283"/>
        <v>飞兵</v>
      </c>
      <c r="V1703" t="s">
        <v>4689</v>
      </c>
      <c r="W1703">
        <f>属性类型!G1703</f>
        <v>133</v>
      </c>
      <c r="X1703">
        <v>1</v>
      </c>
    </row>
    <row r="1704" customFormat="1" ht="16.5" spans="1:24">
      <c r="A1704" s="17">
        <f t="shared" si="1299"/>
        <v>42114</v>
      </c>
      <c r="B1704" s="17">
        <f t="shared" si="1284"/>
        <v>42100</v>
      </c>
      <c r="C1704" s="17" t="str">
        <f t="shared" si="1297"/>
        <v>4</v>
      </c>
      <c r="D1704" s="17">
        <f t="shared" si="1305"/>
        <v>40003</v>
      </c>
      <c r="E1704" s="17">
        <v>1</v>
      </c>
      <c r="F1704" s="17">
        <f t="shared" si="1295"/>
        <v>3</v>
      </c>
      <c r="G1704" s="17" t="str">
        <f t="shared" si="1300"/>
        <v>高级防御</v>
      </c>
      <c r="H1704" s="17" t="str">
        <f t="shared" si="1301"/>
        <v>icon_02</v>
      </c>
      <c r="I1704" s="20">
        <v>0</v>
      </c>
      <c r="J1704" s="17">
        <v>14</v>
      </c>
      <c r="K1704" s="17">
        <f t="shared" si="1298"/>
        <v>42115</v>
      </c>
      <c r="L1704" s="17" t="s">
        <v>564</v>
      </c>
      <c r="M1704" s="17" t="str">
        <f t="shared" si="1302"/>
        <v>1:12000:5</v>
      </c>
      <c r="N1704" s="16" t="str">
        <f t="shared" si="1292"/>
        <v>133:1</v>
      </c>
      <c r="O1704" s="17">
        <f t="shared" si="1296"/>
        <v>2</v>
      </c>
      <c r="P1704" s="21" t="str">
        <f t="shared" si="1287"/>
        <v>所有飞兵防御增加:1</v>
      </c>
      <c r="Q1704" s="21"/>
      <c r="R1704" t="str">
        <f t="shared" si="1303"/>
        <v>防御</v>
      </c>
      <c r="T1704" t="str">
        <f t="shared" si="1304"/>
        <v>:1</v>
      </c>
      <c r="U1704" t="str">
        <f t="shared" si="1283"/>
        <v>飞兵</v>
      </c>
      <c r="V1704" t="s">
        <v>4689</v>
      </c>
      <c r="W1704">
        <f>属性类型!G1704</f>
        <v>133</v>
      </c>
      <c r="X1704">
        <v>1</v>
      </c>
    </row>
    <row r="1705" customFormat="1" ht="16.5" spans="1:24">
      <c r="A1705" s="17">
        <f t="shared" si="1299"/>
        <v>42115</v>
      </c>
      <c r="B1705" s="17">
        <f t="shared" si="1284"/>
        <v>42100</v>
      </c>
      <c r="C1705" s="17" t="str">
        <f t="shared" si="1297"/>
        <v>4</v>
      </c>
      <c r="D1705" s="17">
        <f t="shared" si="1305"/>
        <v>40003</v>
      </c>
      <c r="E1705" s="17">
        <v>1</v>
      </c>
      <c r="F1705" s="17">
        <f t="shared" si="1295"/>
        <v>3</v>
      </c>
      <c r="G1705" s="17" t="str">
        <f t="shared" si="1300"/>
        <v>高级防御</v>
      </c>
      <c r="H1705" s="17" t="str">
        <f t="shared" si="1301"/>
        <v>icon_02</v>
      </c>
      <c r="I1705" s="20">
        <v>0</v>
      </c>
      <c r="J1705" s="17">
        <v>15</v>
      </c>
      <c r="K1705" s="17">
        <v>0</v>
      </c>
      <c r="L1705" s="17">
        <v>0</v>
      </c>
      <c r="M1705" s="17" t="str">
        <f t="shared" si="1302"/>
        <v>1:12000:5</v>
      </c>
      <c r="N1705" s="16" t="str">
        <f t="shared" si="1292"/>
        <v>133:1</v>
      </c>
      <c r="O1705" s="17">
        <f t="shared" si="1296"/>
        <v>2</v>
      </c>
      <c r="P1705" s="21" t="str">
        <f t="shared" si="1287"/>
        <v>所有飞兵防御增加:1</v>
      </c>
      <c r="Q1705" s="21"/>
      <c r="R1705" t="str">
        <f t="shared" si="1303"/>
        <v>防御</v>
      </c>
      <c r="T1705" t="str">
        <f t="shared" si="1304"/>
        <v>:1</v>
      </c>
      <c r="U1705" t="str">
        <f t="shared" si="1283"/>
        <v>飞兵</v>
      </c>
      <c r="V1705" t="s">
        <v>4689</v>
      </c>
      <c r="W1705">
        <f>属性类型!G1705</f>
        <v>133</v>
      </c>
      <c r="X1705">
        <v>1</v>
      </c>
    </row>
    <row r="1706" customFormat="1" ht="16.5" spans="1:24">
      <c r="A1706" s="18">
        <f>A1690+100</f>
        <v>42200</v>
      </c>
      <c r="B1706" s="18">
        <f t="shared" si="1284"/>
        <v>42200</v>
      </c>
      <c r="C1706" s="18" t="str">
        <f t="shared" si="1297"/>
        <v>4</v>
      </c>
      <c r="D1706" s="17">
        <f t="shared" si="1305"/>
        <v>40003</v>
      </c>
      <c r="E1706" s="17">
        <v>1</v>
      </c>
      <c r="F1706" s="18">
        <f t="shared" si="1295"/>
        <v>3</v>
      </c>
      <c r="G1706" s="18" t="s">
        <v>568</v>
      </c>
      <c r="H1706" s="18" t="s">
        <v>80</v>
      </c>
      <c r="I1706" s="20">
        <v>0</v>
      </c>
      <c r="J1706" s="18">
        <v>0</v>
      </c>
      <c r="K1706" s="18">
        <f t="shared" ref="K1706:K1720" si="1306">A1707</f>
        <v>42201</v>
      </c>
      <c r="L1706" s="18" t="s">
        <v>206</v>
      </c>
      <c r="M1706" s="18" t="s">
        <v>545</v>
      </c>
      <c r="N1706" s="16" t="str">
        <f t="shared" si="1292"/>
        <v>132:1</v>
      </c>
      <c r="O1706" s="18">
        <f t="shared" si="1296"/>
        <v>3</v>
      </c>
      <c r="P1706" s="21" t="str">
        <f t="shared" si="1287"/>
        <v>所有飞兵攻击增加1</v>
      </c>
      <c r="Q1706" s="21"/>
      <c r="R1706" t="s">
        <v>4274</v>
      </c>
      <c r="T1706" t="str">
        <f>RIGHT(N1706,1)</f>
        <v>1</v>
      </c>
      <c r="U1706" t="str">
        <f t="shared" si="1283"/>
        <v>飞兵</v>
      </c>
      <c r="V1706" t="s">
        <v>4690</v>
      </c>
      <c r="W1706">
        <f>属性类型!G1706</f>
        <v>132</v>
      </c>
      <c r="X1706">
        <v>1</v>
      </c>
    </row>
    <row r="1707" customFormat="1" ht="16.5" spans="1:24">
      <c r="A1707" s="17">
        <f t="shared" ref="A1707:A1721" si="1307">A1706+1</f>
        <v>42201</v>
      </c>
      <c r="B1707" s="17">
        <f t="shared" si="1284"/>
        <v>42200</v>
      </c>
      <c r="C1707" s="17" t="str">
        <f t="shared" si="1297"/>
        <v>4</v>
      </c>
      <c r="D1707" s="17">
        <f t="shared" si="1305"/>
        <v>40003</v>
      </c>
      <c r="E1707" s="17">
        <v>1</v>
      </c>
      <c r="F1707" s="17">
        <f t="shared" si="1295"/>
        <v>3</v>
      </c>
      <c r="G1707" s="17" t="str">
        <f t="shared" ref="G1707:G1721" si="1308">G1706</f>
        <v>高级攻击</v>
      </c>
      <c r="H1707" s="17" t="str">
        <f t="shared" ref="H1707:H1721" si="1309">H1706</f>
        <v>icon_03</v>
      </c>
      <c r="I1707" s="20">
        <v>0</v>
      </c>
      <c r="J1707" s="17">
        <v>1</v>
      </c>
      <c r="K1707" s="17">
        <f t="shared" si="1306"/>
        <v>42202</v>
      </c>
      <c r="L1707" s="17" t="s">
        <v>211</v>
      </c>
      <c r="M1707" s="17" t="str">
        <f t="shared" ref="M1707:M1721" si="1310">M1706</f>
        <v>1:12000:5</v>
      </c>
      <c r="N1707" s="16" t="str">
        <f t="shared" si="1292"/>
        <v>132:1</v>
      </c>
      <c r="O1707" s="17">
        <f t="shared" si="1296"/>
        <v>3</v>
      </c>
      <c r="P1707" s="21" t="str">
        <f t="shared" si="1287"/>
        <v>所有飞兵攻击增加:1</v>
      </c>
      <c r="Q1707" s="21"/>
      <c r="R1707" t="str">
        <f t="shared" ref="R1707:R1721" si="1311">R1706</f>
        <v>攻击</v>
      </c>
      <c r="T1707" t="str">
        <f t="shared" ref="T1707:T1721" si="1312">RIGHT(N1707,2)</f>
        <v>:1</v>
      </c>
      <c r="U1707" t="str">
        <f t="shared" si="1283"/>
        <v>飞兵</v>
      </c>
      <c r="V1707" t="s">
        <v>4690</v>
      </c>
      <c r="W1707">
        <f>属性类型!G1707</f>
        <v>132</v>
      </c>
      <c r="X1707">
        <v>1</v>
      </c>
    </row>
    <row r="1708" customFormat="1" ht="16.5" spans="1:24">
      <c r="A1708" s="17">
        <f t="shared" si="1307"/>
        <v>42202</v>
      </c>
      <c r="B1708" s="17">
        <f t="shared" si="1284"/>
        <v>42200</v>
      </c>
      <c r="C1708" s="17" t="str">
        <f t="shared" si="1297"/>
        <v>4</v>
      </c>
      <c r="D1708" s="17">
        <f t="shared" si="1305"/>
        <v>40003</v>
      </c>
      <c r="E1708" s="17">
        <v>1</v>
      </c>
      <c r="F1708" s="17">
        <f t="shared" si="1295"/>
        <v>3</v>
      </c>
      <c r="G1708" s="17" t="str">
        <f t="shared" si="1308"/>
        <v>高级攻击</v>
      </c>
      <c r="H1708" s="17" t="str">
        <f t="shared" si="1309"/>
        <v>icon_03</v>
      </c>
      <c r="I1708" s="20">
        <v>0</v>
      </c>
      <c r="J1708" s="17">
        <v>2</v>
      </c>
      <c r="K1708" s="17">
        <f t="shared" si="1306"/>
        <v>42203</v>
      </c>
      <c r="L1708" s="17" t="s">
        <v>215</v>
      </c>
      <c r="M1708" s="17" t="str">
        <f t="shared" si="1310"/>
        <v>1:12000:5</v>
      </c>
      <c r="N1708" s="16" t="str">
        <f t="shared" si="1292"/>
        <v>132:1</v>
      </c>
      <c r="O1708" s="17">
        <f t="shared" si="1296"/>
        <v>3</v>
      </c>
      <c r="P1708" s="21" t="str">
        <f t="shared" si="1287"/>
        <v>所有飞兵攻击增加:1</v>
      </c>
      <c r="Q1708" s="21"/>
      <c r="R1708" t="str">
        <f t="shared" si="1311"/>
        <v>攻击</v>
      </c>
      <c r="T1708" t="str">
        <f t="shared" si="1312"/>
        <v>:1</v>
      </c>
      <c r="U1708" t="str">
        <f t="shared" si="1283"/>
        <v>飞兵</v>
      </c>
      <c r="V1708" t="s">
        <v>4690</v>
      </c>
      <c r="W1708">
        <f>属性类型!G1708</f>
        <v>132</v>
      </c>
      <c r="X1708">
        <v>1</v>
      </c>
    </row>
    <row r="1709" customFormat="1" ht="16.5" spans="1:24">
      <c r="A1709" s="17">
        <f t="shared" si="1307"/>
        <v>42203</v>
      </c>
      <c r="B1709" s="17">
        <f t="shared" si="1284"/>
        <v>42200</v>
      </c>
      <c r="C1709" s="17" t="str">
        <f t="shared" si="1297"/>
        <v>4</v>
      </c>
      <c r="D1709" s="17">
        <f t="shared" si="1305"/>
        <v>40003</v>
      </c>
      <c r="E1709" s="17">
        <v>1</v>
      </c>
      <c r="F1709" s="17">
        <f t="shared" si="1295"/>
        <v>3</v>
      </c>
      <c r="G1709" s="17" t="str">
        <f t="shared" si="1308"/>
        <v>高级攻击</v>
      </c>
      <c r="H1709" s="17" t="str">
        <f t="shared" si="1309"/>
        <v>icon_03</v>
      </c>
      <c r="I1709" s="20">
        <v>0</v>
      </c>
      <c r="J1709" s="17">
        <v>3</v>
      </c>
      <c r="K1709" s="17">
        <f t="shared" si="1306"/>
        <v>42204</v>
      </c>
      <c r="L1709" s="17" t="s">
        <v>218</v>
      </c>
      <c r="M1709" s="17" t="str">
        <f t="shared" si="1310"/>
        <v>1:12000:5</v>
      </c>
      <c r="N1709" s="16" t="str">
        <f t="shared" si="1292"/>
        <v>132:1</v>
      </c>
      <c r="O1709" s="17">
        <f t="shared" si="1296"/>
        <v>3</v>
      </c>
      <c r="P1709" s="21" t="str">
        <f t="shared" si="1287"/>
        <v>所有飞兵攻击增加:1</v>
      </c>
      <c r="Q1709" s="21"/>
      <c r="R1709" t="str">
        <f t="shared" si="1311"/>
        <v>攻击</v>
      </c>
      <c r="T1709" t="str">
        <f t="shared" si="1312"/>
        <v>:1</v>
      </c>
      <c r="U1709" t="str">
        <f t="shared" si="1283"/>
        <v>飞兵</v>
      </c>
      <c r="V1709" t="s">
        <v>4690</v>
      </c>
      <c r="W1709">
        <f>属性类型!G1709</f>
        <v>132</v>
      </c>
      <c r="X1709">
        <v>1</v>
      </c>
    </row>
    <row r="1710" customFormat="1" ht="16.5" spans="1:24">
      <c r="A1710" s="17">
        <f t="shared" si="1307"/>
        <v>42204</v>
      </c>
      <c r="B1710" s="17">
        <f t="shared" si="1284"/>
        <v>42200</v>
      </c>
      <c r="C1710" s="17" t="str">
        <f t="shared" si="1297"/>
        <v>4</v>
      </c>
      <c r="D1710" s="17">
        <f t="shared" si="1305"/>
        <v>40003</v>
      </c>
      <c r="E1710" s="17">
        <v>1</v>
      </c>
      <c r="F1710" s="17">
        <f t="shared" si="1295"/>
        <v>3</v>
      </c>
      <c r="G1710" s="17" t="str">
        <f t="shared" si="1308"/>
        <v>高级攻击</v>
      </c>
      <c r="H1710" s="17" t="str">
        <f t="shared" si="1309"/>
        <v>icon_03</v>
      </c>
      <c r="I1710" s="20">
        <v>0</v>
      </c>
      <c r="J1710" s="17">
        <v>4</v>
      </c>
      <c r="K1710" s="17">
        <f t="shared" si="1306"/>
        <v>42205</v>
      </c>
      <c r="L1710" s="17" t="s">
        <v>221</v>
      </c>
      <c r="M1710" s="17" t="str">
        <f t="shared" si="1310"/>
        <v>1:12000:5</v>
      </c>
      <c r="N1710" s="16" t="str">
        <f t="shared" si="1292"/>
        <v>132:1</v>
      </c>
      <c r="O1710" s="17">
        <f t="shared" si="1296"/>
        <v>3</v>
      </c>
      <c r="P1710" s="21" t="str">
        <f t="shared" si="1287"/>
        <v>所有飞兵攻击增加:1</v>
      </c>
      <c r="Q1710" s="21"/>
      <c r="R1710" t="str">
        <f t="shared" si="1311"/>
        <v>攻击</v>
      </c>
      <c r="T1710" t="str">
        <f t="shared" si="1312"/>
        <v>:1</v>
      </c>
      <c r="U1710" t="str">
        <f t="shared" si="1283"/>
        <v>飞兵</v>
      </c>
      <c r="V1710" t="s">
        <v>4690</v>
      </c>
      <c r="W1710">
        <f>属性类型!G1710</f>
        <v>132</v>
      </c>
      <c r="X1710">
        <v>1</v>
      </c>
    </row>
    <row r="1711" customFormat="1" ht="16.5" spans="1:24">
      <c r="A1711" s="17">
        <f t="shared" si="1307"/>
        <v>42205</v>
      </c>
      <c r="B1711" s="17">
        <f t="shared" si="1284"/>
        <v>42200</v>
      </c>
      <c r="C1711" s="17" t="str">
        <f t="shared" si="1297"/>
        <v>4</v>
      </c>
      <c r="D1711" s="17">
        <f t="shared" si="1305"/>
        <v>40003</v>
      </c>
      <c r="E1711" s="17">
        <v>1</v>
      </c>
      <c r="F1711" s="17">
        <f t="shared" si="1295"/>
        <v>3</v>
      </c>
      <c r="G1711" s="17" t="str">
        <f t="shared" si="1308"/>
        <v>高级攻击</v>
      </c>
      <c r="H1711" s="17" t="str">
        <f t="shared" si="1309"/>
        <v>icon_03</v>
      </c>
      <c r="I1711" s="20">
        <v>0</v>
      </c>
      <c r="J1711" s="17">
        <v>5</v>
      </c>
      <c r="K1711" s="17">
        <f t="shared" si="1306"/>
        <v>42206</v>
      </c>
      <c r="L1711" s="17" t="s">
        <v>224</v>
      </c>
      <c r="M1711" s="17" t="str">
        <f t="shared" si="1310"/>
        <v>1:12000:5</v>
      </c>
      <c r="N1711" s="16" t="str">
        <f t="shared" si="1292"/>
        <v>132:1</v>
      </c>
      <c r="O1711" s="17">
        <f t="shared" si="1296"/>
        <v>3</v>
      </c>
      <c r="P1711" s="21" t="str">
        <f t="shared" si="1287"/>
        <v>所有飞兵攻击增加:1</v>
      </c>
      <c r="Q1711" s="21"/>
      <c r="R1711" t="str">
        <f t="shared" si="1311"/>
        <v>攻击</v>
      </c>
      <c r="T1711" t="str">
        <f t="shared" si="1312"/>
        <v>:1</v>
      </c>
      <c r="U1711" t="str">
        <f t="shared" si="1283"/>
        <v>飞兵</v>
      </c>
      <c r="V1711" t="s">
        <v>4690</v>
      </c>
      <c r="W1711">
        <f>属性类型!G1711</f>
        <v>132</v>
      </c>
      <c r="X1711">
        <v>1</v>
      </c>
    </row>
    <row r="1712" customFormat="1" ht="16.5" spans="1:24">
      <c r="A1712" s="17">
        <f t="shared" si="1307"/>
        <v>42206</v>
      </c>
      <c r="B1712" s="17">
        <f t="shared" si="1284"/>
        <v>42200</v>
      </c>
      <c r="C1712" s="17" t="str">
        <f t="shared" si="1297"/>
        <v>4</v>
      </c>
      <c r="D1712" s="17">
        <f t="shared" si="1305"/>
        <v>40003</v>
      </c>
      <c r="E1712" s="17">
        <v>1</v>
      </c>
      <c r="F1712" s="17">
        <f t="shared" si="1295"/>
        <v>3</v>
      </c>
      <c r="G1712" s="17" t="str">
        <f t="shared" si="1308"/>
        <v>高级攻击</v>
      </c>
      <c r="H1712" s="17" t="str">
        <f t="shared" si="1309"/>
        <v>icon_03</v>
      </c>
      <c r="I1712" s="20">
        <v>0</v>
      </c>
      <c r="J1712" s="17">
        <v>6</v>
      </c>
      <c r="K1712" s="17">
        <f t="shared" si="1306"/>
        <v>42207</v>
      </c>
      <c r="L1712" s="17" t="s">
        <v>227</v>
      </c>
      <c r="M1712" s="17" t="str">
        <f t="shared" si="1310"/>
        <v>1:12000:5</v>
      </c>
      <c r="N1712" s="16" t="str">
        <f t="shared" si="1292"/>
        <v>132:1</v>
      </c>
      <c r="O1712" s="17">
        <f t="shared" si="1296"/>
        <v>3</v>
      </c>
      <c r="P1712" s="21" t="str">
        <f t="shared" si="1287"/>
        <v>所有飞兵攻击增加:1</v>
      </c>
      <c r="Q1712" s="21"/>
      <c r="R1712" t="str">
        <f t="shared" si="1311"/>
        <v>攻击</v>
      </c>
      <c r="T1712" t="str">
        <f t="shared" si="1312"/>
        <v>:1</v>
      </c>
      <c r="U1712" t="str">
        <f t="shared" si="1283"/>
        <v>飞兵</v>
      </c>
      <c r="V1712" t="s">
        <v>4690</v>
      </c>
      <c r="W1712">
        <f>属性类型!G1712</f>
        <v>132</v>
      </c>
      <c r="X1712">
        <v>1</v>
      </c>
    </row>
    <row r="1713" customFormat="1" ht="16.5" spans="1:24">
      <c r="A1713" s="17">
        <f t="shared" si="1307"/>
        <v>42207</v>
      </c>
      <c r="B1713" s="17">
        <f t="shared" si="1284"/>
        <v>42200</v>
      </c>
      <c r="C1713" s="17" t="str">
        <f t="shared" si="1297"/>
        <v>4</v>
      </c>
      <c r="D1713" s="17">
        <f t="shared" si="1305"/>
        <v>40003</v>
      </c>
      <c r="E1713" s="17">
        <v>1</v>
      </c>
      <c r="F1713" s="17">
        <f t="shared" si="1295"/>
        <v>3</v>
      </c>
      <c r="G1713" s="17" t="str">
        <f t="shared" si="1308"/>
        <v>高级攻击</v>
      </c>
      <c r="H1713" s="17" t="str">
        <f t="shared" si="1309"/>
        <v>icon_03</v>
      </c>
      <c r="I1713" s="20">
        <v>0</v>
      </c>
      <c r="J1713" s="17">
        <v>7</v>
      </c>
      <c r="K1713" s="17">
        <f t="shared" si="1306"/>
        <v>42208</v>
      </c>
      <c r="L1713" s="17" t="s">
        <v>230</v>
      </c>
      <c r="M1713" s="17" t="str">
        <f t="shared" si="1310"/>
        <v>1:12000:5</v>
      </c>
      <c r="N1713" s="16" t="str">
        <f t="shared" si="1292"/>
        <v>132:1</v>
      </c>
      <c r="O1713" s="17">
        <f t="shared" si="1296"/>
        <v>3</v>
      </c>
      <c r="P1713" s="21" t="str">
        <f t="shared" si="1287"/>
        <v>所有飞兵攻击增加:1</v>
      </c>
      <c r="Q1713" s="21"/>
      <c r="R1713" t="str">
        <f t="shared" si="1311"/>
        <v>攻击</v>
      </c>
      <c r="T1713" t="str">
        <f t="shared" si="1312"/>
        <v>:1</v>
      </c>
      <c r="U1713" t="str">
        <f t="shared" si="1283"/>
        <v>飞兵</v>
      </c>
      <c r="V1713" t="s">
        <v>4690</v>
      </c>
      <c r="W1713">
        <f>属性类型!G1713</f>
        <v>132</v>
      </c>
      <c r="X1713">
        <v>1</v>
      </c>
    </row>
    <row r="1714" customFormat="1" ht="16.5" spans="1:24">
      <c r="A1714" s="17">
        <f t="shared" si="1307"/>
        <v>42208</v>
      </c>
      <c r="B1714" s="17">
        <f t="shared" si="1284"/>
        <v>42200</v>
      </c>
      <c r="C1714" s="17" t="str">
        <f t="shared" si="1297"/>
        <v>4</v>
      </c>
      <c r="D1714" s="17">
        <f t="shared" si="1305"/>
        <v>40003</v>
      </c>
      <c r="E1714" s="17">
        <v>1</v>
      </c>
      <c r="F1714" s="17">
        <f t="shared" si="1295"/>
        <v>3</v>
      </c>
      <c r="G1714" s="17" t="str">
        <f t="shared" si="1308"/>
        <v>高级攻击</v>
      </c>
      <c r="H1714" s="17" t="str">
        <f t="shared" si="1309"/>
        <v>icon_03</v>
      </c>
      <c r="I1714" s="20">
        <v>0</v>
      </c>
      <c r="J1714" s="17">
        <v>8</v>
      </c>
      <c r="K1714" s="17">
        <f t="shared" si="1306"/>
        <v>42209</v>
      </c>
      <c r="L1714" s="17" t="s">
        <v>233</v>
      </c>
      <c r="M1714" s="17" t="str">
        <f t="shared" si="1310"/>
        <v>1:12000:5</v>
      </c>
      <c r="N1714" s="16" t="str">
        <f t="shared" si="1292"/>
        <v>132:1</v>
      </c>
      <c r="O1714" s="17">
        <f t="shared" si="1296"/>
        <v>3</v>
      </c>
      <c r="P1714" s="21" t="str">
        <f t="shared" si="1287"/>
        <v>所有飞兵攻击增加:1</v>
      </c>
      <c r="Q1714" s="21"/>
      <c r="R1714" t="str">
        <f t="shared" si="1311"/>
        <v>攻击</v>
      </c>
      <c r="T1714" t="str">
        <f t="shared" si="1312"/>
        <v>:1</v>
      </c>
      <c r="U1714" t="str">
        <f t="shared" si="1283"/>
        <v>飞兵</v>
      </c>
      <c r="V1714" t="s">
        <v>4690</v>
      </c>
      <c r="W1714">
        <f>属性类型!G1714</f>
        <v>132</v>
      </c>
      <c r="X1714">
        <v>1</v>
      </c>
    </row>
    <row r="1715" customFormat="1" ht="16.5" spans="1:24">
      <c r="A1715" s="17">
        <f t="shared" si="1307"/>
        <v>42209</v>
      </c>
      <c r="B1715" s="17">
        <f t="shared" si="1284"/>
        <v>42200</v>
      </c>
      <c r="C1715" s="17" t="str">
        <f t="shared" si="1297"/>
        <v>4</v>
      </c>
      <c r="D1715" s="17">
        <f t="shared" si="1305"/>
        <v>40003</v>
      </c>
      <c r="E1715" s="17">
        <v>1</v>
      </c>
      <c r="F1715" s="17">
        <f t="shared" si="1295"/>
        <v>3</v>
      </c>
      <c r="G1715" s="17" t="str">
        <f t="shared" si="1308"/>
        <v>高级攻击</v>
      </c>
      <c r="H1715" s="17" t="str">
        <f t="shared" si="1309"/>
        <v>icon_03</v>
      </c>
      <c r="I1715" s="20">
        <v>0</v>
      </c>
      <c r="J1715" s="17">
        <v>9</v>
      </c>
      <c r="K1715" s="17">
        <f t="shared" si="1306"/>
        <v>42210</v>
      </c>
      <c r="L1715" s="17" t="s">
        <v>236</v>
      </c>
      <c r="M1715" s="17" t="str">
        <f t="shared" si="1310"/>
        <v>1:12000:5</v>
      </c>
      <c r="N1715" s="16" t="str">
        <f t="shared" si="1292"/>
        <v>132:1</v>
      </c>
      <c r="O1715" s="17">
        <f t="shared" si="1296"/>
        <v>3</v>
      </c>
      <c r="P1715" s="21" t="str">
        <f t="shared" si="1287"/>
        <v>所有飞兵攻击增加:1</v>
      </c>
      <c r="Q1715" s="21"/>
      <c r="R1715" t="str">
        <f t="shared" si="1311"/>
        <v>攻击</v>
      </c>
      <c r="T1715" t="str">
        <f t="shared" si="1312"/>
        <v>:1</v>
      </c>
      <c r="U1715" t="str">
        <f t="shared" si="1283"/>
        <v>飞兵</v>
      </c>
      <c r="V1715" t="s">
        <v>4690</v>
      </c>
      <c r="W1715">
        <f>属性类型!G1715</f>
        <v>132</v>
      </c>
      <c r="X1715">
        <v>1</v>
      </c>
    </row>
    <row r="1716" customFormat="1" ht="16.5" spans="1:24">
      <c r="A1716" s="17">
        <f t="shared" si="1307"/>
        <v>42210</v>
      </c>
      <c r="B1716" s="17">
        <f t="shared" si="1284"/>
        <v>42200</v>
      </c>
      <c r="C1716" s="17" t="str">
        <f t="shared" si="1297"/>
        <v>4</v>
      </c>
      <c r="D1716" s="17">
        <f t="shared" si="1305"/>
        <v>40003</v>
      </c>
      <c r="E1716" s="17">
        <v>1</v>
      </c>
      <c r="F1716" s="17">
        <f t="shared" si="1295"/>
        <v>3</v>
      </c>
      <c r="G1716" s="17" t="str">
        <f t="shared" si="1308"/>
        <v>高级攻击</v>
      </c>
      <c r="H1716" s="17" t="str">
        <f t="shared" si="1309"/>
        <v>icon_03</v>
      </c>
      <c r="I1716" s="20">
        <v>0</v>
      </c>
      <c r="J1716" s="17">
        <v>10</v>
      </c>
      <c r="K1716" s="17">
        <f t="shared" si="1306"/>
        <v>42211</v>
      </c>
      <c r="L1716" s="17" t="s">
        <v>238</v>
      </c>
      <c r="M1716" s="17" t="str">
        <f t="shared" si="1310"/>
        <v>1:12000:5</v>
      </c>
      <c r="N1716" s="16" t="str">
        <f t="shared" si="1292"/>
        <v>132:1</v>
      </c>
      <c r="O1716" s="17">
        <f t="shared" si="1296"/>
        <v>3</v>
      </c>
      <c r="P1716" s="21" t="str">
        <f t="shared" si="1287"/>
        <v>所有飞兵攻击增加:1</v>
      </c>
      <c r="Q1716" s="21"/>
      <c r="R1716" t="str">
        <f t="shared" si="1311"/>
        <v>攻击</v>
      </c>
      <c r="T1716" t="str">
        <f t="shared" si="1312"/>
        <v>:1</v>
      </c>
      <c r="U1716" t="str">
        <f t="shared" si="1283"/>
        <v>飞兵</v>
      </c>
      <c r="V1716" t="s">
        <v>4690</v>
      </c>
      <c r="W1716">
        <f>属性类型!G1716</f>
        <v>132</v>
      </c>
      <c r="X1716">
        <v>1</v>
      </c>
    </row>
    <row r="1717" customFormat="1" ht="16.5" spans="1:24">
      <c r="A1717" s="17">
        <f t="shared" si="1307"/>
        <v>42211</v>
      </c>
      <c r="B1717" s="17">
        <f t="shared" si="1284"/>
        <v>42200</v>
      </c>
      <c r="C1717" s="17" t="str">
        <f t="shared" si="1297"/>
        <v>4</v>
      </c>
      <c r="D1717" s="17">
        <f t="shared" si="1305"/>
        <v>40003</v>
      </c>
      <c r="E1717" s="17">
        <v>1</v>
      </c>
      <c r="F1717" s="17">
        <f t="shared" si="1295"/>
        <v>3</v>
      </c>
      <c r="G1717" s="17" t="str">
        <f t="shared" si="1308"/>
        <v>高级攻击</v>
      </c>
      <c r="H1717" s="17" t="str">
        <f t="shared" si="1309"/>
        <v>icon_03</v>
      </c>
      <c r="I1717" s="20">
        <v>0</v>
      </c>
      <c r="J1717" s="17">
        <v>11</v>
      </c>
      <c r="K1717" s="17">
        <f t="shared" si="1306"/>
        <v>42212</v>
      </c>
      <c r="L1717" s="17" t="s">
        <v>529</v>
      </c>
      <c r="M1717" s="17" t="str">
        <f t="shared" si="1310"/>
        <v>1:12000:5</v>
      </c>
      <c r="N1717" s="16" t="str">
        <f t="shared" si="1292"/>
        <v>132:1</v>
      </c>
      <c r="O1717" s="17">
        <f t="shared" si="1296"/>
        <v>3</v>
      </c>
      <c r="P1717" s="21" t="str">
        <f t="shared" si="1287"/>
        <v>所有飞兵攻击增加:1</v>
      </c>
      <c r="Q1717" s="21"/>
      <c r="R1717" t="str">
        <f t="shared" si="1311"/>
        <v>攻击</v>
      </c>
      <c r="T1717" t="str">
        <f t="shared" si="1312"/>
        <v>:1</v>
      </c>
      <c r="U1717" t="str">
        <f t="shared" si="1283"/>
        <v>飞兵</v>
      </c>
      <c r="V1717" t="s">
        <v>4690</v>
      </c>
      <c r="W1717">
        <f>属性类型!G1717</f>
        <v>132</v>
      </c>
      <c r="X1717">
        <v>1</v>
      </c>
    </row>
    <row r="1718" customFormat="1" ht="16.5" spans="1:24">
      <c r="A1718" s="17">
        <f t="shared" si="1307"/>
        <v>42212</v>
      </c>
      <c r="B1718" s="17">
        <f t="shared" si="1284"/>
        <v>42200</v>
      </c>
      <c r="C1718" s="17" t="str">
        <f t="shared" si="1297"/>
        <v>4</v>
      </c>
      <c r="D1718" s="17">
        <f t="shared" si="1305"/>
        <v>40003</v>
      </c>
      <c r="E1718" s="17">
        <v>1</v>
      </c>
      <c r="F1718" s="17">
        <f t="shared" si="1295"/>
        <v>3</v>
      </c>
      <c r="G1718" s="17" t="str">
        <f t="shared" si="1308"/>
        <v>高级攻击</v>
      </c>
      <c r="H1718" s="17" t="str">
        <f t="shared" si="1309"/>
        <v>icon_03</v>
      </c>
      <c r="I1718" s="20">
        <v>0</v>
      </c>
      <c r="J1718" s="17">
        <v>12</v>
      </c>
      <c r="K1718" s="17">
        <f t="shared" si="1306"/>
        <v>42213</v>
      </c>
      <c r="L1718" s="17" t="s">
        <v>532</v>
      </c>
      <c r="M1718" s="17" t="str">
        <f t="shared" si="1310"/>
        <v>1:12000:5</v>
      </c>
      <c r="N1718" s="16" t="str">
        <f t="shared" si="1292"/>
        <v>132:1</v>
      </c>
      <c r="O1718" s="17">
        <f t="shared" si="1296"/>
        <v>3</v>
      </c>
      <c r="P1718" s="21" t="str">
        <f t="shared" si="1287"/>
        <v>所有飞兵攻击增加:1</v>
      </c>
      <c r="Q1718" s="21"/>
      <c r="R1718" t="str">
        <f t="shared" si="1311"/>
        <v>攻击</v>
      </c>
      <c r="T1718" t="str">
        <f t="shared" si="1312"/>
        <v>:1</v>
      </c>
      <c r="U1718" t="str">
        <f t="shared" si="1283"/>
        <v>飞兵</v>
      </c>
      <c r="V1718" t="s">
        <v>4690</v>
      </c>
      <c r="W1718">
        <f>属性类型!G1718</f>
        <v>132</v>
      </c>
      <c r="X1718">
        <v>1</v>
      </c>
    </row>
    <row r="1719" customFormat="1" ht="16.5" spans="1:24">
      <c r="A1719" s="17">
        <f t="shared" si="1307"/>
        <v>42213</v>
      </c>
      <c r="B1719" s="17">
        <f t="shared" si="1284"/>
        <v>42200</v>
      </c>
      <c r="C1719" s="17" t="str">
        <f t="shared" si="1297"/>
        <v>4</v>
      </c>
      <c r="D1719" s="17">
        <f t="shared" si="1305"/>
        <v>40003</v>
      </c>
      <c r="E1719" s="17">
        <v>1</v>
      </c>
      <c r="F1719" s="17">
        <f t="shared" si="1295"/>
        <v>3</v>
      </c>
      <c r="G1719" s="17" t="str">
        <f t="shared" si="1308"/>
        <v>高级攻击</v>
      </c>
      <c r="H1719" s="17" t="str">
        <f t="shared" si="1309"/>
        <v>icon_03</v>
      </c>
      <c r="I1719" s="20">
        <v>0</v>
      </c>
      <c r="J1719" s="17">
        <v>13</v>
      </c>
      <c r="K1719" s="17">
        <f t="shared" si="1306"/>
        <v>42214</v>
      </c>
      <c r="L1719" s="17" t="s">
        <v>561</v>
      </c>
      <c r="M1719" s="17" t="str">
        <f t="shared" si="1310"/>
        <v>1:12000:5</v>
      </c>
      <c r="N1719" s="16" t="str">
        <f t="shared" si="1292"/>
        <v>132:1</v>
      </c>
      <c r="O1719" s="17">
        <f t="shared" si="1296"/>
        <v>3</v>
      </c>
      <c r="P1719" s="21" t="str">
        <f t="shared" si="1287"/>
        <v>所有飞兵攻击增加:1</v>
      </c>
      <c r="Q1719" s="21"/>
      <c r="R1719" t="str">
        <f t="shared" si="1311"/>
        <v>攻击</v>
      </c>
      <c r="T1719" t="str">
        <f t="shared" si="1312"/>
        <v>:1</v>
      </c>
      <c r="U1719" t="str">
        <f t="shared" si="1283"/>
        <v>飞兵</v>
      </c>
      <c r="V1719" t="s">
        <v>4690</v>
      </c>
      <c r="W1719">
        <f>属性类型!G1719</f>
        <v>132</v>
      </c>
      <c r="X1719">
        <v>1</v>
      </c>
    </row>
    <row r="1720" customFormat="1" ht="16.5" spans="1:24">
      <c r="A1720" s="17">
        <f t="shared" si="1307"/>
        <v>42214</v>
      </c>
      <c r="B1720" s="17">
        <f t="shared" si="1284"/>
        <v>42200</v>
      </c>
      <c r="C1720" s="17" t="str">
        <f t="shared" si="1297"/>
        <v>4</v>
      </c>
      <c r="D1720" s="17">
        <f t="shared" si="1305"/>
        <v>40003</v>
      </c>
      <c r="E1720" s="17">
        <v>1</v>
      </c>
      <c r="F1720" s="17">
        <f t="shared" si="1295"/>
        <v>3</v>
      </c>
      <c r="G1720" s="17" t="str">
        <f t="shared" si="1308"/>
        <v>高级攻击</v>
      </c>
      <c r="H1720" s="17" t="str">
        <f t="shared" si="1309"/>
        <v>icon_03</v>
      </c>
      <c r="I1720" s="20">
        <v>0</v>
      </c>
      <c r="J1720" s="17">
        <v>14</v>
      </c>
      <c r="K1720" s="17">
        <f t="shared" si="1306"/>
        <v>42215</v>
      </c>
      <c r="L1720" s="17" t="s">
        <v>564</v>
      </c>
      <c r="M1720" s="17" t="str">
        <f t="shared" si="1310"/>
        <v>1:12000:5</v>
      </c>
      <c r="N1720" s="16" t="str">
        <f t="shared" si="1292"/>
        <v>132:1</v>
      </c>
      <c r="O1720" s="17">
        <f t="shared" si="1296"/>
        <v>3</v>
      </c>
      <c r="P1720" s="21" t="str">
        <f t="shared" si="1287"/>
        <v>所有飞兵攻击增加:1</v>
      </c>
      <c r="Q1720" s="21"/>
      <c r="R1720" t="str">
        <f t="shared" si="1311"/>
        <v>攻击</v>
      </c>
      <c r="T1720" t="str">
        <f t="shared" si="1312"/>
        <v>:1</v>
      </c>
      <c r="U1720" t="str">
        <f t="shared" si="1283"/>
        <v>飞兵</v>
      </c>
      <c r="V1720" t="s">
        <v>4690</v>
      </c>
      <c r="W1720">
        <f>属性类型!G1720</f>
        <v>132</v>
      </c>
      <c r="X1720">
        <v>1</v>
      </c>
    </row>
    <row r="1721" customFormat="1" ht="16.5" spans="1:24">
      <c r="A1721" s="17">
        <f t="shared" si="1307"/>
        <v>42215</v>
      </c>
      <c r="B1721" s="17">
        <f t="shared" si="1284"/>
        <v>42200</v>
      </c>
      <c r="C1721" s="17" t="str">
        <f t="shared" si="1297"/>
        <v>4</v>
      </c>
      <c r="D1721" s="17">
        <f t="shared" si="1305"/>
        <v>40003</v>
      </c>
      <c r="E1721" s="17">
        <v>1</v>
      </c>
      <c r="F1721" s="17">
        <f t="shared" si="1295"/>
        <v>3</v>
      </c>
      <c r="G1721" s="17" t="str">
        <f t="shared" si="1308"/>
        <v>高级攻击</v>
      </c>
      <c r="H1721" s="17" t="str">
        <f t="shared" si="1309"/>
        <v>icon_03</v>
      </c>
      <c r="I1721" s="20">
        <v>0</v>
      </c>
      <c r="J1721" s="17">
        <v>15</v>
      </c>
      <c r="K1721" s="17">
        <v>0</v>
      </c>
      <c r="L1721" s="17">
        <v>0</v>
      </c>
      <c r="M1721" s="17" t="str">
        <f t="shared" si="1310"/>
        <v>1:12000:5</v>
      </c>
      <c r="N1721" s="16" t="str">
        <f t="shared" si="1292"/>
        <v>132:1</v>
      </c>
      <c r="O1721" s="17">
        <f t="shared" si="1296"/>
        <v>3</v>
      </c>
      <c r="P1721" s="21" t="str">
        <f t="shared" ref="P1721:P1784" si="1313">$S$1&amp;R1721&amp;$Q$1&amp;T1721</f>
        <v>所有飞兵攻击增加:1</v>
      </c>
      <c r="Q1721" s="21"/>
      <c r="R1721" t="str">
        <f t="shared" si="1311"/>
        <v>攻击</v>
      </c>
      <c r="T1721" t="str">
        <f t="shared" si="1312"/>
        <v>:1</v>
      </c>
      <c r="U1721" t="str">
        <f t="shared" si="1283"/>
        <v>飞兵</v>
      </c>
      <c r="V1721" t="s">
        <v>4690</v>
      </c>
      <c r="W1721">
        <f>属性类型!G1721</f>
        <v>132</v>
      </c>
      <c r="X1721">
        <v>1</v>
      </c>
    </row>
    <row r="1722" customFormat="1" ht="16.5" spans="1:24">
      <c r="A1722" s="18">
        <f>A1706+100</f>
        <v>42300</v>
      </c>
      <c r="B1722" s="18">
        <f t="shared" si="1284"/>
        <v>42300</v>
      </c>
      <c r="C1722" s="18" t="str">
        <f t="shared" si="1297"/>
        <v>4</v>
      </c>
      <c r="D1722" s="17">
        <f t="shared" si="1305"/>
        <v>40003</v>
      </c>
      <c r="E1722" s="17">
        <v>1</v>
      </c>
      <c r="F1722" s="18">
        <f t="shared" si="1295"/>
        <v>3</v>
      </c>
      <c r="G1722" s="18" t="s">
        <v>590</v>
      </c>
      <c r="H1722" s="18" t="s">
        <v>96</v>
      </c>
      <c r="I1722" s="20">
        <v>0</v>
      </c>
      <c r="J1722" s="18">
        <v>0</v>
      </c>
      <c r="K1722" s="18">
        <f t="shared" ref="K1722:K1736" si="1314">A1723</f>
        <v>42301</v>
      </c>
      <c r="L1722" s="18" t="s">
        <v>206</v>
      </c>
      <c r="M1722" s="18" t="s">
        <v>545</v>
      </c>
      <c r="N1722" s="16" t="str">
        <f t="shared" si="1292"/>
        <v>134:1</v>
      </c>
      <c r="O1722" s="18">
        <f t="shared" si="1296"/>
        <v>4</v>
      </c>
      <c r="P1722" s="21" t="str">
        <f t="shared" si="1313"/>
        <v>所有飞兵魔防增加1</v>
      </c>
      <c r="Q1722" s="21"/>
      <c r="R1722" t="s">
        <v>4276</v>
      </c>
      <c r="T1722" t="str">
        <f>RIGHT(N1722,1)</f>
        <v>1</v>
      </c>
      <c r="U1722" t="str">
        <f t="shared" si="1283"/>
        <v>飞兵</v>
      </c>
      <c r="V1722" t="s">
        <v>4691</v>
      </c>
      <c r="W1722">
        <f>属性类型!G1722</f>
        <v>134</v>
      </c>
      <c r="X1722">
        <v>1</v>
      </c>
    </row>
    <row r="1723" customFormat="1" ht="16.5" spans="1:24">
      <c r="A1723" s="17">
        <f t="shared" ref="A1723:A1737" si="1315">A1722+1</f>
        <v>42301</v>
      </c>
      <c r="B1723" s="17">
        <f t="shared" si="1284"/>
        <v>42300</v>
      </c>
      <c r="C1723" s="17" t="str">
        <f t="shared" si="1297"/>
        <v>4</v>
      </c>
      <c r="D1723" s="17">
        <f t="shared" si="1305"/>
        <v>40003</v>
      </c>
      <c r="E1723" s="17">
        <v>1</v>
      </c>
      <c r="F1723" s="17">
        <f t="shared" si="1295"/>
        <v>3</v>
      </c>
      <c r="G1723" s="17" t="str">
        <f t="shared" ref="G1723:G1737" si="1316">G1722</f>
        <v>高级魔防</v>
      </c>
      <c r="H1723" s="17" t="str">
        <f t="shared" ref="H1723:H1737" si="1317">H1722</f>
        <v>icon_04</v>
      </c>
      <c r="I1723" s="20">
        <v>0</v>
      </c>
      <c r="J1723" s="17">
        <v>1</v>
      </c>
      <c r="K1723" s="17">
        <f t="shared" si="1314"/>
        <v>42302</v>
      </c>
      <c r="L1723" s="17" t="s">
        <v>211</v>
      </c>
      <c r="M1723" s="17" t="str">
        <f t="shared" ref="M1723:M1737" si="1318">M1722</f>
        <v>1:12000:5</v>
      </c>
      <c r="N1723" s="16" t="str">
        <f t="shared" si="1292"/>
        <v>134:1</v>
      </c>
      <c r="O1723" s="17">
        <f t="shared" si="1296"/>
        <v>4</v>
      </c>
      <c r="P1723" s="21" t="str">
        <f t="shared" si="1313"/>
        <v>所有飞兵魔防增加:1</v>
      </c>
      <c r="Q1723" s="21"/>
      <c r="R1723" t="str">
        <f t="shared" ref="R1723:R1737" si="1319">R1722</f>
        <v>魔防</v>
      </c>
      <c r="T1723" t="str">
        <f t="shared" ref="T1723:T1737" si="1320">RIGHT(N1723,2)</f>
        <v>:1</v>
      </c>
      <c r="U1723" t="str">
        <f t="shared" si="1283"/>
        <v>飞兵</v>
      </c>
      <c r="V1723" t="s">
        <v>4691</v>
      </c>
      <c r="W1723">
        <f>属性类型!G1723</f>
        <v>134</v>
      </c>
      <c r="X1723">
        <v>1</v>
      </c>
    </row>
    <row r="1724" customFormat="1" ht="16.5" spans="1:24">
      <c r="A1724" s="17">
        <f t="shared" si="1315"/>
        <v>42302</v>
      </c>
      <c r="B1724" s="17">
        <f t="shared" si="1284"/>
        <v>42300</v>
      </c>
      <c r="C1724" s="17" t="str">
        <f t="shared" si="1297"/>
        <v>4</v>
      </c>
      <c r="D1724" s="17">
        <f t="shared" si="1305"/>
        <v>40003</v>
      </c>
      <c r="E1724" s="17">
        <v>1</v>
      </c>
      <c r="F1724" s="17">
        <f t="shared" si="1295"/>
        <v>3</v>
      </c>
      <c r="G1724" s="17" t="str">
        <f t="shared" si="1316"/>
        <v>高级魔防</v>
      </c>
      <c r="H1724" s="17" t="str">
        <f t="shared" si="1317"/>
        <v>icon_04</v>
      </c>
      <c r="I1724" s="20">
        <v>0</v>
      </c>
      <c r="J1724" s="17">
        <v>2</v>
      </c>
      <c r="K1724" s="17">
        <f t="shared" si="1314"/>
        <v>42303</v>
      </c>
      <c r="L1724" s="17" t="s">
        <v>215</v>
      </c>
      <c r="M1724" s="17" t="str">
        <f t="shared" si="1318"/>
        <v>1:12000:5</v>
      </c>
      <c r="N1724" s="16" t="str">
        <f t="shared" si="1292"/>
        <v>134:1</v>
      </c>
      <c r="O1724" s="17">
        <f t="shared" si="1296"/>
        <v>4</v>
      </c>
      <c r="P1724" s="21" t="str">
        <f t="shared" si="1313"/>
        <v>所有飞兵魔防增加:1</v>
      </c>
      <c r="Q1724" s="21"/>
      <c r="R1724" t="str">
        <f t="shared" si="1319"/>
        <v>魔防</v>
      </c>
      <c r="T1724" t="str">
        <f t="shared" si="1320"/>
        <v>:1</v>
      </c>
      <c r="U1724" t="str">
        <f t="shared" si="1283"/>
        <v>飞兵</v>
      </c>
      <c r="V1724" t="s">
        <v>4691</v>
      </c>
      <c r="W1724">
        <f>属性类型!G1724</f>
        <v>134</v>
      </c>
      <c r="X1724">
        <v>1</v>
      </c>
    </row>
    <row r="1725" customFormat="1" ht="16.5" spans="1:24">
      <c r="A1725" s="17">
        <f t="shared" si="1315"/>
        <v>42303</v>
      </c>
      <c r="B1725" s="17">
        <f t="shared" si="1284"/>
        <v>42300</v>
      </c>
      <c r="C1725" s="17" t="str">
        <f t="shared" si="1297"/>
        <v>4</v>
      </c>
      <c r="D1725" s="17">
        <f t="shared" si="1305"/>
        <v>40003</v>
      </c>
      <c r="E1725" s="17">
        <v>1</v>
      </c>
      <c r="F1725" s="17">
        <f t="shared" si="1295"/>
        <v>3</v>
      </c>
      <c r="G1725" s="17" t="str">
        <f t="shared" si="1316"/>
        <v>高级魔防</v>
      </c>
      <c r="H1725" s="17" t="str">
        <f t="shared" si="1317"/>
        <v>icon_04</v>
      </c>
      <c r="I1725" s="20">
        <v>0</v>
      </c>
      <c r="J1725" s="17">
        <v>3</v>
      </c>
      <c r="K1725" s="17">
        <f t="shared" si="1314"/>
        <v>42304</v>
      </c>
      <c r="L1725" s="17" t="s">
        <v>218</v>
      </c>
      <c r="M1725" s="17" t="str">
        <f t="shared" si="1318"/>
        <v>1:12000:5</v>
      </c>
      <c r="N1725" s="16" t="str">
        <f t="shared" si="1292"/>
        <v>134:1</v>
      </c>
      <c r="O1725" s="17">
        <f t="shared" si="1296"/>
        <v>4</v>
      </c>
      <c r="P1725" s="21" t="str">
        <f t="shared" si="1313"/>
        <v>所有飞兵魔防增加:1</v>
      </c>
      <c r="Q1725" s="21"/>
      <c r="R1725" t="str">
        <f t="shared" si="1319"/>
        <v>魔防</v>
      </c>
      <c r="T1725" t="str">
        <f t="shared" si="1320"/>
        <v>:1</v>
      </c>
      <c r="U1725" t="str">
        <f t="shared" si="1283"/>
        <v>飞兵</v>
      </c>
      <c r="V1725" t="s">
        <v>4691</v>
      </c>
      <c r="W1725">
        <f>属性类型!G1725</f>
        <v>134</v>
      </c>
      <c r="X1725">
        <v>1</v>
      </c>
    </row>
    <row r="1726" customFormat="1" ht="16.5" spans="1:24">
      <c r="A1726" s="17">
        <f t="shared" si="1315"/>
        <v>42304</v>
      </c>
      <c r="B1726" s="17">
        <f t="shared" si="1284"/>
        <v>42300</v>
      </c>
      <c r="C1726" s="17" t="str">
        <f t="shared" si="1297"/>
        <v>4</v>
      </c>
      <c r="D1726" s="17">
        <f t="shared" si="1305"/>
        <v>40003</v>
      </c>
      <c r="E1726" s="17">
        <v>1</v>
      </c>
      <c r="F1726" s="17">
        <f t="shared" si="1295"/>
        <v>3</v>
      </c>
      <c r="G1726" s="17" t="str">
        <f t="shared" si="1316"/>
        <v>高级魔防</v>
      </c>
      <c r="H1726" s="17" t="str">
        <f t="shared" si="1317"/>
        <v>icon_04</v>
      </c>
      <c r="I1726" s="20">
        <v>0</v>
      </c>
      <c r="J1726" s="17">
        <v>4</v>
      </c>
      <c r="K1726" s="17">
        <f t="shared" si="1314"/>
        <v>42305</v>
      </c>
      <c r="L1726" s="17" t="s">
        <v>221</v>
      </c>
      <c r="M1726" s="17" t="str">
        <f t="shared" si="1318"/>
        <v>1:12000:5</v>
      </c>
      <c r="N1726" s="16" t="str">
        <f t="shared" si="1292"/>
        <v>134:1</v>
      </c>
      <c r="O1726" s="17">
        <f t="shared" si="1296"/>
        <v>4</v>
      </c>
      <c r="P1726" s="21" t="str">
        <f t="shared" si="1313"/>
        <v>所有飞兵魔防增加:1</v>
      </c>
      <c r="Q1726" s="21"/>
      <c r="R1726" t="str">
        <f t="shared" si="1319"/>
        <v>魔防</v>
      </c>
      <c r="T1726" t="str">
        <f t="shared" si="1320"/>
        <v>:1</v>
      </c>
      <c r="U1726" t="str">
        <f t="shared" si="1283"/>
        <v>飞兵</v>
      </c>
      <c r="V1726" t="s">
        <v>4691</v>
      </c>
      <c r="W1726">
        <f>属性类型!G1726</f>
        <v>134</v>
      </c>
      <c r="X1726">
        <v>1</v>
      </c>
    </row>
    <row r="1727" customFormat="1" ht="16.5" spans="1:24">
      <c r="A1727" s="17">
        <f t="shared" si="1315"/>
        <v>42305</v>
      </c>
      <c r="B1727" s="17">
        <f t="shared" si="1284"/>
        <v>42300</v>
      </c>
      <c r="C1727" s="17" t="str">
        <f t="shared" si="1297"/>
        <v>4</v>
      </c>
      <c r="D1727" s="17">
        <f t="shared" si="1305"/>
        <v>40003</v>
      </c>
      <c r="E1727" s="17">
        <v>1</v>
      </c>
      <c r="F1727" s="17">
        <f t="shared" si="1295"/>
        <v>3</v>
      </c>
      <c r="G1727" s="17" t="str">
        <f t="shared" si="1316"/>
        <v>高级魔防</v>
      </c>
      <c r="H1727" s="17" t="str">
        <f t="shared" si="1317"/>
        <v>icon_04</v>
      </c>
      <c r="I1727" s="20">
        <v>0</v>
      </c>
      <c r="J1727" s="17">
        <v>5</v>
      </c>
      <c r="K1727" s="17">
        <f t="shared" si="1314"/>
        <v>42306</v>
      </c>
      <c r="L1727" s="17" t="s">
        <v>224</v>
      </c>
      <c r="M1727" s="17" t="str">
        <f t="shared" si="1318"/>
        <v>1:12000:5</v>
      </c>
      <c r="N1727" s="16" t="str">
        <f t="shared" si="1292"/>
        <v>134:1</v>
      </c>
      <c r="O1727" s="17">
        <f t="shared" si="1296"/>
        <v>4</v>
      </c>
      <c r="P1727" s="21" t="str">
        <f t="shared" si="1313"/>
        <v>所有飞兵魔防增加:1</v>
      </c>
      <c r="Q1727" s="21"/>
      <c r="R1727" t="str">
        <f t="shared" si="1319"/>
        <v>魔防</v>
      </c>
      <c r="T1727" t="str">
        <f t="shared" si="1320"/>
        <v>:1</v>
      </c>
      <c r="U1727" t="str">
        <f t="shared" si="1283"/>
        <v>飞兵</v>
      </c>
      <c r="V1727" t="s">
        <v>4691</v>
      </c>
      <c r="W1727">
        <f>属性类型!G1727</f>
        <v>134</v>
      </c>
      <c r="X1727">
        <v>1</v>
      </c>
    </row>
    <row r="1728" customFormat="1" ht="16.5" spans="1:24">
      <c r="A1728" s="17">
        <f t="shared" si="1315"/>
        <v>42306</v>
      </c>
      <c r="B1728" s="17">
        <f t="shared" si="1284"/>
        <v>42300</v>
      </c>
      <c r="C1728" s="17" t="str">
        <f t="shared" si="1297"/>
        <v>4</v>
      </c>
      <c r="D1728" s="17">
        <f t="shared" si="1305"/>
        <v>40003</v>
      </c>
      <c r="E1728" s="17">
        <v>1</v>
      </c>
      <c r="F1728" s="17">
        <f t="shared" si="1295"/>
        <v>3</v>
      </c>
      <c r="G1728" s="17" t="str">
        <f t="shared" si="1316"/>
        <v>高级魔防</v>
      </c>
      <c r="H1728" s="17" t="str">
        <f t="shared" si="1317"/>
        <v>icon_04</v>
      </c>
      <c r="I1728" s="20">
        <v>0</v>
      </c>
      <c r="J1728" s="17">
        <v>6</v>
      </c>
      <c r="K1728" s="17">
        <f t="shared" si="1314"/>
        <v>42307</v>
      </c>
      <c r="L1728" s="17" t="s">
        <v>227</v>
      </c>
      <c r="M1728" s="17" t="str">
        <f t="shared" si="1318"/>
        <v>1:12000:5</v>
      </c>
      <c r="N1728" s="16" t="str">
        <f t="shared" si="1292"/>
        <v>134:1</v>
      </c>
      <c r="O1728" s="17">
        <f t="shared" si="1296"/>
        <v>4</v>
      </c>
      <c r="P1728" s="21" t="str">
        <f t="shared" si="1313"/>
        <v>所有飞兵魔防增加:1</v>
      </c>
      <c r="Q1728" s="21"/>
      <c r="R1728" t="str">
        <f t="shared" si="1319"/>
        <v>魔防</v>
      </c>
      <c r="T1728" t="str">
        <f t="shared" si="1320"/>
        <v>:1</v>
      </c>
      <c r="U1728" t="str">
        <f t="shared" si="1283"/>
        <v>飞兵</v>
      </c>
      <c r="V1728" t="s">
        <v>4691</v>
      </c>
      <c r="W1728">
        <f>属性类型!G1728</f>
        <v>134</v>
      </c>
      <c r="X1728">
        <v>1</v>
      </c>
    </row>
    <row r="1729" customFormat="1" ht="16.5" spans="1:24">
      <c r="A1729" s="17">
        <f t="shared" si="1315"/>
        <v>42307</v>
      </c>
      <c r="B1729" s="17">
        <f t="shared" si="1284"/>
        <v>42300</v>
      </c>
      <c r="C1729" s="17" t="str">
        <f t="shared" si="1297"/>
        <v>4</v>
      </c>
      <c r="D1729" s="17">
        <f t="shared" si="1305"/>
        <v>40003</v>
      </c>
      <c r="E1729" s="17">
        <v>1</v>
      </c>
      <c r="F1729" s="17">
        <f t="shared" si="1295"/>
        <v>3</v>
      </c>
      <c r="G1729" s="17" t="str">
        <f t="shared" si="1316"/>
        <v>高级魔防</v>
      </c>
      <c r="H1729" s="17" t="str">
        <f t="shared" si="1317"/>
        <v>icon_04</v>
      </c>
      <c r="I1729" s="20">
        <v>0</v>
      </c>
      <c r="J1729" s="17">
        <v>7</v>
      </c>
      <c r="K1729" s="17">
        <f t="shared" si="1314"/>
        <v>42308</v>
      </c>
      <c r="L1729" s="17" t="s">
        <v>230</v>
      </c>
      <c r="M1729" s="17" t="str">
        <f t="shared" si="1318"/>
        <v>1:12000:5</v>
      </c>
      <c r="N1729" s="16" t="str">
        <f t="shared" si="1292"/>
        <v>134:1</v>
      </c>
      <c r="O1729" s="17">
        <f t="shared" si="1296"/>
        <v>4</v>
      </c>
      <c r="P1729" s="21" t="str">
        <f t="shared" si="1313"/>
        <v>所有飞兵魔防增加:1</v>
      </c>
      <c r="Q1729" s="21"/>
      <c r="R1729" t="str">
        <f t="shared" si="1319"/>
        <v>魔防</v>
      </c>
      <c r="T1729" t="str">
        <f t="shared" si="1320"/>
        <v>:1</v>
      </c>
      <c r="U1729" t="str">
        <f t="shared" si="1283"/>
        <v>飞兵</v>
      </c>
      <c r="V1729" t="s">
        <v>4691</v>
      </c>
      <c r="W1729">
        <f>属性类型!G1729</f>
        <v>134</v>
      </c>
      <c r="X1729">
        <v>1</v>
      </c>
    </row>
    <row r="1730" customFormat="1" ht="16.5" spans="1:24">
      <c r="A1730" s="17">
        <f t="shared" si="1315"/>
        <v>42308</v>
      </c>
      <c r="B1730" s="17">
        <f t="shared" ref="B1730:B1793" si="1321">ROUND(A1730,-2)</f>
        <v>42300</v>
      </c>
      <c r="C1730" s="17" t="str">
        <f t="shared" si="1297"/>
        <v>4</v>
      </c>
      <c r="D1730" s="17">
        <f t="shared" si="1305"/>
        <v>40003</v>
      </c>
      <c r="E1730" s="17">
        <v>1</v>
      </c>
      <c r="F1730" s="17">
        <f t="shared" si="1295"/>
        <v>3</v>
      </c>
      <c r="G1730" s="17" t="str">
        <f t="shared" si="1316"/>
        <v>高级魔防</v>
      </c>
      <c r="H1730" s="17" t="str">
        <f t="shared" si="1317"/>
        <v>icon_04</v>
      </c>
      <c r="I1730" s="20">
        <v>0</v>
      </c>
      <c r="J1730" s="17">
        <v>8</v>
      </c>
      <c r="K1730" s="17">
        <f t="shared" si="1314"/>
        <v>42309</v>
      </c>
      <c r="L1730" s="17" t="s">
        <v>233</v>
      </c>
      <c r="M1730" s="17" t="str">
        <f t="shared" si="1318"/>
        <v>1:12000:5</v>
      </c>
      <c r="N1730" s="16" t="str">
        <f t="shared" si="1292"/>
        <v>134:1</v>
      </c>
      <c r="O1730" s="17">
        <f t="shared" si="1296"/>
        <v>4</v>
      </c>
      <c r="P1730" s="21" t="str">
        <f t="shared" si="1313"/>
        <v>所有飞兵魔防增加:1</v>
      </c>
      <c r="Q1730" s="21"/>
      <c r="R1730" t="str">
        <f t="shared" si="1319"/>
        <v>魔防</v>
      </c>
      <c r="T1730" t="str">
        <f t="shared" si="1320"/>
        <v>:1</v>
      </c>
      <c r="U1730" t="str">
        <f t="shared" si="1283"/>
        <v>飞兵</v>
      </c>
      <c r="V1730" t="s">
        <v>4691</v>
      </c>
      <c r="W1730">
        <f>属性类型!G1730</f>
        <v>134</v>
      </c>
      <c r="X1730">
        <v>1</v>
      </c>
    </row>
    <row r="1731" customFormat="1" ht="16.5" spans="1:24">
      <c r="A1731" s="17">
        <f t="shared" si="1315"/>
        <v>42309</v>
      </c>
      <c r="B1731" s="17">
        <f t="shared" si="1321"/>
        <v>42300</v>
      </c>
      <c r="C1731" s="17" t="str">
        <f t="shared" si="1297"/>
        <v>4</v>
      </c>
      <c r="D1731" s="17">
        <f t="shared" si="1305"/>
        <v>40003</v>
      </c>
      <c r="E1731" s="17">
        <v>1</v>
      </c>
      <c r="F1731" s="17">
        <f t="shared" si="1295"/>
        <v>3</v>
      </c>
      <c r="G1731" s="17" t="str">
        <f t="shared" si="1316"/>
        <v>高级魔防</v>
      </c>
      <c r="H1731" s="17" t="str">
        <f t="shared" si="1317"/>
        <v>icon_04</v>
      </c>
      <c r="I1731" s="20">
        <v>0</v>
      </c>
      <c r="J1731" s="17">
        <v>9</v>
      </c>
      <c r="K1731" s="17">
        <f t="shared" si="1314"/>
        <v>42310</v>
      </c>
      <c r="L1731" s="17" t="s">
        <v>236</v>
      </c>
      <c r="M1731" s="17" t="str">
        <f t="shared" si="1318"/>
        <v>1:12000:5</v>
      </c>
      <c r="N1731" s="16" t="str">
        <f t="shared" si="1292"/>
        <v>134:1</v>
      </c>
      <c r="O1731" s="17">
        <f t="shared" si="1296"/>
        <v>4</v>
      </c>
      <c r="P1731" s="21" t="str">
        <f t="shared" si="1313"/>
        <v>所有飞兵魔防增加:1</v>
      </c>
      <c r="Q1731" s="21"/>
      <c r="R1731" t="str">
        <f t="shared" si="1319"/>
        <v>魔防</v>
      </c>
      <c r="T1731" t="str">
        <f t="shared" si="1320"/>
        <v>:1</v>
      </c>
      <c r="U1731" t="str">
        <f t="shared" si="1283"/>
        <v>飞兵</v>
      </c>
      <c r="V1731" t="s">
        <v>4691</v>
      </c>
      <c r="W1731">
        <f>属性类型!G1731</f>
        <v>134</v>
      </c>
      <c r="X1731">
        <v>1</v>
      </c>
    </row>
    <row r="1732" customFormat="1" ht="16.5" spans="1:24">
      <c r="A1732" s="17">
        <f t="shared" si="1315"/>
        <v>42310</v>
      </c>
      <c r="B1732" s="17">
        <f t="shared" si="1321"/>
        <v>42300</v>
      </c>
      <c r="C1732" s="17" t="str">
        <f t="shared" si="1297"/>
        <v>4</v>
      </c>
      <c r="D1732" s="17">
        <f t="shared" si="1305"/>
        <v>40003</v>
      </c>
      <c r="E1732" s="17">
        <v>1</v>
      </c>
      <c r="F1732" s="17">
        <f t="shared" si="1295"/>
        <v>3</v>
      </c>
      <c r="G1732" s="17" t="str">
        <f t="shared" si="1316"/>
        <v>高级魔防</v>
      </c>
      <c r="H1732" s="17" t="str">
        <f t="shared" si="1317"/>
        <v>icon_04</v>
      </c>
      <c r="I1732" s="20">
        <v>0</v>
      </c>
      <c r="J1732" s="17">
        <v>10</v>
      </c>
      <c r="K1732" s="17">
        <f t="shared" si="1314"/>
        <v>42311</v>
      </c>
      <c r="L1732" s="17" t="s">
        <v>238</v>
      </c>
      <c r="M1732" s="17" t="str">
        <f t="shared" si="1318"/>
        <v>1:12000:5</v>
      </c>
      <c r="N1732" s="16" t="str">
        <f t="shared" si="1292"/>
        <v>134:1</v>
      </c>
      <c r="O1732" s="17">
        <f t="shared" si="1296"/>
        <v>4</v>
      </c>
      <c r="P1732" s="21" t="str">
        <f t="shared" si="1313"/>
        <v>所有飞兵魔防增加:1</v>
      </c>
      <c r="Q1732" s="21"/>
      <c r="R1732" t="str">
        <f t="shared" si="1319"/>
        <v>魔防</v>
      </c>
      <c r="T1732" t="str">
        <f t="shared" si="1320"/>
        <v>:1</v>
      </c>
      <c r="U1732" t="str">
        <f t="shared" si="1283"/>
        <v>飞兵</v>
      </c>
      <c r="V1732" t="s">
        <v>4691</v>
      </c>
      <c r="W1732">
        <f>属性类型!G1732</f>
        <v>134</v>
      </c>
      <c r="X1732">
        <v>1</v>
      </c>
    </row>
    <row r="1733" customFormat="1" ht="16.5" spans="1:24">
      <c r="A1733" s="17">
        <f t="shared" si="1315"/>
        <v>42311</v>
      </c>
      <c r="B1733" s="17">
        <f t="shared" si="1321"/>
        <v>42300</v>
      </c>
      <c r="C1733" s="17" t="str">
        <f t="shared" si="1297"/>
        <v>4</v>
      </c>
      <c r="D1733" s="17">
        <f t="shared" si="1305"/>
        <v>40003</v>
      </c>
      <c r="E1733" s="17">
        <v>1</v>
      </c>
      <c r="F1733" s="17">
        <f t="shared" si="1295"/>
        <v>3</v>
      </c>
      <c r="G1733" s="17" t="str">
        <f t="shared" si="1316"/>
        <v>高级魔防</v>
      </c>
      <c r="H1733" s="17" t="str">
        <f t="shared" si="1317"/>
        <v>icon_04</v>
      </c>
      <c r="I1733" s="20">
        <v>0</v>
      </c>
      <c r="J1733" s="17">
        <v>11</v>
      </c>
      <c r="K1733" s="17">
        <f t="shared" si="1314"/>
        <v>42312</v>
      </c>
      <c r="L1733" s="17" t="s">
        <v>529</v>
      </c>
      <c r="M1733" s="17" t="str">
        <f t="shared" si="1318"/>
        <v>1:12000:5</v>
      </c>
      <c r="N1733" s="16" t="str">
        <f t="shared" si="1292"/>
        <v>134:1</v>
      </c>
      <c r="O1733" s="17">
        <f t="shared" si="1296"/>
        <v>4</v>
      </c>
      <c r="P1733" s="21" t="str">
        <f t="shared" si="1313"/>
        <v>所有飞兵魔防增加:1</v>
      </c>
      <c r="Q1733" s="21"/>
      <c r="R1733" t="str">
        <f t="shared" si="1319"/>
        <v>魔防</v>
      </c>
      <c r="T1733" t="str">
        <f t="shared" si="1320"/>
        <v>:1</v>
      </c>
      <c r="U1733" t="str">
        <f t="shared" ref="U1733:U1796" si="1322">MID(P1733,3,2)</f>
        <v>飞兵</v>
      </c>
      <c r="V1733" t="s">
        <v>4691</v>
      </c>
      <c r="W1733">
        <f>属性类型!G1733</f>
        <v>134</v>
      </c>
      <c r="X1733">
        <v>1</v>
      </c>
    </row>
    <row r="1734" customFormat="1" ht="16.5" spans="1:24">
      <c r="A1734" s="17">
        <f t="shared" si="1315"/>
        <v>42312</v>
      </c>
      <c r="B1734" s="17">
        <f t="shared" si="1321"/>
        <v>42300</v>
      </c>
      <c r="C1734" s="17" t="str">
        <f t="shared" si="1297"/>
        <v>4</v>
      </c>
      <c r="D1734" s="17">
        <f t="shared" si="1305"/>
        <v>40003</v>
      </c>
      <c r="E1734" s="17">
        <v>1</v>
      </c>
      <c r="F1734" s="17">
        <f t="shared" si="1295"/>
        <v>3</v>
      </c>
      <c r="G1734" s="17" t="str">
        <f t="shared" si="1316"/>
        <v>高级魔防</v>
      </c>
      <c r="H1734" s="17" t="str">
        <f t="shared" si="1317"/>
        <v>icon_04</v>
      </c>
      <c r="I1734" s="20">
        <v>0</v>
      </c>
      <c r="J1734" s="17">
        <v>12</v>
      </c>
      <c r="K1734" s="17">
        <f t="shared" si="1314"/>
        <v>42313</v>
      </c>
      <c r="L1734" s="17" t="s">
        <v>532</v>
      </c>
      <c r="M1734" s="17" t="str">
        <f t="shared" si="1318"/>
        <v>1:12000:5</v>
      </c>
      <c r="N1734" s="16" t="str">
        <f t="shared" si="1292"/>
        <v>134:1</v>
      </c>
      <c r="O1734" s="17">
        <f t="shared" si="1296"/>
        <v>4</v>
      </c>
      <c r="P1734" s="21" t="str">
        <f t="shared" si="1313"/>
        <v>所有飞兵魔防增加:1</v>
      </c>
      <c r="Q1734" s="21"/>
      <c r="R1734" t="str">
        <f t="shared" si="1319"/>
        <v>魔防</v>
      </c>
      <c r="T1734" t="str">
        <f t="shared" si="1320"/>
        <v>:1</v>
      </c>
      <c r="U1734" t="str">
        <f t="shared" si="1322"/>
        <v>飞兵</v>
      </c>
      <c r="V1734" t="s">
        <v>4691</v>
      </c>
      <c r="W1734">
        <f>属性类型!G1734</f>
        <v>134</v>
      </c>
      <c r="X1734">
        <v>1</v>
      </c>
    </row>
    <row r="1735" customFormat="1" ht="16.5" spans="1:24">
      <c r="A1735" s="17">
        <f t="shared" si="1315"/>
        <v>42313</v>
      </c>
      <c r="B1735" s="17">
        <f t="shared" si="1321"/>
        <v>42300</v>
      </c>
      <c r="C1735" s="17" t="str">
        <f t="shared" si="1297"/>
        <v>4</v>
      </c>
      <c r="D1735" s="17">
        <f t="shared" si="1305"/>
        <v>40003</v>
      </c>
      <c r="E1735" s="17">
        <v>1</v>
      </c>
      <c r="F1735" s="17">
        <f t="shared" si="1295"/>
        <v>3</v>
      </c>
      <c r="G1735" s="17" t="str">
        <f t="shared" si="1316"/>
        <v>高级魔防</v>
      </c>
      <c r="H1735" s="17" t="str">
        <f t="shared" si="1317"/>
        <v>icon_04</v>
      </c>
      <c r="I1735" s="20">
        <v>0</v>
      </c>
      <c r="J1735" s="17">
        <v>13</v>
      </c>
      <c r="K1735" s="17">
        <f t="shared" si="1314"/>
        <v>42314</v>
      </c>
      <c r="L1735" s="17" t="s">
        <v>561</v>
      </c>
      <c r="M1735" s="17" t="str">
        <f t="shared" si="1318"/>
        <v>1:12000:5</v>
      </c>
      <c r="N1735" s="16" t="str">
        <f t="shared" si="1292"/>
        <v>134:1</v>
      </c>
      <c r="O1735" s="17">
        <f t="shared" si="1296"/>
        <v>4</v>
      </c>
      <c r="P1735" s="21" t="str">
        <f t="shared" si="1313"/>
        <v>所有飞兵魔防增加:1</v>
      </c>
      <c r="Q1735" s="21"/>
      <c r="R1735" t="str">
        <f t="shared" si="1319"/>
        <v>魔防</v>
      </c>
      <c r="T1735" t="str">
        <f t="shared" si="1320"/>
        <v>:1</v>
      </c>
      <c r="U1735" t="str">
        <f t="shared" si="1322"/>
        <v>飞兵</v>
      </c>
      <c r="V1735" t="s">
        <v>4691</v>
      </c>
      <c r="W1735">
        <f>属性类型!G1735</f>
        <v>134</v>
      </c>
      <c r="X1735">
        <v>1</v>
      </c>
    </row>
    <row r="1736" customFormat="1" ht="16.5" spans="1:24">
      <c r="A1736" s="17">
        <f t="shared" si="1315"/>
        <v>42314</v>
      </c>
      <c r="B1736" s="17">
        <f t="shared" si="1321"/>
        <v>42300</v>
      </c>
      <c r="C1736" s="17" t="str">
        <f t="shared" si="1297"/>
        <v>4</v>
      </c>
      <c r="D1736" s="17">
        <f t="shared" si="1305"/>
        <v>40003</v>
      </c>
      <c r="E1736" s="17">
        <v>1</v>
      </c>
      <c r="F1736" s="17">
        <f t="shared" si="1295"/>
        <v>3</v>
      </c>
      <c r="G1736" s="17" t="str">
        <f t="shared" si="1316"/>
        <v>高级魔防</v>
      </c>
      <c r="H1736" s="17" t="str">
        <f t="shared" si="1317"/>
        <v>icon_04</v>
      </c>
      <c r="I1736" s="20">
        <v>0</v>
      </c>
      <c r="J1736" s="17">
        <v>14</v>
      </c>
      <c r="K1736" s="17">
        <f t="shared" si="1314"/>
        <v>42315</v>
      </c>
      <c r="L1736" s="17" t="s">
        <v>564</v>
      </c>
      <c r="M1736" s="17" t="str">
        <f t="shared" si="1318"/>
        <v>1:12000:5</v>
      </c>
      <c r="N1736" s="16" t="str">
        <f t="shared" si="1292"/>
        <v>134:1</v>
      </c>
      <c r="O1736" s="17">
        <f t="shared" si="1296"/>
        <v>4</v>
      </c>
      <c r="P1736" s="21" t="str">
        <f t="shared" si="1313"/>
        <v>所有飞兵魔防增加:1</v>
      </c>
      <c r="Q1736" s="21"/>
      <c r="R1736" t="str">
        <f t="shared" si="1319"/>
        <v>魔防</v>
      </c>
      <c r="T1736" t="str">
        <f t="shared" si="1320"/>
        <v>:1</v>
      </c>
      <c r="U1736" t="str">
        <f t="shared" si="1322"/>
        <v>飞兵</v>
      </c>
      <c r="V1736" t="s">
        <v>4691</v>
      </c>
      <c r="W1736">
        <f>属性类型!G1736</f>
        <v>134</v>
      </c>
      <c r="X1736">
        <v>1</v>
      </c>
    </row>
    <row r="1737" customFormat="1" ht="16.5" spans="1:24">
      <c r="A1737" s="17">
        <f t="shared" si="1315"/>
        <v>42315</v>
      </c>
      <c r="B1737" s="17">
        <f t="shared" si="1321"/>
        <v>42300</v>
      </c>
      <c r="C1737" s="17" t="str">
        <f t="shared" si="1297"/>
        <v>4</v>
      </c>
      <c r="D1737" s="17">
        <f t="shared" si="1305"/>
        <v>40003</v>
      </c>
      <c r="E1737" s="17">
        <v>1</v>
      </c>
      <c r="F1737" s="17">
        <f t="shared" si="1295"/>
        <v>3</v>
      </c>
      <c r="G1737" s="17" t="str">
        <f t="shared" si="1316"/>
        <v>高级魔防</v>
      </c>
      <c r="H1737" s="17" t="str">
        <f t="shared" si="1317"/>
        <v>icon_04</v>
      </c>
      <c r="I1737" s="20">
        <v>0</v>
      </c>
      <c r="J1737" s="17">
        <v>15</v>
      </c>
      <c r="K1737" s="17">
        <v>0</v>
      </c>
      <c r="L1737" s="17">
        <v>0</v>
      </c>
      <c r="M1737" s="17" t="str">
        <f t="shared" si="1318"/>
        <v>1:12000:5</v>
      </c>
      <c r="N1737" s="16" t="str">
        <f t="shared" si="1292"/>
        <v>134:1</v>
      </c>
      <c r="O1737" s="17">
        <f t="shared" si="1296"/>
        <v>4</v>
      </c>
      <c r="P1737" s="21" t="str">
        <f t="shared" si="1313"/>
        <v>所有飞兵魔防增加:1</v>
      </c>
      <c r="Q1737" s="21"/>
      <c r="R1737" t="str">
        <f t="shared" si="1319"/>
        <v>魔防</v>
      </c>
      <c r="T1737" t="str">
        <f t="shared" si="1320"/>
        <v>:1</v>
      </c>
      <c r="U1737" t="str">
        <f t="shared" si="1322"/>
        <v>飞兵</v>
      </c>
      <c r="V1737" t="s">
        <v>4691</v>
      </c>
      <c r="W1737">
        <f>属性类型!G1737</f>
        <v>134</v>
      </c>
      <c r="X1737">
        <v>1</v>
      </c>
    </row>
    <row r="1738" customFormat="1" ht="16.5" spans="1:24">
      <c r="A1738" s="18">
        <f>A1722+100</f>
        <v>42400</v>
      </c>
      <c r="B1738" s="18">
        <f t="shared" si="1321"/>
        <v>42400</v>
      </c>
      <c r="C1738" s="18" t="str">
        <f t="shared" si="1297"/>
        <v>4</v>
      </c>
      <c r="D1738" s="17">
        <f t="shared" si="1305"/>
        <v>40003</v>
      </c>
      <c r="E1738" s="17">
        <v>1</v>
      </c>
      <c r="F1738" s="18">
        <f t="shared" si="1295"/>
        <v>3</v>
      </c>
      <c r="G1738" s="18" t="s">
        <v>612</v>
      </c>
      <c r="H1738" s="18" t="s">
        <v>112</v>
      </c>
      <c r="I1738" s="20">
        <v>0</v>
      </c>
      <c r="J1738" s="18">
        <v>0</v>
      </c>
      <c r="K1738" s="18">
        <f t="shared" ref="K1738:K1757" si="1323">A1739</f>
        <v>42401</v>
      </c>
      <c r="L1738" s="18" t="s">
        <v>206</v>
      </c>
      <c r="M1738" s="18" t="s">
        <v>614</v>
      </c>
      <c r="N1738" s="16" t="str">
        <f t="shared" si="1292"/>
        <v>138:1</v>
      </c>
      <c r="O1738" s="18">
        <f t="shared" si="1296"/>
        <v>5</v>
      </c>
      <c r="P1738" s="21" t="str">
        <f t="shared" si="1313"/>
        <v>所有飞兵防御百分比增加1</v>
      </c>
      <c r="Q1738" s="21"/>
      <c r="R1738" t="s">
        <v>4278</v>
      </c>
      <c r="T1738" t="str">
        <f>RIGHT(N1738,1)</f>
        <v>1</v>
      </c>
      <c r="U1738" t="str">
        <f t="shared" si="1322"/>
        <v>飞兵</v>
      </c>
      <c r="V1738" t="s">
        <v>4692</v>
      </c>
      <c r="W1738">
        <f>属性类型!G1738</f>
        <v>138</v>
      </c>
      <c r="X1738">
        <v>1</v>
      </c>
    </row>
    <row r="1739" customFormat="1" ht="16.5" spans="1:24">
      <c r="A1739" s="17">
        <f t="shared" ref="A1739:A1758" si="1324">A1738+1</f>
        <v>42401</v>
      </c>
      <c r="B1739" s="17">
        <f t="shared" si="1321"/>
        <v>42400</v>
      </c>
      <c r="C1739" s="17" t="str">
        <f t="shared" si="1297"/>
        <v>4</v>
      </c>
      <c r="D1739" s="17">
        <f t="shared" si="1305"/>
        <v>40003</v>
      </c>
      <c r="E1739" s="17">
        <v>1</v>
      </c>
      <c r="F1739" s="17">
        <f t="shared" si="1295"/>
        <v>3</v>
      </c>
      <c r="G1739" s="17" t="str">
        <f t="shared" ref="G1739:G1758" si="1325">G1738</f>
        <v>高级防御百分比</v>
      </c>
      <c r="H1739" s="17" t="str">
        <f t="shared" ref="H1739:H1758" si="1326">H1738</f>
        <v>icon_05</v>
      </c>
      <c r="I1739" s="20">
        <v>0</v>
      </c>
      <c r="J1739" s="17">
        <v>1</v>
      </c>
      <c r="K1739" s="17">
        <f t="shared" si="1323"/>
        <v>42402</v>
      </c>
      <c r="L1739" s="17" t="s">
        <v>211</v>
      </c>
      <c r="M1739" s="17" t="str">
        <f t="shared" ref="M1739:M1758" si="1327">M1738</f>
        <v>1:12100:10</v>
      </c>
      <c r="N1739" s="16" t="str">
        <f t="shared" ref="N1739:N1802" si="1328">W1739&amp;$W$2&amp;X1739</f>
        <v>138:1</v>
      </c>
      <c r="O1739" s="17">
        <f t="shared" si="1296"/>
        <v>5</v>
      </c>
      <c r="P1739" s="21" t="str">
        <f t="shared" si="1313"/>
        <v>所有飞兵防御百分比增加:1</v>
      </c>
      <c r="Q1739" s="21"/>
      <c r="R1739" t="str">
        <f t="shared" ref="R1739:R1758" si="1329">R1738</f>
        <v>防御百分比</v>
      </c>
      <c r="T1739" t="str">
        <f t="shared" ref="T1739:T1758" si="1330">RIGHT(N1739,2)</f>
        <v>:1</v>
      </c>
      <c r="U1739" t="str">
        <f t="shared" si="1322"/>
        <v>飞兵</v>
      </c>
      <c r="V1739" t="s">
        <v>4692</v>
      </c>
      <c r="W1739">
        <f>属性类型!G1739</f>
        <v>138</v>
      </c>
      <c r="X1739">
        <v>1</v>
      </c>
    </row>
    <row r="1740" customFormat="1" ht="16.5" spans="1:24">
      <c r="A1740" s="17">
        <f t="shared" si="1324"/>
        <v>42402</v>
      </c>
      <c r="B1740" s="17">
        <f t="shared" si="1321"/>
        <v>42400</v>
      </c>
      <c r="C1740" s="17" t="str">
        <f t="shared" si="1297"/>
        <v>4</v>
      </c>
      <c r="D1740" s="17">
        <f t="shared" si="1305"/>
        <v>40003</v>
      </c>
      <c r="E1740" s="17">
        <v>1</v>
      </c>
      <c r="F1740" s="17">
        <f t="shared" si="1295"/>
        <v>3</v>
      </c>
      <c r="G1740" s="17" t="str">
        <f t="shared" si="1325"/>
        <v>高级防御百分比</v>
      </c>
      <c r="H1740" s="17" t="str">
        <f t="shared" si="1326"/>
        <v>icon_05</v>
      </c>
      <c r="I1740" s="20">
        <v>0</v>
      </c>
      <c r="J1740" s="17">
        <v>2</v>
      </c>
      <c r="K1740" s="17">
        <f t="shared" si="1323"/>
        <v>42403</v>
      </c>
      <c r="L1740" s="17" t="s">
        <v>215</v>
      </c>
      <c r="M1740" s="17" t="str">
        <f t="shared" si="1327"/>
        <v>1:12100:10</v>
      </c>
      <c r="N1740" s="16" t="str">
        <f t="shared" si="1328"/>
        <v>138:1</v>
      </c>
      <c r="O1740" s="17">
        <f t="shared" si="1296"/>
        <v>5</v>
      </c>
      <c r="P1740" s="21" t="str">
        <f t="shared" si="1313"/>
        <v>所有飞兵防御百分比增加:1</v>
      </c>
      <c r="Q1740" s="21"/>
      <c r="R1740" t="str">
        <f t="shared" si="1329"/>
        <v>防御百分比</v>
      </c>
      <c r="T1740" t="str">
        <f t="shared" si="1330"/>
        <v>:1</v>
      </c>
      <c r="U1740" t="str">
        <f t="shared" si="1322"/>
        <v>飞兵</v>
      </c>
      <c r="V1740" t="s">
        <v>4692</v>
      </c>
      <c r="W1740">
        <f>属性类型!G1740</f>
        <v>138</v>
      </c>
      <c r="X1740">
        <v>1</v>
      </c>
    </row>
    <row r="1741" customFormat="1" ht="16.5" spans="1:24">
      <c r="A1741" s="17">
        <f t="shared" si="1324"/>
        <v>42403</v>
      </c>
      <c r="B1741" s="17">
        <f t="shared" si="1321"/>
        <v>42400</v>
      </c>
      <c r="C1741" s="17" t="str">
        <f t="shared" si="1297"/>
        <v>4</v>
      </c>
      <c r="D1741" s="17">
        <f t="shared" si="1305"/>
        <v>40003</v>
      </c>
      <c r="E1741" s="17">
        <v>1</v>
      </c>
      <c r="F1741" s="17">
        <f t="shared" si="1295"/>
        <v>3</v>
      </c>
      <c r="G1741" s="17" t="str">
        <f t="shared" si="1325"/>
        <v>高级防御百分比</v>
      </c>
      <c r="H1741" s="17" t="str">
        <f t="shared" si="1326"/>
        <v>icon_05</v>
      </c>
      <c r="I1741" s="20">
        <v>0</v>
      </c>
      <c r="J1741" s="17">
        <v>3</v>
      </c>
      <c r="K1741" s="17">
        <f t="shared" si="1323"/>
        <v>42404</v>
      </c>
      <c r="L1741" s="17" t="s">
        <v>218</v>
      </c>
      <c r="M1741" s="17" t="str">
        <f t="shared" si="1327"/>
        <v>1:12100:10</v>
      </c>
      <c r="N1741" s="16" t="str">
        <f t="shared" si="1328"/>
        <v>138:1</v>
      </c>
      <c r="O1741" s="17">
        <f t="shared" si="1296"/>
        <v>5</v>
      </c>
      <c r="P1741" s="21" t="str">
        <f t="shared" si="1313"/>
        <v>所有飞兵防御百分比增加:1</v>
      </c>
      <c r="Q1741" s="21"/>
      <c r="R1741" t="str">
        <f t="shared" si="1329"/>
        <v>防御百分比</v>
      </c>
      <c r="T1741" t="str">
        <f t="shared" si="1330"/>
        <v>:1</v>
      </c>
      <c r="U1741" t="str">
        <f t="shared" si="1322"/>
        <v>飞兵</v>
      </c>
      <c r="V1741" t="s">
        <v>4692</v>
      </c>
      <c r="W1741">
        <f>属性类型!G1741</f>
        <v>138</v>
      </c>
      <c r="X1741">
        <v>1</v>
      </c>
    </row>
    <row r="1742" customFormat="1" ht="16.5" spans="1:24">
      <c r="A1742" s="17">
        <f t="shared" si="1324"/>
        <v>42404</v>
      </c>
      <c r="B1742" s="17">
        <f t="shared" si="1321"/>
        <v>42400</v>
      </c>
      <c r="C1742" s="17" t="str">
        <f t="shared" si="1297"/>
        <v>4</v>
      </c>
      <c r="D1742" s="17">
        <f t="shared" si="1305"/>
        <v>40003</v>
      </c>
      <c r="E1742" s="17">
        <v>1</v>
      </c>
      <c r="F1742" s="17">
        <f t="shared" si="1295"/>
        <v>3</v>
      </c>
      <c r="G1742" s="17" t="str">
        <f t="shared" si="1325"/>
        <v>高级防御百分比</v>
      </c>
      <c r="H1742" s="17" t="str">
        <f t="shared" si="1326"/>
        <v>icon_05</v>
      </c>
      <c r="I1742" s="20">
        <v>0</v>
      </c>
      <c r="J1742" s="17">
        <v>4</v>
      </c>
      <c r="K1742" s="17">
        <f t="shared" si="1323"/>
        <v>42405</v>
      </c>
      <c r="L1742" s="17" t="s">
        <v>221</v>
      </c>
      <c r="M1742" s="17" t="str">
        <f t="shared" si="1327"/>
        <v>1:12100:10</v>
      </c>
      <c r="N1742" s="16" t="str">
        <f t="shared" si="1328"/>
        <v>138:1</v>
      </c>
      <c r="O1742" s="17">
        <f t="shared" si="1296"/>
        <v>5</v>
      </c>
      <c r="P1742" s="21" t="str">
        <f t="shared" si="1313"/>
        <v>所有飞兵防御百分比增加:1</v>
      </c>
      <c r="Q1742" s="21"/>
      <c r="R1742" t="str">
        <f t="shared" si="1329"/>
        <v>防御百分比</v>
      </c>
      <c r="T1742" t="str">
        <f t="shared" si="1330"/>
        <v>:1</v>
      </c>
      <c r="U1742" t="str">
        <f t="shared" si="1322"/>
        <v>飞兵</v>
      </c>
      <c r="V1742" t="s">
        <v>4692</v>
      </c>
      <c r="W1742">
        <f>属性类型!G1742</f>
        <v>138</v>
      </c>
      <c r="X1742">
        <v>1</v>
      </c>
    </row>
    <row r="1743" customFormat="1" ht="16.5" spans="1:24">
      <c r="A1743" s="17">
        <f t="shared" si="1324"/>
        <v>42405</v>
      </c>
      <c r="B1743" s="17">
        <f t="shared" si="1321"/>
        <v>42400</v>
      </c>
      <c r="C1743" s="17" t="str">
        <f t="shared" si="1297"/>
        <v>4</v>
      </c>
      <c r="D1743" s="17">
        <f t="shared" si="1305"/>
        <v>40003</v>
      </c>
      <c r="E1743" s="17">
        <v>1</v>
      </c>
      <c r="F1743" s="17">
        <f t="shared" si="1295"/>
        <v>3</v>
      </c>
      <c r="G1743" s="17" t="str">
        <f t="shared" si="1325"/>
        <v>高级防御百分比</v>
      </c>
      <c r="H1743" s="17" t="str">
        <f t="shared" si="1326"/>
        <v>icon_05</v>
      </c>
      <c r="I1743" s="20">
        <v>0</v>
      </c>
      <c r="J1743" s="17">
        <v>5</v>
      </c>
      <c r="K1743" s="17">
        <f t="shared" si="1323"/>
        <v>42406</v>
      </c>
      <c r="L1743" s="17" t="s">
        <v>224</v>
      </c>
      <c r="M1743" s="17" t="str">
        <f t="shared" si="1327"/>
        <v>1:12100:10</v>
      </c>
      <c r="N1743" s="16" t="str">
        <f t="shared" si="1328"/>
        <v>138:1</v>
      </c>
      <c r="O1743" s="17">
        <f t="shared" si="1296"/>
        <v>5</v>
      </c>
      <c r="P1743" s="21" t="str">
        <f t="shared" si="1313"/>
        <v>所有飞兵防御百分比增加:1</v>
      </c>
      <c r="Q1743" s="21"/>
      <c r="R1743" t="str">
        <f t="shared" si="1329"/>
        <v>防御百分比</v>
      </c>
      <c r="T1743" t="str">
        <f t="shared" si="1330"/>
        <v>:1</v>
      </c>
      <c r="U1743" t="str">
        <f t="shared" si="1322"/>
        <v>飞兵</v>
      </c>
      <c r="V1743" t="s">
        <v>4692</v>
      </c>
      <c r="W1743">
        <f>属性类型!G1743</f>
        <v>138</v>
      </c>
      <c r="X1743">
        <v>1</v>
      </c>
    </row>
    <row r="1744" customFormat="1" ht="16.5" spans="1:24">
      <c r="A1744" s="17">
        <f t="shared" si="1324"/>
        <v>42406</v>
      </c>
      <c r="B1744" s="17">
        <f t="shared" si="1321"/>
        <v>42400</v>
      </c>
      <c r="C1744" s="17" t="str">
        <f t="shared" si="1297"/>
        <v>4</v>
      </c>
      <c r="D1744" s="17">
        <f t="shared" si="1305"/>
        <v>40003</v>
      </c>
      <c r="E1744" s="17">
        <v>1</v>
      </c>
      <c r="F1744" s="17">
        <f t="shared" ref="F1744:F1807" si="1331">MID(B1744,2,1)+1</f>
        <v>3</v>
      </c>
      <c r="G1744" s="17" t="str">
        <f t="shared" si="1325"/>
        <v>高级防御百分比</v>
      </c>
      <c r="H1744" s="17" t="str">
        <f t="shared" si="1326"/>
        <v>icon_05</v>
      </c>
      <c r="I1744" s="20">
        <v>0</v>
      </c>
      <c r="J1744" s="17">
        <v>6</v>
      </c>
      <c r="K1744" s="17">
        <f t="shared" si="1323"/>
        <v>42407</v>
      </c>
      <c r="L1744" s="17" t="s">
        <v>227</v>
      </c>
      <c r="M1744" s="17" t="str">
        <f t="shared" si="1327"/>
        <v>1:12100:10</v>
      </c>
      <c r="N1744" s="16" t="str">
        <f t="shared" si="1328"/>
        <v>138:1</v>
      </c>
      <c r="O1744" s="17">
        <f t="shared" ref="O1744:O1807" si="1332">MID(A1744,3,1)+1</f>
        <v>5</v>
      </c>
      <c r="P1744" s="21" t="str">
        <f t="shared" si="1313"/>
        <v>所有飞兵防御百分比增加:1</v>
      </c>
      <c r="Q1744" s="21"/>
      <c r="R1744" t="str">
        <f t="shared" si="1329"/>
        <v>防御百分比</v>
      </c>
      <c r="T1744" t="str">
        <f t="shared" si="1330"/>
        <v>:1</v>
      </c>
      <c r="U1744" t="str">
        <f t="shared" si="1322"/>
        <v>飞兵</v>
      </c>
      <c r="V1744" t="s">
        <v>4692</v>
      </c>
      <c r="W1744">
        <f>属性类型!G1744</f>
        <v>138</v>
      </c>
      <c r="X1744">
        <v>1</v>
      </c>
    </row>
    <row r="1745" customFormat="1" ht="16.5" spans="1:24">
      <c r="A1745" s="17">
        <f t="shared" si="1324"/>
        <v>42407</v>
      </c>
      <c r="B1745" s="17">
        <f t="shared" si="1321"/>
        <v>42400</v>
      </c>
      <c r="C1745" s="17" t="str">
        <f t="shared" si="1297"/>
        <v>4</v>
      </c>
      <c r="D1745" s="17">
        <f t="shared" si="1305"/>
        <v>40003</v>
      </c>
      <c r="E1745" s="17">
        <v>1</v>
      </c>
      <c r="F1745" s="17">
        <f t="shared" si="1331"/>
        <v>3</v>
      </c>
      <c r="G1745" s="17" t="str">
        <f t="shared" si="1325"/>
        <v>高级防御百分比</v>
      </c>
      <c r="H1745" s="17" t="str">
        <f t="shared" si="1326"/>
        <v>icon_05</v>
      </c>
      <c r="I1745" s="20">
        <v>0</v>
      </c>
      <c r="J1745" s="17">
        <v>7</v>
      </c>
      <c r="K1745" s="17">
        <f t="shared" si="1323"/>
        <v>42408</v>
      </c>
      <c r="L1745" s="17" t="s">
        <v>230</v>
      </c>
      <c r="M1745" s="17" t="str">
        <f t="shared" si="1327"/>
        <v>1:12100:10</v>
      </c>
      <c r="N1745" s="16" t="str">
        <f t="shared" si="1328"/>
        <v>138:1</v>
      </c>
      <c r="O1745" s="17">
        <f t="shared" si="1332"/>
        <v>5</v>
      </c>
      <c r="P1745" s="21" t="str">
        <f t="shared" si="1313"/>
        <v>所有飞兵防御百分比增加:1</v>
      </c>
      <c r="Q1745" s="21"/>
      <c r="R1745" t="str">
        <f t="shared" si="1329"/>
        <v>防御百分比</v>
      </c>
      <c r="T1745" t="str">
        <f t="shared" si="1330"/>
        <v>:1</v>
      </c>
      <c r="U1745" t="str">
        <f t="shared" si="1322"/>
        <v>飞兵</v>
      </c>
      <c r="V1745" t="s">
        <v>4692</v>
      </c>
      <c r="W1745">
        <f>属性类型!G1745</f>
        <v>138</v>
      </c>
      <c r="X1745">
        <v>1</v>
      </c>
    </row>
    <row r="1746" customFormat="1" ht="16.5" spans="1:24">
      <c r="A1746" s="17">
        <f t="shared" si="1324"/>
        <v>42408</v>
      </c>
      <c r="B1746" s="17">
        <f t="shared" si="1321"/>
        <v>42400</v>
      </c>
      <c r="C1746" s="17" t="str">
        <f t="shared" si="1297"/>
        <v>4</v>
      </c>
      <c r="D1746" s="17">
        <f t="shared" si="1305"/>
        <v>40003</v>
      </c>
      <c r="E1746" s="17">
        <v>1</v>
      </c>
      <c r="F1746" s="17">
        <f t="shared" si="1331"/>
        <v>3</v>
      </c>
      <c r="G1746" s="17" t="str">
        <f t="shared" si="1325"/>
        <v>高级防御百分比</v>
      </c>
      <c r="H1746" s="17" t="str">
        <f t="shared" si="1326"/>
        <v>icon_05</v>
      </c>
      <c r="I1746" s="20">
        <v>0</v>
      </c>
      <c r="J1746" s="17">
        <v>8</v>
      </c>
      <c r="K1746" s="17">
        <f t="shared" si="1323"/>
        <v>42409</v>
      </c>
      <c r="L1746" s="17" t="s">
        <v>233</v>
      </c>
      <c r="M1746" s="17" t="str">
        <f t="shared" si="1327"/>
        <v>1:12100:10</v>
      </c>
      <c r="N1746" s="16" t="str">
        <f t="shared" si="1328"/>
        <v>138:1</v>
      </c>
      <c r="O1746" s="17">
        <f t="shared" si="1332"/>
        <v>5</v>
      </c>
      <c r="P1746" s="21" t="str">
        <f t="shared" si="1313"/>
        <v>所有飞兵防御百分比增加:1</v>
      </c>
      <c r="Q1746" s="21"/>
      <c r="R1746" t="str">
        <f t="shared" si="1329"/>
        <v>防御百分比</v>
      </c>
      <c r="T1746" t="str">
        <f t="shared" si="1330"/>
        <v>:1</v>
      </c>
      <c r="U1746" t="str">
        <f t="shared" si="1322"/>
        <v>飞兵</v>
      </c>
      <c r="V1746" t="s">
        <v>4692</v>
      </c>
      <c r="W1746">
        <f>属性类型!G1746</f>
        <v>138</v>
      </c>
      <c r="X1746">
        <v>1</v>
      </c>
    </row>
    <row r="1747" customFormat="1" ht="16.5" spans="1:24">
      <c r="A1747" s="17">
        <f t="shared" si="1324"/>
        <v>42409</v>
      </c>
      <c r="B1747" s="17">
        <f t="shared" si="1321"/>
        <v>42400</v>
      </c>
      <c r="C1747" s="17" t="str">
        <f t="shared" si="1297"/>
        <v>4</v>
      </c>
      <c r="D1747" s="17">
        <f t="shared" si="1305"/>
        <v>40003</v>
      </c>
      <c r="E1747" s="17">
        <v>1</v>
      </c>
      <c r="F1747" s="17">
        <f t="shared" si="1331"/>
        <v>3</v>
      </c>
      <c r="G1747" s="17" t="str">
        <f t="shared" si="1325"/>
        <v>高级防御百分比</v>
      </c>
      <c r="H1747" s="17" t="str">
        <f t="shared" si="1326"/>
        <v>icon_05</v>
      </c>
      <c r="I1747" s="20">
        <v>0</v>
      </c>
      <c r="J1747" s="17">
        <v>9</v>
      </c>
      <c r="K1747" s="17">
        <f t="shared" si="1323"/>
        <v>42410</v>
      </c>
      <c r="L1747" s="17" t="s">
        <v>236</v>
      </c>
      <c r="M1747" s="17" t="str">
        <f t="shared" si="1327"/>
        <v>1:12100:10</v>
      </c>
      <c r="N1747" s="16" t="str">
        <f t="shared" si="1328"/>
        <v>138:1</v>
      </c>
      <c r="O1747" s="17">
        <f t="shared" si="1332"/>
        <v>5</v>
      </c>
      <c r="P1747" s="21" t="str">
        <f t="shared" si="1313"/>
        <v>所有飞兵防御百分比增加:1</v>
      </c>
      <c r="Q1747" s="21"/>
      <c r="R1747" t="str">
        <f t="shared" si="1329"/>
        <v>防御百分比</v>
      </c>
      <c r="T1747" t="str">
        <f t="shared" si="1330"/>
        <v>:1</v>
      </c>
      <c r="U1747" t="str">
        <f t="shared" si="1322"/>
        <v>飞兵</v>
      </c>
      <c r="V1747" t="s">
        <v>4692</v>
      </c>
      <c r="W1747">
        <f>属性类型!G1747</f>
        <v>138</v>
      </c>
      <c r="X1747">
        <v>1</v>
      </c>
    </row>
    <row r="1748" customFormat="1" ht="16.5" spans="1:24">
      <c r="A1748" s="17">
        <f t="shared" si="1324"/>
        <v>42410</v>
      </c>
      <c r="B1748" s="17">
        <f t="shared" si="1321"/>
        <v>42400</v>
      </c>
      <c r="C1748" s="17" t="str">
        <f t="shared" si="1297"/>
        <v>4</v>
      </c>
      <c r="D1748" s="17">
        <f t="shared" si="1305"/>
        <v>40003</v>
      </c>
      <c r="E1748" s="17">
        <v>1</v>
      </c>
      <c r="F1748" s="17">
        <f t="shared" si="1331"/>
        <v>3</v>
      </c>
      <c r="G1748" s="17" t="str">
        <f t="shared" si="1325"/>
        <v>高级防御百分比</v>
      </c>
      <c r="H1748" s="17" t="str">
        <f t="shared" si="1326"/>
        <v>icon_05</v>
      </c>
      <c r="I1748" s="20">
        <v>0</v>
      </c>
      <c r="J1748" s="17">
        <v>10</v>
      </c>
      <c r="K1748" s="17">
        <f t="shared" si="1323"/>
        <v>42411</v>
      </c>
      <c r="L1748" s="17" t="s">
        <v>238</v>
      </c>
      <c r="M1748" s="17" t="str">
        <f t="shared" si="1327"/>
        <v>1:12100:10</v>
      </c>
      <c r="N1748" s="16" t="str">
        <f t="shared" si="1328"/>
        <v>138:1</v>
      </c>
      <c r="O1748" s="17">
        <f t="shared" si="1332"/>
        <v>5</v>
      </c>
      <c r="P1748" s="21" t="str">
        <f t="shared" si="1313"/>
        <v>所有飞兵防御百分比增加:1</v>
      </c>
      <c r="Q1748" s="21"/>
      <c r="R1748" t="str">
        <f t="shared" si="1329"/>
        <v>防御百分比</v>
      </c>
      <c r="T1748" t="str">
        <f t="shared" si="1330"/>
        <v>:1</v>
      </c>
      <c r="U1748" t="str">
        <f t="shared" si="1322"/>
        <v>飞兵</v>
      </c>
      <c r="V1748" t="s">
        <v>4692</v>
      </c>
      <c r="W1748">
        <f>属性类型!G1748</f>
        <v>138</v>
      </c>
      <c r="X1748">
        <v>1</v>
      </c>
    </row>
    <row r="1749" customFormat="1" ht="16.5" spans="1:24">
      <c r="A1749" s="17">
        <f t="shared" si="1324"/>
        <v>42411</v>
      </c>
      <c r="B1749" s="17">
        <f t="shared" si="1321"/>
        <v>42400</v>
      </c>
      <c r="C1749" s="17" t="str">
        <f t="shared" si="1297"/>
        <v>4</v>
      </c>
      <c r="D1749" s="17">
        <f t="shared" si="1305"/>
        <v>40003</v>
      </c>
      <c r="E1749" s="17">
        <v>1</v>
      </c>
      <c r="F1749" s="17">
        <f t="shared" si="1331"/>
        <v>3</v>
      </c>
      <c r="G1749" s="17" t="str">
        <f t="shared" si="1325"/>
        <v>高级防御百分比</v>
      </c>
      <c r="H1749" s="17" t="str">
        <f t="shared" si="1326"/>
        <v>icon_05</v>
      </c>
      <c r="I1749" s="20">
        <v>0</v>
      </c>
      <c r="J1749" s="17">
        <v>11</v>
      </c>
      <c r="K1749" s="17">
        <f t="shared" si="1323"/>
        <v>42412</v>
      </c>
      <c r="L1749" s="17" t="s">
        <v>529</v>
      </c>
      <c r="M1749" s="17" t="str">
        <f t="shared" si="1327"/>
        <v>1:12100:10</v>
      </c>
      <c r="N1749" s="16" t="str">
        <f t="shared" si="1328"/>
        <v>138:1</v>
      </c>
      <c r="O1749" s="17">
        <f t="shared" si="1332"/>
        <v>5</v>
      </c>
      <c r="P1749" s="21" t="str">
        <f t="shared" si="1313"/>
        <v>所有飞兵防御百分比增加:1</v>
      </c>
      <c r="Q1749" s="21"/>
      <c r="R1749" t="str">
        <f t="shared" si="1329"/>
        <v>防御百分比</v>
      </c>
      <c r="T1749" t="str">
        <f t="shared" si="1330"/>
        <v>:1</v>
      </c>
      <c r="U1749" t="str">
        <f t="shared" si="1322"/>
        <v>飞兵</v>
      </c>
      <c r="V1749" t="s">
        <v>4692</v>
      </c>
      <c r="W1749">
        <f>属性类型!G1749</f>
        <v>138</v>
      </c>
      <c r="X1749">
        <v>1</v>
      </c>
    </row>
    <row r="1750" customFormat="1" ht="16.5" spans="1:24">
      <c r="A1750" s="17">
        <f t="shared" si="1324"/>
        <v>42412</v>
      </c>
      <c r="B1750" s="17">
        <f t="shared" si="1321"/>
        <v>42400</v>
      </c>
      <c r="C1750" s="17" t="str">
        <f t="shared" si="1297"/>
        <v>4</v>
      </c>
      <c r="D1750" s="17">
        <f t="shared" si="1305"/>
        <v>40003</v>
      </c>
      <c r="E1750" s="17">
        <v>1</v>
      </c>
      <c r="F1750" s="17">
        <f t="shared" si="1331"/>
        <v>3</v>
      </c>
      <c r="G1750" s="17" t="str">
        <f t="shared" si="1325"/>
        <v>高级防御百分比</v>
      </c>
      <c r="H1750" s="17" t="str">
        <f t="shared" si="1326"/>
        <v>icon_05</v>
      </c>
      <c r="I1750" s="20">
        <v>0</v>
      </c>
      <c r="J1750" s="17">
        <v>12</v>
      </c>
      <c r="K1750" s="17">
        <f t="shared" si="1323"/>
        <v>42413</v>
      </c>
      <c r="L1750" s="17" t="s">
        <v>532</v>
      </c>
      <c r="M1750" s="17" t="str">
        <f t="shared" si="1327"/>
        <v>1:12100:10</v>
      </c>
      <c r="N1750" s="16" t="str">
        <f t="shared" si="1328"/>
        <v>138:1</v>
      </c>
      <c r="O1750" s="17">
        <f t="shared" si="1332"/>
        <v>5</v>
      </c>
      <c r="P1750" s="21" t="str">
        <f t="shared" si="1313"/>
        <v>所有飞兵防御百分比增加:1</v>
      </c>
      <c r="Q1750" s="21"/>
      <c r="R1750" t="str">
        <f t="shared" si="1329"/>
        <v>防御百分比</v>
      </c>
      <c r="T1750" t="str">
        <f t="shared" si="1330"/>
        <v>:1</v>
      </c>
      <c r="U1750" t="str">
        <f t="shared" si="1322"/>
        <v>飞兵</v>
      </c>
      <c r="V1750" t="s">
        <v>4692</v>
      </c>
      <c r="W1750">
        <f>属性类型!G1750</f>
        <v>138</v>
      </c>
      <c r="X1750">
        <v>1</v>
      </c>
    </row>
    <row r="1751" customFormat="1" ht="16.5" spans="1:24">
      <c r="A1751" s="17">
        <f t="shared" si="1324"/>
        <v>42413</v>
      </c>
      <c r="B1751" s="17">
        <f t="shared" si="1321"/>
        <v>42400</v>
      </c>
      <c r="C1751" s="17" t="str">
        <f t="shared" ref="C1751:C1814" si="1333">LEFT(A1751,1)</f>
        <v>4</v>
      </c>
      <c r="D1751" s="17">
        <f t="shared" si="1305"/>
        <v>40003</v>
      </c>
      <c r="E1751" s="17">
        <v>1</v>
      </c>
      <c r="F1751" s="17">
        <f t="shared" si="1331"/>
        <v>3</v>
      </c>
      <c r="G1751" s="17" t="str">
        <f t="shared" si="1325"/>
        <v>高级防御百分比</v>
      </c>
      <c r="H1751" s="17" t="str">
        <f t="shared" si="1326"/>
        <v>icon_05</v>
      </c>
      <c r="I1751" s="20">
        <v>0</v>
      </c>
      <c r="J1751" s="17">
        <v>13</v>
      </c>
      <c r="K1751" s="17">
        <f t="shared" si="1323"/>
        <v>42414</v>
      </c>
      <c r="L1751" s="17" t="s">
        <v>561</v>
      </c>
      <c r="M1751" s="17" t="str">
        <f t="shared" si="1327"/>
        <v>1:12100:10</v>
      </c>
      <c r="N1751" s="16" t="str">
        <f t="shared" si="1328"/>
        <v>138:1</v>
      </c>
      <c r="O1751" s="17">
        <f t="shared" si="1332"/>
        <v>5</v>
      </c>
      <c r="P1751" s="21" t="str">
        <f t="shared" si="1313"/>
        <v>所有飞兵防御百分比增加:1</v>
      </c>
      <c r="Q1751" s="21"/>
      <c r="R1751" t="str">
        <f t="shared" si="1329"/>
        <v>防御百分比</v>
      </c>
      <c r="T1751" t="str">
        <f t="shared" si="1330"/>
        <v>:1</v>
      </c>
      <c r="U1751" t="str">
        <f t="shared" si="1322"/>
        <v>飞兵</v>
      </c>
      <c r="V1751" t="s">
        <v>4692</v>
      </c>
      <c r="W1751">
        <f>属性类型!G1751</f>
        <v>138</v>
      </c>
      <c r="X1751">
        <v>1</v>
      </c>
    </row>
    <row r="1752" customFormat="1" ht="16.5" spans="1:24">
      <c r="A1752" s="17">
        <f t="shared" si="1324"/>
        <v>42414</v>
      </c>
      <c r="B1752" s="17">
        <f t="shared" si="1321"/>
        <v>42400</v>
      </c>
      <c r="C1752" s="17" t="str">
        <f t="shared" si="1333"/>
        <v>4</v>
      </c>
      <c r="D1752" s="17">
        <f t="shared" si="1305"/>
        <v>40003</v>
      </c>
      <c r="E1752" s="17">
        <v>1</v>
      </c>
      <c r="F1752" s="17">
        <f t="shared" si="1331"/>
        <v>3</v>
      </c>
      <c r="G1752" s="17" t="str">
        <f t="shared" si="1325"/>
        <v>高级防御百分比</v>
      </c>
      <c r="H1752" s="17" t="str">
        <f t="shared" si="1326"/>
        <v>icon_05</v>
      </c>
      <c r="I1752" s="20">
        <v>0</v>
      </c>
      <c r="J1752" s="17">
        <v>14</v>
      </c>
      <c r="K1752" s="17">
        <f t="shared" si="1323"/>
        <v>42415</v>
      </c>
      <c r="L1752" s="17" t="s">
        <v>564</v>
      </c>
      <c r="M1752" s="17" t="str">
        <f t="shared" si="1327"/>
        <v>1:12100:10</v>
      </c>
      <c r="N1752" s="16" t="str">
        <f t="shared" si="1328"/>
        <v>138:1</v>
      </c>
      <c r="O1752" s="17">
        <f t="shared" si="1332"/>
        <v>5</v>
      </c>
      <c r="P1752" s="21" t="str">
        <f t="shared" si="1313"/>
        <v>所有飞兵防御百分比增加:1</v>
      </c>
      <c r="Q1752" s="21"/>
      <c r="R1752" t="str">
        <f t="shared" si="1329"/>
        <v>防御百分比</v>
      </c>
      <c r="T1752" t="str">
        <f t="shared" si="1330"/>
        <v>:1</v>
      </c>
      <c r="U1752" t="str">
        <f t="shared" si="1322"/>
        <v>飞兵</v>
      </c>
      <c r="V1752" t="s">
        <v>4692</v>
      </c>
      <c r="W1752">
        <f>属性类型!G1752</f>
        <v>138</v>
      </c>
      <c r="X1752">
        <v>1</v>
      </c>
    </row>
    <row r="1753" customFormat="1" ht="16.5" spans="1:24">
      <c r="A1753" s="17">
        <f t="shared" si="1324"/>
        <v>42415</v>
      </c>
      <c r="B1753" s="17">
        <f t="shared" si="1321"/>
        <v>42400</v>
      </c>
      <c r="C1753" s="17" t="str">
        <f t="shared" si="1333"/>
        <v>4</v>
      </c>
      <c r="D1753" s="17">
        <f t="shared" si="1305"/>
        <v>40003</v>
      </c>
      <c r="E1753" s="17">
        <v>1</v>
      </c>
      <c r="F1753" s="17">
        <f t="shared" si="1331"/>
        <v>3</v>
      </c>
      <c r="G1753" s="17" t="str">
        <f t="shared" si="1325"/>
        <v>高级防御百分比</v>
      </c>
      <c r="H1753" s="17" t="str">
        <f t="shared" si="1326"/>
        <v>icon_05</v>
      </c>
      <c r="I1753" s="20">
        <v>0</v>
      </c>
      <c r="J1753" s="17">
        <v>15</v>
      </c>
      <c r="K1753" s="17">
        <f t="shared" si="1323"/>
        <v>42416</v>
      </c>
      <c r="L1753" s="17" t="s">
        <v>630</v>
      </c>
      <c r="M1753" s="17" t="str">
        <f t="shared" si="1327"/>
        <v>1:12100:10</v>
      </c>
      <c r="N1753" s="16" t="str">
        <f t="shared" si="1328"/>
        <v>138:1</v>
      </c>
      <c r="O1753" s="17">
        <f t="shared" si="1332"/>
        <v>5</v>
      </c>
      <c r="P1753" s="21" t="str">
        <f t="shared" si="1313"/>
        <v>所有飞兵防御百分比增加:1</v>
      </c>
      <c r="Q1753" s="21"/>
      <c r="R1753" t="str">
        <f t="shared" si="1329"/>
        <v>防御百分比</v>
      </c>
      <c r="T1753" t="str">
        <f t="shared" si="1330"/>
        <v>:1</v>
      </c>
      <c r="U1753" t="str">
        <f t="shared" si="1322"/>
        <v>飞兵</v>
      </c>
      <c r="V1753" t="s">
        <v>4692</v>
      </c>
      <c r="W1753">
        <f>属性类型!G1753</f>
        <v>138</v>
      </c>
      <c r="X1753">
        <v>1</v>
      </c>
    </row>
    <row r="1754" customFormat="1" ht="16.5" spans="1:24">
      <c r="A1754" s="17">
        <f t="shared" si="1324"/>
        <v>42416</v>
      </c>
      <c r="B1754" s="17">
        <f t="shared" si="1321"/>
        <v>42400</v>
      </c>
      <c r="C1754" s="17" t="str">
        <f t="shared" si="1333"/>
        <v>4</v>
      </c>
      <c r="D1754" s="17">
        <f t="shared" si="1305"/>
        <v>40003</v>
      </c>
      <c r="E1754" s="17">
        <v>1</v>
      </c>
      <c r="F1754" s="17">
        <f t="shared" si="1331"/>
        <v>3</v>
      </c>
      <c r="G1754" s="17" t="str">
        <f t="shared" si="1325"/>
        <v>高级防御百分比</v>
      </c>
      <c r="H1754" s="17" t="str">
        <f t="shared" si="1326"/>
        <v>icon_05</v>
      </c>
      <c r="I1754" s="20">
        <v>0</v>
      </c>
      <c r="J1754" s="17">
        <v>16</v>
      </c>
      <c r="K1754" s="17">
        <f t="shared" si="1323"/>
        <v>42417</v>
      </c>
      <c r="L1754" s="17" t="s">
        <v>633</v>
      </c>
      <c r="M1754" s="17" t="str">
        <f t="shared" si="1327"/>
        <v>1:12100:10</v>
      </c>
      <c r="N1754" s="16" t="str">
        <f t="shared" si="1328"/>
        <v>138:1</v>
      </c>
      <c r="O1754" s="17">
        <f t="shared" si="1332"/>
        <v>5</v>
      </c>
      <c r="P1754" s="21" t="str">
        <f t="shared" si="1313"/>
        <v>所有飞兵防御百分比增加:1</v>
      </c>
      <c r="Q1754" s="21"/>
      <c r="R1754" t="str">
        <f t="shared" si="1329"/>
        <v>防御百分比</v>
      </c>
      <c r="T1754" t="str">
        <f t="shared" si="1330"/>
        <v>:1</v>
      </c>
      <c r="U1754" t="str">
        <f t="shared" si="1322"/>
        <v>飞兵</v>
      </c>
      <c r="V1754" t="s">
        <v>4692</v>
      </c>
      <c r="W1754">
        <f>属性类型!G1754</f>
        <v>138</v>
      </c>
      <c r="X1754">
        <v>1</v>
      </c>
    </row>
    <row r="1755" customFormat="1" ht="16.5" spans="1:24">
      <c r="A1755" s="17">
        <f t="shared" si="1324"/>
        <v>42417</v>
      </c>
      <c r="B1755" s="17">
        <f t="shared" si="1321"/>
        <v>42400</v>
      </c>
      <c r="C1755" s="17" t="str">
        <f t="shared" si="1333"/>
        <v>4</v>
      </c>
      <c r="D1755" s="17">
        <f t="shared" si="1305"/>
        <v>40003</v>
      </c>
      <c r="E1755" s="17">
        <v>1</v>
      </c>
      <c r="F1755" s="17">
        <f t="shared" si="1331"/>
        <v>3</v>
      </c>
      <c r="G1755" s="17" t="str">
        <f t="shared" si="1325"/>
        <v>高级防御百分比</v>
      </c>
      <c r="H1755" s="17" t="str">
        <f t="shared" si="1326"/>
        <v>icon_05</v>
      </c>
      <c r="I1755" s="20">
        <v>0</v>
      </c>
      <c r="J1755" s="17">
        <v>17</v>
      </c>
      <c r="K1755" s="17">
        <f t="shared" si="1323"/>
        <v>42418</v>
      </c>
      <c r="L1755" s="17" t="s">
        <v>637</v>
      </c>
      <c r="M1755" s="17" t="str">
        <f t="shared" si="1327"/>
        <v>1:12100:10</v>
      </c>
      <c r="N1755" s="16" t="str">
        <f t="shared" si="1328"/>
        <v>138:1</v>
      </c>
      <c r="O1755" s="17">
        <f t="shared" si="1332"/>
        <v>5</v>
      </c>
      <c r="P1755" s="21" t="str">
        <f t="shared" si="1313"/>
        <v>所有飞兵防御百分比增加:1</v>
      </c>
      <c r="Q1755" s="21"/>
      <c r="R1755" t="str">
        <f t="shared" si="1329"/>
        <v>防御百分比</v>
      </c>
      <c r="T1755" t="str">
        <f t="shared" si="1330"/>
        <v>:1</v>
      </c>
      <c r="U1755" t="str">
        <f t="shared" si="1322"/>
        <v>飞兵</v>
      </c>
      <c r="V1755" t="s">
        <v>4692</v>
      </c>
      <c r="W1755">
        <f>属性类型!G1755</f>
        <v>138</v>
      </c>
      <c r="X1755">
        <v>1</v>
      </c>
    </row>
    <row r="1756" customFormat="1" ht="16.5" spans="1:24">
      <c r="A1756" s="17">
        <f t="shared" si="1324"/>
        <v>42418</v>
      </c>
      <c r="B1756" s="17">
        <f t="shared" si="1321"/>
        <v>42400</v>
      </c>
      <c r="C1756" s="17" t="str">
        <f t="shared" si="1333"/>
        <v>4</v>
      </c>
      <c r="D1756" s="17">
        <f t="shared" si="1305"/>
        <v>40003</v>
      </c>
      <c r="E1756" s="17">
        <v>1</v>
      </c>
      <c r="F1756" s="17">
        <f t="shared" si="1331"/>
        <v>3</v>
      </c>
      <c r="G1756" s="17" t="str">
        <f t="shared" si="1325"/>
        <v>高级防御百分比</v>
      </c>
      <c r="H1756" s="17" t="str">
        <f t="shared" si="1326"/>
        <v>icon_05</v>
      </c>
      <c r="I1756" s="20">
        <v>0</v>
      </c>
      <c r="J1756" s="17">
        <v>18</v>
      </c>
      <c r="K1756" s="17">
        <f t="shared" si="1323"/>
        <v>42419</v>
      </c>
      <c r="L1756" s="17" t="s">
        <v>641</v>
      </c>
      <c r="M1756" s="17" t="str">
        <f t="shared" si="1327"/>
        <v>1:12100:10</v>
      </c>
      <c r="N1756" s="16" t="str">
        <f t="shared" si="1328"/>
        <v>138:1</v>
      </c>
      <c r="O1756" s="17">
        <f t="shared" si="1332"/>
        <v>5</v>
      </c>
      <c r="P1756" s="21" t="str">
        <f t="shared" si="1313"/>
        <v>所有飞兵防御百分比增加:1</v>
      </c>
      <c r="Q1756" s="21"/>
      <c r="R1756" t="str">
        <f t="shared" si="1329"/>
        <v>防御百分比</v>
      </c>
      <c r="T1756" t="str">
        <f t="shared" si="1330"/>
        <v>:1</v>
      </c>
      <c r="U1756" t="str">
        <f t="shared" si="1322"/>
        <v>飞兵</v>
      </c>
      <c r="V1756" t="s">
        <v>4692</v>
      </c>
      <c r="W1756">
        <f>属性类型!G1756</f>
        <v>138</v>
      </c>
      <c r="X1756">
        <v>1</v>
      </c>
    </row>
    <row r="1757" customFormat="1" ht="16.5" spans="1:24">
      <c r="A1757" s="17">
        <f t="shared" si="1324"/>
        <v>42419</v>
      </c>
      <c r="B1757" s="17">
        <f t="shared" si="1321"/>
        <v>42400</v>
      </c>
      <c r="C1757" s="17" t="str">
        <f t="shared" si="1333"/>
        <v>4</v>
      </c>
      <c r="D1757" s="17">
        <f t="shared" si="1305"/>
        <v>40003</v>
      </c>
      <c r="E1757" s="17">
        <v>1</v>
      </c>
      <c r="F1757" s="17">
        <f t="shared" si="1331"/>
        <v>3</v>
      </c>
      <c r="G1757" s="17" t="str">
        <f t="shared" si="1325"/>
        <v>高级防御百分比</v>
      </c>
      <c r="H1757" s="17" t="str">
        <f t="shared" si="1326"/>
        <v>icon_05</v>
      </c>
      <c r="I1757" s="20">
        <v>0</v>
      </c>
      <c r="J1757" s="17">
        <v>19</v>
      </c>
      <c r="K1757" s="17">
        <f t="shared" si="1323"/>
        <v>42420</v>
      </c>
      <c r="L1757" s="17" t="s">
        <v>645</v>
      </c>
      <c r="M1757" s="17" t="str">
        <f t="shared" si="1327"/>
        <v>1:12100:10</v>
      </c>
      <c r="N1757" s="16" t="str">
        <f t="shared" si="1328"/>
        <v>138:1</v>
      </c>
      <c r="O1757" s="17">
        <f t="shared" si="1332"/>
        <v>5</v>
      </c>
      <c r="P1757" s="21" t="str">
        <f t="shared" si="1313"/>
        <v>所有飞兵防御百分比增加:1</v>
      </c>
      <c r="Q1757" s="21"/>
      <c r="R1757" t="str">
        <f t="shared" si="1329"/>
        <v>防御百分比</v>
      </c>
      <c r="T1757" t="str">
        <f t="shared" si="1330"/>
        <v>:1</v>
      </c>
      <c r="U1757" t="str">
        <f t="shared" si="1322"/>
        <v>飞兵</v>
      </c>
      <c r="V1757" t="s">
        <v>4692</v>
      </c>
      <c r="W1757">
        <f>属性类型!G1757</f>
        <v>138</v>
      </c>
      <c r="X1757">
        <v>1</v>
      </c>
    </row>
    <row r="1758" customFormat="1" ht="16.5" spans="1:24">
      <c r="A1758" s="17">
        <f t="shared" si="1324"/>
        <v>42420</v>
      </c>
      <c r="B1758" s="17">
        <f t="shared" si="1321"/>
        <v>42400</v>
      </c>
      <c r="C1758" s="17" t="str">
        <f t="shared" si="1333"/>
        <v>4</v>
      </c>
      <c r="D1758" s="17">
        <f t="shared" si="1305"/>
        <v>40003</v>
      </c>
      <c r="E1758" s="17">
        <v>1</v>
      </c>
      <c r="F1758" s="17">
        <f t="shared" si="1331"/>
        <v>3</v>
      </c>
      <c r="G1758" s="17" t="str">
        <f t="shared" si="1325"/>
        <v>高级防御百分比</v>
      </c>
      <c r="H1758" s="17" t="str">
        <f t="shared" si="1326"/>
        <v>icon_05</v>
      </c>
      <c r="I1758" s="20">
        <v>0</v>
      </c>
      <c r="J1758" s="17">
        <v>20</v>
      </c>
      <c r="K1758" s="17">
        <v>0</v>
      </c>
      <c r="L1758" s="17">
        <v>0</v>
      </c>
      <c r="M1758" s="17" t="str">
        <f t="shared" si="1327"/>
        <v>1:12100:10</v>
      </c>
      <c r="N1758" s="16" t="str">
        <f t="shared" si="1328"/>
        <v>138:1</v>
      </c>
      <c r="O1758" s="17">
        <f t="shared" si="1332"/>
        <v>5</v>
      </c>
      <c r="P1758" s="21" t="str">
        <f t="shared" si="1313"/>
        <v>所有飞兵防御百分比增加:1</v>
      </c>
      <c r="Q1758" s="21"/>
      <c r="R1758" t="str">
        <f t="shared" si="1329"/>
        <v>防御百分比</v>
      </c>
      <c r="T1758" t="str">
        <f t="shared" si="1330"/>
        <v>:1</v>
      </c>
      <c r="U1758" t="str">
        <f t="shared" si="1322"/>
        <v>飞兵</v>
      </c>
      <c r="V1758" t="s">
        <v>4692</v>
      </c>
      <c r="W1758">
        <f>属性类型!G1758</f>
        <v>138</v>
      </c>
      <c r="X1758">
        <v>1</v>
      </c>
    </row>
    <row r="1759" customFormat="1" ht="16.5" spans="1:24">
      <c r="A1759" s="18">
        <f>A1738+100</f>
        <v>42500</v>
      </c>
      <c r="B1759" s="18">
        <f t="shared" si="1321"/>
        <v>42500</v>
      </c>
      <c r="C1759" s="18" t="str">
        <f t="shared" si="1333"/>
        <v>4</v>
      </c>
      <c r="D1759" s="17">
        <f t="shared" si="1305"/>
        <v>40003</v>
      </c>
      <c r="E1759" s="17">
        <v>1</v>
      </c>
      <c r="F1759" s="18">
        <f t="shared" si="1331"/>
        <v>3</v>
      </c>
      <c r="G1759" s="18" t="s">
        <v>650</v>
      </c>
      <c r="H1759" s="18" t="s">
        <v>149</v>
      </c>
      <c r="I1759" s="20">
        <v>0</v>
      </c>
      <c r="J1759" s="18">
        <v>0</v>
      </c>
      <c r="K1759" s="18">
        <f t="shared" ref="K1759:K1778" si="1334">A1760</f>
        <v>42501</v>
      </c>
      <c r="L1759" s="18" t="s">
        <v>206</v>
      </c>
      <c r="M1759" s="18" t="s">
        <v>652</v>
      </c>
      <c r="N1759" s="16" t="str">
        <f t="shared" si="1328"/>
        <v>137:1</v>
      </c>
      <c r="O1759" s="18">
        <f t="shared" si="1332"/>
        <v>6</v>
      </c>
      <c r="P1759" s="21" t="str">
        <f t="shared" si="1313"/>
        <v>所有飞兵攻击百分比增加1</v>
      </c>
      <c r="Q1759" s="21"/>
      <c r="R1759" t="s">
        <v>4280</v>
      </c>
      <c r="T1759" t="str">
        <f>RIGHT(N1759,1)</f>
        <v>1</v>
      </c>
      <c r="U1759" t="str">
        <f t="shared" si="1322"/>
        <v>飞兵</v>
      </c>
      <c r="V1759" t="s">
        <v>4693</v>
      </c>
      <c r="W1759">
        <f>属性类型!G1759</f>
        <v>137</v>
      </c>
      <c r="X1759">
        <v>1</v>
      </c>
    </row>
    <row r="1760" customFormat="1" ht="16.5" spans="1:24">
      <c r="A1760" s="17">
        <f t="shared" ref="A1760:A1779" si="1335">A1759+1</f>
        <v>42501</v>
      </c>
      <c r="B1760" s="17">
        <f t="shared" si="1321"/>
        <v>42500</v>
      </c>
      <c r="C1760" s="17" t="str">
        <f t="shared" si="1333"/>
        <v>4</v>
      </c>
      <c r="D1760" s="17">
        <f t="shared" si="1305"/>
        <v>40003</v>
      </c>
      <c r="E1760" s="17">
        <v>1</v>
      </c>
      <c r="F1760" s="17">
        <f t="shared" si="1331"/>
        <v>3</v>
      </c>
      <c r="G1760" s="17" t="str">
        <f t="shared" ref="G1760:G1779" si="1336">G1759</f>
        <v>高级攻击百分比</v>
      </c>
      <c r="H1760" s="17" t="str">
        <f t="shared" ref="H1760:H1779" si="1337">H1759</f>
        <v>icon_06</v>
      </c>
      <c r="I1760" s="20">
        <v>0</v>
      </c>
      <c r="J1760" s="17">
        <v>1</v>
      </c>
      <c r="K1760" s="17">
        <f t="shared" si="1334"/>
        <v>42502</v>
      </c>
      <c r="L1760" s="17" t="s">
        <v>211</v>
      </c>
      <c r="M1760" s="17" t="str">
        <f t="shared" ref="M1760:M1779" si="1338">M1759</f>
        <v>1:12200:10</v>
      </c>
      <c r="N1760" s="16" t="str">
        <f t="shared" si="1328"/>
        <v>137:1</v>
      </c>
      <c r="O1760" s="17">
        <f t="shared" si="1332"/>
        <v>6</v>
      </c>
      <c r="P1760" s="21" t="str">
        <f t="shared" si="1313"/>
        <v>所有飞兵攻击百分比增加:1</v>
      </c>
      <c r="Q1760" s="21"/>
      <c r="R1760" t="str">
        <f t="shared" ref="R1760:R1779" si="1339">R1759</f>
        <v>攻击百分比</v>
      </c>
      <c r="T1760" t="str">
        <f t="shared" ref="T1760:T1779" si="1340">RIGHT(N1760,2)</f>
        <v>:1</v>
      </c>
      <c r="U1760" t="str">
        <f t="shared" si="1322"/>
        <v>飞兵</v>
      </c>
      <c r="V1760" t="s">
        <v>4693</v>
      </c>
      <c r="W1760">
        <f>属性类型!G1760</f>
        <v>137</v>
      </c>
      <c r="X1760">
        <v>1</v>
      </c>
    </row>
    <row r="1761" customFormat="1" ht="16.5" spans="1:24">
      <c r="A1761" s="17">
        <f t="shared" si="1335"/>
        <v>42502</v>
      </c>
      <c r="B1761" s="17">
        <f t="shared" si="1321"/>
        <v>42500</v>
      </c>
      <c r="C1761" s="17" t="str">
        <f t="shared" si="1333"/>
        <v>4</v>
      </c>
      <c r="D1761" s="17">
        <f t="shared" si="1305"/>
        <v>40003</v>
      </c>
      <c r="E1761" s="17">
        <v>1</v>
      </c>
      <c r="F1761" s="17">
        <f t="shared" si="1331"/>
        <v>3</v>
      </c>
      <c r="G1761" s="17" t="str">
        <f t="shared" si="1336"/>
        <v>高级攻击百分比</v>
      </c>
      <c r="H1761" s="17" t="str">
        <f t="shared" si="1337"/>
        <v>icon_06</v>
      </c>
      <c r="I1761" s="20">
        <v>0</v>
      </c>
      <c r="J1761" s="17">
        <v>2</v>
      </c>
      <c r="K1761" s="17">
        <f t="shared" si="1334"/>
        <v>42503</v>
      </c>
      <c r="L1761" s="17" t="s">
        <v>215</v>
      </c>
      <c r="M1761" s="17" t="str">
        <f t="shared" si="1338"/>
        <v>1:12200:10</v>
      </c>
      <c r="N1761" s="16" t="str">
        <f t="shared" si="1328"/>
        <v>137:1</v>
      </c>
      <c r="O1761" s="17">
        <f t="shared" si="1332"/>
        <v>6</v>
      </c>
      <c r="P1761" s="21" t="str">
        <f t="shared" si="1313"/>
        <v>所有飞兵攻击百分比增加:1</v>
      </c>
      <c r="Q1761" s="21"/>
      <c r="R1761" t="str">
        <f t="shared" si="1339"/>
        <v>攻击百分比</v>
      </c>
      <c r="T1761" t="str">
        <f t="shared" si="1340"/>
        <v>:1</v>
      </c>
      <c r="U1761" t="str">
        <f t="shared" si="1322"/>
        <v>飞兵</v>
      </c>
      <c r="V1761" t="s">
        <v>4693</v>
      </c>
      <c r="W1761">
        <f>属性类型!G1761</f>
        <v>137</v>
      </c>
      <c r="X1761">
        <v>1</v>
      </c>
    </row>
    <row r="1762" customFormat="1" ht="16.5" spans="1:24">
      <c r="A1762" s="17">
        <f t="shared" si="1335"/>
        <v>42503</v>
      </c>
      <c r="B1762" s="17">
        <f t="shared" si="1321"/>
        <v>42500</v>
      </c>
      <c r="C1762" s="17" t="str">
        <f t="shared" si="1333"/>
        <v>4</v>
      </c>
      <c r="D1762" s="17">
        <f t="shared" si="1305"/>
        <v>40003</v>
      </c>
      <c r="E1762" s="17">
        <v>1</v>
      </c>
      <c r="F1762" s="17">
        <f t="shared" si="1331"/>
        <v>3</v>
      </c>
      <c r="G1762" s="17" t="str">
        <f t="shared" si="1336"/>
        <v>高级攻击百分比</v>
      </c>
      <c r="H1762" s="17" t="str">
        <f t="shared" si="1337"/>
        <v>icon_06</v>
      </c>
      <c r="I1762" s="20">
        <v>0</v>
      </c>
      <c r="J1762" s="17">
        <v>3</v>
      </c>
      <c r="K1762" s="17">
        <f t="shared" si="1334"/>
        <v>42504</v>
      </c>
      <c r="L1762" s="17" t="s">
        <v>218</v>
      </c>
      <c r="M1762" s="17" t="str">
        <f t="shared" si="1338"/>
        <v>1:12200:10</v>
      </c>
      <c r="N1762" s="16" t="str">
        <f t="shared" si="1328"/>
        <v>137:1</v>
      </c>
      <c r="O1762" s="17">
        <f t="shared" si="1332"/>
        <v>6</v>
      </c>
      <c r="P1762" s="21" t="str">
        <f t="shared" si="1313"/>
        <v>所有飞兵攻击百分比增加:1</v>
      </c>
      <c r="Q1762" s="21"/>
      <c r="R1762" t="str">
        <f t="shared" si="1339"/>
        <v>攻击百分比</v>
      </c>
      <c r="T1762" t="str">
        <f t="shared" si="1340"/>
        <v>:1</v>
      </c>
      <c r="U1762" t="str">
        <f t="shared" si="1322"/>
        <v>飞兵</v>
      </c>
      <c r="V1762" t="s">
        <v>4693</v>
      </c>
      <c r="W1762">
        <f>属性类型!G1762</f>
        <v>137</v>
      </c>
      <c r="X1762">
        <v>1</v>
      </c>
    </row>
    <row r="1763" customFormat="1" ht="16.5" spans="1:24">
      <c r="A1763" s="17">
        <f t="shared" si="1335"/>
        <v>42504</v>
      </c>
      <c r="B1763" s="17">
        <f t="shared" si="1321"/>
        <v>42500</v>
      </c>
      <c r="C1763" s="17" t="str">
        <f t="shared" si="1333"/>
        <v>4</v>
      </c>
      <c r="D1763" s="17">
        <f t="shared" si="1305"/>
        <v>40003</v>
      </c>
      <c r="E1763" s="17">
        <v>1</v>
      </c>
      <c r="F1763" s="17">
        <f t="shared" si="1331"/>
        <v>3</v>
      </c>
      <c r="G1763" s="17" t="str">
        <f t="shared" si="1336"/>
        <v>高级攻击百分比</v>
      </c>
      <c r="H1763" s="17" t="str">
        <f t="shared" si="1337"/>
        <v>icon_06</v>
      </c>
      <c r="I1763" s="20">
        <v>0</v>
      </c>
      <c r="J1763" s="17">
        <v>4</v>
      </c>
      <c r="K1763" s="17">
        <f t="shared" si="1334"/>
        <v>42505</v>
      </c>
      <c r="L1763" s="17" t="s">
        <v>221</v>
      </c>
      <c r="M1763" s="17" t="str">
        <f t="shared" si="1338"/>
        <v>1:12200:10</v>
      </c>
      <c r="N1763" s="16" t="str">
        <f t="shared" si="1328"/>
        <v>137:1</v>
      </c>
      <c r="O1763" s="17">
        <f t="shared" si="1332"/>
        <v>6</v>
      </c>
      <c r="P1763" s="21" t="str">
        <f t="shared" si="1313"/>
        <v>所有飞兵攻击百分比增加:1</v>
      </c>
      <c r="Q1763" s="21"/>
      <c r="R1763" t="str">
        <f t="shared" si="1339"/>
        <v>攻击百分比</v>
      </c>
      <c r="T1763" t="str">
        <f t="shared" si="1340"/>
        <v>:1</v>
      </c>
      <c r="U1763" t="str">
        <f t="shared" si="1322"/>
        <v>飞兵</v>
      </c>
      <c r="V1763" t="s">
        <v>4693</v>
      </c>
      <c r="W1763">
        <f>属性类型!G1763</f>
        <v>137</v>
      </c>
      <c r="X1763">
        <v>1</v>
      </c>
    </row>
    <row r="1764" customFormat="1" ht="16.5" spans="1:24">
      <c r="A1764" s="17">
        <f t="shared" si="1335"/>
        <v>42505</v>
      </c>
      <c r="B1764" s="17">
        <f t="shared" si="1321"/>
        <v>42500</v>
      </c>
      <c r="C1764" s="17" t="str">
        <f t="shared" si="1333"/>
        <v>4</v>
      </c>
      <c r="D1764" s="17">
        <f t="shared" si="1305"/>
        <v>40003</v>
      </c>
      <c r="E1764" s="17">
        <v>1</v>
      </c>
      <c r="F1764" s="17">
        <f t="shared" si="1331"/>
        <v>3</v>
      </c>
      <c r="G1764" s="17" t="str">
        <f t="shared" si="1336"/>
        <v>高级攻击百分比</v>
      </c>
      <c r="H1764" s="17" t="str">
        <f t="shared" si="1337"/>
        <v>icon_06</v>
      </c>
      <c r="I1764" s="20">
        <v>0</v>
      </c>
      <c r="J1764" s="17">
        <v>5</v>
      </c>
      <c r="K1764" s="17">
        <f t="shared" si="1334"/>
        <v>42506</v>
      </c>
      <c r="L1764" s="17" t="s">
        <v>224</v>
      </c>
      <c r="M1764" s="17" t="str">
        <f t="shared" si="1338"/>
        <v>1:12200:10</v>
      </c>
      <c r="N1764" s="16" t="str">
        <f t="shared" si="1328"/>
        <v>137:1</v>
      </c>
      <c r="O1764" s="17">
        <f t="shared" si="1332"/>
        <v>6</v>
      </c>
      <c r="P1764" s="21" t="str">
        <f t="shared" si="1313"/>
        <v>所有飞兵攻击百分比增加:1</v>
      </c>
      <c r="Q1764" s="21"/>
      <c r="R1764" t="str">
        <f t="shared" si="1339"/>
        <v>攻击百分比</v>
      </c>
      <c r="T1764" t="str">
        <f t="shared" si="1340"/>
        <v>:1</v>
      </c>
      <c r="U1764" t="str">
        <f t="shared" si="1322"/>
        <v>飞兵</v>
      </c>
      <c r="V1764" t="s">
        <v>4693</v>
      </c>
      <c r="W1764">
        <f>属性类型!G1764</f>
        <v>137</v>
      </c>
      <c r="X1764">
        <v>1</v>
      </c>
    </row>
    <row r="1765" customFormat="1" ht="16.5" spans="1:24">
      <c r="A1765" s="17">
        <f t="shared" si="1335"/>
        <v>42506</v>
      </c>
      <c r="B1765" s="17">
        <f t="shared" si="1321"/>
        <v>42500</v>
      </c>
      <c r="C1765" s="17" t="str">
        <f t="shared" si="1333"/>
        <v>4</v>
      </c>
      <c r="D1765" s="17">
        <f t="shared" si="1305"/>
        <v>40003</v>
      </c>
      <c r="E1765" s="17">
        <v>1</v>
      </c>
      <c r="F1765" s="17">
        <f t="shared" si="1331"/>
        <v>3</v>
      </c>
      <c r="G1765" s="17" t="str">
        <f t="shared" si="1336"/>
        <v>高级攻击百分比</v>
      </c>
      <c r="H1765" s="17" t="str">
        <f t="shared" si="1337"/>
        <v>icon_06</v>
      </c>
      <c r="I1765" s="20">
        <v>0</v>
      </c>
      <c r="J1765" s="17">
        <v>6</v>
      </c>
      <c r="K1765" s="17">
        <f t="shared" si="1334"/>
        <v>42507</v>
      </c>
      <c r="L1765" s="17" t="s">
        <v>227</v>
      </c>
      <c r="M1765" s="17" t="str">
        <f t="shared" si="1338"/>
        <v>1:12200:10</v>
      </c>
      <c r="N1765" s="16" t="str">
        <f t="shared" si="1328"/>
        <v>137:1</v>
      </c>
      <c r="O1765" s="17">
        <f t="shared" si="1332"/>
        <v>6</v>
      </c>
      <c r="P1765" s="21" t="str">
        <f t="shared" si="1313"/>
        <v>所有飞兵攻击百分比增加:1</v>
      </c>
      <c r="Q1765" s="21"/>
      <c r="R1765" t="str">
        <f t="shared" si="1339"/>
        <v>攻击百分比</v>
      </c>
      <c r="T1765" t="str">
        <f t="shared" si="1340"/>
        <v>:1</v>
      </c>
      <c r="U1765" t="str">
        <f t="shared" si="1322"/>
        <v>飞兵</v>
      </c>
      <c r="V1765" t="s">
        <v>4693</v>
      </c>
      <c r="W1765">
        <f>属性类型!G1765</f>
        <v>137</v>
      </c>
      <c r="X1765">
        <v>1</v>
      </c>
    </row>
    <row r="1766" customFormat="1" ht="16.5" spans="1:24">
      <c r="A1766" s="17">
        <f t="shared" si="1335"/>
        <v>42507</v>
      </c>
      <c r="B1766" s="17">
        <f t="shared" si="1321"/>
        <v>42500</v>
      </c>
      <c r="C1766" s="17" t="str">
        <f t="shared" si="1333"/>
        <v>4</v>
      </c>
      <c r="D1766" s="17">
        <f t="shared" ref="D1766:D1829" si="1341">$A$1399+F1766</f>
        <v>40003</v>
      </c>
      <c r="E1766" s="17">
        <v>1</v>
      </c>
      <c r="F1766" s="17">
        <f t="shared" si="1331"/>
        <v>3</v>
      </c>
      <c r="G1766" s="17" t="str">
        <f t="shared" si="1336"/>
        <v>高级攻击百分比</v>
      </c>
      <c r="H1766" s="17" t="str">
        <f t="shared" si="1337"/>
        <v>icon_06</v>
      </c>
      <c r="I1766" s="20">
        <v>0</v>
      </c>
      <c r="J1766" s="17">
        <v>7</v>
      </c>
      <c r="K1766" s="17">
        <f t="shared" si="1334"/>
        <v>42508</v>
      </c>
      <c r="L1766" s="17" t="s">
        <v>230</v>
      </c>
      <c r="M1766" s="17" t="str">
        <f t="shared" si="1338"/>
        <v>1:12200:10</v>
      </c>
      <c r="N1766" s="16" t="str">
        <f t="shared" si="1328"/>
        <v>137:1</v>
      </c>
      <c r="O1766" s="17">
        <f t="shared" si="1332"/>
        <v>6</v>
      </c>
      <c r="P1766" s="21" t="str">
        <f t="shared" si="1313"/>
        <v>所有飞兵攻击百分比增加:1</v>
      </c>
      <c r="Q1766" s="21"/>
      <c r="R1766" t="str">
        <f t="shared" si="1339"/>
        <v>攻击百分比</v>
      </c>
      <c r="T1766" t="str">
        <f t="shared" si="1340"/>
        <v>:1</v>
      </c>
      <c r="U1766" t="str">
        <f t="shared" si="1322"/>
        <v>飞兵</v>
      </c>
      <c r="V1766" t="s">
        <v>4693</v>
      </c>
      <c r="W1766">
        <f>属性类型!G1766</f>
        <v>137</v>
      </c>
      <c r="X1766">
        <v>1</v>
      </c>
    </row>
    <row r="1767" customFormat="1" ht="16.5" spans="1:24">
      <c r="A1767" s="17">
        <f t="shared" si="1335"/>
        <v>42508</v>
      </c>
      <c r="B1767" s="17">
        <f t="shared" si="1321"/>
        <v>42500</v>
      </c>
      <c r="C1767" s="17" t="str">
        <f t="shared" si="1333"/>
        <v>4</v>
      </c>
      <c r="D1767" s="17">
        <f t="shared" si="1341"/>
        <v>40003</v>
      </c>
      <c r="E1767" s="17">
        <v>1</v>
      </c>
      <c r="F1767" s="17">
        <f t="shared" si="1331"/>
        <v>3</v>
      </c>
      <c r="G1767" s="17" t="str">
        <f t="shared" si="1336"/>
        <v>高级攻击百分比</v>
      </c>
      <c r="H1767" s="17" t="str">
        <f t="shared" si="1337"/>
        <v>icon_06</v>
      </c>
      <c r="I1767" s="20">
        <v>0</v>
      </c>
      <c r="J1767" s="17">
        <v>8</v>
      </c>
      <c r="K1767" s="17">
        <f t="shared" si="1334"/>
        <v>42509</v>
      </c>
      <c r="L1767" s="17" t="s">
        <v>233</v>
      </c>
      <c r="M1767" s="17" t="str">
        <f t="shared" si="1338"/>
        <v>1:12200:10</v>
      </c>
      <c r="N1767" s="16" t="str">
        <f t="shared" si="1328"/>
        <v>137:1</v>
      </c>
      <c r="O1767" s="17">
        <f t="shared" si="1332"/>
        <v>6</v>
      </c>
      <c r="P1767" s="21" t="str">
        <f t="shared" si="1313"/>
        <v>所有飞兵攻击百分比增加:1</v>
      </c>
      <c r="Q1767" s="21"/>
      <c r="R1767" t="str">
        <f t="shared" si="1339"/>
        <v>攻击百分比</v>
      </c>
      <c r="T1767" t="str">
        <f t="shared" si="1340"/>
        <v>:1</v>
      </c>
      <c r="U1767" t="str">
        <f t="shared" si="1322"/>
        <v>飞兵</v>
      </c>
      <c r="V1767" t="s">
        <v>4693</v>
      </c>
      <c r="W1767">
        <f>属性类型!G1767</f>
        <v>137</v>
      </c>
      <c r="X1767">
        <v>1</v>
      </c>
    </row>
    <row r="1768" customFormat="1" ht="16.5" spans="1:24">
      <c r="A1768" s="17">
        <f t="shared" si="1335"/>
        <v>42509</v>
      </c>
      <c r="B1768" s="17">
        <f t="shared" si="1321"/>
        <v>42500</v>
      </c>
      <c r="C1768" s="17" t="str">
        <f t="shared" si="1333"/>
        <v>4</v>
      </c>
      <c r="D1768" s="17">
        <f t="shared" si="1341"/>
        <v>40003</v>
      </c>
      <c r="E1768" s="17">
        <v>1</v>
      </c>
      <c r="F1768" s="17">
        <f t="shared" si="1331"/>
        <v>3</v>
      </c>
      <c r="G1768" s="17" t="str">
        <f t="shared" si="1336"/>
        <v>高级攻击百分比</v>
      </c>
      <c r="H1768" s="17" t="str">
        <f t="shared" si="1337"/>
        <v>icon_06</v>
      </c>
      <c r="I1768" s="20">
        <v>0</v>
      </c>
      <c r="J1768" s="17">
        <v>9</v>
      </c>
      <c r="K1768" s="17">
        <f t="shared" si="1334"/>
        <v>42510</v>
      </c>
      <c r="L1768" s="17" t="s">
        <v>236</v>
      </c>
      <c r="M1768" s="17" t="str">
        <f t="shared" si="1338"/>
        <v>1:12200:10</v>
      </c>
      <c r="N1768" s="16" t="str">
        <f t="shared" si="1328"/>
        <v>137:1</v>
      </c>
      <c r="O1768" s="17">
        <f t="shared" si="1332"/>
        <v>6</v>
      </c>
      <c r="P1768" s="21" t="str">
        <f t="shared" si="1313"/>
        <v>所有飞兵攻击百分比增加:1</v>
      </c>
      <c r="Q1768" s="21"/>
      <c r="R1768" t="str">
        <f t="shared" si="1339"/>
        <v>攻击百分比</v>
      </c>
      <c r="T1768" t="str">
        <f t="shared" si="1340"/>
        <v>:1</v>
      </c>
      <c r="U1768" t="str">
        <f t="shared" si="1322"/>
        <v>飞兵</v>
      </c>
      <c r="V1768" t="s">
        <v>4693</v>
      </c>
      <c r="W1768">
        <f>属性类型!G1768</f>
        <v>137</v>
      </c>
      <c r="X1768">
        <v>1</v>
      </c>
    </row>
    <row r="1769" customFormat="1" ht="16.5" spans="1:24">
      <c r="A1769" s="17">
        <f t="shared" si="1335"/>
        <v>42510</v>
      </c>
      <c r="B1769" s="17">
        <f t="shared" si="1321"/>
        <v>42500</v>
      </c>
      <c r="C1769" s="17" t="str">
        <f t="shared" si="1333"/>
        <v>4</v>
      </c>
      <c r="D1769" s="17">
        <f t="shared" si="1341"/>
        <v>40003</v>
      </c>
      <c r="E1769" s="17">
        <v>1</v>
      </c>
      <c r="F1769" s="17">
        <f t="shared" si="1331"/>
        <v>3</v>
      </c>
      <c r="G1769" s="17" t="str">
        <f t="shared" si="1336"/>
        <v>高级攻击百分比</v>
      </c>
      <c r="H1769" s="17" t="str">
        <f t="shared" si="1337"/>
        <v>icon_06</v>
      </c>
      <c r="I1769" s="20">
        <v>0</v>
      </c>
      <c r="J1769" s="17">
        <v>10</v>
      </c>
      <c r="K1769" s="17">
        <f t="shared" si="1334"/>
        <v>42511</v>
      </c>
      <c r="L1769" s="17" t="s">
        <v>238</v>
      </c>
      <c r="M1769" s="17" t="str">
        <f t="shared" si="1338"/>
        <v>1:12200:10</v>
      </c>
      <c r="N1769" s="16" t="str">
        <f t="shared" si="1328"/>
        <v>137:1</v>
      </c>
      <c r="O1769" s="17">
        <f t="shared" si="1332"/>
        <v>6</v>
      </c>
      <c r="P1769" s="21" t="str">
        <f t="shared" si="1313"/>
        <v>所有飞兵攻击百分比增加:1</v>
      </c>
      <c r="Q1769" s="21"/>
      <c r="R1769" t="str">
        <f t="shared" si="1339"/>
        <v>攻击百分比</v>
      </c>
      <c r="T1769" t="str">
        <f t="shared" si="1340"/>
        <v>:1</v>
      </c>
      <c r="U1769" t="str">
        <f t="shared" si="1322"/>
        <v>飞兵</v>
      </c>
      <c r="V1769" t="s">
        <v>4693</v>
      </c>
      <c r="W1769">
        <f>属性类型!G1769</f>
        <v>137</v>
      </c>
      <c r="X1769">
        <v>1</v>
      </c>
    </row>
    <row r="1770" customFormat="1" ht="16.5" spans="1:24">
      <c r="A1770" s="17">
        <f t="shared" si="1335"/>
        <v>42511</v>
      </c>
      <c r="B1770" s="17">
        <f t="shared" si="1321"/>
        <v>42500</v>
      </c>
      <c r="C1770" s="17" t="str">
        <f t="shared" si="1333"/>
        <v>4</v>
      </c>
      <c r="D1770" s="17">
        <f t="shared" si="1341"/>
        <v>40003</v>
      </c>
      <c r="E1770" s="17">
        <v>1</v>
      </c>
      <c r="F1770" s="17">
        <f t="shared" si="1331"/>
        <v>3</v>
      </c>
      <c r="G1770" s="17" t="str">
        <f t="shared" si="1336"/>
        <v>高级攻击百分比</v>
      </c>
      <c r="H1770" s="17" t="str">
        <f t="shared" si="1337"/>
        <v>icon_06</v>
      </c>
      <c r="I1770" s="20">
        <v>0</v>
      </c>
      <c r="J1770" s="17">
        <v>11</v>
      </c>
      <c r="K1770" s="17">
        <f t="shared" si="1334"/>
        <v>42512</v>
      </c>
      <c r="L1770" s="17" t="s">
        <v>529</v>
      </c>
      <c r="M1770" s="17" t="str">
        <f t="shared" si="1338"/>
        <v>1:12200:10</v>
      </c>
      <c r="N1770" s="16" t="str">
        <f t="shared" si="1328"/>
        <v>137:1</v>
      </c>
      <c r="O1770" s="17">
        <f t="shared" si="1332"/>
        <v>6</v>
      </c>
      <c r="P1770" s="21" t="str">
        <f t="shared" si="1313"/>
        <v>所有飞兵攻击百分比增加:1</v>
      </c>
      <c r="Q1770" s="21"/>
      <c r="R1770" t="str">
        <f t="shared" si="1339"/>
        <v>攻击百分比</v>
      </c>
      <c r="T1770" t="str">
        <f t="shared" si="1340"/>
        <v>:1</v>
      </c>
      <c r="U1770" t="str">
        <f t="shared" si="1322"/>
        <v>飞兵</v>
      </c>
      <c r="V1770" t="s">
        <v>4693</v>
      </c>
      <c r="W1770">
        <f>属性类型!G1770</f>
        <v>137</v>
      </c>
      <c r="X1770">
        <v>1</v>
      </c>
    </row>
    <row r="1771" customFormat="1" ht="16.5" spans="1:24">
      <c r="A1771" s="17">
        <f t="shared" si="1335"/>
        <v>42512</v>
      </c>
      <c r="B1771" s="17">
        <f t="shared" si="1321"/>
        <v>42500</v>
      </c>
      <c r="C1771" s="17" t="str">
        <f t="shared" si="1333"/>
        <v>4</v>
      </c>
      <c r="D1771" s="17">
        <f t="shared" si="1341"/>
        <v>40003</v>
      </c>
      <c r="E1771" s="17">
        <v>1</v>
      </c>
      <c r="F1771" s="17">
        <f t="shared" si="1331"/>
        <v>3</v>
      </c>
      <c r="G1771" s="17" t="str">
        <f t="shared" si="1336"/>
        <v>高级攻击百分比</v>
      </c>
      <c r="H1771" s="17" t="str">
        <f t="shared" si="1337"/>
        <v>icon_06</v>
      </c>
      <c r="I1771" s="20">
        <v>0</v>
      </c>
      <c r="J1771" s="17">
        <v>12</v>
      </c>
      <c r="K1771" s="17">
        <f t="shared" si="1334"/>
        <v>42513</v>
      </c>
      <c r="L1771" s="17" t="s">
        <v>532</v>
      </c>
      <c r="M1771" s="17" t="str">
        <f t="shared" si="1338"/>
        <v>1:12200:10</v>
      </c>
      <c r="N1771" s="16" t="str">
        <f t="shared" si="1328"/>
        <v>137:1</v>
      </c>
      <c r="O1771" s="17">
        <f t="shared" si="1332"/>
        <v>6</v>
      </c>
      <c r="P1771" s="21" t="str">
        <f t="shared" si="1313"/>
        <v>所有飞兵攻击百分比增加:1</v>
      </c>
      <c r="Q1771" s="21"/>
      <c r="R1771" t="str">
        <f t="shared" si="1339"/>
        <v>攻击百分比</v>
      </c>
      <c r="T1771" t="str">
        <f t="shared" si="1340"/>
        <v>:1</v>
      </c>
      <c r="U1771" t="str">
        <f t="shared" si="1322"/>
        <v>飞兵</v>
      </c>
      <c r="V1771" t="s">
        <v>4693</v>
      </c>
      <c r="W1771">
        <f>属性类型!G1771</f>
        <v>137</v>
      </c>
      <c r="X1771">
        <v>1</v>
      </c>
    </row>
    <row r="1772" customFormat="1" ht="16.5" spans="1:24">
      <c r="A1772" s="17">
        <f t="shared" si="1335"/>
        <v>42513</v>
      </c>
      <c r="B1772" s="17">
        <f t="shared" si="1321"/>
        <v>42500</v>
      </c>
      <c r="C1772" s="17" t="str">
        <f t="shared" si="1333"/>
        <v>4</v>
      </c>
      <c r="D1772" s="17">
        <f t="shared" si="1341"/>
        <v>40003</v>
      </c>
      <c r="E1772" s="17">
        <v>1</v>
      </c>
      <c r="F1772" s="17">
        <f t="shared" si="1331"/>
        <v>3</v>
      </c>
      <c r="G1772" s="17" t="str">
        <f t="shared" si="1336"/>
        <v>高级攻击百分比</v>
      </c>
      <c r="H1772" s="17" t="str">
        <f t="shared" si="1337"/>
        <v>icon_06</v>
      </c>
      <c r="I1772" s="20">
        <v>0</v>
      </c>
      <c r="J1772" s="17">
        <v>13</v>
      </c>
      <c r="K1772" s="17">
        <f t="shared" si="1334"/>
        <v>42514</v>
      </c>
      <c r="L1772" s="17" t="s">
        <v>561</v>
      </c>
      <c r="M1772" s="17" t="str">
        <f t="shared" si="1338"/>
        <v>1:12200:10</v>
      </c>
      <c r="N1772" s="16" t="str">
        <f t="shared" si="1328"/>
        <v>137:1</v>
      </c>
      <c r="O1772" s="17">
        <f t="shared" si="1332"/>
        <v>6</v>
      </c>
      <c r="P1772" s="21" t="str">
        <f t="shared" si="1313"/>
        <v>所有飞兵攻击百分比增加:1</v>
      </c>
      <c r="Q1772" s="21"/>
      <c r="R1772" t="str">
        <f t="shared" si="1339"/>
        <v>攻击百分比</v>
      </c>
      <c r="T1772" t="str">
        <f t="shared" si="1340"/>
        <v>:1</v>
      </c>
      <c r="U1772" t="str">
        <f t="shared" si="1322"/>
        <v>飞兵</v>
      </c>
      <c r="V1772" t="s">
        <v>4693</v>
      </c>
      <c r="W1772">
        <f>属性类型!G1772</f>
        <v>137</v>
      </c>
      <c r="X1772">
        <v>1</v>
      </c>
    </row>
    <row r="1773" customFormat="1" ht="16.5" spans="1:24">
      <c r="A1773" s="17">
        <f t="shared" si="1335"/>
        <v>42514</v>
      </c>
      <c r="B1773" s="17">
        <f t="shared" si="1321"/>
        <v>42500</v>
      </c>
      <c r="C1773" s="17" t="str">
        <f t="shared" si="1333"/>
        <v>4</v>
      </c>
      <c r="D1773" s="17">
        <f t="shared" si="1341"/>
        <v>40003</v>
      </c>
      <c r="E1773" s="17">
        <v>1</v>
      </c>
      <c r="F1773" s="17">
        <f t="shared" si="1331"/>
        <v>3</v>
      </c>
      <c r="G1773" s="17" t="str">
        <f t="shared" si="1336"/>
        <v>高级攻击百分比</v>
      </c>
      <c r="H1773" s="17" t="str">
        <f t="shared" si="1337"/>
        <v>icon_06</v>
      </c>
      <c r="I1773" s="20">
        <v>0</v>
      </c>
      <c r="J1773" s="17">
        <v>14</v>
      </c>
      <c r="K1773" s="17">
        <f t="shared" si="1334"/>
        <v>42515</v>
      </c>
      <c r="L1773" s="17" t="s">
        <v>564</v>
      </c>
      <c r="M1773" s="17" t="str">
        <f t="shared" si="1338"/>
        <v>1:12200:10</v>
      </c>
      <c r="N1773" s="16" t="str">
        <f t="shared" si="1328"/>
        <v>137:1</v>
      </c>
      <c r="O1773" s="17">
        <f t="shared" si="1332"/>
        <v>6</v>
      </c>
      <c r="P1773" s="21" t="str">
        <f t="shared" si="1313"/>
        <v>所有飞兵攻击百分比增加:1</v>
      </c>
      <c r="Q1773" s="21"/>
      <c r="R1773" t="str">
        <f t="shared" si="1339"/>
        <v>攻击百分比</v>
      </c>
      <c r="T1773" t="str">
        <f t="shared" si="1340"/>
        <v>:1</v>
      </c>
      <c r="U1773" t="str">
        <f t="shared" si="1322"/>
        <v>飞兵</v>
      </c>
      <c r="V1773" t="s">
        <v>4693</v>
      </c>
      <c r="W1773">
        <f>属性类型!G1773</f>
        <v>137</v>
      </c>
      <c r="X1773">
        <v>1</v>
      </c>
    </row>
    <row r="1774" customFormat="1" ht="16.5" spans="1:24">
      <c r="A1774" s="17">
        <f t="shared" si="1335"/>
        <v>42515</v>
      </c>
      <c r="B1774" s="17">
        <f t="shared" si="1321"/>
        <v>42500</v>
      </c>
      <c r="C1774" s="17" t="str">
        <f t="shared" si="1333"/>
        <v>4</v>
      </c>
      <c r="D1774" s="17">
        <f t="shared" si="1341"/>
        <v>40003</v>
      </c>
      <c r="E1774" s="17">
        <v>1</v>
      </c>
      <c r="F1774" s="17">
        <f t="shared" si="1331"/>
        <v>3</v>
      </c>
      <c r="G1774" s="17" t="str">
        <f t="shared" si="1336"/>
        <v>高级攻击百分比</v>
      </c>
      <c r="H1774" s="17" t="str">
        <f t="shared" si="1337"/>
        <v>icon_06</v>
      </c>
      <c r="I1774" s="20">
        <v>0</v>
      </c>
      <c r="J1774" s="17">
        <v>15</v>
      </c>
      <c r="K1774" s="17">
        <f t="shared" si="1334"/>
        <v>42516</v>
      </c>
      <c r="L1774" s="17" t="s">
        <v>630</v>
      </c>
      <c r="M1774" s="17" t="str">
        <f t="shared" si="1338"/>
        <v>1:12200:10</v>
      </c>
      <c r="N1774" s="16" t="str">
        <f t="shared" si="1328"/>
        <v>137:1</v>
      </c>
      <c r="O1774" s="17">
        <f t="shared" si="1332"/>
        <v>6</v>
      </c>
      <c r="P1774" s="21" t="str">
        <f t="shared" si="1313"/>
        <v>所有飞兵攻击百分比增加:1</v>
      </c>
      <c r="Q1774" s="21"/>
      <c r="R1774" t="str">
        <f t="shared" si="1339"/>
        <v>攻击百分比</v>
      </c>
      <c r="T1774" t="str">
        <f t="shared" si="1340"/>
        <v>:1</v>
      </c>
      <c r="U1774" t="str">
        <f t="shared" si="1322"/>
        <v>飞兵</v>
      </c>
      <c r="V1774" t="s">
        <v>4693</v>
      </c>
      <c r="W1774">
        <f>属性类型!G1774</f>
        <v>137</v>
      </c>
      <c r="X1774">
        <v>1</v>
      </c>
    </row>
    <row r="1775" customFormat="1" ht="16.5" spans="1:24">
      <c r="A1775" s="17">
        <f t="shared" si="1335"/>
        <v>42516</v>
      </c>
      <c r="B1775" s="17">
        <f t="shared" si="1321"/>
        <v>42500</v>
      </c>
      <c r="C1775" s="17" t="str">
        <f t="shared" si="1333"/>
        <v>4</v>
      </c>
      <c r="D1775" s="17">
        <f t="shared" si="1341"/>
        <v>40003</v>
      </c>
      <c r="E1775" s="17">
        <v>1</v>
      </c>
      <c r="F1775" s="17">
        <f t="shared" si="1331"/>
        <v>3</v>
      </c>
      <c r="G1775" s="17" t="str">
        <f t="shared" si="1336"/>
        <v>高级攻击百分比</v>
      </c>
      <c r="H1775" s="17" t="str">
        <f t="shared" si="1337"/>
        <v>icon_06</v>
      </c>
      <c r="I1775" s="20">
        <v>0</v>
      </c>
      <c r="J1775" s="17">
        <v>16</v>
      </c>
      <c r="K1775" s="17">
        <f t="shared" si="1334"/>
        <v>42517</v>
      </c>
      <c r="L1775" s="17" t="s">
        <v>633</v>
      </c>
      <c r="M1775" s="17" t="str">
        <f t="shared" si="1338"/>
        <v>1:12200:10</v>
      </c>
      <c r="N1775" s="16" t="str">
        <f t="shared" si="1328"/>
        <v>137:1</v>
      </c>
      <c r="O1775" s="17">
        <f t="shared" si="1332"/>
        <v>6</v>
      </c>
      <c r="P1775" s="21" t="str">
        <f t="shared" si="1313"/>
        <v>所有飞兵攻击百分比增加:1</v>
      </c>
      <c r="Q1775" s="21"/>
      <c r="R1775" t="str">
        <f t="shared" si="1339"/>
        <v>攻击百分比</v>
      </c>
      <c r="T1775" t="str">
        <f t="shared" si="1340"/>
        <v>:1</v>
      </c>
      <c r="U1775" t="str">
        <f t="shared" si="1322"/>
        <v>飞兵</v>
      </c>
      <c r="V1775" t="s">
        <v>4693</v>
      </c>
      <c r="W1775">
        <f>属性类型!G1775</f>
        <v>137</v>
      </c>
      <c r="X1775">
        <v>1</v>
      </c>
    </row>
    <row r="1776" customFormat="1" ht="16.5" spans="1:24">
      <c r="A1776" s="17">
        <f t="shared" si="1335"/>
        <v>42517</v>
      </c>
      <c r="B1776" s="17">
        <f t="shared" si="1321"/>
        <v>42500</v>
      </c>
      <c r="C1776" s="17" t="str">
        <f t="shared" si="1333"/>
        <v>4</v>
      </c>
      <c r="D1776" s="17">
        <f t="shared" si="1341"/>
        <v>40003</v>
      </c>
      <c r="E1776" s="17">
        <v>1</v>
      </c>
      <c r="F1776" s="17">
        <f t="shared" si="1331"/>
        <v>3</v>
      </c>
      <c r="G1776" s="17" t="str">
        <f t="shared" si="1336"/>
        <v>高级攻击百分比</v>
      </c>
      <c r="H1776" s="17" t="str">
        <f t="shared" si="1337"/>
        <v>icon_06</v>
      </c>
      <c r="I1776" s="20">
        <v>0</v>
      </c>
      <c r="J1776" s="17">
        <v>17</v>
      </c>
      <c r="K1776" s="17">
        <f t="shared" si="1334"/>
        <v>42518</v>
      </c>
      <c r="L1776" s="17" t="s">
        <v>637</v>
      </c>
      <c r="M1776" s="17" t="str">
        <f t="shared" si="1338"/>
        <v>1:12200:10</v>
      </c>
      <c r="N1776" s="16" t="str">
        <f t="shared" si="1328"/>
        <v>137:1</v>
      </c>
      <c r="O1776" s="17">
        <f t="shared" si="1332"/>
        <v>6</v>
      </c>
      <c r="P1776" s="21" t="str">
        <f t="shared" si="1313"/>
        <v>所有飞兵攻击百分比增加:1</v>
      </c>
      <c r="Q1776" s="21"/>
      <c r="R1776" t="str">
        <f t="shared" si="1339"/>
        <v>攻击百分比</v>
      </c>
      <c r="T1776" t="str">
        <f t="shared" si="1340"/>
        <v>:1</v>
      </c>
      <c r="U1776" t="str">
        <f t="shared" si="1322"/>
        <v>飞兵</v>
      </c>
      <c r="V1776" t="s">
        <v>4693</v>
      </c>
      <c r="W1776">
        <f>属性类型!G1776</f>
        <v>137</v>
      </c>
      <c r="X1776">
        <v>1</v>
      </c>
    </row>
    <row r="1777" customFormat="1" ht="16.5" spans="1:24">
      <c r="A1777" s="17">
        <f t="shared" si="1335"/>
        <v>42518</v>
      </c>
      <c r="B1777" s="17">
        <f t="shared" si="1321"/>
        <v>42500</v>
      </c>
      <c r="C1777" s="17" t="str">
        <f t="shared" si="1333"/>
        <v>4</v>
      </c>
      <c r="D1777" s="17">
        <f t="shared" si="1341"/>
        <v>40003</v>
      </c>
      <c r="E1777" s="17">
        <v>1</v>
      </c>
      <c r="F1777" s="17">
        <f t="shared" si="1331"/>
        <v>3</v>
      </c>
      <c r="G1777" s="17" t="str">
        <f t="shared" si="1336"/>
        <v>高级攻击百分比</v>
      </c>
      <c r="H1777" s="17" t="str">
        <f t="shared" si="1337"/>
        <v>icon_06</v>
      </c>
      <c r="I1777" s="20">
        <v>0</v>
      </c>
      <c r="J1777" s="17">
        <v>18</v>
      </c>
      <c r="K1777" s="17">
        <f t="shared" si="1334"/>
        <v>42519</v>
      </c>
      <c r="L1777" s="17" t="s">
        <v>641</v>
      </c>
      <c r="M1777" s="17" t="str">
        <f t="shared" si="1338"/>
        <v>1:12200:10</v>
      </c>
      <c r="N1777" s="16" t="str">
        <f t="shared" si="1328"/>
        <v>137:1</v>
      </c>
      <c r="O1777" s="17">
        <f t="shared" si="1332"/>
        <v>6</v>
      </c>
      <c r="P1777" s="21" t="str">
        <f t="shared" si="1313"/>
        <v>所有飞兵攻击百分比增加:1</v>
      </c>
      <c r="Q1777" s="21"/>
      <c r="R1777" t="str">
        <f t="shared" si="1339"/>
        <v>攻击百分比</v>
      </c>
      <c r="T1777" t="str">
        <f t="shared" si="1340"/>
        <v>:1</v>
      </c>
      <c r="U1777" t="str">
        <f t="shared" si="1322"/>
        <v>飞兵</v>
      </c>
      <c r="V1777" t="s">
        <v>4693</v>
      </c>
      <c r="W1777">
        <f>属性类型!G1777</f>
        <v>137</v>
      </c>
      <c r="X1777">
        <v>1</v>
      </c>
    </row>
    <row r="1778" customFormat="1" ht="16.5" spans="1:24">
      <c r="A1778" s="17">
        <f t="shared" si="1335"/>
        <v>42519</v>
      </c>
      <c r="B1778" s="17">
        <f t="shared" si="1321"/>
        <v>42500</v>
      </c>
      <c r="C1778" s="17" t="str">
        <f t="shared" si="1333"/>
        <v>4</v>
      </c>
      <c r="D1778" s="17">
        <f t="shared" si="1341"/>
        <v>40003</v>
      </c>
      <c r="E1778" s="17">
        <v>1</v>
      </c>
      <c r="F1778" s="17">
        <f t="shared" si="1331"/>
        <v>3</v>
      </c>
      <c r="G1778" s="17" t="str">
        <f t="shared" si="1336"/>
        <v>高级攻击百分比</v>
      </c>
      <c r="H1778" s="17" t="str">
        <f t="shared" si="1337"/>
        <v>icon_06</v>
      </c>
      <c r="I1778" s="20">
        <v>0</v>
      </c>
      <c r="J1778" s="17">
        <v>19</v>
      </c>
      <c r="K1778" s="17">
        <f t="shared" si="1334"/>
        <v>42520</v>
      </c>
      <c r="L1778" s="17" t="s">
        <v>645</v>
      </c>
      <c r="M1778" s="17" t="str">
        <f t="shared" si="1338"/>
        <v>1:12200:10</v>
      </c>
      <c r="N1778" s="16" t="str">
        <f t="shared" si="1328"/>
        <v>137:1</v>
      </c>
      <c r="O1778" s="17">
        <f t="shared" si="1332"/>
        <v>6</v>
      </c>
      <c r="P1778" s="21" t="str">
        <f t="shared" si="1313"/>
        <v>所有飞兵攻击百分比增加:1</v>
      </c>
      <c r="Q1778" s="21"/>
      <c r="R1778" t="str">
        <f t="shared" si="1339"/>
        <v>攻击百分比</v>
      </c>
      <c r="T1778" t="str">
        <f t="shared" si="1340"/>
        <v>:1</v>
      </c>
      <c r="U1778" t="str">
        <f t="shared" si="1322"/>
        <v>飞兵</v>
      </c>
      <c r="V1778" t="s">
        <v>4693</v>
      </c>
      <c r="W1778">
        <f>属性类型!G1778</f>
        <v>137</v>
      </c>
      <c r="X1778">
        <v>1</v>
      </c>
    </row>
    <row r="1779" customFormat="1" ht="16.5" spans="1:24">
      <c r="A1779" s="17">
        <f t="shared" si="1335"/>
        <v>42520</v>
      </c>
      <c r="B1779" s="17">
        <f t="shared" si="1321"/>
        <v>42500</v>
      </c>
      <c r="C1779" s="17" t="str">
        <f t="shared" si="1333"/>
        <v>4</v>
      </c>
      <c r="D1779" s="17">
        <f t="shared" si="1341"/>
        <v>40003</v>
      </c>
      <c r="E1779" s="17">
        <v>1</v>
      </c>
      <c r="F1779" s="17">
        <f t="shared" si="1331"/>
        <v>3</v>
      </c>
      <c r="G1779" s="17" t="str">
        <f t="shared" si="1336"/>
        <v>高级攻击百分比</v>
      </c>
      <c r="H1779" s="17" t="str">
        <f t="shared" si="1337"/>
        <v>icon_06</v>
      </c>
      <c r="I1779" s="20">
        <v>0</v>
      </c>
      <c r="J1779" s="17">
        <v>20</v>
      </c>
      <c r="K1779" s="17">
        <v>0</v>
      </c>
      <c r="L1779" s="17">
        <v>0</v>
      </c>
      <c r="M1779" s="17" t="str">
        <f t="shared" si="1338"/>
        <v>1:12200:10</v>
      </c>
      <c r="N1779" s="16" t="str">
        <f t="shared" si="1328"/>
        <v>137:1</v>
      </c>
      <c r="O1779" s="17">
        <f t="shared" si="1332"/>
        <v>6</v>
      </c>
      <c r="P1779" s="21" t="str">
        <f t="shared" si="1313"/>
        <v>所有飞兵攻击百分比增加:1</v>
      </c>
      <c r="Q1779" s="21"/>
      <c r="R1779" t="str">
        <f t="shared" si="1339"/>
        <v>攻击百分比</v>
      </c>
      <c r="T1779" t="str">
        <f t="shared" si="1340"/>
        <v>:1</v>
      </c>
      <c r="U1779" t="str">
        <f t="shared" si="1322"/>
        <v>飞兵</v>
      </c>
      <c r="V1779" t="s">
        <v>4693</v>
      </c>
      <c r="W1779">
        <f>属性类型!G1779</f>
        <v>137</v>
      </c>
      <c r="X1779">
        <v>1</v>
      </c>
    </row>
    <row r="1780" customFormat="1" ht="16.5" spans="1:24">
      <c r="A1780" s="18">
        <f>A1759+100</f>
        <v>42600</v>
      </c>
      <c r="B1780" s="18">
        <f t="shared" si="1321"/>
        <v>42600</v>
      </c>
      <c r="C1780" s="18" t="str">
        <f t="shared" si="1333"/>
        <v>4</v>
      </c>
      <c r="D1780" s="17">
        <f t="shared" si="1341"/>
        <v>40003</v>
      </c>
      <c r="E1780" s="17">
        <v>1</v>
      </c>
      <c r="F1780" s="18">
        <f t="shared" si="1331"/>
        <v>3</v>
      </c>
      <c r="G1780" s="18" t="s">
        <v>4413</v>
      </c>
      <c r="H1780" s="18" t="s">
        <v>176</v>
      </c>
      <c r="I1780" s="20">
        <v>0</v>
      </c>
      <c r="J1780" s="18">
        <v>0</v>
      </c>
      <c r="K1780" s="18">
        <f t="shared" ref="K1780:K1799" si="1342">A1781</f>
        <v>42601</v>
      </c>
      <c r="L1780" s="18" t="s">
        <v>206</v>
      </c>
      <c r="M1780" s="18" t="s">
        <v>680</v>
      </c>
      <c r="N1780" s="16" t="str">
        <f t="shared" si="1328"/>
        <v>136:1</v>
      </c>
      <c r="O1780" s="18">
        <f t="shared" si="1332"/>
        <v>7</v>
      </c>
      <c r="P1780" s="21" t="str">
        <f t="shared" si="1313"/>
        <v>所有飞兵生命百分比增加1</v>
      </c>
      <c r="Q1780" s="21"/>
      <c r="R1780" t="s">
        <v>4414</v>
      </c>
      <c r="T1780" t="str">
        <f>RIGHT(N1780,1)</f>
        <v>1</v>
      </c>
      <c r="U1780" t="str">
        <f t="shared" si="1322"/>
        <v>飞兵</v>
      </c>
      <c r="V1780" t="s">
        <v>4759</v>
      </c>
      <c r="W1780">
        <f>属性类型!G1780</f>
        <v>136</v>
      </c>
      <c r="X1780">
        <v>1</v>
      </c>
    </row>
    <row r="1781" customFormat="1" ht="16.5" spans="1:24">
      <c r="A1781" s="17">
        <f t="shared" ref="A1781:A1800" si="1343">A1780+1</f>
        <v>42601</v>
      </c>
      <c r="B1781" s="17">
        <f t="shared" si="1321"/>
        <v>42600</v>
      </c>
      <c r="C1781" s="17" t="str">
        <f t="shared" si="1333"/>
        <v>4</v>
      </c>
      <c r="D1781" s="17">
        <f t="shared" si="1341"/>
        <v>40003</v>
      </c>
      <c r="E1781" s="17">
        <v>1</v>
      </c>
      <c r="F1781" s="17">
        <f t="shared" si="1331"/>
        <v>3</v>
      </c>
      <c r="G1781" s="17" t="str">
        <f t="shared" ref="G1781:G1800" si="1344">G1780</f>
        <v>高级生命百分比</v>
      </c>
      <c r="H1781" s="17" t="str">
        <f t="shared" ref="H1781:H1800" si="1345">H1780</f>
        <v>icon_07</v>
      </c>
      <c r="I1781" s="20">
        <v>0</v>
      </c>
      <c r="J1781" s="17">
        <v>1</v>
      </c>
      <c r="K1781" s="17">
        <f t="shared" si="1342"/>
        <v>42602</v>
      </c>
      <c r="L1781" s="17" t="s">
        <v>211</v>
      </c>
      <c r="M1781" s="17" t="str">
        <f t="shared" ref="M1781:M1800" si="1346">M1780</f>
        <v>1:12300:10</v>
      </c>
      <c r="N1781" s="16" t="str">
        <f t="shared" si="1328"/>
        <v>136:1</v>
      </c>
      <c r="O1781" s="17">
        <f t="shared" si="1332"/>
        <v>7</v>
      </c>
      <c r="P1781" s="21" t="str">
        <f t="shared" si="1313"/>
        <v>所有飞兵生命百分比增加:1</v>
      </c>
      <c r="Q1781" s="21"/>
      <c r="R1781" t="str">
        <f t="shared" ref="R1781:R1800" si="1347">R1780</f>
        <v>生命百分比</v>
      </c>
      <c r="T1781" t="str">
        <f t="shared" ref="T1781:T1800" si="1348">RIGHT(N1781,2)</f>
        <v>:1</v>
      </c>
      <c r="U1781" t="str">
        <f t="shared" si="1322"/>
        <v>飞兵</v>
      </c>
      <c r="V1781" t="s">
        <v>4759</v>
      </c>
      <c r="W1781">
        <f>属性类型!G1781</f>
        <v>136</v>
      </c>
      <c r="X1781">
        <v>1</v>
      </c>
    </row>
    <row r="1782" customFormat="1" ht="16.5" spans="1:24">
      <c r="A1782" s="17">
        <f t="shared" si="1343"/>
        <v>42602</v>
      </c>
      <c r="B1782" s="17">
        <f t="shared" si="1321"/>
        <v>42600</v>
      </c>
      <c r="C1782" s="17" t="str">
        <f t="shared" si="1333"/>
        <v>4</v>
      </c>
      <c r="D1782" s="17">
        <f t="shared" si="1341"/>
        <v>40003</v>
      </c>
      <c r="E1782" s="17">
        <v>1</v>
      </c>
      <c r="F1782" s="17">
        <f t="shared" si="1331"/>
        <v>3</v>
      </c>
      <c r="G1782" s="17" t="str">
        <f t="shared" si="1344"/>
        <v>高级生命百分比</v>
      </c>
      <c r="H1782" s="17" t="str">
        <f t="shared" si="1345"/>
        <v>icon_07</v>
      </c>
      <c r="I1782" s="20">
        <v>0</v>
      </c>
      <c r="J1782" s="17">
        <v>2</v>
      </c>
      <c r="K1782" s="17">
        <f t="shared" si="1342"/>
        <v>42603</v>
      </c>
      <c r="L1782" s="17" t="s">
        <v>215</v>
      </c>
      <c r="M1782" s="17" t="str">
        <f t="shared" si="1346"/>
        <v>1:12300:10</v>
      </c>
      <c r="N1782" s="16" t="str">
        <f t="shared" si="1328"/>
        <v>136:1</v>
      </c>
      <c r="O1782" s="17">
        <f t="shared" si="1332"/>
        <v>7</v>
      </c>
      <c r="P1782" s="21" t="str">
        <f t="shared" si="1313"/>
        <v>所有飞兵生命百分比增加:1</v>
      </c>
      <c r="Q1782" s="21"/>
      <c r="R1782" t="str">
        <f t="shared" si="1347"/>
        <v>生命百分比</v>
      </c>
      <c r="T1782" t="str">
        <f t="shared" si="1348"/>
        <v>:1</v>
      </c>
      <c r="U1782" t="str">
        <f t="shared" si="1322"/>
        <v>飞兵</v>
      </c>
      <c r="V1782" t="s">
        <v>4759</v>
      </c>
      <c r="W1782">
        <f>属性类型!G1782</f>
        <v>136</v>
      </c>
      <c r="X1782">
        <v>1</v>
      </c>
    </row>
    <row r="1783" customFormat="1" ht="16.5" spans="1:24">
      <c r="A1783" s="17">
        <f t="shared" si="1343"/>
        <v>42603</v>
      </c>
      <c r="B1783" s="17">
        <f t="shared" si="1321"/>
        <v>42600</v>
      </c>
      <c r="C1783" s="17" t="str">
        <f t="shared" si="1333"/>
        <v>4</v>
      </c>
      <c r="D1783" s="17">
        <f t="shared" si="1341"/>
        <v>40003</v>
      </c>
      <c r="E1783" s="17">
        <v>1</v>
      </c>
      <c r="F1783" s="17">
        <f t="shared" si="1331"/>
        <v>3</v>
      </c>
      <c r="G1783" s="17" t="str">
        <f t="shared" si="1344"/>
        <v>高级生命百分比</v>
      </c>
      <c r="H1783" s="17" t="str">
        <f t="shared" si="1345"/>
        <v>icon_07</v>
      </c>
      <c r="I1783" s="20">
        <v>0</v>
      </c>
      <c r="J1783" s="17">
        <v>3</v>
      </c>
      <c r="K1783" s="17">
        <f t="shared" si="1342"/>
        <v>42604</v>
      </c>
      <c r="L1783" s="17" t="s">
        <v>218</v>
      </c>
      <c r="M1783" s="17" t="str">
        <f t="shared" si="1346"/>
        <v>1:12300:10</v>
      </c>
      <c r="N1783" s="16" t="str">
        <f t="shared" si="1328"/>
        <v>136:1</v>
      </c>
      <c r="O1783" s="17">
        <f t="shared" si="1332"/>
        <v>7</v>
      </c>
      <c r="P1783" s="21" t="str">
        <f t="shared" si="1313"/>
        <v>所有飞兵生命百分比增加:1</v>
      </c>
      <c r="Q1783" s="21"/>
      <c r="R1783" t="str">
        <f t="shared" si="1347"/>
        <v>生命百分比</v>
      </c>
      <c r="T1783" t="str">
        <f t="shared" si="1348"/>
        <v>:1</v>
      </c>
      <c r="U1783" t="str">
        <f t="shared" si="1322"/>
        <v>飞兵</v>
      </c>
      <c r="V1783" t="s">
        <v>4759</v>
      </c>
      <c r="W1783">
        <f>属性类型!G1783</f>
        <v>136</v>
      </c>
      <c r="X1783">
        <v>1</v>
      </c>
    </row>
    <row r="1784" customFormat="1" ht="16.5" spans="1:24">
      <c r="A1784" s="17">
        <f t="shared" si="1343"/>
        <v>42604</v>
      </c>
      <c r="B1784" s="17">
        <f t="shared" si="1321"/>
        <v>42600</v>
      </c>
      <c r="C1784" s="17" t="str">
        <f t="shared" si="1333"/>
        <v>4</v>
      </c>
      <c r="D1784" s="17">
        <f t="shared" si="1341"/>
        <v>40003</v>
      </c>
      <c r="E1784" s="17">
        <v>1</v>
      </c>
      <c r="F1784" s="17">
        <f t="shared" si="1331"/>
        <v>3</v>
      </c>
      <c r="G1784" s="17" t="str">
        <f t="shared" si="1344"/>
        <v>高级生命百分比</v>
      </c>
      <c r="H1784" s="17" t="str">
        <f t="shared" si="1345"/>
        <v>icon_07</v>
      </c>
      <c r="I1784" s="20">
        <v>0</v>
      </c>
      <c r="J1784" s="17">
        <v>4</v>
      </c>
      <c r="K1784" s="17">
        <f t="shared" si="1342"/>
        <v>42605</v>
      </c>
      <c r="L1784" s="17" t="s">
        <v>221</v>
      </c>
      <c r="M1784" s="17" t="str">
        <f t="shared" si="1346"/>
        <v>1:12300:10</v>
      </c>
      <c r="N1784" s="16" t="str">
        <f t="shared" si="1328"/>
        <v>136:1</v>
      </c>
      <c r="O1784" s="17">
        <f t="shared" si="1332"/>
        <v>7</v>
      </c>
      <c r="P1784" s="21" t="str">
        <f t="shared" si="1313"/>
        <v>所有飞兵生命百分比增加:1</v>
      </c>
      <c r="Q1784" s="21"/>
      <c r="R1784" t="str">
        <f t="shared" si="1347"/>
        <v>生命百分比</v>
      </c>
      <c r="T1784" t="str">
        <f t="shared" si="1348"/>
        <v>:1</v>
      </c>
      <c r="U1784" t="str">
        <f t="shared" si="1322"/>
        <v>飞兵</v>
      </c>
      <c r="V1784" t="s">
        <v>4759</v>
      </c>
      <c r="W1784">
        <f>属性类型!G1784</f>
        <v>136</v>
      </c>
      <c r="X1784">
        <v>1</v>
      </c>
    </row>
    <row r="1785" customFormat="1" ht="16.5" spans="1:24">
      <c r="A1785" s="17">
        <f t="shared" si="1343"/>
        <v>42605</v>
      </c>
      <c r="B1785" s="17">
        <f t="shared" si="1321"/>
        <v>42600</v>
      </c>
      <c r="C1785" s="17" t="str">
        <f t="shared" si="1333"/>
        <v>4</v>
      </c>
      <c r="D1785" s="17">
        <f t="shared" si="1341"/>
        <v>40003</v>
      </c>
      <c r="E1785" s="17">
        <v>1</v>
      </c>
      <c r="F1785" s="17">
        <f t="shared" si="1331"/>
        <v>3</v>
      </c>
      <c r="G1785" s="17" t="str">
        <f t="shared" si="1344"/>
        <v>高级生命百分比</v>
      </c>
      <c r="H1785" s="17" t="str">
        <f t="shared" si="1345"/>
        <v>icon_07</v>
      </c>
      <c r="I1785" s="20">
        <v>0</v>
      </c>
      <c r="J1785" s="17">
        <v>5</v>
      </c>
      <c r="K1785" s="17">
        <f t="shared" si="1342"/>
        <v>42606</v>
      </c>
      <c r="L1785" s="17" t="s">
        <v>224</v>
      </c>
      <c r="M1785" s="17" t="str">
        <f t="shared" si="1346"/>
        <v>1:12300:10</v>
      </c>
      <c r="N1785" s="16" t="str">
        <f t="shared" si="1328"/>
        <v>136:1</v>
      </c>
      <c r="O1785" s="17">
        <f t="shared" si="1332"/>
        <v>7</v>
      </c>
      <c r="P1785" s="21" t="str">
        <f>$S$1&amp;R1785&amp;$Q$1&amp;T1785</f>
        <v>所有飞兵生命百分比增加:1</v>
      </c>
      <c r="Q1785" s="21"/>
      <c r="R1785" t="str">
        <f t="shared" si="1347"/>
        <v>生命百分比</v>
      </c>
      <c r="T1785" t="str">
        <f t="shared" si="1348"/>
        <v>:1</v>
      </c>
      <c r="U1785" t="str">
        <f t="shared" si="1322"/>
        <v>飞兵</v>
      </c>
      <c r="V1785" t="s">
        <v>4759</v>
      </c>
      <c r="W1785">
        <f>属性类型!G1785</f>
        <v>136</v>
      </c>
      <c r="X1785">
        <v>1</v>
      </c>
    </row>
    <row r="1786" customFormat="1" ht="16.5" spans="1:24">
      <c r="A1786" s="17">
        <f t="shared" si="1343"/>
        <v>42606</v>
      </c>
      <c r="B1786" s="17">
        <f t="shared" si="1321"/>
        <v>42600</v>
      </c>
      <c r="C1786" s="17" t="str">
        <f t="shared" si="1333"/>
        <v>4</v>
      </c>
      <c r="D1786" s="17">
        <f t="shared" si="1341"/>
        <v>40003</v>
      </c>
      <c r="E1786" s="17">
        <v>1</v>
      </c>
      <c r="F1786" s="17">
        <f t="shared" si="1331"/>
        <v>3</v>
      </c>
      <c r="G1786" s="17" t="str">
        <f t="shared" si="1344"/>
        <v>高级生命百分比</v>
      </c>
      <c r="H1786" s="17" t="str">
        <f t="shared" si="1345"/>
        <v>icon_07</v>
      </c>
      <c r="I1786" s="20">
        <v>0</v>
      </c>
      <c r="J1786" s="17">
        <v>6</v>
      </c>
      <c r="K1786" s="17">
        <f t="shared" si="1342"/>
        <v>42607</v>
      </c>
      <c r="L1786" s="17" t="s">
        <v>227</v>
      </c>
      <c r="M1786" s="17" t="str">
        <f t="shared" si="1346"/>
        <v>1:12300:10</v>
      </c>
      <c r="N1786" s="16" t="str">
        <f t="shared" si="1328"/>
        <v>136:1</v>
      </c>
      <c r="O1786" s="17">
        <f t="shared" si="1332"/>
        <v>7</v>
      </c>
      <c r="P1786" s="21" t="str">
        <f>$S$1&amp;R1786&amp;$Q$1&amp;T1786</f>
        <v>所有飞兵生命百分比增加:1</v>
      </c>
      <c r="Q1786" s="21"/>
      <c r="R1786" t="str">
        <f t="shared" si="1347"/>
        <v>生命百分比</v>
      </c>
      <c r="T1786" t="str">
        <f t="shared" si="1348"/>
        <v>:1</v>
      </c>
      <c r="U1786" t="str">
        <f t="shared" si="1322"/>
        <v>飞兵</v>
      </c>
      <c r="V1786" t="s">
        <v>4759</v>
      </c>
      <c r="W1786">
        <f>属性类型!G1786</f>
        <v>136</v>
      </c>
      <c r="X1786">
        <v>1</v>
      </c>
    </row>
    <row r="1787" customFormat="1" ht="16.5" spans="1:24">
      <c r="A1787" s="17">
        <f t="shared" si="1343"/>
        <v>42607</v>
      </c>
      <c r="B1787" s="17">
        <f t="shared" si="1321"/>
        <v>42600</v>
      </c>
      <c r="C1787" s="17" t="str">
        <f t="shared" si="1333"/>
        <v>4</v>
      </c>
      <c r="D1787" s="17">
        <f t="shared" si="1341"/>
        <v>40003</v>
      </c>
      <c r="E1787" s="17">
        <v>1</v>
      </c>
      <c r="F1787" s="17">
        <f t="shared" si="1331"/>
        <v>3</v>
      </c>
      <c r="G1787" s="17" t="str">
        <f t="shared" si="1344"/>
        <v>高级生命百分比</v>
      </c>
      <c r="H1787" s="17" t="str">
        <f t="shared" si="1345"/>
        <v>icon_07</v>
      </c>
      <c r="I1787" s="20">
        <v>0</v>
      </c>
      <c r="J1787" s="17">
        <v>7</v>
      </c>
      <c r="K1787" s="17">
        <f t="shared" si="1342"/>
        <v>42608</v>
      </c>
      <c r="L1787" s="17" t="s">
        <v>230</v>
      </c>
      <c r="M1787" s="17" t="str">
        <f t="shared" si="1346"/>
        <v>1:12300:10</v>
      </c>
      <c r="N1787" s="16" t="str">
        <f t="shared" si="1328"/>
        <v>136:1</v>
      </c>
      <c r="O1787" s="17">
        <f t="shared" si="1332"/>
        <v>7</v>
      </c>
      <c r="P1787" s="21" t="str">
        <f>$S$1&amp;R1787&amp;$Q$1&amp;T1787</f>
        <v>所有飞兵生命百分比增加:1</v>
      </c>
      <c r="Q1787" s="21"/>
      <c r="R1787" t="str">
        <f t="shared" si="1347"/>
        <v>生命百分比</v>
      </c>
      <c r="T1787" t="str">
        <f t="shared" si="1348"/>
        <v>:1</v>
      </c>
      <c r="U1787" t="str">
        <f t="shared" si="1322"/>
        <v>飞兵</v>
      </c>
      <c r="V1787" t="s">
        <v>4759</v>
      </c>
      <c r="W1787">
        <f>属性类型!G1787</f>
        <v>136</v>
      </c>
      <c r="X1787">
        <v>1</v>
      </c>
    </row>
    <row r="1788" customFormat="1" ht="16.5" spans="1:24">
      <c r="A1788" s="17">
        <f t="shared" si="1343"/>
        <v>42608</v>
      </c>
      <c r="B1788" s="17">
        <f t="shared" si="1321"/>
        <v>42600</v>
      </c>
      <c r="C1788" s="17" t="str">
        <f t="shared" si="1333"/>
        <v>4</v>
      </c>
      <c r="D1788" s="17">
        <f t="shared" si="1341"/>
        <v>40003</v>
      </c>
      <c r="E1788" s="17">
        <v>1</v>
      </c>
      <c r="F1788" s="17">
        <f t="shared" si="1331"/>
        <v>3</v>
      </c>
      <c r="G1788" s="17" t="str">
        <f t="shared" si="1344"/>
        <v>高级生命百分比</v>
      </c>
      <c r="H1788" s="17" t="str">
        <f t="shared" si="1345"/>
        <v>icon_07</v>
      </c>
      <c r="I1788" s="20">
        <v>0</v>
      </c>
      <c r="J1788" s="17">
        <v>8</v>
      </c>
      <c r="K1788" s="17">
        <f t="shared" si="1342"/>
        <v>42609</v>
      </c>
      <c r="L1788" s="17" t="s">
        <v>233</v>
      </c>
      <c r="M1788" s="17" t="str">
        <f t="shared" si="1346"/>
        <v>1:12300:10</v>
      </c>
      <c r="N1788" s="16" t="str">
        <f t="shared" si="1328"/>
        <v>136:1</v>
      </c>
      <c r="O1788" s="17">
        <f t="shared" si="1332"/>
        <v>7</v>
      </c>
      <c r="P1788" s="21" t="str">
        <f>$S$1&amp;R1788&amp;$Q$1&amp;T1788</f>
        <v>所有飞兵生命百分比增加:1</v>
      </c>
      <c r="Q1788" s="21"/>
      <c r="R1788" t="str">
        <f t="shared" si="1347"/>
        <v>生命百分比</v>
      </c>
      <c r="T1788" t="str">
        <f t="shared" si="1348"/>
        <v>:1</v>
      </c>
      <c r="U1788" t="str">
        <f t="shared" si="1322"/>
        <v>飞兵</v>
      </c>
      <c r="V1788" t="s">
        <v>4759</v>
      </c>
      <c r="W1788">
        <f>属性类型!G1788</f>
        <v>136</v>
      </c>
      <c r="X1788">
        <v>1</v>
      </c>
    </row>
    <row r="1789" customFormat="1" ht="16.5" spans="1:24">
      <c r="A1789" s="17">
        <f t="shared" si="1343"/>
        <v>42609</v>
      </c>
      <c r="B1789" s="17">
        <f t="shared" si="1321"/>
        <v>42600</v>
      </c>
      <c r="C1789" s="17" t="str">
        <f t="shared" si="1333"/>
        <v>4</v>
      </c>
      <c r="D1789" s="17">
        <f t="shared" si="1341"/>
        <v>40003</v>
      </c>
      <c r="E1789" s="17">
        <v>1</v>
      </c>
      <c r="F1789" s="17">
        <f t="shared" si="1331"/>
        <v>3</v>
      </c>
      <c r="G1789" s="17" t="str">
        <f t="shared" si="1344"/>
        <v>高级生命百分比</v>
      </c>
      <c r="H1789" s="17" t="str">
        <f t="shared" si="1345"/>
        <v>icon_07</v>
      </c>
      <c r="I1789" s="20">
        <v>0</v>
      </c>
      <c r="J1789" s="17">
        <v>9</v>
      </c>
      <c r="K1789" s="17">
        <f t="shared" si="1342"/>
        <v>42610</v>
      </c>
      <c r="L1789" s="17" t="s">
        <v>236</v>
      </c>
      <c r="M1789" s="17" t="str">
        <f t="shared" si="1346"/>
        <v>1:12300:10</v>
      </c>
      <c r="N1789" s="16" t="str">
        <f t="shared" si="1328"/>
        <v>136:1</v>
      </c>
      <c r="O1789" s="17">
        <f t="shared" si="1332"/>
        <v>7</v>
      </c>
      <c r="P1789" s="21" t="str">
        <f>$S$1&amp;R1789&amp;$Q$1&amp;T1789</f>
        <v>所有飞兵生命百分比增加:1</v>
      </c>
      <c r="Q1789" s="21"/>
      <c r="R1789" t="str">
        <f t="shared" si="1347"/>
        <v>生命百分比</v>
      </c>
      <c r="T1789" t="str">
        <f t="shared" si="1348"/>
        <v>:1</v>
      </c>
      <c r="U1789" t="str">
        <f t="shared" si="1322"/>
        <v>飞兵</v>
      </c>
      <c r="V1789" t="s">
        <v>4759</v>
      </c>
      <c r="W1789">
        <f>属性类型!G1789</f>
        <v>136</v>
      </c>
      <c r="X1789">
        <v>1</v>
      </c>
    </row>
    <row r="1790" customFormat="1" ht="16.5" spans="1:24">
      <c r="A1790" s="17">
        <f t="shared" si="1343"/>
        <v>42610</v>
      </c>
      <c r="B1790" s="17">
        <f t="shared" si="1321"/>
        <v>42600</v>
      </c>
      <c r="C1790" s="17" t="str">
        <f t="shared" si="1333"/>
        <v>4</v>
      </c>
      <c r="D1790" s="17">
        <f t="shared" si="1341"/>
        <v>40003</v>
      </c>
      <c r="E1790" s="17">
        <v>1</v>
      </c>
      <c r="F1790" s="17">
        <f t="shared" si="1331"/>
        <v>3</v>
      </c>
      <c r="G1790" s="17" t="str">
        <f t="shared" si="1344"/>
        <v>高级生命百分比</v>
      </c>
      <c r="H1790" s="17" t="str">
        <f t="shared" si="1345"/>
        <v>icon_07</v>
      </c>
      <c r="I1790" s="20">
        <v>0</v>
      </c>
      <c r="J1790" s="17">
        <v>10</v>
      </c>
      <c r="K1790" s="17">
        <f t="shared" si="1342"/>
        <v>42611</v>
      </c>
      <c r="L1790" s="17" t="s">
        <v>238</v>
      </c>
      <c r="M1790" s="17" t="str">
        <f t="shared" si="1346"/>
        <v>1:12300:10</v>
      </c>
      <c r="N1790" s="16" t="str">
        <f t="shared" si="1328"/>
        <v>136:1</v>
      </c>
      <c r="O1790" s="17">
        <f t="shared" si="1332"/>
        <v>7</v>
      </c>
      <c r="P1790" s="21" t="str">
        <f>$S$1&amp;R1790&amp;$Q$1&amp;T1790</f>
        <v>所有飞兵生命百分比增加:1</v>
      </c>
      <c r="Q1790" s="21"/>
      <c r="R1790" t="str">
        <f t="shared" si="1347"/>
        <v>生命百分比</v>
      </c>
      <c r="T1790" t="str">
        <f t="shared" si="1348"/>
        <v>:1</v>
      </c>
      <c r="U1790" t="str">
        <f t="shared" si="1322"/>
        <v>飞兵</v>
      </c>
      <c r="V1790" t="s">
        <v>4759</v>
      </c>
      <c r="W1790">
        <f>属性类型!G1790</f>
        <v>136</v>
      </c>
      <c r="X1790">
        <v>1</v>
      </c>
    </row>
    <row r="1791" customFormat="1" ht="16.5" spans="1:24">
      <c r="A1791" s="17">
        <f t="shared" si="1343"/>
        <v>42611</v>
      </c>
      <c r="B1791" s="17">
        <f t="shared" si="1321"/>
        <v>42600</v>
      </c>
      <c r="C1791" s="17" t="str">
        <f t="shared" si="1333"/>
        <v>4</v>
      </c>
      <c r="D1791" s="17">
        <f t="shared" si="1341"/>
        <v>40003</v>
      </c>
      <c r="E1791" s="17">
        <v>1</v>
      </c>
      <c r="F1791" s="17">
        <f t="shared" si="1331"/>
        <v>3</v>
      </c>
      <c r="G1791" s="17" t="str">
        <f t="shared" si="1344"/>
        <v>高级生命百分比</v>
      </c>
      <c r="H1791" s="17" t="str">
        <f t="shared" si="1345"/>
        <v>icon_07</v>
      </c>
      <c r="I1791" s="20">
        <v>0</v>
      </c>
      <c r="J1791" s="17">
        <v>11</v>
      </c>
      <c r="K1791" s="17">
        <f t="shared" si="1342"/>
        <v>42612</v>
      </c>
      <c r="L1791" s="17" t="s">
        <v>529</v>
      </c>
      <c r="M1791" s="17" t="str">
        <f t="shared" si="1346"/>
        <v>1:12300:10</v>
      </c>
      <c r="N1791" s="16" t="str">
        <f t="shared" si="1328"/>
        <v>136:1</v>
      </c>
      <c r="O1791" s="17">
        <f t="shared" si="1332"/>
        <v>7</v>
      </c>
      <c r="P1791" s="21" t="str">
        <f>$S$1&amp;R1791&amp;$Q$1&amp;T1791</f>
        <v>所有飞兵生命百分比增加:1</v>
      </c>
      <c r="Q1791" s="21"/>
      <c r="R1791" t="str">
        <f t="shared" si="1347"/>
        <v>生命百分比</v>
      </c>
      <c r="T1791" t="str">
        <f t="shared" si="1348"/>
        <v>:1</v>
      </c>
      <c r="U1791" t="str">
        <f t="shared" si="1322"/>
        <v>飞兵</v>
      </c>
      <c r="V1791" t="s">
        <v>4759</v>
      </c>
      <c r="W1791">
        <f>属性类型!G1791</f>
        <v>136</v>
      </c>
      <c r="X1791">
        <v>1</v>
      </c>
    </row>
    <row r="1792" customFormat="1" ht="16.5" spans="1:24">
      <c r="A1792" s="17">
        <f t="shared" si="1343"/>
        <v>42612</v>
      </c>
      <c r="B1792" s="17">
        <f t="shared" si="1321"/>
        <v>42600</v>
      </c>
      <c r="C1792" s="17" t="str">
        <f t="shared" si="1333"/>
        <v>4</v>
      </c>
      <c r="D1792" s="17">
        <f t="shared" si="1341"/>
        <v>40003</v>
      </c>
      <c r="E1792" s="17">
        <v>1</v>
      </c>
      <c r="F1792" s="17">
        <f t="shared" si="1331"/>
        <v>3</v>
      </c>
      <c r="G1792" s="17" t="str">
        <f t="shared" si="1344"/>
        <v>高级生命百分比</v>
      </c>
      <c r="H1792" s="17" t="str">
        <f t="shared" si="1345"/>
        <v>icon_07</v>
      </c>
      <c r="I1792" s="20">
        <v>0</v>
      </c>
      <c r="J1792" s="17">
        <v>12</v>
      </c>
      <c r="K1792" s="17">
        <f t="shared" si="1342"/>
        <v>42613</v>
      </c>
      <c r="L1792" s="17" t="s">
        <v>532</v>
      </c>
      <c r="M1792" s="17" t="str">
        <f t="shared" si="1346"/>
        <v>1:12300:10</v>
      </c>
      <c r="N1792" s="16" t="str">
        <f t="shared" si="1328"/>
        <v>136:1</v>
      </c>
      <c r="O1792" s="17">
        <f t="shared" si="1332"/>
        <v>7</v>
      </c>
      <c r="P1792" s="21" t="str">
        <f>$S$1&amp;R1792&amp;$Q$1&amp;T1792</f>
        <v>所有飞兵生命百分比增加:1</v>
      </c>
      <c r="Q1792" s="21"/>
      <c r="R1792" t="str">
        <f t="shared" si="1347"/>
        <v>生命百分比</v>
      </c>
      <c r="T1792" t="str">
        <f t="shared" si="1348"/>
        <v>:1</v>
      </c>
      <c r="U1792" t="str">
        <f t="shared" si="1322"/>
        <v>飞兵</v>
      </c>
      <c r="V1792" t="s">
        <v>4759</v>
      </c>
      <c r="W1792">
        <f>属性类型!G1792</f>
        <v>136</v>
      </c>
      <c r="X1792">
        <v>1</v>
      </c>
    </row>
    <row r="1793" customFormat="1" ht="16.5" spans="1:24">
      <c r="A1793" s="17">
        <f t="shared" si="1343"/>
        <v>42613</v>
      </c>
      <c r="B1793" s="17">
        <f t="shared" si="1321"/>
        <v>42600</v>
      </c>
      <c r="C1793" s="17" t="str">
        <f t="shared" si="1333"/>
        <v>4</v>
      </c>
      <c r="D1793" s="17">
        <f t="shared" si="1341"/>
        <v>40003</v>
      </c>
      <c r="E1793" s="17">
        <v>1</v>
      </c>
      <c r="F1793" s="17">
        <f t="shared" si="1331"/>
        <v>3</v>
      </c>
      <c r="G1793" s="17" t="str">
        <f t="shared" si="1344"/>
        <v>高级生命百分比</v>
      </c>
      <c r="H1793" s="17" t="str">
        <f t="shared" si="1345"/>
        <v>icon_07</v>
      </c>
      <c r="I1793" s="20">
        <v>0</v>
      </c>
      <c r="J1793" s="17">
        <v>13</v>
      </c>
      <c r="K1793" s="17">
        <f t="shared" si="1342"/>
        <v>42614</v>
      </c>
      <c r="L1793" s="17" t="s">
        <v>561</v>
      </c>
      <c r="M1793" s="17" t="str">
        <f t="shared" si="1346"/>
        <v>1:12300:10</v>
      </c>
      <c r="N1793" s="16" t="str">
        <f t="shared" si="1328"/>
        <v>136:1</v>
      </c>
      <c r="O1793" s="17">
        <f t="shared" si="1332"/>
        <v>7</v>
      </c>
      <c r="P1793" s="21" t="str">
        <f>$S$1&amp;R1793&amp;$Q$1&amp;T1793</f>
        <v>所有飞兵生命百分比增加:1</v>
      </c>
      <c r="Q1793" s="21"/>
      <c r="R1793" t="str">
        <f t="shared" si="1347"/>
        <v>生命百分比</v>
      </c>
      <c r="T1793" t="str">
        <f t="shared" si="1348"/>
        <v>:1</v>
      </c>
      <c r="U1793" t="str">
        <f t="shared" si="1322"/>
        <v>飞兵</v>
      </c>
      <c r="V1793" t="s">
        <v>4759</v>
      </c>
      <c r="W1793">
        <f>属性类型!G1793</f>
        <v>136</v>
      </c>
      <c r="X1793">
        <v>1</v>
      </c>
    </row>
    <row r="1794" customFormat="1" ht="16.5" spans="1:24">
      <c r="A1794" s="17">
        <f t="shared" si="1343"/>
        <v>42614</v>
      </c>
      <c r="B1794" s="17">
        <f t="shared" ref="B1794:B1857" si="1349">ROUND(A1794,-2)</f>
        <v>42600</v>
      </c>
      <c r="C1794" s="17" t="str">
        <f t="shared" si="1333"/>
        <v>4</v>
      </c>
      <c r="D1794" s="17">
        <f t="shared" si="1341"/>
        <v>40003</v>
      </c>
      <c r="E1794" s="17">
        <v>1</v>
      </c>
      <c r="F1794" s="17">
        <f t="shared" si="1331"/>
        <v>3</v>
      </c>
      <c r="G1794" s="17" t="str">
        <f t="shared" si="1344"/>
        <v>高级生命百分比</v>
      </c>
      <c r="H1794" s="17" t="str">
        <f t="shared" si="1345"/>
        <v>icon_07</v>
      </c>
      <c r="I1794" s="20">
        <v>0</v>
      </c>
      <c r="J1794" s="17">
        <v>14</v>
      </c>
      <c r="K1794" s="17">
        <f t="shared" si="1342"/>
        <v>42615</v>
      </c>
      <c r="L1794" s="17" t="s">
        <v>564</v>
      </c>
      <c r="M1794" s="17" t="str">
        <f t="shared" si="1346"/>
        <v>1:12300:10</v>
      </c>
      <c r="N1794" s="16" t="str">
        <f t="shared" si="1328"/>
        <v>136:1</v>
      </c>
      <c r="O1794" s="17">
        <f t="shared" si="1332"/>
        <v>7</v>
      </c>
      <c r="P1794" s="21" t="str">
        <f>$S$1&amp;R1794&amp;$Q$1&amp;T1794</f>
        <v>所有飞兵生命百分比增加:1</v>
      </c>
      <c r="Q1794" s="21"/>
      <c r="R1794" t="str">
        <f t="shared" si="1347"/>
        <v>生命百分比</v>
      </c>
      <c r="T1794" t="str">
        <f t="shared" si="1348"/>
        <v>:1</v>
      </c>
      <c r="U1794" t="str">
        <f t="shared" si="1322"/>
        <v>飞兵</v>
      </c>
      <c r="V1794" t="s">
        <v>4759</v>
      </c>
      <c r="W1794">
        <f>属性类型!G1794</f>
        <v>136</v>
      </c>
      <c r="X1794">
        <v>1</v>
      </c>
    </row>
    <row r="1795" customFormat="1" ht="16.5" spans="1:24">
      <c r="A1795" s="17">
        <f t="shared" si="1343"/>
        <v>42615</v>
      </c>
      <c r="B1795" s="17">
        <f t="shared" si="1349"/>
        <v>42600</v>
      </c>
      <c r="C1795" s="17" t="str">
        <f t="shared" si="1333"/>
        <v>4</v>
      </c>
      <c r="D1795" s="17">
        <f t="shared" si="1341"/>
        <v>40003</v>
      </c>
      <c r="E1795" s="17">
        <v>1</v>
      </c>
      <c r="F1795" s="17">
        <f t="shared" si="1331"/>
        <v>3</v>
      </c>
      <c r="G1795" s="17" t="str">
        <f t="shared" si="1344"/>
        <v>高级生命百分比</v>
      </c>
      <c r="H1795" s="17" t="str">
        <f t="shared" si="1345"/>
        <v>icon_07</v>
      </c>
      <c r="I1795" s="20">
        <v>0</v>
      </c>
      <c r="J1795" s="17">
        <v>15</v>
      </c>
      <c r="K1795" s="17">
        <f t="shared" si="1342"/>
        <v>42616</v>
      </c>
      <c r="L1795" s="17" t="s">
        <v>630</v>
      </c>
      <c r="M1795" s="17" t="str">
        <f t="shared" si="1346"/>
        <v>1:12300:10</v>
      </c>
      <c r="N1795" s="16" t="str">
        <f t="shared" si="1328"/>
        <v>136:1</v>
      </c>
      <c r="O1795" s="17">
        <f t="shared" si="1332"/>
        <v>7</v>
      </c>
      <c r="P1795" s="21" t="str">
        <f>$S$1&amp;R1795&amp;$Q$1&amp;T1795</f>
        <v>所有飞兵生命百分比增加:1</v>
      </c>
      <c r="Q1795" s="21"/>
      <c r="R1795" t="str">
        <f t="shared" si="1347"/>
        <v>生命百分比</v>
      </c>
      <c r="T1795" t="str">
        <f t="shared" si="1348"/>
        <v>:1</v>
      </c>
      <c r="U1795" t="str">
        <f t="shared" si="1322"/>
        <v>飞兵</v>
      </c>
      <c r="V1795" t="s">
        <v>4759</v>
      </c>
      <c r="W1795">
        <f>属性类型!G1795</f>
        <v>136</v>
      </c>
      <c r="X1795">
        <v>1</v>
      </c>
    </row>
    <row r="1796" customFormat="1" ht="16.5" spans="1:24">
      <c r="A1796" s="17">
        <f t="shared" si="1343"/>
        <v>42616</v>
      </c>
      <c r="B1796" s="17">
        <f t="shared" si="1349"/>
        <v>42600</v>
      </c>
      <c r="C1796" s="17" t="str">
        <f t="shared" si="1333"/>
        <v>4</v>
      </c>
      <c r="D1796" s="17">
        <f t="shared" si="1341"/>
        <v>40003</v>
      </c>
      <c r="E1796" s="17">
        <v>1</v>
      </c>
      <c r="F1796" s="17">
        <f t="shared" si="1331"/>
        <v>3</v>
      </c>
      <c r="G1796" s="17" t="str">
        <f t="shared" si="1344"/>
        <v>高级生命百分比</v>
      </c>
      <c r="H1796" s="17" t="str">
        <f t="shared" si="1345"/>
        <v>icon_07</v>
      </c>
      <c r="I1796" s="20">
        <v>0</v>
      </c>
      <c r="J1796" s="17">
        <v>16</v>
      </c>
      <c r="K1796" s="17">
        <f t="shared" si="1342"/>
        <v>42617</v>
      </c>
      <c r="L1796" s="17" t="s">
        <v>633</v>
      </c>
      <c r="M1796" s="17" t="str">
        <f t="shared" si="1346"/>
        <v>1:12300:10</v>
      </c>
      <c r="N1796" s="16" t="str">
        <f t="shared" si="1328"/>
        <v>136:1</v>
      </c>
      <c r="O1796" s="17">
        <f t="shared" si="1332"/>
        <v>7</v>
      </c>
      <c r="P1796" s="21" t="str">
        <f>$S$1&amp;R1796&amp;$Q$1&amp;T1796</f>
        <v>所有飞兵生命百分比增加:1</v>
      </c>
      <c r="Q1796" s="21"/>
      <c r="R1796" t="str">
        <f t="shared" si="1347"/>
        <v>生命百分比</v>
      </c>
      <c r="T1796" t="str">
        <f t="shared" si="1348"/>
        <v>:1</v>
      </c>
      <c r="U1796" t="str">
        <f t="shared" si="1322"/>
        <v>飞兵</v>
      </c>
      <c r="V1796" t="s">
        <v>4759</v>
      </c>
      <c r="W1796">
        <f>属性类型!G1796</f>
        <v>136</v>
      </c>
      <c r="X1796">
        <v>1</v>
      </c>
    </row>
    <row r="1797" customFormat="1" ht="16.5" spans="1:24">
      <c r="A1797" s="17">
        <f t="shared" si="1343"/>
        <v>42617</v>
      </c>
      <c r="B1797" s="17">
        <f t="shared" si="1349"/>
        <v>42600</v>
      </c>
      <c r="C1797" s="17" t="str">
        <f t="shared" si="1333"/>
        <v>4</v>
      </c>
      <c r="D1797" s="17">
        <f t="shared" si="1341"/>
        <v>40003</v>
      </c>
      <c r="E1797" s="17">
        <v>1</v>
      </c>
      <c r="F1797" s="17">
        <f t="shared" si="1331"/>
        <v>3</v>
      </c>
      <c r="G1797" s="17" t="str">
        <f t="shared" si="1344"/>
        <v>高级生命百分比</v>
      </c>
      <c r="H1797" s="17" t="str">
        <f t="shared" si="1345"/>
        <v>icon_07</v>
      </c>
      <c r="I1797" s="20">
        <v>0</v>
      </c>
      <c r="J1797" s="17">
        <v>17</v>
      </c>
      <c r="K1797" s="17">
        <f t="shared" si="1342"/>
        <v>42618</v>
      </c>
      <c r="L1797" s="17" t="s">
        <v>637</v>
      </c>
      <c r="M1797" s="17" t="str">
        <f t="shared" si="1346"/>
        <v>1:12300:10</v>
      </c>
      <c r="N1797" s="16" t="str">
        <f t="shared" si="1328"/>
        <v>136:1</v>
      </c>
      <c r="O1797" s="17">
        <f t="shared" si="1332"/>
        <v>7</v>
      </c>
      <c r="P1797" s="21" t="str">
        <f>$S$1&amp;R1797&amp;$Q$1&amp;T1797</f>
        <v>所有飞兵生命百分比增加:1</v>
      </c>
      <c r="Q1797" s="21"/>
      <c r="R1797" t="str">
        <f t="shared" si="1347"/>
        <v>生命百分比</v>
      </c>
      <c r="T1797" t="str">
        <f t="shared" si="1348"/>
        <v>:1</v>
      </c>
      <c r="U1797" t="str">
        <f t="shared" ref="U1797:U1860" si="1350">MID(P1797,3,2)</f>
        <v>飞兵</v>
      </c>
      <c r="V1797" t="s">
        <v>4759</v>
      </c>
      <c r="W1797">
        <f>属性类型!G1797</f>
        <v>136</v>
      </c>
      <c r="X1797">
        <v>1</v>
      </c>
    </row>
    <row r="1798" customFormat="1" ht="16.5" spans="1:24">
      <c r="A1798" s="17">
        <f t="shared" si="1343"/>
        <v>42618</v>
      </c>
      <c r="B1798" s="17">
        <f t="shared" si="1349"/>
        <v>42600</v>
      </c>
      <c r="C1798" s="17" t="str">
        <f t="shared" si="1333"/>
        <v>4</v>
      </c>
      <c r="D1798" s="17">
        <f t="shared" si="1341"/>
        <v>40003</v>
      </c>
      <c r="E1798" s="17">
        <v>1</v>
      </c>
      <c r="F1798" s="17">
        <f t="shared" si="1331"/>
        <v>3</v>
      </c>
      <c r="G1798" s="17" t="str">
        <f t="shared" si="1344"/>
        <v>高级生命百分比</v>
      </c>
      <c r="H1798" s="17" t="str">
        <f t="shared" si="1345"/>
        <v>icon_07</v>
      </c>
      <c r="I1798" s="20">
        <v>0</v>
      </c>
      <c r="J1798" s="17">
        <v>18</v>
      </c>
      <c r="K1798" s="17">
        <f t="shared" si="1342"/>
        <v>42619</v>
      </c>
      <c r="L1798" s="17" t="s">
        <v>641</v>
      </c>
      <c r="M1798" s="17" t="str">
        <f t="shared" si="1346"/>
        <v>1:12300:10</v>
      </c>
      <c r="N1798" s="16" t="str">
        <f t="shared" si="1328"/>
        <v>136:1</v>
      </c>
      <c r="O1798" s="17">
        <f t="shared" si="1332"/>
        <v>7</v>
      </c>
      <c r="P1798" s="21" t="str">
        <f>$S$1&amp;R1798&amp;$Q$1&amp;T1798</f>
        <v>所有飞兵生命百分比增加:1</v>
      </c>
      <c r="Q1798" s="21"/>
      <c r="R1798" t="str">
        <f t="shared" si="1347"/>
        <v>生命百分比</v>
      </c>
      <c r="T1798" t="str">
        <f t="shared" si="1348"/>
        <v>:1</v>
      </c>
      <c r="U1798" t="str">
        <f t="shared" si="1350"/>
        <v>飞兵</v>
      </c>
      <c r="V1798" t="s">
        <v>4759</v>
      </c>
      <c r="W1798">
        <f>属性类型!G1798</f>
        <v>136</v>
      </c>
      <c r="X1798">
        <v>1</v>
      </c>
    </row>
    <row r="1799" customFormat="1" ht="16.5" spans="1:24">
      <c r="A1799" s="17">
        <f t="shared" si="1343"/>
        <v>42619</v>
      </c>
      <c r="B1799" s="17">
        <f t="shared" si="1349"/>
        <v>42600</v>
      </c>
      <c r="C1799" s="17" t="str">
        <f t="shared" si="1333"/>
        <v>4</v>
      </c>
      <c r="D1799" s="17">
        <f t="shared" si="1341"/>
        <v>40003</v>
      </c>
      <c r="E1799" s="17">
        <v>1</v>
      </c>
      <c r="F1799" s="17">
        <f t="shared" si="1331"/>
        <v>3</v>
      </c>
      <c r="G1799" s="17" t="str">
        <f t="shared" si="1344"/>
        <v>高级生命百分比</v>
      </c>
      <c r="H1799" s="17" t="str">
        <f t="shared" si="1345"/>
        <v>icon_07</v>
      </c>
      <c r="I1799" s="20">
        <v>0</v>
      </c>
      <c r="J1799" s="17">
        <v>19</v>
      </c>
      <c r="K1799" s="17">
        <f t="shared" si="1342"/>
        <v>42620</v>
      </c>
      <c r="L1799" s="17" t="s">
        <v>645</v>
      </c>
      <c r="M1799" s="17" t="str">
        <f t="shared" si="1346"/>
        <v>1:12300:10</v>
      </c>
      <c r="N1799" s="16" t="str">
        <f t="shared" si="1328"/>
        <v>136:1</v>
      </c>
      <c r="O1799" s="17">
        <f t="shared" si="1332"/>
        <v>7</v>
      </c>
      <c r="P1799" s="21" t="str">
        <f>$S$1&amp;R1799&amp;$Q$1&amp;T1799</f>
        <v>所有飞兵生命百分比增加:1</v>
      </c>
      <c r="Q1799" s="21"/>
      <c r="R1799" t="str">
        <f t="shared" si="1347"/>
        <v>生命百分比</v>
      </c>
      <c r="T1799" t="str">
        <f t="shared" si="1348"/>
        <v>:1</v>
      </c>
      <c r="U1799" t="str">
        <f t="shared" si="1350"/>
        <v>飞兵</v>
      </c>
      <c r="V1799" t="s">
        <v>4759</v>
      </c>
      <c r="W1799">
        <f>属性类型!G1799</f>
        <v>136</v>
      </c>
      <c r="X1799">
        <v>1</v>
      </c>
    </row>
    <row r="1800" customFormat="1" ht="16.5" spans="1:24">
      <c r="A1800" s="17">
        <f t="shared" si="1343"/>
        <v>42620</v>
      </c>
      <c r="B1800" s="17">
        <f t="shared" si="1349"/>
        <v>42600</v>
      </c>
      <c r="C1800" s="17" t="str">
        <f t="shared" si="1333"/>
        <v>4</v>
      </c>
      <c r="D1800" s="17">
        <f t="shared" si="1341"/>
        <v>40003</v>
      </c>
      <c r="E1800" s="17">
        <v>1</v>
      </c>
      <c r="F1800" s="17">
        <f t="shared" si="1331"/>
        <v>3</v>
      </c>
      <c r="G1800" s="17" t="str">
        <f t="shared" si="1344"/>
        <v>高级生命百分比</v>
      </c>
      <c r="H1800" s="17" t="str">
        <f t="shared" si="1345"/>
        <v>icon_07</v>
      </c>
      <c r="I1800" s="20">
        <v>0</v>
      </c>
      <c r="J1800" s="17">
        <v>20</v>
      </c>
      <c r="K1800" s="17">
        <v>0</v>
      </c>
      <c r="L1800" s="17">
        <v>0</v>
      </c>
      <c r="M1800" s="17" t="str">
        <f t="shared" si="1346"/>
        <v>1:12300:10</v>
      </c>
      <c r="N1800" s="16" t="str">
        <f t="shared" si="1328"/>
        <v>136:1</v>
      </c>
      <c r="O1800" s="17">
        <f t="shared" si="1332"/>
        <v>7</v>
      </c>
      <c r="P1800" s="21" t="str">
        <f>$S$1&amp;R1800&amp;$Q$1&amp;T1800</f>
        <v>所有飞兵生命百分比增加:1</v>
      </c>
      <c r="Q1800" s="21"/>
      <c r="R1800" t="str">
        <f t="shared" si="1347"/>
        <v>生命百分比</v>
      </c>
      <c r="T1800" t="str">
        <f t="shared" si="1348"/>
        <v>:1</v>
      </c>
      <c r="U1800" t="str">
        <f t="shared" si="1350"/>
        <v>飞兵</v>
      </c>
      <c r="V1800" t="s">
        <v>4759</v>
      </c>
      <c r="W1800">
        <f>属性类型!G1800</f>
        <v>136</v>
      </c>
      <c r="X1800">
        <v>1</v>
      </c>
    </row>
    <row r="1801" customFormat="1" ht="16.5" spans="1:24">
      <c r="A1801" s="18">
        <f>A1780+100</f>
        <v>42700</v>
      </c>
      <c r="B1801" s="18">
        <f t="shared" si="1349"/>
        <v>42700</v>
      </c>
      <c r="C1801" s="18" t="str">
        <f t="shared" si="1333"/>
        <v>4</v>
      </c>
      <c r="D1801" s="17">
        <f t="shared" si="1341"/>
        <v>40003</v>
      </c>
      <c r="E1801" s="17">
        <v>2</v>
      </c>
      <c r="F1801" s="18">
        <f t="shared" si="1331"/>
        <v>3</v>
      </c>
      <c r="G1801" s="18" t="s">
        <v>4760</v>
      </c>
      <c r="H1801" s="18" t="s">
        <v>2361</v>
      </c>
      <c r="I1801" s="20">
        <v>1.2</v>
      </c>
      <c r="J1801" s="18">
        <v>0</v>
      </c>
      <c r="K1801" s="18">
        <f t="shared" ref="K1801:K1820" si="1351">A1802</f>
        <v>42701</v>
      </c>
      <c r="L1801" s="18" t="s">
        <v>206</v>
      </c>
      <c r="M1801" s="18" t="s">
        <v>709</v>
      </c>
      <c r="N1801" s="16" t="str">
        <f t="shared" si="1328"/>
        <v>10034:1</v>
      </c>
      <c r="O1801" s="18">
        <f t="shared" si="1332"/>
        <v>8</v>
      </c>
      <c r="P1801" s="21" t="s">
        <v>4761</v>
      </c>
      <c r="Q1801" s="21"/>
      <c r="R1801" t="s">
        <v>4762</v>
      </c>
      <c r="T1801" t="str">
        <f>RIGHT(N1801,1)</f>
        <v>1</v>
      </c>
      <c r="U1801" t="str">
        <f t="shared" si="1350"/>
        <v>骑士</v>
      </c>
      <c r="V1801" t="s">
        <v>4760</v>
      </c>
      <c r="W1801">
        <f>属性类型!G1801</f>
        <v>10034</v>
      </c>
      <c r="X1801">
        <v>1</v>
      </c>
    </row>
    <row r="1802" customFormat="1" ht="16.5" spans="1:24">
      <c r="A1802" s="17">
        <f t="shared" ref="A1802:A1821" si="1352">A1801+1</f>
        <v>42701</v>
      </c>
      <c r="B1802" s="17">
        <f t="shared" si="1349"/>
        <v>42700</v>
      </c>
      <c r="C1802" s="17" t="str">
        <f t="shared" si="1333"/>
        <v>4</v>
      </c>
      <c r="D1802" s="17">
        <f t="shared" si="1341"/>
        <v>40003</v>
      </c>
      <c r="E1802" s="17">
        <f t="shared" ref="E1802:I1802" si="1353">E1801</f>
        <v>2</v>
      </c>
      <c r="F1802" s="17">
        <f t="shared" si="1331"/>
        <v>3</v>
      </c>
      <c r="G1802" s="17" t="str">
        <f t="shared" si="1353"/>
        <v>飞龙骑士防御百分比</v>
      </c>
      <c r="H1802" s="17" t="str">
        <f t="shared" si="1353"/>
        <v>feibing02_Lv3</v>
      </c>
      <c r="I1802" s="20">
        <f t="shared" si="1353"/>
        <v>1.2</v>
      </c>
      <c r="J1802" s="17">
        <v>1</v>
      </c>
      <c r="K1802" s="17">
        <f t="shared" si="1351"/>
        <v>42702</v>
      </c>
      <c r="L1802" s="17" t="s">
        <v>211</v>
      </c>
      <c r="M1802" s="17" t="str">
        <f t="shared" ref="M1802:M1821" si="1354">M1801</f>
        <v>1:12400:10</v>
      </c>
      <c r="N1802" s="16" t="str">
        <f t="shared" si="1328"/>
        <v>10034:1</v>
      </c>
      <c r="O1802" s="17">
        <f t="shared" si="1332"/>
        <v>8</v>
      </c>
      <c r="P1802" s="21" t="s">
        <v>4763</v>
      </c>
      <c r="Q1802" s="21"/>
      <c r="R1802" t="s">
        <v>4762</v>
      </c>
      <c r="T1802" t="str">
        <f t="shared" ref="T1802:T1821" si="1355">RIGHT(N1802,2)</f>
        <v>:1</v>
      </c>
      <c r="U1802" t="str">
        <f t="shared" si="1350"/>
        <v>骑士</v>
      </c>
      <c r="V1802" t="s">
        <v>4760</v>
      </c>
      <c r="W1802">
        <f>属性类型!G1802</f>
        <v>10034</v>
      </c>
      <c r="X1802">
        <v>1</v>
      </c>
    </row>
    <row r="1803" customFormat="1" ht="16.5" spans="1:24">
      <c r="A1803" s="17">
        <f t="shared" si="1352"/>
        <v>42702</v>
      </c>
      <c r="B1803" s="17">
        <f t="shared" si="1349"/>
        <v>42700</v>
      </c>
      <c r="C1803" s="17" t="str">
        <f t="shared" si="1333"/>
        <v>4</v>
      </c>
      <c r="D1803" s="17">
        <f t="shared" si="1341"/>
        <v>40003</v>
      </c>
      <c r="E1803" s="17">
        <f t="shared" ref="E1803:H1803" si="1356">E1802</f>
        <v>2</v>
      </c>
      <c r="F1803" s="17">
        <f t="shared" si="1331"/>
        <v>3</v>
      </c>
      <c r="G1803" s="17" t="str">
        <f t="shared" si="1356"/>
        <v>飞龙骑士防御百分比</v>
      </c>
      <c r="H1803" s="17" t="str">
        <f t="shared" si="1356"/>
        <v>feibing02_Lv3</v>
      </c>
      <c r="I1803" s="20">
        <f t="shared" ref="I1803:I1821" si="1357">I1802</f>
        <v>1.2</v>
      </c>
      <c r="J1803" s="17">
        <v>2</v>
      </c>
      <c r="K1803" s="17">
        <f t="shared" si="1351"/>
        <v>42703</v>
      </c>
      <c r="L1803" s="17" t="s">
        <v>215</v>
      </c>
      <c r="M1803" s="17" t="str">
        <f t="shared" si="1354"/>
        <v>1:12400:10</v>
      </c>
      <c r="N1803" s="16" t="str">
        <f t="shared" ref="N1803:N1866" si="1358">W1803&amp;$W$2&amp;X1803</f>
        <v>10034:1</v>
      </c>
      <c r="O1803" s="17">
        <f t="shared" si="1332"/>
        <v>8</v>
      </c>
      <c r="P1803" s="21" t="s">
        <v>4764</v>
      </c>
      <c r="Q1803" s="21"/>
      <c r="R1803" t="s">
        <v>4762</v>
      </c>
      <c r="T1803" t="str">
        <f t="shared" si="1355"/>
        <v>:1</v>
      </c>
      <c r="U1803" t="str">
        <f t="shared" si="1350"/>
        <v>骑士</v>
      </c>
      <c r="V1803" t="s">
        <v>4760</v>
      </c>
      <c r="W1803">
        <f>属性类型!G1803</f>
        <v>10034</v>
      </c>
      <c r="X1803">
        <v>1</v>
      </c>
    </row>
    <row r="1804" customFormat="1" ht="16.5" spans="1:24">
      <c r="A1804" s="17">
        <f t="shared" si="1352"/>
        <v>42703</v>
      </c>
      <c r="B1804" s="17">
        <f t="shared" si="1349"/>
        <v>42700</v>
      </c>
      <c r="C1804" s="17" t="str">
        <f t="shared" si="1333"/>
        <v>4</v>
      </c>
      <c r="D1804" s="17">
        <f t="shared" si="1341"/>
        <v>40003</v>
      </c>
      <c r="E1804" s="17">
        <f t="shared" ref="E1804:H1804" si="1359">E1803</f>
        <v>2</v>
      </c>
      <c r="F1804" s="17">
        <f t="shared" si="1331"/>
        <v>3</v>
      </c>
      <c r="G1804" s="17" t="str">
        <f t="shared" si="1359"/>
        <v>飞龙骑士防御百分比</v>
      </c>
      <c r="H1804" s="17" t="str">
        <f t="shared" si="1359"/>
        <v>feibing02_Lv3</v>
      </c>
      <c r="I1804" s="20">
        <f t="shared" si="1357"/>
        <v>1.2</v>
      </c>
      <c r="J1804" s="17">
        <v>3</v>
      </c>
      <c r="K1804" s="17">
        <f t="shared" si="1351"/>
        <v>42704</v>
      </c>
      <c r="L1804" s="17" t="s">
        <v>218</v>
      </c>
      <c r="M1804" s="17" t="str">
        <f t="shared" si="1354"/>
        <v>1:12400:10</v>
      </c>
      <c r="N1804" s="16" t="str">
        <f t="shared" si="1358"/>
        <v>10034:1</v>
      </c>
      <c r="O1804" s="17">
        <f t="shared" si="1332"/>
        <v>8</v>
      </c>
      <c r="P1804" s="21" t="s">
        <v>4765</v>
      </c>
      <c r="Q1804" s="21"/>
      <c r="R1804" t="s">
        <v>4762</v>
      </c>
      <c r="T1804" t="str">
        <f t="shared" si="1355"/>
        <v>:1</v>
      </c>
      <c r="U1804" t="str">
        <f t="shared" si="1350"/>
        <v>骑士</v>
      </c>
      <c r="V1804" t="s">
        <v>4760</v>
      </c>
      <c r="W1804">
        <f>属性类型!G1804</f>
        <v>10034</v>
      </c>
      <c r="X1804">
        <v>1</v>
      </c>
    </row>
    <row r="1805" customFormat="1" ht="16.5" spans="1:24">
      <c r="A1805" s="17">
        <f t="shared" si="1352"/>
        <v>42704</v>
      </c>
      <c r="B1805" s="17">
        <f t="shared" si="1349"/>
        <v>42700</v>
      </c>
      <c r="C1805" s="17" t="str">
        <f t="shared" si="1333"/>
        <v>4</v>
      </c>
      <c r="D1805" s="17">
        <f t="shared" si="1341"/>
        <v>40003</v>
      </c>
      <c r="E1805" s="17">
        <f t="shared" ref="E1805:H1805" si="1360">E1804</f>
        <v>2</v>
      </c>
      <c r="F1805" s="17">
        <f t="shared" si="1331"/>
        <v>3</v>
      </c>
      <c r="G1805" s="17" t="str">
        <f t="shared" si="1360"/>
        <v>飞龙骑士防御百分比</v>
      </c>
      <c r="H1805" s="17" t="str">
        <f t="shared" si="1360"/>
        <v>feibing02_Lv3</v>
      </c>
      <c r="I1805" s="20">
        <f t="shared" si="1357"/>
        <v>1.2</v>
      </c>
      <c r="J1805" s="17">
        <v>4</v>
      </c>
      <c r="K1805" s="17">
        <f t="shared" si="1351"/>
        <v>42705</v>
      </c>
      <c r="L1805" s="17" t="s">
        <v>221</v>
      </c>
      <c r="M1805" s="17" t="str">
        <f t="shared" si="1354"/>
        <v>1:12400:10</v>
      </c>
      <c r="N1805" s="16" t="str">
        <f t="shared" si="1358"/>
        <v>10034:1</v>
      </c>
      <c r="O1805" s="17">
        <f t="shared" si="1332"/>
        <v>8</v>
      </c>
      <c r="P1805" s="21" t="s">
        <v>4766</v>
      </c>
      <c r="Q1805" s="21"/>
      <c r="R1805" t="s">
        <v>4762</v>
      </c>
      <c r="T1805" t="str">
        <f t="shared" si="1355"/>
        <v>:1</v>
      </c>
      <c r="U1805" t="str">
        <f t="shared" si="1350"/>
        <v>骑士</v>
      </c>
      <c r="V1805" t="s">
        <v>4760</v>
      </c>
      <c r="W1805">
        <f>属性类型!G1805</f>
        <v>10034</v>
      </c>
      <c r="X1805">
        <v>1</v>
      </c>
    </row>
    <row r="1806" customFormat="1" ht="16.5" spans="1:24">
      <c r="A1806" s="17">
        <f t="shared" si="1352"/>
        <v>42705</v>
      </c>
      <c r="B1806" s="17">
        <f t="shared" si="1349"/>
        <v>42700</v>
      </c>
      <c r="C1806" s="17" t="str">
        <f t="shared" si="1333"/>
        <v>4</v>
      </c>
      <c r="D1806" s="17">
        <f t="shared" si="1341"/>
        <v>40003</v>
      </c>
      <c r="E1806" s="17">
        <f t="shared" ref="E1806:H1806" si="1361">E1805</f>
        <v>2</v>
      </c>
      <c r="F1806" s="17">
        <f t="shared" si="1331"/>
        <v>3</v>
      </c>
      <c r="G1806" s="17" t="str">
        <f t="shared" si="1361"/>
        <v>飞龙骑士防御百分比</v>
      </c>
      <c r="H1806" s="17" t="str">
        <f t="shared" si="1361"/>
        <v>feibing02_Lv3</v>
      </c>
      <c r="I1806" s="20">
        <f t="shared" si="1357"/>
        <v>1.2</v>
      </c>
      <c r="J1806" s="17">
        <v>5</v>
      </c>
      <c r="K1806" s="17">
        <f t="shared" si="1351"/>
        <v>42706</v>
      </c>
      <c r="L1806" s="17" t="s">
        <v>224</v>
      </c>
      <c r="M1806" s="17" t="str">
        <f t="shared" si="1354"/>
        <v>1:12400:10</v>
      </c>
      <c r="N1806" s="16" t="str">
        <f t="shared" si="1358"/>
        <v>10034:1</v>
      </c>
      <c r="O1806" s="17">
        <f t="shared" si="1332"/>
        <v>8</v>
      </c>
      <c r="P1806" s="21" t="s">
        <v>4767</v>
      </c>
      <c r="Q1806" s="21"/>
      <c r="R1806" t="s">
        <v>4762</v>
      </c>
      <c r="T1806" t="str">
        <f t="shared" si="1355"/>
        <v>:1</v>
      </c>
      <c r="U1806" t="str">
        <f t="shared" si="1350"/>
        <v>骑士</v>
      </c>
      <c r="V1806" t="s">
        <v>4760</v>
      </c>
      <c r="W1806">
        <f>属性类型!G1806</f>
        <v>10034</v>
      </c>
      <c r="X1806">
        <v>1</v>
      </c>
    </row>
    <row r="1807" customFormat="1" ht="16.5" spans="1:24">
      <c r="A1807" s="17">
        <f t="shared" si="1352"/>
        <v>42706</v>
      </c>
      <c r="B1807" s="17">
        <f t="shared" si="1349"/>
        <v>42700</v>
      </c>
      <c r="C1807" s="17" t="str">
        <f t="shared" si="1333"/>
        <v>4</v>
      </c>
      <c r="D1807" s="17">
        <f t="shared" si="1341"/>
        <v>40003</v>
      </c>
      <c r="E1807" s="17">
        <f t="shared" ref="E1807:H1807" si="1362">E1806</f>
        <v>2</v>
      </c>
      <c r="F1807" s="17">
        <f t="shared" si="1331"/>
        <v>3</v>
      </c>
      <c r="G1807" s="17" t="str">
        <f t="shared" si="1362"/>
        <v>飞龙骑士防御百分比</v>
      </c>
      <c r="H1807" s="17" t="str">
        <f t="shared" si="1362"/>
        <v>feibing02_Lv3</v>
      </c>
      <c r="I1807" s="20">
        <f t="shared" si="1357"/>
        <v>1.2</v>
      </c>
      <c r="J1807" s="17">
        <v>6</v>
      </c>
      <c r="K1807" s="17">
        <f t="shared" si="1351"/>
        <v>42707</v>
      </c>
      <c r="L1807" s="17" t="s">
        <v>227</v>
      </c>
      <c r="M1807" s="17" t="str">
        <f t="shared" si="1354"/>
        <v>1:12400:10</v>
      </c>
      <c r="N1807" s="16" t="str">
        <f t="shared" si="1358"/>
        <v>10034:1</v>
      </c>
      <c r="O1807" s="17">
        <f t="shared" si="1332"/>
        <v>8</v>
      </c>
      <c r="P1807" s="21" t="s">
        <v>4768</v>
      </c>
      <c r="Q1807" s="21"/>
      <c r="R1807" t="s">
        <v>4762</v>
      </c>
      <c r="T1807" t="str">
        <f t="shared" si="1355"/>
        <v>:1</v>
      </c>
      <c r="U1807" t="str">
        <f t="shared" si="1350"/>
        <v>骑士</v>
      </c>
      <c r="V1807" t="s">
        <v>4760</v>
      </c>
      <c r="W1807">
        <f>属性类型!G1807</f>
        <v>10034</v>
      </c>
      <c r="X1807">
        <v>1</v>
      </c>
    </row>
    <row r="1808" customFormat="1" ht="16.5" spans="1:24">
      <c r="A1808" s="17">
        <f t="shared" si="1352"/>
        <v>42707</v>
      </c>
      <c r="B1808" s="17">
        <f t="shared" si="1349"/>
        <v>42700</v>
      </c>
      <c r="C1808" s="17" t="str">
        <f t="shared" si="1333"/>
        <v>4</v>
      </c>
      <c r="D1808" s="17">
        <f t="shared" si="1341"/>
        <v>40003</v>
      </c>
      <c r="E1808" s="17">
        <f t="shared" ref="E1808:H1808" si="1363">E1807</f>
        <v>2</v>
      </c>
      <c r="F1808" s="17">
        <f t="shared" ref="F1808:F1871" si="1364">MID(B1808,2,1)+1</f>
        <v>3</v>
      </c>
      <c r="G1808" s="17" t="str">
        <f t="shared" si="1363"/>
        <v>飞龙骑士防御百分比</v>
      </c>
      <c r="H1808" s="17" t="str">
        <f t="shared" si="1363"/>
        <v>feibing02_Lv3</v>
      </c>
      <c r="I1808" s="20">
        <f t="shared" si="1357"/>
        <v>1.2</v>
      </c>
      <c r="J1808" s="17">
        <v>7</v>
      </c>
      <c r="K1808" s="17">
        <f t="shared" si="1351"/>
        <v>42708</v>
      </c>
      <c r="L1808" s="17" t="s">
        <v>230</v>
      </c>
      <c r="M1808" s="17" t="str">
        <f t="shared" si="1354"/>
        <v>1:12400:10</v>
      </c>
      <c r="N1808" s="16" t="str">
        <f t="shared" si="1358"/>
        <v>10034:1</v>
      </c>
      <c r="O1808" s="17">
        <f t="shared" ref="O1808:O1871" si="1365">MID(A1808,3,1)+1</f>
        <v>8</v>
      </c>
      <c r="P1808" s="21" t="s">
        <v>4769</v>
      </c>
      <c r="Q1808" s="21"/>
      <c r="R1808" t="s">
        <v>4762</v>
      </c>
      <c r="T1808" t="str">
        <f t="shared" si="1355"/>
        <v>:1</v>
      </c>
      <c r="U1808" t="str">
        <f t="shared" si="1350"/>
        <v>骑士</v>
      </c>
      <c r="V1808" t="s">
        <v>4760</v>
      </c>
      <c r="W1808">
        <f>属性类型!G1808</f>
        <v>10034</v>
      </c>
      <c r="X1808">
        <v>1</v>
      </c>
    </row>
    <row r="1809" customFormat="1" ht="16.5" spans="1:24">
      <c r="A1809" s="17">
        <f t="shared" si="1352"/>
        <v>42708</v>
      </c>
      <c r="B1809" s="17">
        <f t="shared" si="1349"/>
        <v>42700</v>
      </c>
      <c r="C1809" s="17" t="str">
        <f t="shared" si="1333"/>
        <v>4</v>
      </c>
      <c r="D1809" s="17">
        <f t="shared" si="1341"/>
        <v>40003</v>
      </c>
      <c r="E1809" s="17">
        <f t="shared" ref="E1809:H1809" si="1366">E1808</f>
        <v>2</v>
      </c>
      <c r="F1809" s="17">
        <f t="shared" si="1364"/>
        <v>3</v>
      </c>
      <c r="G1809" s="17" t="str">
        <f t="shared" si="1366"/>
        <v>飞龙骑士防御百分比</v>
      </c>
      <c r="H1809" s="17" t="str">
        <f t="shared" si="1366"/>
        <v>feibing02_Lv3</v>
      </c>
      <c r="I1809" s="20">
        <f t="shared" si="1357"/>
        <v>1.2</v>
      </c>
      <c r="J1809" s="17">
        <v>8</v>
      </c>
      <c r="K1809" s="17">
        <f t="shared" si="1351"/>
        <v>42709</v>
      </c>
      <c r="L1809" s="17" t="s">
        <v>233</v>
      </c>
      <c r="M1809" s="17" t="str">
        <f t="shared" si="1354"/>
        <v>1:12400:10</v>
      </c>
      <c r="N1809" s="16" t="str">
        <f t="shared" si="1358"/>
        <v>10034:1</v>
      </c>
      <c r="O1809" s="17">
        <f t="shared" si="1365"/>
        <v>8</v>
      </c>
      <c r="P1809" s="21" t="s">
        <v>4770</v>
      </c>
      <c r="Q1809" s="21"/>
      <c r="R1809" t="s">
        <v>4762</v>
      </c>
      <c r="T1809" t="str">
        <f t="shared" si="1355"/>
        <v>:1</v>
      </c>
      <c r="U1809" t="str">
        <f t="shared" si="1350"/>
        <v>骑士</v>
      </c>
      <c r="V1809" t="s">
        <v>4760</v>
      </c>
      <c r="W1809">
        <f>属性类型!G1809</f>
        <v>10034</v>
      </c>
      <c r="X1809">
        <v>1</v>
      </c>
    </row>
    <row r="1810" customFormat="1" ht="16.5" spans="1:24">
      <c r="A1810" s="17">
        <f t="shared" si="1352"/>
        <v>42709</v>
      </c>
      <c r="B1810" s="17">
        <f t="shared" si="1349"/>
        <v>42700</v>
      </c>
      <c r="C1810" s="17" t="str">
        <f t="shared" si="1333"/>
        <v>4</v>
      </c>
      <c r="D1810" s="17">
        <f t="shared" si="1341"/>
        <v>40003</v>
      </c>
      <c r="E1810" s="17">
        <f t="shared" ref="E1810:H1810" si="1367">E1809</f>
        <v>2</v>
      </c>
      <c r="F1810" s="17">
        <f t="shared" si="1364"/>
        <v>3</v>
      </c>
      <c r="G1810" s="17" t="str">
        <f t="shared" si="1367"/>
        <v>飞龙骑士防御百分比</v>
      </c>
      <c r="H1810" s="17" t="str">
        <f t="shared" si="1367"/>
        <v>feibing02_Lv3</v>
      </c>
      <c r="I1810" s="20">
        <f t="shared" si="1357"/>
        <v>1.2</v>
      </c>
      <c r="J1810" s="17">
        <v>9</v>
      </c>
      <c r="K1810" s="17">
        <f t="shared" si="1351"/>
        <v>42710</v>
      </c>
      <c r="L1810" s="17" t="s">
        <v>236</v>
      </c>
      <c r="M1810" s="17" t="str">
        <f t="shared" si="1354"/>
        <v>1:12400:10</v>
      </c>
      <c r="N1810" s="16" t="str">
        <f t="shared" si="1358"/>
        <v>10034:1</v>
      </c>
      <c r="O1810" s="17">
        <f t="shared" si="1365"/>
        <v>8</v>
      </c>
      <c r="P1810" s="21" t="s">
        <v>4771</v>
      </c>
      <c r="Q1810" s="21"/>
      <c r="R1810" t="s">
        <v>4762</v>
      </c>
      <c r="T1810" t="str">
        <f t="shared" si="1355"/>
        <v>:1</v>
      </c>
      <c r="U1810" t="str">
        <f t="shared" si="1350"/>
        <v>骑士</v>
      </c>
      <c r="V1810" t="s">
        <v>4760</v>
      </c>
      <c r="W1810">
        <f>属性类型!G1810</f>
        <v>10034</v>
      </c>
      <c r="X1810">
        <v>1</v>
      </c>
    </row>
    <row r="1811" customFormat="1" ht="16.5" spans="1:24">
      <c r="A1811" s="17">
        <f t="shared" si="1352"/>
        <v>42710</v>
      </c>
      <c r="B1811" s="17">
        <f t="shared" si="1349"/>
        <v>42700</v>
      </c>
      <c r="C1811" s="17" t="str">
        <f t="shared" si="1333"/>
        <v>4</v>
      </c>
      <c r="D1811" s="17">
        <f t="shared" si="1341"/>
        <v>40003</v>
      </c>
      <c r="E1811" s="17">
        <f t="shared" ref="E1811:H1811" si="1368">E1810</f>
        <v>2</v>
      </c>
      <c r="F1811" s="17">
        <f t="shared" si="1364"/>
        <v>3</v>
      </c>
      <c r="G1811" s="17" t="str">
        <f t="shared" si="1368"/>
        <v>飞龙骑士防御百分比</v>
      </c>
      <c r="H1811" s="17" t="str">
        <f t="shared" si="1368"/>
        <v>feibing02_Lv3</v>
      </c>
      <c r="I1811" s="20">
        <f t="shared" si="1357"/>
        <v>1.2</v>
      </c>
      <c r="J1811" s="17">
        <v>10</v>
      </c>
      <c r="K1811" s="17">
        <f t="shared" si="1351"/>
        <v>42711</v>
      </c>
      <c r="L1811" s="17" t="s">
        <v>238</v>
      </c>
      <c r="M1811" s="17" t="str">
        <f t="shared" si="1354"/>
        <v>1:12400:10</v>
      </c>
      <c r="N1811" s="16" t="str">
        <f t="shared" si="1358"/>
        <v>10034:1</v>
      </c>
      <c r="O1811" s="17">
        <f t="shared" si="1365"/>
        <v>8</v>
      </c>
      <c r="P1811" s="21" t="s">
        <v>4772</v>
      </c>
      <c r="Q1811" s="21"/>
      <c r="R1811" t="s">
        <v>4762</v>
      </c>
      <c r="T1811" t="str">
        <f t="shared" si="1355"/>
        <v>:1</v>
      </c>
      <c r="U1811" t="str">
        <f t="shared" si="1350"/>
        <v>骑士</v>
      </c>
      <c r="V1811" t="s">
        <v>4760</v>
      </c>
      <c r="W1811">
        <f>属性类型!G1811</f>
        <v>10034</v>
      </c>
      <c r="X1811">
        <v>1</v>
      </c>
    </row>
    <row r="1812" customFormat="1" ht="16.5" spans="1:24">
      <c r="A1812" s="17">
        <f t="shared" si="1352"/>
        <v>42711</v>
      </c>
      <c r="B1812" s="17">
        <f t="shared" si="1349"/>
        <v>42700</v>
      </c>
      <c r="C1812" s="17" t="str">
        <f t="shared" si="1333"/>
        <v>4</v>
      </c>
      <c r="D1812" s="17">
        <f t="shared" si="1341"/>
        <v>40003</v>
      </c>
      <c r="E1812" s="17">
        <f t="shared" ref="E1812:H1812" si="1369">E1811</f>
        <v>2</v>
      </c>
      <c r="F1812" s="17">
        <f t="shared" si="1364"/>
        <v>3</v>
      </c>
      <c r="G1812" s="17" t="str">
        <f t="shared" si="1369"/>
        <v>飞龙骑士防御百分比</v>
      </c>
      <c r="H1812" s="17" t="str">
        <f t="shared" si="1369"/>
        <v>feibing02_Lv3</v>
      </c>
      <c r="I1812" s="20">
        <f t="shared" si="1357"/>
        <v>1.2</v>
      </c>
      <c r="J1812" s="17">
        <v>11</v>
      </c>
      <c r="K1812" s="17">
        <f t="shared" si="1351"/>
        <v>42712</v>
      </c>
      <c r="L1812" s="17" t="s">
        <v>529</v>
      </c>
      <c r="M1812" s="17" t="str">
        <f t="shared" si="1354"/>
        <v>1:12400:10</v>
      </c>
      <c r="N1812" s="16" t="str">
        <f t="shared" si="1358"/>
        <v>10034:1</v>
      </c>
      <c r="O1812" s="17">
        <f t="shared" si="1365"/>
        <v>8</v>
      </c>
      <c r="P1812" s="21" t="s">
        <v>4773</v>
      </c>
      <c r="Q1812" s="21"/>
      <c r="R1812" t="s">
        <v>4762</v>
      </c>
      <c r="T1812" t="str">
        <f t="shared" si="1355"/>
        <v>:1</v>
      </c>
      <c r="U1812" t="str">
        <f t="shared" si="1350"/>
        <v>骑士</v>
      </c>
      <c r="V1812" t="s">
        <v>4760</v>
      </c>
      <c r="W1812">
        <f>属性类型!G1812</f>
        <v>10034</v>
      </c>
      <c r="X1812">
        <v>1</v>
      </c>
    </row>
    <row r="1813" customFormat="1" ht="16.5" spans="1:24">
      <c r="A1813" s="17">
        <f t="shared" si="1352"/>
        <v>42712</v>
      </c>
      <c r="B1813" s="17">
        <f t="shared" si="1349"/>
        <v>42700</v>
      </c>
      <c r="C1813" s="17" t="str">
        <f t="shared" si="1333"/>
        <v>4</v>
      </c>
      <c r="D1813" s="17">
        <f t="shared" si="1341"/>
        <v>40003</v>
      </c>
      <c r="E1813" s="17">
        <f t="shared" ref="E1813:H1813" si="1370">E1812</f>
        <v>2</v>
      </c>
      <c r="F1813" s="17">
        <f t="shared" si="1364"/>
        <v>3</v>
      </c>
      <c r="G1813" s="17" t="str">
        <f t="shared" si="1370"/>
        <v>飞龙骑士防御百分比</v>
      </c>
      <c r="H1813" s="17" t="str">
        <f t="shared" si="1370"/>
        <v>feibing02_Lv3</v>
      </c>
      <c r="I1813" s="20">
        <f t="shared" si="1357"/>
        <v>1.2</v>
      </c>
      <c r="J1813" s="17">
        <v>12</v>
      </c>
      <c r="K1813" s="17">
        <f t="shared" si="1351"/>
        <v>42713</v>
      </c>
      <c r="L1813" s="17" t="s">
        <v>532</v>
      </c>
      <c r="M1813" s="17" t="str">
        <f t="shared" si="1354"/>
        <v>1:12400:10</v>
      </c>
      <c r="N1813" s="16" t="str">
        <f t="shared" si="1358"/>
        <v>10034:1</v>
      </c>
      <c r="O1813" s="17">
        <f t="shared" si="1365"/>
        <v>8</v>
      </c>
      <c r="P1813" s="21" t="s">
        <v>4774</v>
      </c>
      <c r="Q1813" s="21"/>
      <c r="R1813" t="s">
        <v>4762</v>
      </c>
      <c r="T1813" t="str">
        <f t="shared" si="1355"/>
        <v>:1</v>
      </c>
      <c r="U1813" t="str">
        <f t="shared" si="1350"/>
        <v>骑士</v>
      </c>
      <c r="V1813" t="s">
        <v>4760</v>
      </c>
      <c r="W1813">
        <f>属性类型!G1813</f>
        <v>10034</v>
      </c>
      <c r="X1813">
        <v>1</v>
      </c>
    </row>
    <row r="1814" customFormat="1" ht="16.5" spans="1:24">
      <c r="A1814" s="17">
        <f t="shared" si="1352"/>
        <v>42713</v>
      </c>
      <c r="B1814" s="17">
        <f t="shared" si="1349"/>
        <v>42700</v>
      </c>
      <c r="C1814" s="17" t="str">
        <f t="shared" si="1333"/>
        <v>4</v>
      </c>
      <c r="D1814" s="17">
        <f t="shared" si="1341"/>
        <v>40003</v>
      </c>
      <c r="E1814" s="17">
        <f t="shared" ref="E1814:H1814" si="1371">E1813</f>
        <v>2</v>
      </c>
      <c r="F1814" s="17">
        <f t="shared" si="1364"/>
        <v>3</v>
      </c>
      <c r="G1814" s="17" t="str">
        <f t="shared" si="1371"/>
        <v>飞龙骑士防御百分比</v>
      </c>
      <c r="H1814" s="17" t="str">
        <f t="shared" si="1371"/>
        <v>feibing02_Lv3</v>
      </c>
      <c r="I1814" s="20">
        <f t="shared" si="1357"/>
        <v>1.2</v>
      </c>
      <c r="J1814" s="17">
        <v>13</v>
      </c>
      <c r="K1814" s="17">
        <f t="shared" si="1351"/>
        <v>42714</v>
      </c>
      <c r="L1814" s="17" t="s">
        <v>561</v>
      </c>
      <c r="M1814" s="17" t="str">
        <f t="shared" si="1354"/>
        <v>1:12400:10</v>
      </c>
      <c r="N1814" s="16" t="str">
        <f t="shared" si="1358"/>
        <v>10034:1</v>
      </c>
      <c r="O1814" s="17">
        <f t="shared" si="1365"/>
        <v>8</v>
      </c>
      <c r="P1814" s="21" t="s">
        <v>4775</v>
      </c>
      <c r="Q1814" s="21"/>
      <c r="R1814" t="s">
        <v>4762</v>
      </c>
      <c r="T1814" t="str">
        <f t="shared" si="1355"/>
        <v>:1</v>
      </c>
      <c r="U1814" t="str">
        <f t="shared" si="1350"/>
        <v>骑士</v>
      </c>
      <c r="V1814" t="s">
        <v>4760</v>
      </c>
      <c r="W1814">
        <f>属性类型!G1814</f>
        <v>10034</v>
      </c>
      <c r="X1814">
        <v>1</v>
      </c>
    </row>
    <row r="1815" customFormat="1" ht="16.5" spans="1:24">
      <c r="A1815" s="17">
        <f t="shared" si="1352"/>
        <v>42714</v>
      </c>
      <c r="B1815" s="17">
        <f t="shared" si="1349"/>
        <v>42700</v>
      </c>
      <c r="C1815" s="17" t="str">
        <f t="shared" ref="C1815:C1878" si="1372">LEFT(A1815,1)</f>
        <v>4</v>
      </c>
      <c r="D1815" s="17">
        <f t="shared" si="1341"/>
        <v>40003</v>
      </c>
      <c r="E1815" s="17">
        <f t="shared" ref="E1815:H1815" si="1373">E1814</f>
        <v>2</v>
      </c>
      <c r="F1815" s="17">
        <f t="shared" si="1364"/>
        <v>3</v>
      </c>
      <c r="G1815" s="17" t="str">
        <f t="shared" si="1373"/>
        <v>飞龙骑士防御百分比</v>
      </c>
      <c r="H1815" s="17" t="str">
        <f t="shared" si="1373"/>
        <v>feibing02_Lv3</v>
      </c>
      <c r="I1815" s="20">
        <f t="shared" si="1357"/>
        <v>1.2</v>
      </c>
      <c r="J1815" s="17">
        <v>14</v>
      </c>
      <c r="K1815" s="17">
        <f t="shared" si="1351"/>
        <v>42715</v>
      </c>
      <c r="L1815" s="17" t="s">
        <v>564</v>
      </c>
      <c r="M1815" s="17" t="str">
        <f t="shared" si="1354"/>
        <v>1:12400:10</v>
      </c>
      <c r="N1815" s="16" t="str">
        <f t="shared" si="1358"/>
        <v>10034:1</v>
      </c>
      <c r="O1815" s="17">
        <f t="shared" si="1365"/>
        <v>8</v>
      </c>
      <c r="P1815" s="21" t="s">
        <v>4776</v>
      </c>
      <c r="Q1815" s="21"/>
      <c r="R1815" t="s">
        <v>4762</v>
      </c>
      <c r="T1815" t="str">
        <f t="shared" si="1355"/>
        <v>:1</v>
      </c>
      <c r="U1815" t="str">
        <f t="shared" si="1350"/>
        <v>骑士</v>
      </c>
      <c r="V1815" t="s">
        <v>4760</v>
      </c>
      <c r="W1815">
        <f>属性类型!G1815</f>
        <v>10034</v>
      </c>
      <c r="X1815">
        <v>1</v>
      </c>
    </row>
    <row r="1816" customFormat="1" ht="16.5" spans="1:24">
      <c r="A1816" s="17">
        <f t="shared" si="1352"/>
        <v>42715</v>
      </c>
      <c r="B1816" s="17">
        <f t="shared" si="1349"/>
        <v>42700</v>
      </c>
      <c r="C1816" s="17" t="str">
        <f t="shared" si="1372"/>
        <v>4</v>
      </c>
      <c r="D1816" s="17">
        <f t="shared" si="1341"/>
        <v>40003</v>
      </c>
      <c r="E1816" s="17">
        <f t="shared" ref="E1816:H1816" si="1374">E1815</f>
        <v>2</v>
      </c>
      <c r="F1816" s="17">
        <f t="shared" si="1364"/>
        <v>3</v>
      </c>
      <c r="G1816" s="17" t="str">
        <f t="shared" si="1374"/>
        <v>飞龙骑士防御百分比</v>
      </c>
      <c r="H1816" s="17" t="str">
        <f t="shared" si="1374"/>
        <v>feibing02_Lv3</v>
      </c>
      <c r="I1816" s="20">
        <f t="shared" si="1357"/>
        <v>1.2</v>
      </c>
      <c r="J1816" s="17">
        <v>15</v>
      </c>
      <c r="K1816" s="17">
        <f t="shared" si="1351"/>
        <v>42716</v>
      </c>
      <c r="L1816" s="17" t="s">
        <v>630</v>
      </c>
      <c r="M1816" s="17" t="str">
        <f t="shared" si="1354"/>
        <v>1:12400:10</v>
      </c>
      <c r="N1816" s="16" t="str">
        <f t="shared" si="1358"/>
        <v>10034:1</v>
      </c>
      <c r="O1816" s="17">
        <f t="shared" si="1365"/>
        <v>8</v>
      </c>
      <c r="P1816" s="21" t="s">
        <v>4777</v>
      </c>
      <c r="Q1816" s="21"/>
      <c r="R1816" t="s">
        <v>4762</v>
      </c>
      <c r="T1816" t="str">
        <f t="shared" si="1355"/>
        <v>:1</v>
      </c>
      <c r="U1816" t="str">
        <f t="shared" si="1350"/>
        <v>骑士</v>
      </c>
      <c r="V1816" t="s">
        <v>4760</v>
      </c>
      <c r="W1816">
        <f>属性类型!G1816</f>
        <v>10034</v>
      </c>
      <c r="X1816">
        <v>1</v>
      </c>
    </row>
    <row r="1817" customFormat="1" ht="16.5" spans="1:24">
      <c r="A1817" s="17">
        <f t="shared" si="1352"/>
        <v>42716</v>
      </c>
      <c r="B1817" s="17">
        <f t="shared" si="1349"/>
        <v>42700</v>
      </c>
      <c r="C1817" s="17" t="str">
        <f t="shared" si="1372"/>
        <v>4</v>
      </c>
      <c r="D1817" s="17">
        <f t="shared" si="1341"/>
        <v>40003</v>
      </c>
      <c r="E1817" s="17">
        <f t="shared" ref="E1817:H1817" si="1375">E1816</f>
        <v>2</v>
      </c>
      <c r="F1817" s="17">
        <f t="shared" si="1364"/>
        <v>3</v>
      </c>
      <c r="G1817" s="17" t="str">
        <f t="shared" si="1375"/>
        <v>飞龙骑士防御百分比</v>
      </c>
      <c r="H1817" s="17" t="str">
        <f t="shared" si="1375"/>
        <v>feibing02_Lv3</v>
      </c>
      <c r="I1817" s="20">
        <f t="shared" si="1357"/>
        <v>1.2</v>
      </c>
      <c r="J1817" s="17">
        <v>16</v>
      </c>
      <c r="K1817" s="17">
        <f t="shared" si="1351"/>
        <v>42717</v>
      </c>
      <c r="L1817" s="17" t="s">
        <v>633</v>
      </c>
      <c r="M1817" s="17" t="str">
        <f t="shared" si="1354"/>
        <v>1:12400:10</v>
      </c>
      <c r="N1817" s="16" t="str">
        <f t="shared" si="1358"/>
        <v>10034:1</v>
      </c>
      <c r="O1817" s="17">
        <f t="shared" si="1365"/>
        <v>8</v>
      </c>
      <c r="P1817" s="21" t="s">
        <v>4778</v>
      </c>
      <c r="Q1817" s="21"/>
      <c r="R1817" t="s">
        <v>4762</v>
      </c>
      <c r="T1817" t="str">
        <f t="shared" si="1355"/>
        <v>:1</v>
      </c>
      <c r="U1817" t="str">
        <f t="shared" si="1350"/>
        <v>骑士</v>
      </c>
      <c r="V1817" t="s">
        <v>4760</v>
      </c>
      <c r="W1817">
        <f>属性类型!G1817</f>
        <v>10034</v>
      </c>
      <c r="X1817">
        <v>1</v>
      </c>
    </row>
    <row r="1818" customFormat="1" ht="16.5" spans="1:24">
      <c r="A1818" s="17">
        <f t="shared" si="1352"/>
        <v>42717</v>
      </c>
      <c r="B1818" s="17">
        <f t="shared" si="1349"/>
        <v>42700</v>
      </c>
      <c r="C1818" s="17" t="str">
        <f t="shared" si="1372"/>
        <v>4</v>
      </c>
      <c r="D1818" s="17">
        <f t="shared" si="1341"/>
        <v>40003</v>
      </c>
      <c r="E1818" s="17">
        <f t="shared" ref="E1818:H1818" si="1376">E1817</f>
        <v>2</v>
      </c>
      <c r="F1818" s="17">
        <f t="shared" si="1364"/>
        <v>3</v>
      </c>
      <c r="G1818" s="17" t="str">
        <f t="shared" si="1376"/>
        <v>飞龙骑士防御百分比</v>
      </c>
      <c r="H1818" s="17" t="str">
        <f t="shared" si="1376"/>
        <v>feibing02_Lv3</v>
      </c>
      <c r="I1818" s="20">
        <f t="shared" si="1357"/>
        <v>1.2</v>
      </c>
      <c r="J1818" s="17">
        <v>17</v>
      </c>
      <c r="K1818" s="17">
        <f t="shared" si="1351"/>
        <v>42718</v>
      </c>
      <c r="L1818" s="17" t="s">
        <v>637</v>
      </c>
      <c r="M1818" s="17" t="str">
        <f t="shared" si="1354"/>
        <v>1:12400:10</v>
      </c>
      <c r="N1818" s="16" t="str">
        <f t="shared" si="1358"/>
        <v>10034:1</v>
      </c>
      <c r="O1818" s="17">
        <f t="shared" si="1365"/>
        <v>8</v>
      </c>
      <c r="P1818" s="21" t="s">
        <v>4779</v>
      </c>
      <c r="Q1818" s="21"/>
      <c r="R1818" t="s">
        <v>4762</v>
      </c>
      <c r="T1818" t="str">
        <f t="shared" si="1355"/>
        <v>:1</v>
      </c>
      <c r="U1818" t="str">
        <f t="shared" si="1350"/>
        <v>骑士</v>
      </c>
      <c r="V1818" t="s">
        <v>4760</v>
      </c>
      <c r="W1818">
        <f>属性类型!G1818</f>
        <v>10034</v>
      </c>
      <c r="X1818">
        <v>1</v>
      </c>
    </row>
    <row r="1819" customFormat="1" ht="16.5" spans="1:24">
      <c r="A1819" s="17">
        <f t="shared" si="1352"/>
        <v>42718</v>
      </c>
      <c r="B1819" s="17">
        <f t="shared" si="1349"/>
        <v>42700</v>
      </c>
      <c r="C1819" s="17" t="str">
        <f t="shared" si="1372"/>
        <v>4</v>
      </c>
      <c r="D1819" s="17">
        <f t="shared" si="1341"/>
        <v>40003</v>
      </c>
      <c r="E1819" s="17">
        <f t="shared" ref="E1819:H1819" si="1377">E1818</f>
        <v>2</v>
      </c>
      <c r="F1819" s="17">
        <f t="shared" si="1364"/>
        <v>3</v>
      </c>
      <c r="G1819" s="17" t="str">
        <f t="shared" si="1377"/>
        <v>飞龙骑士防御百分比</v>
      </c>
      <c r="H1819" s="17" t="str">
        <f t="shared" si="1377"/>
        <v>feibing02_Lv3</v>
      </c>
      <c r="I1819" s="20">
        <f t="shared" si="1357"/>
        <v>1.2</v>
      </c>
      <c r="J1819" s="17">
        <v>18</v>
      </c>
      <c r="K1819" s="17">
        <f t="shared" si="1351"/>
        <v>42719</v>
      </c>
      <c r="L1819" s="17" t="s">
        <v>641</v>
      </c>
      <c r="M1819" s="17" t="str">
        <f t="shared" si="1354"/>
        <v>1:12400:10</v>
      </c>
      <c r="N1819" s="16" t="str">
        <f t="shared" si="1358"/>
        <v>10034:1</v>
      </c>
      <c r="O1819" s="17">
        <f t="shared" si="1365"/>
        <v>8</v>
      </c>
      <c r="P1819" s="21" t="s">
        <v>4780</v>
      </c>
      <c r="Q1819" s="21"/>
      <c r="R1819" t="s">
        <v>4762</v>
      </c>
      <c r="T1819" t="str">
        <f t="shared" si="1355"/>
        <v>:1</v>
      </c>
      <c r="U1819" t="str">
        <f t="shared" si="1350"/>
        <v>骑士</v>
      </c>
      <c r="V1819" t="s">
        <v>4760</v>
      </c>
      <c r="W1819">
        <f>属性类型!G1819</f>
        <v>10034</v>
      </c>
      <c r="X1819">
        <v>1</v>
      </c>
    </row>
    <row r="1820" customFormat="1" ht="16.5" spans="1:24">
      <c r="A1820" s="17">
        <f t="shared" si="1352"/>
        <v>42719</v>
      </c>
      <c r="B1820" s="17">
        <f t="shared" si="1349"/>
        <v>42700</v>
      </c>
      <c r="C1820" s="17" t="str">
        <f t="shared" si="1372"/>
        <v>4</v>
      </c>
      <c r="D1820" s="17">
        <f t="shared" si="1341"/>
        <v>40003</v>
      </c>
      <c r="E1820" s="17">
        <f t="shared" ref="E1820:H1820" si="1378">E1819</f>
        <v>2</v>
      </c>
      <c r="F1820" s="17">
        <f t="shared" si="1364"/>
        <v>3</v>
      </c>
      <c r="G1820" s="17" t="str">
        <f t="shared" si="1378"/>
        <v>飞龙骑士防御百分比</v>
      </c>
      <c r="H1820" s="17" t="str">
        <f t="shared" si="1378"/>
        <v>feibing02_Lv3</v>
      </c>
      <c r="I1820" s="20">
        <f t="shared" si="1357"/>
        <v>1.2</v>
      </c>
      <c r="J1820" s="17">
        <v>19</v>
      </c>
      <c r="K1820" s="17">
        <f t="shared" si="1351"/>
        <v>42720</v>
      </c>
      <c r="L1820" s="17" t="s">
        <v>645</v>
      </c>
      <c r="M1820" s="17" t="str">
        <f t="shared" si="1354"/>
        <v>1:12400:10</v>
      </c>
      <c r="N1820" s="16" t="str">
        <f t="shared" si="1358"/>
        <v>10034:1</v>
      </c>
      <c r="O1820" s="17">
        <f t="shared" si="1365"/>
        <v>8</v>
      </c>
      <c r="P1820" s="21" t="s">
        <v>4781</v>
      </c>
      <c r="Q1820" s="21"/>
      <c r="R1820" t="s">
        <v>4762</v>
      </c>
      <c r="T1820" t="str">
        <f t="shared" si="1355"/>
        <v>:1</v>
      </c>
      <c r="U1820" t="str">
        <f t="shared" si="1350"/>
        <v>骑士</v>
      </c>
      <c r="V1820" t="s">
        <v>4760</v>
      </c>
      <c r="W1820">
        <f>属性类型!G1820</f>
        <v>10034</v>
      </c>
      <c r="X1820">
        <v>1</v>
      </c>
    </row>
    <row r="1821" customFormat="1" ht="16.5" spans="1:24">
      <c r="A1821" s="17">
        <f t="shared" si="1352"/>
        <v>42720</v>
      </c>
      <c r="B1821" s="17">
        <f t="shared" si="1349"/>
        <v>42700</v>
      </c>
      <c r="C1821" s="17" t="str">
        <f t="shared" si="1372"/>
        <v>4</v>
      </c>
      <c r="D1821" s="17">
        <f t="shared" si="1341"/>
        <v>40003</v>
      </c>
      <c r="E1821" s="17">
        <f t="shared" ref="E1821:H1821" si="1379">E1820</f>
        <v>2</v>
      </c>
      <c r="F1821" s="17">
        <f t="shared" si="1364"/>
        <v>3</v>
      </c>
      <c r="G1821" s="17" t="str">
        <f t="shared" si="1379"/>
        <v>飞龙骑士防御百分比</v>
      </c>
      <c r="H1821" s="17" t="str">
        <f t="shared" si="1379"/>
        <v>feibing02_Lv3</v>
      </c>
      <c r="I1821" s="20">
        <f t="shared" si="1357"/>
        <v>1.2</v>
      </c>
      <c r="J1821" s="17">
        <v>20</v>
      </c>
      <c r="K1821" s="17">
        <v>0</v>
      </c>
      <c r="L1821" s="17">
        <v>0</v>
      </c>
      <c r="M1821" s="17" t="str">
        <f t="shared" si="1354"/>
        <v>1:12400:10</v>
      </c>
      <c r="N1821" s="16" t="str">
        <f t="shared" si="1358"/>
        <v>10034:1</v>
      </c>
      <c r="O1821" s="17">
        <f t="shared" si="1365"/>
        <v>8</v>
      </c>
      <c r="P1821" s="21" t="s">
        <v>4781</v>
      </c>
      <c r="Q1821" s="21"/>
      <c r="R1821" t="s">
        <v>4762</v>
      </c>
      <c r="T1821" t="str">
        <f t="shared" si="1355"/>
        <v>:1</v>
      </c>
      <c r="U1821" t="str">
        <f t="shared" si="1350"/>
        <v>骑士</v>
      </c>
      <c r="V1821" t="s">
        <v>4760</v>
      </c>
      <c r="W1821">
        <f>属性类型!G1821</f>
        <v>10034</v>
      </c>
      <c r="X1821">
        <v>1</v>
      </c>
    </row>
    <row r="1822" customFormat="1" ht="16.5" spans="1:24">
      <c r="A1822" s="18">
        <f>A1801+100</f>
        <v>42800</v>
      </c>
      <c r="B1822" s="18">
        <f t="shared" si="1349"/>
        <v>42800</v>
      </c>
      <c r="C1822" s="18" t="str">
        <f t="shared" si="1372"/>
        <v>4</v>
      </c>
      <c r="D1822" s="17">
        <f t="shared" si="1341"/>
        <v>40003</v>
      </c>
      <c r="E1822" s="17">
        <v>2</v>
      </c>
      <c r="F1822" s="18">
        <f t="shared" si="1364"/>
        <v>3</v>
      </c>
      <c r="G1822" s="18" t="s">
        <v>4782</v>
      </c>
      <c r="H1822" s="18" t="s">
        <v>2361</v>
      </c>
      <c r="I1822" s="20">
        <v>1.2</v>
      </c>
      <c r="J1822" s="18">
        <v>0</v>
      </c>
      <c r="K1822" s="18">
        <f t="shared" ref="K1822:K1841" si="1380">A1823</f>
        <v>42801</v>
      </c>
      <c r="L1822" s="18" t="s">
        <v>206</v>
      </c>
      <c r="M1822" s="18" t="s">
        <v>741</v>
      </c>
      <c r="N1822" s="16" t="str">
        <f t="shared" si="1358"/>
        <v>10035:1</v>
      </c>
      <c r="O1822" s="18">
        <f t="shared" si="1365"/>
        <v>9</v>
      </c>
      <c r="P1822" s="21" t="s">
        <v>4783</v>
      </c>
      <c r="Q1822" s="21"/>
      <c r="R1822" t="s">
        <v>4762</v>
      </c>
      <c r="T1822" t="str">
        <f>RIGHT(N1822,1)</f>
        <v>1</v>
      </c>
      <c r="U1822" t="str">
        <f t="shared" si="1350"/>
        <v>骑士</v>
      </c>
      <c r="V1822" t="s">
        <v>4782</v>
      </c>
      <c r="W1822">
        <f>属性类型!G1822</f>
        <v>10035</v>
      </c>
      <c r="X1822">
        <v>1</v>
      </c>
    </row>
    <row r="1823" customFormat="1" ht="16.5" spans="1:24">
      <c r="A1823" s="17">
        <f t="shared" ref="A1823:A1842" si="1381">A1822+1</f>
        <v>42801</v>
      </c>
      <c r="B1823" s="17">
        <f t="shared" si="1349"/>
        <v>42800</v>
      </c>
      <c r="C1823" s="17" t="str">
        <f t="shared" si="1372"/>
        <v>4</v>
      </c>
      <c r="D1823" s="17">
        <f t="shared" si="1341"/>
        <v>40003</v>
      </c>
      <c r="E1823" s="17">
        <f t="shared" ref="E1823:I1823" si="1382">E1822</f>
        <v>2</v>
      </c>
      <c r="F1823" s="17">
        <f t="shared" si="1364"/>
        <v>3</v>
      </c>
      <c r="G1823" s="17" t="str">
        <f t="shared" si="1382"/>
        <v>飞龙骑士攻击百分比</v>
      </c>
      <c r="H1823" s="17" t="str">
        <f t="shared" si="1382"/>
        <v>feibing02_Lv3</v>
      </c>
      <c r="I1823" s="20">
        <f t="shared" si="1382"/>
        <v>1.2</v>
      </c>
      <c r="J1823" s="17">
        <v>1</v>
      </c>
      <c r="K1823" s="17">
        <f t="shared" si="1380"/>
        <v>42802</v>
      </c>
      <c r="L1823" s="17" t="s">
        <v>211</v>
      </c>
      <c r="M1823" s="17" t="str">
        <f t="shared" ref="M1823:M1842" si="1383">M1822</f>
        <v>1:12500:10</v>
      </c>
      <c r="N1823" s="16" t="str">
        <f t="shared" si="1358"/>
        <v>10035:1</v>
      </c>
      <c r="O1823" s="17">
        <f t="shared" si="1365"/>
        <v>9</v>
      </c>
      <c r="P1823" s="21" t="s">
        <v>4784</v>
      </c>
      <c r="Q1823" s="21"/>
      <c r="R1823" t="s">
        <v>4762</v>
      </c>
      <c r="T1823" t="str">
        <f t="shared" ref="T1823:T1842" si="1384">RIGHT(N1823,2)</f>
        <v>:1</v>
      </c>
      <c r="U1823" t="str">
        <f t="shared" si="1350"/>
        <v>骑士</v>
      </c>
      <c r="V1823" t="s">
        <v>4782</v>
      </c>
      <c r="W1823">
        <f>属性类型!G1823</f>
        <v>10035</v>
      </c>
      <c r="X1823">
        <v>1</v>
      </c>
    </row>
    <row r="1824" customFormat="1" ht="16.5" spans="1:24">
      <c r="A1824" s="17">
        <f t="shared" si="1381"/>
        <v>42802</v>
      </c>
      <c r="B1824" s="17">
        <f t="shared" si="1349"/>
        <v>42800</v>
      </c>
      <c r="C1824" s="17" t="str">
        <f t="shared" si="1372"/>
        <v>4</v>
      </c>
      <c r="D1824" s="17">
        <f t="shared" si="1341"/>
        <v>40003</v>
      </c>
      <c r="E1824" s="17">
        <f t="shared" ref="E1824:I1824" si="1385">E1823</f>
        <v>2</v>
      </c>
      <c r="F1824" s="17">
        <f t="shared" si="1364"/>
        <v>3</v>
      </c>
      <c r="G1824" s="17" t="str">
        <f t="shared" si="1385"/>
        <v>飞龙骑士攻击百分比</v>
      </c>
      <c r="H1824" s="17" t="str">
        <f t="shared" si="1385"/>
        <v>feibing02_Lv3</v>
      </c>
      <c r="I1824" s="20">
        <f t="shared" si="1385"/>
        <v>1.2</v>
      </c>
      <c r="J1824" s="17">
        <v>2</v>
      </c>
      <c r="K1824" s="17">
        <f t="shared" si="1380"/>
        <v>42803</v>
      </c>
      <c r="L1824" s="17" t="s">
        <v>215</v>
      </c>
      <c r="M1824" s="17" t="str">
        <f t="shared" si="1383"/>
        <v>1:12500:10</v>
      </c>
      <c r="N1824" s="16" t="str">
        <f t="shared" si="1358"/>
        <v>10035:1</v>
      </c>
      <c r="O1824" s="17">
        <f t="shared" si="1365"/>
        <v>9</v>
      </c>
      <c r="P1824" s="21" t="s">
        <v>4785</v>
      </c>
      <c r="Q1824" s="21"/>
      <c r="R1824" t="s">
        <v>4762</v>
      </c>
      <c r="T1824" t="str">
        <f t="shared" si="1384"/>
        <v>:1</v>
      </c>
      <c r="U1824" t="str">
        <f t="shared" si="1350"/>
        <v>骑士</v>
      </c>
      <c r="V1824" t="s">
        <v>4782</v>
      </c>
      <c r="W1824">
        <f>属性类型!G1824</f>
        <v>10035</v>
      </c>
      <c r="X1824">
        <v>1</v>
      </c>
    </row>
    <row r="1825" customFormat="1" ht="16.5" spans="1:24">
      <c r="A1825" s="17">
        <f t="shared" si="1381"/>
        <v>42803</v>
      </c>
      <c r="B1825" s="17">
        <f t="shared" si="1349"/>
        <v>42800</v>
      </c>
      <c r="C1825" s="17" t="str">
        <f t="shared" si="1372"/>
        <v>4</v>
      </c>
      <c r="D1825" s="17">
        <f t="shared" si="1341"/>
        <v>40003</v>
      </c>
      <c r="E1825" s="17">
        <f t="shared" ref="E1825:I1825" si="1386">E1824</f>
        <v>2</v>
      </c>
      <c r="F1825" s="17">
        <f t="shared" si="1364"/>
        <v>3</v>
      </c>
      <c r="G1825" s="17" t="str">
        <f t="shared" si="1386"/>
        <v>飞龙骑士攻击百分比</v>
      </c>
      <c r="H1825" s="17" t="str">
        <f t="shared" si="1386"/>
        <v>feibing02_Lv3</v>
      </c>
      <c r="I1825" s="20">
        <f t="shared" si="1386"/>
        <v>1.2</v>
      </c>
      <c r="J1825" s="17">
        <v>3</v>
      </c>
      <c r="K1825" s="17">
        <f t="shared" si="1380"/>
        <v>42804</v>
      </c>
      <c r="L1825" s="17" t="s">
        <v>218</v>
      </c>
      <c r="M1825" s="17" t="str">
        <f t="shared" si="1383"/>
        <v>1:12500:10</v>
      </c>
      <c r="N1825" s="16" t="str">
        <f t="shared" si="1358"/>
        <v>10035:1</v>
      </c>
      <c r="O1825" s="17">
        <f t="shared" si="1365"/>
        <v>9</v>
      </c>
      <c r="P1825" s="21" t="s">
        <v>4786</v>
      </c>
      <c r="Q1825" s="21"/>
      <c r="R1825" t="s">
        <v>4762</v>
      </c>
      <c r="T1825" t="str">
        <f t="shared" si="1384"/>
        <v>:1</v>
      </c>
      <c r="U1825" t="str">
        <f t="shared" si="1350"/>
        <v>骑士</v>
      </c>
      <c r="V1825" t="s">
        <v>4782</v>
      </c>
      <c r="W1825">
        <f>属性类型!G1825</f>
        <v>10035</v>
      </c>
      <c r="X1825">
        <v>1</v>
      </c>
    </row>
    <row r="1826" customFormat="1" ht="16.5" spans="1:24">
      <c r="A1826" s="17">
        <f t="shared" si="1381"/>
        <v>42804</v>
      </c>
      <c r="B1826" s="17">
        <f t="shared" si="1349"/>
        <v>42800</v>
      </c>
      <c r="C1826" s="17" t="str">
        <f t="shared" si="1372"/>
        <v>4</v>
      </c>
      <c r="D1826" s="17">
        <f t="shared" si="1341"/>
        <v>40003</v>
      </c>
      <c r="E1826" s="17">
        <f t="shared" ref="E1826:I1826" si="1387">E1825</f>
        <v>2</v>
      </c>
      <c r="F1826" s="17">
        <f t="shared" si="1364"/>
        <v>3</v>
      </c>
      <c r="G1826" s="17" t="str">
        <f t="shared" si="1387"/>
        <v>飞龙骑士攻击百分比</v>
      </c>
      <c r="H1826" s="17" t="str">
        <f t="shared" si="1387"/>
        <v>feibing02_Lv3</v>
      </c>
      <c r="I1826" s="20">
        <f t="shared" si="1387"/>
        <v>1.2</v>
      </c>
      <c r="J1826" s="17">
        <v>4</v>
      </c>
      <c r="K1826" s="17">
        <f t="shared" si="1380"/>
        <v>42805</v>
      </c>
      <c r="L1826" s="17" t="s">
        <v>221</v>
      </c>
      <c r="M1826" s="17" t="str">
        <f t="shared" si="1383"/>
        <v>1:12500:10</v>
      </c>
      <c r="N1826" s="16" t="str">
        <f t="shared" si="1358"/>
        <v>10035:1</v>
      </c>
      <c r="O1826" s="17">
        <f t="shared" si="1365"/>
        <v>9</v>
      </c>
      <c r="P1826" s="21" t="s">
        <v>4787</v>
      </c>
      <c r="Q1826" s="21"/>
      <c r="R1826" t="s">
        <v>4762</v>
      </c>
      <c r="T1826" t="str">
        <f t="shared" si="1384"/>
        <v>:1</v>
      </c>
      <c r="U1826" t="str">
        <f t="shared" si="1350"/>
        <v>骑士</v>
      </c>
      <c r="V1826" t="s">
        <v>4782</v>
      </c>
      <c r="W1826">
        <f>属性类型!G1826</f>
        <v>10035</v>
      </c>
      <c r="X1826">
        <v>1</v>
      </c>
    </row>
    <row r="1827" customFormat="1" ht="16.5" spans="1:24">
      <c r="A1827" s="17">
        <f t="shared" si="1381"/>
        <v>42805</v>
      </c>
      <c r="B1827" s="17">
        <f t="shared" si="1349"/>
        <v>42800</v>
      </c>
      <c r="C1827" s="17" t="str">
        <f t="shared" si="1372"/>
        <v>4</v>
      </c>
      <c r="D1827" s="17">
        <f t="shared" si="1341"/>
        <v>40003</v>
      </c>
      <c r="E1827" s="17">
        <f t="shared" ref="E1827:I1827" si="1388">E1826</f>
        <v>2</v>
      </c>
      <c r="F1827" s="17">
        <f t="shared" si="1364"/>
        <v>3</v>
      </c>
      <c r="G1827" s="17" t="str">
        <f t="shared" si="1388"/>
        <v>飞龙骑士攻击百分比</v>
      </c>
      <c r="H1827" s="17" t="str">
        <f t="shared" si="1388"/>
        <v>feibing02_Lv3</v>
      </c>
      <c r="I1827" s="20">
        <f t="shared" si="1388"/>
        <v>1.2</v>
      </c>
      <c r="J1827" s="17">
        <v>5</v>
      </c>
      <c r="K1827" s="17">
        <f t="shared" si="1380"/>
        <v>42806</v>
      </c>
      <c r="L1827" s="17" t="s">
        <v>224</v>
      </c>
      <c r="M1827" s="17" t="str">
        <f t="shared" si="1383"/>
        <v>1:12500:10</v>
      </c>
      <c r="N1827" s="16" t="str">
        <f t="shared" si="1358"/>
        <v>10035:1</v>
      </c>
      <c r="O1827" s="17">
        <f t="shared" si="1365"/>
        <v>9</v>
      </c>
      <c r="P1827" s="21" t="s">
        <v>4788</v>
      </c>
      <c r="Q1827" s="21"/>
      <c r="R1827" t="s">
        <v>4762</v>
      </c>
      <c r="T1827" t="str">
        <f t="shared" si="1384"/>
        <v>:1</v>
      </c>
      <c r="U1827" t="str">
        <f t="shared" si="1350"/>
        <v>骑士</v>
      </c>
      <c r="V1827" t="s">
        <v>4782</v>
      </c>
      <c r="W1827">
        <f>属性类型!G1827</f>
        <v>10035</v>
      </c>
      <c r="X1827">
        <v>1</v>
      </c>
    </row>
    <row r="1828" customFormat="1" ht="16.5" spans="1:24">
      <c r="A1828" s="17">
        <f t="shared" si="1381"/>
        <v>42806</v>
      </c>
      <c r="B1828" s="17">
        <f t="shared" si="1349"/>
        <v>42800</v>
      </c>
      <c r="C1828" s="17" t="str">
        <f t="shared" si="1372"/>
        <v>4</v>
      </c>
      <c r="D1828" s="17">
        <f t="shared" si="1341"/>
        <v>40003</v>
      </c>
      <c r="E1828" s="17">
        <f t="shared" ref="E1828:I1828" si="1389">E1827</f>
        <v>2</v>
      </c>
      <c r="F1828" s="17">
        <f t="shared" si="1364"/>
        <v>3</v>
      </c>
      <c r="G1828" s="17" t="str">
        <f t="shared" si="1389"/>
        <v>飞龙骑士攻击百分比</v>
      </c>
      <c r="H1828" s="17" t="str">
        <f t="shared" si="1389"/>
        <v>feibing02_Lv3</v>
      </c>
      <c r="I1828" s="20">
        <f t="shared" si="1389"/>
        <v>1.2</v>
      </c>
      <c r="J1828" s="17">
        <v>6</v>
      </c>
      <c r="K1828" s="17">
        <f t="shared" si="1380"/>
        <v>42807</v>
      </c>
      <c r="L1828" s="17" t="s">
        <v>227</v>
      </c>
      <c r="M1828" s="17" t="str">
        <f t="shared" si="1383"/>
        <v>1:12500:10</v>
      </c>
      <c r="N1828" s="16" t="str">
        <f t="shared" si="1358"/>
        <v>10035:1</v>
      </c>
      <c r="O1828" s="17">
        <f t="shared" si="1365"/>
        <v>9</v>
      </c>
      <c r="P1828" s="21" t="s">
        <v>4789</v>
      </c>
      <c r="Q1828" s="21"/>
      <c r="R1828" t="s">
        <v>4762</v>
      </c>
      <c r="T1828" t="str">
        <f t="shared" si="1384"/>
        <v>:1</v>
      </c>
      <c r="U1828" t="str">
        <f t="shared" si="1350"/>
        <v>骑士</v>
      </c>
      <c r="V1828" t="s">
        <v>4782</v>
      </c>
      <c r="W1828">
        <f>属性类型!G1828</f>
        <v>10035</v>
      </c>
      <c r="X1828">
        <v>1</v>
      </c>
    </row>
    <row r="1829" customFormat="1" ht="16.5" spans="1:24">
      <c r="A1829" s="17">
        <f t="shared" si="1381"/>
        <v>42807</v>
      </c>
      <c r="B1829" s="17">
        <f t="shared" si="1349"/>
        <v>42800</v>
      </c>
      <c r="C1829" s="17" t="str">
        <f t="shared" si="1372"/>
        <v>4</v>
      </c>
      <c r="D1829" s="17">
        <f t="shared" si="1341"/>
        <v>40003</v>
      </c>
      <c r="E1829" s="17">
        <f t="shared" ref="E1829:I1829" si="1390">E1828</f>
        <v>2</v>
      </c>
      <c r="F1829" s="17">
        <f t="shared" si="1364"/>
        <v>3</v>
      </c>
      <c r="G1829" s="17" t="str">
        <f t="shared" si="1390"/>
        <v>飞龙骑士攻击百分比</v>
      </c>
      <c r="H1829" s="17" t="str">
        <f t="shared" si="1390"/>
        <v>feibing02_Lv3</v>
      </c>
      <c r="I1829" s="20">
        <f t="shared" si="1390"/>
        <v>1.2</v>
      </c>
      <c r="J1829" s="17">
        <v>7</v>
      </c>
      <c r="K1829" s="17">
        <f t="shared" si="1380"/>
        <v>42808</v>
      </c>
      <c r="L1829" s="17" t="s">
        <v>230</v>
      </c>
      <c r="M1829" s="17" t="str">
        <f t="shared" si="1383"/>
        <v>1:12500:10</v>
      </c>
      <c r="N1829" s="16" t="str">
        <f t="shared" si="1358"/>
        <v>10035:1</v>
      </c>
      <c r="O1829" s="17">
        <f t="shared" si="1365"/>
        <v>9</v>
      </c>
      <c r="P1829" s="21" t="s">
        <v>4790</v>
      </c>
      <c r="Q1829" s="21"/>
      <c r="R1829" t="s">
        <v>4762</v>
      </c>
      <c r="T1829" t="str">
        <f t="shared" si="1384"/>
        <v>:1</v>
      </c>
      <c r="U1829" t="str">
        <f t="shared" si="1350"/>
        <v>骑士</v>
      </c>
      <c r="V1829" t="s">
        <v>4782</v>
      </c>
      <c r="W1829">
        <f>属性类型!G1829</f>
        <v>10035</v>
      </c>
      <c r="X1829">
        <v>1</v>
      </c>
    </row>
    <row r="1830" customFormat="1" ht="16.5" spans="1:24">
      <c r="A1830" s="17">
        <f t="shared" si="1381"/>
        <v>42808</v>
      </c>
      <c r="B1830" s="17">
        <f t="shared" si="1349"/>
        <v>42800</v>
      </c>
      <c r="C1830" s="17" t="str">
        <f t="shared" si="1372"/>
        <v>4</v>
      </c>
      <c r="D1830" s="17">
        <f t="shared" ref="D1830:D1893" si="1391">$A$1399+F1830</f>
        <v>40003</v>
      </c>
      <c r="E1830" s="17">
        <f t="shared" ref="E1830:I1830" si="1392">E1829</f>
        <v>2</v>
      </c>
      <c r="F1830" s="17">
        <f t="shared" si="1364"/>
        <v>3</v>
      </c>
      <c r="G1830" s="17" t="str">
        <f t="shared" si="1392"/>
        <v>飞龙骑士攻击百分比</v>
      </c>
      <c r="H1830" s="17" t="str">
        <f t="shared" si="1392"/>
        <v>feibing02_Lv3</v>
      </c>
      <c r="I1830" s="20">
        <f t="shared" si="1392"/>
        <v>1.2</v>
      </c>
      <c r="J1830" s="17">
        <v>8</v>
      </c>
      <c r="K1830" s="17">
        <f t="shared" si="1380"/>
        <v>42809</v>
      </c>
      <c r="L1830" s="17" t="s">
        <v>233</v>
      </c>
      <c r="M1830" s="17" t="str">
        <f t="shared" si="1383"/>
        <v>1:12500:10</v>
      </c>
      <c r="N1830" s="16" t="str">
        <f t="shared" si="1358"/>
        <v>10035:1</v>
      </c>
      <c r="O1830" s="17">
        <f t="shared" si="1365"/>
        <v>9</v>
      </c>
      <c r="P1830" s="21" t="s">
        <v>4791</v>
      </c>
      <c r="Q1830" s="21"/>
      <c r="R1830" t="s">
        <v>4762</v>
      </c>
      <c r="T1830" t="str">
        <f t="shared" si="1384"/>
        <v>:1</v>
      </c>
      <c r="U1830" t="str">
        <f t="shared" si="1350"/>
        <v>骑士</v>
      </c>
      <c r="V1830" t="s">
        <v>4782</v>
      </c>
      <c r="W1830">
        <f>属性类型!G1830</f>
        <v>10035</v>
      </c>
      <c r="X1830">
        <v>1</v>
      </c>
    </row>
    <row r="1831" customFormat="1" ht="16.5" spans="1:24">
      <c r="A1831" s="17">
        <f t="shared" si="1381"/>
        <v>42809</v>
      </c>
      <c r="B1831" s="17">
        <f t="shared" si="1349"/>
        <v>42800</v>
      </c>
      <c r="C1831" s="17" t="str">
        <f t="shared" si="1372"/>
        <v>4</v>
      </c>
      <c r="D1831" s="17">
        <f t="shared" si="1391"/>
        <v>40003</v>
      </c>
      <c r="E1831" s="17">
        <f t="shared" ref="E1831:I1831" si="1393">E1830</f>
        <v>2</v>
      </c>
      <c r="F1831" s="17">
        <f t="shared" si="1364"/>
        <v>3</v>
      </c>
      <c r="G1831" s="17" t="str">
        <f t="shared" si="1393"/>
        <v>飞龙骑士攻击百分比</v>
      </c>
      <c r="H1831" s="17" t="str">
        <f t="shared" si="1393"/>
        <v>feibing02_Lv3</v>
      </c>
      <c r="I1831" s="20">
        <f t="shared" si="1393"/>
        <v>1.2</v>
      </c>
      <c r="J1831" s="17">
        <v>9</v>
      </c>
      <c r="K1831" s="17">
        <f t="shared" si="1380"/>
        <v>42810</v>
      </c>
      <c r="L1831" s="17" t="s">
        <v>236</v>
      </c>
      <c r="M1831" s="17" t="str">
        <f t="shared" si="1383"/>
        <v>1:12500:10</v>
      </c>
      <c r="N1831" s="16" t="str">
        <f t="shared" si="1358"/>
        <v>10035:1</v>
      </c>
      <c r="O1831" s="17">
        <f t="shared" si="1365"/>
        <v>9</v>
      </c>
      <c r="P1831" s="21" t="s">
        <v>4792</v>
      </c>
      <c r="Q1831" s="21"/>
      <c r="R1831" t="s">
        <v>4762</v>
      </c>
      <c r="T1831" t="str">
        <f t="shared" si="1384"/>
        <v>:1</v>
      </c>
      <c r="U1831" t="str">
        <f t="shared" si="1350"/>
        <v>骑士</v>
      </c>
      <c r="V1831" t="s">
        <v>4782</v>
      </c>
      <c r="W1831">
        <f>属性类型!G1831</f>
        <v>10035</v>
      </c>
      <c r="X1831">
        <v>1</v>
      </c>
    </row>
    <row r="1832" customFormat="1" ht="16.5" spans="1:24">
      <c r="A1832" s="17">
        <f t="shared" si="1381"/>
        <v>42810</v>
      </c>
      <c r="B1832" s="17">
        <f t="shared" si="1349"/>
        <v>42800</v>
      </c>
      <c r="C1832" s="17" t="str">
        <f t="shared" si="1372"/>
        <v>4</v>
      </c>
      <c r="D1832" s="17">
        <f t="shared" si="1391"/>
        <v>40003</v>
      </c>
      <c r="E1832" s="17">
        <f t="shared" ref="E1832:I1832" si="1394">E1831</f>
        <v>2</v>
      </c>
      <c r="F1832" s="17">
        <f t="shared" si="1364"/>
        <v>3</v>
      </c>
      <c r="G1832" s="17" t="str">
        <f t="shared" si="1394"/>
        <v>飞龙骑士攻击百分比</v>
      </c>
      <c r="H1832" s="17" t="str">
        <f t="shared" si="1394"/>
        <v>feibing02_Lv3</v>
      </c>
      <c r="I1832" s="20">
        <f t="shared" si="1394"/>
        <v>1.2</v>
      </c>
      <c r="J1832" s="17">
        <v>10</v>
      </c>
      <c r="K1832" s="17">
        <f t="shared" si="1380"/>
        <v>42811</v>
      </c>
      <c r="L1832" s="17" t="s">
        <v>238</v>
      </c>
      <c r="M1832" s="17" t="str">
        <f t="shared" si="1383"/>
        <v>1:12500:10</v>
      </c>
      <c r="N1832" s="16" t="str">
        <f t="shared" si="1358"/>
        <v>10035:1</v>
      </c>
      <c r="O1832" s="17">
        <f t="shared" si="1365"/>
        <v>9</v>
      </c>
      <c r="P1832" s="21" t="s">
        <v>4793</v>
      </c>
      <c r="Q1832" s="21"/>
      <c r="R1832" t="s">
        <v>4762</v>
      </c>
      <c r="T1832" t="str">
        <f t="shared" si="1384"/>
        <v>:1</v>
      </c>
      <c r="U1832" t="str">
        <f t="shared" si="1350"/>
        <v>骑士</v>
      </c>
      <c r="V1832" t="s">
        <v>4782</v>
      </c>
      <c r="W1832">
        <f>属性类型!G1832</f>
        <v>10035</v>
      </c>
      <c r="X1832">
        <v>1</v>
      </c>
    </row>
    <row r="1833" customFormat="1" ht="16.5" spans="1:24">
      <c r="A1833" s="17">
        <f t="shared" si="1381"/>
        <v>42811</v>
      </c>
      <c r="B1833" s="17">
        <f t="shared" si="1349"/>
        <v>42800</v>
      </c>
      <c r="C1833" s="17" t="str">
        <f t="shared" si="1372"/>
        <v>4</v>
      </c>
      <c r="D1833" s="17">
        <f t="shared" si="1391"/>
        <v>40003</v>
      </c>
      <c r="E1833" s="17">
        <f t="shared" ref="E1833:I1833" si="1395">E1832</f>
        <v>2</v>
      </c>
      <c r="F1833" s="17">
        <f t="shared" si="1364"/>
        <v>3</v>
      </c>
      <c r="G1833" s="17" t="str">
        <f t="shared" si="1395"/>
        <v>飞龙骑士攻击百分比</v>
      </c>
      <c r="H1833" s="17" t="str">
        <f t="shared" si="1395"/>
        <v>feibing02_Lv3</v>
      </c>
      <c r="I1833" s="20">
        <f t="shared" si="1395"/>
        <v>1.2</v>
      </c>
      <c r="J1833" s="17">
        <v>11</v>
      </c>
      <c r="K1833" s="17">
        <f t="shared" si="1380"/>
        <v>42812</v>
      </c>
      <c r="L1833" s="17" t="s">
        <v>529</v>
      </c>
      <c r="M1833" s="17" t="str">
        <f t="shared" si="1383"/>
        <v>1:12500:10</v>
      </c>
      <c r="N1833" s="16" t="str">
        <f t="shared" si="1358"/>
        <v>10035:1</v>
      </c>
      <c r="O1833" s="17">
        <f t="shared" si="1365"/>
        <v>9</v>
      </c>
      <c r="P1833" s="21" t="s">
        <v>4794</v>
      </c>
      <c r="Q1833" s="21"/>
      <c r="R1833" t="s">
        <v>4762</v>
      </c>
      <c r="T1833" t="str">
        <f t="shared" si="1384"/>
        <v>:1</v>
      </c>
      <c r="U1833" t="str">
        <f t="shared" si="1350"/>
        <v>骑士</v>
      </c>
      <c r="V1833" t="s">
        <v>4782</v>
      </c>
      <c r="W1833">
        <f>属性类型!G1833</f>
        <v>10035</v>
      </c>
      <c r="X1833">
        <v>1</v>
      </c>
    </row>
    <row r="1834" customFormat="1" ht="16.5" spans="1:24">
      <c r="A1834" s="17">
        <f t="shared" si="1381"/>
        <v>42812</v>
      </c>
      <c r="B1834" s="17">
        <f t="shared" si="1349"/>
        <v>42800</v>
      </c>
      <c r="C1834" s="17" t="str">
        <f t="shared" si="1372"/>
        <v>4</v>
      </c>
      <c r="D1834" s="17">
        <f t="shared" si="1391"/>
        <v>40003</v>
      </c>
      <c r="E1834" s="17">
        <f t="shared" ref="E1834:I1834" si="1396">E1833</f>
        <v>2</v>
      </c>
      <c r="F1834" s="17">
        <f t="shared" si="1364"/>
        <v>3</v>
      </c>
      <c r="G1834" s="17" t="str">
        <f t="shared" si="1396"/>
        <v>飞龙骑士攻击百分比</v>
      </c>
      <c r="H1834" s="17" t="str">
        <f t="shared" si="1396"/>
        <v>feibing02_Lv3</v>
      </c>
      <c r="I1834" s="20">
        <f t="shared" si="1396"/>
        <v>1.2</v>
      </c>
      <c r="J1834" s="17">
        <v>12</v>
      </c>
      <c r="K1834" s="17">
        <f t="shared" si="1380"/>
        <v>42813</v>
      </c>
      <c r="L1834" s="17" t="s">
        <v>532</v>
      </c>
      <c r="M1834" s="17" t="str">
        <f t="shared" si="1383"/>
        <v>1:12500:10</v>
      </c>
      <c r="N1834" s="16" t="str">
        <f t="shared" si="1358"/>
        <v>10035:1</v>
      </c>
      <c r="O1834" s="17">
        <f t="shared" si="1365"/>
        <v>9</v>
      </c>
      <c r="P1834" s="21" t="s">
        <v>4795</v>
      </c>
      <c r="Q1834" s="21"/>
      <c r="R1834" t="s">
        <v>4762</v>
      </c>
      <c r="T1834" t="str">
        <f t="shared" si="1384"/>
        <v>:1</v>
      </c>
      <c r="U1834" t="str">
        <f t="shared" si="1350"/>
        <v>骑士</v>
      </c>
      <c r="V1834" t="s">
        <v>4782</v>
      </c>
      <c r="W1834">
        <f>属性类型!G1834</f>
        <v>10035</v>
      </c>
      <c r="X1834">
        <v>1</v>
      </c>
    </row>
    <row r="1835" customFormat="1" ht="16.5" spans="1:24">
      <c r="A1835" s="17">
        <f t="shared" si="1381"/>
        <v>42813</v>
      </c>
      <c r="B1835" s="17">
        <f t="shared" si="1349"/>
        <v>42800</v>
      </c>
      <c r="C1835" s="17" t="str">
        <f t="shared" si="1372"/>
        <v>4</v>
      </c>
      <c r="D1835" s="17">
        <f t="shared" si="1391"/>
        <v>40003</v>
      </c>
      <c r="E1835" s="17">
        <f t="shared" ref="E1835:I1835" si="1397">E1834</f>
        <v>2</v>
      </c>
      <c r="F1835" s="17">
        <f t="shared" si="1364"/>
        <v>3</v>
      </c>
      <c r="G1835" s="17" t="str">
        <f t="shared" si="1397"/>
        <v>飞龙骑士攻击百分比</v>
      </c>
      <c r="H1835" s="17" t="str">
        <f t="shared" si="1397"/>
        <v>feibing02_Lv3</v>
      </c>
      <c r="I1835" s="20">
        <f t="shared" si="1397"/>
        <v>1.2</v>
      </c>
      <c r="J1835" s="17">
        <v>13</v>
      </c>
      <c r="K1835" s="17">
        <f t="shared" si="1380"/>
        <v>42814</v>
      </c>
      <c r="L1835" s="17" t="s">
        <v>561</v>
      </c>
      <c r="M1835" s="17" t="str">
        <f t="shared" si="1383"/>
        <v>1:12500:10</v>
      </c>
      <c r="N1835" s="16" t="str">
        <f t="shared" si="1358"/>
        <v>10035:1</v>
      </c>
      <c r="O1835" s="17">
        <f t="shared" si="1365"/>
        <v>9</v>
      </c>
      <c r="P1835" s="21" t="s">
        <v>4796</v>
      </c>
      <c r="Q1835" s="21"/>
      <c r="R1835" t="s">
        <v>4762</v>
      </c>
      <c r="T1835" t="str">
        <f t="shared" si="1384"/>
        <v>:1</v>
      </c>
      <c r="U1835" t="str">
        <f t="shared" si="1350"/>
        <v>骑士</v>
      </c>
      <c r="V1835" t="s">
        <v>4782</v>
      </c>
      <c r="W1835">
        <f>属性类型!G1835</f>
        <v>10035</v>
      </c>
      <c r="X1835">
        <v>1</v>
      </c>
    </row>
    <row r="1836" customFormat="1" ht="16.5" spans="1:24">
      <c r="A1836" s="17">
        <f t="shared" si="1381"/>
        <v>42814</v>
      </c>
      <c r="B1836" s="17">
        <f t="shared" si="1349"/>
        <v>42800</v>
      </c>
      <c r="C1836" s="17" t="str">
        <f t="shared" si="1372"/>
        <v>4</v>
      </c>
      <c r="D1836" s="17">
        <f t="shared" si="1391"/>
        <v>40003</v>
      </c>
      <c r="E1836" s="17">
        <f t="shared" ref="E1836:I1836" si="1398">E1835</f>
        <v>2</v>
      </c>
      <c r="F1836" s="17">
        <f t="shared" si="1364"/>
        <v>3</v>
      </c>
      <c r="G1836" s="17" t="str">
        <f t="shared" si="1398"/>
        <v>飞龙骑士攻击百分比</v>
      </c>
      <c r="H1836" s="17" t="str">
        <f t="shared" si="1398"/>
        <v>feibing02_Lv3</v>
      </c>
      <c r="I1836" s="20">
        <f t="shared" si="1398"/>
        <v>1.2</v>
      </c>
      <c r="J1836" s="17">
        <v>14</v>
      </c>
      <c r="K1836" s="17">
        <f t="shared" si="1380"/>
        <v>42815</v>
      </c>
      <c r="L1836" s="17" t="s">
        <v>564</v>
      </c>
      <c r="M1836" s="17" t="str">
        <f t="shared" si="1383"/>
        <v>1:12500:10</v>
      </c>
      <c r="N1836" s="16" t="str">
        <f t="shared" si="1358"/>
        <v>10035:1</v>
      </c>
      <c r="O1836" s="17">
        <f t="shared" si="1365"/>
        <v>9</v>
      </c>
      <c r="P1836" s="21" t="s">
        <v>4797</v>
      </c>
      <c r="Q1836" s="21"/>
      <c r="R1836" t="s">
        <v>4762</v>
      </c>
      <c r="T1836" t="str">
        <f t="shared" si="1384"/>
        <v>:1</v>
      </c>
      <c r="U1836" t="str">
        <f t="shared" si="1350"/>
        <v>骑士</v>
      </c>
      <c r="V1836" t="s">
        <v>4782</v>
      </c>
      <c r="W1836">
        <f>属性类型!G1836</f>
        <v>10035</v>
      </c>
      <c r="X1836">
        <v>1</v>
      </c>
    </row>
    <row r="1837" customFormat="1" ht="16.5" spans="1:24">
      <c r="A1837" s="17">
        <f t="shared" si="1381"/>
        <v>42815</v>
      </c>
      <c r="B1837" s="17">
        <f t="shared" si="1349"/>
        <v>42800</v>
      </c>
      <c r="C1837" s="17" t="str">
        <f t="shared" si="1372"/>
        <v>4</v>
      </c>
      <c r="D1837" s="17">
        <f t="shared" si="1391"/>
        <v>40003</v>
      </c>
      <c r="E1837" s="17">
        <f t="shared" ref="E1837:I1837" si="1399">E1836</f>
        <v>2</v>
      </c>
      <c r="F1837" s="17">
        <f t="shared" si="1364"/>
        <v>3</v>
      </c>
      <c r="G1837" s="17" t="str">
        <f t="shared" si="1399"/>
        <v>飞龙骑士攻击百分比</v>
      </c>
      <c r="H1837" s="17" t="str">
        <f t="shared" si="1399"/>
        <v>feibing02_Lv3</v>
      </c>
      <c r="I1837" s="20">
        <f t="shared" si="1399"/>
        <v>1.2</v>
      </c>
      <c r="J1837" s="17">
        <v>15</v>
      </c>
      <c r="K1837" s="17">
        <f t="shared" si="1380"/>
        <v>42816</v>
      </c>
      <c r="L1837" s="17" t="s">
        <v>630</v>
      </c>
      <c r="M1837" s="17" t="str">
        <f t="shared" si="1383"/>
        <v>1:12500:10</v>
      </c>
      <c r="N1837" s="16" t="str">
        <f t="shared" si="1358"/>
        <v>10035:1</v>
      </c>
      <c r="O1837" s="17">
        <f t="shared" si="1365"/>
        <v>9</v>
      </c>
      <c r="P1837" s="21" t="s">
        <v>4798</v>
      </c>
      <c r="Q1837" s="21"/>
      <c r="R1837" t="s">
        <v>4762</v>
      </c>
      <c r="T1837" t="str">
        <f t="shared" si="1384"/>
        <v>:1</v>
      </c>
      <c r="U1837" t="str">
        <f t="shared" si="1350"/>
        <v>骑士</v>
      </c>
      <c r="V1837" t="s">
        <v>4782</v>
      </c>
      <c r="W1837">
        <f>属性类型!G1837</f>
        <v>10035</v>
      </c>
      <c r="X1837">
        <v>1</v>
      </c>
    </row>
    <row r="1838" customFormat="1" ht="16.5" spans="1:24">
      <c r="A1838" s="17">
        <f t="shared" si="1381"/>
        <v>42816</v>
      </c>
      <c r="B1838" s="17">
        <f t="shared" si="1349"/>
        <v>42800</v>
      </c>
      <c r="C1838" s="17" t="str">
        <f t="shared" si="1372"/>
        <v>4</v>
      </c>
      <c r="D1838" s="17">
        <f t="shared" si="1391"/>
        <v>40003</v>
      </c>
      <c r="E1838" s="17">
        <f t="shared" ref="E1838:I1838" si="1400">E1837</f>
        <v>2</v>
      </c>
      <c r="F1838" s="17">
        <f t="shared" si="1364"/>
        <v>3</v>
      </c>
      <c r="G1838" s="17" t="str">
        <f t="shared" si="1400"/>
        <v>飞龙骑士攻击百分比</v>
      </c>
      <c r="H1838" s="17" t="str">
        <f t="shared" si="1400"/>
        <v>feibing02_Lv3</v>
      </c>
      <c r="I1838" s="20">
        <f t="shared" si="1400"/>
        <v>1.2</v>
      </c>
      <c r="J1838" s="17">
        <v>16</v>
      </c>
      <c r="K1838" s="17">
        <f t="shared" si="1380"/>
        <v>42817</v>
      </c>
      <c r="L1838" s="17" t="s">
        <v>633</v>
      </c>
      <c r="M1838" s="17" t="str">
        <f t="shared" si="1383"/>
        <v>1:12500:10</v>
      </c>
      <c r="N1838" s="16" t="str">
        <f t="shared" si="1358"/>
        <v>10035:1</v>
      </c>
      <c r="O1838" s="17">
        <f t="shared" si="1365"/>
        <v>9</v>
      </c>
      <c r="P1838" s="21" t="s">
        <v>4799</v>
      </c>
      <c r="Q1838" s="21"/>
      <c r="R1838" t="s">
        <v>4762</v>
      </c>
      <c r="T1838" t="str">
        <f t="shared" si="1384"/>
        <v>:1</v>
      </c>
      <c r="U1838" t="str">
        <f t="shared" si="1350"/>
        <v>骑士</v>
      </c>
      <c r="V1838" t="s">
        <v>4782</v>
      </c>
      <c r="W1838">
        <f>属性类型!G1838</f>
        <v>10035</v>
      </c>
      <c r="X1838">
        <v>1</v>
      </c>
    </row>
    <row r="1839" customFormat="1" ht="16.5" spans="1:24">
      <c r="A1839" s="17">
        <f t="shared" si="1381"/>
        <v>42817</v>
      </c>
      <c r="B1839" s="17">
        <f t="shared" si="1349"/>
        <v>42800</v>
      </c>
      <c r="C1839" s="17" t="str">
        <f t="shared" si="1372"/>
        <v>4</v>
      </c>
      <c r="D1839" s="17">
        <f t="shared" si="1391"/>
        <v>40003</v>
      </c>
      <c r="E1839" s="17">
        <f t="shared" ref="E1839:I1839" si="1401">E1838</f>
        <v>2</v>
      </c>
      <c r="F1839" s="17">
        <f t="shared" si="1364"/>
        <v>3</v>
      </c>
      <c r="G1839" s="17" t="str">
        <f t="shared" si="1401"/>
        <v>飞龙骑士攻击百分比</v>
      </c>
      <c r="H1839" s="17" t="str">
        <f t="shared" si="1401"/>
        <v>feibing02_Lv3</v>
      </c>
      <c r="I1839" s="20">
        <f t="shared" si="1401"/>
        <v>1.2</v>
      </c>
      <c r="J1839" s="17">
        <v>17</v>
      </c>
      <c r="K1839" s="17">
        <f t="shared" si="1380"/>
        <v>42818</v>
      </c>
      <c r="L1839" s="17" t="s">
        <v>637</v>
      </c>
      <c r="M1839" s="17" t="str">
        <f t="shared" si="1383"/>
        <v>1:12500:10</v>
      </c>
      <c r="N1839" s="16" t="str">
        <f t="shared" si="1358"/>
        <v>10035:1</v>
      </c>
      <c r="O1839" s="17">
        <f t="shared" si="1365"/>
        <v>9</v>
      </c>
      <c r="P1839" s="21" t="s">
        <v>4800</v>
      </c>
      <c r="Q1839" s="21"/>
      <c r="R1839" t="s">
        <v>4762</v>
      </c>
      <c r="T1839" t="str">
        <f t="shared" si="1384"/>
        <v>:1</v>
      </c>
      <c r="U1839" t="str">
        <f t="shared" si="1350"/>
        <v>骑士</v>
      </c>
      <c r="V1839" t="s">
        <v>4782</v>
      </c>
      <c r="W1839">
        <f>属性类型!G1839</f>
        <v>10035</v>
      </c>
      <c r="X1839">
        <v>1</v>
      </c>
    </row>
    <row r="1840" customFormat="1" ht="16.5" spans="1:24">
      <c r="A1840" s="17">
        <f t="shared" si="1381"/>
        <v>42818</v>
      </c>
      <c r="B1840" s="17">
        <f t="shared" si="1349"/>
        <v>42800</v>
      </c>
      <c r="C1840" s="17" t="str">
        <f t="shared" si="1372"/>
        <v>4</v>
      </c>
      <c r="D1840" s="17">
        <f t="shared" si="1391"/>
        <v>40003</v>
      </c>
      <c r="E1840" s="17">
        <f t="shared" ref="E1840:I1840" si="1402">E1839</f>
        <v>2</v>
      </c>
      <c r="F1840" s="17">
        <f t="shared" si="1364"/>
        <v>3</v>
      </c>
      <c r="G1840" s="17" t="str">
        <f t="shared" si="1402"/>
        <v>飞龙骑士攻击百分比</v>
      </c>
      <c r="H1840" s="17" t="str">
        <f t="shared" si="1402"/>
        <v>feibing02_Lv3</v>
      </c>
      <c r="I1840" s="20">
        <f t="shared" si="1402"/>
        <v>1.2</v>
      </c>
      <c r="J1840" s="17">
        <v>18</v>
      </c>
      <c r="K1840" s="17">
        <f t="shared" si="1380"/>
        <v>42819</v>
      </c>
      <c r="L1840" s="17" t="s">
        <v>641</v>
      </c>
      <c r="M1840" s="17" t="str">
        <f t="shared" si="1383"/>
        <v>1:12500:10</v>
      </c>
      <c r="N1840" s="16" t="str">
        <f t="shared" si="1358"/>
        <v>10035:1</v>
      </c>
      <c r="O1840" s="17">
        <f t="shared" si="1365"/>
        <v>9</v>
      </c>
      <c r="P1840" s="21" t="s">
        <v>4801</v>
      </c>
      <c r="Q1840" s="21"/>
      <c r="R1840" t="s">
        <v>4762</v>
      </c>
      <c r="T1840" t="str">
        <f t="shared" si="1384"/>
        <v>:1</v>
      </c>
      <c r="U1840" t="str">
        <f t="shared" si="1350"/>
        <v>骑士</v>
      </c>
      <c r="V1840" t="s">
        <v>4782</v>
      </c>
      <c r="W1840">
        <f>属性类型!G1840</f>
        <v>10035</v>
      </c>
      <c r="X1840">
        <v>1</v>
      </c>
    </row>
    <row r="1841" customFormat="1" ht="16.5" spans="1:24">
      <c r="A1841" s="17">
        <f t="shared" si="1381"/>
        <v>42819</v>
      </c>
      <c r="B1841" s="17">
        <f t="shared" si="1349"/>
        <v>42800</v>
      </c>
      <c r="C1841" s="17" t="str">
        <f t="shared" si="1372"/>
        <v>4</v>
      </c>
      <c r="D1841" s="17">
        <f t="shared" si="1391"/>
        <v>40003</v>
      </c>
      <c r="E1841" s="17">
        <f t="shared" ref="E1841:I1841" si="1403">E1840</f>
        <v>2</v>
      </c>
      <c r="F1841" s="17">
        <f t="shared" si="1364"/>
        <v>3</v>
      </c>
      <c r="G1841" s="17" t="str">
        <f t="shared" si="1403"/>
        <v>飞龙骑士攻击百分比</v>
      </c>
      <c r="H1841" s="17" t="str">
        <f t="shared" si="1403"/>
        <v>feibing02_Lv3</v>
      </c>
      <c r="I1841" s="20">
        <f t="shared" si="1403"/>
        <v>1.2</v>
      </c>
      <c r="J1841" s="17">
        <v>19</v>
      </c>
      <c r="K1841" s="17">
        <f t="shared" si="1380"/>
        <v>42820</v>
      </c>
      <c r="L1841" s="17" t="s">
        <v>645</v>
      </c>
      <c r="M1841" s="17" t="str">
        <f t="shared" si="1383"/>
        <v>1:12500:10</v>
      </c>
      <c r="N1841" s="16" t="str">
        <f t="shared" si="1358"/>
        <v>10035:1</v>
      </c>
      <c r="O1841" s="17">
        <f t="shared" si="1365"/>
        <v>9</v>
      </c>
      <c r="P1841" s="21" t="s">
        <v>4802</v>
      </c>
      <c r="Q1841" s="21"/>
      <c r="R1841" t="s">
        <v>4762</v>
      </c>
      <c r="T1841" t="str">
        <f t="shared" si="1384"/>
        <v>:1</v>
      </c>
      <c r="U1841" t="str">
        <f t="shared" si="1350"/>
        <v>骑士</v>
      </c>
      <c r="V1841" t="s">
        <v>4782</v>
      </c>
      <c r="W1841">
        <f>属性类型!G1841</f>
        <v>10035</v>
      </c>
      <c r="X1841">
        <v>1</v>
      </c>
    </row>
    <row r="1842" customFormat="1" ht="16.5" spans="1:24">
      <c r="A1842" s="17">
        <f t="shared" si="1381"/>
        <v>42820</v>
      </c>
      <c r="B1842" s="17">
        <f t="shared" si="1349"/>
        <v>42800</v>
      </c>
      <c r="C1842" s="17" t="str">
        <f t="shared" si="1372"/>
        <v>4</v>
      </c>
      <c r="D1842" s="17">
        <f t="shared" si="1391"/>
        <v>40003</v>
      </c>
      <c r="E1842" s="17">
        <f t="shared" ref="E1842:I1842" si="1404">E1841</f>
        <v>2</v>
      </c>
      <c r="F1842" s="17">
        <f t="shared" si="1364"/>
        <v>3</v>
      </c>
      <c r="G1842" s="17" t="str">
        <f t="shared" si="1404"/>
        <v>飞龙骑士攻击百分比</v>
      </c>
      <c r="H1842" s="17" t="str">
        <f t="shared" si="1404"/>
        <v>feibing02_Lv3</v>
      </c>
      <c r="I1842" s="20">
        <f t="shared" si="1404"/>
        <v>1.2</v>
      </c>
      <c r="J1842" s="17">
        <v>20</v>
      </c>
      <c r="K1842" s="17">
        <v>0</v>
      </c>
      <c r="L1842" s="17">
        <v>0</v>
      </c>
      <c r="M1842" s="17" t="str">
        <f t="shared" si="1383"/>
        <v>1:12500:10</v>
      </c>
      <c r="N1842" s="16" t="str">
        <f t="shared" si="1358"/>
        <v>10035:1</v>
      </c>
      <c r="O1842" s="17">
        <f t="shared" si="1365"/>
        <v>9</v>
      </c>
      <c r="P1842" s="21" t="s">
        <v>4802</v>
      </c>
      <c r="Q1842" s="21"/>
      <c r="R1842" t="s">
        <v>4762</v>
      </c>
      <c r="T1842" t="str">
        <f t="shared" si="1384"/>
        <v>:1</v>
      </c>
      <c r="U1842" t="str">
        <f t="shared" si="1350"/>
        <v>骑士</v>
      </c>
      <c r="V1842" t="s">
        <v>4782</v>
      </c>
      <c r="W1842">
        <f>属性类型!G1842</f>
        <v>10035</v>
      </c>
      <c r="X1842">
        <v>1</v>
      </c>
    </row>
    <row r="1843" customFormat="1" ht="16.5" spans="1:24">
      <c r="A1843" s="18">
        <f>A1822+100</f>
        <v>42900</v>
      </c>
      <c r="B1843" s="18">
        <f t="shared" si="1349"/>
        <v>42900</v>
      </c>
      <c r="C1843" s="18" t="str">
        <f t="shared" si="1372"/>
        <v>4</v>
      </c>
      <c r="D1843" s="17">
        <f t="shared" si="1391"/>
        <v>40003</v>
      </c>
      <c r="E1843" s="17">
        <v>2</v>
      </c>
      <c r="F1843" s="18">
        <f t="shared" si="1364"/>
        <v>3</v>
      </c>
      <c r="G1843" s="18" t="s">
        <v>4803</v>
      </c>
      <c r="H1843" s="18" t="s">
        <v>2361</v>
      </c>
      <c r="I1843" s="20">
        <v>1.2</v>
      </c>
      <c r="J1843" s="18">
        <v>0</v>
      </c>
      <c r="K1843" s="18">
        <f t="shared" ref="K1843:K1868" si="1405">A1844</f>
        <v>42901</v>
      </c>
      <c r="L1843" s="18" t="s">
        <v>206</v>
      </c>
      <c r="M1843" s="18" t="s">
        <v>773</v>
      </c>
      <c r="N1843" s="16" t="str">
        <f t="shared" si="1358"/>
        <v>10036:1</v>
      </c>
      <c r="O1843" s="18">
        <f t="shared" si="1365"/>
        <v>10</v>
      </c>
      <c r="P1843" s="21" t="s">
        <v>4804</v>
      </c>
      <c r="Q1843" s="21"/>
      <c r="R1843" t="s">
        <v>4762</v>
      </c>
      <c r="T1843" t="str">
        <f>RIGHT(N1843,1)</f>
        <v>1</v>
      </c>
      <c r="U1843" t="str">
        <f t="shared" si="1350"/>
        <v>骑士</v>
      </c>
      <c r="V1843" t="s">
        <v>4803</v>
      </c>
      <c r="W1843">
        <f>属性类型!G1843</f>
        <v>10036</v>
      </c>
      <c r="X1843">
        <v>1</v>
      </c>
    </row>
    <row r="1844" customFormat="1" ht="16.5" spans="1:24">
      <c r="A1844" s="17">
        <f t="shared" ref="A1844:A1863" si="1406">A1843+1</f>
        <v>42901</v>
      </c>
      <c r="B1844" s="17">
        <f t="shared" si="1349"/>
        <v>42900</v>
      </c>
      <c r="C1844" s="17" t="str">
        <f t="shared" si="1372"/>
        <v>4</v>
      </c>
      <c r="D1844" s="17">
        <f t="shared" si="1391"/>
        <v>40003</v>
      </c>
      <c r="E1844" s="17">
        <f t="shared" ref="E1844:I1844" si="1407">E1843</f>
        <v>2</v>
      </c>
      <c r="F1844" s="17">
        <f t="shared" si="1364"/>
        <v>3</v>
      </c>
      <c r="G1844" s="17" t="str">
        <f t="shared" si="1407"/>
        <v>飞龙骑士魔防百分比</v>
      </c>
      <c r="H1844" s="17" t="str">
        <f t="shared" si="1407"/>
        <v>feibing02_Lv3</v>
      </c>
      <c r="I1844" s="20">
        <f t="shared" si="1407"/>
        <v>1.2</v>
      </c>
      <c r="J1844" s="17">
        <v>1</v>
      </c>
      <c r="K1844" s="17">
        <f t="shared" si="1405"/>
        <v>42902</v>
      </c>
      <c r="L1844" s="17" t="s">
        <v>211</v>
      </c>
      <c r="M1844" s="17" t="str">
        <f t="shared" ref="M1844:M1863" si="1408">M1843</f>
        <v>1:12600:10</v>
      </c>
      <c r="N1844" s="16" t="str">
        <f t="shared" si="1358"/>
        <v>10036:1</v>
      </c>
      <c r="O1844" s="17">
        <f t="shared" si="1365"/>
        <v>10</v>
      </c>
      <c r="P1844" s="21" t="s">
        <v>4805</v>
      </c>
      <c r="Q1844" s="21"/>
      <c r="R1844" t="s">
        <v>4762</v>
      </c>
      <c r="T1844" t="str">
        <f t="shared" ref="T1844:T1887" si="1409">RIGHT(N1844,2)</f>
        <v>:1</v>
      </c>
      <c r="U1844" t="str">
        <f t="shared" si="1350"/>
        <v>骑士</v>
      </c>
      <c r="V1844" t="s">
        <v>4803</v>
      </c>
      <c r="W1844">
        <f>属性类型!G1844</f>
        <v>10036</v>
      </c>
      <c r="X1844">
        <v>1</v>
      </c>
    </row>
    <row r="1845" customFormat="1" ht="16.5" spans="1:24">
      <c r="A1845" s="17">
        <f t="shared" si="1406"/>
        <v>42902</v>
      </c>
      <c r="B1845" s="17">
        <f t="shared" si="1349"/>
        <v>42900</v>
      </c>
      <c r="C1845" s="17" t="str">
        <f t="shared" si="1372"/>
        <v>4</v>
      </c>
      <c r="D1845" s="17">
        <f t="shared" si="1391"/>
        <v>40003</v>
      </c>
      <c r="E1845" s="17">
        <f t="shared" ref="E1845:I1845" si="1410">E1844</f>
        <v>2</v>
      </c>
      <c r="F1845" s="17">
        <f t="shared" si="1364"/>
        <v>3</v>
      </c>
      <c r="G1845" s="17" t="str">
        <f t="shared" si="1410"/>
        <v>飞龙骑士魔防百分比</v>
      </c>
      <c r="H1845" s="17" t="str">
        <f t="shared" si="1410"/>
        <v>feibing02_Lv3</v>
      </c>
      <c r="I1845" s="20">
        <f t="shared" si="1410"/>
        <v>1.2</v>
      </c>
      <c r="J1845" s="17">
        <v>2</v>
      </c>
      <c r="K1845" s="17">
        <f t="shared" si="1405"/>
        <v>42903</v>
      </c>
      <c r="L1845" s="17" t="s">
        <v>215</v>
      </c>
      <c r="M1845" s="17" t="str">
        <f t="shared" si="1408"/>
        <v>1:12600:10</v>
      </c>
      <c r="N1845" s="16" t="str">
        <f t="shared" si="1358"/>
        <v>10036:1</v>
      </c>
      <c r="O1845" s="17">
        <f t="shared" si="1365"/>
        <v>10</v>
      </c>
      <c r="P1845" s="21" t="s">
        <v>4806</v>
      </c>
      <c r="Q1845" s="21"/>
      <c r="R1845" t="s">
        <v>4762</v>
      </c>
      <c r="T1845" t="str">
        <f t="shared" si="1409"/>
        <v>:1</v>
      </c>
      <c r="U1845" t="str">
        <f t="shared" si="1350"/>
        <v>骑士</v>
      </c>
      <c r="V1845" t="s">
        <v>4803</v>
      </c>
      <c r="W1845">
        <f>属性类型!G1845</f>
        <v>10036</v>
      </c>
      <c r="X1845">
        <v>1</v>
      </c>
    </row>
    <row r="1846" customFormat="1" ht="16.5" spans="1:24">
      <c r="A1846" s="17">
        <f t="shared" si="1406"/>
        <v>42903</v>
      </c>
      <c r="B1846" s="17">
        <f t="shared" si="1349"/>
        <v>42900</v>
      </c>
      <c r="C1846" s="17" t="str">
        <f t="shared" si="1372"/>
        <v>4</v>
      </c>
      <c r="D1846" s="17">
        <f t="shared" si="1391"/>
        <v>40003</v>
      </c>
      <c r="E1846" s="17">
        <f t="shared" ref="E1846:I1846" si="1411">E1845</f>
        <v>2</v>
      </c>
      <c r="F1846" s="17">
        <f t="shared" si="1364"/>
        <v>3</v>
      </c>
      <c r="G1846" s="17" t="str">
        <f t="shared" si="1411"/>
        <v>飞龙骑士魔防百分比</v>
      </c>
      <c r="H1846" s="17" t="str">
        <f t="shared" si="1411"/>
        <v>feibing02_Lv3</v>
      </c>
      <c r="I1846" s="20">
        <f t="shared" si="1411"/>
        <v>1.2</v>
      </c>
      <c r="J1846" s="17">
        <v>3</v>
      </c>
      <c r="K1846" s="17">
        <f t="shared" si="1405"/>
        <v>42904</v>
      </c>
      <c r="L1846" s="17" t="s">
        <v>218</v>
      </c>
      <c r="M1846" s="17" t="str">
        <f t="shared" si="1408"/>
        <v>1:12600:10</v>
      </c>
      <c r="N1846" s="16" t="str">
        <f t="shared" si="1358"/>
        <v>10036:1</v>
      </c>
      <c r="O1846" s="17">
        <f t="shared" si="1365"/>
        <v>10</v>
      </c>
      <c r="P1846" s="21" t="s">
        <v>4807</v>
      </c>
      <c r="Q1846" s="21"/>
      <c r="R1846" t="s">
        <v>4762</v>
      </c>
      <c r="T1846" t="str">
        <f t="shared" si="1409"/>
        <v>:1</v>
      </c>
      <c r="U1846" t="str">
        <f t="shared" si="1350"/>
        <v>骑士</v>
      </c>
      <c r="V1846" t="s">
        <v>4803</v>
      </c>
      <c r="W1846">
        <f>属性类型!G1846</f>
        <v>10036</v>
      </c>
      <c r="X1846">
        <v>1</v>
      </c>
    </row>
    <row r="1847" customFormat="1" ht="16.5" spans="1:24">
      <c r="A1847" s="17">
        <f t="shared" si="1406"/>
        <v>42904</v>
      </c>
      <c r="B1847" s="17">
        <f t="shared" si="1349"/>
        <v>42900</v>
      </c>
      <c r="C1847" s="17" t="str">
        <f t="shared" si="1372"/>
        <v>4</v>
      </c>
      <c r="D1847" s="17">
        <f t="shared" si="1391"/>
        <v>40003</v>
      </c>
      <c r="E1847" s="17">
        <f t="shared" ref="E1847:I1847" si="1412">E1846</f>
        <v>2</v>
      </c>
      <c r="F1847" s="17">
        <f t="shared" si="1364"/>
        <v>3</v>
      </c>
      <c r="G1847" s="17" t="str">
        <f t="shared" si="1412"/>
        <v>飞龙骑士魔防百分比</v>
      </c>
      <c r="H1847" s="17" t="str">
        <f t="shared" si="1412"/>
        <v>feibing02_Lv3</v>
      </c>
      <c r="I1847" s="20">
        <f t="shared" si="1412"/>
        <v>1.2</v>
      </c>
      <c r="J1847" s="17">
        <v>4</v>
      </c>
      <c r="K1847" s="17">
        <f t="shared" si="1405"/>
        <v>42905</v>
      </c>
      <c r="L1847" s="17" t="s">
        <v>221</v>
      </c>
      <c r="M1847" s="17" t="str">
        <f t="shared" si="1408"/>
        <v>1:12600:10</v>
      </c>
      <c r="N1847" s="16" t="str">
        <f t="shared" si="1358"/>
        <v>10036:1</v>
      </c>
      <c r="O1847" s="17">
        <f t="shared" si="1365"/>
        <v>10</v>
      </c>
      <c r="P1847" s="21" t="s">
        <v>4808</v>
      </c>
      <c r="Q1847" s="21"/>
      <c r="R1847" t="s">
        <v>4762</v>
      </c>
      <c r="T1847" t="str">
        <f t="shared" si="1409"/>
        <v>:1</v>
      </c>
      <c r="U1847" t="str">
        <f t="shared" si="1350"/>
        <v>骑士</v>
      </c>
      <c r="V1847" t="s">
        <v>4803</v>
      </c>
      <c r="W1847">
        <f>属性类型!G1847</f>
        <v>10036</v>
      </c>
      <c r="X1847">
        <v>1</v>
      </c>
    </row>
    <row r="1848" customFormat="1" ht="16.5" spans="1:24">
      <c r="A1848" s="17">
        <f t="shared" si="1406"/>
        <v>42905</v>
      </c>
      <c r="B1848" s="17">
        <f t="shared" si="1349"/>
        <v>42900</v>
      </c>
      <c r="C1848" s="17" t="str">
        <f t="shared" si="1372"/>
        <v>4</v>
      </c>
      <c r="D1848" s="17">
        <f t="shared" si="1391"/>
        <v>40003</v>
      </c>
      <c r="E1848" s="17">
        <f t="shared" ref="E1848:I1848" si="1413">E1847</f>
        <v>2</v>
      </c>
      <c r="F1848" s="17">
        <f t="shared" si="1364"/>
        <v>3</v>
      </c>
      <c r="G1848" s="17" t="str">
        <f t="shared" si="1413"/>
        <v>飞龙骑士魔防百分比</v>
      </c>
      <c r="H1848" s="17" t="str">
        <f t="shared" si="1413"/>
        <v>feibing02_Lv3</v>
      </c>
      <c r="I1848" s="20">
        <f t="shared" si="1413"/>
        <v>1.2</v>
      </c>
      <c r="J1848" s="17">
        <v>5</v>
      </c>
      <c r="K1848" s="17">
        <f t="shared" si="1405"/>
        <v>42906</v>
      </c>
      <c r="L1848" s="17" t="s">
        <v>224</v>
      </c>
      <c r="M1848" s="17" t="str">
        <f t="shared" si="1408"/>
        <v>1:12600:10</v>
      </c>
      <c r="N1848" s="16" t="str">
        <f t="shared" si="1358"/>
        <v>10036:1</v>
      </c>
      <c r="O1848" s="17">
        <f t="shared" si="1365"/>
        <v>10</v>
      </c>
      <c r="P1848" s="21" t="s">
        <v>4809</v>
      </c>
      <c r="Q1848" s="21"/>
      <c r="R1848" t="s">
        <v>4762</v>
      </c>
      <c r="T1848" t="str">
        <f t="shared" si="1409"/>
        <v>:1</v>
      </c>
      <c r="U1848" t="str">
        <f t="shared" si="1350"/>
        <v>骑士</v>
      </c>
      <c r="V1848" t="s">
        <v>4803</v>
      </c>
      <c r="W1848">
        <f>属性类型!G1848</f>
        <v>10036</v>
      </c>
      <c r="X1848">
        <v>1</v>
      </c>
    </row>
    <row r="1849" customFormat="1" ht="16.5" spans="1:24">
      <c r="A1849" s="17">
        <f t="shared" si="1406"/>
        <v>42906</v>
      </c>
      <c r="B1849" s="17">
        <f t="shared" si="1349"/>
        <v>42900</v>
      </c>
      <c r="C1849" s="17" t="str">
        <f t="shared" si="1372"/>
        <v>4</v>
      </c>
      <c r="D1849" s="17">
        <f t="shared" si="1391"/>
        <v>40003</v>
      </c>
      <c r="E1849" s="17">
        <f t="shared" ref="E1849:I1849" si="1414">E1848</f>
        <v>2</v>
      </c>
      <c r="F1849" s="17">
        <f t="shared" si="1364"/>
        <v>3</v>
      </c>
      <c r="G1849" s="17" t="str">
        <f t="shared" si="1414"/>
        <v>飞龙骑士魔防百分比</v>
      </c>
      <c r="H1849" s="17" t="str">
        <f t="shared" si="1414"/>
        <v>feibing02_Lv3</v>
      </c>
      <c r="I1849" s="20">
        <f t="shared" si="1414"/>
        <v>1.2</v>
      </c>
      <c r="J1849" s="17">
        <v>6</v>
      </c>
      <c r="K1849" s="17">
        <f t="shared" si="1405"/>
        <v>42907</v>
      </c>
      <c r="L1849" s="17" t="s">
        <v>227</v>
      </c>
      <c r="M1849" s="17" t="str">
        <f t="shared" si="1408"/>
        <v>1:12600:10</v>
      </c>
      <c r="N1849" s="16" t="str">
        <f t="shared" si="1358"/>
        <v>10036:1</v>
      </c>
      <c r="O1849" s="17">
        <f t="shared" si="1365"/>
        <v>10</v>
      </c>
      <c r="P1849" s="21" t="s">
        <v>4810</v>
      </c>
      <c r="Q1849" s="21"/>
      <c r="R1849" t="s">
        <v>4762</v>
      </c>
      <c r="T1849" t="str">
        <f t="shared" si="1409"/>
        <v>:1</v>
      </c>
      <c r="U1849" t="str">
        <f t="shared" si="1350"/>
        <v>骑士</v>
      </c>
      <c r="V1849" t="s">
        <v>4803</v>
      </c>
      <c r="W1849">
        <f>属性类型!G1849</f>
        <v>10036</v>
      </c>
      <c r="X1849">
        <v>1</v>
      </c>
    </row>
    <row r="1850" customFormat="1" ht="16.5" spans="1:24">
      <c r="A1850" s="17">
        <f t="shared" si="1406"/>
        <v>42907</v>
      </c>
      <c r="B1850" s="17">
        <f t="shared" si="1349"/>
        <v>42900</v>
      </c>
      <c r="C1850" s="17" t="str">
        <f t="shared" si="1372"/>
        <v>4</v>
      </c>
      <c r="D1850" s="17">
        <f t="shared" si="1391"/>
        <v>40003</v>
      </c>
      <c r="E1850" s="17">
        <f t="shared" ref="E1850:I1850" si="1415">E1849</f>
        <v>2</v>
      </c>
      <c r="F1850" s="17">
        <f t="shared" si="1364"/>
        <v>3</v>
      </c>
      <c r="G1850" s="17" t="str">
        <f t="shared" si="1415"/>
        <v>飞龙骑士魔防百分比</v>
      </c>
      <c r="H1850" s="17" t="str">
        <f t="shared" si="1415"/>
        <v>feibing02_Lv3</v>
      </c>
      <c r="I1850" s="20">
        <f t="shared" si="1415"/>
        <v>1.2</v>
      </c>
      <c r="J1850" s="17">
        <v>7</v>
      </c>
      <c r="K1850" s="17">
        <f t="shared" si="1405"/>
        <v>42908</v>
      </c>
      <c r="L1850" s="17" t="s">
        <v>230</v>
      </c>
      <c r="M1850" s="17" t="str">
        <f t="shared" si="1408"/>
        <v>1:12600:10</v>
      </c>
      <c r="N1850" s="16" t="str">
        <f t="shared" si="1358"/>
        <v>10036:1</v>
      </c>
      <c r="O1850" s="17">
        <f t="shared" si="1365"/>
        <v>10</v>
      </c>
      <c r="P1850" s="21" t="s">
        <v>4811</v>
      </c>
      <c r="Q1850" s="21"/>
      <c r="R1850" t="s">
        <v>4762</v>
      </c>
      <c r="T1850" t="str">
        <f t="shared" si="1409"/>
        <v>:1</v>
      </c>
      <c r="U1850" t="str">
        <f t="shared" si="1350"/>
        <v>骑士</v>
      </c>
      <c r="V1850" t="s">
        <v>4803</v>
      </c>
      <c r="W1850">
        <f>属性类型!G1850</f>
        <v>10036</v>
      </c>
      <c r="X1850">
        <v>1</v>
      </c>
    </row>
    <row r="1851" customFormat="1" ht="16.5" spans="1:24">
      <c r="A1851" s="17">
        <f t="shared" si="1406"/>
        <v>42908</v>
      </c>
      <c r="B1851" s="17">
        <f t="shared" si="1349"/>
        <v>42900</v>
      </c>
      <c r="C1851" s="17" t="str">
        <f t="shared" si="1372"/>
        <v>4</v>
      </c>
      <c r="D1851" s="17">
        <f t="shared" si="1391"/>
        <v>40003</v>
      </c>
      <c r="E1851" s="17">
        <f t="shared" ref="E1851:I1851" si="1416">E1850</f>
        <v>2</v>
      </c>
      <c r="F1851" s="17">
        <f t="shared" si="1364"/>
        <v>3</v>
      </c>
      <c r="G1851" s="17" t="str">
        <f t="shared" si="1416"/>
        <v>飞龙骑士魔防百分比</v>
      </c>
      <c r="H1851" s="17" t="str">
        <f t="shared" si="1416"/>
        <v>feibing02_Lv3</v>
      </c>
      <c r="I1851" s="20">
        <f t="shared" si="1416"/>
        <v>1.2</v>
      </c>
      <c r="J1851" s="17">
        <v>8</v>
      </c>
      <c r="K1851" s="17">
        <f t="shared" si="1405"/>
        <v>42909</v>
      </c>
      <c r="L1851" s="17" t="s">
        <v>233</v>
      </c>
      <c r="M1851" s="17" t="str">
        <f t="shared" si="1408"/>
        <v>1:12600:10</v>
      </c>
      <c r="N1851" s="16" t="str">
        <f t="shared" si="1358"/>
        <v>10036:1</v>
      </c>
      <c r="O1851" s="17">
        <f t="shared" si="1365"/>
        <v>10</v>
      </c>
      <c r="P1851" s="21" t="s">
        <v>4812</v>
      </c>
      <c r="Q1851" s="21"/>
      <c r="R1851" t="s">
        <v>4762</v>
      </c>
      <c r="T1851" t="str">
        <f t="shared" si="1409"/>
        <v>:1</v>
      </c>
      <c r="U1851" t="str">
        <f t="shared" si="1350"/>
        <v>骑士</v>
      </c>
      <c r="V1851" t="s">
        <v>4803</v>
      </c>
      <c r="W1851">
        <f>属性类型!G1851</f>
        <v>10036</v>
      </c>
      <c r="X1851">
        <v>1</v>
      </c>
    </row>
    <row r="1852" customFormat="1" ht="16.5" spans="1:24">
      <c r="A1852" s="17">
        <f t="shared" si="1406"/>
        <v>42909</v>
      </c>
      <c r="B1852" s="17">
        <f t="shared" si="1349"/>
        <v>42900</v>
      </c>
      <c r="C1852" s="17" t="str">
        <f t="shared" si="1372"/>
        <v>4</v>
      </c>
      <c r="D1852" s="17">
        <f t="shared" si="1391"/>
        <v>40003</v>
      </c>
      <c r="E1852" s="17">
        <f t="shared" ref="E1852:I1852" si="1417">E1851</f>
        <v>2</v>
      </c>
      <c r="F1852" s="17">
        <f t="shared" si="1364"/>
        <v>3</v>
      </c>
      <c r="G1852" s="17" t="str">
        <f t="shared" si="1417"/>
        <v>飞龙骑士魔防百分比</v>
      </c>
      <c r="H1852" s="17" t="str">
        <f t="shared" si="1417"/>
        <v>feibing02_Lv3</v>
      </c>
      <c r="I1852" s="20">
        <f t="shared" si="1417"/>
        <v>1.2</v>
      </c>
      <c r="J1852" s="17">
        <v>9</v>
      </c>
      <c r="K1852" s="17">
        <f t="shared" si="1405"/>
        <v>42910</v>
      </c>
      <c r="L1852" s="17" t="s">
        <v>236</v>
      </c>
      <c r="M1852" s="17" t="str">
        <f t="shared" si="1408"/>
        <v>1:12600:10</v>
      </c>
      <c r="N1852" s="16" t="str">
        <f t="shared" si="1358"/>
        <v>10036:1</v>
      </c>
      <c r="O1852" s="17">
        <f t="shared" si="1365"/>
        <v>10</v>
      </c>
      <c r="P1852" s="21" t="s">
        <v>4813</v>
      </c>
      <c r="Q1852" s="21"/>
      <c r="R1852" t="s">
        <v>4762</v>
      </c>
      <c r="T1852" t="str">
        <f t="shared" si="1409"/>
        <v>:1</v>
      </c>
      <c r="U1852" t="str">
        <f t="shared" si="1350"/>
        <v>骑士</v>
      </c>
      <c r="V1852" t="s">
        <v>4803</v>
      </c>
      <c r="W1852">
        <f>属性类型!G1852</f>
        <v>10036</v>
      </c>
      <c r="X1852">
        <v>1</v>
      </c>
    </row>
    <row r="1853" customFormat="1" ht="16.5" spans="1:24">
      <c r="A1853" s="17">
        <f t="shared" si="1406"/>
        <v>42910</v>
      </c>
      <c r="B1853" s="17">
        <f t="shared" si="1349"/>
        <v>42900</v>
      </c>
      <c r="C1853" s="17" t="str">
        <f t="shared" si="1372"/>
        <v>4</v>
      </c>
      <c r="D1853" s="17">
        <f t="shared" si="1391"/>
        <v>40003</v>
      </c>
      <c r="E1853" s="17">
        <f t="shared" ref="E1853:I1853" si="1418">E1852</f>
        <v>2</v>
      </c>
      <c r="F1853" s="17">
        <f t="shared" si="1364"/>
        <v>3</v>
      </c>
      <c r="G1853" s="17" t="str">
        <f t="shared" si="1418"/>
        <v>飞龙骑士魔防百分比</v>
      </c>
      <c r="H1853" s="17" t="str">
        <f t="shared" si="1418"/>
        <v>feibing02_Lv3</v>
      </c>
      <c r="I1853" s="20">
        <f t="shared" si="1418"/>
        <v>1.2</v>
      </c>
      <c r="J1853" s="17">
        <v>10</v>
      </c>
      <c r="K1853" s="17">
        <f t="shared" si="1405"/>
        <v>42911</v>
      </c>
      <c r="L1853" s="17" t="s">
        <v>238</v>
      </c>
      <c r="M1853" s="17" t="str">
        <f t="shared" si="1408"/>
        <v>1:12600:10</v>
      </c>
      <c r="N1853" s="16" t="str">
        <f t="shared" si="1358"/>
        <v>10036:1</v>
      </c>
      <c r="O1853" s="17">
        <f t="shared" si="1365"/>
        <v>10</v>
      </c>
      <c r="P1853" s="21" t="s">
        <v>4814</v>
      </c>
      <c r="Q1853" s="21"/>
      <c r="R1853" t="s">
        <v>4762</v>
      </c>
      <c r="T1853" t="str">
        <f t="shared" si="1409"/>
        <v>:1</v>
      </c>
      <c r="U1853" t="str">
        <f t="shared" si="1350"/>
        <v>骑士</v>
      </c>
      <c r="V1853" t="s">
        <v>4803</v>
      </c>
      <c r="W1853">
        <f>属性类型!G1853</f>
        <v>10036</v>
      </c>
      <c r="X1853">
        <v>1</v>
      </c>
    </row>
    <row r="1854" ht="16.5" spans="1:24">
      <c r="A1854" s="17">
        <f t="shared" si="1406"/>
        <v>42911</v>
      </c>
      <c r="B1854" s="17">
        <f t="shared" si="1349"/>
        <v>42900</v>
      </c>
      <c r="C1854" s="17" t="str">
        <f t="shared" si="1372"/>
        <v>4</v>
      </c>
      <c r="D1854" s="17">
        <f t="shared" si="1391"/>
        <v>40003</v>
      </c>
      <c r="E1854" s="17">
        <f t="shared" ref="E1854:I1854" si="1419">E1853</f>
        <v>2</v>
      </c>
      <c r="F1854" s="17">
        <f t="shared" si="1364"/>
        <v>3</v>
      </c>
      <c r="G1854" s="17" t="str">
        <f t="shared" si="1419"/>
        <v>飞龙骑士魔防百分比</v>
      </c>
      <c r="H1854" s="17" t="str">
        <f t="shared" si="1419"/>
        <v>feibing02_Lv3</v>
      </c>
      <c r="I1854" s="20">
        <f t="shared" si="1419"/>
        <v>1.2</v>
      </c>
      <c r="J1854" s="17">
        <v>11</v>
      </c>
      <c r="K1854" s="17">
        <f t="shared" si="1405"/>
        <v>42912</v>
      </c>
      <c r="L1854" s="17" t="s">
        <v>529</v>
      </c>
      <c r="M1854" s="17" t="str">
        <f t="shared" si="1408"/>
        <v>1:12600:10</v>
      </c>
      <c r="N1854" s="16" t="str">
        <f t="shared" si="1358"/>
        <v>10036:1</v>
      </c>
      <c r="O1854" s="17">
        <f t="shared" si="1365"/>
        <v>10</v>
      </c>
      <c r="P1854" s="21" t="s">
        <v>4815</v>
      </c>
      <c r="Q1854" s="21"/>
      <c r="R1854" t="s">
        <v>4762</v>
      </c>
      <c r="T1854" t="str">
        <f t="shared" si="1409"/>
        <v>:1</v>
      </c>
      <c r="U1854" t="str">
        <f t="shared" si="1350"/>
        <v>骑士</v>
      </c>
      <c r="V1854" t="s">
        <v>4803</v>
      </c>
      <c r="W1854">
        <f>属性类型!G1854</f>
        <v>10036</v>
      </c>
      <c r="X1854">
        <v>1</v>
      </c>
    </row>
    <row r="1855" ht="16.5" spans="1:24">
      <c r="A1855" s="17">
        <f t="shared" si="1406"/>
        <v>42912</v>
      </c>
      <c r="B1855" s="17">
        <f t="shared" si="1349"/>
        <v>42900</v>
      </c>
      <c r="C1855" s="17" t="str">
        <f t="shared" si="1372"/>
        <v>4</v>
      </c>
      <c r="D1855" s="17">
        <f t="shared" si="1391"/>
        <v>40003</v>
      </c>
      <c r="E1855" s="17">
        <f t="shared" ref="E1855:I1855" si="1420">E1854</f>
        <v>2</v>
      </c>
      <c r="F1855" s="17">
        <f t="shared" si="1364"/>
        <v>3</v>
      </c>
      <c r="G1855" s="17" t="str">
        <f t="shared" si="1420"/>
        <v>飞龙骑士魔防百分比</v>
      </c>
      <c r="H1855" s="17" t="str">
        <f t="shared" si="1420"/>
        <v>feibing02_Lv3</v>
      </c>
      <c r="I1855" s="20">
        <f t="shared" si="1420"/>
        <v>1.2</v>
      </c>
      <c r="J1855" s="17">
        <v>12</v>
      </c>
      <c r="K1855" s="17">
        <f t="shared" si="1405"/>
        <v>42913</v>
      </c>
      <c r="L1855" s="17" t="s">
        <v>532</v>
      </c>
      <c r="M1855" s="17" t="str">
        <f t="shared" si="1408"/>
        <v>1:12600:10</v>
      </c>
      <c r="N1855" s="16" t="str">
        <f t="shared" si="1358"/>
        <v>10036:1</v>
      </c>
      <c r="O1855" s="17">
        <f t="shared" si="1365"/>
        <v>10</v>
      </c>
      <c r="P1855" s="21" t="s">
        <v>4816</v>
      </c>
      <c r="Q1855" s="21"/>
      <c r="R1855" t="s">
        <v>4762</v>
      </c>
      <c r="T1855" t="str">
        <f t="shared" si="1409"/>
        <v>:1</v>
      </c>
      <c r="U1855" t="str">
        <f t="shared" si="1350"/>
        <v>骑士</v>
      </c>
      <c r="V1855" t="s">
        <v>4803</v>
      </c>
      <c r="W1855">
        <f>属性类型!G1855</f>
        <v>10036</v>
      </c>
      <c r="X1855">
        <v>1</v>
      </c>
    </row>
    <row r="1856" ht="16.5" spans="1:24">
      <c r="A1856" s="17">
        <f t="shared" si="1406"/>
        <v>42913</v>
      </c>
      <c r="B1856" s="17">
        <f t="shared" si="1349"/>
        <v>42900</v>
      </c>
      <c r="C1856" s="17" t="str">
        <f t="shared" si="1372"/>
        <v>4</v>
      </c>
      <c r="D1856" s="17">
        <f t="shared" si="1391"/>
        <v>40003</v>
      </c>
      <c r="E1856" s="17">
        <f t="shared" ref="E1856:I1856" si="1421">E1855</f>
        <v>2</v>
      </c>
      <c r="F1856" s="17">
        <f t="shared" si="1364"/>
        <v>3</v>
      </c>
      <c r="G1856" s="17" t="str">
        <f t="shared" si="1421"/>
        <v>飞龙骑士魔防百分比</v>
      </c>
      <c r="H1856" s="17" t="str">
        <f t="shared" si="1421"/>
        <v>feibing02_Lv3</v>
      </c>
      <c r="I1856" s="20">
        <f t="shared" si="1421"/>
        <v>1.2</v>
      </c>
      <c r="J1856" s="17">
        <v>13</v>
      </c>
      <c r="K1856" s="17">
        <f t="shared" si="1405"/>
        <v>42914</v>
      </c>
      <c r="L1856" s="17" t="s">
        <v>561</v>
      </c>
      <c r="M1856" s="17" t="str">
        <f t="shared" si="1408"/>
        <v>1:12600:10</v>
      </c>
      <c r="N1856" s="16" t="str">
        <f t="shared" si="1358"/>
        <v>10036:1</v>
      </c>
      <c r="O1856" s="17">
        <f t="shared" si="1365"/>
        <v>10</v>
      </c>
      <c r="P1856" s="21" t="s">
        <v>4817</v>
      </c>
      <c r="Q1856" s="21"/>
      <c r="R1856" t="s">
        <v>4762</v>
      </c>
      <c r="T1856" t="str">
        <f t="shared" si="1409"/>
        <v>:1</v>
      </c>
      <c r="U1856" t="str">
        <f t="shared" si="1350"/>
        <v>骑士</v>
      </c>
      <c r="V1856" t="s">
        <v>4803</v>
      </c>
      <c r="W1856">
        <f>属性类型!G1856</f>
        <v>10036</v>
      </c>
      <c r="X1856">
        <v>1</v>
      </c>
    </row>
    <row r="1857" ht="16.5" spans="1:24">
      <c r="A1857" s="17">
        <f t="shared" si="1406"/>
        <v>42914</v>
      </c>
      <c r="B1857" s="17">
        <f t="shared" si="1349"/>
        <v>42900</v>
      </c>
      <c r="C1857" s="17" t="str">
        <f t="shared" si="1372"/>
        <v>4</v>
      </c>
      <c r="D1857" s="17">
        <f t="shared" si="1391"/>
        <v>40003</v>
      </c>
      <c r="E1857" s="17">
        <f t="shared" ref="E1857:I1857" si="1422">E1856</f>
        <v>2</v>
      </c>
      <c r="F1857" s="17">
        <f t="shared" si="1364"/>
        <v>3</v>
      </c>
      <c r="G1857" s="17" t="str">
        <f t="shared" si="1422"/>
        <v>飞龙骑士魔防百分比</v>
      </c>
      <c r="H1857" s="17" t="str">
        <f t="shared" si="1422"/>
        <v>feibing02_Lv3</v>
      </c>
      <c r="I1857" s="20">
        <f t="shared" si="1422"/>
        <v>1.2</v>
      </c>
      <c r="J1857" s="17">
        <v>14</v>
      </c>
      <c r="K1857" s="17">
        <f t="shared" si="1405"/>
        <v>42915</v>
      </c>
      <c r="L1857" s="17" t="s">
        <v>564</v>
      </c>
      <c r="M1857" s="17" t="str">
        <f t="shared" si="1408"/>
        <v>1:12600:10</v>
      </c>
      <c r="N1857" s="16" t="str">
        <f t="shared" si="1358"/>
        <v>10036:1</v>
      </c>
      <c r="O1857" s="17">
        <f t="shared" si="1365"/>
        <v>10</v>
      </c>
      <c r="P1857" s="21" t="s">
        <v>4818</v>
      </c>
      <c r="Q1857" s="21"/>
      <c r="R1857" t="s">
        <v>4762</v>
      </c>
      <c r="T1857" t="str">
        <f t="shared" si="1409"/>
        <v>:1</v>
      </c>
      <c r="U1857" t="str">
        <f t="shared" si="1350"/>
        <v>骑士</v>
      </c>
      <c r="V1857" t="s">
        <v>4803</v>
      </c>
      <c r="W1857">
        <f>属性类型!G1857</f>
        <v>10036</v>
      </c>
      <c r="X1857">
        <v>1</v>
      </c>
    </row>
    <row r="1858" ht="16.5" spans="1:24">
      <c r="A1858" s="17">
        <f t="shared" si="1406"/>
        <v>42915</v>
      </c>
      <c r="B1858" s="17">
        <f t="shared" ref="B1858:B1921" si="1423">ROUND(A1858,-2)</f>
        <v>42900</v>
      </c>
      <c r="C1858" s="17" t="str">
        <f t="shared" si="1372"/>
        <v>4</v>
      </c>
      <c r="D1858" s="17">
        <f t="shared" si="1391"/>
        <v>40003</v>
      </c>
      <c r="E1858" s="17">
        <f t="shared" ref="E1858:I1858" si="1424">E1857</f>
        <v>2</v>
      </c>
      <c r="F1858" s="17">
        <f t="shared" si="1364"/>
        <v>3</v>
      </c>
      <c r="G1858" s="17" t="str">
        <f t="shared" si="1424"/>
        <v>飞龙骑士魔防百分比</v>
      </c>
      <c r="H1858" s="17" t="str">
        <f t="shared" si="1424"/>
        <v>feibing02_Lv3</v>
      </c>
      <c r="I1858" s="20">
        <f t="shared" si="1424"/>
        <v>1.2</v>
      </c>
      <c r="J1858" s="17">
        <v>15</v>
      </c>
      <c r="K1858" s="17">
        <f t="shared" si="1405"/>
        <v>42916</v>
      </c>
      <c r="L1858" s="17" t="s">
        <v>630</v>
      </c>
      <c r="M1858" s="17" t="str">
        <f t="shared" si="1408"/>
        <v>1:12600:10</v>
      </c>
      <c r="N1858" s="16" t="str">
        <f t="shared" si="1358"/>
        <v>10036:1</v>
      </c>
      <c r="O1858" s="17">
        <f t="shared" si="1365"/>
        <v>10</v>
      </c>
      <c r="P1858" s="21" t="s">
        <v>4819</v>
      </c>
      <c r="Q1858" s="21"/>
      <c r="R1858" t="s">
        <v>4762</v>
      </c>
      <c r="T1858" t="str">
        <f t="shared" si="1409"/>
        <v>:1</v>
      </c>
      <c r="U1858" t="str">
        <f t="shared" si="1350"/>
        <v>骑士</v>
      </c>
      <c r="V1858" t="s">
        <v>4803</v>
      </c>
      <c r="W1858">
        <f>属性类型!G1858</f>
        <v>10036</v>
      </c>
      <c r="X1858">
        <v>1</v>
      </c>
    </row>
    <row r="1859" ht="16.5" spans="1:24">
      <c r="A1859" s="17">
        <f t="shared" si="1406"/>
        <v>42916</v>
      </c>
      <c r="B1859" s="17">
        <f t="shared" si="1423"/>
        <v>42900</v>
      </c>
      <c r="C1859" s="17" t="str">
        <f t="shared" si="1372"/>
        <v>4</v>
      </c>
      <c r="D1859" s="17">
        <f t="shared" si="1391"/>
        <v>40003</v>
      </c>
      <c r="E1859" s="17">
        <f t="shared" ref="E1859:I1859" si="1425">E1858</f>
        <v>2</v>
      </c>
      <c r="F1859" s="17">
        <f t="shared" si="1364"/>
        <v>3</v>
      </c>
      <c r="G1859" s="17" t="str">
        <f t="shared" si="1425"/>
        <v>飞龙骑士魔防百分比</v>
      </c>
      <c r="H1859" s="17" t="str">
        <f t="shared" si="1425"/>
        <v>feibing02_Lv3</v>
      </c>
      <c r="I1859" s="20">
        <f t="shared" si="1425"/>
        <v>1.2</v>
      </c>
      <c r="J1859" s="17">
        <v>16</v>
      </c>
      <c r="K1859" s="17">
        <f t="shared" si="1405"/>
        <v>42917</v>
      </c>
      <c r="L1859" s="17" t="s">
        <v>633</v>
      </c>
      <c r="M1859" s="17" t="str">
        <f t="shared" si="1408"/>
        <v>1:12600:10</v>
      </c>
      <c r="N1859" s="16" t="str">
        <f t="shared" si="1358"/>
        <v>10036:1</v>
      </c>
      <c r="O1859" s="17">
        <f t="shared" si="1365"/>
        <v>10</v>
      </c>
      <c r="P1859" s="21" t="s">
        <v>4820</v>
      </c>
      <c r="Q1859" s="21"/>
      <c r="R1859" t="s">
        <v>4762</v>
      </c>
      <c r="T1859" t="str">
        <f t="shared" si="1409"/>
        <v>:1</v>
      </c>
      <c r="U1859" t="str">
        <f t="shared" si="1350"/>
        <v>骑士</v>
      </c>
      <c r="V1859" t="s">
        <v>4803</v>
      </c>
      <c r="W1859">
        <f>属性类型!G1859</f>
        <v>10036</v>
      </c>
      <c r="X1859">
        <v>1</v>
      </c>
    </row>
    <row r="1860" ht="16.5" spans="1:24">
      <c r="A1860" s="17">
        <f t="shared" si="1406"/>
        <v>42917</v>
      </c>
      <c r="B1860" s="17">
        <f t="shared" si="1423"/>
        <v>42900</v>
      </c>
      <c r="C1860" s="17" t="str">
        <f t="shared" si="1372"/>
        <v>4</v>
      </c>
      <c r="D1860" s="17">
        <f t="shared" si="1391"/>
        <v>40003</v>
      </c>
      <c r="E1860" s="17">
        <f t="shared" ref="E1860:I1860" si="1426">E1859</f>
        <v>2</v>
      </c>
      <c r="F1860" s="17">
        <f t="shared" si="1364"/>
        <v>3</v>
      </c>
      <c r="G1860" s="17" t="str">
        <f t="shared" si="1426"/>
        <v>飞龙骑士魔防百分比</v>
      </c>
      <c r="H1860" s="17" t="str">
        <f t="shared" si="1426"/>
        <v>feibing02_Lv3</v>
      </c>
      <c r="I1860" s="20">
        <f t="shared" si="1426"/>
        <v>1.2</v>
      </c>
      <c r="J1860" s="17">
        <v>17</v>
      </c>
      <c r="K1860" s="17">
        <f t="shared" si="1405"/>
        <v>42918</v>
      </c>
      <c r="L1860" s="17" t="s">
        <v>637</v>
      </c>
      <c r="M1860" s="17" t="str">
        <f t="shared" si="1408"/>
        <v>1:12600:10</v>
      </c>
      <c r="N1860" s="16" t="str">
        <f t="shared" si="1358"/>
        <v>10036:1</v>
      </c>
      <c r="O1860" s="17">
        <f t="shared" si="1365"/>
        <v>10</v>
      </c>
      <c r="P1860" s="21" t="s">
        <v>4821</v>
      </c>
      <c r="Q1860" s="21"/>
      <c r="R1860" t="s">
        <v>4762</v>
      </c>
      <c r="T1860" t="str">
        <f t="shared" si="1409"/>
        <v>:1</v>
      </c>
      <c r="U1860" t="str">
        <f t="shared" si="1350"/>
        <v>骑士</v>
      </c>
      <c r="V1860" t="s">
        <v>4803</v>
      </c>
      <c r="W1860">
        <f>属性类型!G1860</f>
        <v>10036</v>
      </c>
      <c r="X1860">
        <v>1</v>
      </c>
    </row>
    <row r="1861" ht="16.5" spans="1:24">
      <c r="A1861" s="17">
        <f t="shared" si="1406"/>
        <v>42918</v>
      </c>
      <c r="B1861" s="17">
        <f t="shared" si="1423"/>
        <v>42900</v>
      </c>
      <c r="C1861" s="17" t="str">
        <f t="shared" si="1372"/>
        <v>4</v>
      </c>
      <c r="D1861" s="17">
        <f t="shared" si="1391"/>
        <v>40003</v>
      </c>
      <c r="E1861" s="17">
        <f t="shared" ref="E1861:I1861" si="1427">E1860</f>
        <v>2</v>
      </c>
      <c r="F1861" s="17">
        <f t="shared" si="1364"/>
        <v>3</v>
      </c>
      <c r="G1861" s="17" t="str">
        <f t="shared" si="1427"/>
        <v>飞龙骑士魔防百分比</v>
      </c>
      <c r="H1861" s="17" t="str">
        <f t="shared" si="1427"/>
        <v>feibing02_Lv3</v>
      </c>
      <c r="I1861" s="20">
        <f t="shared" si="1427"/>
        <v>1.2</v>
      </c>
      <c r="J1861" s="17">
        <v>18</v>
      </c>
      <c r="K1861" s="17">
        <f t="shared" si="1405"/>
        <v>42919</v>
      </c>
      <c r="L1861" s="17" t="s">
        <v>641</v>
      </c>
      <c r="M1861" s="17" t="str">
        <f t="shared" si="1408"/>
        <v>1:12600:10</v>
      </c>
      <c r="N1861" s="16" t="str">
        <f t="shared" si="1358"/>
        <v>10036:1</v>
      </c>
      <c r="O1861" s="17">
        <f t="shared" si="1365"/>
        <v>10</v>
      </c>
      <c r="P1861" s="21" t="s">
        <v>4822</v>
      </c>
      <c r="Q1861" s="21"/>
      <c r="R1861" t="s">
        <v>4762</v>
      </c>
      <c r="T1861" t="str">
        <f t="shared" si="1409"/>
        <v>:1</v>
      </c>
      <c r="U1861" t="str">
        <f t="shared" ref="U1861:U1924" si="1428">MID(P1861,3,2)</f>
        <v>骑士</v>
      </c>
      <c r="V1861" t="s">
        <v>4803</v>
      </c>
      <c r="W1861">
        <f>属性类型!G1861</f>
        <v>10036</v>
      </c>
      <c r="X1861">
        <v>1</v>
      </c>
    </row>
    <row r="1862" ht="16.5" spans="1:24">
      <c r="A1862" s="17">
        <f t="shared" si="1406"/>
        <v>42919</v>
      </c>
      <c r="B1862" s="17">
        <f t="shared" si="1423"/>
        <v>42900</v>
      </c>
      <c r="C1862" s="17" t="str">
        <f t="shared" si="1372"/>
        <v>4</v>
      </c>
      <c r="D1862" s="17">
        <f t="shared" si="1391"/>
        <v>40003</v>
      </c>
      <c r="E1862" s="17">
        <f t="shared" ref="E1862:I1862" si="1429">E1861</f>
        <v>2</v>
      </c>
      <c r="F1862" s="17">
        <f t="shared" si="1364"/>
        <v>3</v>
      </c>
      <c r="G1862" s="17" t="str">
        <f t="shared" si="1429"/>
        <v>飞龙骑士魔防百分比</v>
      </c>
      <c r="H1862" s="17" t="str">
        <f t="shared" si="1429"/>
        <v>feibing02_Lv3</v>
      </c>
      <c r="I1862" s="20">
        <f t="shared" si="1429"/>
        <v>1.2</v>
      </c>
      <c r="J1862" s="17">
        <v>19</v>
      </c>
      <c r="K1862" s="17">
        <f t="shared" si="1405"/>
        <v>42920</v>
      </c>
      <c r="L1862" s="17" t="s">
        <v>645</v>
      </c>
      <c r="M1862" s="17" t="str">
        <f t="shared" si="1408"/>
        <v>1:12600:10</v>
      </c>
      <c r="N1862" s="16" t="str">
        <f t="shared" si="1358"/>
        <v>10036:1</v>
      </c>
      <c r="O1862" s="17">
        <f t="shared" si="1365"/>
        <v>10</v>
      </c>
      <c r="P1862" s="21" t="s">
        <v>4823</v>
      </c>
      <c r="Q1862" s="21"/>
      <c r="R1862" t="s">
        <v>4762</v>
      </c>
      <c r="T1862" t="str">
        <f t="shared" si="1409"/>
        <v>:1</v>
      </c>
      <c r="U1862" t="str">
        <f t="shared" si="1428"/>
        <v>骑士</v>
      </c>
      <c r="V1862" t="s">
        <v>4803</v>
      </c>
      <c r="W1862">
        <f>属性类型!G1862</f>
        <v>10036</v>
      </c>
      <c r="X1862">
        <v>1</v>
      </c>
    </row>
    <row r="1863" ht="16.5" spans="1:24">
      <c r="A1863" s="17">
        <f t="shared" si="1406"/>
        <v>42920</v>
      </c>
      <c r="B1863" s="17">
        <f t="shared" si="1423"/>
        <v>42900</v>
      </c>
      <c r="C1863" s="17" t="str">
        <f t="shared" si="1372"/>
        <v>4</v>
      </c>
      <c r="D1863" s="17">
        <f t="shared" si="1391"/>
        <v>40003</v>
      </c>
      <c r="E1863" s="17">
        <f t="shared" ref="E1863:I1863" si="1430">E1862</f>
        <v>2</v>
      </c>
      <c r="F1863" s="17">
        <f t="shared" si="1364"/>
        <v>3</v>
      </c>
      <c r="G1863" s="17" t="str">
        <f t="shared" si="1430"/>
        <v>飞龙骑士魔防百分比</v>
      </c>
      <c r="H1863" s="17" t="str">
        <f t="shared" si="1430"/>
        <v>feibing02_Lv3</v>
      </c>
      <c r="I1863" s="20">
        <f t="shared" si="1430"/>
        <v>1.2</v>
      </c>
      <c r="J1863" s="17">
        <v>20</v>
      </c>
      <c r="K1863" s="17">
        <f t="shared" si="1405"/>
        <v>50000</v>
      </c>
      <c r="L1863" s="17">
        <v>0</v>
      </c>
      <c r="M1863" s="17" t="str">
        <f t="shared" si="1408"/>
        <v>1:12600:10</v>
      </c>
      <c r="N1863" s="16" t="str">
        <f t="shared" si="1358"/>
        <v>10036:1</v>
      </c>
      <c r="O1863" s="17">
        <f t="shared" si="1365"/>
        <v>10</v>
      </c>
      <c r="P1863" s="21" t="s">
        <v>4823</v>
      </c>
      <c r="Q1863" s="21"/>
      <c r="R1863" t="s">
        <v>4762</v>
      </c>
      <c r="T1863" t="str">
        <f t="shared" si="1409"/>
        <v>:1</v>
      </c>
      <c r="U1863" t="str">
        <f t="shared" si="1428"/>
        <v>骑士</v>
      </c>
      <c r="V1863" t="s">
        <v>4803</v>
      </c>
      <c r="W1863">
        <f>属性类型!G1863</f>
        <v>10036</v>
      </c>
      <c r="X1863">
        <v>1</v>
      </c>
    </row>
    <row r="1864" s="15" customFormat="1" ht="16.5" spans="1:24">
      <c r="A1864" s="23">
        <v>50000</v>
      </c>
      <c r="B1864" s="23">
        <f t="shared" si="1423"/>
        <v>50000</v>
      </c>
      <c r="C1864" s="23" t="str">
        <f t="shared" si="1372"/>
        <v>5</v>
      </c>
      <c r="D1864" s="23">
        <f>$A$1864+F1864</f>
        <v>50001</v>
      </c>
      <c r="E1864" s="23">
        <v>1</v>
      </c>
      <c r="F1864" s="23">
        <f t="shared" si="1364"/>
        <v>1</v>
      </c>
      <c r="G1864" s="23" t="s">
        <v>37</v>
      </c>
      <c r="H1864" s="23" t="s">
        <v>38</v>
      </c>
      <c r="I1864" s="20">
        <v>0</v>
      </c>
      <c r="J1864" s="23">
        <v>0</v>
      </c>
      <c r="K1864" s="23">
        <f t="shared" si="1405"/>
        <v>50001</v>
      </c>
      <c r="L1864" s="23" t="s">
        <v>40</v>
      </c>
      <c r="M1864" s="23">
        <v>0</v>
      </c>
      <c r="N1864" s="16" t="str">
        <f t="shared" si="1358"/>
        <v>141:1</v>
      </c>
      <c r="O1864" s="23">
        <f t="shared" si="1365"/>
        <v>1</v>
      </c>
      <c r="P1864" s="24" t="str">
        <f>$S$2&amp;R1864&amp;$Q$1&amp;T1864</f>
        <v>所有牧师和法师生命增加:1</v>
      </c>
      <c r="Q1864" s="24"/>
      <c r="R1864" s="15" t="s">
        <v>4270</v>
      </c>
      <c r="T1864" s="15" t="str">
        <f t="shared" si="1409"/>
        <v>:1</v>
      </c>
      <c r="U1864" t="str">
        <f t="shared" si="1428"/>
        <v>牧师</v>
      </c>
      <c r="V1864" t="s">
        <v>4824</v>
      </c>
      <c r="W1864">
        <f>属性类型!G1864</f>
        <v>141</v>
      </c>
      <c r="X1864">
        <v>1</v>
      </c>
    </row>
    <row r="1865" customFormat="1" ht="16.5" spans="1:24">
      <c r="A1865" s="17">
        <f t="shared" ref="A1865:A1869" si="1431">A1864+1</f>
        <v>50001</v>
      </c>
      <c r="B1865" s="17">
        <f t="shared" si="1423"/>
        <v>50000</v>
      </c>
      <c r="C1865" s="17" t="str">
        <f t="shared" si="1372"/>
        <v>5</v>
      </c>
      <c r="D1865" s="17">
        <f>$A$1864+F1865</f>
        <v>50001</v>
      </c>
      <c r="E1865" s="17">
        <v>1</v>
      </c>
      <c r="F1865" s="17">
        <f t="shared" si="1364"/>
        <v>1</v>
      </c>
      <c r="G1865" s="17" t="str">
        <f>G1864</f>
        <v>初级生命</v>
      </c>
      <c r="H1865" s="17" t="str">
        <f>H1864</f>
        <v>icon_01</v>
      </c>
      <c r="I1865" s="20">
        <v>0</v>
      </c>
      <c r="J1865" s="17">
        <v>1</v>
      </c>
      <c r="K1865" s="17">
        <f t="shared" si="1405"/>
        <v>50002</v>
      </c>
      <c r="L1865" s="17" t="s">
        <v>44</v>
      </c>
      <c r="M1865" s="17">
        <f>M1864</f>
        <v>0</v>
      </c>
      <c r="N1865" s="16" t="str">
        <f t="shared" si="1358"/>
        <v>141:1</v>
      </c>
      <c r="O1865" s="17">
        <f t="shared" si="1365"/>
        <v>1</v>
      </c>
      <c r="P1865" s="21" t="str">
        <f>$S$2&amp;R1865&amp;$Q$1&amp;T1865</f>
        <v>所有牧师和法师生命增加:1</v>
      </c>
      <c r="Q1865" s="21"/>
      <c r="R1865" t="str">
        <f t="shared" ref="R1865:R1869" si="1432">R1864</f>
        <v>生命</v>
      </c>
      <c r="T1865" t="str">
        <f t="shared" si="1409"/>
        <v>:1</v>
      </c>
      <c r="U1865" t="str">
        <f t="shared" si="1428"/>
        <v>牧师</v>
      </c>
      <c r="V1865" t="s">
        <v>4824</v>
      </c>
      <c r="W1865">
        <f>属性类型!G1865</f>
        <v>141</v>
      </c>
      <c r="X1865">
        <v>1</v>
      </c>
    </row>
    <row r="1866" customFormat="1" ht="16.5" spans="1:24">
      <c r="A1866" s="17">
        <f t="shared" si="1431"/>
        <v>50002</v>
      </c>
      <c r="B1866" s="17">
        <f t="shared" si="1423"/>
        <v>50000</v>
      </c>
      <c r="C1866" s="17" t="str">
        <f t="shared" si="1372"/>
        <v>5</v>
      </c>
      <c r="D1866" s="17">
        <f t="shared" ref="D1866:D1929" si="1433">$A$1864+F1866</f>
        <v>50001</v>
      </c>
      <c r="E1866" s="17">
        <v>1</v>
      </c>
      <c r="F1866" s="17">
        <f t="shared" si="1364"/>
        <v>1</v>
      </c>
      <c r="G1866" s="17" t="str">
        <f>G1865</f>
        <v>初级生命</v>
      </c>
      <c r="H1866" s="17" t="str">
        <f>H1865</f>
        <v>icon_01</v>
      </c>
      <c r="I1866" s="20">
        <v>0</v>
      </c>
      <c r="J1866" s="17">
        <v>2</v>
      </c>
      <c r="K1866" s="17">
        <f t="shared" si="1405"/>
        <v>50003</v>
      </c>
      <c r="L1866" s="17" t="s">
        <v>49</v>
      </c>
      <c r="M1866" s="17">
        <f>M1865</f>
        <v>0</v>
      </c>
      <c r="N1866" s="16" t="str">
        <f t="shared" si="1358"/>
        <v>141:1</v>
      </c>
      <c r="O1866" s="17">
        <f t="shared" si="1365"/>
        <v>1</v>
      </c>
      <c r="P1866" s="21" t="str">
        <f t="shared" ref="P1866:P1929" si="1434">$S$2&amp;R1866&amp;$Q$1&amp;T1866</f>
        <v>所有牧师和法师生命增加:1</v>
      </c>
      <c r="Q1866" s="21"/>
      <c r="R1866" t="str">
        <f t="shared" si="1432"/>
        <v>生命</v>
      </c>
      <c r="T1866" t="str">
        <f t="shared" si="1409"/>
        <v>:1</v>
      </c>
      <c r="U1866" t="str">
        <f t="shared" si="1428"/>
        <v>牧师</v>
      </c>
      <c r="V1866" t="s">
        <v>4824</v>
      </c>
      <c r="W1866">
        <f>属性类型!G1866</f>
        <v>141</v>
      </c>
      <c r="X1866">
        <v>1</v>
      </c>
    </row>
    <row r="1867" customFormat="1" ht="16.5" spans="1:24">
      <c r="A1867" s="17">
        <f t="shared" si="1431"/>
        <v>50003</v>
      </c>
      <c r="B1867" s="17">
        <f t="shared" si="1423"/>
        <v>50000</v>
      </c>
      <c r="C1867" s="17" t="str">
        <f t="shared" si="1372"/>
        <v>5</v>
      </c>
      <c r="D1867" s="17">
        <f t="shared" si="1433"/>
        <v>50001</v>
      </c>
      <c r="E1867" s="17">
        <v>1</v>
      </c>
      <c r="F1867" s="17">
        <f t="shared" si="1364"/>
        <v>1</v>
      </c>
      <c r="G1867" s="17" t="str">
        <f>G1866</f>
        <v>初级生命</v>
      </c>
      <c r="H1867" s="17" t="str">
        <f>H1866</f>
        <v>icon_01</v>
      </c>
      <c r="I1867" s="20">
        <v>0</v>
      </c>
      <c r="J1867" s="17">
        <v>3</v>
      </c>
      <c r="K1867" s="17">
        <f t="shared" si="1405"/>
        <v>50004</v>
      </c>
      <c r="L1867" s="17" t="s">
        <v>53</v>
      </c>
      <c r="M1867" s="17">
        <f>M1866</f>
        <v>0</v>
      </c>
      <c r="N1867" s="16" t="str">
        <f t="shared" ref="N1867:N1930" si="1435">W1867&amp;$W$2&amp;X1867</f>
        <v>141:1</v>
      </c>
      <c r="O1867" s="17">
        <f t="shared" si="1365"/>
        <v>1</v>
      </c>
      <c r="P1867" s="21" t="str">
        <f t="shared" si="1434"/>
        <v>所有牧师和法师生命增加:1</v>
      </c>
      <c r="Q1867" s="21"/>
      <c r="R1867" t="str">
        <f t="shared" si="1432"/>
        <v>生命</v>
      </c>
      <c r="T1867" t="str">
        <f t="shared" si="1409"/>
        <v>:1</v>
      </c>
      <c r="U1867" t="str">
        <f t="shared" si="1428"/>
        <v>牧师</v>
      </c>
      <c r="V1867" t="s">
        <v>4824</v>
      </c>
      <c r="W1867">
        <f>属性类型!G1867</f>
        <v>141</v>
      </c>
      <c r="X1867">
        <v>1</v>
      </c>
    </row>
    <row r="1868" customFormat="1" ht="16.5" spans="1:24">
      <c r="A1868" s="17">
        <f t="shared" si="1431"/>
        <v>50004</v>
      </c>
      <c r="B1868" s="17">
        <f t="shared" si="1423"/>
        <v>50000</v>
      </c>
      <c r="C1868" s="17" t="str">
        <f t="shared" si="1372"/>
        <v>5</v>
      </c>
      <c r="D1868" s="17">
        <f t="shared" si="1433"/>
        <v>50001</v>
      </c>
      <c r="E1868" s="17">
        <v>1</v>
      </c>
      <c r="F1868" s="17">
        <f t="shared" si="1364"/>
        <v>1</v>
      </c>
      <c r="G1868" s="17" t="str">
        <f>G1867</f>
        <v>初级生命</v>
      </c>
      <c r="H1868" s="17" t="str">
        <f>H1867</f>
        <v>icon_01</v>
      </c>
      <c r="I1868" s="20">
        <v>0</v>
      </c>
      <c r="J1868" s="17">
        <v>4</v>
      </c>
      <c r="K1868" s="17">
        <f t="shared" si="1405"/>
        <v>50005</v>
      </c>
      <c r="L1868" s="17" t="s">
        <v>57</v>
      </c>
      <c r="M1868" s="17">
        <f>M1867</f>
        <v>0</v>
      </c>
      <c r="N1868" s="16" t="str">
        <f t="shared" si="1435"/>
        <v>141:1</v>
      </c>
      <c r="O1868" s="17">
        <f t="shared" si="1365"/>
        <v>1</v>
      </c>
      <c r="P1868" s="21" t="str">
        <f t="shared" si="1434"/>
        <v>所有牧师和法师生命增加:1</v>
      </c>
      <c r="Q1868" s="21"/>
      <c r="R1868" t="str">
        <f t="shared" si="1432"/>
        <v>生命</v>
      </c>
      <c r="T1868" t="str">
        <f t="shared" si="1409"/>
        <v>:1</v>
      </c>
      <c r="U1868" t="str">
        <f t="shared" si="1428"/>
        <v>牧师</v>
      </c>
      <c r="V1868" t="s">
        <v>4824</v>
      </c>
      <c r="W1868">
        <f>属性类型!G1868</f>
        <v>141</v>
      </c>
      <c r="X1868">
        <v>1</v>
      </c>
    </row>
    <row r="1869" customFormat="1" ht="16.5" spans="1:24">
      <c r="A1869" s="17">
        <f t="shared" si="1431"/>
        <v>50005</v>
      </c>
      <c r="B1869" s="17">
        <f t="shared" si="1423"/>
        <v>50000</v>
      </c>
      <c r="C1869" s="17" t="str">
        <f t="shared" si="1372"/>
        <v>5</v>
      </c>
      <c r="D1869" s="17">
        <f t="shared" si="1433"/>
        <v>50001</v>
      </c>
      <c r="E1869" s="17">
        <v>1</v>
      </c>
      <c r="F1869" s="17">
        <f t="shared" si="1364"/>
        <v>1</v>
      </c>
      <c r="G1869" s="17" t="str">
        <f>G1868</f>
        <v>初级生命</v>
      </c>
      <c r="H1869" s="17" t="str">
        <f>H1868</f>
        <v>icon_01</v>
      </c>
      <c r="I1869" s="20">
        <v>0</v>
      </c>
      <c r="J1869" s="17">
        <v>5</v>
      </c>
      <c r="K1869" s="17">
        <v>0</v>
      </c>
      <c r="L1869" s="17">
        <v>0</v>
      </c>
      <c r="M1869" s="17">
        <f>M1868</f>
        <v>0</v>
      </c>
      <c r="N1869" s="16" t="str">
        <f t="shared" si="1435"/>
        <v>141:1</v>
      </c>
      <c r="O1869" s="17">
        <f t="shared" si="1365"/>
        <v>1</v>
      </c>
      <c r="P1869" s="21" t="str">
        <f t="shared" si="1434"/>
        <v>所有牧师和法师生命增加:1</v>
      </c>
      <c r="Q1869" s="21"/>
      <c r="R1869" t="str">
        <f t="shared" si="1432"/>
        <v>生命</v>
      </c>
      <c r="T1869" t="str">
        <f t="shared" si="1409"/>
        <v>:1</v>
      </c>
      <c r="U1869" t="str">
        <f t="shared" si="1428"/>
        <v>牧师</v>
      </c>
      <c r="V1869" t="s">
        <v>4824</v>
      </c>
      <c r="W1869">
        <f>属性类型!G1869</f>
        <v>141</v>
      </c>
      <c r="X1869">
        <v>1</v>
      </c>
    </row>
    <row r="1870" customFormat="1" ht="16.5" spans="1:24">
      <c r="A1870" s="18">
        <f>A1864+100</f>
        <v>50100</v>
      </c>
      <c r="B1870" s="18">
        <f t="shared" si="1423"/>
        <v>50100</v>
      </c>
      <c r="C1870" s="18" t="str">
        <f t="shared" si="1372"/>
        <v>5</v>
      </c>
      <c r="D1870" s="17">
        <f t="shared" si="1433"/>
        <v>50001</v>
      </c>
      <c r="E1870" s="17">
        <v>1</v>
      </c>
      <c r="F1870" s="18">
        <f t="shared" si="1364"/>
        <v>1</v>
      </c>
      <c r="G1870" s="18" t="s">
        <v>62</v>
      </c>
      <c r="H1870" s="18" t="s">
        <v>63</v>
      </c>
      <c r="I1870" s="20">
        <v>0</v>
      </c>
      <c r="J1870" s="18">
        <v>0</v>
      </c>
      <c r="K1870" s="18">
        <f t="shared" ref="K1870:K1874" si="1436">A1871</f>
        <v>50101</v>
      </c>
      <c r="L1870" s="18" t="s">
        <v>40</v>
      </c>
      <c r="M1870" s="18" t="s">
        <v>65</v>
      </c>
      <c r="N1870" s="16" t="str">
        <f t="shared" si="1435"/>
        <v>143:1</v>
      </c>
      <c r="O1870" s="18">
        <f t="shared" si="1365"/>
        <v>2</v>
      </c>
      <c r="P1870" s="21" t="str">
        <f t="shared" si="1434"/>
        <v>所有牧师和法师防御增加:1</v>
      </c>
      <c r="Q1870" s="21"/>
      <c r="R1870" t="s">
        <v>4272</v>
      </c>
      <c r="T1870" t="str">
        <f t="shared" si="1409"/>
        <v>:1</v>
      </c>
      <c r="U1870" t="str">
        <f t="shared" si="1428"/>
        <v>牧师</v>
      </c>
      <c r="V1870" t="s">
        <v>4825</v>
      </c>
      <c r="W1870">
        <f>属性类型!G1870</f>
        <v>143</v>
      </c>
      <c r="X1870">
        <v>1</v>
      </c>
    </row>
    <row r="1871" customFormat="1" ht="16.5" spans="1:24">
      <c r="A1871" s="17">
        <f t="shared" ref="A1871:A1875" si="1437">A1870+1</f>
        <v>50101</v>
      </c>
      <c r="B1871" s="17">
        <f t="shared" si="1423"/>
        <v>50100</v>
      </c>
      <c r="C1871" s="17" t="str">
        <f t="shared" si="1372"/>
        <v>5</v>
      </c>
      <c r="D1871" s="17">
        <f t="shared" si="1433"/>
        <v>50001</v>
      </c>
      <c r="E1871" s="17">
        <v>1</v>
      </c>
      <c r="F1871" s="17">
        <f t="shared" si="1364"/>
        <v>1</v>
      </c>
      <c r="G1871" s="17" t="str">
        <f>G1870</f>
        <v>初级防御</v>
      </c>
      <c r="H1871" s="17" t="str">
        <f>H1870</f>
        <v>icon_02</v>
      </c>
      <c r="I1871" s="20">
        <v>0</v>
      </c>
      <c r="J1871" s="17">
        <v>1</v>
      </c>
      <c r="K1871" s="17">
        <f t="shared" si="1436"/>
        <v>50102</v>
      </c>
      <c r="L1871" s="17" t="s">
        <v>44</v>
      </c>
      <c r="M1871" s="17" t="str">
        <f>M1870</f>
        <v>1:10000:1</v>
      </c>
      <c r="N1871" s="16" t="str">
        <f t="shared" si="1435"/>
        <v>143:1</v>
      </c>
      <c r="O1871" s="17">
        <f t="shared" si="1365"/>
        <v>2</v>
      </c>
      <c r="P1871" s="21" t="str">
        <f t="shared" si="1434"/>
        <v>所有牧师和法师防御增加:1</v>
      </c>
      <c r="Q1871" s="21"/>
      <c r="R1871" t="str">
        <f t="shared" ref="R1871:R1875" si="1438">R1870</f>
        <v>防御</v>
      </c>
      <c r="T1871" t="str">
        <f t="shared" si="1409"/>
        <v>:1</v>
      </c>
      <c r="U1871" t="str">
        <f t="shared" si="1428"/>
        <v>牧师</v>
      </c>
      <c r="V1871" t="s">
        <v>4825</v>
      </c>
      <c r="W1871">
        <f>属性类型!G1871</f>
        <v>143</v>
      </c>
      <c r="X1871">
        <v>1</v>
      </c>
    </row>
    <row r="1872" customFormat="1" ht="16.5" spans="1:24">
      <c r="A1872" s="17">
        <f t="shared" si="1437"/>
        <v>50102</v>
      </c>
      <c r="B1872" s="17">
        <f t="shared" si="1423"/>
        <v>50100</v>
      </c>
      <c r="C1872" s="17" t="str">
        <f t="shared" si="1372"/>
        <v>5</v>
      </c>
      <c r="D1872" s="17">
        <f t="shared" si="1433"/>
        <v>50001</v>
      </c>
      <c r="E1872" s="17">
        <v>1</v>
      </c>
      <c r="F1872" s="17">
        <f t="shared" ref="F1872:F1935" si="1439">MID(B1872,2,1)+1</f>
        <v>1</v>
      </c>
      <c r="G1872" s="17" t="str">
        <f>G1871</f>
        <v>初级防御</v>
      </c>
      <c r="H1872" s="17" t="str">
        <f>H1871</f>
        <v>icon_02</v>
      </c>
      <c r="I1872" s="20">
        <v>0</v>
      </c>
      <c r="J1872" s="17">
        <v>2</v>
      </c>
      <c r="K1872" s="17">
        <f t="shared" si="1436"/>
        <v>50103</v>
      </c>
      <c r="L1872" s="17" t="s">
        <v>49</v>
      </c>
      <c r="M1872" s="17" t="str">
        <f>M1871</f>
        <v>1:10000:1</v>
      </c>
      <c r="N1872" s="16" t="str">
        <f t="shared" si="1435"/>
        <v>143:1</v>
      </c>
      <c r="O1872" s="17">
        <f t="shared" ref="O1872:O1935" si="1440">MID(A1872,3,1)+1</f>
        <v>2</v>
      </c>
      <c r="P1872" s="21" t="str">
        <f t="shared" si="1434"/>
        <v>所有牧师和法师防御增加:1</v>
      </c>
      <c r="Q1872" s="21"/>
      <c r="R1872" t="str">
        <f t="shared" si="1438"/>
        <v>防御</v>
      </c>
      <c r="T1872" t="str">
        <f t="shared" si="1409"/>
        <v>:1</v>
      </c>
      <c r="U1872" t="str">
        <f t="shared" si="1428"/>
        <v>牧师</v>
      </c>
      <c r="V1872" t="s">
        <v>4825</v>
      </c>
      <c r="W1872">
        <f>属性类型!G1872</f>
        <v>143</v>
      </c>
      <c r="X1872">
        <v>1</v>
      </c>
    </row>
    <row r="1873" customFormat="1" ht="16.5" spans="1:24">
      <c r="A1873" s="17">
        <f t="shared" si="1437"/>
        <v>50103</v>
      </c>
      <c r="B1873" s="17">
        <f t="shared" si="1423"/>
        <v>50100</v>
      </c>
      <c r="C1873" s="17" t="str">
        <f t="shared" si="1372"/>
        <v>5</v>
      </c>
      <c r="D1873" s="17">
        <f t="shared" si="1433"/>
        <v>50001</v>
      </c>
      <c r="E1873" s="17">
        <v>1</v>
      </c>
      <c r="F1873" s="17">
        <f t="shared" si="1439"/>
        <v>1</v>
      </c>
      <c r="G1873" s="17" t="str">
        <f>G1872</f>
        <v>初级防御</v>
      </c>
      <c r="H1873" s="17" t="str">
        <f>H1872</f>
        <v>icon_02</v>
      </c>
      <c r="I1873" s="20">
        <v>0</v>
      </c>
      <c r="J1873" s="17">
        <v>3</v>
      </c>
      <c r="K1873" s="17">
        <f t="shared" si="1436"/>
        <v>50104</v>
      </c>
      <c r="L1873" s="17" t="s">
        <v>53</v>
      </c>
      <c r="M1873" s="17" t="str">
        <f>M1872</f>
        <v>1:10000:1</v>
      </c>
      <c r="N1873" s="16" t="str">
        <f t="shared" si="1435"/>
        <v>143:1</v>
      </c>
      <c r="O1873" s="17">
        <f t="shared" si="1440"/>
        <v>2</v>
      </c>
      <c r="P1873" s="21" t="str">
        <f t="shared" si="1434"/>
        <v>所有牧师和法师防御增加:1</v>
      </c>
      <c r="Q1873" s="21"/>
      <c r="R1873" t="str">
        <f t="shared" si="1438"/>
        <v>防御</v>
      </c>
      <c r="T1873" t="str">
        <f t="shared" si="1409"/>
        <v>:1</v>
      </c>
      <c r="U1873" t="str">
        <f t="shared" si="1428"/>
        <v>牧师</v>
      </c>
      <c r="V1873" t="s">
        <v>4825</v>
      </c>
      <c r="W1873">
        <f>属性类型!G1873</f>
        <v>143</v>
      </c>
      <c r="X1873">
        <v>1</v>
      </c>
    </row>
    <row r="1874" customFormat="1" ht="16.5" spans="1:24">
      <c r="A1874" s="17">
        <f t="shared" si="1437"/>
        <v>50104</v>
      </c>
      <c r="B1874" s="17">
        <f t="shared" si="1423"/>
        <v>50100</v>
      </c>
      <c r="C1874" s="17" t="str">
        <f t="shared" si="1372"/>
        <v>5</v>
      </c>
      <c r="D1874" s="17">
        <f t="shared" si="1433"/>
        <v>50001</v>
      </c>
      <c r="E1874" s="17">
        <v>1</v>
      </c>
      <c r="F1874" s="17">
        <f t="shared" si="1439"/>
        <v>1</v>
      </c>
      <c r="G1874" s="17" t="str">
        <f>G1873</f>
        <v>初级防御</v>
      </c>
      <c r="H1874" s="17" t="str">
        <f>H1873</f>
        <v>icon_02</v>
      </c>
      <c r="I1874" s="20">
        <v>0</v>
      </c>
      <c r="J1874" s="17">
        <v>4</v>
      </c>
      <c r="K1874" s="17">
        <f t="shared" si="1436"/>
        <v>50105</v>
      </c>
      <c r="L1874" s="17" t="s">
        <v>57</v>
      </c>
      <c r="M1874" s="17" t="str">
        <f>M1873</f>
        <v>1:10000:1</v>
      </c>
      <c r="N1874" s="16" t="str">
        <f t="shared" si="1435"/>
        <v>143:1</v>
      </c>
      <c r="O1874" s="17">
        <f t="shared" si="1440"/>
        <v>2</v>
      </c>
      <c r="P1874" s="21" t="str">
        <f t="shared" si="1434"/>
        <v>所有牧师和法师防御增加:1</v>
      </c>
      <c r="Q1874" s="21"/>
      <c r="R1874" t="str">
        <f t="shared" si="1438"/>
        <v>防御</v>
      </c>
      <c r="T1874" t="str">
        <f t="shared" si="1409"/>
        <v>:1</v>
      </c>
      <c r="U1874" t="str">
        <f t="shared" si="1428"/>
        <v>牧师</v>
      </c>
      <c r="V1874" t="s">
        <v>4825</v>
      </c>
      <c r="W1874">
        <f>属性类型!G1874</f>
        <v>143</v>
      </c>
      <c r="X1874">
        <v>1</v>
      </c>
    </row>
    <row r="1875" customFormat="1" ht="16.5" spans="1:24">
      <c r="A1875" s="17">
        <f t="shared" si="1437"/>
        <v>50105</v>
      </c>
      <c r="B1875" s="17">
        <f t="shared" si="1423"/>
        <v>50100</v>
      </c>
      <c r="C1875" s="17" t="str">
        <f t="shared" si="1372"/>
        <v>5</v>
      </c>
      <c r="D1875" s="17">
        <f t="shared" si="1433"/>
        <v>50001</v>
      </c>
      <c r="E1875" s="17">
        <v>1</v>
      </c>
      <c r="F1875" s="17">
        <f t="shared" si="1439"/>
        <v>1</v>
      </c>
      <c r="G1875" s="17" t="str">
        <f>G1874</f>
        <v>初级防御</v>
      </c>
      <c r="H1875" s="17" t="str">
        <f>H1874</f>
        <v>icon_02</v>
      </c>
      <c r="I1875" s="20">
        <v>0</v>
      </c>
      <c r="J1875" s="17">
        <v>5</v>
      </c>
      <c r="K1875" s="17">
        <v>0</v>
      </c>
      <c r="L1875" s="17">
        <v>0</v>
      </c>
      <c r="M1875" s="17" t="str">
        <f>M1874</f>
        <v>1:10000:1</v>
      </c>
      <c r="N1875" s="16" t="str">
        <f t="shared" si="1435"/>
        <v>143:1</v>
      </c>
      <c r="O1875" s="17">
        <f t="shared" si="1440"/>
        <v>2</v>
      </c>
      <c r="P1875" s="21" t="str">
        <f t="shared" si="1434"/>
        <v>所有牧师和法师防御增加:1</v>
      </c>
      <c r="Q1875" s="21"/>
      <c r="R1875" t="str">
        <f t="shared" si="1438"/>
        <v>防御</v>
      </c>
      <c r="T1875" t="str">
        <f t="shared" si="1409"/>
        <v>:1</v>
      </c>
      <c r="U1875" t="str">
        <f t="shared" si="1428"/>
        <v>牧师</v>
      </c>
      <c r="V1875" t="s">
        <v>4825</v>
      </c>
      <c r="W1875">
        <f>属性类型!G1875</f>
        <v>143</v>
      </c>
      <c r="X1875">
        <v>1</v>
      </c>
    </row>
    <row r="1876" customFormat="1" ht="16.5" spans="1:24">
      <c r="A1876" s="18">
        <f>A1870+100</f>
        <v>50200</v>
      </c>
      <c r="B1876" s="18">
        <f t="shared" si="1423"/>
        <v>50200</v>
      </c>
      <c r="C1876" s="18" t="str">
        <f t="shared" si="1372"/>
        <v>5</v>
      </c>
      <c r="D1876" s="17">
        <f t="shared" si="1433"/>
        <v>50001</v>
      </c>
      <c r="E1876" s="17">
        <v>1</v>
      </c>
      <c r="F1876" s="18">
        <f t="shared" si="1439"/>
        <v>1</v>
      </c>
      <c r="G1876" s="18" t="s">
        <v>79</v>
      </c>
      <c r="H1876" s="18" t="s">
        <v>80</v>
      </c>
      <c r="I1876" s="20">
        <v>0</v>
      </c>
      <c r="J1876" s="18">
        <v>0</v>
      </c>
      <c r="K1876" s="18">
        <f t="shared" ref="K1876:K1880" si="1441">A1877</f>
        <v>50201</v>
      </c>
      <c r="L1876" s="18" t="s">
        <v>40</v>
      </c>
      <c r="M1876" s="18" t="s">
        <v>65</v>
      </c>
      <c r="N1876" s="16" t="str">
        <f t="shared" si="1435"/>
        <v>142:1</v>
      </c>
      <c r="O1876" s="18">
        <f t="shared" si="1440"/>
        <v>3</v>
      </c>
      <c r="P1876" s="21" t="str">
        <f t="shared" si="1434"/>
        <v>所有牧师和法师攻击增加:1</v>
      </c>
      <c r="Q1876" s="21"/>
      <c r="R1876" t="s">
        <v>4274</v>
      </c>
      <c r="T1876" t="str">
        <f t="shared" si="1409"/>
        <v>:1</v>
      </c>
      <c r="U1876" t="str">
        <f t="shared" si="1428"/>
        <v>牧师</v>
      </c>
      <c r="V1876" t="s">
        <v>4826</v>
      </c>
      <c r="W1876">
        <f>属性类型!G1876</f>
        <v>142</v>
      </c>
      <c r="X1876">
        <v>1</v>
      </c>
    </row>
    <row r="1877" customFormat="1" ht="16.5" spans="1:24">
      <c r="A1877" s="17">
        <f t="shared" ref="A1877:A1881" si="1442">A1876+1</f>
        <v>50201</v>
      </c>
      <c r="B1877" s="17">
        <f t="shared" si="1423"/>
        <v>50200</v>
      </c>
      <c r="C1877" s="17" t="str">
        <f t="shared" si="1372"/>
        <v>5</v>
      </c>
      <c r="D1877" s="17">
        <f t="shared" si="1433"/>
        <v>50001</v>
      </c>
      <c r="E1877" s="17">
        <v>1</v>
      </c>
      <c r="F1877" s="17">
        <f t="shared" si="1439"/>
        <v>1</v>
      </c>
      <c r="G1877" s="17" t="str">
        <f>G1876</f>
        <v>初级攻击</v>
      </c>
      <c r="H1877" s="17" t="str">
        <f>H1876</f>
        <v>icon_03</v>
      </c>
      <c r="I1877" s="20">
        <v>0</v>
      </c>
      <c r="J1877" s="17">
        <v>1</v>
      </c>
      <c r="K1877" s="17">
        <f t="shared" si="1441"/>
        <v>50202</v>
      </c>
      <c r="L1877" s="17" t="s">
        <v>44</v>
      </c>
      <c r="M1877" s="17" t="str">
        <f>M1876</f>
        <v>1:10000:1</v>
      </c>
      <c r="N1877" s="16" t="str">
        <f t="shared" si="1435"/>
        <v>142:1</v>
      </c>
      <c r="O1877" s="17">
        <f t="shared" si="1440"/>
        <v>3</v>
      </c>
      <c r="P1877" s="21" t="str">
        <f t="shared" si="1434"/>
        <v>所有牧师和法师攻击增加:1</v>
      </c>
      <c r="Q1877" s="21"/>
      <c r="R1877" t="str">
        <f t="shared" ref="R1877:R1881" si="1443">R1876</f>
        <v>攻击</v>
      </c>
      <c r="T1877" t="str">
        <f t="shared" si="1409"/>
        <v>:1</v>
      </c>
      <c r="U1877" t="str">
        <f t="shared" si="1428"/>
        <v>牧师</v>
      </c>
      <c r="V1877" t="s">
        <v>4826</v>
      </c>
      <c r="W1877">
        <f>属性类型!G1877</f>
        <v>142</v>
      </c>
      <c r="X1877">
        <v>1</v>
      </c>
    </row>
    <row r="1878" customFormat="1" ht="16.5" spans="1:24">
      <c r="A1878" s="17">
        <f t="shared" si="1442"/>
        <v>50202</v>
      </c>
      <c r="B1878" s="17">
        <f t="shared" si="1423"/>
        <v>50200</v>
      </c>
      <c r="C1878" s="17" t="str">
        <f t="shared" si="1372"/>
        <v>5</v>
      </c>
      <c r="D1878" s="17">
        <f t="shared" si="1433"/>
        <v>50001</v>
      </c>
      <c r="E1878" s="17">
        <v>1</v>
      </c>
      <c r="F1878" s="17">
        <f t="shared" si="1439"/>
        <v>1</v>
      </c>
      <c r="G1878" s="17" t="str">
        <f>G1877</f>
        <v>初级攻击</v>
      </c>
      <c r="H1878" s="17" t="str">
        <f>H1877</f>
        <v>icon_03</v>
      </c>
      <c r="I1878" s="20">
        <v>0</v>
      </c>
      <c r="J1878" s="17">
        <v>2</v>
      </c>
      <c r="K1878" s="17">
        <f t="shared" si="1441"/>
        <v>50203</v>
      </c>
      <c r="L1878" s="17" t="s">
        <v>49</v>
      </c>
      <c r="M1878" s="17" t="str">
        <f>M1877</f>
        <v>1:10000:1</v>
      </c>
      <c r="N1878" s="16" t="str">
        <f t="shared" si="1435"/>
        <v>142:1</v>
      </c>
      <c r="O1878" s="17">
        <f t="shared" si="1440"/>
        <v>3</v>
      </c>
      <c r="P1878" s="21" t="str">
        <f t="shared" si="1434"/>
        <v>所有牧师和法师攻击增加:1</v>
      </c>
      <c r="Q1878" s="21"/>
      <c r="R1878" t="str">
        <f t="shared" si="1443"/>
        <v>攻击</v>
      </c>
      <c r="T1878" t="str">
        <f t="shared" si="1409"/>
        <v>:1</v>
      </c>
      <c r="U1878" t="str">
        <f t="shared" si="1428"/>
        <v>牧师</v>
      </c>
      <c r="V1878" t="s">
        <v>4826</v>
      </c>
      <c r="W1878">
        <f>属性类型!G1878</f>
        <v>142</v>
      </c>
      <c r="X1878">
        <v>1</v>
      </c>
    </row>
    <row r="1879" customFormat="1" ht="16.5" spans="1:24">
      <c r="A1879" s="17">
        <f t="shared" si="1442"/>
        <v>50203</v>
      </c>
      <c r="B1879" s="17">
        <f t="shared" si="1423"/>
        <v>50200</v>
      </c>
      <c r="C1879" s="17" t="str">
        <f t="shared" ref="C1879:C1942" si="1444">LEFT(A1879,1)</f>
        <v>5</v>
      </c>
      <c r="D1879" s="17">
        <f t="shared" si="1433"/>
        <v>50001</v>
      </c>
      <c r="E1879" s="17">
        <v>1</v>
      </c>
      <c r="F1879" s="17">
        <f t="shared" si="1439"/>
        <v>1</v>
      </c>
      <c r="G1879" s="17" t="str">
        <f>G1878</f>
        <v>初级攻击</v>
      </c>
      <c r="H1879" s="17" t="str">
        <f>H1878</f>
        <v>icon_03</v>
      </c>
      <c r="I1879" s="20">
        <v>0</v>
      </c>
      <c r="J1879" s="17">
        <v>3</v>
      </c>
      <c r="K1879" s="17">
        <f t="shared" si="1441"/>
        <v>50204</v>
      </c>
      <c r="L1879" s="17" t="s">
        <v>53</v>
      </c>
      <c r="M1879" s="17" t="str">
        <f>M1878</f>
        <v>1:10000:1</v>
      </c>
      <c r="N1879" s="16" t="str">
        <f t="shared" si="1435"/>
        <v>142:1</v>
      </c>
      <c r="O1879" s="17">
        <f t="shared" si="1440"/>
        <v>3</v>
      </c>
      <c r="P1879" s="21" t="str">
        <f t="shared" si="1434"/>
        <v>所有牧师和法师攻击增加:1</v>
      </c>
      <c r="Q1879" s="21"/>
      <c r="R1879" t="str">
        <f t="shared" si="1443"/>
        <v>攻击</v>
      </c>
      <c r="T1879" t="str">
        <f t="shared" si="1409"/>
        <v>:1</v>
      </c>
      <c r="U1879" t="str">
        <f t="shared" si="1428"/>
        <v>牧师</v>
      </c>
      <c r="V1879" t="s">
        <v>4826</v>
      </c>
      <c r="W1879">
        <f>属性类型!G1879</f>
        <v>142</v>
      </c>
      <c r="X1879">
        <v>1</v>
      </c>
    </row>
    <row r="1880" customFormat="1" ht="16.5" spans="1:24">
      <c r="A1880" s="17">
        <f t="shared" si="1442"/>
        <v>50204</v>
      </c>
      <c r="B1880" s="17">
        <f t="shared" si="1423"/>
        <v>50200</v>
      </c>
      <c r="C1880" s="17" t="str">
        <f t="shared" si="1444"/>
        <v>5</v>
      </c>
      <c r="D1880" s="17">
        <f t="shared" si="1433"/>
        <v>50001</v>
      </c>
      <c r="E1880" s="17">
        <v>1</v>
      </c>
      <c r="F1880" s="17">
        <f t="shared" si="1439"/>
        <v>1</v>
      </c>
      <c r="G1880" s="17" t="str">
        <f>G1879</f>
        <v>初级攻击</v>
      </c>
      <c r="H1880" s="17" t="str">
        <f>H1879</f>
        <v>icon_03</v>
      </c>
      <c r="I1880" s="20">
        <v>0</v>
      </c>
      <c r="J1880" s="17">
        <v>4</v>
      </c>
      <c r="K1880" s="17">
        <f t="shared" si="1441"/>
        <v>50205</v>
      </c>
      <c r="L1880" s="17" t="s">
        <v>57</v>
      </c>
      <c r="M1880" s="17" t="str">
        <f>M1879</f>
        <v>1:10000:1</v>
      </c>
      <c r="N1880" s="16" t="str">
        <f t="shared" si="1435"/>
        <v>142:1</v>
      </c>
      <c r="O1880" s="17">
        <f t="shared" si="1440"/>
        <v>3</v>
      </c>
      <c r="P1880" s="21" t="str">
        <f t="shared" si="1434"/>
        <v>所有牧师和法师攻击增加:1</v>
      </c>
      <c r="Q1880" s="21"/>
      <c r="R1880" t="str">
        <f t="shared" si="1443"/>
        <v>攻击</v>
      </c>
      <c r="T1880" t="str">
        <f t="shared" si="1409"/>
        <v>:1</v>
      </c>
      <c r="U1880" t="str">
        <f t="shared" si="1428"/>
        <v>牧师</v>
      </c>
      <c r="V1880" t="s">
        <v>4826</v>
      </c>
      <c r="W1880">
        <f>属性类型!G1880</f>
        <v>142</v>
      </c>
      <c r="X1880">
        <v>1</v>
      </c>
    </row>
    <row r="1881" customFormat="1" ht="16.5" spans="1:24">
      <c r="A1881" s="17">
        <f t="shared" si="1442"/>
        <v>50205</v>
      </c>
      <c r="B1881" s="17">
        <f t="shared" si="1423"/>
        <v>50200</v>
      </c>
      <c r="C1881" s="17" t="str">
        <f t="shared" si="1444"/>
        <v>5</v>
      </c>
      <c r="D1881" s="17">
        <f t="shared" si="1433"/>
        <v>50001</v>
      </c>
      <c r="E1881" s="17">
        <v>1</v>
      </c>
      <c r="F1881" s="17">
        <f t="shared" si="1439"/>
        <v>1</v>
      </c>
      <c r="G1881" s="17" t="str">
        <f>G1880</f>
        <v>初级攻击</v>
      </c>
      <c r="H1881" s="17" t="str">
        <f>H1880</f>
        <v>icon_03</v>
      </c>
      <c r="I1881" s="20">
        <v>0</v>
      </c>
      <c r="J1881" s="17">
        <v>5</v>
      </c>
      <c r="K1881" s="17">
        <v>0</v>
      </c>
      <c r="L1881" s="17">
        <v>0</v>
      </c>
      <c r="M1881" s="17" t="str">
        <f>M1880</f>
        <v>1:10000:1</v>
      </c>
      <c r="N1881" s="16" t="str">
        <f t="shared" si="1435"/>
        <v>142:1</v>
      </c>
      <c r="O1881" s="17">
        <f t="shared" si="1440"/>
        <v>3</v>
      </c>
      <c r="P1881" s="21" t="str">
        <f t="shared" si="1434"/>
        <v>所有牧师和法师攻击增加:1</v>
      </c>
      <c r="Q1881" s="21"/>
      <c r="R1881" t="str">
        <f t="shared" si="1443"/>
        <v>攻击</v>
      </c>
      <c r="T1881" t="str">
        <f t="shared" si="1409"/>
        <v>:1</v>
      </c>
      <c r="U1881" t="str">
        <f t="shared" si="1428"/>
        <v>牧师</v>
      </c>
      <c r="V1881" t="s">
        <v>4826</v>
      </c>
      <c r="W1881">
        <f>属性类型!G1881</f>
        <v>142</v>
      </c>
      <c r="X1881">
        <v>1</v>
      </c>
    </row>
    <row r="1882" customFormat="1" ht="16.5" spans="1:24">
      <c r="A1882" s="18">
        <f>A1876+100</f>
        <v>50300</v>
      </c>
      <c r="B1882" s="18">
        <f t="shared" si="1423"/>
        <v>50300</v>
      </c>
      <c r="C1882" s="18" t="str">
        <f t="shared" si="1444"/>
        <v>5</v>
      </c>
      <c r="D1882" s="17">
        <f t="shared" si="1433"/>
        <v>50001</v>
      </c>
      <c r="E1882" s="17">
        <v>1</v>
      </c>
      <c r="F1882" s="18">
        <f t="shared" si="1439"/>
        <v>1</v>
      </c>
      <c r="G1882" s="18" t="s">
        <v>95</v>
      </c>
      <c r="H1882" s="18" t="s">
        <v>96</v>
      </c>
      <c r="I1882" s="20">
        <v>0</v>
      </c>
      <c r="J1882" s="18">
        <v>0</v>
      </c>
      <c r="K1882" s="18">
        <f t="shared" ref="K1882:K1886" si="1445">A1883</f>
        <v>50301</v>
      </c>
      <c r="L1882" s="18" t="s">
        <v>40</v>
      </c>
      <c r="M1882" s="18" t="s">
        <v>65</v>
      </c>
      <c r="N1882" s="16" t="str">
        <f t="shared" si="1435"/>
        <v>144:1</v>
      </c>
      <c r="O1882" s="18">
        <f t="shared" si="1440"/>
        <v>4</v>
      </c>
      <c r="P1882" s="21" t="str">
        <f t="shared" si="1434"/>
        <v>所有牧师和法师魔防增加:1</v>
      </c>
      <c r="Q1882" s="21"/>
      <c r="R1882" t="s">
        <v>4276</v>
      </c>
      <c r="T1882" t="str">
        <f t="shared" si="1409"/>
        <v>:1</v>
      </c>
      <c r="U1882" t="str">
        <f t="shared" si="1428"/>
        <v>牧师</v>
      </c>
      <c r="V1882" t="s">
        <v>4827</v>
      </c>
      <c r="W1882">
        <f>属性类型!G1882</f>
        <v>144</v>
      </c>
      <c r="X1882">
        <v>1</v>
      </c>
    </row>
    <row r="1883" customFormat="1" ht="16.5" spans="1:24">
      <c r="A1883" s="17">
        <f t="shared" ref="A1883:A1887" si="1446">A1882+1</f>
        <v>50301</v>
      </c>
      <c r="B1883" s="17">
        <f t="shared" si="1423"/>
        <v>50300</v>
      </c>
      <c r="C1883" s="17" t="str">
        <f t="shared" si="1444"/>
        <v>5</v>
      </c>
      <c r="D1883" s="17">
        <f t="shared" si="1433"/>
        <v>50001</v>
      </c>
      <c r="E1883" s="17">
        <v>1</v>
      </c>
      <c r="F1883" s="17">
        <f t="shared" si="1439"/>
        <v>1</v>
      </c>
      <c r="G1883" s="17" t="str">
        <f>G1882</f>
        <v>初级魔防</v>
      </c>
      <c r="H1883" s="17" t="str">
        <f>H1882</f>
        <v>icon_04</v>
      </c>
      <c r="I1883" s="20">
        <v>0</v>
      </c>
      <c r="J1883" s="17">
        <v>1</v>
      </c>
      <c r="K1883" s="17">
        <f t="shared" si="1445"/>
        <v>50302</v>
      </c>
      <c r="L1883" s="17" t="s">
        <v>44</v>
      </c>
      <c r="M1883" s="17" t="str">
        <f>M1882</f>
        <v>1:10000:1</v>
      </c>
      <c r="N1883" s="16" t="str">
        <f t="shared" si="1435"/>
        <v>144:1</v>
      </c>
      <c r="O1883" s="17">
        <f t="shared" si="1440"/>
        <v>4</v>
      </c>
      <c r="P1883" s="21" t="str">
        <f t="shared" si="1434"/>
        <v>所有牧师和法师魔防增加:1</v>
      </c>
      <c r="Q1883" s="21"/>
      <c r="R1883" t="str">
        <f t="shared" ref="R1883:R1887" si="1447">R1882</f>
        <v>魔防</v>
      </c>
      <c r="T1883" t="str">
        <f t="shared" si="1409"/>
        <v>:1</v>
      </c>
      <c r="U1883" t="str">
        <f t="shared" si="1428"/>
        <v>牧师</v>
      </c>
      <c r="V1883" t="s">
        <v>4827</v>
      </c>
      <c r="W1883">
        <f>属性类型!G1883</f>
        <v>144</v>
      </c>
      <c r="X1883">
        <v>1</v>
      </c>
    </row>
    <row r="1884" customFormat="1" ht="16.5" spans="1:24">
      <c r="A1884" s="17">
        <f t="shared" si="1446"/>
        <v>50302</v>
      </c>
      <c r="B1884" s="17">
        <f t="shared" si="1423"/>
        <v>50300</v>
      </c>
      <c r="C1884" s="17" t="str">
        <f t="shared" si="1444"/>
        <v>5</v>
      </c>
      <c r="D1884" s="17">
        <f t="shared" si="1433"/>
        <v>50001</v>
      </c>
      <c r="E1884" s="17">
        <v>1</v>
      </c>
      <c r="F1884" s="17">
        <f t="shared" si="1439"/>
        <v>1</v>
      </c>
      <c r="G1884" s="17" t="str">
        <f>G1883</f>
        <v>初级魔防</v>
      </c>
      <c r="H1884" s="17" t="str">
        <f>H1883</f>
        <v>icon_04</v>
      </c>
      <c r="I1884" s="20">
        <v>0</v>
      </c>
      <c r="J1884" s="17">
        <v>2</v>
      </c>
      <c r="K1884" s="17">
        <f t="shared" si="1445"/>
        <v>50303</v>
      </c>
      <c r="L1884" s="17" t="s">
        <v>49</v>
      </c>
      <c r="M1884" s="17" t="str">
        <f>M1883</f>
        <v>1:10000:1</v>
      </c>
      <c r="N1884" s="16" t="str">
        <f t="shared" si="1435"/>
        <v>144:1</v>
      </c>
      <c r="O1884" s="17">
        <f t="shared" si="1440"/>
        <v>4</v>
      </c>
      <c r="P1884" s="21" t="str">
        <f t="shared" si="1434"/>
        <v>所有牧师和法师魔防增加:1</v>
      </c>
      <c r="Q1884" s="21"/>
      <c r="R1884" t="str">
        <f t="shared" si="1447"/>
        <v>魔防</v>
      </c>
      <c r="T1884" t="str">
        <f t="shared" si="1409"/>
        <v>:1</v>
      </c>
      <c r="U1884" t="str">
        <f t="shared" si="1428"/>
        <v>牧师</v>
      </c>
      <c r="V1884" t="s">
        <v>4827</v>
      </c>
      <c r="W1884">
        <f>属性类型!G1884</f>
        <v>144</v>
      </c>
      <c r="X1884">
        <v>1</v>
      </c>
    </row>
    <row r="1885" customFormat="1" ht="16.5" spans="1:24">
      <c r="A1885" s="17">
        <f t="shared" si="1446"/>
        <v>50303</v>
      </c>
      <c r="B1885" s="17">
        <f t="shared" si="1423"/>
        <v>50300</v>
      </c>
      <c r="C1885" s="17" t="str">
        <f t="shared" si="1444"/>
        <v>5</v>
      </c>
      <c r="D1885" s="17">
        <f t="shared" si="1433"/>
        <v>50001</v>
      </c>
      <c r="E1885" s="17">
        <v>1</v>
      </c>
      <c r="F1885" s="17">
        <f t="shared" si="1439"/>
        <v>1</v>
      </c>
      <c r="G1885" s="17" t="str">
        <f>G1884</f>
        <v>初级魔防</v>
      </c>
      <c r="H1885" s="17" t="str">
        <f>H1884</f>
        <v>icon_04</v>
      </c>
      <c r="I1885" s="20">
        <v>0</v>
      </c>
      <c r="J1885" s="17">
        <v>3</v>
      </c>
      <c r="K1885" s="17">
        <f t="shared" si="1445"/>
        <v>50304</v>
      </c>
      <c r="L1885" s="17" t="s">
        <v>53</v>
      </c>
      <c r="M1885" s="17" t="str">
        <f>M1884</f>
        <v>1:10000:1</v>
      </c>
      <c r="N1885" s="16" t="str">
        <f t="shared" si="1435"/>
        <v>144:1</v>
      </c>
      <c r="O1885" s="17">
        <f t="shared" si="1440"/>
        <v>4</v>
      </c>
      <c r="P1885" s="21" t="str">
        <f t="shared" si="1434"/>
        <v>所有牧师和法师魔防增加:1</v>
      </c>
      <c r="Q1885" s="21"/>
      <c r="R1885" t="str">
        <f t="shared" si="1447"/>
        <v>魔防</v>
      </c>
      <c r="T1885" t="str">
        <f t="shared" si="1409"/>
        <v>:1</v>
      </c>
      <c r="U1885" t="str">
        <f t="shared" si="1428"/>
        <v>牧师</v>
      </c>
      <c r="V1885" t="s">
        <v>4827</v>
      </c>
      <c r="W1885">
        <f>属性类型!G1885</f>
        <v>144</v>
      </c>
      <c r="X1885">
        <v>1</v>
      </c>
    </row>
    <row r="1886" customFormat="1" ht="16.5" spans="1:24">
      <c r="A1886" s="17">
        <f t="shared" si="1446"/>
        <v>50304</v>
      </c>
      <c r="B1886" s="17">
        <f t="shared" si="1423"/>
        <v>50300</v>
      </c>
      <c r="C1886" s="17" t="str">
        <f t="shared" si="1444"/>
        <v>5</v>
      </c>
      <c r="D1886" s="17">
        <f t="shared" si="1433"/>
        <v>50001</v>
      </c>
      <c r="E1886" s="17">
        <v>1</v>
      </c>
      <c r="F1886" s="17">
        <f t="shared" si="1439"/>
        <v>1</v>
      </c>
      <c r="G1886" s="17" t="str">
        <f>G1885</f>
        <v>初级魔防</v>
      </c>
      <c r="H1886" s="17" t="str">
        <f>H1885</f>
        <v>icon_04</v>
      </c>
      <c r="I1886" s="20">
        <v>0</v>
      </c>
      <c r="J1886" s="17">
        <v>4</v>
      </c>
      <c r="K1886" s="17">
        <f t="shared" si="1445"/>
        <v>50305</v>
      </c>
      <c r="L1886" s="17" t="s">
        <v>57</v>
      </c>
      <c r="M1886" s="17" t="str">
        <f>M1885</f>
        <v>1:10000:1</v>
      </c>
      <c r="N1886" s="16" t="str">
        <f t="shared" si="1435"/>
        <v>144:1</v>
      </c>
      <c r="O1886" s="17">
        <f t="shared" si="1440"/>
        <v>4</v>
      </c>
      <c r="P1886" s="21" t="str">
        <f t="shared" si="1434"/>
        <v>所有牧师和法师魔防增加:1</v>
      </c>
      <c r="Q1886" s="21"/>
      <c r="R1886" t="str">
        <f t="shared" si="1447"/>
        <v>魔防</v>
      </c>
      <c r="T1886" t="str">
        <f t="shared" si="1409"/>
        <v>:1</v>
      </c>
      <c r="U1886" t="str">
        <f t="shared" si="1428"/>
        <v>牧师</v>
      </c>
      <c r="V1886" t="s">
        <v>4827</v>
      </c>
      <c r="W1886">
        <f>属性类型!G1886</f>
        <v>144</v>
      </c>
      <c r="X1886">
        <v>1</v>
      </c>
    </row>
    <row r="1887" customFormat="1" ht="16.5" spans="1:24">
      <c r="A1887" s="17">
        <f t="shared" si="1446"/>
        <v>50305</v>
      </c>
      <c r="B1887" s="17">
        <f t="shared" si="1423"/>
        <v>50300</v>
      </c>
      <c r="C1887" s="17" t="str">
        <f t="shared" si="1444"/>
        <v>5</v>
      </c>
      <c r="D1887" s="17">
        <f t="shared" si="1433"/>
        <v>50001</v>
      </c>
      <c r="E1887" s="17">
        <v>1</v>
      </c>
      <c r="F1887" s="17">
        <f t="shared" si="1439"/>
        <v>1</v>
      </c>
      <c r="G1887" s="17" t="str">
        <f>G1886</f>
        <v>初级魔防</v>
      </c>
      <c r="H1887" s="17" t="str">
        <f>H1886</f>
        <v>icon_04</v>
      </c>
      <c r="I1887" s="20">
        <v>0</v>
      </c>
      <c r="J1887" s="17">
        <v>5</v>
      </c>
      <c r="K1887" s="17">
        <v>0</v>
      </c>
      <c r="L1887" s="17">
        <v>0</v>
      </c>
      <c r="M1887" s="17" t="str">
        <f>M1886</f>
        <v>1:10000:1</v>
      </c>
      <c r="N1887" s="16" t="str">
        <f t="shared" si="1435"/>
        <v>144:1</v>
      </c>
      <c r="O1887" s="17">
        <f t="shared" si="1440"/>
        <v>4</v>
      </c>
      <c r="P1887" s="21" t="str">
        <f t="shared" si="1434"/>
        <v>所有牧师和法师魔防增加:1</v>
      </c>
      <c r="Q1887" s="21"/>
      <c r="R1887" t="str">
        <f t="shared" si="1447"/>
        <v>魔防</v>
      </c>
      <c r="T1887" t="str">
        <f t="shared" si="1409"/>
        <v>:1</v>
      </c>
      <c r="U1887" t="str">
        <f t="shared" si="1428"/>
        <v>牧师</v>
      </c>
      <c r="V1887" t="s">
        <v>4827</v>
      </c>
      <c r="W1887">
        <f>属性类型!G1887</f>
        <v>144</v>
      </c>
      <c r="X1887">
        <v>1</v>
      </c>
    </row>
    <row r="1888" customFormat="1" ht="16.5" spans="1:24">
      <c r="A1888" s="18">
        <f>A1882+100</f>
        <v>50400</v>
      </c>
      <c r="B1888" s="18">
        <f t="shared" si="1423"/>
        <v>50400</v>
      </c>
      <c r="C1888" s="18" t="str">
        <f t="shared" si="1444"/>
        <v>5</v>
      </c>
      <c r="D1888" s="17">
        <f t="shared" si="1433"/>
        <v>50001</v>
      </c>
      <c r="E1888" s="17">
        <v>1</v>
      </c>
      <c r="F1888" s="18">
        <f t="shared" si="1439"/>
        <v>1</v>
      </c>
      <c r="G1888" s="18" t="s">
        <v>111</v>
      </c>
      <c r="H1888" s="18" t="s">
        <v>112</v>
      </c>
      <c r="I1888" s="20">
        <v>0</v>
      </c>
      <c r="J1888" s="18">
        <v>0</v>
      </c>
      <c r="K1888" s="18">
        <f t="shared" ref="K1888:K1897" si="1448">A1889</f>
        <v>50401</v>
      </c>
      <c r="L1888" s="18" t="s">
        <v>40</v>
      </c>
      <c r="M1888" s="18" t="s">
        <v>114</v>
      </c>
      <c r="N1888" s="16" t="str">
        <f t="shared" si="1435"/>
        <v>148:1</v>
      </c>
      <c r="O1888" s="18">
        <f t="shared" si="1440"/>
        <v>5</v>
      </c>
      <c r="P1888" s="21" t="str">
        <f t="shared" si="1434"/>
        <v>所有牧师和法师防御百分比增加1</v>
      </c>
      <c r="Q1888" s="21"/>
      <c r="R1888" t="s">
        <v>4278</v>
      </c>
      <c r="T1888" t="str">
        <f>RIGHT(N1888,1)</f>
        <v>1</v>
      </c>
      <c r="U1888" t="str">
        <f t="shared" si="1428"/>
        <v>牧师</v>
      </c>
      <c r="V1888" t="s">
        <v>4828</v>
      </c>
      <c r="W1888">
        <f>属性类型!G1888</f>
        <v>148</v>
      </c>
      <c r="X1888">
        <v>1</v>
      </c>
    </row>
    <row r="1889" customFormat="1" ht="16.5" spans="1:24">
      <c r="A1889" s="17">
        <f t="shared" ref="A1889:A1898" si="1449">A1888+1</f>
        <v>50401</v>
      </c>
      <c r="B1889" s="17">
        <f t="shared" si="1423"/>
        <v>50400</v>
      </c>
      <c r="C1889" s="17" t="str">
        <f t="shared" si="1444"/>
        <v>5</v>
      </c>
      <c r="D1889" s="17">
        <f t="shared" si="1433"/>
        <v>50001</v>
      </c>
      <c r="E1889" s="17">
        <v>1</v>
      </c>
      <c r="F1889" s="17">
        <f t="shared" si="1439"/>
        <v>1</v>
      </c>
      <c r="G1889" s="17" t="str">
        <f t="shared" ref="G1889:G1898" si="1450">G1888</f>
        <v>初级防御百分比</v>
      </c>
      <c r="H1889" s="17" t="str">
        <f t="shared" ref="H1889:H1898" si="1451">H1888</f>
        <v>icon_05</v>
      </c>
      <c r="I1889" s="20">
        <v>0</v>
      </c>
      <c r="J1889" s="17">
        <v>1</v>
      </c>
      <c r="K1889" s="17">
        <f t="shared" si="1448"/>
        <v>50402</v>
      </c>
      <c r="L1889" s="17" t="s">
        <v>44</v>
      </c>
      <c r="M1889" s="17" t="str">
        <f t="shared" ref="M1889:M1898" si="1452">M1888</f>
        <v>1:10100:5</v>
      </c>
      <c r="N1889" s="16" t="str">
        <f t="shared" si="1435"/>
        <v>148:1</v>
      </c>
      <c r="O1889" s="17">
        <f t="shared" si="1440"/>
        <v>5</v>
      </c>
      <c r="P1889" s="21" t="str">
        <f t="shared" si="1434"/>
        <v>所有牧师和法师防御百分比增加:1</v>
      </c>
      <c r="Q1889" s="21"/>
      <c r="R1889" t="str">
        <f t="shared" ref="R1889:R1898" si="1453">R1888</f>
        <v>防御百分比</v>
      </c>
      <c r="T1889" t="str">
        <f t="shared" ref="T1889:T1898" si="1454">RIGHT(N1889,2)</f>
        <v>:1</v>
      </c>
      <c r="U1889" t="str">
        <f t="shared" si="1428"/>
        <v>牧师</v>
      </c>
      <c r="V1889" t="s">
        <v>4828</v>
      </c>
      <c r="W1889">
        <f>属性类型!G1889</f>
        <v>148</v>
      </c>
      <c r="X1889">
        <v>1</v>
      </c>
    </row>
    <row r="1890" customFormat="1" ht="16.5" spans="1:24">
      <c r="A1890" s="17">
        <f t="shared" si="1449"/>
        <v>50402</v>
      </c>
      <c r="B1890" s="17">
        <f t="shared" si="1423"/>
        <v>50400</v>
      </c>
      <c r="C1890" s="17" t="str">
        <f t="shared" si="1444"/>
        <v>5</v>
      </c>
      <c r="D1890" s="17">
        <f t="shared" si="1433"/>
        <v>50001</v>
      </c>
      <c r="E1890" s="17">
        <v>1</v>
      </c>
      <c r="F1890" s="17">
        <f t="shared" si="1439"/>
        <v>1</v>
      </c>
      <c r="G1890" s="17" t="str">
        <f t="shared" si="1450"/>
        <v>初级防御百分比</v>
      </c>
      <c r="H1890" s="17" t="str">
        <f t="shared" si="1451"/>
        <v>icon_05</v>
      </c>
      <c r="I1890" s="20">
        <v>0</v>
      </c>
      <c r="J1890" s="17">
        <v>2</v>
      </c>
      <c r="K1890" s="17">
        <f t="shared" si="1448"/>
        <v>50403</v>
      </c>
      <c r="L1890" s="17" t="s">
        <v>49</v>
      </c>
      <c r="M1890" s="17" t="str">
        <f t="shared" si="1452"/>
        <v>1:10100:5</v>
      </c>
      <c r="N1890" s="16" t="str">
        <f t="shared" si="1435"/>
        <v>148:1</v>
      </c>
      <c r="O1890" s="17">
        <f t="shared" si="1440"/>
        <v>5</v>
      </c>
      <c r="P1890" s="21" t="str">
        <f t="shared" si="1434"/>
        <v>所有牧师和法师防御百分比增加:1</v>
      </c>
      <c r="Q1890" s="21"/>
      <c r="R1890" t="str">
        <f t="shared" si="1453"/>
        <v>防御百分比</v>
      </c>
      <c r="T1890" t="str">
        <f t="shared" si="1454"/>
        <v>:1</v>
      </c>
      <c r="U1890" t="str">
        <f t="shared" si="1428"/>
        <v>牧师</v>
      </c>
      <c r="V1890" t="s">
        <v>4828</v>
      </c>
      <c r="W1890">
        <f>属性类型!G1890</f>
        <v>148</v>
      </c>
      <c r="X1890">
        <v>1</v>
      </c>
    </row>
    <row r="1891" customFormat="1" ht="16.5" spans="1:24">
      <c r="A1891" s="17">
        <f t="shared" si="1449"/>
        <v>50403</v>
      </c>
      <c r="B1891" s="17">
        <f t="shared" si="1423"/>
        <v>50400</v>
      </c>
      <c r="C1891" s="17" t="str">
        <f t="shared" si="1444"/>
        <v>5</v>
      </c>
      <c r="D1891" s="17">
        <f t="shared" si="1433"/>
        <v>50001</v>
      </c>
      <c r="E1891" s="17">
        <v>1</v>
      </c>
      <c r="F1891" s="17">
        <f t="shared" si="1439"/>
        <v>1</v>
      </c>
      <c r="G1891" s="17" t="str">
        <f t="shared" si="1450"/>
        <v>初级防御百分比</v>
      </c>
      <c r="H1891" s="17" t="str">
        <f t="shared" si="1451"/>
        <v>icon_05</v>
      </c>
      <c r="I1891" s="20">
        <v>0</v>
      </c>
      <c r="J1891" s="17">
        <v>3</v>
      </c>
      <c r="K1891" s="17">
        <f t="shared" si="1448"/>
        <v>50404</v>
      </c>
      <c r="L1891" s="17" t="s">
        <v>53</v>
      </c>
      <c r="M1891" s="17" t="str">
        <f t="shared" si="1452"/>
        <v>1:10100:5</v>
      </c>
      <c r="N1891" s="16" t="str">
        <f t="shared" si="1435"/>
        <v>148:1</v>
      </c>
      <c r="O1891" s="17">
        <f t="shared" si="1440"/>
        <v>5</v>
      </c>
      <c r="P1891" s="21" t="str">
        <f t="shared" si="1434"/>
        <v>所有牧师和法师防御百分比增加:1</v>
      </c>
      <c r="Q1891" s="21"/>
      <c r="R1891" t="str">
        <f t="shared" si="1453"/>
        <v>防御百分比</v>
      </c>
      <c r="T1891" t="str">
        <f t="shared" si="1454"/>
        <v>:1</v>
      </c>
      <c r="U1891" t="str">
        <f t="shared" si="1428"/>
        <v>牧师</v>
      </c>
      <c r="V1891" t="s">
        <v>4828</v>
      </c>
      <c r="W1891">
        <f>属性类型!G1891</f>
        <v>148</v>
      </c>
      <c r="X1891">
        <v>1</v>
      </c>
    </row>
    <row r="1892" customFormat="1" ht="16.5" spans="1:24">
      <c r="A1892" s="17">
        <f t="shared" si="1449"/>
        <v>50404</v>
      </c>
      <c r="B1892" s="17">
        <f t="shared" si="1423"/>
        <v>50400</v>
      </c>
      <c r="C1892" s="17" t="str">
        <f t="shared" si="1444"/>
        <v>5</v>
      </c>
      <c r="D1892" s="17">
        <f t="shared" si="1433"/>
        <v>50001</v>
      </c>
      <c r="E1892" s="17">
        <v>1</v>
      </c>
      <c r="F1892" s="17">
        <f t="shared" si="1439"/>
        <v>1</v>
      </c>
      <c r="G1892" s="17" t="str">
        <f t="shared" si="1450"/>
        <v>初级防御百分比</v>
      </c>
      <c r="H1892" s="17" t="str">
        <f t="shared" si="1451"/>
        <v>icon_05</v>
      </c>
      <c r="I1892" s="20">
        <v>0</v>
      </c>
      <c r="J1892" s="17">
        <v>4</v>
      </c>
      <c r="K1892" s="17">
        <f t="shared" si="1448"/>
        <v>50405</v>
      </c>
      <c r="L1892" s="17" t="s">
        <v>57</v>
      </c>
      <c r="M1892" s="17" t="str">
        <f t="shared" si="1452"/>
        <v>1:10100:5</v>
      </c>
      <c r="N1892" s="16" t="str">
        <f t="shared" si="1435"/>
        <v>148:1</v>
      </c>
      <c r="O1892" s="17">
        <f t="shared" si="1440"/>
        <v>5</v>
      </c>
      <c r="P1892" s="21" t="str">
        <f t="shared" si="1434"/>
        <v>所有牧师和法师防御百分比增加:1</v>
      </c>
      <c r="Q1892" s="21"/>
      <c r="R1892" t="str">
        <f t="shared" si="1453"/>
        <v>防御百分比</v>
      </c>
      <c r="T1892" t="str">
        <f t="shared" si="1454"/>
        <v>:1</v>
      </c>
      <c r="U1892" t="str">
        <f t="shared" si="1428"/>
        <v>牧师</v>
      </c>
      <c r="V1892" t="s">
        <v>4828</v>
      </c>
      <c r="W1892">
        <f>属性类型!G1892</f>
        <v>148</v>
      </c>
      <c r="X1892">
        <v>1</v>
      </c>
    </row>
    <row r="1893" customFormat="1" ht="16.5" spans="1:24">
      <c r="A1893" s="17">
        <f t="shared" si="1449"/>
        <v>50405</v>
      </c>
      <c r="B1893" s="17">
        <f t="shared" si="1423"/>
        <v>50400</v>
      </c>
      <c r="C1893" s="17" t="str">
        <f t="shared" si="1444"/>
        <v>5</v>
      </c>
      <c r="D1893" s="17">
        <f t="shared" si="1433"/>
        <v>50001</v>
      </c>
      <c r="E1893" s="17">
        <v>1</v>
      </c>
      <c r="F1893" s="17">
        <f t="shared" si="1439"/>
        <v>1</v>
      </c>
      <c r="G1893" s="17" t="str">
        <f t="shared" si="1450"/>
        <v>初级防御百分比</v>
      </c>
      <c r="H1893" s="17" t="str">
        <f t="shared" si="1451"/>
        <v>icon_05</v>
      </c>
      <c r="I1893" s="20">
        <v>0</v>
      </c>
      <c r="J1893" s="17">
        <v>5</v>
      </c>
      <c r="K1893" s="17">
        <f t="shared" si="1448"/>
        <v>50406</v>
      </c>
      <c r="L1893" s="17" t="s">
        <v>127</v>
      </c>
      <c r="M1893" s="17" t="str">
        <f t="shared" si="1452"/>
        <v>1:10100:5</v>
      </c>
      <c r="N1893" s="16" t="str">
        <f t="shared" si="1435"/>
        <v>148:1</v>
      </c>
      <c r="O1893" s="17">
        <f t="shared" si="1440"/>
        <v>5</v>
      </c>
      <c r="P1893" s="21" t="str">
        <f t="shared" si="1434"/>
        <v>所有牧师和法师防御百分比增加:1</v>
      </c>
      <c r="Q1893" s="21"/>
      <c r="R1893" t="str">
        <f t="shared" si="1453"/>
        <v>防御百分比</v>
      </c>
      <c r="T1893" t="str">
        <f t="shared" si="1454"/>
        <v>:1</v>
      </c>
      <c r="U1893" t="str">
        <f t="shared" si="1428"/>
        <v>牧师</v>
      </c>
      <c r="V1893" t="s">
        <v>4828</v>
      </c>
      <c r="W1893">
        <f>属性类型!G1893</f>
        <v>148</v>
      </c>
      <c r="X1893">
        <v>1</v>
      </c>
    </row>
    <row r="1894" customFormat="1" ht="16.5" spans="1:24">
      <c r="A1894" s="17">
        <f t="shared" si="1449"/>
        <v>50406</v>
      </c>
      <c r="B1894" s="17">
        <f t="shared" si="1423"/>
        <v>50400</v>
      </c>
      <c r="C1894" s="17" t="str">
        <f t="shared" si="1444"/>
        <v>5</v>
      </c>
      <c r="D1894" s="17">
        <f t="shared" si="1433"/>
        <v>50001</v>
      </c>
      <c r="E1894" s="17">
        <v>1</v>
      </c>
      <c r="F1894" s="17">
        <f t="shared" si="1439"/>
        <v>1</v>
      </c>
      <c r="G1894" s="17" t="str">
        <f t="shared" si="1450"/>
        <v>初级防御百分比</v>
      </c>
      <c r="H1894" s="17" t="str">
        <f t="shared" si="1451"/>
        <v>icon_05</v>
      </c>
      <c r="I1894" s="20">
        <v>0</v>
      </c>
      <c r="J1894" s="17">
        <v>6</v>
      </c>
      <c r="K1894" s="17">
        <f t="shared" si="1448"/>
        <v>50407</v>
      </c>
      <c r="L1894" s="17" t="s">
        <v>131</v>
      </c>
      <c r="M1894" s="17" t="str">
        <f t="shared" si="1452"/>
        <v>1:10100:5</v>
      </c>
      <c r="N1894" s="16" t="str">
        <f t="shared" si="1435"/>
        <v>148:1</v>
      </c>
      <c r="O1894" s="17">
        <f t="shared" si="1440"/>
        <v>5</v>
      </c>
      <c r="P1894" s="21" t="str">
        <f t="shared" si="1434"/>
        <v>所有牧师和法师防御百分比增加:1</v>
      </c>
      <c r="Q1894" s="21"/>
      <c r="R1894" t="str">
        <f t="shared" si="1453"/>
        <v>防御百分比</v>
      </c>
      <c r="T1894" t="str">
        <f t="shared" si="1454"/>
        <v>:1</v>
      </c>
      <c r="U1894" t="str">
        <f t="shared" si="1428"/>
        <v>牧师</v>
      </c>
      <c r="V1894" t="s">
        <v>4828</v>
      </c>
      <c r="W1894">
        <f>属性类型!G1894</f>
        <v>148</v>
      </c>
      <c r="X1894">
        <v>1</v>
      </c>
    </row>
    <row r="1895" customFormat="1" ht="16.5" spans="1:24">
      <c r="A1895" s="17">
        <f t="shared" si="1449"/>
        <v>50407</v>
      </c>
      <c r="B1895" s="17">
        <f t="shared" si="1423"/>
        <v>50400</v>
      </c>
      <c r="C1895" s="17" t="str">
        <f t="shared" si="1444"/>
        <v>5</v>
      </c>
      <c r="D1895" s="17">
        <f t="shared" si="1433"/>
        <v>50001</v>
      </c>
      <c r="E1895" s="17">
        <v>1</v>
      </c>
      <c r="F1895" s="17">
        <f t="shared" si="1439"/>
        <v>1</v>
      </c>
      <c r="G1895" s="17" t="str">
        <f t="shared" si="1450"/>
        <v>初级防御百分比</v>
      </c>
      <c r="H1895" s="17" t="str">
        <f t="shared" si="1451"/>
        <v>icon_05</v>
      </c>
      <c r="I1895" s="20">
        <v>0</v>
      </c>
      <c r="J1895" s="17">
        <v>7</v>
      </c>
      <c r="K1895" s="17">
        <f t="shared" si="1448"/>
        <v>50408</v>
      </c>
      <c r="L1895" s="17" t="s">
        <v>135</v>
      </c>
      <c r="M1895" s="17" t="str">
        <f t="shared" si="1452"/>
        <v>1:10100:5</v>
      </c>
      <c r="N1895" s="16" t="str">
        <f t="shared" si="1435"/>
        <v>148:1</v>
      </c>
      <c r="O1895" s="17">
        <f t="shared" si="1440"/>
        <v>5</v>
      </c>
      <c r="P1895" s="21" t="str">
        <f t="shared" si="1434"/>
        <v>所有牧师和法师防御百分比增加:1</v>
      </c>
      <c r="Q1895" s="21"/>
      <c r="R1895" t="str">
        <f t="shared" si="1453"/>
        <v>防御百分比</v>
      </c>
      <c r="T1895" t="str">
        <f t="shared" si="1454"/>
        <v>:1</v>
      </c>
      <c r="U1895" t="str">
        <f t="shared" si="1428"/>
        <v>牧师</v>
      </c>
      <c r="V1895" t="s">
        <v>4828</v>
      </c>
      <c r="W1895">
        <f>属性类型!G1895</f>
        <v>148</v>
      </c>
      <c r="X1895">
        <v>1</v>
      </c>
    </row>
    <row r="1896" customFormat="1" ht="16.5" spans="1:24">
      <c r="A1896" s="17">
        <f t="shared" si="1449"/>
        <v>50408</v>
      </c>
      <c r="B1896" s="17">
        <f t="shared" si="1423"/>
        <v>50400</v>
      </c>
      <c r="C1896" s="17" t="str">
        <f t="shared" si="1444"/>
        <v>5</v>
      </c>
      <c r="D1896" s="17">
        <f t="shared" si="1433"/>
        <v>50001</v>
      </c>
      <c r="E1896" s="17">
        <v>1</v>
      </c>
      <c r="F1896" s="17">
        <f t="shared" si="1439"/>
        <v>1</v>
      </c>
      <c r="G1896" s="17" t="str">
        <f t="shared" si="1450"/>
        <v>初级防御百分比</v>
      </c>
      <c r="H1896" s="17" t="str">
        <f t="shared" si="1451"/>
        <v>icon_05</v>
      </c>
      <c r="I1896" s="20">
        <v>0</v>
      </c>
      <c r="J1896" s="17">
        <v>8</v>
      </c>
      <c r="K1896" s="17">
        <f t="shared" si="1448"/>
        <v>50409</v>
      </c>
      <c r="L1896" s="17" t="s">
        <v>139</v>
      </c>
      <c r="M1896" s="17" t="str">
        <f t="shared" si="1452"/>
        <v>1:10100:5</v>
      </c>
      <c r="N1896" s="16" t="str">
        <f t="shared" si="1435"/>
        <v>148:1</v>
      </c>
      <c r="O1896" s="17">
        <f t="shared" si="1440"/>
        <v>5</v>
      </c>
      <c r="P1896" s="21" t="str">
        <f t="shared" si="1434"/>
        <v>所有牧师和法师防御百分比增加:1</v>
      </c>
      <c r="Q1896" s="21"/>
      <c r="R1896" t="str">
        <f t="shared" si="1453"/>
        <v>防御百分比</v>
      </c>
      <c r="T1896" t="str">
        <f t="shared" si="1454"/>
        <v>:1</v>
      </c>
      <c r="U1896" t="str">
        <f t="shared" si="1428"/>
        <v>牧师</v>
      </c>
      <c r="V1896" t="s">
        <v>4828</v>
      </c>
      <c r="W1896">
        <f>属性类型!G1896</f>
        <v>148</v>
      </c>
      <c r="X1896">
        <v>1</v>
      </c>
    </row>
    <row r="1897" customFormat="1" ht="16.5" spans="1:24">
      <c r="A1897" s="17">
        <f t="shared" si="1449"/>
        <v>50409</v>
      </c>
      <c r="B1897" s="17">
        <f t="shared" si="1423"/>
        <v>50400</v>
      </c>
      <c r="C1897" s="17" t="str">
        <f t="shared" si="1444"/>
        <v>5</v>
      </c>
      <c r="D1897" s="17">
        <f t="shared" si="1433"/>
        <v>50001</v>
      </c>
      <c r="E1897" s="17">
        <v>1</v>
      </c>
      <c r="F1897" s="17">
        <f t="shared" si="1439"/>
        <v>1</v>
      </c>
      <c r="G1897" s="17" t="str">
        <f t="shared" si="1450"/>
        <v>初级防御百分比</v>
      </c>
      <c r="H1897" s="17" t="str">
        <f t="shared" si="1451"/>
        <v>icon_05</v>
      </c>
      <c r="I1897" s="20">
        <v>0</v>
      </c>
      <c r="J1897" s="17">
        <v>9</v>
      </c>
      <c r="K1897" s="17">
        <f t="shared" si="1448"/>
        <v>50410</v>
      </c>
      <c r="L1897" s="17" t="s">
        <v>143</v>
      </c>
      <c r="M1897" s="17" t="str">
        <f t="shared" si="1452"/>
        <v>1:10100:5</v>
      </c>
      <c r="N1897" s="16" t="str">
        <f t="shared" si="1435"/>
        <v>148:1</v>
      </c>
      <c r="O1897" s="17">
        <f t="shared" si="1440"/>
        <v>5</v>
      </c>
      <c r="P1897" s="21" t="str">
        <f t="shared" si="1434"/>
        <v>所有牧师和法师防御百分比增加:1</v>
      </c>
      <c r="Q1897" s="21"/>
      <c r="R1897" t="str">
        <f t="shared" si="1453"/>
        <v>防御百分比</v>
      </c>
      <c r="T1897" t="str">
        <f t="shared" si="1454"/>
        <v>:1</v>
      </c>
      <c r="U1897" t="str">
        <f t="shared" si="1428"/>
        <v>牧师</v>
      </c>
      <c r="V1897" t="s">
        <v>4828</v>
      </c>
      <c r="W1897">
        <f>属性类型!G1897</f>
        <v>148</v>
      </c>
      <c r="X1897">
        <v>1</v>
      </c>
    </row>
    <row r="1898" customFormat="1" ht="16.5" spans="1:24">
      <c r="A1898" s="17">
        <f t="shared" si="1449"/>
        <v>50410</v>
      </c>
      <c r="B1898" s="17">
        <f t="shared" si="1423"/>
        <v>50400</v>
      </c>
      <c r="C1898" s="17" t="str">
        <f t="shared" si="1444"/>
        <v>5</v>
      </c>
      <c r="D1898" s="17">
        <f t="shared" si="1433"/>
        <v>50001</v>
      </c>
      <c r="E1898" s="17">
        <v>1</v>
      </c>
      <c r="F1898" s="17">
        <f t="shared" si="1439"/>
        <v>1</v>
      </c>
      <c r="G1898" s="17" t="str">
        <f t="shared" si="1450"/>
        <v>初级防御百分比</v>
      </c>
      <c r="H1898" s="17" t="str">
        <f t="shared" si="1451"/>
        <v>icon_05</v>
      </c>
      <c r="I1898" s="20">
        <v>0</v>
      </c>
      <c r="J1898" s="17">
        <v>10</v>
      </c>
      <c r="K1898" s="17">
        <v>0</v>
      </c>
      <c r="L1898" s="17">
        <v>0</v>
      </c>
      <c r="M1898" s="17" t="str">
        <f t="shared" si="1452"/>
        <v>1:10100:5</v>
      </c>
      <c r="N1898" s="16" t="str">
        <f t="shared" si="1435"/>
        <v>148:1</v>
      </c>
      <c r="O1898" s="17">
        <f t="shared" si="1440"/>
        <v>5</v>
      </c>
      <c r="P1898" s="21" t="str">
        <f t="shared" si="1434"/>
        <v>所有牧师和法师防御百分比增加:1</v>
      </c>
      <c r="Q1898" s="21"/>
      <c r="R1898" t="str">
        <f t="shared" si="1453"/>
        <v>防御百分比</v>
      </c>
      <c r="T1898" t="str">
        <f t="shared" si="1454"/>
        <v>:1</v>
      </c>
      <c r="U1898" t="str">
        <f t="shared" si="1428"/>
        <v>牧师</v>
      </c>
      <c r="V1898" t="s">
        <v>4828</v>
      </c>
      <c r="W1898">
        <f>属性类型!G1898</f>
        <v>148</v>
      </c>
      <c r="X1898">
        <v>1</v>
      </c>
    </row>
    <row r="1899" customFormat="1" ht="16.5" spans="1:24">
      <c r="A1899" s="18">
        <f>A1888+100</f>
        <v>50500</v>
      </c>
      <c r="B1899" s="18">
        <f t="shared" si="1423"/>
        <v>50500</v>
      </c>
      <c r="C1899" s="18" t="str">
        <f t="shared" si="1444"/>
        <v>5</v>
      </c>
      <c r="D1899" s="17">
        <f t="shared" si="1433"/>
        <v>50001</v>
      </c>
      <c r="E1899" s="17">
        <v>1</v>
      </c>
      <c r="F1899" s="18">
        <f t="shared" si="1439"/>
        <v>1</v>
      </c>
      <c r="G1899" s="18" t="s">
        <v>148</v>
      </c>
      <c r="H1899" s="18" t="s">
        <v>149</v>
      </c>
      <c r="I1899" s="20">
        <v>0</v>
      </c>
      <c r="J1899" s="18">
        <v>0</v>
      </c>
      <c r="K1899" s="18">
        <f t="shared" ref="K1899:K1908" si="1455">A1900</f>
        <v>50501</v>
      </c>
      <c r="L1899" s="18" t="s">
        <v>40</v>
      </c>
      <c r="M1899" s="18" t="s">
        <v>151</v>
      </c>
      <c r="N1899" s="16" t="str">
        <f t="shared" si="1435"/>
        <v>147:1</v>
      </c>
      <c r="O1899" s="18">
        <f t="shared" si="1440"/>
        <v>6</v>
      </c>
      <c r="P1899" s="21" t="str">
        <f t="shared" si="1434"/>
        <v>所有牧师和法师攻击百分比增加1</v>
      </c>
      <c r="Q1899" s="21"/>
      <c r="R1899" t="s">
        <v>4280</v>
      </c>
      <c r="T1899" t="str">
        <f>RIGHT(N1899,1)</f>
        <v>1</v>
      </c>
      <c r="U1899" t="str">
        <f t="shared" si="1428"/>
        <v>牧师</v>
      </c>
      <c r="V1899" t="s">
        <v>4829</v>
      </c>
      <c r="W1899">
        <f>属性类型!G1899</f>
        <v>147</v>
      </c>
      <c r="X1899">
        <v>1</v>
      </c>
    </row>
    <row r="1900" customFormat="1" ht="16.5" spans="1:24">
      <c r="A1900" s="17">
        <f t="shared" ref="A1900:A1909" si="1456">A1899+1</f>
        <v>50501</v>
      </c>
      <c r="B1900" s="17">
        <f t="shared" si="1423"/>
        <v>50500</v>
      </c>
      <c r="C1900" s="17" t="str">
        <f t="shared" si="1444"/>
        <v>5</v>
      </c>
      <c r="D1900" s="17">
        <f t="shared" si="1433"/>
        <v>50001</v>
      </c>
      <c r="E1900" s="17">
        <v>1</v>
      </c>
      <c r="F1900" s="17">
        <f t="shared" si="1439"/>
        <v>1</v>
      </c>
      <c r="G1900" s="17" t="str">
        <f t="shared" ref="G1900:G1909" si="1457">G1899</f>
        <v>初级攻击百分比</v>
      </c>
      <c r="H1900" s="17" t="str">
        <f t="shared" ref="H1900:H1909" si="1458">H1899</f>
        <v>icon_06</v>
      </c>
      <c r="I1900" s="20">
        <v>0</v>
      </c>
      <c r="J1900" s="17">
        <v>1</v>
      </c>
      <c r="K1900" s="17">
        <f t="shared" si="1455"/>
        <v>50502</v>
      </c>
      <c r="L1900" s="17" t="s">
        <v>44</v>
      </c>
      <c r="M1900" s="17" t="str">
        <f t="shared" ref="M1900:M1909" si="1459">M1899</f>
        <v>1:10200:5</v>
      </c>
      <c r="N1900" s="16" t="str">
        <f t="shared" si="1435"/>
        <v>147:1</v>
      </c>
      <c r="O1900" s="17">
        <f t="shared" si="1440"/>
        <v>6</v>
      </c>
      <c r="P1900" s="21" t="str">
        <f t="shared" si="1434"/>
        <v>所有牧师和法师攻击百分比增加:1</v>
      </c>
      <c r="Q1900" s="21"/>
      <c r="R1900" t="str">
        <f t="shared" ref="R1900:R1909" si="1460">R1899</f>
        <v>攻击百分比</v>
      </c>
      <c r="T1900" t="str">
        <f t="shared" ref="T1900:T1909" si="1461">RIGHT(N1900,2)</f>
        <v>:1</v>
      </c>
      <c r="U1900" t="str">
        <f t="shared" si="1428"/>
        <v>牧师</v>
      </c>
      <c r="V1900" t="s">
        <v>4829</v>
      </c>
      <c r="W1900">
        <f>属性类型!G1900</f>
        <v>147</v>
      </c>
      <c r="X1900">
        <v>1</v>
      </c>
    </row>
    <row r="1901" customFormat="1" ht="16.5" spans="1:24">
      <c r="A1901" s="17">
        <f t="shared" si="1456"/>
        <v>50502</v>
      </c>
      <c r="B1901" s="17">
        <f t="shared" si="1423"/>
        <v>50500</v>
      </c>
      <c r="C1901" s="17" t="str">
        <f t="shared" si="1444"/>
        <v>5</v>
      </c>
      <c r="D1901" s="17">
        <f t="shared" si="1433"/>
        <v>50001</v>
      </c>
      <c r="E1901" s="17">
        <v>1</v>
      </c>
      <c r="F1901" s="17">
        <f t="shared" si="1439"/>
        <v>1</v>
      </c>
      <c r="G1901" s="17" t="str">
        <f t="shared" si="1457"/>
        <v>初级攻击百分比</v>
      </c>
      <c r="H1901" s="17" t="str">
        <f t="shared" si="1458"/>
        <v>icon_06</v>
      </c>
      <c r="I1901" s="20">
        <v>0</v>
      </c>
      <c r="J1901" s="17">
        <v>2</v>
      </c>
      <c r="K1901" s="17">
        <f t="shared" si="1455"/>
        <v>50503</v>
      </c>
      <c r="L1901" s="17" t="s">
        <v>49</v>
      </c>
      <c r="M1901" s="17" t="str">
        <f t="shared" si="1459"/>
        <v>1:10200:5</v>
      </c>
      <c r="N1901" s="16" t="str">
        <f t="shared" si="1435"/>
        <v>147:1</v>
      </c>
      <c r="O1901" s="17">
        <f t="shared" si="1440"/>
        <v>6</v>
      </c>
      <c r="P1901" s="21" t="str">
        <f t="shared" si="1434"/>
        <v>所有牧师和法师攻击百分比增加:1</v>
      </c>
      <c r="Q1901" s="21"/>
      <c r="R1901" t="str">
        <f t="shared" si="1460"/>
        <v>攻击百分比</v>
      </c>
      <c r="T1901" t="str">
        <f t="shared" si="1461"/>
        <v>:1</v>
      </c>
      <c r="U1901" t="str">
        <f t="shared" si="1428"/>
        <v>牧师</v>
      </c>
      <c r="V1901" t="s">
        <v>4829</v>
      </c>
      <c r="W1901">
        <f>属性类型!G1901</f>
        <v>147</v>
      </c>
      <c r="X1901">
        <v>1</v>
      </c>
    </row>
    <row r="1902" customFormat="1" ht="16.5" spans="1:24">
      <c r="A1902" s="17">
        <f t="shared" si="1456"/>
        <v>50503</v>
      </c>
      <c r="B1902" s="17">
        <f t="shared" si="1423"/>
        <v>50500</v>
      </c>
      <c r="C1902" s="17" t="str">
        <f t="shared" si="1444"/>
        <v>5</v>
      </c>
      <c r="D1902" s="17">
        <f t="shared" si="1433"/>
        <v>50001</v>
      </c>
      <c r="E1902" s="17">
        <v>1</v>
      </c>
      <c r="F1902" s="17">
        <f t="shared" si="1439"/>
        <v>1</v>
      </c>
      <c r="G1902" s="17" t="str">
        <f t="shared" si="1457"/>
        <v>初级攻击百分比</v>
      </c>
      <c r="H1902" s="17" t="str">
        <f t="shared" si="1458"/>
        <v>icon_06</v>
      </c>
      <c r="I1902" s="20">
        <v>0</v>
      </c>
      <c r="J1902" s="17">
        <v>3</v>
      </c>
      <c r="K1902" s="17">
        <f t="shared" si="1455"/>
        <v>50504</v>
      </c>
      <c r="L1902" s="17" t="s">
        <v>53</v>
      </c>
      <c r="M1902" s="17" t="str">
        <f t="shared" si="1459"/>
        <v>1:10200:5</v>
      </c>
      <c r="N1902" s="16" t="str">
        <f t="shared" si="1435"/>
        <v>147:1</v>
      </c>
      <c r="O1902" s="17">
        <f t="shared" si="1440"/>
        <v>6</v>
      </c>
      <c r="P1902" s="21" t="str">
        <f t="shared" si="1434"/>
        <v>所有牧师和法师攻击百分比增加:1</v>
      </c>
      <c r="Q1902" s="21"/>
      <c r="R1902" t="str">
        <f t="shared" si="1460"/>
        <v>攻击百分比</v>
      </c>
      <c r="T1902" t="str">
        <f t="shared" si="1461"/>
        <v>:1</v>
      </c>
      <c r="U1902" t="str">
        <f t="shared" si="1428"/>
        <v>牧师</v>
      </c>
      <c r="V1902" t="s">
        <v>4829</v>
      </c>
      <c r="W1902">
        <f>属性类型!G1902</f>
        <v>147</v>
      </c>
      <c r="X1902">
        <v>1</v>
      </c>
    </row>
    <row r="1903" customFormat="1" ht="16.5" spans="1:24">
      <c r="A1903" s="17">
        <f t="shared" si="1456"/>
        <v>50504</v>
      </c>
      <c r="B1903" s="17">
        <f t="shared" si="1423"/>
        <v>50500</v>
      </c>
      <c r="C1903" s="17" t="str">
        <f t="shared" si="1444"/>
        <v>5</v>
      </c>
      <c r="D1903" s="17">
        <f t="shared" si="1433"/>
        <v>50001</v>
      </c>
      <c r="E1903" s="17">
        <v>1</v>
      </c>
      <c r="F1903" s="17">
        <f t="shared" si="1439"/>
        <v>1</v>
      </c>
      <c r="G1903" s="17" t="str">
        <f t="shared" si="1457"/>
        <v>初级攻击百分比</v>
      </c>
      <c r="H1903" s="17" t="str">
        <f t="shared" si="1458"/>
        <v>icon_06</v>
      </c>
      <c r="I1903" s="20">
        <v>0</v>
      </c>
      <c r="J1903" s="17">
        <v>4</v>
      </c>
      <c r="K1903" s="17">
        <f t="shared" si="1455"/>
        <v>50505</v>
      </c>
      <c r="L1903" s="17" t="s">
        <v>57</v>
      </c>
      <c r="M1903" s="17" t="str">
        <f t="shared" si="1459"/>
        <v>1:10200:5</v>
      </c>
      <c r="N1903" s="16" t="str">
        <f t="shared" si="1435"/>
        <v>147:1</v>
      </c>
      <c r="O1903" s="17">
        <f t="shared" si="1440"/>
        <v>6</v>
      </c>
      <c r="P1903" s="21" t="str">
        <f t="shared" si="1434"/>
        <v>所有牧师和法师攻击百分比增加:1</v>
      </c>
      <c r="Q1903" s="21"/>
      <c r="R1903" t="str">
        <f t="shared" si="1460"/>
        <v>攻击百分比</v>
      </c>
      <c r="T1903" t="str">
        <f t="shared" si="1461"/>
        <v>:1</v>
      </c>
      <c r="U1903" t="str">
        <f t="shared" si="1428"/>
        <v>牧师</v>
      </c>
      <c r="V1903" t="s">
        <v>4829</v>
      </c>
      <c r="W1903">
        <f>属性类型!G1903</f>
        <v>147</v>
      </c>
      <c r="X1903">
        <v>1</v>
      </c>
    </row>
    <row r="1904" customFormat="1" ht="16.5" spans="1:24">
      <c r="A1904" s="17">
        <f t="shared" si="1456"/>
        <v>50505</v>
      </c>
      <c r="B1904" s="17">
        <f t="shared" si="1423"/>
        <v>50500</v>
      </c>
      <c r="C1904" s="17" t="str">
        <f t="shared" si="1444"/>
        <v>5</v>
      </c>
      <c r="D1904" s="17">
        <f t="shared" si="1433"/>
        <v>50001</v>
      </c>
      <c r="E1904" s="17">
        <v>1</v>
      </c>
      <c r="F1904" s="17">
        <f t="shared" si="1439"/>
        <v>1</v>
      </c>
      <c r="G1904" s="17" t="str">
        <f t="shared" si="1457"/>
        <v>初级攻击百分比</v>
      </c>
      <c r="H1904" s="17" t="str">
        <f t="shared" si="1458"/>
        <v>icon_06</v>
      </c>
      <c r="I1904" s="20">
        <v>0</v>
      </c>
      <c r="J1904" s="17">
        <v>5</v>
      </c>
      <c r="K1904" s="17">
        <f t="shared" si="1455"/>
        <v>50506</v>
      </c>
      <c r="L1904" s="17" t="s">
        <v>127</v>
      </c>
      <c r="M1904" s="17" t="str">
        <f t="shared" si="1459"/>
        <v>1:10200:5</v>
      </c>
      <c r="N1904" s="16" t="str">
        <f t="shared" si="1435"/>
        <v>147:1</v>
      </c>
      <c r="O1904" s="17">
        <f t="shared" si="1440"/>
        <v>6</v>
      </c>
      <c r="P1904" s="21" t="str">
        <f t="shared" si="1434"/>
        <v>所有牧师和法师攻击百分比增加:1</v>
      </c>
      <c r="Q1904" s="21"/>
      <c r="R1904" t="str">
        <f t="shared" si="1460"/>
        <v>攻击百分比</v>
      </c>
      <c r="T1904" t="str">
        <f t="shared" si="1461"/>
        <v>:1</v>
      </c>
      <c r="U1904" t="str">
        <f t="shared" si="1428"/>
        <v>牧师</v>
      </c>
      <c r="V1904" t="s">
        <v>4829</v>
      </c>
      <c r="W1904">
        <f>属性类型!G1904</f>
        <v>147</v>
      </c>
      <c r="X1904">
        <v>1</v>
      </c>
    </row>
    <row r="1905" customFormat="1" ht="16.5" spans="1:24">
      <c r="A1905" s="17">
        <f t="shared" si="1456"/>
        <v>50506</v>
      </c>
      <c r="B1905" s="17">
        <f t="shared" si="1423"/>
        <v>50500</v>
      </c>
      <c r="C1905" s="17" t="str">
        <f t="shared" si="1444"/>
        <v>5</v>
      </c>
      <c r="D1905" s="17">
        <f t="shared" si="1433"/>
        <v>50001</v>
      </c>
      <c r="E1905" s="17">
        <v>1</v>
      </c>
      <c r="F1905" s="17">
        <f t="shared" si="1439"/>
        <v>1</v>
      </c>
      <c r="G1905" s="17" t="str">
        <f t="shared" si="1457"/>
        <v>初级攻击百分比</v>
      </c>
      <c r="H1905" s="17" t="str">
        <f t="shared" si="1458"/>
        <v>icon_06</v>
      </c>
      <c r="I1905" s="20">
        <v>0</v>
      </c>
      <c r="J1905" s="17">
        <v>6</v>
      </c>
      <c r="K1905" s="17">
        <f t="shared" si="1455"/>
        <v>50507</v>
      </c>
      <c r="L1905" s="17" t="s">
        <v>131</v>
      </c>
      <c r="M1905" s="17" t="str">
        <f t="shared" si="1459"/>
        <v>1:10200:5</v>
      </c>
      <c r="N1905" s="16" t="str">
        <f t="shared" si="1435"/>
        <v>147:1</v>
      </c>
      <c r="O1905" s="17">
        <f t="shared" si="1440"/>
        <v>6</v>
      </c>
      <c r="P1905" s="21" t="str">
        <f t="shared" si="1434"/>
        <v>所有牧师和法师攻击百分比增加:1</v>
      </c>
      <c r="Q1905" s="21"/>
      <c r="R1905" t="str">
        <f t="shared" si="1460"/>
        <v>攻击百分比</v>
      </c>
      <c r="T1905" t="str">
        <f t="shared" si="1461"/>
        <v>:1</v>
      </c>
      <c r="U1905" t="str">
        <f t="shared" si="1428"/>
        <v>牧师</v>
      </c>
      <c r="V1905" t="s">
        <v>4829</v>
      </c>
      <c r="W1905">
        <f>属性类型!G1905</f>
        <v>147</v>
      </c>
      <c r="X1905">
        <v>1</v>
      </c>
    </row>
    <row r="1906" customFormat="1" ht="16.5" spans="1:24">
      <c r="A1906" s="17">
        <f t="shared" si="1456"/>
        <v>50507</v>
      </c>
      <c r="B1906" s="17">
        <f t="shared" si="1423"/>
        <v>50500</v>
      </c>
      <c r="C1906" s="17" t="str">
        <f t="shared" si="1444"/>
        <v>5</v>
      </c>
      <c r="D1906" s="17">
        <f t="shared" si="1433"/>
        <v>50001</v>
      </c>
      <c r="E1906" s="17">
        <v>1</v>
      </c>
      <c r="F1906" s="17">
        <f t="shared" si="1439"/>
        <v>1</v>
      </c>
      <c r="G1906" s="17" t="str">
        <f t="shared" si="1457"/>
        <v>初级攻击百分比</v>
      </c>
      <c r="H1906" s="17" t="str">
        <f t="shared" si="1458"/>
        <v>icon_06</v>
      </c>
      <c r="I1906" s="20">
        <v>0</v>
      </c>
      <c r="J1906" s="17">
        <v>7</v>
      </c>
      <c r="K1906" s="17">
        <f t="shared" si="1455"/>
        <v>50508</v>
      </c>
      <c r="L1906" s="17" t="s">
        <v>135</v>
      </c>
      <c r="M1906" s="17" t="str">
        <f t="shared" si="1459"/>
        <v>1:10200:5</v>
      </c>
      <c r="N1906" s="16" t="str">
        <f t="shared" si="1435"/>
        <v>147:1</v>
      </c>
      <c r="O1906" s="17">
        <f t="shared" si="1440"/>
        <v>6</v>
      </c>
      <c r="P1906" s="21" t="str">
        <f t="shared" si="1434"/>
        <v>所有牧师和法师攻击百分比增加:1</v>
      </c>
      <c r="Q1906" s="21"/>
      <c r="R1906" t="str">
        <f t="shared" si="1460"/>
        <v>攻击百分比</v>
      </c>
      <c r="T1906" t="str">
        <f t="shared" si="1461"/>
        <v>:1</v>
      </c>
      <c r="U1906" t="str">
        <f t="shared" si="1428"/>
        <v>牧师</v>
      </c>
      <c r="V1906" t="s">
        <v>4829</v>
      </c>
      <c r="W1906">
        <f>属性类型!G1906</f>
        <v>147</v>
      </c>
      <c r="X1906">
        <v>1</v>
      </c>
    </row>
    <row r="1907" customFormat="1" ht="16.5" spans="1:24">
      <c r="A1907" s="17">
        <f t="shared" si="1456"/>
        <v>50508</v>
      </c>
      <c r="B1907" s="17">
        <f t="shared" si="1423"/>
        <v>50500</v>
      </c>
      <c r="C1907" s="17" t="str">
        <f t="shared" si="1444"/>
        <v>5</v>
      </c>
      <c r="D1907" s="17">
        <f t="shared" si="1433"/>
        <v>50001</v>
      </c>
      <c r="E1907" s="17">
        <v>1</v>
      </c>
      <c r="F1907" s="17">
        <f t="shared" si="1439"/>
        <v>1</v>
      </c>
      <c r="G1907" s="17" t="str">
        <f t="shared" si="1457"/>
        <v>初级攻击百分比</v>
      </c>
      <c r="H1907" s="17" t="str">
        <f t="shared" si="1458"/>
        <v>icon_06</v>
      </c>
      <c r="I1907" s="20">
        <v>0</v>
      </c>
      <c r="J1907" s="17">
        <v>8</v>
      </c>
      <c r="K1907" s="17">
        <f t="shared" si="1455"/>
        <v>50509</v>
      </c>
      <c r="L1907" s="17" t="s">
        <v>139</v>
      </c>
      <c r="M1907" s="17" t="str">
        <f t="shared" si="1459"/>
        <v>1:10200:5</v>
      </c>
      <c r="N1907" s="16" t="str">
        <f t="shared" si="1435"/>
        <v>147:1</v>
      </c>
      <c r="O1907" s="17">
        <f t="shared" si="1440"/>
        <v>6</v>
      </c>
      <c r="P1907" s="21" t="str">
        <f t="shared" si="1434"/>
        <v>所有牧师和法师攻击百分比增加:1</v>
      </c>
      <c r="Q1907" s="21"/>
      <c r="R1907" t="str">
        <f t="shared" si="1460"/>
        <v>攻击百分比</v>
      </c>
      <c r="T1907" t="str">
        <f t="shared" si="1461"/>
        <v>:1</v>
      </c>
      <c r="U1907" t="str">
        <f t="shared" si="1428"/>
        <v>牧师</v>
      </c>
      <c r="V1907" t="s">
        <v>4829</v>
      </c>
      <c r="W1907">
        <f>属性类型!G1907</f>
        <v>147</v>
      </c>
      <c r="X1907">
        <v>1</v>
      </c>
    </row>
    <row r="1908" customFormat="1" ht="16.5" spans="1:24">
      <c r="A1908" s="17">
        <f t="shared" si="1456"/>
        <v>50509</v>
      </c>
      <c r="B1908" s="17">
        <f t="shared" si="1423"/>
        <v>50500</v>
      </c>
      <c r="C1908" s="17" t="str">
        <f t="shared" si="1444"/>
        <v>5</v>
      </c>
      <c r="D1908" s="17">
        <f t="shared" si="1433"/>
        <v>50001</v>
      </c>
      <c r="E1908" s="17">
        <v>1</v>
      </c>
      <c r="F1908" s="17">
        <f t="shared" si="1439"/>
        <v>1</v>
      </c>
      <c r="G1908" s="17" t="str">
        <f t="shared" si="1457"/>
        <v>初级攻击百分比</v>
      </c>
      <c r="H1908" s="17" t="str">
        <f t="shared" si="1458"/>
        <v>icon_06</v>
      </c>
      <c r="I1908" s="20">
        <v>0</v>
      </c>
      <c r="J1908" s="17">
        <v>9</v>
      </c>
      <c r="K1908" s="17">
        <f t="shared" si="1455"/>
        <v>50510</v>
      </c>
      <c r="L1908" s="17" t="s">
        <v>143</v>
      </c>
      <c r="M1908" s="17" t="str">
        <f t="shared" si="1459"/>
        <v>1:10200:5</v>
      </c>
      <c r="N1908" s="16" t="str">
        <f t="shared" si="1435"/>
        <v>147:1</v>
      </c>
      <c r="O1908" s="17">
        <f t="shared" si="1440"/>
        <v>6</v>
      </c>
      <c r="P1908" s="21" t="str">
        <f t="shared" si="1434"/>
        <v>所有牧师和法师攻击百分比增加:1</v>
      </c>
      <c r="Q1908" s="21"/>
      <c r="R1908" t="str">
        <f t="shared" si="1460"/>
        <v>攻击百分比</v>
      </c>
      <c r="T1908" t="str">
        <f t="shared" si="1461"/>
        <v>:1</v>
      </c>
      <c r="U1908" t="str">
        <f t="shared" si="1428"/>
        <v>牧师</v>
      </c>
      <c r="V1908" t="s">
        <v>4829</v>
      </c>
      <c r="W1908">
        <f>属性类型!G1908</f>
        <v>147</v>
      </c>
      <c r="X1908">
        <v>1</v>
      </c>
    </row>
    <row r="1909" customFormat="1" ht="16.5" spans="1:24">
      <c r="A1909" s="17">
        <f t="shared" si="1456"/>
        <v>50510</v>
      </c>
      <c r="B1909" s="17">
        <f t="shared" si="1423"/>
        <v>50500</v>
      </c>
      <c r="C1909" s="17" t="str">
        <f t="shared" si="1444"/>
        <v>5</v>
      </c>
      <c r="D1909" s="17">
        <f t="shared" si="1433"/>
        <v>50001</v>
      </c>
      <c r="E1909" s="17">
        <v>1</v>
      </c>
      <c r="F1909" s="17">
        <f t="shared" si="1439"/>
        <v>1</v>
      </c>
      <c r="G1909" s="17" t="str">
        <f t="shared" si="1457"/>
        <v>初级攻击百分比</v>
      </c>
      <c r="H1909" s="17" t="str">
        <f t="shared" si="1458"/>
        <v>icon_06</v>
      </c>
      <c r="I1909" s="20">
        <v>0</v>
      </c>
      <c r="J1909" s="17">
        <v>10</v>
      </c>
      <c r="K1909" s="17">
        <v>0</v>
      </c>
      <c r="L1909" s="17">
        <v>0</v>
      </c>
      <c r="M1909" s="17" t="str">
        <f t="shared" si="1459"/>
        <v>1:10200:5</v>
      </c>
      <c r="N1909" s="16" t="str">
        <f t="shared" si="1435"/>
        <v>147:1</v>
      </c>
      <c r="O1909" s="17">
        <f t="shared" si="1440"/>
        <v>6</v>
      </c>
      <c r="P1909" s="21" t="str">
        <f t="shared" si="1434"/>
        <v>所有牧师和法师攻击百分比增加:1</v>
      </c>
      <c r="Q1909" s="21"/>
      <c r="R1909" t="str">
        <f t="shared" si="1460"/>
        <v>攻击百分比</v>
      </c>
      <c r="T1909" t="str">
        <f t="shared" si="1461"/>
        <v>:1</v>
      </c>
      <c r="U1909" t="str">
        <f t="shared" si="1428"/>
        <v>牧师</v>
      </c>
      <c r="V1909" t="s">
        <v>4829</v>
      </c>
      <c r="W1909">
        <f>属性类型!G1909</f>
        <v>147</v>
      </c>
      <c r="X1909">
        <v>1</v>
      </c>
    </row>
    <row r="1910" customFormat="1" ht="16.5" spans="1:24">
      <c r="A1910" s="18">
        <f>A1899+100</f>
        <v>50600</v>
      </c>
      <c r="B1910" s="18">
        <f t="shared" si="1423"/>
        <v>50600</v>
      </c>
      <c r="C1910" s="18" t="str">
        <f t="shared" si="1444"/>
        <v>5</v>
      </c>
      <c r="D1910" s="17">
        <f t="shared" si="1433"/>
        <v>50001</v>
      </c>
      <c r="E1910" s="17">
        <v>1</v>
      </c>
      <c r="F1910" s="18">
        <f t="shared" si="1439"/>
        <v>1</v>
      </c>
      <c r="G1910" s="18" t="s">
        <v>175</v>
      </c>
      <c r="H1910" s="18" t="s">
        <v>176</v>
      </c>
      <c r="I1910" s="20">
        <v>0</v>
      </c>
      <c r="J1910" s="18">
        <v>0</v>
      </c>
      <c r="K1910" s="18">
        <f t="shared" ref="K1910:K1919" si="1462">A1911</f>
        <v>50601</v>
      </c>
      <c r="L1910" s="18" t="s">
        <v>40</v>
      </c>
      <c r="M1910" s="18" t="s">
        <v>178</v>
      </c>
      <c r="N1910" s="16" t="str">
        <f t="shared" si="1435"/>
        <v>149:1</v>
      </c>
      <c r="O1910" s="18">
        <f t="shared" si="1440"/>
        <v>7</v>
      </c>
      <c r="P1910" s="21" t="str">
        <f t="shared" si="1434"/>
        <v>所有牧师和法师魔防百分比增加1</v>
      </c>
      <c r="Q1910" s="21"/>
      <c r="R1910" t="s">
        <v>4282</v>
      </c>
      <c r="T1910" t="str">
        <f>RIGHT(N1910,1)</f>
        <v>1</v>
      </c>
      <c r="U1910" t="str">
        <f t="shared" si="1428"/>
        <v>牧师</v>
      </c>
      <c r="V1910" t="s">
        <v>4830</v>
      </c>
      <c r="W1910">
        <f>属性类型!G1910</f>
        <v>149</v>
      </c>
      <c r="X1910">
        <v>1</v>
      </c>
    </row>
    <row r="1911" customFormat="1" ht="16.5" spans="1:24">
      <c r="A1911" s="17">
        <f t="shared" ref="A1911:A1920" si="1463">A1910+1</f>
        <v>50601</v>
      </c>
      <c r="B1911" s="17">
        <f t="shared" si="1423"/>
        <v>50600</v>
      </c>
      <c r="C1911" s="17" t="str">
        <f t="shared" si="1444"/>
        <v>5</v>
      </c>
      <c r="D1911" s="17">
        <f t="shared" si="1433"/>
        <v>50001</v>
      </c>
      <c r="E1911" s="17">
        <v>1</v>
      </c>
      <c r="F1911" s="17">
        <f t="shared" si="1439"/>
        <v>1</v>
      </c>
      <c r="G1911" s="17" t="str">
        <f t="shared" ref="G1911:G1920" si="1464">G1910</f>
        <v>初级魔防百分比</v>
      </c>
      <c r="H1911" s="17" t="str">
        <f t="shared" ref="H1911:H1920" si="1465">H1910</f>
        <v>icon_07</v>
      </c>
      <c r="I1911" s="20">
        <v>0</v>
      </c>
      <c r="J1911" s="17">
        <v>1</v>
      </c>
      <c r="K1911" s="17">
        <f t="shared" si="1462"/>
        <v>50602</v>
      </c>
      <c r="L1911" s="17" t="s">
        <v>44</v>
      </c>
      <c r="M1911" s="17" t="str">
        <f t="shared" ref="M1911:M1920" si="1466">M1910</f>
        <v>1:10300:5</v>
      </c>
      <c r="N1911" s="16" t="str">
        <f t="shared" si="1435"/>
        <v>149:1</v>
      </c>
      <c r="O1911" s="17">
        <f t="shared" si="1440"/>
        <v>7</v>
      </c>
      <c r="P1911" s="21" t="str">
        <f t="shared" si="1434"/>
        <v>所有牧师和法师魔防百分比增加:1</v>
      </c>
      <c r="Q1911" s="21"/>
      <c r="R1911" t="str">
        <f t="shared" ref="R1911:R1920" si="1467">R1910</f>
        <v>魔防百分比</v>
      </c>
      <c r="T1911" t="str">
        <f t="shared" ref="T1911:T1920" si="1468">RIGHT(N1911,2)</f>
        <v>:1</v>
      </c>
      <c r="U1911" t="str">
        <f t="shared" si="1428"/>
        <v>牧师</v>
      </c>
      <c r="V1911" t="s">
        <v>4830</v>
      </c>
      <c r="W1911">
        <f>属性类型!G1911</f>
        <v>149</v>
      </c>
      <c r="X1911">
        <v>1</v>
      </c>
    </row>
    <row r="1912" customFormat="1" ht="16.5" spans="1:24">
      <c r="A1912" s="17">
        <f t="shared" si="1463"/>
        <v>50602</v>
      </c>
      <c r="B1912" s="17">
        <f t="shared" si="1423"/>
        <v>50600</v>
      </c>
      <c r="C1912" s="17" t="str">
        <f t="shared" si="1444"/>
        <v>5</v>
      </c>
      <c r="D1912" s="17">
        <f t="shared" si="1433"/>
        <v>50001</v>
      </c>
      <c r="E1912" s="17">
        <v>1</v>
      </c>
      <c r="F1912" s="17">
        <f t="shared" si="1439"/>
        <v>1</v>
      </c>
      <c r="G1912" s="17" t="str">
        <f t="shared" si="1464"/>
        <v>初级魔防百分比</v>
      </c>
      <c r="H1912" s="17" t="str">
        <f t="shared" si="1465"/>
        <v>icon_07</v>
      </c>
      <c r="I1912" s="20">
        <v>0</v>
      </c>
      <c r="J1912" s="17">
        <v>2</v>
      </c>
      <c r="K1912" s="17">
        <f t="shared" si="1462"/>
        <v>50603</v>
      </c>
      <c r="L1912" s="17" t="s">
        <v>49</v>
      </c>
      <c r="M1912" s="17" t="str">
        <f t="shared" si="1466"/>
        <v>1:10300:5</v>
      </c>
      <c r="N1912" s="16" t="str">
        <f t="shared" si="1435"/>
        <v>149:1</v>
      </c>
      <c r="O1912" s="17">
        <f t="shared" si="1440"/>
        <v>7</v>
      </c>
      <c r="P1912" s="21" t="str">
        <f t="shared" si="1434"/>
        <v>所有牧师和法师魔防百分比增加:1</v>
      </c>
      <c r="Q1912" s="21"/>
      <c r="R1912" t="str">
        <f t="shared" si="1467"/>
        <v>魔防百分比</v>
      </c>
      <c r="T1912" t="str">
        <f t="shared" si="1468"/>
        <v>:1</v>
      </c>
      <c r="U1912" t="str">
        <f t="shared" si="1428"/>
        <v>牧师</v>
      </c>
      <c r="V1912" t="s">
        <v>4830</v>
      </c>
      <c r="W1912">
        <f>属性类型!G1912</f>
        <v>149</v>
      </c>
      <c r="X1912">
        <v>1</v>
      </c>
    </row>
    <row r="1913" customFormat="1" ht="16.5" spans="1:24">
      <c r="A1913" s="17">
        <f t="shared" si="1463"/>
        <v>50603</v>
      </c>
      <c r="B1913" s="17">
        <f t="shared" si="1423"/>
        <v>50600</v>
      </c>
      <c r="C1913" s="17" t="str">
        <f t="shared" si="1444"/>
        <v>5</v>
      </c>
      <c r="D1913" s="17">
        <f t="shared" si="1433"/>
        <v>50001</v>
      </c>
      <c r="E1913" s="17">
        <v>1</v>
      </c>
      <c r="F1913" s="17">
        <f t="shared" si="1439"/>
        <v>1</v>
      </c>
      <c r="G1913" s="17" t="str">
        <f t="shared" si="1464"/>
        <v>初级魔防百分比</v>
      </c>
      <c r="H1913" s="17" t="str">
        <f t="shared" si="1465"/>
        <v>icon_07</v>
      </c>
      <c r="I1913" s="20">
        <v>0</v>
      </c>
      <c r="J1913" s="17">
        <v>3</v>
      </c>
      <c r="K1913" s="17">
        <f t="shared" si="1462"/>
        <v>50604</v>
      </c>
      <c r="L1913" s="17" t="s">
        <v>53</v>
      </c>
      <c r="M1913" s="17" t="str">
        <f t="shared" si="1466"/>
        <v>1:10300:5</v>
      </c>
      <c r="N1913" s="16" t="str">
        <f t="shared" si="1435"/>
        <v>149:1</v>
      </c>
      <c r="O1913" s="17">
        <f t="shared" si="1440"/>
        <v>7</v>
      </c>
      <c r="P1913" s="21" t="str">
        <f t="shared" si="1434"/>
        <v>所有牧师和法师魔防百分比增加:1</v>
      </c>
      <c r="Q1913" s="21"/>
      <c r="R1913" t="str">
        <f t="shared" si="1467"/>
        <v>魔防百分比</v>
      </c>
      <c r="T1913" t="str">
        <f t="shared" si="1468"/>
        <v>:1</v>
      </c>
      <c r="U1913" t="str">
        <f t="shared" si="1428"/>
        <v>牧师</v>
      </c>
      <c r="V1913" t="s">
        <v>4830</v>
      </c>
      <c r="W1913">
        <f>属性类型!G1913</f>
        <v>149</v>
      </c>
      <c r="X1913">
        <v>1</v>
      </c>
    </row>
    <row r="1914" customFormat="1" ht="16.5" spans="1:24">
      <c r="A1914" s="17">
        <f t="shared" si="1463"/>
        <v>50604</v>
      </c>
      <c r="B1914" s="17">
        <f t="shared" si="1423"/>
        <v>50600</v>
      </c>
      <c r="C1914" s="17" t="str">
        <f t="shared" si="1444"/>
        <v>5</v>
      </c>
      <c r="D1914" s="17">
        <f t="shared" si="1433"/>
        <v>50001</v>
      </c>
      <c r="E1914" s="17">
        <v>1</v>
      </c>
      <c r="F1914" s="17">
        <f t="shared" si="1439"/>
        <v>1</v>
      </c>
      <c r="G1914" s="17" t="str">
        <f t="shared" si="1464"/>
        <v>初级魔防百分比</v>
      </c>
      <c r="H1914" s="17" t="str">
        <f t="shared" si="1465"/>
        <v>icon_07</v>
      </c>
      <c r="I1914" s="20">
        <v>0</v>
      </c>
      <c r="J1914" s="17">
        <v>4</v>
      </c>
      <c r="K1914" s="17">
        <f t="shared" si="1462"/>
        <v>50605</v>
      </c>
      <c r="L1914" s="17" t="s">
        <v>57</v>
      </c>
      <c r="M1914" s="17" t="str">
        <f t="shared" si="1466"/>
        <v>1:10300:5</v>
      </c>
      <c r="N1914" s="16" t="str">
        <f t="shared" si="1435"/>
        <v>149:1</v>
      </c>
      <c r="O1914" s="17">
        <f t="shared" si="1440"/>
        <v>7</v>
      </c>
      <c r="P1914" s="21" t="str">
        <f t="shared" si="1434"/>
        <v>所有牧师和法师魔防百分比增加:1</v>
      </c>
      <c r="Q1914" s="21"/>
      <c r="R1914" t="str">
        <f t="shared" si="1467"/>
        <v>魔防百分比</v>
      </c>
      <c r="T1914" t="str">
        <f t="shared" si="1468"/>
        <v>:1</v>
      </c>
      <c r="U1914" t="str">
        <f t="shared" si="1428"/>
        <v>牧师</v>
      </c>
      <c r="V1914" t="s">
        <v>4830</v>
      </c>
      <c r="W1914">
        <f>属性类型!G1914</f>
        <v>149</v>
      </c>
      <c r="X1914">
        <v>1</v>
      </c>
    </row>
    <row r="1915" customFormat="1" ht="16.5" spans="1:24">
      <c r="A1915" s="17">
        <f t="shared" si="1463"/>
        <v>50605</v>
      </c>
      <c r="B1915" s="17">
        <f t="shared" si="1423"/>
        <v>50600</v>
      </c>
      <c r="C1915" s="17" t="str">
        <f t="shared" si="1444"/>
        <v>5</v>
      </c>
      <c r="D1915" s="17">
        <f t="shared" si="1433"/>
        <v>50001</v>
      </c>
      <c r="E1915" s="17">
        <v>1</v>
      </c>
      <c r="F1915" s="17">
        <f t="shared" si="1439"/>
        <v>1</v>
      </c>
      <c r="G1915" s="17" t="str">
        <f t="shared" si="1464"/>
        <v>初级魔防百分比</v>
      </c>
      <c r="H1915" s="17" t="str">
        <f t="shared" si="1465"/>
        <v>icon_07</v>
      </c>
      <c r="I1915" s="20">
        <v>0</v>
      </c>
      <c r="J1915" s="17">
        <v>5</v>
      </c>
      <c r="K1915" s="17">
        <f t="shared" si="1462"/>
        <v>50606</v>
      </c>
      <c r="L1915" s="17" t="s">
        <v>127</v>
      </c>
      <c r="M1915" s="17" t="str">
        <f t="shared" si="1466"/>
        <v>1:10300:5</v>
      </c>
      <c r="N1915" s="16" t="str">
        <f t="shared" si="1435"/>
        <v>149:1</v>
      </c>
      <c r="O1915" s="17">
        <f t="shared" si="1440"/>
        <v>7</v>
      </c>
      <c r="P1915" s="21" t="str">
        <f t="shared" si="1434"/>
        <v>所有牧师和法师魔防百分比增加:1</v>
      </c>
      <c r="Q1915" s="21"/>
      <c r="R1915" t="str">
        <f t="shared" si="1467"/>
        <v>魔防百分比</v>
      </c>
      <c r="T1915" t="str">
        <f t="shared" si="1468"/>
        <v>:1</v>
      </c>
      <c r="U1915" t="str">
        <f t="shared" si="1428"/>
        <v>牧师</v>
      </c>
      <c r="V1915" t="s">
        <v>4830</v>
      </c>
      <c r="W1915">
        <f>属性类型!G1915</f>
        <v>149</v>
      </c>
      <c r="X1915">
        <v>1</v>
      </c>
    </row>
    <row r="1916" customFormat="1" ht="16.5" spans="1:24">
      <c r="A1916" s="17">
        <f t="shared" si="1463"/>
        <v>50606</v>
      </c>
      <c r="B1916" s="17">
        <f t="shared" si="1423"/>
        <v>50600</v>
      </c>
      <c r="C1916" s="17" t="str">
        <f t="shared" si="1444"/>
        <v>5</v>
      </c>
      <c r="D1916" s="17">
        <f t="shared" si="1433"/>
        <v>50001</v>
      </c>
      <c r="E1916" s="17">
        <v>1</v>
      </c>
      <c r="F1916" s="17">
        <f t="shared" si="1439"/>
        <v>1</v>
      </c>
      <c r="G1916" s="17" t="str">
        <f t="shared" si="1464"/>
        <v>初级魔防百分比</v>
      </c>
      <c r="H1916" s="17" t="str">
        <f t="shared" si="1465"/>
        <v>icon_07</v>
      </c>
      <c r="I1916" s="20">
        <v>0</v>
      </c>
      <c r="J1916" s="17">
        <v>6</v>
      </c>
      <c r="K1916" s="17">
        <f t="shared" si="1462"/>
        <v>50607</v>
      </c>
      <c r="L1916" s="17" t="s">
        <v>131</v>
      </c>
      <c r="M1916" s="17" t="str">
        <f t="shared" si="1466"/>
        <v>1:10300:5</v>
      </c>
      <c r="N1916" s="16" t="str">
        <f t="shared" si="1435"/>
        <v>149:1</v>
      </c>
      <c r="O1916" s="17">
        <f t="shared" si="1440"/>
        <v>7</v>
      </c>
      <c r="P1916" s="21" t="str">
        <f t="shared" si="1434"/>
        <v>所有牧师和法师魔防百分比增加:1</v>
      </c>
      <c r="Q1916" s="21"/>
      <c r="R1916" t="str">
        <f t="shared" si="1467"/>
        <v>魔防百分比</v>
      </c>
      <c r="T1916" t="str">
        <f t="shared" si="1468"/>
        <v>:1</v>
      </c>
      <c r="U1916" t="str">
        <f t="shared" si="1428"/>
        <v>牧师</v>
      </c>
      <c r="V1916" t="s">
        <v>4830</v>
      </c>
      <c r="W1916">
        <f>属性类型!G1916</f>
        <v>149</v>
      </c>
      <c r="X1916">
        <v>1</v>
      </c>
    </row>
    <row r="1917" customFormat="1" ht="16.5" spans="1:24">
      <c r="A1917" s="17">
        <f t="shared" si="1463"/>
        <v>50607</v>
      </c>
      <c r="B1917" s="17">
        <f t="shared" si="1423"/>
        <v>50600</v>
      </c>
      <c r="C1917" s="17" t="str">
        <f t="shared" si="1444"/>
        <v>5</v>
      </c>
      <c r="D1917" s="17">
        <f t="shared" si="1433"/>
        <v>50001</v>
      </c>
      <c r="E1917" s="17">
        <v>1</v>
      </c>
      <c r="F1917" s="17">
        <f t="shared" si="1439"/>
        <v>1</v>
      </c>
      <c r="G1917" s="17" t="str">
        <f t="shared" si="1464"/>
        <v>初级魔防百分比</v>
      </c>
      <c r="H1917" s="17" t="str">
        <f t="shared" si="1465"/>
        <v>icon_07</v>
      </c>
      <c r="I1917" s="20">
        <v>0</v>
      </c>
      <c r="J1917" s="17">
        <v>7</v>
      </c>
      <c r="K1917" s="17">
        <f t="shared" si="1462"/>
        <v>50608</v>
      </c>
      <c r="L1917" s="17" t="s">
        <v>135</v>
      </c>
      <c r="M1917" s="17" t="str">
        <f t="shared" si="1466"/>
        <v>1:10300:5</v>
      </c>
      <c r="N1917" s="16" t="str">
        <f t="shared" si="1435"/>
        <v>149:1</v>
      </c>
      <c r="O1917" s="17">
        <f t="shared" si="1440"/>
        <v>7</v>
      </c>
      <c r="P1917" s="21" t="str">
        <f t="shared" si="1434"/>
        <v>所有牧师和法师魔防百分比增加:1</v>
      </c>
      <c r="Q1917" s="21"/>
      <c r="R1917" t="str">
        <f t="shared" si="1467"/>
        <v>魔防百分比</v>
      </c>
      <c r="T1917" t="str">
        <f t="shared" si="1468"/>
        <v>:1</v>
      </c>
      <c r="U1917" t="str">
        <f t="shared" si="1428"/>
        <v>牧师</v>
      </c>
      <c r="V1917" t="s">
        <v>4830</v>
      </c>
      <c r="W1917">
        <f>属性类型!G1917</f>
        <v>149</v>
      </c>
      <c r="X1917">
        <v>1</v>
      </c>
    </row>
    <row r="1918" customFormat="1" ht="16.5" spans="1:24">
      <c r="A1918" s="17">
        <f t="shared" si="1463"/>
        <v>50608</v>
      </c>
      <c r="B1918" s="17">
        <f t="shared" si="1423"/>
        <v>50600</v>
      </c>
      <c r="C1918" s="17" t="str">
        <f t="shared" si="1444"/>
        <v>5</v>
      </c>
      <c r="D1918" s="17">
        <f t="shared" si="1433"/>
        <v>50001</v>
      </c>
      <c r="E1918" s="17">
        <v>1</v>
      </c>
      <c r="F1918" s="17">
        <f t="shared" si="1439"/>
        <v>1</v>
      </c>
      <c r="G1918" s="17" t="str">
        <f t="shared" si="1464"/>
        <v>初级魔防百分比</v>
      </c>
      <c r="H1918" s="17" t="str">
        <f t="shared" si="1465"/>
        <v>icon_07</v>
      </c>
      <c r="I1918" s="20">
        <v>0</v>
      </c>
      <c r="J1918" s="17">
        <v>8</v>
      </c>
      <c r="K1918" s="17">
        <f t="shared" si="1462"/>
        <v>50609</v>
      </c>
      <c r="L1918" s="17" t="s">
        <v>139</v>
      </c>
      <c r="M1918" s="17" t="str">
        <f t="shared" si="1466"/>
        <v>1:10300:5</v>
      </c>
      <c r="N1918" s="16" t="str">
        <f t="shared" si="1435"/>
        <v>149:1</v>
      </c>
      <c r="O1918" s="17">
        <f t="shared" si="1440"/>
        <v>7</v>
      </c>
      <c r="P1918" s="21" t="str">
        <f t="shared" si="1434"/>
        <v>所有牧师和法师魔防百分比增加:1</v>
      </c>
      <c r="Q1918" s="21"/>
      <c r="R1918" t="str">
        <f t="shared" si="1467"/>
        <v>魔防百分比</v>
      </c>
      <c r="T1918" t="str">
        <f t="shared" si="1468"/>
        <v>:1</v>
      </c>
      <c r="U1918" t="str">
        <f t="shared" si="1428"/>
        <v>牧师</v>
      </c>
      <c r="V1918" t="s">
        <v>4830</v>
      </c>
      <c r="W1918">
        <f>属性类型!G1918</f>
        <v>149</v>
      </c>
      <c r="X1918">
        <v>1</v>
      </c>
    </row>
    <row r="1919" customFormat="1" ht="16.5" spans="1:24">
      <c r="A1919" s="17">
        <f t="shared" si="1463"/>
        <v>50609</v>
      </c>
      <c r="B1919" s="17">
        <f t="shared" si="1423"/>
        <v>50600</v>
      </c>
      <c r="C1919" s="17" t="str">
        <f t="shared" si="1444"/>
        <v>5</v>
      </c>
      <c r="D1919" s="17">
        <f t="shared" si="1433"/>
        <v>50001</v>
      </c>
      <c r="E1919" s="17">
        <v>1</v>
      </c>
      <c r="F1919" s="17">
        <f t="shared" si="1439"/>
        <v>1</v>
      </c>
      <c r="G1919" s="17" t="str">
        <f t="shared" si="1464"/>
        <v>初级魔防百分比</v>
      </c>
      <c r="H1919" s="17" t="str">
        <f t="shared" si="1465"/>
        <v>icon_07</v>
      </c>
      <c r="I1919" s="20">
        <v>0</v>
      </c>
      <c r="J1919" s="17">
        <v>9</v>
      </c>
      <c r="K1919" s="17">
        <f t="shared" si="1462"/>
        <v>50610</v>
      </c>
      <c r="L1919" s="17" t="s">
        <v>143</v>
      </c>
      <c r="M1919" s="17" t="str">
        <f t="shared" si="1466"/>
        <v>1:10300:5</v>
      </c>
      <c r="N1919" s="16" t="str">
        <f t="shared" si="1435"/>
        <v>149:1</v>
      </c>
      <c r="O1919" s="17">
        <f t="shared" si="1440"/>
        <v>7</v>
      </c>
      <c r="P1919" s="21" t="str">
        <f t="shared" si="1434"/>
        <v>所有牧师和法师魔防百分比增加:1</v>
      </c>
      <c r="Q1919" s="21"/>
      <c r="R1919" t="str">
        <f t="shared" si="1467"/>
        <v>魔防百分比</v>
      </c>
      <c r="T1919" t="str">
        <f t="shared" si="1468"/>
        <v>:1</v>
      </c>
      <c r="U1919" t="str">
        <f t="shared" si="1428"/>
        <v>牧师</v>
      </c>
      <c r="V1919" t="s">
        <v>4830</v>
      </c>
      <c r="W1919">
        <f>属性类型!G1919</f>
        <v>149</v>
      </c>
      <c r="X1919">
        <v>1</v>
      </c>
    </row>
    <row r="1920" customFormat="1" ht="16.5" spans="1:24">
      <c r="A1920" s="17">
        <f t="shared" si="1463"/>
        <v>50610</v>
      </c>
      <c r="B1920" s="17">
        <f t="shared" si="1423"/>
        <v>50600</v>
      </c>
      <c r="C1920" s="17" t="str">
        <f t="shared" si="1444"/>
        <v>5</v>
      </c>
      <c r="D1920" s="17">
        <f t="shared" si="1433"/>
        <v>50001</v>
      </c>
      <c r="E1920" s="17">
        <v>1</v>
      </c>
      <c r="F1920" s="17">
        <f t="shared" si="1439"/>
        <v>1</v>
      </c>
      <c r="G1920" s="17" t="str">
        <f t="shared" si="1464"/>
        <v>初级魔防百分比</v>
      </c>
      <c r="H1920" s="17" t="str">
        <f t="shared" si="1465"/>
        <v>icon_07</v>
      </c>
      <c r="I1920" s="20">
        <v>0</v>
      </c>
      <c r="J1920" s="17">
        <v>10</v>
      </c>
      <c r="K1920" s="17">
        <v>0</v>
      </c>
      <c r="L1920" s="17">
        <v>0</v>
      </c>
      <c r="M1920" s="17" t="str">
        <f t="shared" si="1466"/>
        <v>1:10300:5</v>
      </c>
      <c r="N1920" s="16" t="str">
        <f t="shared" si="1435"/>
        <v>149:1</v>
      </c>
      <c r="O1920" s="17">
        <f t="shared" si="1440"/>
        <v>7</v>
      </c>
      <c r="P1920" s="21" t="str">
        <f t="shared" si="1434"/>
        <v>所有牧师和法师魔防百分比增加:1</v>
      </c>
      <c r="Q1920" s="21"/>
      <c r="R1920" t="str">
        <f t="shared" si="1467"/>
        <v>魔防百分比</v>
      </c>
      <c r="T1920" t="str">
        <f t="shared" si="1468"/>
        <v>:1</v>
      </c>
      <c r="U1920" t="str">
        <f t="shared" si="1428"/>
        <v>牧师</v>
      </c>
      <c r="V1920" t="s">
        <v>4830</v>
      </c>
      <c r="W1920">
        <f>属性类型!G1920</f>
        <v>149</v>
      </c>
      <c r="X1920">
        <v>1</v>
      </c>
    </row>
    <row r="1921" customFormat="1" ht="16.5" spans="1:24">
      <c r="A1921" s="18">
        <f>A1910+100</f>
        <v>50700</v>
      </c>
      <c r="B1921" s="18">
        <f t="shared" si="1423"/>
        <v>50700</v>
      </c>
      <c r="C1921" s="18" t="str">
        <f t="shared" si="1444"/>
        <v>5</v>
      </c>
      <c r="D1921" s="17">
        <f t="shared" si="1433"/>
        <v>50001</v>
      </c>
      <c r="E1921" s="17">
        <v>2</v>
      </c>
      <c r="F1921" s="18">
        <f t="shared" si="1439"/>
        <v>1</v>
      </c>
      <c r="G1921" s="18" t="s">
        <v>4831</v>
      </c>
      <c r="H1921" s="18" t="s">
        <v>3014</v>
      </c>
      <c r="I1921" s="20">
        <v>1.5</v>
      </c>
      <c r="J1921" s="18">
        <v>0</v>
      </c>
      <c r="K1921" s="18">
        <f t="shared" ref="K1921:K1940" si="1469">A1922</f>
        <v>50701</v>
      </c>
      <c r="L1921" s="18" t="s">
        <v>206</v>
      </c>
      <c r="M1921" s="18" t="s">
        <v>207</v>
      </c>
      <c r="N1921" s="16" t="str">
        <f t="shared" si="1435"/>
        <v>10040:1</v>
      </c>
      <c r="O1921" s="18">
        <f t="shared" si="1440"/>
        <v>8</v>
      </c>
      <c r="P1921" s="21" t="s">
        <v>4832</v>
      </c>
      <c r="Q1921" s="21"/>
      <c r="R1921" t="s">
        <v>4833</v>
      </c>
      <c r="T1921" t="str">
        <f>RIGHT(N1921,1)</f>
        <v>1</v>
      </c>
      <c r="U1921" t="str">
        <f t="shared" si="1428"/>
        <v>法师</v>
      </c>
      <c r="V1921" t="s">
        <v>4831</v>
      </c>
      <c r="W1921">
        <f>属性类型!G1921</f>
        <v>10040</v>
      </c>
      <c r="X1921">
        <v>1</v>
      </c>
    </row>
    <row r="1922" customFormat="1" ht="16.5" spans="1:24">
      <c r="A1922" s="17">
        <f t="shared" ref="A1922:A1931" si="1470">A1921+1</f>
        <v>50701</v>
      </c>
      <c r="B1922" s="17">
        <f t="shared" ref="B1922:B1931" si="1471">ROUND(A1922,-2)</f>
        <v>50700</v>
      </c>
      <c r="C1922" s="17" t="str">
        <f t="shared" si="1444"/>
        <v>5</v>
      </c>
      <c r="D1922" s="17">
        <f t="shared" si="1433"/>
        <v>50001</v>
      </c>
      <c r="E1922" s="17">
        <f t="shared" ref="E1922:H1922" si="1472">E1921</f>
        <v>2</v>
      </c>
      <c r="F1922" s="17">
        <f t="shared" si="1439"/>
        <v>1</v>
      </c>
      <c r="G1922" s="17" t="str">
        <f t="shared" si="1472"/>
        <v>大魔法师防御百分比</v>
      </c>
      <c r="H1922" s="17" t="str">
        <f t="shared" si="1472"/>
        <v>fashi01_Lv3</v>
      </c>
      <c r="I1922" s="20">
        <v>1.5</v>
      </c>
      <c r="J1922" s="17">
        <v>1</v>
      </c>
      <c r="K1922" s="17">
        <f t="shared" si="1469"/>
        <v>50702</v>
      </c>
      <c r="L1922" s="17" t="s">
        <v>211</v>
      </c>
      <c r="M1922" s="17" t="str">
        <f t="shared" ref="M1922:M1941" si="1473">M1921</f>
        <v>1:10400:5</v>
      </c>
      <c r="N1922" s="16" t="str">
        <f t="shared" si="1435"/>
        <v>10040:1</v>
      </c>
      <c r="O1922" s="17">
        <f t="shared" si="1440"/>
        <v>8</v>
      </c>
      <c r="P1922" s="21" t="s">
        <v>4834</v>
      </c>
      <c r="Q1922" s="21"/>
      <c r="R1922" t="s">
        <v>4833</v>
      </c>
      <c r="T1922" t="str">
        <f t="shared" ref="T1922:T1931" si="1474">RIGHT(N1922,2)</f>
        <v>:1</v>
      </c>
      <c r="U1922" t="str">
        <f t="shared" si="1428"/>
        <v>法师</v>
      </c>
      <c r="V1922" t="s">
        <v>4831</v>
      </c>
      <c r="W1922">
        <f>属性类型!G1922</f>
        <v>10040</v>
      </c>
      <c r="X1922">
        <v>1</v>
      </c>
    </row>
    <row r="1923" customFormat="1" ht="16.5" spans="1:24">
      <c r="A1923" s="17">
        <f t="shared" si="1470"/>
        <v>50702</v>
      </c>
      <c r="B1923" s="17">
        <f t="shared" si="1471"/>
        <v>50700</v>
      </c>
      <c r="C1923" s="17" t="str">
        <f t="shared" si="1444"/>
        <v>5</v>
      </c>
      <c r="D1923" s="17">
        <f t="shared" si="1433"/>
        <v>50001</v>
      </c>
      <c r="E1923" s="17">
        <f t="shared" ref="E1923:H1923" si="1475">E1922</f>
        <v>2</v>
      </c>
      <c r="F1923" s="17">
        <f t="shared" si="1439"/>
        <v>1</v>
      </c>
      <c r="G1923" s="17" t="str">
        <f t="shared" si="1475"/>
        <v>大魔法师防御百分比</v>
      </c>
      <c r="H1923" s="17" t="str">
        <f t="shared" si="1475"/>
        <v>fashi01_Lv3</v>
      </c>
      <c r="I1923" s="20">
        <v>1.5</v>
      </c>
      <c r="J1923" s="17">
        <v>2</v>
      </c>
      <c r="K1923" s="17">
        <f t="shared" si="1469"/>
        <v>50703</v>
      </c>
      <c r="L1923" s="17" t="s">
        <v>215</v>
      </c>
      <c r="M1923" s="17" t="str">
        <f t="shared" si="1473"/>
        <v>1:10400:5</v>
      </c>
      <c r="N1923" s="16" t="str">
        <f t="shared" si="1435"/>
        <v>10040:1</v>
      </c>
      <c r="O1923" s="17">
        <f t="shared" si="1440"/>
        <v>8</v>
      </c>
      <c r="P1923" s="21" t="s">
        <v>4835</v>
      </c>
      <c r="Q1923" s="21"/>
      <c r="R1923" t="s">
        <v>4833</v>
      </c>
      <c r="T1923" t="str">
        <f t="shared" si="1474"/>
        <v>:1</v>
      </c>
      <c r="U1923" t="str">
        <f t="shared" si="1428"/>
        <v>法师</v>
      </c>
      <c r="V1923" t="s">
        <v>4831</v>
      </c>
      <c r="W1923">
        <f>属性类型!G1923</f>
        <v>10040</v>
      </c>
      <c r="X1923">
        <v>1</v>
      </c>
    </row>
    <row r="1924" customFormat="1" ht="16.5" spans="1:24">
      <c r="A1924" s="17">
        <f t="shared" si="1470"/>
        <v>50703</v>
      </c>
      <c r="B1924" s="17">
        <f t="shared" si="1471"/>
        <v>50700</v>
      </c>
      <c r="C1924" s="17" t="str">
        <f t="shared" si="1444"/>
        <v>5</v>
      </c>
      <c r="D1924" s="17">
        <f t="shared" si="1433"/>
        <v>50001</v>
      </c>
      <c r="E1924" s="17">
        <f t="shared" ref="E1924:H1924" si="1476">E1923</f>
        <v>2</v>
      </c>
      <c r="F1924" s="17">
        <f t="shared" si="1439"/>
        <v>1</v>
      </c>
      <c r="G1924" s="17" t="str">
        <f t="shared" si="1476"/>
        <v>大魔法师防御百分比</v>
      </c>
      <c r="H1924" s="17" t="str">
        <f t="shared" si="1476"/>
        <v>fashi01_Lv3</v>
      </c>
      <c r="I1924" s="20">
        <v>1.5</v>
      </c>
      <c r="J1924" s="17">
        <v>3</v>
      </c>
      <c r="K1924" s="17">
        <f t="shared" si="1469"/>
        <v>50704</v>
      </c>
      <c r="L1924" s="17" t="s">
        <v>218</v>
      </c>
      <c r="M1924" s="17" t="str">
        <f t="shared" si="1473"/>
        <v>1:10400:5</v>
      </c>
      <c r="N1924" s="16" t="str">
        <f t="shared" si="1435"/>
        <v>10040:1</v>
      </c>
      <c r="O1924" s="17">
        <f t="shared" si="1440"/>
        <v>8</v>
      </c>
      <c r="P1924" s="21" t="s">
        <v>4836</v>
      </c>
      <c r="Q1924" s="21"/>
      <c r="R1924" t="s">
        <v>4833</v>
      </c>
      <c r="T1924" t="str">
        <f t="shared" si="1474"/>
        <v>:1</v>
      </c>
      <c r="U1924" t="str">
        <f t="shared" si="1428"/>
        <v>法师</v>
      </c>
      <c r="V1924" t="s">
        <v>4831</v>
      </c>
      <c r="W1924">
        <f>属性类型!G1924</f>
        <v>10040</v>
      </c>
      <c r="X1924">
        <v>1</v>
      </c>
    </row>
    <row r="1925" customFormat="1" ht="16.5" spans="1:24">
      <c r="A1925" s="17">
        <f t="shared" si="1470"/>
        <v>50704</v>
      </c>
      <c r="B1925" s="17">
        <f t="shared" si="1471"/>
        <v>50700</v>
      </c>
      <c r="C1925" s="17" t="str">
        <f t="shared" si="1444"/>
        <v>5</v>
      </c>
      <c r="D1925" s="17">
        <f t="shared" si="1433"/>
        <v>50001</v>
      </c>
      <c r="E1925" s="17">
        <f t="shared" ref="E1925:H1925" si="1477">E1924</f>
        <v>2</v>
      </c>
      <c r="F1925" s="17">
        <f t="shared" si="1439"/>
        <v>1</v>
      </c>
      <c r="G1925" s="17" t="str">
        <f t="shared" si="1477"/>
        <v>大魔法师防御百分比</v>
      </c>
      <c r="H1925" s="17" t="str">
        <f t="shared" si="1477"/>
        <v>fashi01_Lv3</v>
      </c>
      <c r="I1925" s="20">
        <v>1.5</v>
      </c>
      <c r="J1925" s="17">
        <v>4</v>
      </c>
      <c r="K1925" s="17">
        <f t="shared" si="1469"/>
        <v>50705</v>
      </c>
      <c r="L1925" s="17" t="s">
        <v>221</v>
      </c>
      <c r="M1925" s="17" t="str">
        <f t="shared" si="1473"/>
        <v>1:10400:5</v>
      </c>
      <c r="N1925" s="16" t="str">
        <f t="shared" si="1435"/>
        <v>10040:1</v>
      </c>
      <c r="O1925" s="17">
        <f t="shared" si="1440"/>
        <v>8</v>
      </c>
      <c r="P1925" s="21" t="s">
        <v>4837</v>
      </c>
      <c r="Q1925" s="21"/>
      <c r="R1925" t="s">
        <v>4833</v>
      </c>
      <c r="T1925" t="str">
        <f t="shared" si="1474"/>
        <v>:1</v>
      </c>
      <c r="U1925" t="str">
        <f t="shared" ref="U1925:U1988" si="1478">MID(P1925,3,2)</f>
        <v>法师</v>
      </c>
      <c r="V1925" t="s">
        <v>4831</v>
      </c>
      <c r="W1925">
        <f>属性类型!G1925</f>
        <v>10040</v>
      </c>
      <c r="X1925">
        <v>1</v>
      </c>
    </row>
    <row r="1926" customFormat="1" ht="16.5" spans="1:24">
      <c r="A1926" s="17">
        <f t="shared" si="1470"/>
        <v>50705</v>
      </c>
      <c r="B1926" s="17">
        <f t="shared" si="1471"/>
        <v>50700</v>
      </c>
      <c r="C1926" s="17" t="str">
        <f t="shared" si="1444"/>
        <v>5</v>
      </c>
      <c r="D1926" s="17">
        <f t="shared" si="1433"/>
        <v>50001</v>
      </c>
      <c r="E1926" s="17">
        <f t="shared" ref="E1926:H1926" si="1479">E1925</f>
        <v>2</v>
      </c>
      <c r="F1926" s="17">
        <f t="shared" si="1439"/>
        <v>1</v>
      </c>
      <c r="G1926" s="17" t="str">
        <f t="shared" si="1479"/>
        <v>大魔法师防御百分比</v>
      </c>
      <c r="H1926" s="17" t="str">
        <f t="shared" si="1479"/>
        <v>fashi01_Lv3</v>
      </c>
      <c r="I1926" s="20">
        <v>1.5</v>
      </c>
      <c r="J1926" s="17">
        <v>5</v>
      </c>
      <c r="K1926" s="17">
        <f t="shared" si="1469"/>
        <v>50706</v>
      </c>
      <c r="L1926" s="17" t="s">
        <v>224</v>
      </c>
      <c r="M1926" s="17" t="str">
        <f t="shared" si="1473"/>
        <v>1:10400:5</v>
      </c>
      <c r="N1926" s="16" t="str">
        <f t="shared" si="1435"/>
        <v>10040:1</v>
      </c>
      <c r="O1926" s="17">
        <f t="shared" si="1440"/>
        <v>8</v>
      </c>
      <c r="P1926" s="21" t="s">
        <v>4838</v>
      </c>
      <c r="Q1926" s="21"/>
      <c r="R1926" t="s">
        <v>4833</v>
      </c>
      <c r="T1926" t="str">
        <f t="shared" si="1474"/>
        <v>:1</v>
      </c>
      <c r="U1926" t="str">
        <f t="shared" si="1478"/>
        <v>法师</v>
      </c>
      <c r="V1926" t="s">
        <v>4831</v>
      </c>
      <c r="W1926">
        <f>属性类型!G1926</f>
        <v>10040</v>
      </c>
      <c r="X1926">
        <v>1</v>
      </c>
    </row>
    <row r="1927" customFormat="1" ht="16.5" spans="1:24">
      <c r="A1927" s="17">
        <f t="shared" si="1470"/>
        <v>50706</v>
      </c>
      <c r="B1927" s="17">
        <f t="shared" si="1471"/>
        <v>50700</v>
      </c>
      <c r="C1927" s="17" t="str">
        <f t="shared" si="1444"/>
        <v>5</v>
      </c>
      <c r="D1927" s="17">
        <f t="shared" si="1433"/>
        <v>50001</v>
      </c>
      <c r="E1927" s="17">
        <f t="shared" ref="E1927:H1927" si="1480">E1926</f>
        <v>2</v>
      </c>
      <c r="F1927" s="17">
        <f t="shared" si="1439"/>
        <v>1</v>
      </c>
      <c r="G1927" s="17" t="str">
        <f t="shared" si="1480"/>
        <v>大魔法师防御百分比</v>
      </c>
      <c r="H1927" s="17" t="str">
        <f t="shared" si="1480"/>
        <v>fashi01_Lv3</v>
      </c>
      <c r="I1927" s="20">
        <v>1.5</v>
      </c>
      <c r="J1927" s="17">
        <v>6</v>
      </c>
      <c r="K1927" s="17">
        <f t="shared" si="1469"/>
        <v>50707</v>
      </c>
      <c r="L1927" s="17" t="s">
        <v>227</v>
      </c>
      <c r="M1927" s="17" t="str">
        <f t="shared" si="1473"/>
        <v>1:10400:5</v>
      </c>
      <c r="N1927" s="16" t="str">
        <f t="shared" si="1435"/>
        <v>10040:1</v>
      </c>
      <c r="O1927" s="17">
        <f t="shared" si="1440"/>
        <v>8</v>
      </c>
      <c r="P1927" s="21" t="s">
        <v>4839</v>
      </c>
      <c r="Q1927" s="21"/>
      <c r="R1927" t="s">
        <v>4833</v>
      </c>
      <c r="T1927" t="str">
        <f t="shared" si="1474"/>
        <v>:1</v>
      </c>
      <c r="U1927" t="str">
        <f t="shared" si="1478"/>
        <v>法师</v>
      </c>
      <c r="V1927" t="s">
        <v>4831</v>
      </c>
      <c r="W1927">
        <f>属性类型!G1927</f>
        <v>10040</v>
      </c>
      <c r="X1927">
        <v>1</v>
      </c>
    </row>
    <row r="1928" customFormat="1" ht="16.5" spans="1:24">
      <c r="A1928" s="17">
        <f t="shared" si="1470"/>
        <v>50707</v>
      </c>
      <c r="B1928" s="17">
        <f t="shared" si="1471"/>
        <v>50700</v>
      </c>
      <c r="C1928" s="17" t="str">
        <f t="shared" si="1444"/>
        <v>5</v>
      </c>
      <c r="D1928" s="17">
        <f t="shared" si="1433"/>
        <v>50001</v>
      </c>
      <c r="E1928" s="17">
        <f t="shared" ref="E1928:H1928" si="1481">E1927</f>
        <v>2</v>
      </c>
      <c r="F1928" s="17">
        <f t="shared" si="1439"/>
        <v>1</v>
      </c>
      <c r="G1928" s="17" t="str">
        <f t="shared" si="1481"/>
        <v>大魔法师防御百分比</v>
      </c>
      <c r="H1928" s="17" t="str">
        <f t="shared" si="1481"/>
        <v>fashi01_Lv3</v>
      </c>
      <c r="I1928" s="20">
        <v>1.5</v>
      </c>
      <c r="J1928" s="17">
        <v>7</v>
      </c>
      <c r="K1928" s="17">
        <f t="shared" si="1469"/>
        <v>50708</v>
      </c>
      <c r="L1928" s="17" t="s">
        <v>230</v>
      </c>
      <c r="M1928" s="17" t="str">
        <f t="shared" si="1473"/>
        <v>1:10400:5</v>
      </c>
      <c r="N1928" s="16" t="str">
        <f t="shared" si="1435"/>
        <v>10040:1</v>
      </c>
      <c r="O1928" s="17">
        <f t="shared" si="1440"/>
        <v>8</v>
      </c>
      <c r="P1928" s="21" t="s">
        <v>4840</v>
      </c>
      <c r="Q1928" s="21"/>
      <c r="R1928" t="s">
        <v>4833</v>
      </c>
      <c r="T1928" t="str">
        <f t="shared" si="1474"/>
        <v>:1</v>
      </c>
      <c r="U1928" t="str">
        <f t="shared" si="1478"/>
        <v>法师</v>
      </c>
      <c r="V1928" t="s">
        <v>4831</v>
      </c>
      <c r="W1928">
        <f>属性类型!G1928</f>
        <v>10040</v>
      </c>
      <c r="X1928">
        <v>1</v>
      </c>
    </row>
    <row r="1929" customFormat="1" ht="16.5" spans="1:24">
      <c r="A1929" s="17">
        <f t="shared" si="1470"/>
        <v>50708</v>
      </c>
      <c r="B1929" s="17">
        <f t="shared" si="1471"/>
        <v>50700</v>
      </c>
      <c r="C1929" s="17" t="str">
        <f t="shared" si="1444"/>
        <v>5</v>
      </c>
      <c r="D1929" s="17">
        <f t="shared" si="1433"/>
        <v>50001</v>
      </c>
      <c r="E1929" s="17">
        <f t="shared" ref="E1929:H1929" si="1482">E1928</f>
        <v>2</v>
      </c>
      <c r="F1929" s="17">
        <f t="shared" si="1439"/>
        <v>1</v>
      </c>
      <c r="G1929" s="17" t="str">
        <f t="shared" si="1482"/>
        <v>大魔法师防御百分比</v>
      </c>
      <c r="H1929" s="17" t="str">
        <f t="shared" si="1482"/>
        <v>fashi01_Lv3</v>
      </c>
      <c r="I1929" s="20">
        <v>1.5</v>
      </c>
      <c r="J1929" s="17">
        <v>8</v>
      </c>
      <c r="K1929" s="17">
        <f t="shared" si="1469"/>
        <v>50709</v>
      </c>
      <c r="L1929" s="17" t="s">
        <v>233</v>
      </c>
      <c r="M1929" s="17" t="str">
        <f t="shared" si="1473"/>
        <v>1:10400:5</v>
      </c>
      <c r="N1929" s="16" t="str">
        <f t="shared" si="1435"/>
        <v>10040:1</v>
      </c>
      <c r="O1929" s="17">
        <f t="shared" si="1440"/>
        <v>8</v>
      </c>
      <c r="P1929" s="21" t="s">
        <v>4841</v>
      </c>
      <c r="Q1929" s="21"/>
      <c r="R1929" t="s">
        <v>4833</v>
      </c>
      <c r="T1929" t="str">
        <f t="shared" si="1474"/>
        <v>:1</v>
      </c>
      <c r="U1929" t="str">
        <f t="shared" si="1478"/>
        <v>法师</v>
      </c>
      <c r="V1929" t="s">
        <v>4831</v>
      </c>
      <c r="W1929">
        <f>属性类型!G1929</f>
        <v>10040</v>
      </c>
      <c r="X1929">
        <v>1</v>
      </c>
    </row>
    <row r="1930" customFormat="1" ht="16.5" spans="1:24">
      <c r="A1930" s="17">
        <f t="shared" si="1470"/>
        <v>50709</v>
      </c>
      <c r="B1930" s="17">
        <f t="shared" si="1471"/>
        <v>50700</v>
      </c>
      <c r="C1930" s="17" t="str">
        <f t="shared" si="1444"/>
        <v>5</v>
      </c>
      <c r="D1930" s="17">
        <f>$A$1864+F1930</f>
        <v>50001</v>
      </c>
      <c r="E1930" s="17">
        <f t="shared" ref="E1930:H1930" si="1483">E1929</f>
        <v>2</v>
      </c>
      <c r="F1930" s="17">
        <f t="shared" si="1439"/>
        <v>1</v>
      </c>
      <c r="G1930" s="17" t="str">
        <f t="shared" si="1483"/>
        <v>大魔法师防御百分比</v>
      </c>
      <c r="H1930" s="17" t="str">
        <f t="shared" si="1483"/>
        <v>fashi01_Lv3</v>
      </c>
      <c r="I1930" s="20">
        <v>1.5</v>
      </c>
      <c r="J1930" s="17">
        <v>9</v>
      </c>
      <c r="K1930" s="17">
        <f t="shared" si="1469"/>
        <v>50710</v>
      </c>
      <c r="L1930" s="17" t="s">
        <v>236</v>
      </c>
      <c r="M1930" s="17" t="str">
        <f t="shared" si="1473"/>
        <v>1:10400:5</v>
      </c>
      <c r="N1930" s="16" t="str">
        <f t="shared" si="1435"/>
        <v>10040:1</v>
      </c>
      <c r="O1930" s="17">
        <f t="shared" si="1440"/>
        <v>8</v>
      </c>
      <c r="P1930" s="21" t="s">
        <v>4842</v>
      </c>
      <c r="Q1930" s="21"/>
      <c r="R1930" t="s">
        <v>4833</v>
      </c>
      <c r="T1930" t="str">
        <f t="shared" si="1474"/>
        <v>:1</v>
      </c>
      <c r="U1930" t="str">
        <f t="shared" si="1478"/>
        <v>法师</v>
      </c>
      <c r="V1930" t="s">
        <v>4831</v>
      </c>
      <c r="W1930">
        <f>属性类型!G1930</f>
        <v>10040</v>
      </c>
      <c r="X1930">
        <v>1</v>
      </c>
    </row>
    <row r="1931" customFormat="1" ht="16.5" spans="1:24">
      <c r="A1931" s="17">
        <f t="shared" si="1470"/>
        <v>50710</v>
      </c>
      <c r="B1931" s="17">
        <f t="shared" si="1471"/>
        <v>50700</v>
      </c>
      <c r="C1931" s="17" t="str">
        <f t="shared" si="1444"/>
        <v>5</v>
      </c>
      <c r="D1931" s="17">
        <f>$A$1864+F1931</f>
        <v>50001</v>
      </c>
      <c r="E1931" s="17">
        <f t="shared" ref="E1931:H1931" si="1484">E1930</f>
        <v>2</v>
      </c>
      <c r="F1931" s="17">
        <f t="shared" si="1439"/>
        <v>1</v>
      </c>
      <c r="G1931" s="17" t="str">
        <f t="shared" si="1484"/>
        <v>大魔法师防御百分比</v>
      </c>
      <c r="H1931" s="17" t="str">
        <f t="shared" si="1484"/>
        <v>fashi01_Lv3</v>
      </c>
      <c r="I1931" s="20">
        <v>1.5</v>
      </c>
      <c r="J1931" s="17">
        <v>10</v>
      </c>
      <c r="K1931" s="17">
        <f t="shared" si="1469"/>
        <v>50711</v>
      </c>
      <c r="L1931" s="17" t="s">
        <v>238</v>
      </c>
      <c r="M1931" s="17" t="str">
        <f t="shared" si="1473"/>
        <v>1:10400:5</v>
      </c>
      <c r="N1931" s="16" t="str">
        <f t="shared" ref="N1931:N1994" si="1485">W1931&amp;$W$2&amp;X1931</f>
        <v>10040:1</v>
      </c>
      <c r="O1931" s="17">
        <f t="shared" si="1440"/>
        <v>8</v>
      </c>
      <c r="P1931" s="21" t="s">
        <v>4843</v>
      </c>
      <c r="Q1931" s="21"/>
      <c r="R1931" t="s">
        <v>4833</v>
      </c>
      <c r="T1931" t="str">
        <f t="shared" si="1474"/>
        <v>:1</v>
      </c>
      <c r="U1931" t="str">
        <f t="shared" si="1478"/>
        <v>法师</v>
      </c>
      <c r="V1931" t="s">
        <v>4831</v>
      </c>
      <c r="W1931">
        <f>属性类型!G1931</f>
        <v>10040</v>
      </c>
      <c r="X1931">
        <v>1</v>
      </c>
    </row>
    <row r="1932" customFormat="1" ht="16.5" spans="1:24">
      <c r="A1932" s="17">
        <f t="shared" ref="A1932:A1941" si="1486">A1931+1</f>
        <v>50711</v>
      </c>
      <c r="B1932" s="17">
        <f t="shared" ref="B1932:B1952" si="1487">ROUND(A1932,-2)</f>
        <v>50700</v>
      </c>
      <c r="C1932" s="17" t="str">
        <f t="shared" ref="C1932:C1952" si="1488">LEFT(A1932,1)</f>
        <v>5</v>
      </c>
      <c r="D1932" s="17">
        <f t="shared" ref="D1932:D1952" si="1489">$A$1864+F1932</f>
        <v>50001</v>
      </c>
      <c r="E1932" s="17">
        <f t="shared" ref="E1932:H1932" si="1490">E1931</f>
        <v>2</v>
      </c>
      <c r="F1932" s="17">
        <f t="shared" si="1439"/>
        <v>1</v>
      </c>
      <c r="G1932" s="17" t="str">
        <f t="shared" si="1490"/>
        <v>大魔法师防御百分比</v>
      </c>
      <c r="H1932" s="17" t="str">
        <f t="shared" si="1490"/>
        <v>fashi01_Lv3</v>
      </c>
      <c r="I1932" s="20">
        <v>1.5</v>
      </c>
      <c r="J1932" s="17">
        <v>11</v>
      </c>
      <c r="K1932" s="17">
        <f t="shared" si="1469"/>
        <v>50712</v>
      </c>
      <c r="L1932" s="17" t="s">
        <v>529</v>
      </c>
      <c r="M1932" s="17" t="str">
        <f t="shared" si="1473"/>
        <v>1:10400:5</v>
      </c>
      <c r="N1932" s="16" t="str">
        <f t="shared" si="1485"/>
        <v>10040:1</v>
      </c>
      <c r="O1932" s="17">
        <f t="shared" si="1440"/>
        <v>8</v>
      </c>
      <c r="P1932" s="21" t="s">
        <v>4844</v>
      </c>
      <c r="Q1932" s="21"/>
      <c r="R1932" t="s">
        <v>4833</v>
      </c>
      <c r="U1932" t="str">
        <f t="shared" si="1478"/>
        <v>法师</v>
      </c>
      <c r="V1932" t="s">
        <v>4831</v>
      </c>
      <c r="W1932">
        <f>属性类型!G1932</f>
        <v>10040</v>
      </c>
      <c r="X1932">
        <v>1</v>
      </c>
    </row>
    <row r="1933" customFormat="1" ht="16.5" spans="1:24">
      <c r="A1933" s="17">
        <f t="shared" si="1486"/>
        <v>50712</v>
      </c>
      <c r="B1933" s="17">
        <f t="shared" si="1487"/>
        <v>50700</v>
      </c>
      <c r="C1933" s="17" t="str">
        <f t="shared" si="1488"/>
        <v>5</v>
      </c>
      <c r="D1933" s="17">
        <f t="shared" si="1489"/>
        <v>50001</v>
      </c>
      <c r="E1933" s="17">
        <f t="shared" ref="E1933:H1933" si="1491">E1932</f>
        <v>2</v>
      </c>
      <c r="F1933" s="17">
        <f t="shared" si="1439"/>
        <v>1</v>
      </c>
      <c r="G1933" s="17" t="str">
        <f t="shared" si="1491"/>
        <v>大魔法师防御百分比</v>
      </c>
      <c r="H1933" s="17" t="str">
        <f t="shared" si="1491"/>
        <v>fashi01_Lv3</v>
      </c>
      <c r="I1933" s="20">
        <v>1.5</v>
      </c>
      <c r="J1933" s="17">
        <v>12</v>
      </c>
      <c r="K1933" s="17">
        <f t="shared" si="1469"/>
        <v>50713</v>
      </c>
      <c r="L1933" s="17" t="s">
        <v>532</v>
      </c>
      <c r="M1933" s="17" t="str">
        <f t="shared" si="1473"/>
        <v>1:10400:5</v>
      </c>
      <c r="N1933" s="16" t="str">
        <f t="shared" si="1485"/>
        <v>10040:1</v>
      </c>
      <c r="O1933" s="17">
        <f t="shared" si="1440"/>
        <v>8</v>
      </c>
      <c r="P1933" s="21" t="s">
        <v>4845</v>
      </c>
      <c r="Q1933" s="21"/>
      <c r="R1933" t="s">
        <v>4833</v>
      </c>
      <c r="U1933" t="str">
        <f t="shared" si="1478"/>
        <v>法师</v>
      </c>
      <c r="V1933" t="s">
        <v>4831</v>
      </c>
      <c r="W1933">
        <f>属性类型!G1933</f>
        <v>10040</v>
      </c>
      <c r="X1933">
        <v>1</v>
      </c>
    </row>
    <row r="1934" customFormat="1" ht="16.5" spans="1:24">
      <c r="A1934" s="17">
        <f t="shared" si="1486"/>
        <v>50713</v>
      </c>
      <c r="B1934" s="17">
        <f t="shared" si="1487"/>
        <v>50700</v>
      </c>
      <c r="C1934" s="17" t="str">
        <f t="shared" si="1488"/>
        <v>5</v>
      </c>
      <c r="D1934" s="17">
        <f t="shared" si="1489"/>
        <v>50001</v>
      </c>
      <c r="E1934" s="17">
        <f t="shared" ref="E1934:H1934" si="1492">E1933</f>
        <v>2</v>
      </c>
      <c r="F1934" s="17">
        <f t="shared" si="1439"/>
        <v>1</v>
      </c>
      <c r="G1934" s="17" t="str">
        <f t="shared" si="1492"/>
        <v>大魔法师防御百分比</v>
      </c>
      <c r="H1934" s="17" t="str">
        <f t="shared" si="1492"/>
        <v>fashi01_Lv3</v>
      </c>
      <c r="I1934" s="20">
        <v>1.5</v>
      </c>
      <c r="J1934" s="17">
        <v>13</v>
      </c>
      <c r="K1934" s="17">
        <f t="shared" si="1469"/>
        <v>50714</v>
      </c>
      <c r="L1934" s="17" t="s">
        <v>561</v>
      </c>
      <c r="M1934" s="17" t="str">
        <f t="shared" si="1473"/>
        <v>1:10400:5</v>
      </c>
      <c r="N1934" s="16" t="str">
        <f t="shared" si="1485"/>
        <v>10040:1</v>
      </c>
      <c r="O1934" s="17">
        <f t="shared" si="1440"/>
        <v>8</v>
      </c>
      <c r="P1934" s="21" t="s">
        <v>4846</v>
      </c>
      <c r="Q1934" s="21"/>
      <c r="R1934" t="s">
        <v>4833</v>
      </c>
      <c r="U1934" t="str">
        <f t="shared" si="1478"/>
        <v>法师</v>
      </c>
      <c r="V1934" t="s">
        <v>4831</v>
      </c>
      <c r="W1934">
        <f>属性类型!G1934</f>
        <v>10040</v>
      </c>
      <c r="X1934">
        <v>1</v>
      </c>
    </row>
    <row r="1935" customFormat="1" ht="16.5" spans="1:24">
      <c r="A1935" s="17">
        <f t="shared" si="1486"/>
        <v>50714</v>
      </c>
      <c r="B1935" s="17">
        <f t="shared" si="1487"/>
        <v>50700</v>
      </c>
      <c r="C1935" s="17" t="str">
        <f t="shared" si="1488"/>
        <v>5</v>
      </c>
      <c r="D1935" s="17">
        <f t="shared" si="1489"/>
        <v>50001</v>
      </c>
      <c r="E1935" s="17">
        <f t="shared" ref="E1935:H1935" si="1493">E1934</f>
        <v>2</v>
      </c>
      <c r="F1935" s="17">
        <f t="shared" si="1439"/>
        <v>1</v>
      </c>
      <c r="G1935" s="17" t="str">
        <f t="shared" si="1493"/>
        <v>大魔法师防御百分比</v>
      </c>
      <c r="H1935" s="17" t="str">
        <f t="shared" si="1493"/>
        <v>fashi01_Lv3</v>
      </c>
      <c r="I1935" s="20">
        <v>1.5</v>
      </c>
      <c r="J1935" s="17">
        <v>14</v>
      </c>
      <c r="K1935" s="17">
        <f t="shared" si="1469"/>
        <v>50715</v>
      </c>
      <c r="L1935" s="17" t="s">
        <v>564</v>
      </c>
      <c r="M1935" s="17" t="str">
        <f t="shared" si="1473"/>
        <v>1:10400:5</v>
      </c>
      <c r="N1935" s="16" t="str">
        <f t="shared" si="1485"/>
        <v>10040:1</v>
      </c>
      <c r="O1935" s="17">
        <f t="shared" si="1440"/>
        <v>8</v>
      </c>
      <c r="P1935" s="21" t="s">
        <v>4847</v>
      </c>
      <c r="Q1935" s="21"/>
      <c r="R1935" t="s">
        <v>4833</v>
      </c>
      <c r="U1935" t="str">
        <f t="shared" si="1478"/>
        <v>法师</v>
      </c>
      <c r="V1935" t="s">
        <v>4831</v>
      </c>
      <c r="W1935">
        <f>属性类型!G1935</f>
        <v>10040</v>
      </c>
      <c r="X1935">
        <v>1</v>
      </c>
    </row>
    <row r="1936" customFormat="1" ht="16.5" spans="1:24">
      <c r="A1936" s="17">
        <f t="shared" si="1486"/>
        <v>50715</v>
      </c>
      <c r="B1936" s="17">
        <f t="shared" si="1487"/>
        <v>50700</v>
      </c>
      <c r="C1936" s="17" t="str">
        <f t="shared" si="1488"/>
        <v>5</v>
      </c>
      <c r="D1936" s="17">
        <f t="shared" si="1489"/>
        <v>50001</v>
      </c>
      <c r="E1936" s="17">
        <f t="shared" ref="E1936:H1936" si="1494">E1935</f>
        <v>2</v>
      </c>
      <c r="F1936" s="17">
        <f t="shared" ref="F1936:F1999" si="1495">MID(B1936,2,1)+1</f>
        <v>1</v>
      </c>
      <c r="G1936" s="17" t="str">
        <f t="shared" si="1494"/>
        <v>大魔法师防御百分比</v>
      </c>
      <c r="H1936" s="17" t="str">
        <f t="shared" si="1494"/>
        <v>fashi01_Lv3</v>
      </c>
      <c r="I1936" s="20">
        <v>1.5</v>
      </c>
      <c r="J1936" s="17">
        <v>15</v>
      </c>
      <c r="K1936" s="17">
        <f t="shared" si="1469"/>
        <v>50716</v>
      </c>
      <c r="L1936" s="17" t="s">
        <v>630</v>
      </c>
      <c r="M1936" s="17" t="str">
        <f t="shared" si="1473"/>
        <v>1:10400:5</v>
      </c>
      <c r="N1936" s="16" t="str">
        <f t="shared" si="1485"/>
        <v>10040:1</v>
      </c>
      <c r="O1936" s="17">
        <f t="shared" ref="O1936:O1999" si="1496">MID(A1936,3,1)+1</f>
        <v>8</v>
      </c>
      <c r="P1936" s="21" t="s">
        <v>4848</v>
      </c>
      <c r="Q1936" s="21"/>
      <c r="R1936" t="s">
        <v>4833</v>
      </c>
      <c r="U1936" t="str">
        <f t="shared" si="1478"/>
        <v>法师</v>
      </c>
      <c r="V1936" t="s">
        <v>4831</v>
      </c>
      <c r="W1936">
        <f>属性类型!G1936</f>
        <v>10040</v>
      </c>
      <c r="X1936">
        <v>1</v>
      </c>
    </row>
    <row r="1937" customFormat="1" ht="16.5" spans="1:24">
      <c r="A1937" s="17">
        <f t="shared" si="1486"/>
        <v>50716</v>
      </c>
      <c r="B1937" s="17">
        <f t="shared" si="1487"/>
        <v>50700</v>
      </c>
      <c r="C1937" s="17" t="str">
        <f t="shared" si="1488"/>
        <v>5</v>
      </c>
      <c r="D1937" s="17">
        <f t="shared" si="1489"/>
        <v>50001</v>
      </c>
      <c r="E1937" s="17">
        <f t="shared" ref="E1937:H1937" si="1497">E1936</f>
        <v>2</v>
      </c>
      <c r="F1937" s="17">
        <f t="shared" si="1495"/>
        <v>1</v>
      </c>
      <c r="G1937" s="17" t="str">
        <f t="shared" si="1497"/>
        <v>大魔法师防御百分比</v>
      </c>
      <c r="H1937" s="17" t="str">
        <f t="shared" si="1497"/>
        <v>fashi01_Lv3</v>
      </c>
      <c r="I1937" s="20">
        <v>1.5</v>
      </c>
      <c r="J1937" s="17">
        <v>16</v>
      </c>
      <c r="K1937" s="17">
        <f t="shared" si="1469"/>
        <v>50717</v>
      </c>
      <c r="L1937" s="17" t="s">
        <v>633</v>
      </c>
      <c r="M1937" s="17" t="str">
        <f t="shared" si="1473"/>
        <v>1:10400:5</v>
      </c>
      <c r="N1937" s="16" t="str">
        <f t="shared" si="1485"/>
        <v>10040:1</v>
      </c>
      <c r="O1937" s="17">
        <f t="shared" si="1496"/>
        <v>8</v>
      </c>
      <c r="P1937" s="21" t="s">
        <v>4849</v>
      </c>
      <c r="Q1937" s="21"/>
      <c r="R1937" t="s">
        <v>4833</v>
      </c>
      <c r="U1937" t="str">
        <f t="shared" si="1478"/>
        <v>法师</v>
      </c>
      <c r="V1937" t="s">
        <v>4831</v>
      </c>
      <c r="W1937">
        <f>属性类型!G1937</f>
        <v>10040</v>
      </c>
      <c r="X1937">
        <v>1</v>
      </c>
    </row>
    <row r="1938" customFormat="1" ht="16.5" spans="1:24">
      <c r="A1938" s="17">
        <f t="shared" si="1486"/>
        <v>50717</v>
      </c>
      <c r="B1938" s="17">
        <f t="shared" si="1487"/>
        <v>50700</v>
      </c>
      <c r="C1938" s="17" t="str">
        <f t="shared" si="1488"/>
        <v>5</v>
      </c>
      <c r="D1938" s="17">
        <f t="shared" si="1489"/>
        <v>50001</v>
      </c>
      <c r="E1938" s="17">
        <f t="shared" ref="E1938:H1938" si="1498">E1937</f>
        <v>2</v>
      </c>
      <c r="F1938" s="17">
        <f t="shared" si="1495"/>
        <v>1</v>
      </c>
      <c r="G1938" s="17" t="str">
        <f t="shared" si="1498"/>
        <v>大魔法师防御百分比</v>
      </c>
      <c r="H1938" s="17" t="str">
        <f t="shared" si="1498"/>
        <v>fashi01_Lv3</v>
      </c>
      <c r="I1938" s="20">
        <v>1.5</v>
      </c>
      <c r="J1938" s="17">
        <v>17</v>
      </c>
      <c r="K1938" s="17">
        <f t="shared" si="1469"/>
        <v>50718</v>
      </c>
      <c r="L1938" s="17" t="s">
        <v>637</v>
      </c>
      <c r="M1938" s="17" t="str">
        <f t="shared" si="1473"/>
        <v>1:10400:5</v>
      </c>
      <c r="N1938" s="16" t="str">
        <f t="shared" si="1485"/>
        <v>10040:1</v>
      </c>
      <c r="O1938" s="17">
        <f t="shared" si="1496"/>
        <v>8</v>
      </c>
      <c r="P1938" s="21" t="s">
        <v>4850</v>
      </c>
      <c r="Q1938" s="21"/>
      <c r="R1938" t="s">
        <v>4833</v>
      </c>
      <c r="U1938" t="str">
        <f t="shared" si="1478"/>
        <v>法师</v>
      </c>
      <c r="V1938" t="s">
        <v>4831</v>
      </c>
      <c r="W1938">
        <f>属性类型!G1938</f>
        <v>10040</v>
      </c>
      <c r="X1938">
        <v>1</v>
      </c>
    </row>
    <row r="1939" customFormat="1" ht="16.5" spans="1:24">
      <c r="A1939" s="17">
        <f t="shared" si="1486"/>
        <v>50718</v>
      </c>
      <c r="B1939" s="17">
        <f t="shared" si="1487"/>
        <v>50700</v>
      </c>
      <c r="C1939" s="17" t="str">
        <f t="shared" si="1488"/>
        <v>5</v>
      </c>
      <c r="D1939" s="17">
        <f t="shared" si="1489"/>
        <v>50001</v>
      </c>
      <c r="E1939" s="17">
        <f t="shared" ref="E1939:H1939" si="1499">E1938</f>
        <v>2</v>
      </c>
      <c r="F1939" s="17">
        <f t="shared" si="1495"/>
        <v>1</v>
      </c>
      <c r="G1939" s="17" t="str">
        <f t="shared" si="1499"/>
        <v>大魔法师防御百分比</v>
      </c>
      <c r="H1939" s="17" t="str">
        <f t="shared" si="1499"/>
        <v>fashi01_Lv3</v>
      </c>
      <c r="I1939" s="20">
        <v>1.5</v>
      </c>
      <c r="J1939" s="17">
        <v>18</v>
      </c>
      <c r="K1939" s="17">
        <f t="shared" si="1469"/>
        <v>50719</v>
      </c>
      <c r="L1939" s="17" t="s">
        <v>641</v>
      </c>
      <c r="M1939" s="17" t="str">
        <f t="shared" si="1473"/>
        <v>1:10400:5</v>
      </c>
      <c r="N1939" s="16" t="str">
        <f t="shared" si="1485"/>
        <v>10040:1</v>
      </c>
      <c r="O1939" s="17">
        <f t="shared" si="1496"/>
        <v>8</v>
      </c>
      <c r="P1939" s="21" t="s">
        <v>4851</v>
      </c>
      <c r="Q1939" s="21"/>
      <c r="R1939" t="s">
        <v>4833</v>
      </c>
      <c r="U1939" t="str">
        <f t="shared" si="1478"/>
        <v>法师</v>
      </c>
      <c r="V1939" t="s">
        <v>4831</v>
      </c>
      <c r="W1939">
        <f>属性类型!G1939</f>
        <v>10040</v>
      </c>
      <c r="X1939">
        <v>1</v>
      </c>
    </row>
    <row r="1940" customFormat="1" ht="16.5" spans="1:24">
      <c r="A1940" s="17">
        <f t="shared" si="1486"/>
        <v>50719</v>
      </c>
      <c r="B1940" s="17">
        <f t="shared" si="1487"/>
        <v>50700</v>
      </c>
      <c r="C1940" s="17" t="str">
        <f t="shared" si="1488"/>
        <v>5</v>
      </c>
      <c r="D1940" s="17">
        <f t="shared" si="1489"/>
        <v>50001</v>
      </c>
      <c r="E1940" s="17">
        <f t="shared" ref="E1940:H1940" si="1500">E1939</f>
        <v>2</v>
      </c>
      <c r="F1940" s="17">
        <f t="shared" si="1495"/>
        <v>1</v>
      </c>
      <c r="G1940" s="17" t="str">
        <f t="shared" si="1500"/>
        <v>大魔法师防御百分比</v>
      </c>
      <c r="H1940" s="17" t="str">
        <f t="shared" si="1500"/>
        <v>fashi01_Lv3</v>
      </c>
      <c r="I1940" s="20">
        <v>1.5</v>
      </c>
      <c r="J1940" s="17">
        <v>19</v>
      </c>
      <c r="K1940" s="17">
        <f t="shared" si="1469"/>
        <v>50720</v>
      </c>
      <c r="L1940" s="17" t="s">
        <v>645</v>
      </c>
      <c r="M1940" s="17" t="str">
        <f t="shared" si="1473"/>
        <v>1:10400:5</v>
      </c>
      <c r="N1940" s="16" t="str">
        <f t="shared" si="1485"/>
        <v>10040:1</v>
      </c>
      <c r="O1940" s="17">
        <f t="shared" si="1496"/>
        <v>8</v>
      </c>
      <c r="P1940" s="21" t="s">
        <v>4852</v>
      </c>
      <c r="Q1940" s="21"/>
      <c r="R1940" t="s">
        <v>4833</v>
      </c>
      <c r="U1940" t="str">
        <f t="shared" si="1478"/>
        <v>法师</v>
      </c>
      <c r="V1940" t="s">
        <v>4831</v>
      </c>
      <c r="W1940">
        <f>属性类型!G1940</f>
        <v>10040</v>
      </c>
      <c r="X1940">
        <v>1</v>
      </c>
    </row>
    <row r="1941" customFormat="1" ht="16.5" spans="1:24">
      <c r="A1941" s="17">
        <f t="shared" si="1486"/>
        <v>50720</v>
      </c>
      <c r="B1941" s="17">
        <f t="shared" si="1487"/>
        <v>50700</v>
      </c>
      <c r="C1941" s="17" t="str">
        <f t="shared" si="1488"/>
        <v>5</v>
      </c>
      <c r="D1941" s="17">
        <f t="shared" si="1489"/>
        <v>50001</v>
      </c>
      <c r="E1941" s="17">
        <f t="shared" ref="E1941:H1941" si="1501">E1940</f>
        <v>2</v>
      </c>
      <c r="F1941" s="17">
        <f t="shared" si="1495"/>
        <v>1</v>
      </c>
      <c r="G1941" s="17" t="str">
        <f t="shared" si="1501"/>
        <v>大魔法师防御百分比</v>
      </c>
      <c r="H1941" s="17" t="str">
        <f t="shared" si="1501"/>
        <v>fashi01_Lv3</v>
      </c>
      <c r="I1941" s="20">
        <v>1.5</v>
      </c>
      <c r="J1941" s="17">
        <v>20</v>
      </c>
      <c r="K1941" s="17">
        <v>0</v>
      </c>
      <c r="L1941" s="17">
        <v>0</v>
      </c>
      <c r="M1941" s="17" t="str">
        <f t="shared" si="1473"/>
        <v>1:10400:5</v>
      </c>
      <c r="N1941" s="16" t="str">
        <f t="shared" si="1485"/>
        <v>10040:1</v>
      </c>
      <c r="O1941" s="17">
        <f t="shared" si="1496"/>
        <v>8</v>
      </c>
      <c r="P1941" s="21" t="s">
        <v>4852</v>
      </c>
      <c r="Q1941" s="21"/>
      <c r="R1941" t="s">
        <v>4833</v>
      </c>
      <c r="U1941" t="str">
        <f t="shared" si="1478"/>
        <v>法师</v>
      </c>
      <c r="V1941" t="s">
        <v>4831</v>
      </c>
      <c r="W1941">
        <f>属性类型!G1941</f>
        <v>10040</v>
      </c>
      <c r="X1941">
        <v>1</v>
      </c>
    </row>
    <row r="1942" customFormat="1" ht="16.5" spans="1:24">
      <c r="A1942" s="18">
        <f>A1921+100</f>
        <v>50800</v>
      </c>
      <c r="B1942" s="18">
        <f t="shared" si="1487"/>
        <v>50800</v>
      </c>
      <c r="C1942" s="18" t="str">
        <f t="shared" si="1488"/>
        <v>5</v>
      </c>
      <c r="D1942" s="17">
        <f t="shared" si="1489"/>
        <v>50001</v>
      </c>
      <c r="E1942" s="17">
        <v>2</v>
      </c>
      <c r="F1942" s="18">
        <f t="shared" si="1495"/>
        <v>1</v>
      </c>
      <c r="G1942" s="18" t="s">
        <v>4853</v>
      </c>
      <c r="H1942" s="18" t="s">
        <v>3014</v>
      </c>
      <c r="I1942" s="20">
        <v>1.5</v>
      </c>
      <c r="J1942" s="18">
        <v>0</v>
      </c>
      <c r="K1942" s="18">
        <f t="shared" ref="K1942:K1961" si="1502">A1943</f>
        <v>50801</v>
      </c>
      <c r="L1942" s="18" t="s">
        <v>206</v>
      </c>
      <c r="M1942" s="18" t="s">
        <v>244</v>
      </c>
      <c r="N1942" s="16" t="str">
        <f t="shared" si="1485"/>
        <v>10041:1</v>
      </c>
      <c r="O1942" s="18">
        <f t="shared" si="1496"/>
        <v>9</v>
      </c>
      <c r="P1942" s="21" t="s">
        <v>4854</v>
      </c>
      <c r="Q1942" s="21"/>
      <c r="R1942" t="s">
        <v>4833</v>
      </c>
      <c r="T1942" t="str">
        <f>RIGHT(N1942,1)</f>
        <v>1</v>
      </c>
      <c r="U1942" t="str">
        <f t="shared" si="1478"/>
        <v>法师</v>
      </c>
      <c r="V1942" t="s">
        <v>4853</v>
      </c>
      <c r="W1942">
        <f>属性类型!G1942</f>
        <v>10041</v>
      </c>
      <c r="X1942">
        <v>1</v>
      </c>
    </row>
    <row r="1943" customFormat="1" ht="16.5" spans="1:24">
      <c r="A1943" s="17">
        <f t="shared" ref="A1943:A1952" si="1503">A1942+1</f>
        <v>50801</v>
      </c>
      <c r="B1943" s="17">
        <f t="shared" si="1487"/>
        <v>50800</v>
      </c>
      <c r="C1943" s="17" t="str">
        <f t="shared" si="1488"/>
        <v>5</v>
      </c>
      <c r="D1943" s="17">
        <f t="shared" si="1489"/>
        <v>50001</v>
      </c>
      <c r="E1943" s="17">
        <f t="shared" ref="E1943:H1943" si="1504">E1942</f>
        <v>2</v>
      </c>
      <c r="F1943" s="17">
        <f t="shared" si="1495"/>
        <v>1</v>
      </c>
      <c r="G1943" s="17" t="str">
        <f t="shared" si="1504"/>
        <v>大魔法师攻击百分比</v>
      </c>
      <c r="H1943" s="17" t="str">
        <f t="shared" si="1504"/>
        <v>fashi01_Lv3</v>
      </c>
      <c r="I1943" s="20">
        <v>1.5</v>
      </c>
      <c r="J1943" s="17">
        <v>1</v>
      </c>
      <c r="K1943" s="17">
        <f t="shared" si="1502"/>
        <v>50802</v>
      </c>
      <c r="L1943" s="17" t="s">
        <v>211</v>
      </c>
      <c r="M1943" s="17" t="str">
        <f t="shared" ref="M1943:M1962" si="1505">M1942</f>
        <v>1:10500:5</v>
      </c>
      <c r="N1943" s="16" t="str">
        <f t="shared" si="1485"/>
        <v>10041:1</v>
      </c>
      <c r="O1943" s="17">
        <f t="shared" si="1496"/>
        <v>9</v>
      </c>
      <c r="P1943" s="21" t="s">
        <v>4855</v>
      </c>
      <c r="Q1943" s="21"/>
      <c r="R1943" t="s">
        <v>4833</v>
      </c>
      <c r="T1943" t="str">
        <f t="shared" ref="T1943:T1952" si="1506">RIGHT(N1943,2)</f>
        <v>:1</v>
      </c>
      <c r="U1943" t="str">
        <f t="shared" si="1478"/>
        <v>法师</v>
      </c>
      <c r="V1943" t="s">
        <v>4853</v>
      </c>
      <c r="W1943">
        <f>属性类型!G1943</f>
        <v>10041</v>
      </c>
      <c r="X1943">
        <v>1</v>
      </c>
    </row>
    <row r="1944" customFormat="1" ht="16.5" spans="1:24">
      <c r="A1944" s="17">
        <f t="shared" si="1503"/>
        <v>50802</v>
      </c>
      <c r="B1944" s="17">
        <f t="shared" si="1487"/>
        <v>50800</v>
      </c>
      <c r="C1944" s="17" t="str">
        <f t="shared" si="1488"/>
        <v>5</v>
      </c>
      <c r="D1944" s="17">
        <f t="shared" si="1489"/>
        <v>50001</v>
      </c>
      <c r="E1944" s="17">
        <f t="shared" ref="E1944:H1944" si="1507">E1943</f>
        <v>2</v>
      </c>
      <c r="F1944" s="17">
        <f t="shared" si="1495"/>
        <v>1</v>
      </c>
      <c r="G1944" s="17" t="str">
        <f t="shared" si="1507"/>
        <v>大魔法师攻击百分比</v>
      </c>
      <c r="H1944" s="17" t="str">
        <f t="shared" si="1507"/>
        <v>fashi01_Lv3</v>
      </c>
      <c r="I1944" s="20">
        <v>1.5</v>
      </c>
      <c r="J1944" s="17">
        <v>2</v>
      </c>
      <c r="K1944" s="17">
        <f t="shared" si="1502"/>
        <v>50803</v>
      </c>
      <c r="L1944" s="17" t="s">
        <v>215</v>
      </c>
      <c r="M1944" s="17" t="str">
        <f t="shared" si="1505"/>
        <v>1:10500:5</v>
      </c>
      <c r="N1944" s="16" t="str">
        <f t="shared" si="1485"/>
        <v>10041:1</v>
      </c>
      <c r="O1944" s="17">
        <f t="shared" si="1496"/>
        <v>9</v>
      </c>
      <c r="P1944" s="21" t="s">
        <v>4856</v>
      </c>
      <c r="Q1944" s="21"/>
      <c r="R1944" t="s">
        <v>4833</v>
      </c>
      <c r="T1944" t="str">
        <f t="shared" si="1506"/>
        <v>:1</v>
      </c>
      <c r="U1944" t="str">
        <f t="shared" si="1478"/>
        <v>法师</v>
      </c>
      <c r="V1944" t="s">
        <v>4853</v>
      </c>
      <c r="W1944">
        <f>属性类型!G1944</f>
        <v>10041</v>
      </c>
      <c r="X1944">
        <v>1</v>
      </c>
    </row>
    <row r="1945" customFormat="1" ht="16.5" spans="1:24">
      <c r="A1945" s="17">
        <f t="shared" si="1503"/>
        <v>50803</v>
      </c>
      <c r="B1945" s="17">
        <f t="shared" si="1487"/>
        <v>50800</v>
      </c>
      <c r="C1945" s="17" t="str">
        <f t="shared" si="1488"/>
        <v>5</v>
      </c>
      <c r="D1945" s="17">
        <f t="shared" si="1489"/>
        <v>50001</v>
      </c>
      <c r="E1945" s="17">
        <f t="shared" ref="E1945:H1945" si="1508">E1944</f>
        <v>2</v>
      </c>
      <c r="F1945" s="17">
        <f t="shared" si="1495"/>
        <v>1</v>
      </c>
      <c r="G1945" s="17" t="str">
        <f t="shared" si="1508"/>
        <v>大魔法师攻击百分比</v>
      </c>
      <c r="H1945" s="17" t="str">
        <f t="shared" si="1508"/>
        <v>fashi01_Lv3</v>
      </c>
      <c r="I1945" s="20">
        <v>1.5</v>
      </c>
      <c r="J1945" s="17">
        <v>3</v>
      </c>
      <c r="K1945" s="17">
        <f t="shared" si="1502"/>
        <v>50804</v>
      </c>
      <c r="L1945" s="17" t="s">
        <v>218</v>
      </c>
      <c r="M1945" s="17" t="str">
        <f t="shared" si="1505"/>
        <v>1:10500:5</v>
      </c>
      <c r="N1945" s="16" t="str">
        <f t="shared" si="1485"/>
        <v>10041:1</v>
      </c>
      <c r="O1945" s="17">
        <f t="shared" si="1496"/>
        <v>9</v>
      </c>
      <c r="P1945" s="21" t="s">
        <v>4857</v>
      </c>
      <c r="Q1945" s="21"/>
      <c r="R1945" t="s">
        <v>4833</v>
      </c>
      <c r="T1945" t="str">
        <f t="shared" si="1506"/>
        <v>:1</v>
      </c>
      <c r="U1945" t="str">
        <f t="shared" si="1478"/>
        <v>法师</v>
      </c>
      <c r="V1945" t="s">
        <v>4853</v>
      </c>
      <c r="W1945">
        <f>属性类型!G1945</f>
        <v>10041</v>
      </c>
      <c r="X1945">
        <v>1</v>
      </c>
    </row>
    <row r="1946" customFormat="1" ht="16.5" spans="1:24">
      <c r="A1946" s="17">
        <f t="shared" si="1503"/>
        <v>50804</v>
      </c>
      <c r="B1946" s="17">
        <f t="shared" si="1487"/>
        <v>50800</v>
      </c>
      <c r="C1946" s="17" t="str">
        <f t="shared" si="1488"/>
        <v>5</v>
      </c>
      <c r="D1946" s="17">
        <f t="shared" si="1489"/>
        <v>50001</v>
      </c>
      <c r="E1946" s="17">
        <f t="shared" ref="E1946:H1946" si="1509">E1945</f>
        <v>2</v>
      </c>
      <c r="F1946" s="17">
        <f t="shared" si="1495"/>
        <v>1</v>
      </c>
      <c r="G1946" s="17" t="str">
        <f t="shared" si="1509"/>
        <v>大魔法师攻击百分比</v>
      </c>
      <c r="H1946" s="17" t="str">
        <f t="shared" si="1509"/>
        <v>fashi01_Lv3</v>
      </c>
      <c r="I1946" s="20">
        <v>1.5</v>
      </c>
      <c r="J1946" s="17">
        <v>4</v>
      </c>
      <c r="K1946" s="17">
        <f t="shared" si="1502"/>
        <v>50805</v>
      </c>
      <c r="L1946" s="17" t="s">
        <v>221</v>
      </c>
      <c r="M1946" s="17" t="str">
        <f t="shared" si="1505"/>
        <v>1:10500:5</v>
      </c>
      <c r="N1946" s="16" t="str">
        <f t="shared" si="1485"/>
        <v>10041:1</v>
      </c>
      <c r="O1946" s="17">
        <f t="shared" si="1496"/>
        <v>9</v>
      </c>
      <c r="P1946" s="21" t="s">
        <v>4858</v>
      </c>
      <c r="Q1946" s="21"/>
      <c r="R1946" t="s">
        <v>4833</v>
      </c>
      <c r="T1946" t="str">
        <f t="shared" si="1506"/>
        <v>:1</v>
      </c>
      <c r="U1946" t="str">
        <f t="shared" si="1478"/>
        <v>法师</v>
      </c>
      <c r="V1946" t="s">
        <v>4853</v>
      </c>
      <c r="W1946">
        <f>属性类型!G1946</f>
        <v>10041</v>
      </c>
      <c r="X1946">
        <v>1</v>
      </c>
    </row>
    <row r="1947" customFormat="1" ht="16.5" spans="1:24">
      <c r="A1947" s="17">
        <f t="shared" si="1503"/>
        <v>50805</v>
      </c>
      <c r="B1947" s="17">
        <f t="shared" si="1487"/>
        <v>50800</v>
      </c>
      <c r="C1947" s="17" t="str">
        <f t="shared" si="1488"/>
        <v>5</v>
      </c>
      <c r="D1947" s="17">
        <f t="shared" si="1489"/>
        <v>50001</v>
      </c>
      <c r="E1947" s="17">
        <f t="shared" ref="E1947:H1947" si="1510">E1946</f>
        <v>2</v>
      </c>
      <c r="F1947" s="17">
        <f t="shared" si="1495"/>
        <v>1</v>
      </c>
      <c r="G1947" s="17" t="str">
        <f t="shared" si="1510"/>
        <v>大魔法师攻击百分比</v>
      </c>
      <c r="H1947" s="17" t="str">
        <f t="shared" si="1510"/>
        <v>fashi01_Lv3</v>
      </c>
      <c r="I1947" s="20">
        <v>1.5</v>
      </c>
      <c r="J1947" s="17">
        <v>5</v>
      </c>
      <c r="K1947" s="17">
        <f t="shared" si="1502"/>
        <v>50806</v>
      </c>
      <c r="L1947" s="17" t="s">
        <v>224</v>
      </c>
      <c r="M1947" s="17" t="str">
        <f t="shared" si="1505"/>
        <v>1:10500:5</v>
      </c>
      <c r="N1947" s="16" t="str">
        <f t="shared" si="1485"/>
        <v>10041:1</v>
      </c>
      <c r="O1947" s="17">
        <f t="shared" si="1496"/>
        <v>9</v>
      </c>
      <c r="P1947" s="21" t="s">
        <v>4859</v>
      </c>
      <c r="Q1947" s="21"/>
      <c r="R1947" t="s">
        <v>4833</v>
      </c>
      <c r="T1947" t="str">
        <f t="shared" si="1506"/>
        <v>:1</v>
      </c>
      <c r="U1947" t="str">
        <f t="shared" si="1478"/>
        <v>法师</v>
      </c>
      <c r="V1947" t="s">
        <v>4853</v>
      </c>
      <c r="W1947">
        <f>属性类型!G1947</f>
        <v>10041</v>
      </c>
      <c r="X1947">
        <v>1</v>
      </c>
    </row>
    <row r="1948" customFormat="1" ht="16.5" spans="1:24">
      <c r="A1948" s="17">
        <f t="shared" si="1503"/>
        <v>50806</v>
      </c>
      <c r="B1948" s="17">
        <f t="shared" si="1487"/>
        <v>50800</v>
      </c>
      <c r="C1948" s="17" t="str">
        <f t="shared" si="1488"/>
        <v>5</v>
      </c>
      <c r="D1948" s="17">
        <f t="shared" si="1489"/>
        <v>50001</v>
      </c>
      <c r="E1948" s="17">
        <f t="shared" ref="E1948:H1948" si="1511">E1947</f>
        <v>2</v>
      </c>
      <c r="F1948" s="17">
        <f t="shared" si="1495"/>
        <v>1</v>
      </c>
      <c r="G1948" s="17" t="str">
        <f t="shared" si="1511"/>
        <v>大魔法师攻击百分比</v>
      </c>
      <c r="H1948" s="17" t="str">
        <f t="shared" si="1511"/>
        <v>fashi01_Lv3</v>
      </c>
      <c r="I1948" s="20">
        <v>1.5</v>
      </c>
      <c r="J1948" s="17">
        <v>6</v>
      </c>
      <c r="K1948" s="17">
        <f t="shared" si="1502"/>
        <v>50807</v>
      </c>
      <c r="L1948" s="17" t="s">
        <v>227</v>
      </c>
      <c r="M1948" s="17" t="str">
        <f t="shared" si="1505"/>
        <v>1:10500:5</v>
      </c>
      <c r="N1948" s="16" t="str">
        <f t="shared" si="1485"/>
        <v>10041:1</v>
      </c>
      <c r="O1948" s="17">
        <f t="shared" si="1496"/>
        <v>9</v>
      </c>
      <c r="P1948" s="21" t="s">
        <v>4860</v>
      </c>
      <c r="Q1948" s="21"/>
      <c r="R1948" t="s">
        <v>4833</v>
      </c>
      <c r="T1948" t="str">
        <f t="shared" si="1506"/>
        <v>:1</v>
      </c>
      <c r="U1948" t="str">
        <f t="shared" si="1478"/>
        <v>法师</v>
      </c>
      <c r="V1948" t="s">
        <v>4853</v>
      </c>
      <c r="W1948">
        <f>属性类型!G1948</f>
        <v>10041</v>
      </c>
      <c r="X1948">
        <v>1</v>
      </c>
    </row>
    <row r="1949" customFormat="1" ht="16.5" spans="1:24">
      <c r="A1949" s="17">
        <f t="shared" si="1503"/>
        <v>50807</v>
      </c>
      <c r="B1949" s="17">
        <f t="shared" si="1487"/>
        <v>50800</v>
      </c>
      <c r="C1949" s="17" t="str">
        <f t="shared" si="1488"/>
        <v>5</v>
      </c>
      <c r="D1949" s="17">
        <f t="shared" si="1489"/>
        <v>50001</v>
      </c>
      <c r="E1949" s="17">
        <f t="shared" ref="E1949:H1949" si="1512">E1948</f>
        <v>2</v>
      </c>
      <c r="F1949" s="17">
        <f t="shared" si="1495"/>
        <v>1</v>
      </c>
      <c r="G1949" s="17" t="str">
        <f t="shared" si="1512"/>
        <v>大魔法师攻击百分比</v>
      </c>
      <c r="H1949" s="17" t="str">
        <f t="shared" si="1512"/>
        <v>fashi01_Lv3</v>
      </c>
      <c r="I1949" s="20">
        <v>1.5</v>
      </c>
      <c r="J1949" s="17">
        <v>7</v>
      </c>
      <c r="K1949" s="17">
        <f t="shared" si="1502"/>
        <v>50808</v>
      </c>
      <c r="L1949" s="17" t="s">
        <v>230</v>
      </c>
      <c r="M1949" s="17" t="str">
        <f t="shared" si="1505"/>
        <v>1:10500:5</v>
      </c>
      <c r="N1949" s="16" t="str">
        <f t="shared" si="1485"/>
        <v>10041:1</v>
      </c>
      <c r="O1949" s="17">
        <f t="shared" si="1496"/>
        <v>9</v>
      </c>
      <c r="P1949" s="21" t="s">
        <v>4861</v>
      </c>
      <c r="Q1949" s="21"/>
      <c r="R1949" t="s">
        <v>4833</v>
      </c>
      <c r="T1949" t="str">
        <f t="shared" si="1506"/>
        <v>:1</v>
      </c>
      <c r="U1949" t="str">
        <f t="shared" si="1478"/>
        <v>法师</v>
      </c>
      <c r="V1949" t="s">
        <v>4853</v>
      </c>
      <c r="W1949">
        <f>属性类型!G1949</f>
        <v>10041</v>
      </c>
      <c r="X1949">
        <v>1</v>
      </c>
    </row>
    <row r="1950" customFormat="1" ht="16.5" spans="1:24">
      <c r="A1950" s="17">
        <f t="shared" si="1503"/>
        <v>50808</v>
      </c>
      <c r="B1950" s="17">
        <f t="shared" si="1487"/>
        <v>50800</v>
      </c>
      <c r="C1950" s="17" t="str">
        <f t="shared" si="1488"/>
        <v>5</v>
      </c>
      <c r="D1950" s="17">
        <f t="shared" si="1489"/>
        <v>50001</v>
      </c>
      <c r="E1950" s="17">
        <f t="shared" ref="E1950:H1950" si="1513">E1949</f>
        <v>2</v>
      </c>
      <c r="F1950" s="17">
        <f t="shared" si="1495"/>
        <v>1</v>
      </c>
      <c r="G1950" s="17" t="str">
        <f t="shared" si="1513"/>
        <v>大魔法师攻击百分比</v>
      </c>
      <c r="H1950" s="17" t="str">
        <f t="shared" si="1513"/>
        <v>fashi01_Lv3</v>
      </c>
      <c r="I1950" s="20">
        <v>1.5</v>
      </c>
      <c r="J1950" s="17">
        <v>8</v>
      </c>
      <c r="K1950" s="17">
        <f t="shared" si="1502"/>
        <v>50809</v>
      </c>
      <c r="L1950" s="17" t="s">
        <v>233</v>
      </c>
      <c r="M1950" s="17" t="str">
        <f t="shared" si="1505"/>
        <v>1:10500:5</v>
      </c>
      <c r="N1950" s="16" t="str">
        <f t="shared" si="1485"/>
        <v>10041:1</v>
      </c>
      <c r="O1950" s="17">
        <f t="shared" si="1496"/>
        <v>9</v>
      </c>
      <c r="P1950" s="21" t="s">
        <v>4862</v>
      </c>
      <c r="Q1950" s="21"/>
      <c r="R1950" t="s">
        <v>4833</v>
      </c>
      <c r="T1950" t="str">
        <f t="shared" si="1506"/>
        <v>:1</v>
      </c>
      <c r="U1950" t="str">
        <f t="shared" si="1478"/>
        <v>法师</v>
      </c>
      <c r="V1950" t="s">
        <v>4853</v>
      </c>
      <c r="W1950">
        <f>属性类型!G1950</f>
        <v>10041</v>
      </c>
      <c r="X1950">
        <v>1</v>
      </c>
    </row>
    <row r="1951" customFormat="1" ht="16.5" spans="1:24">
      <c r="A1951" s="17">
        <f t="shared" si="1503"/>
        <v>50809</v>
      </c>
      <c r="B1951" s="17">
        <f t="shared" si="1487"/>
        <v>50800</v>
      </c>
      <c r="C1951" s="17" t="str">
        <f t="shared" si="1488"/>
        <v>5</v>
      </c>
      <c r="D1951" s="17">
        <f t="shared" si="1489"/>
        <v>50001</v>
      </c>
      <c r="E1951" s="17">
        <f t="shared" ref="E1951:H1951" si="1514">E1950</f>
        <v>2</v>
      </c>
      <c r="F1951" s="17">
        <f t="shared" si="1495"/>
        <v>1</v>
      </c>
      <c r="G1951" s="17" t="str">
        <f t="shared" si="1514"/>
        <v>大魔法师攻击百分比</v>
      </c>
      <c r="H1951" s="17" t="str">
        <f t="shared" si="1514"/>
        <v>fashi01_Lv3</v>
      </c>
      <c r="I1951" s="20">
        <v>1.5</v>
      </c>
      <c r="J1951" s="17">
        <v>9</v>
      </c>
      <c r="K1951" s="17">
        <f t="shared" si="1502"/>
        <v>50810</v>
      </c>
      <c r="L1951" s="17" t="s">
        <v>236</v>
      </c>
      <c r="M1951" s="17" t="str">
        <f t="shared" si="1505"/>
        <v>1:10500:5</v>
      </c>
      <c r="N1951" s="16" t="str">
        <f t="shared" si="1485"/>
        <v>10041:1</v>
      </c>
      <c r="O1951" s="17">
        <f t="shared" si="1496"/>
        <v>9</v>
      </c>
      <c r="P1951" s="21" t="s">
        <v>4863</v>
      </c>
      <c r="Q1951" s="21"/>
      <c r="R1951" t="s">
        <v>4833</v>
      </c>
      <c r="T1951" t="str">
        <f t="shared" si="1506"/>
        <v>:1</v>
      </c>
      <c r="U1951" t="str">
        <f t="shared" si="1478"/>
        <v>法师</v>
      </c>
      <c r="V1951" t="s">
        <v>4853</v>
      </c>
      <c r="W1951">
        <f>属性类型!G1951</f>
        <v>10041</v>
      </c>
      <c r="X1951">
        <v>1</v>
      </c>
    </row>
    <row r="1952" customFormat="1" ht="16.5" spans="1:24">
      <c r="A1952" s="17">
        <f t="shared" si="1503"/>
        <v>50810</v>
      </c>
      <c r="B1952" s="17">
        <f t="shared" si="1487"/>
        <v>50800</v>
      </c>
      <c r="C1952" s="17" t="str">
        <f t="shared" si="1488"/>
        <v>5</v>
      </c>
      <c r="D1952" s="17">
        <f t="shared" si="1489"/>
        <v>50001</v>
      </c>
      <c r="E1952" s="17">
        <f t="shared" ref="E1952:H1952" si="1515">E1951</f>
        <v>2</v>
      </c>
      <c r="F1952" s="17">
        <f t="shared" si="1495"/>
        <v>1</v>
      </c>
      <c r="G1952" s="17" t="str">
        <f t="shared" si="1515"/>
        <v>大魔法师攻击百分比</v>
      </c>
      <c r="H1952" s="17" t="str">
        <f t="shared" si="1515"/>
        <v>fashi01_Lv3</v>
      </c>
      <c r="I1952" s="20">
        <v>1.5</v>
      </c>
      <c r="J1952" s="17">
        <v>10</v>
      </c>
      <c r="K1952" s="17">
        <f t="shared" si="1502"/>
        <v>50811</v>
      </c>
      <c r="L1952" s="17" t="s">
        <v>238</v>
      </c>
      <c r="M1952" s="17" t="str">
        <f t="shared" si="1505"/>
        <v>1:10500:5</v>
      </c>
      <c r="N1952" s="16" t="str">
        <f t="shared" si="1485"/>
        <v>10041:1</v>
      </c>
      <c r="O1952" s="17">
        <f t="shared" si="1496"/>
        <v>9</v>
      </c>
      <c r="P1952" s="21" t="s">
        <v>4864</v>
      </c>
      <c r="Q1952" s="21"/>
      <c r="R1952" t="s">
        <v>4833</v>
      </c>
      <c r="T1952" t="str">
        <f t="shared" si="1506"/>
        <v>:1</v>
      </c>
      <c r="U1952" t="str">
        <f t="shared" si="1478"/>
        <v>法师</v>
      </c>
      <c r="V1952" t="s">
        <v>4853</v>
      </c>
      <c r="W1952">
        <f>属性类型!G1952</f>
        <v>10041</v>
      </c>
      <c r="X1952">
        <v>1</v>
      </c>
    </row>
    <row r="1953" customFormat="1" ht="16.5" spans="1:24">
      <c r="A1953" s="17">
        <f t="shared" ref="A1953:A1962" si="1516">A1952+1</f>
        <v>50811</v>
      </c>
      <c r="B1953" s="17">
        <f t="shared" ref="B1953:B1962" si="1517">ROUND(A1953,-2)</f>
        <v>50800</v>
      </c>
      <c r="C1953" s="17" t="str">
        <f t="shared" ref="C1953:C1973" si="1518">LEFT(A1953,1)</f>
        <v>5</v>
      </c>
      <c r="D1953" s="17">
        <f t="shared" ref="D1953:D1973" si="1519">$A$1864+F1953</f>
        <v>50001</v>
      </c>
      <c r="E1953" s="17">
        <f t="shared" ref="E1953:H1953" si="1520">E1952</f>
        <v>2</v>
      </c>
      <c r="F1953" s="17">
        <f t="shared" si="1495"/>
        <v>1</v>
      </c>
      <c r="G1953" s="17" t="str">
        <f t="shared" si="1520"/>
        <v>大魔法师攻击百分比</v>
      </c>
      <c r="H1953" s="17" t="str">
        <f t="shared" si="1520"/>
        <v>fashi01_Lv3</v>
      </c>
      <c r="I1953" s="20">
        <v>1.5</v>
      </c>
      <c r="J1953" s="17">
        <v>11</v>
      </c>
      <c r="K1953" s="17">
        <f t="shared" si="1502"/>
        <v>50812</v>
      </c>
      <c r="L1953" s="17" t="s">
        <v>529</v>
      </c>
      <c r="M1953" s="17" t="str">
        <f t="shared" si="1505"/>
        <v>1:10500:5</v>
      </c>
      <c r="N1953" s="16" t="str">
        <f t="shared" si="1485"/>
        <v>10041:1</v>
      </c>
      <c r="O1953" s="17">
        <f t="shared" si="1496"/>
        <v>9</v>
      </c>
      <c r="P1953" s="21" t="s">
        <v>4865</v>
      </c>
      <c r="Q1953" s="21"/>
      <c r="R1953" t="s">
        <v>4833</v>
      </c>
      <c r="U1953" t="str">
        <f t="shared" si="1478"/>
        <v>法师</v>
      </c>
      <c r="V1953" t="s">
        <v>4853</v>
      </c>
      <c r="W1953">
        <f>属性类型!G1953</f>
        <v>10041</v>
      </c>
      <c r="X1953">
        <v>1</v>
      </c>
    </row>
    <row r="1954" customFormat="1" ht="16.5" spans="1:24">
      <c r="A1954" s="17">
        <f t="shared" si="1516"/>
        <v>50812</v>
      </c>
      <c r="B1954" s="17">
        <f t="shared" si="1517"/>
        <v>50800</v>
      </c>
      <c r="C1954" s="17" t="str">
        <f t="shared" si="1518"/>
        <v>5</v>
      </c>
      <c r="D1954" s="17">
        <f t="shared" si="1519"/>
        <v>50001</v>
      </c>
      <c r="E1954" s="17">
        <f t="shared" ref="E1954:H1954" si="1521">E1953</f>
        <v>2</v>
      </c>
      <c r="F1954" s="17">
        <f t="shared" si="1495"/>
        <v>1</v>
      </c>
      <c r="G1954" s="17" t="str">
        <f t="shared" si="1521"/>
        <v>大魔法师攻击百分比</v>
      </c>
      <c r="H1954" s="17" t="str">
        <f t="shared" si="1521"/>
        <v>fashi01_Lv3</v>
      </c>
      <c r="I1954" s="20">
        <v>1.5</v>
      </c>
      <c r="J1954" s="17">
        <v>12</v>
      </c>
      <c r="K1954" s="17">
        <f t="shared" si="1502"/>
        <v>50813</v>
      </c>
      <c r="L1954" s="17" t="s">
        <v>532</v>
      </c>
      <c r="M1954" s="17" t="str">
        <f t="shared" si="1505"/>
        <v>1:10500:5</v>
      </c>
      <c r="N1954" s="16" t="str">
        <f t="shared" si="1485"/>
        <v>10041:1</v>
      </c>
      <c r="O1954" s="17">
        <f t="shared" si="1496"/>
        <v>9</v>
      </c>
      <c r="P1954" s="21" t="s">
        <v>4866</v>
      </c>
      <c r="Q1954" s="21"/>
      <c r="R1954" t="s">
        <v>4833</v>
      </c>
      <c r="U1954" t="str">
        <f t="shared" si="1478"/>
        <v>法师</v>
      </c>
      <c r="V1954" t="s">
        <v>4853</v>
      </c>
      <c r="W1954">
        <f>属性类型!G1954</f>
        <v>10041</v>
      </c>
      <c r="X1954">
        <v>1</v>
      </c>
    </row>
    <row r="1955" customFormat="1" ht="16.5" spans="1:24">
      <c r="A1955" s="17">
        <f t="shared" si="1516"/>
        <v>50813</v>
      </c>
      <c r="B1955" s="17">
        <f t="shared" si="1517"/>
        <v>50800</v>
      </c>
      <c r="C1955" s="17" t="str">
        <f t="shared" si="1518"/>
        <v>5</v>
      </c>
      <c r="D1955" s="17">
        <f t="shared" si="1519"/>
        <v>50001</v>
      </c>
      <c r="E1955" s="17">
        <f t="shared" ref="E1955:H1955" si="1522">E1954</f>
        <v>2</v>
      </c>
      <c r="F1955" s="17">
        <f t="shared" si="1495"/>
        <v>1</v>
      </c>
      <c r="G1955" s="17" t="str">
        <f t="shared" si="1522"/>
        <v>大魔法师攻击百分比</v>
      </c>
      <c r="H1955" s="17" t="str">
        <f t="shared" si="1522"/>
        <v>fashi01_Lv3</v>
      </c>
      <c r="I1955" s="20">
        <v>1.5</v>
      </c>
      <c r="J1955" s="17">
        <v>13</v>
      </c>
      <c r="K1955" s="17">
        <f t="shared" si="1502"/>
        <v>50814</v>
      </c>
      <c r="L1955" s="17" t="s">
        <v>561</v>
      </c>
      <c r="M1955" s="17" t="str">
        <f t="shared" si="1505"/>
        <v>1:10500:5</v>
      </c>
      <c r="N1955" s="16" t="str">
        <f t="shared" si="1485"/>
        <v>10041:1</v>
      </c>
      <c r="O1955" s="17">
        <f t="shared" si="1496"/>
        <v>9</v>
      </c>
      <c r="P1955" s="21" t="s">
        <v>4867</v>
      </c>
      <c r="Q1955" s="21"/>
      <c r="R1955" t="s">
        <v>4833</v>
      </c>
      <c r="U1955" t="str">
        <f t="shared" si="1478"/>
        <v>法师</v>
      </c>
      <c r="V1955" t="s">
        <v>4853</v>
      </c>
      <c r="W1955">
        <f>属性类型!G1955</f>
        <v>10041</v>
      </c>
      <c r="X1955">
        <v>1</v>
      </c>
    </row>
    <row r="1956" customFormat="1" ht="16.5" spans="1:24">
      <c r="A1956" s="17">
        <f t="shared" si="1516"/>
        <v>50814</v>
      </c>
      <c r="B1956" s="17">
        <f t="shared" si="1517"/>
        <v>50800</v>
      </c>
      <c r="C1956" s="17" t="str">
        <f t="shared" si="1518"/>
        <v>5</v>
      </c>
      <c r="D1956" s="17">
        <f t="shared" si="1519"/>
        <v>50001</v>
      </c>
      <c r="E1956" s="17">
        <f t="shared" ref="E1956:H1956" si="1523">E1955</f>
        <v>2</v>
      </c>
      <c r="F1956" s="17">
        <f t="shared" si="1495"/>
        <v>1</v>
      </c>
      <c r="G1956" s="17" t="str">
        <f t="shared" si="1523"/>
        <v>大魔法师攻击百分比</v>
      </c>
      <c r="H1956" s="17" t="str">
        <f t="shared" si="1523"/>
        <v>fashi01_Lv3</v>
      </c>
      <c r="I1956" s="20">
        <v>1.5</v>
      </c>
      <c r="J1956" s="17">
        <v>14</v>
      </c>
      <c r="K1956" s="17">
        <f t="shared" si="1502"/>
        <v>50815</v>
      </c>
      <c r="L1956" s="17" t="s">
        <v>564</v>
      </c>
      <c r="M1956" s="17" t="str">
        <f t="shared" si="1505"/>
        <v>1:10500:5</v>
      </c>
      <c r="N1956" s="16" t="str">
        <f t="shared" si="1485"/>
        <v>10041:1</v>
      </c>
      <c r="O1956" s="17">
        <f t="shared" si="1496"/>
        <v>9</v>
      </c>
      <c r="P1956" s="21" t="s">
        <v>4868</v>
      </c>
      <c r="Q1956" s="21"/>
      <c r="R1956" t="s">
        <v>4833</v>
      </c>
      <c r="U1956" t="str">
        <f t="shared" si="1478"/>
        <v>法师</v>
      </c>
      <c r="V1956" t="s">
        <v>4853</v>
      </c>
      <c r="W1956">
        <f>属性类型!G1956</f>
        <v>10041</v>
      </c>
      <c r="X1956">
        <v>1</v>
      </c>
    </row>
    <row r="1957" customFormat="1" ht="16.5" spans="1:24">
      <c r="A1957" s="17">
        <f t="shared" si="1516"/>
        <v>50815</v>
      </c>
      <c r="B1957" s="17">
        <f t="shared" si="1517"/>
        <v>50800</v>
      </c>
      <c r="C1957" s="17" t="str">
        <f t="shared" si="1518"/>
        <v>5</v>
      </c>
      <c r="D1957" s="17">
        <f t="shared" si="1519"/>
        <v>50001</v>
      </c>
      <c r="E1957" s="17">
        <f t="shared" ref="E1957:H1957" si="1524">E1956</f>
        <v>2</v>
      </c>
      <c r="F1957" s="17">
        <f t="shared" si="1495"/>
        <v>1</v>
      </c>
      <c r="G1957" s="17" t="str">
        <f t="shared" si="1524"/>
        <v>大魔法师攻击百分比</v>
      </c>
      <c r="H1957" s="17" t="str">
        <f t="shared" si="1524"/>
        <v>fashi01_Lv3</v>
      </c>
      <c r="I1957" s="20">
        <v>1.5</v>
      </c>
      <c r="J1957" s="17">
        <v>15</v>
      </c>
      <c r="K1957" s="17">
        <f t="shared" si="1502"/>
        <v>50816</v>
      </c>
      <c r="L1957" s="17" t="s">
        <v>630</v>
      </c>
      <c r="M1957" s="17" t="str">
        <f t="shared" si="1505"/>
        <v>1:10500:5</v>
      </c>
      <c r="N1957" s="16" t="str">
        <f t="shared" si="1485"/>
        <v>10041:1</v>
      </c>
      <c r="O1957" s="17">
        <f t="shared" si="1496"/>
        <v>9</v>
      </c>
      <c r="P1957" s="21" t="s">
        <v>4869</v>
      </c>
      <c r="Q1957" s="21"/>
      <c r="R1957" t="s">
        <v>4833</v>
      </c>
      <c r="U1957" t="str">
        <f t="shared" si="1478"/>
        <v>法师</v>
      </c>
      <c r="V1957" t="s">
        <v>4853</v>
      </c>
      <c r="W1957">
        <f>属性类型!G1957</f>
        <v>10041</v>
      </c>
      <c r="X1957">
        <v>1</v>
      </c>
    </row>
    <row r="1958" customFormat="1" ht="16.5" spans="1:24">
      <c r="A1958" s="17">
        <f t="shared" si="1516"/>
        <v>50816</v>
      </c>
      <c r="B1958" s="17">
        <f t="shared" si="1517"/>
        <v>50800</v>
      </c>
      <c r="C1958" s="17" t="str">
        <f t="shared" si="1518"/>
        <v>5</v>
      </c>
      <c r="D1958" s="17">
        <f t="shared" si="1519"/>
        <v>50001</v>
      </c>
      <c r="E1958" s="17">
        <f t="shared" ref="E1958:H1958" si="1525">E1957</f>
        <v>2</v>
      </c>
      <c r="F1958" s="17">
        <f t="shared" si="1495"/>
        <v>1</v>
      </c>
      <c r="G1958" s="17" t="str">
        <f t="shared" si="1525"/>
        <v>大魔法师攻击百分比</v>
      </c>
      <c r="H1958" s="17" t="str">
        <f t="shared" si="1525"/>
        <v>fashi01_Lv3</v>
      </c>
      <c r="I1958" s="20">
        <v>1.5</v>
      </c>
      <c r="J1958" s="17">
        <v>16</v>
      </c>
      <c r="K1958" s="17">
        <f t="shared" si="1502"/>
        <v>50817</v>
      </c>
      <c r="L1958" s="17" t="s">
        <v>633</v>
      </c>
      <c r="M1958" s="17" t="str">
        <f t="shared" si="1505"/>
        <v>1:10500:5</v>
      </c>
      <c r="N1958" s="16" t="str">
        <f t="shared" si="1485"/>
        <v>10041:1</v>
      </c>
      <c r="O1958" s="17">
        <f t="shared" si="1496"/>
        <v>9</v>
      </c>
      <c r="P1958" s="21" t="s">
        <v>4870</v>
      </c>
      <c r="Q1958" s="21"/>
      <c r="R1958" t="s">
        <v>4833</v>
      </c>
      <c r="U1958" t="str">
        <f t="shared" si="1478"/>
        <v>法师</v>
      </c>
      <c r="V1958" t="s">
        <v>4853</v>
      </c>
      <c r="W1958">
        <f>属性类型!G1958</f>
        <v>10041</v>
      </c>
      <c r="X1958">
        <v>1</v>
      </c>
    </row>
    <row r="1959" customFormat="1" ht="16.5" spans="1:24">
      <c r="A1959" s="17">
        <f t="shared" si="1516"/>
        <v>50817</v>
      </c>
      <c r="B1959" s="17">
        <f t="shared" si="1517"/>
        <v>50800</v>
      </c>
      <c r="C1959" s="17" t="str">
        <f t="shared" si="1518"/>
        <v>5</v>
      </c>
      <c r="D1959" s="17">
        <f t="shared" si="1519"/>
        <v>50001</v>
      </c>
      <c r="E1959" s="17">
        <f t="shared" ref="E1959:H1959" si="1526">E1958</f>
        <v>2</v>
      </c>
      <c r="F1959" s="17">
        <f t="shared" si="1495"/>
        <v>1</v>
      </c>
      <c r="G1959" s="17" t="str">
        <f t="shared" si="1526"/>
        <v>大魔法师攻击百分比</v>
      </c>
      <c r="H1959" s="17" t="str">
        <f t="shared" si="1526"/>
        <v>fashi01_Lv3</v>
      </c>
      <c r="I1959" s="20">
        <v>1.5</v>
      </c>
      <c r="J1959" s="17">
        <v>17</v>
      </c>
      <c r="K1959" s="17">
        <f t="shared" si="1502"/>
        <v>50818</v>
      </c>
      <c r="L1959" s="17" t="s">
        <v>637</v>
      </c>
      <c r="M1959" s="17" t="str">
        <f t="shared" si="1505"/>
        <v>1:10500:5</v>
      </c>
      <c r="N1959" s="16" t="str">
        <f t="shared" si="1485"/>
        <v>10041:1</v>
      </c>
      <c r="O1959" s="17">
        <f t="shared" si="1496"/>
        <v>9</v>
      </c>
      <c r="P1959" s="21" t="s">
        <v>4871</v>
      </c>
      <c r="Q1959" s="21"/>
      <c r="R1959" t="s">
        <v>4833</v>
      </c>
      <c r="U1959" t="str">
        <f t="shared" si="1478"/>
        <v>法师</v>
      </c>
      <c r="V1959" t="s">
        <v>4853</v>
      </c>
      <c r="W1959">
        <f>属性类型!G1959</f>
        <v>10041</v>
      </c>
      <c r="X1959">
        <v>1</v>
      </c>
    </row>
    <row r="1960" customFormat="1" ht="16.5" spans="1:24">
      <c r="A1960" s="17">
        <f t="shared" si="1516"/>
        <v>50818</v>
      </c>
      <c r="B1960" s="17">
        <f t="shared" si="1517"/>
        <v>50800</v>
      </c>
      <c r="C1960" s="17" t="str">
        <f t="shared" si="1518"/>
        <v>5</v>
      </c>
      <c r="D1960" s="17">
        <f t="shared" si="1519"/>
        <v>50001</v>
      </c>
      <c r="E1960" s="17">
        <f t="shared" ref="E1960:H1960" si="1527">E1959</f>
        <v>2</v>
      </c>
      <c r="F1960" s="17">
        <f t="shared" si="1495"/>
        <v>1</v>
      </c>
      <c r="G1960" s="17" t="str">
        <f t="shared" si="1527"/>
        <v>大魔法师攻击百分比</v>
      </c>
      <c r="H1960" s="17" t="str">
        <f t="shared" si="1527"/>
        <v>fashi01_Lv3</v>
      </c>
      <c r="I1960" s="20">
        <v>1.5</v>
      </c>
      <c r="J1960" s="17">
        <v>18</v>
      </c>
      <c r="K1960" s="17">
        <f t="shared" si="1502"/>
        <v>50819</v>
      </c>
      <c r="L1960" s="17" t="s">
        <v>641</v>
      </c>
      <c r="M1960" s="17" t="str">
        <f t="shared" si="1505"/>
        <v>1:10500:5</v>
      </c>
      <c r="N1960" s="16" t="str">
        <f t="shared" si="1485"/>
        <v>10041:1</v>
      </c>
      <c r="O1960" s="17">
        <f t="shared" si="1496"/>
        <v>9</v>
      </c>
      <c r="P1960" s="21" t="s">
        <v>4872</v>
      </c>
      <c r="Q1960" s="21"/>
      <c r="R1960" t="s">
        <v>4833</v>
      </c>
      <c r="U1960" t="str">
        <f t="shared" si="1478"/>
        <v>法师</v>
      </c>
      <c r="V1960" t="s">
        <v>4853</v>
      </c>
      <c r="W1960">
        <f>属性类型!G1960</f>
        <v>10041</v>
      </c>
      <c r="X1960">
        <v>1</v>
      </c>
    </row>
    <row r="1961" customFormat="1" ht="16.5" spans="1:24">
      <c r="A1961" s="17">
        <f t="shared" si="1516"/>
        <v>50819</v>
      </c>
      <c r="B1961" s="17">
        <f t="shared" si="1517"/>
        <v>50800</v>
      </c>
      <c r="C1961" s="17" t="str">
        <f t="shared" si="1518"/>
        <v>5</v>
      </c>
      <c r="D1961" s="17">
        <f t="shared" si="1519"/>
        <v>50001</v>
      </c>
      <c r="E1961" s="17">
        <f t="shared" ref="E1961:H1961" si="1528">E1960</f>
        <v>2</v>
      </c>
      <c r="F1961" s="17">
        <f t="shared" si="1495"/>
        <v>1</v>
      </c>
      <c r="G1961" s="17" t="str">
        <f t="shared" si="1528"/>
        <v>大魔法师攻击百分比</v>
      </c>
      <c r="H1961" s="17" t="str">
        <f t="shared" si="1528"/>
        <v>fashi01_Lv3</v>
      </c>
      <c r="I1961" s="20">
        <v>1.5</v>
      </c>
      <c r="J1961" s="17">
        <v>19</v>
      </c>
      <c r="K1961" s="17">
        <f t="shared" si="1502"/>
        <v>50820</v>
      </c>
      <c r="L1961" s="17" t="s">
        <v>645</v>
      </c>
      <c r="M1961" s="17" t="str">
        <f t="shared" si="1505"/>
        <v>1:10500:5</v>
      </c>
      <c r="N1961" s="16" t="str">
        <f t="shared" si="1485"/>
        <v>10041:1</v>
      </c>
      <c r="O1961" s="17">
        <f t="shared" si="1496"/>
        <v>9</v>
      </c>
      <c r="P1961" s="21" t="s">
        <v>4873</v>
      </c>
      <c r="Q1961" s="21"/>
      <c r="R1961" t="s">
        <v>4833</v>
      </c>
      <c r="U1961" t="str">
        <f t="shared" si="1478"/>
        <v>法师</v>
      </c>
      <c r="V1961" t="s">
        <v>4853</v>
      </c>
      <c r="W1961">
        <f>属性类型!G1961</f>
        <v>10041</v>
      </c>
      <c r="X1961">
        <v>1</v>
      </c>
    </row>
    <row r="1962" customFormat="1" ht="16.5" spans="1:24">
      <c r="A1962" s="17">
        <f t="shared" si="1516"/>
        <v>50820</v>
      </c>
      <c r="B1962" s="17">
        <f t="shared" si="1517"/>
        <v>50800</v>
      </c>
      <c r="C1962" s="17" t="str">
        <f t="shared" si="1518"/>
        <v>5</v>
      </c>
      <c r="D1962" s="17">
        <f t="shared" si="1519"/>
        <v>50001</v>
      </c>
      <c r="E1962" s="17">
        <f t="shared" ref="E1962:H1962" si="1529">E1961</f>
        <v>2</v>
      </c>
      <c r="F1962" s="17">
        <f t="shared" si="1495"/>
        <v>1</v>
      </c>
      <c r="G1962" s="17" t="str">
        <f t="shared" si="1529"/>
        <v>大魔法师攻击百分比</v>
      </c>
      <c r="H1962" s="17" t="str">
        <f t="shared" si="1529"/>
        <v>fashi01_Lv3</v>
      </c>
      <c r="I1962" s="20">
        <v>1.5</v>
      </c>
      <c r="J1962" s="17">
        <v>20</v>
      </c>
      <c r="K1962" s="17">
        <v>0</v>
      </c>
      <c r="L1962" s="17">
        <v>0</v>
      </c>
      <c r="M1962" s="17" t="str">
        <f t="shared" si="1505"/>
        <v>1:10500:5</v>
      </c>
      <c r="N1962" s="16" t="str">
        <f t="shared" si="1485"/>
        <v>10041:1</v>
      </c>
      <c r="O1962" s="17">
        <f t="shared" si="1496"/>
        <v>9</v>
      </c>
      <c r="P1962" s="21" t="s">
        <v>4873</v>
      </c>
      <c r="Q1962" s="21"/>
      <c r="R1962" t="s">
        <v>4833</v>
      </c>
      <c r="U1962" t="str">
        <f t="shared" si="1478"/>
        <v>法师</v>
      </c>
      <c r="V1962" t="s">
        <v>4853</v>
      </c>
      <c r="W1962">
        <f>属性类型!G1962</f>
        <v>10041</v>
      </c>
      <c r="X1962">
        <v>1</v>
      </c>
    </row>
    <row r="1963" customFormat="1" ht="16.5" spans="1:24">
      <c r="A1963" s="18">
        <f>A1942+100</f>
        <v>50900</v>
      </c>
      <c r="B1963" s="18">
        <f t="shared" ref="B1963:B2005" si="1530">ROUND(A1963,-2)</f>
        <v>50900</v>
      </c>
      <c r="C1963" s="18" t="str">
        <f t="shared" si="1518"/>
        <v>5</v>
      </c>
      <c r="D1963" s="17">
        <f t="shared" si="1519"/>
        <v>50001</v>
      </c>
      <c r="E1963" s="17">
        <v>2</v>
      </c>
      <c r="F1963" s="18">
        <f t="shared" si="1495"/>
        <v>1</v>
      </c>
      <c r="G1963" s="18" t="s">
        <v>4874</v>
      </c>
      <c r="H1963" s="18" t="s">
        <v>3014</v>
      </c>
      <c r="I1963" s="20">
        <v>1.5</v>
      </c>
      <c r="J1963" s="18">
        <v>0</v>
      </c>
      <c r="K1963" s="18">
        <f t="shared" ref="K1963:K1982" si="1531">A1964</f>
        <v>50901</v>
      </c>
      <c r="L1963" s="18" t="s">
        <v>206</v>
      </c>
      <c r="M1963" s="18" t="s">
        <v>271</v>
      </c>
      <c r="N1963" s="16" t="str">
        <f t="shared" si="1485"/>
        <v>10042:1</v>
      </c>
      <c r="O1963" s="18">
        <f t="shared" si="1496"/>
        <v>10</v>
      </c>
      <c r="P1963" s="21" t="s">
        <v>4875</v>
      </c>
      <c r="Q1963" s="21"/>
      <c r="R1963" t="s">
        <v>4833</v>
      </c>
      <c r="T1963" t="str">
        <f>RIGHT(N1963,1)</f>
        <v>1</v>
      </c>
      <c r="U1963" t="str">
        <f t="shared" si="1478"/>
        <v>法师</v>
      </c>
      <c r="V1963" t="s">
        <v>4874</v>
      </c>
      <c r="W1963">
        <f>属性类型!G1963</f>
        <v>10042</v>
      </c>
      <c r="X1963">
        <v>1</v>
      </c>
    </row>
    <row r="1964" customFormat="1" ht="16.5" spans="1:24">
      <c r="A1964" s="17">
        <f t="shared" ref="A1964:A1973" si="1532">A1963+1</f>
        <v>50901</v>
      </c>
      <c r="B1964" s="17">
        <f t="shared" si="1530"/>
        <v>50900</v>
      </c>
      <c r="C1964" s="17" t="str">
        <f t="shared" si="1518"/>
        <v>5</v>
      </c>
      <c r="D1964" s="17">
        <f t="shared" si="1519"/>
        <v>50001</v>
      </c>
      <c r="E1964" s="17">
        <f t="shared" ref="E1964:H1964" si="1533">E1963</f>
        <v>2</v>
      </c>
      <c r="F1964" s="17">
        <f t="shared" si="1495"/>
        <v>1</v>
      </c>
      <c r="G1964" s="17" t="str">
        <f t="shared" si="1533"/>
        <v>大魔法师魔防百分比</v>
      </c>
      <c r="H1964" s="17" t="str">
        <f t="shared" si="1533"/>
        <v>fashi01_Lv3</v>
      </c>
      <c r="I1964" s="20">
        <v>1.5</v>
      </c>
      <c r="J1964" s="17">
        <v>1</v>
      </c>
      <c r="K1964" s="17">
        <f t="shared" si="1531"/>
        <v>50902</v>
      </c>
      <c r="L1964" s="17" t="s">
        <v>211</v>
      </c>
      <c r="M1964" s="17" t="str">
        <f t="shared" ref="M1964:M1983" si="1534">M1963</f>
        <v>1:10600:5</v>
      </c>
      <c r="N1964" s="16" t="str">
        <f t="shared" si="1485"/>
        <v>10042:1</v>
      </c>
      <c r="O1964" s="17">
        <f t="shared" si="1496"/>
        <v>10</v>
      </c>
      <c r="P1964" s="21" t="s">
        <v>4876</v>
      </c>
      <c r="Q1964" s="21"/>
      <c r="R1964" t="s">
        <v>4833</v>
      </c>
      <c r="T1964" t="str">
        <f t="shared" ref="T1964:T1973" si="1535">RIGHT(N1964,2)</f>
        <v>:1</v>
      </c>
      <c r="U1964" t="str">
        <f t="shared" si="1478"/>
        <v>法师</v>
      </c>
      <c r="V1964" t="s">
        <v>4874</v>
      </c>
      <c r="W1964">
        <f>属性类型!G1964</f>
        <v>10042</v>
      </c>
      <c r="X1964">
        <v>1</v>
      </c>
    </row>
    <row r="1965" customFormat="1" ht="16.5" spans="1:24">
      <c r="A1965" s="17">
        <f t="shared" si="1532"/>
        <v>50902</v>
      </c>
      <c r="B1965" s="17">
        <f t="shared" si="1530"/>
        <v>50900</v>
      </c>
      <c r="C1965" s="17" t="str">
        <f t="shared" si="1518"/>
        <v>5</v>
      </c>
      <c r="D1965" s="17">
        <f t="shared" si="1519"/>
        <v>50001</v>
      </c>
      <c r="E1965" s="17">
        <f t="shared" ref="E1965:H1965" si="1536">E1964</f>
        <v>2</v>
      </c>
      <c r="F1965" s="17">
        <f t="shared" si="1495"/>
        <v>1</v>
      </c>
      <c r="G1965" s="17" t="str">
        <f t="shared" si="1536"/>
        <v>大魔法师魔防百分比</v>
      </c>
      <c r="H1965" s="17" t="str">
        <f t="shared" si="1536"/>
        <v>fashi01_Lv3</v>
      </c>
      <c r="I1965" s="20">
        <v>1.5</v>
      </c>
      <c r="J1965" s="17">
        <v>2</v>
      </c>
      <c r="K1965" s="17">
        <f t="shared" si="1531"/>
        <v>50903</v>
      </c>
      <c r="L1965" s="17" t="s">
        <v>215</v>
      </c>
      <c r="M1965" s="17" t="str">
        <f t="shared" si="1534"/>
        <v>1:10600:5</v>
      </c>
      <c r="N1965" s="16" t="str">
        <f t="shared" si="1485"/>
        <v>10042:1</v>
      </c>
      <c r="O1965" s="17">
        <f t="shared" si="1496"/>
        <v>10</v>
      </c>
      <c r="P1965" s="21" t="s">
        <v>4877</v>
      </c>
      <c r="Q1965" s="21"/>
      <c r="R1965" t="s">
        <v>4833</v>
      </c>
      <c r="T1965" t="str">
        <f t="shared" si="1535"/>
        <v>:1</v>
      </c>
      <c r="U1965" t="str">
        <f t="shared" si="1478"/>
        <v>法师</v>
      </c>
      <c r="V1965" t="s">
        <v>4874</v>
      </c>
      <c r="W1965">
        <f>属性类型!G1965</f>
        <v>10042</v>
      </c>
      <c r="X1965">
        <v>1</v>
      </c>
    </row>
    <row r="1966" customFormat="1" ht="16.5" spans="1:24">
      <c r="A1966" s="17">
        <f t="shared" si="1532"/>
        <v>50903</v>
      </c>
      <c r="B1966" s="17">
        <f t="shared" si="1530"/>
        <v>50900</v>
      </c>
      <c r="C1966" s="17" t="str">
        <f t="shared" si="1518"/>
        <v>5</v>
      </c>
      <c r="D1966" s="17">
        <f t="shared" si="1519"/>
        <v>50001</v>
      </c>
      <c r="E1966" s="17">
        <f t="shared" ref="E1966:H1966" si="1537">E1965</f>
        <v>2</v>
      </c>
      <c r="F1966" s="17">
        <f t="shared" si="1495"/>
        <v>1</v>
      </c>
      <c r="G1966" s="17" t="str">
        <f t="shared" si="1537"/>
        <v>大魔法师魔防百分比</v>
      </c>
      <c r="H1966" s="17" t="str">
        <f t="shared" si="1537"/>
        <v>fashi01_Lv3</v>
      </c>
      <c r="I1966" s="20">
        <v>1.5</v>
      </c>
      <c r="J1966" s="17">
        <v>3</v>
      </c>
      <c r="K1966" s="17">
        <f t="shared" si="1531"/>
        <v>50904</v>
      </c>
      <c r="L1966" s="17" t="s">
        <v>218</v>
      </c>
      <c r="M1966" s="17" t="str">
        <f t="shared" si="1534"/>
        <v>1:10600:5</v>
      </c>
      <c r="N1966" s="16" t="str">
        <f t="shared" si="1485"/>
        <v>10042:1</v>
      </c>
      <c r="O1966" s="17">
        <f t="shared" si="1496"/>
        <v>10</v>
      </c>
      <c r="P1966" s="21" t="s">
        <v>4878</v>
      </c>
      <c r="Q1966" s="21"/>
      <c r="R1966" t="s">
        <v>4833</v>
      </c>
      <c r="T1966" t="str">
        <f t="shared" si="1535"/>
        <v>:1</v>
      </c>
      <c r="U1966" t="str">
        <f t="shared" si="1478"/>
        <v>法师</v>
      </c>
      <c r="V1966" t="s">
        <v>4874</v>
      </c>
      <c r="W1966">
        <f>属性类型!G1966</f>
        <v>10042</v>
      </c>
      <c r="X1966">
        <v>1</v>
      </c>
    </row>
    <row r="1967" customFormat="1" ht="16.5" spans="1:24">
      <c r="A1967" s="17">
        <f t="shared" si="1532"/>
        <v>50904</v>
      </c>
      <c r="B1967" s="17">
        <f t="shared" si="1530"/>
        <v>50900</v>
      </c>
      <c r="C1967" s="17" t="str">
        <f t="shared" si="1518"/>
        <v>5</v>
      </c>
      <c r="D1967" s="17">
        <f t="shared" si="1519"/>
        <v>50001</v>
      </c>
      <c r="E1967" s="17">
        <f t="shared" ref="E1967:H1967" si="1538">E1966</f>
        <v>2</v>
      </c>
      <c r="F1967" s="17">
        <f t="shared" si="1495"/>
        <v>1</v>
      </c>
      <c r="G1967" s="17" t="str">
        <f t="shared" si="1538"/>
        <v>大魔法师魔防百分比</v>
      </c>
      <c r="H1967" s="17" t="str">
        <f t="shared" si="1538"/>
        <v>fashi01_Lv3</v>
      </c>
      <c r="I1967" s="20">
        <v>1.5</v>
      </c>
      <c r="J1967" s="17">
        <v>4</v>
      </c>
      <c r="K1967" s="17">
        <f t="shared" si="1531"/>
        <v>50905</v>
      </c>
      <c r="L1967" s="17" t="s">
        <v>221</v>
      </c>
      <c r="M1967" s="17" t="str">
        <f t="shared" si="1534"/>
        <v>1:10600:5</v>
      </c>
      <c r="N1967" s="16" t="str">
        <f t="shared" si="1485"/>
        <v>10042:1</v>
      </c>
      <c r="O1967" s="17">
        <f t="shared" si="1496"/>
        <v>10</v>
      </c>
      <c r="P1967" s="21" t="s">
        <v>4879</v>
      </c>
      <c r="Q1967" s="21"/>
      <c r="R1967" t="s">
        <v>4833</v>
      </c>
      <c r="T1967" t="str">
        <f t="shared" si="1535"/>
        <v>:1</v>
      </c>
      <c r="U1967" t="str">
        <f t="shared" si="1478"/>
        <v>法师</v>
      </c>
      <c r="V1967" t="s">
        <v>4874</v>
      </c>
      <c r="W1967">
        <f>属性类型!G1967</f>
        <v>10042</v>
      </c>
      <c r="X1967">
        <v>1</v>
      </c>
    </row>
    <row r="1968" customFormat="1" ht="16.5" spans="1:24">
      <c r="A1968" s="17">
        <f t="shared" si="1532"/>
        <v>50905</v>
      </c>
      <c r="B1968" s="17">
        <f t="shared" si="1530"/>
        <v>50900</v>
      </c>
      <c r="C1968" s="17" t="str">
        <f t="shared" si="1518"/>
        <v>5</v>
      </c>
      <c r="D1968" s="17">
        <f t="shared" si="1519"/>
        <v>50001</v>
      </c>
      <c r="E1968" s="17">
        <f t="shared" ref="E1968:H1968" si="1539">E1967</f>
        <v>2</v>
      </c>
      <c r="F1968" s="17">
        <f t="shared" si="1495"/>
        <v>1</v>
      </c>
      <c r="G1968" s="17" t="str">
        <f t="shared" si="1539"/>
        <v>大魔法师魔防百分比</v>
      </c>
      <c r="H1968" s="17" t="str">
        <f t="shared" si="1539"/>
        <v>fashi01_Lv3</v>
      </c>
      <c r="I1968" s="20">
        <v>1.5</v>
      </c>
      <c r="J1968" s="17">
        <v>5</v>
      </c>
      <c r="K1968" s="17">
        <f t="shared" si="1531"/>
        <v>50906</v>
      </c>
      <c r="L1968" s="17" t="s">
        <v>224</v>
      </c>
      <c r="M1968" s="17" t="str">
        <f t="shared" si="1534"/>
        <v>1:10600:5</v>
      </c>
      <c r="N1968" s="16" t="str">
        <f t="shared" si="1485"/>
        <v>10042:1</v>
      </c>
      <c r="O1968" s="17">
        <f t="shared" si="1496"/>
        <v>10</v>
      </c>
      <c r="P1968" s="21" t="s">
        <v>4880</v>
      </c>
      <c r="Q1968" s="21"/>
      <c r="R1968" t="s">
        <v>4833</v>
      </c>
      <c r="T1968" t="str">
        <f t="shared" si="1535"/>
        <v>:1</v>
      </c>
      <c r="U1968" t="str">
        <f t="shared" si="1478"/>
        <v>法师</v>
      </c>
      <c r="V1968" t="s">
        <v>4874</v>
      </c>
      <c r="W1968">
        <f>属性类型!G1968</f>
        <v>10042</v>
      </c>
      <c r="X1968">
        <v>1</v>
      </c>
    </row>
    <row r="1969" customFormat="1" ht="16.5" spans="1:24">
      <c r="A1969" s="17">
        <f t="shared" si="1532"/>
        <v>50906</v>
      </c>
      <c r="B1969" s="17">
        <f t="shared" si="1530"/>
        <v>50900</v>
      </c>
      <c r="C1969" s="17" t="str">
        <f t="shared" si="1518"/>
        <v>5</v>
      </c>
      <c r="D1969" s="17">
        <f t="shared" si="1519"/>
        <v>50001</v>
      </c>
      <c r="E1969" s="17">
        <f t="shared" ref="E1969:H1969" si="1540">E1968</f>
        <v>2</v>
      </c>
      <c r="F1969" s="17">
        <f t="shared" si="1495"/>
        <v>1</v>
      </c>
      <c r="G1969" s="17" t="str">
        <f t="shared" si="1540"/>
        <v>大魔法师魔防百分比</v>
      </c>
      <c r="H1969" s="17" t="str">
        <f t="shared" si="1540"/>
        <v>fashi01_Lv3</v>
      </c>
      <c r="I1969" s="20">
        <v>1.5</v>
      </c>
      <c r="J1969" s="17">
        <v>6</v>
      </c>
      <c r="K1969" s="17">
        <f t="shared" si="1531"/>
        <v>50907</v>
      </c>
      <c r="L1969" s="17" t="s">
        <v>227</v>
      </c>
      <c r="M1969" s="17" t="str">
        <f t="shared" si="1534"/>
        <v>1:10600:5</v>
      </c>
      <c r="N1969" s="16" t="str">
        <f t="shared" si="1485"/>
        <v>10042:1</v>
      </c>
      <c r="O1969" s="17">
        <f t="shared" si="1496"/>
        <v>10</v>
      </c>
      <c r="P1969" s="21" t="s">
        <v>4881</v>
      </c>
      <c r="Q1969" s="21"/>
      <c r="R1969" t="s">
        <v>4833</v>
      </c>
      <c r="T1969" t="str">
        <f t="shared" si="1535"/>
        <v>:1</v>
      </c>
      <c r="U1969" t="str">
        <f t="shared" si="1478"/>
        <v>法师</v>
      </c>
      <c r="V1969" t="s">
        <v>4874</v>
      </c>
      <c r="W1969">
        <f>属性类型!G1969</f>
        <v>10042</v>
      </c>
      <c r="X1969">
        <v>1</v>
      </c>
    </row>
    <row r="1970" customFormat="1" ht="16.5" spans="1:24">
      <c r="A1970" s="17">
        <f t="shared" si="1532"/>
        <v>50907</v>
      </c>
      <c r="B1970" s="17">
        <f t="shared" si="1530"/>
        <v>50900</v>
      </c>
      <c r="C1970" s="17" t="str">
        <f t="shared" si="1518"/>
        <v>5</v>
      </c>
      <c r="D1970" s="17">
        <f t="shared" si="1519"/>
        <v>50001</v>
      </c>
      <c r="E1970" s="17">
        <f t="shared" ref="E1970:H1970" si="1541">E1969</f>
        <v>2</v>
      </c>
      <c r="F1970" s="17">
        <f t="shared" si="1495"/>
        <v>1</v>
      </c>
      <c r="G1970" s="17" t="str">
        <f t="shared" si="1541"/>
        <v>大魔法师魔防百分比</v>
      </c>
      <c r="H1970" s="17" t="str">
        <f t="shared" si="1541"/>
        <v>fashi01_Lv3</v>
      </c>
      <c r="I1970" s="20">
        <v>1.5</v>
      </c>
      <c r="J1970" s="17">
        <v>7</v>
      </c>
      <c r="K1970" s="17">
        <f t="shared" si="1531"/>
        <v>50908</v>
      </c>
      <c r="L1970" s="17" t="s">
        <v>230</v>
      </c>
      <c r="M1970" s="17" t="str">
        <f t="shared" si="1534"/>
        <v>1:10600:5</v>
      </c>
      <c r="N1970" s="16" t="str">
        <f t="shared" si="1485"/>
        <v>10042:1</v>
      </c>
      <c r="O1970" s="17">
        <f t="shared" si="1496"/>
        <v>10</v>
      </c>
      <c r="P1970" s="21" t="s">
        <v>4882</v>
      </c>
      <c r="Q1970" s="21"/>
      <c r="R1970" t="s">
        <v>4833</v>
      </c>
      <c r="T1970" t="str">
        <f t="shared" si="1535"/>
        <v>:1</v>
      </c>
      <c r="U1970" t="str">
        <f t="shared" si="1478"/>
        <v>法师</v>
      </c>
      <c r="V1970" t="s">
        <v>4874</v>
      </c>
      <c r="W1970">
        <f>属性类型!G1970</f>
        <v>10042</v>
      </c>
      <c r="X1970">
        <v>1</v>
      </c>
    </row>
    <row r="1971" customFormat="1" ht="16.5" spans="1:24">
      <c r="A1971" s="17">
        <f t="shared" si="1532"/>
        <v>50908</v>
      </c>
      <c r="B1971" s="17">
        <f t="shared" si="1530"/>
        <v>50900</v>
      </c>
      <c r="C1971" s="17" t="str">
        <f t="shared" si="1518"/>
        <v>5</v>
      </c>
      <c r="D1971" s="17">
        <f t="shared" si="1519"/>
        <v>50001</v>
      </c>
      <c r="E1971" s="17">
        <f t="shared" ref="E1971:H1971" si="1542">E1970</f>
        <v>2</v>
      </c>
      <c r="F1971" s="17">
        <f t="shared" si="1495"/>
        <v>1</v>
      </c>
      <c r="G1971" s="17" t="str">
        <f t="shared" si="1542"/>
        <v>大魔法师魔防百分比</v>
      </c>
      <c r="H1971" s="17" t="str">
        <f t="shared" si="1542"/>
        <v>fashi01_Lv3</v>
      </c>
      <c r="I1971" s="20">
        <v>1.5</v>
      </c>
      <c r="J1971" s="17">
        <v>8</v>
      </c>
      <c r="K1971" s="17">
        <f t="shared" si="1531"/>
        <v>50909</v>
      </c>
      <c r="L1971" s="17" t="s">
        <v>233</v>
      </c>
      <c r="M1971" s="17" t="str">
        <f t="shared" si="1534"/>
        <v>1:10600:5</v>
      </c>
      <c r="N1971" s="16" t="str">
        <f t="shared" si="1485"/>
        <v>10042:1</v>
      </c>
      <c r="O1971" s="17">
        <f t="shared" si="1496"/>
        <v>10</v>
      </c>
      <c r="P1971" s="21" t="s">
        <v>4883</v>
      </c>
      <c r="Q1971" s="21"/>
      <c r="R1971" t="s">
        <v>4833</v>
      </c>
      <c r="T1971" t="str">
        <f t="shared" si="1535"/>
        <v>:1</v>
      </c>
      <c r="U1971" t="str">
        <f t="shared" si="1478"/>
        <v>法师</v>
      </c>
      <c r="V1971" t="s">
        <v>4874</v>
      </c>
      <c r="W1971">
        <f>属性类型!G1971</f>
        <v>10042</v>
      </c>
      <c r="X1971">
        <v>1</v>
      </c>
    </row>
    <row r="1972" customFormat="1" ht="16.5" spans="1:24">
      <c r="A1972" s="17">
        <f t="shared" si="1532"/>
        <v>50909</v>
      </c>
      <c r="B1972" s="17">
        <f t="shared" si="1530"/>
        <v>50900</v>
      </c>
      <c r="C1972" s="17" t="str">
        <f t="shared" si="1518"/>
        <v>5</v>
      </c>
      <c r="D1972" s="17">
        <f t="shared" si="1519"/>
        <v>50001</v>
      </c>
      <c r="E1972" s="17">
        <f t="shared" ref="E1972:H1972" si="1543">E1971</f>
        <v>2</v>
      </c>
      <c r="F1972" s="17">
        <f t="shared" si="1495"/>
        <v>1</v>
      </c>
      <c r="G1972" s="17" t="str">
        <f t="shared" si="1543"/>
        <v>大魔法师魔防百分比</v>
      </c>
      <c r="H1972" s="17" t="str">
        <f t="shared" si="1543"/>
        <v>fashi01_Lv3</v>
      </c>
      <c r="I1972" s="20">
        <v>1.5</v>
      </c>
      <c r="J1972" s="17">
        <v>9</v>
      </c>
      <c r="K1972" s="17">
        <f t="shared" si="1531"/>
        <v>50910</v>
      </c>
      <c r="L1972" s="17" t="s">
        <v>236</v>
      </c>
      <c r="M1972" s="17" t="str">
        <f t="shared" si="1534"/>
        <v>1:10600:5</v>
      </c>
      <c r="N1972" s="16" t="str">
        <f t="shared" si="1485"/>
        <v>10042:1</v>
      </c>
      <c r="O1972" s="17">
        <f t="shared" si="1496"/>
        <v>10</v>
      </c>
      <c r="P1972" s="21" t="s">
        <v>4884</v>
      </c>
      <c r="Q1972" s="21"/>
      <c r="R1972" t="s">
        <v>4833</v>
      </c>
      <c r="T1972" t="str">
        <f t="shared" si="1535"/>
        <v>:1</v>
      </c>
      <c r="U1972" t="str">
        <f t="shared" si="1478"/>
        <v>法师</v>
      </c>
      <c r="V1972" t="s">
        <v>4874</v>
      </c>
      <c r="W1972">
        <f>属性类型!G1972</f>
        <v>10042</v>
      </c>
      <c r="X1972">
        <v>1</v>
      </c>
    </row>
    <row r="1973" customFormat="1" ht="16.5" spans="1:24">
      <c r="A1973" s="17">
        <f t="shared" si="1532"/>
        <v>50910</v>
      </c>
      <c r="B1973" s="17">
        <f t="shared" si="1530"/>
        <v>50900</v>
      </c>
      <c r="C1973" s="17" t="str">
        <f t="shared" si="1518"/>
        <v>5</v>
      </c>
      <c r="D1973" s="17">
        <f t="shared" si="1519"/>
        <v>50001</v>
      </c>
      <c r="E1973" s="17">
        <f t="shared" ref="E1973:H1973" si="1544">E1972</f>
        <v>2</v>
      </c>
      <c r="F1973" s="17">
        <f t="shared" si="1495"/>
        <v>1</v>
      </c>
      <c r="G1973" s="17" t="str">
        <f t="shared" si="1544"/>
        <v>大魔法师魔防百分比</v>
      </c>
      <c r="H1973" s="17" t="str">
        <f t="shared" si="1544"/>
        <v>fashi01_Lv3</v>
      </c>
      <c r="I1973" s="20">
        <v>1.5</v>
      </c>
      <c r="J1973" s="17">
        <v>10</v>
      </c>
      <c r="K1973" s="17">
        <f t="shared" si="1531"/>
        <v>50911</v>
      </c>
      <c r="L1973" s="17" t="s">
        <v>238</v>
      </c>
      <c r="M1973" s="17" t="str">
        <f t="shared" si="1534"/>
        <v>1:10600:5</v>
      </c>
      <c r="N1973" s="16" t="str">
        <f t="shared" si="1485"/>
        <v>10042:1</v>
      </c>
      <c r="O1973" s="17">
        <f t="shared" si="1496"/>
        <v>10</v>
      </c>
      <c r="P1973" s="21" t="s">
        <v>4885</v>
      </c>
      <c r="Q1973" s="21"/>
      <c r="R1973" t="s">
        <v>4833</v>
      </c>
      <c r="T1973" t="str">
        <f t="shared" si="1535"/>
        <v>:1</v>
      </c>
      <c r="U1973" t="str">
        <f t="shared" si="1478"/>
        <v>法师</v>
      </c>
      <c r="V1973" t="s">
        <v>4874</v>
      </c>
      <c r="W1973">
        <f>属性类型!G1973</f>
        <v>10042</v>
      </c>
      <c r="X1973">
        <v>1</v>
      </c>
    </row>
    <row r="1974" customFormat="1" ht="16.5" spans="1:24">
      <c r="A1974" s="17">
        <f t="shared" ref="A1974:A1983" si="1545">A1973+1</f>
        <v>50911</v>
      </c>
      <c r="B1974" s="17">
        <f t="shared" ref="B1974:B2015" si="1546">ROUND(A1974,-2)</f>
        <v>50900</v>
      </c>
      <c r="C1974" s="17" t="str">
        <f t="shared" ref="C1974:C1983" si="1547">LEFT(A1974,1)</f>
        <v>5</v>
      </c>
      <c r="D1974" s="17">
        <f t="shared" ref="D1974:D1983" si="1548">$A$1864+F1974</f>
        <v>50001</v>
      </c>
      <c r="E1974" s="17">
        <f t="shared" ref="E1974:H1974" si="1549">E1973</f>
        <v>2</v>
      </c>
      <c r="F1974" s="17">
        <f t="shared" si="1495"/>
        <v>1</v>
      </c>
      <c r="G1974" s="17" t="str">
        <f t="shared" si="1549"/>
        <v>大魔法师魔防百分比</v>
      </c>
      <c r="H1974" s="17" t="str">
        <f t="shared" si="1549"/>
        <v>fashi01_Lv3</v>
      </c>
      <c r="I1974" s="20">
        <v>1.5</v>
      </c>
      <c r="J1974" s="17">
        <v>11</v>
      </c>
      <c r="K1974" s="17">
        <f t="shared" si="1531"/>
        <v>50912</v>
      </c>
      <c r="L1974" s="17" t="s">
        <v>529</v>
      </c>
      <c r="M1974" s="17" t="str">
        <f t="shared" si="1534"/>
        <v>1:10600:5</v>
      </c>
      <c r="N1974" s="16" t="str">
        <f t="shared" si="1485"/>
        <v>10042:1</v>
      </c>
      <c r="O1974" s="17">
        <f t="shared" si="1496"/>
        <v>10</v>
      </c>
      <c r="P1974" s="21" t="s">
        <v>4886</v>
      </c>
      <c r="Q1974" s="21"/>
      <c r="R1974" t="s">
        <v>4833</v>
      </c>
      <c r="U1974" t="str">
        <f t="shared" si="1478"/>
        <v>法师</v>
      </c>
      <c r="V1974" t="s">
        <v>4874</v>
      </c>
      <c r="W1974">
        <f>属性类型!G1974</f>
        <v>10042</v>
      </c>
      <c r="X1974">
        <v>1</v>
      </c>
    </row>
    <row r="1975" customFormat="1" ht="16.5" spans="1:24">
      <c r="A1975" s="17">
        <f t="shared" si="1545"/>
        <v>50912</v>
      </c>
      <c r="B1975" s="17">
        <f t="shared" si="1546"/>
        <v>50900</v>
      </c>
      <c r="C1975" s="17" t="str">
        <f t="shared" si="1547"/>
        <v>5</v>
      </c>
      <c r="D1975" s="17">
        <f t="shared" si="1548"/>
        <v>50001</v>
      </c>
      <c r="E1975" s="17">
        <f t="shared" ref="E1975:H1975" si="1550">E1974</f>
        <v>2</v>
      </c>
      <c r="F1975" s="17">
        <f t="shared" si="1495"/>
        <v>1</v>
      </c>
      <c r="G1975" s="17" t="str">
        <f t="shared" si="1550"/>
        <v>大魔法师魔防百分比</v>
      </c>
      <c r="H1975" s="17" t="str">
        <f t="shared" si="1550"/>
        <v>fashi01_Lv3</v>
      </c>
      <c r="I1975" s="20">
        <v>1.5</v>
      </c>
      <c r="J1975" s="17">
        <v>12</v>
      </c>
      <c r="K1975" s="17">
        <f t="shared" si="1531"/>
        <v>50913</v>
      </c>
      <c r="L1975" s="17" t="s">
        <v>532</v>
      </c>
      <c r="M1975" s="17" t="str">
        <f t="shared" si="1534"/>
        <v>1:10600:5</v>
      </c>
      <c r="N1975" s="16" t="str">
        <f t="shared" si="1485"/>
        <v>10042:1</v>
      </c>
      <c r="O1975" s="17">
        <f t="shared" si="1496"/>
        <v>10</v>
      </c>
      <c r="P1975" s="21" t="s">
        <v>4887</v>
      </c>
      <c r="Q1975" s="21"/>
      <c r="R1975" t="s">
        <v>4833</v>
      </c>
      <c r="U1975" t="str">
        <f t="shared" si="1478"/>
        <v>法师</v>
      </c>
      <c r="V1975" t="s">
        <v>4874</v>
      </c>
      <c r="W1975">
        <f>属性类型!G1975</f>
        <v>10042</v>
      </c>
      <c r="X1975">
        <v>1</v>
      </c>
    </row>
    <row r="1976" customFormat="1" ht="16.5" spans="1:24">
      <c r="A1976" s="17">
        <f t="shared" si="1545"/>
        <v>50913</v>
      </c>
      <c r="B1976" s="17">
        <f t="shared" si="1546"/>
        <v>50900</v>
      </c>
      <c r="C1976" s="17" t="str">
        <f t="shared" si="1547"/>
        <v>5</v>
      </c>
      <c r="D1976" s="17">
        <f t="shared" si="1548"/>
        <v>50001</v>
      </c>
      <c r="E1976" s="17">
        <f t="shared" ref="E1976:H1976" si="1551">E1975</f>
        <v>2</v>
      </c>
      <c r="F1976" s="17">
        <f t="shared" si="1495"/>
        <v>1</v>
      </c>
      <c r="G1976" s="17" t="str">
        <f t="shared" si="1551"/>
        <v>大魔法师魔防百分比</v>
      </c>
      <c r="H1976" s="17" t="str">
        <f t="shared" si="1551"/>
        <v>fashi01_Lv3</v>
      </c>
      <c r="I1976" s="20">
        <v>1.5</v>
      </c>
      <c r="J1976" s="17">
        <v>13</v>
      </c>
      <c r="K1976" s="17">
        <f t="shared" si="1531"/>
        <v>50914</v>
      </c>
      <c r="L1976" s="17" t="s">
        <v>561</v>
      </c>
      <c r="M1976" s="17" t="str">
        <f t="shared" si="1534"/>
        <v>1:10600:5</v>
      </c>
      <c r="N1976" s="16" t="str">
        <f t="shared" si="1485"/>
        <v>10042:1</v>
      </c>
      <c r="O1976" s="17">
        <f t="shared" si="1496"/>
        <v>10</v>
      </c>
      <c r="P1976" s="21" t="s">
        <v>4888</v>
      </c>
      <c r="Q1976" s="21"/>
      <c r="R1976" t="s">
        <v>4833</v>
      </c>
      <c r="U1976" t="str">
        <f t="shared" si="1478"/>
        <v>法师</v>
      </c>
      <c r="V1976" t="s">
        <v>4874</v>
      </c>
      <c r="W1976">
        <f>属性类型!G1976</f>
        <v>10042</v>
      </c>
      <c r="X1976">
        <v>1</v>
      </c>
    </row>
    <row r="1977" customFormat="1" ht="16.5" spans="1:24">
      <c r="A1977" s="17">
        <f t="shared" si="1545"/>
        <v>50914</v>
      </c>
      <c r="B1977" s="17">
        <f t="shared" si="1546"/>
        <v>50900</v>
      </c>
      <c r="C1977" s="17" t="str">
        <f t="shared" si="1547"/>
        <v>5</v>
      </c>
      <c r="D1977" s="17">
        <f t="shared" si="1548"/>
        <v>50001</v>
      </c>
      <c r="E1977" s="17">
        <f t="shared" ref="E1977:H1977" si="1552">E1976</f>
        <v>2</v>
      </c>
      <c r="F1977" s="17">
        <f t="shared" si="1495"/>
        <v>1</v>
      </c>
      <c r="G1977" s="17" t="str">
        <f t="shared" si="1552"/>
        <v>大魔法师魔防百分比</v>
      </c>
      <c r="H1977" s="17" t="str">
        <f t="shared" si="1552"/>
        <v>fashi01_Lv3</v>
      </c>
      <c r="I1977" s="20">
        <v>1.5</v>
      </c>
      <c r="J1977" s="17">
        <v>14</v>
      </c>
      <c r="K1977" s="17">
        <f t="shared" si="1531"/>
        <v>50915</v>
      </c>
      <c r="L1977" s="17" t="s">
        <v>564</v>
      </c>
      <c r="M1977" s="17" t="str">
        <f t="shared" si="1534"/>
        <v>1:10600:5</v>
      </c>
      <c r="N1977" s="16" t="str">
        <f t="shared" si="1485"/>
        <v>10042:1</v>
      </c>
      <c r="O1977" s="17">
        <f t="shared" si="1496"/>
        <v>10</v>
      </c>
      <c r="P1977" s="21" t="s">
        <v>4889</v>
      </c>
      <c r="Q1977" s="21"/>
      <c r="R1977" t="s">
        <v>4833</v>
      </c>
      <c r="U1977" t="str">
        <f t="shared" si="1478"/>
        <v>法师</v>
      </c>
      <c r="V1977" t="s">
        <v>4874</v>
      </c>
      <c r="W1977">
        <f>属性类型!G1977</f>
        <v>10042</v>
      </c>
      <c r="X1977">
        <v>1</v>
      </c>
    </row>
    <row r="1978" customFormat="1" ht="16.5" spans="1:24">
      <c r="A1978" s="17">
        <f t="shared" si="1545"/>
        <v>50915</v>
      </c>
      <c r="B1978" s="17">
        <f t="shared" si="1546"/>
        <v>50900</v>
      </c>
      <c r="C1978" s="17" t="str">
        <f t="shared" si="1547"/>
        <v>5</v>
      </c>
      <c r="D1978" s="17">
        <f t="shared" si="1548"/>
        <v>50001</v>
      </c>
      <c r="E1978" s="17">
        <f t="shared" ref="E1978:H1978" si="1553">E1977</f>
        <v>2</v>
      </c>
      <c r="F1978" s="17">
        <f t="shared" si="1495"/>
        <v>1</v>
      </c>
      <c r="G1978" s="17" t="str">
        <f t="shared" si="1553"/>
        <v>大魔法师魔防百分比</v>
      </c>
      <c r="H1978" s="17" t="str">
        <f t="shared" si="1553"/>
        <v>fashi01_Lv3</v>
      </c>
      <c r="I1978" s="20">
        <v>1.5</v>
      </c>
      <c r="J1978" s="17">
        <v>15</v>
      </c>
      <c r="K1978" s="17">
        <f t="shared" si="1531"/>
        <v>50916</v>
      </c>
      <c r="L1978" s="17" t="s">
        <v>630</v>
      </c>
      <c r="M1978" s="17" t="str">
        <f t="shared" si="1534"/>
        <v>1:10600:5</v>
      </c>
      <c r="N1978" s="16" t="str">
        <f t="shared" si="1485"/>
        <v>10042:1</v>
      </c>
      <c r="O1978" s="17">
        <f t="shared" si="1496"/>
        <v>10</v>
      </c>
      <c r="P1978" s="21" t="s">
        <v>4890</v>
      </c>
      <c r="Q1978" s="21"/>
      <c r="R1978" t="s">
        <v>4833</v>
      </c>
      <c r="U1978" t="str">
        <f t="shared" si="1478"/>
        <v>法师</v>
      </c>
      <c r="V1978" t="s">
        <v>4874</v>
      </c>
      <c r="W1978">
        <f>属性类型!G1978</f>
        <v>10042</v>
      </c>
      <c r="X1978">
        <v>1</v>
      </c>
    </row>
    <row r="1979" customFormat="1" ht="16.5" spans="1:24">
      <c r="A1979" s="17">
        <f t="shared" si="1545"/>
        <v>50916</v>
      </c>
      <c r="B1979" s="17">
        <f t="shared" si="1546"/>
        <v>50900</v>
      </c>
      <c r="C1979" s="17" t="str">
        <f t="shared" si="1547"/>
        <v>5</v>
      </c>
      <c r="D1979" s="17">
        <f t="shared" si="1548"/>
        <v>50001</v>
      </c>
      <c r="E1979" s="17">
        <f t="shared" ref="E1979:H1979" si="1554">E1978</f>
        <v>2</v>
      </c>
      <c r="F1979" s="17">
        <f t="shared" si="1495"/>
        <v>1</v>
      </c>
      <c r="G1979" s="17" t="str">
        <f t="shared" si="1554"/>
        <v>大魔法师魔防百分比</v>
      </c>
      <c r="H1979" s="17" t="str">
        <f t="shared" si="1554"/>
        <v>fashi01_Lv3</v>
      </c>
      <c r="I1979" s="20">
        <v>1.5</v>
      </c>
      <c r="J1979" s="17">
        <v>16</v>
      </c>
      <c r="K1979" s="17">
        <f t="shared" si="1531"/>
        <v>50917</v>
      </c>
      <c r="L1979" s="17" t="s">
        <v>633</v>
      </c>
      <c r="M1979" s="17" t="str">
        <f t="shared" si="1534"/>
        <v>1:10600:5</v>
      </c>
      <c r="N1979" s="16" t="str">
        <f t="shared" si="1485"/>
        <v>10042:1</v>
      </c>
      <c r="O1979" s="17">
        <f t="shared" si="1496"/>
        <v>10</v>
      </c>
      <c r="P1979" s="21" t="s">
        <v>4891</v>
      </c>
      <c r="Q1979" s="21"/>
      <c r="R1979" t="s">
        <v>4833</v>
      </c>
      <c r="U1979" t="str">
        <f t="shared" si="1478"/>
        <v>法师</v>
      </c>
      <c r="V1979" t="s">
        <v>4874</v>
      </c>
      <c r="W1979">
        <f>属性类型!G1979</f>
        <v>10042</v>
      </c>
      <c r="X1979">
        <v>1</v>
      </c>
    </row>
    <row r="1980" customFormat="1" ht="16.5" spans="1:24">
      <c r="A1980" s="17">
        <f t="shared" si="1545"/>
        <v>50917</v>
      </c>
      <c r="B1980" s="17">
        <f t="shared" si="1546"/>
        <v>50900</v>
      </c>
      <c r="C1980" s="17" t="str">
        <f t="shared" si="1547"/>
        <v>5</v>
      </c>
      <c r="D1980" s="17">
        <f t="shared" si="1548"/>
        <v>50001</v>
      </c>
      <c r="E1980" s="17">
        <f t="shared" ref="E1980:H1980" si="1555">E1979</f>
        <v>2</v>
      </c>
      <c r="F1980" s="17">
        <f t="shared" si="1495"/>
        <v>1</v>
      </c>
      <c r="G1980" s="17" t="str">
        <f t="shared" si="1555"/>
        <v>大魔法师魔防百分比</v>
      </c>
      <c r="H1980" s="17" t="str">
        <f t="shared" si="1555"/>
        <v>fashi01_Lv3</v>
      </c>
      <c r="I1980" s="20">
        <v>1.5</v>
      </c>
      <c r="J1980" s="17">
        <v>17</v>
      </c>
      <c r="K1980" s="17">
        <f t="shared" si="1531"/>
        <v>50918</v>
      </c>
      <c r="L1980" s="17" t="s">
        <v>637</v>
      </c>
      <c r="M1980" s="17" t="str">
        <f t="shared" si="1534"/>
        <v>1:10600:5</v>
      </c>
      <c r="N1980" s="16" t="str">
        <f t="shared" si="1485"/>
        <v>10042:1</v>
      </c>
      <c r="O1980" s="17">
        <f t="shared" si="1496"/>
        <v>10</v>
      </c>
      <c r="P1980" s="21" t="s">
        <v>4892</v>
      </c>
      <c r="Q1980" s="21"/>
      <c r="R1980" t="s">
        <v>4833</v>
      </c>
      <c r="U1980" t="str">
        <f t="shared" si="1478"/>
        <v>法师</v>
      </c>
      <c r="V1980" t="s">
        <v>4874</v>
      </c>
      <c r="W1980">
        <f>属性类型!G1980</f>
        <v>10042</v>
      </c>
      <c r="X1980">
        <v>1</v>
      </c>
    </row>
    <row r="1981" customFormat="1" ht="16.5" spans="1:24">
      <c r="A1981" s="17">
        <f t="shared" si="1545"/>
        <v>50918</v>
      </c>
      <c r="B1981" s="17">
        <f t="shared" si="1546"/>
        <v>50900</v>
      </c>
      <c r="C1981" s="17" t="str">
        <f t="shared" si="1547"/>
        <v>5</v>
      </c>
      <c r="D1981" s="17">
        <f t="shared" si="1548"/>
        <v>50001</v>
      </c>
      <c r="E1981" s="17">
        <f t="shared" ref="E1981:H1981" si="1556">E1980</f>
        <v>2</v>
      </c>
      <c r="F1981" s="17">
        <f t="shared" si="1495"/>
        <v>1</v>
      </c>
      <c r="G1981" s="17" t="str">
        <f t="shared" si="1556"/>
        <v>大魔法师魔防百分比</v>
      </c>
      <c r="H1981" s="17" t="str">
        <f t="shared" si="1556"/>
        <v>fashi01_Lv3</v>
      </c>
      <c r="I1981" s="20">
        <v>1.5</v>
      </c>
      <c r="J1981" s="17">
        <v>18</v>
      </c>
      <c r="K1981" s="17">
        <f t="shared" si="1531"/>
        <v>50919</v>
      </c>
      <c r="L1981" s="17" t="s">
        <v>641</v>
      </c>
      <c r="M1981" s="17" t="str">
        <f t="shared" si="1534"/>
        <v>1:10600:5</v>
      </c>
      <c r="N1981" s="16" t="str">
        <f t="shared" si="1485"/>
        <v>10042:1</v>
      </c>
      <c r="O1981" s="17">
        <f t="shared" si="1496"/>
        <v>10</v>
      </c>
      <c r="P1981" s="21" t="s">
        <v>4893</v>
      </c>
      <c r="Q1981" s="21"/>
      <c r="R1981" t="s">
        <v>4833</v>
      </c>
      <c r="U1981" t="str">
        <f t="shared" si="1478"/>
        <v>法师</v>
      </c>
      <c r="V1981" t="s">
        <v>4874</v>
      </c>
      <c r="W1981">
        <f>属性类型!G1981</f>
        <v>10042</v>
      </c>
      <c r="X1981">
        <v>1</v>
      </c>
    </row>
    <row r="1982" customFormat="1" ht="16.5" spans="1:24">
      <c r="A1982" s="17">
        <f t="shared" si="1545"/>
        <v>50919</v>
      </c>
      <c r="B1982" s="17">
        <f t="shared" si="1546"/>
        <v>50900</v>
      </c>
      <c r="C1982" s="17" t="str">
        <f t="shared" si="1547"/>
        <v>5</v>
      </c>
      <c r="D1982" s="17">
        <f t="shared" si="1548"/>
        <v>50001</v>
      </c>
      <c r="E1982" s="17">
        <f t="shared" ref="E1982:H1982" si="1557">E1981</f>
        <v>2</v>
      </c>
      <c r="F1982" s="17">
        <f t="shared" si="1495"/>
        <v>1</v>
      </c>
      <c r="G1982" s="17" t="str">
        <f t="shared" si="1557"/>
        <v>大魔法师魔防百分比</v>
      </c>
      <c r="H1982" s="17" t="str">
        <f t="shared" si="1557"/>
        <v>fashi01_Lv3</v>
      </c>
      <c r="I1982" s="20">
        <v>1.5</v>
      </c>
      <c r="J1982" s="17">
        <v>19</v>
      </c>
      <c r="K1982" s="17">
        <f t="shared" si="1531"/>
        <v>50920</v>
      </c>
      <c r="L1982" s="17" t="s">
        <v>645</v>
      </c>
      <c r="M1982" s="17" t="str">
        <f t="shared" si="1534"/>
        <v>1:10600:5</v>
      </c>
      <c r="N1982" s="16" t="str">
        <f t="shared" si="1485"/>
        <v>10042:1</v>
      </c>
      <c r="O1982" s="17">
        <f t="shared" si="1496"/>
        <v>10</v>
      </c>
      <c r="P1982" s="21" t="s">
        <v>4894</v>
      </c>
      <c r="Q1982" s="21"/>
      <c r="R1982" t="s">
        <v>4833</v>
      </c>
      <c r="U1982" t="str">
        <f t="shared" si="1478"/>
        <v>法师</v>
      </c>
      <c r="V1982" t="s">
        <v>4874</v>
      </c>
      <c r="W1982">
        <f>属性类型!G1982</f>
        <v>10042</v>
      </c>
      <c r="X1982">
        <v>1</v>
      </c>
    </row>
    <row r="1983" customFormat="1" ht="16.5" spans="1:24">
      <c r="A1983" s="17">
        <f t="shared" si="1545"/>
        <v>50920</v>
      </c>
      <c r="B1983" s="17">
        <f t="shared" si="1546"/>
        <v>50900</v>
      </c>
      <c r="C1983" s="17" t="str">
        <f t="shared" si="1547"/>
        <v>5</v>
      </c>
      <c r="D1983" s="17">
        <f t="shared" si="1548"/>
        <v>50001</v>
      </c>
      <c r="E1983" s="17">
        <f t="shared" ref="E1983:H1983" si="1558">E1982</f>
        <v>2</v>
      </c>
      <c r="F1983" s="17">
        <f t="shared" si="1495"/>
        <v>1</v>
      </c>
      <c r="G1983" s="17" t="str">
        <f t="shared" si="1558"/>
        <v>大魔法师魔防百分比</v>
      </c>
      <c r="H1983" s="17" t="str">
        <f t="shared" si="1558"/>
        <v>fashi01_Lv3</v>
      </c>
      <c r="I1983" s="20">
        <v>1.5</v>
      </c>
      <c r="J1983" s="17">
        <v>20</v>
      </c>
      <c r="K1983" s="17">
        <v>0</v>
      </c>
      <c r="L1983" s="17">
        <v>0</v>
      </c>
      <c r="M1983" s="17" t="str">
        <f t="shared" si="1534"/>
        <v>1:10600:5</v>
      </c>
      <c r="N1983" s="16" t="str">
        <f t="shared" si="1485"/>
        <v>10042:1</v>
      </c>
      <c r="O1983" s="17">
        <f t="shared" si="1496"/>
        <v>10</v>
      </c>
      <c r="P1983" s="21" t="s">
        <v>4894</v>
      </c>
      <c r="Q1983" s="21"/>
      <c r="R1983" t="s">
        <v>4833</v>
      </c>
      <c r="U1983" t="str">
        <f t="shared" si="1478"/>
        <v>法师</v>
      </c>
      <c r="V1983" t="s">
        <v>4874</v>
      </c>
      <c r="W1983">
        <f>属性类型!G1983</f>
        <v>10042</v>
      </c>
      <c r="X1983">
        <v>1</v>
      </c>
    </row>
    <row r="1984" s="14" customFormat="1" ht="16.5" spans="1:24">
      <c r="A1984" s="18">
        <f>A1963+100</f>
        <v>51000</v>
      </c>
      <c r="B1984" s="18">
        <f t="shared" si="1546"/>
        <v>51000</v>
      </c>
      <c r="C1984" s="18" t="str">
        <f t="shared" ref="C1984:C2036" si="1559">LEFT(A1984,1)</f>
        <v>5</v>
      </c>
      <c r="D1984" s="17">
        <f t="shared" ref="D1984:D2023" si="1560">$A$1864+F1984</f>
        <v>50002</v>
      </c>
      <c r="E1984" s="18">
        <v>1</v>
      </c>
      <c r="F1984" s="18">
        <f t="shared" si="1495"/>
        <v>2</v>
      </c>
      <c r="G1984" s="18" t="s">
        <v>295</v>
      </c>
      <c r="H1984" s="18" t="s">
        <v>38</v>
      </c>
      <c r="I1984" s="20">
        <v>0</v>
      </c>
      <c r="J1984" s="18">
        <v>0</v>
      </c>
      <c r="K1984" s="18">
        <f t="shared" ref="K1984:K1993" si="1561">A1985</f>
        <v>51001</v>
      </c>
      <c r="L1984" s="18" t="s">
        <v>297</v>
      </c>
      <c r="M1984" s="18" t="s">
        <v>298</v>
      </c>
      <c r="N1984" s="16" t="str">
        <f t="shared" si="1485"/>
        <v>141:1</v>
      </c>
      <c r="O1984" s="18">
        <f t="shared" si="1496"/>
        <v>1</v>
      </c>
      <c r="P1984" s="21" t="str">
        <f>$S$2&amp;R1984&amp;$Q$1&amp;T1984</f>
        <v>所有牧师和法师生命增加1</v>
      </c>
      <c r="Q1984" s="22"/>
      <c r="R1984" t="s">
        <v>4270</v>
      </c>
      <c r="T1984" t="str">
        <f>RIGHT(N1984,1)</f>
        <v>1</v>
      </c>
      <c r="U1984" t="str">
        <f t="shared" si="1478"/>
        <v>牧师</v>
      </c>
      <c r="V1984" t="s">
        <v>4824</v>
      </c>
      <c r="W1984">
        <f>属性类型!G1984</f>
        <v>141</v>
      </c>
      <c r="X1984">
        <v>1</v>
      </c>
    </row>
    <row r="1985" customFormat="1" ht="16.5" spans="1:24">
      <c r="A1985" s="17">
        <f t="shared" ref="A1985:A1994" si="1562">A1984+1</f>
        <v>51001</v>
      </c>
      <c r="B1985" s="17">
        <f t="shared" si="1546"/>
        <v>51000</v>
      </c>
      <c r="C1985" s="17" t="str">
        <f t="shared" si="1559"/>
        <v>5</v>
      </c>
      <c r="D1985" s="17">
        <f t="shared" si="1560"/>
        <v>50002</v>
      </c>
      <c r="E1985" s="17">
        <v>1</v>
      </c>
      <c r="F1985" s="17">
        <f t="shared" si="1495"/>
        <v>2</v>
      </c>
      <c r="G1985" s="17" t="str">
        <f t="shared" ref="G1985:G1994" si="1563">G1984</f>
        <v>中级生命</v>
      </c>
      <c r="H1985" s="17" t="str">
        <f t="shared" ref="H1985:H1994" si="1564">H1984</f>
        <v>icon_01</v>
      </c>
      <c r="I1985" s="20">
        <v>0</v>
      </c>
      <c r="J1985" s="17">
        <v>1</v>
      </c>
      <c r="K1985" s="17">
        <f t="shared" si="1561"/>
        <v>51002</v>
      </c>
      <c r="L1985" s="17" t="s">
        <v>300</v>
      </c>
      <c r="M1985" s="17" t="str">
        <f t="shared" ref="M1985:M1994" si="1565">M1984</f>
        <v>2:10001:30</v>
      </c>
      <c r="N1985" s="16" t="str">
        <f t="shared" si="1485"/>
        <v>141:1</v>
      </c>
      <c r="O1985" s="17">
        <f t="shared" si="1496"/>
        <v>1</v>
      </c>
      <c r="P1985" s="21" t="str">
        <f>$S$2&amp;R1985&amp;$Q$1&amp;T1985</f>
        <v>所有牧师和法师生命增加:1</v>
      </c>
      <c r="Q1985" s="21"/>
      <c r="R1985" t="str">
        <f t="shared" ref="R1985:R1994" si="1566">R1984</f>
        <v>生命</v>
      </c>
      <c r="T1985" t="str">
        <f t="shared" ref="T1985:T1994" si="1567">RIGHT(N1985,2)</f>
        <v>:1</v>
      </c>
      <c r="U1985" t="str">
        <f t="shared" si="1478"/>
        <v>牧师</v>
      </c>
      <c r="V1985" t="s">
        <v>4824</v>
      </c>
      <c r="W1985">
        <f>属性类型!G1985</f>
        <v>141</v>
      </c>
      <c r="X1985">
        <v>1</v>
      </c>
    </row>
    <row r="1986" customFormat="1" ht="16.5" spans="1:24">
      <c r="A1986" s="17">
        <f t="shared" si="1562"/>
        <v>51002</v>
      </c>
      <c r="B1986" s="17">
        <f t="shared" si="1546"/>
        <v>51000</v>
      </c>
      <c r="C1986" s="17" t="str">
        <f t="shared" si="1559"/>
        <v>5</v>
      </c>
      <c r="D1986" s="17">
        <f t="shared" si="1560"/>
        <v>50002</v>
      </c>
      <c r="E1986" s="17">
        <v>1</v>
      </c>
      <c r="F1986" s="17">
        <f t="shared" si="1495"/>
        <v>2</v>
      </c>
      <c r="G1986" s="17" t="str">
        <f t="shared" si="1563"/>
        <v>中级生命</v>
      </c>
      <c r="H1986" s="17" t="str">
        <f t="shared" si="1564"/>
        <v>icon_01</v>
      </c>
      <c r="I1986" s="20">
        <v>0</v>
      </c>
      <c r="J1986" s="17">
        <v>2</v>
      </c>
      <c r="K1986" s="17">
        <f t="shared" si="1561"/>
        <v>51003</v>
      </c>
      <c r="L1986" s="17" t="s">
        <v>304</v>
      </c>
      <c r="M1986" s="17" t="str">
        <f t="shared" si="1565"/>
        <v>2:10001:30</v>
      </c>
      <c r="N1986" s="16" t="str">
        <f t="shared" si="1485"/>
        <v>141:1</v>
      </c>
      <c r="O1986" s="17">
        <f t="shared" si="1496"/>
        <v>1</v>
      </c>
      <c r="P1986" s="21" t="str">
        <f>$S$2&amp;R1986&amp;$Q$1&amp;T1986</f>
        <v>所有牧师和法师生命增加:1</v>
      </c>
      <c r="Q1986" s="21"/>
      <c r="R1986" t="str">
        <f t="shared" si="1566"/>
        <v>生命</v>
      </c>
      <c r="T1986" t="str">
        <f t="shared" si="1567"/>
        <v>:1</v>
      </c>
      <c r="U1986" t="str">
        <f t="shared" si="1478"/>
        <v>牧师</v>
      </c>
      <c r="V1986" t="s">
        <v>4824</v>
      </c>
      <c r="W1986">
        <f>属性类型!G1986</f>
        <v>141</v>
      </c>
      <c r="X1986">
        <v>1</v>
      </c>
    </row>
    <row r="1987" customFormat="1" ht="16.5" spans="1:24">
      <c r="A1987" s="17">
        <f t="shared" si="1562"/>
        <v>51003</v>
      </c>
      <c r="B1987" s="17">
        <f t="shared" si="1546"/>
        <v>51000</v>
      </c>
      <c r="C1987" s="17" t="str">
        <f t="shared" si="1559"/>
        <v>5</v>
      </c>
      <c r="D1987" s="17">
        <f t="shared" si="1560"/>
        <v>50002</v>
      </c>
      <c r="E1987" s="17">
        <v>1</v>
      </c>
      <c r="F1987" s="17">
        <f t="shared" si="1495"/>
        <v>2</v>
      </c>
      <c r="G1987" s="17" t="str">
        <f t="shared" si="1563"/>
        <v>中级生命</v>
      </c>
      <c r="H1987" s="17" t="str">
        <f t="shared" si="1564"/>
        <v>icon_01</v>
      </c>
      <c r="I1987" s="20">
        <v>0</v>
      </c>
      <c r="J1987" s="17">
        <v>3</v>
      </c>
      <c r="K1987" s="17">
        <f t="shared" si="1561"/>
        <v>51004</v>
      </c>
      <c r="L1987" s="17" t="s">
        <v>307</v>
      </c>
      <c r="M1987" s="17" t="str">
        <f t="shared" si="1565"/>
        <v>2:10001:30</v>
      </c>
      <c r="N1987" s="16" t="str">
        <f t="shared" si="1485"/>
        <v>141:1</v>
      </c>
      <c r="O1987" s="17">
        <f t="shared" si="1496"/>
        <v>1</v>
      </c>
      <c r="P1987" s="21" t="str">
        <f>$S$2&amp;R1987&amp;$Q$1&amp;T1987</f>
        <v>所有牧师和法师生命增加:1</v>
      </c>
      <c r="Q1987" s="21"/>
      <c r="R1987" t="str">
        <f t="shared" si="1566"/>
        <v>生命</v>
      </c>
      <c r="T1987" t="str">
        <f t="shared" si="1567"/>
        <v>:1</v>
      </c>
      <c r="U1987" t="str">
        <f t="shared" si="1478"/>
        <v>牧师</v>
      </c>
      <c r="V1987" t="s">
        <v>4824</v>
      </c>
      <c r="W1987">
        <f>属性类型!G1987</f>
        <v>141</v>
      </c>
      <c r="X1987">
        <v>1</v>
      </c>
    </row>
    <row r="1988" customFormat="1" ht="16.5" spans="1:24">
      <c r="A1988" s="17">
        <f t="shared" si="1562"/>
        <v>51004</v>
      </c>
      <c r="B1988" s="17">
        <f t="shared" si="1546"/>
        <v>51000</v>
      </c>
      <c r="C1988" s="17" t="str">
        <f t="shared" si="1559"/>
        <v>5</v>
      </c>
      <c r="D1988" s="17">
        <f t="shared" si="1560"/>
        <v>50002</v>
      </c>
      <c r="E1988" s="17">
        <v>1</v>
      </c>
      <c r="F1988" s="17">
        <f t="shared" si="1495"/>
        <v>2</v>
      </c>
      <c r="G1988" s="17" t="str">
        <f t="shared" si="1563"/>
        <v>中级生命</v>
      </c>
      <c r="H1988" s="17" t="str">
        <f t="shared" si="1564"/>
        <v>icon_01</v>
      </c>
      <c r="I1988" s="20">
        <v>0</v>
      </c>
      <c r="J1988" s="17">
        <v>4</v>
      </c>
      <c r="K1988" s="17">
        <f t="shared" si="1561"/>
        <v>51005</v>
      </c>
      <c r="L1988" s="17" t="s">
        <v>309</v>
      </c>
      <c r="M1988" s="17" t="str">
        <f t="shared" si="1565"/>
        <v>2:10001:30</v>
      </c>
      <c r="N1988" s="16" t="str">
        <f t="shared" si="1485"/>
        <v>141:1</v>
      </c>
      <c r="O1988" s="17">
        <f t="shared" si="1496"/>
        <v>1</v>
      </c>
      <c r="P1988" s="21" t="str">
        <f>$S$2&amp;R1988&amp;$Q$1&amp;T1988</f>
        <v>所有牧师和法师生命增加:1</v>
      </c>
      <c r="Q1988" s="21"/>
      <c r="R1988" t="str">
        <f t="shared" si="1566"/>
        <v>生命</v>
      </c>
      <c r="T1988" t="str">
        <f t="shared" si="1567"/>
        <v>:1</v>
      </c>
      <c r="U1988" t="str">
        <f t="shared" si="1478"/>
        <v>牧师</v>
      </c>
      <c r="V1988" t="s">
        <v>4824</v>
      </c>
      <c r="W1988">
        <f>属性类型!G1988</f>
        <v>141</v>
      </c>
      <c r="X1988">
        <v>1</v>
      </c>
    </row>
    <row r="1989" customFormat="1" ht="16.5" spans="1:24">
      <c r="A1989" s="17">
        <f t="shared" si="1562"/>
        <v>51005</v>
      </c>
      <c r="B1989" s="17">
        <f t="shared" si="1546"/>
        <v>51000</v>
      </c>
      <c r="C1989" s="17" t="str">
        <f t="shared" si="1559"/>
        <v>5</v>
      </c>
      <c r="D1989" s="17">
        <f t="shared" si="1560"/>
        <v>50002</v>
      </c>
      <c r="E1989" s="17">
        <v>1</v>
      </c>
      <c r="F1989" s="17">
        <f t="shared" si="1495"/>
        <v>2</v>
      </c>
      <c r="G1989" s="17" t="str">
        <f t="shared" si="1563"/>
        <v>中级生命</v>
      </c>
      <c r="H1989" s="17" t="str">
        <f t="shared" si="1564"/>
        <v>icon_01</v>
      </c>
      <c r="I1989" s="20">
        <v>0</v>
      </c>
      <c r="J1989" s="17">
        <v>5</v>
      </c>
      <c r="K1989" s="17">
        <f t="shared" si="1561"/>
        <v>51006</v>
      </c>
      <c r="L1989" s="17" t="s">
        <v>312</v>
      </c>
      <c r="M1989" s="17" t="str">
        <f t="shared" si="1565"/>
        <v>2:10001:30</v>
      </c>
      <c r="N1989" s="16" t="str">
        <f t="shared" si="1485"/>
        <v>141:1</v>
      </c>
      <c r="O1989" s="17">
        <f t="shared" si="1496"/>
        <v>1</v>
      </c>
      <c r="P1989" s="21" t="str">
        <f>$S$2&amp;R1989&amp;$Q$1&amp;T1989</f>
        <v>所有牧师和法师生命增加:1</v>
      </c>
      <c r="Q1989" s="21"/>
      <c r="R1989" t="str">
        <f t="shared" si="1566"/>
        <v>生命</v>
      </c>
      <c r="T1989" t="str">
        <f t="shared" si="1567"/>
        <v>:1</v>
      </c>
      <c r="U1989" t="str">
        <f t="shared" ref="U1989:U2052" si="1568">MID(P1989,3,2)</f>
        <v>牧师</v>
      </c>
      <c r="V1989" t="s">
        <v>4824</v>
      </c>
      <c r="W1989">
        <f>属性类型!G1989</f>
        <v>141</v>
      </c>
      <c r="X1989">
        <v>1</v>
      </c>
    </row>
    <row r="1990" customFormat="1" ht="16.5" spans="1:24">
      <c r="A1990" s="17">
        <f t="shared" si="1562"/>
        <v>51006</v>
      </c>
      <c r="B1990" s="17">
        <f t="shared" si="1546"/>
        <v>51000</v>
      </c>
      <c r="C1990" s="17" t="str">
        <f t="shared" si="1559"/>
        <v>5</v>
      </c>
      <c r="D1990" s="17">
        <f t="shared" si="1560"/>
        <v>50002</v>
      </c>
      <c r="E1990" s="17">
        <v>1</v>
      </c>
      <c r="F1990" s="17">
        <f t="shared" si="1495"/>
        <v>2</v>
      </c>
      <c r="G1990" s="17" t="str">
        <f t="shared" si="1563"/>
        <v>中级生命</v>
      </c>
      <c r="H1990" s="17" t="str">
        <f t="shared" si="1564"/>
        <v>icon_01</v>
      </c>
      <c r="I1990" s="20">
        <v>0</v>
      </c>
      <c r="J1990" s="17">
        <v>6</v>
      </c>
      <c r="K1990" s="17">
        <f t="shared" si="1561"/>
        <v>51007</v>
      </c>
      <c r="L1990" s="17" t="s">
        <v>315</v>
      </c>
      <c r="M1990" s="17" t="str">
        <f t="shared" si="1565"/>
        <v>2:10001:30</v>
      </c>
      <c r="N1990" s="16" t="str">
        <f t="shared" si="1485"/>
        <v>141:1</v>
      </c>
      <c r="O1990" s="17">
        <f t="shared" si="1496"/>
        <v>1</v>
      </c>
      <c r="P1990" s="21" t="str">
        <f>$S$2&amp;R1990&amp;$Q$1&amp;T1990</f>
        <v>所有牧师和法师生命增加:1</v>
      </c>
      <c r="Q1990" s="21"/>
      <c r="R1990" t="str">
        <f t="shared" si="1566"/>
        <v>生命</v>
      </c>
      <c r="T1990" t="str">
        <f t="shared" si="1567"/>
        <v>:1</v>
      </c>
      <c r="U1990" t="str">
        <f t="shared" si="1568"/>
        <v>牧师</v>
      </c>
      <c r="V1990" t="s">
        <v>4824</v>
      </c>
      <c r="W1990">
        <f>属性类型!G1990</f>
        <v>141</v>
      </c>
      <c r="X1990">
        <v>1</v>
      </c>
    </row>
    <row r="1991" customFormat="1" ht="16.5" spans="1:24">
      <c r="A1991" s="17">
        <f t="shared" si="1562"/>
        <v>51007</v>
      </c>
      <c r="B1991" s="17">
        <f t="shared" si="1546"/>
        <v>51000</v>
      </c>
      <c r="C1991" s="17" t="str">
        <f t="shared" si="1559"/>
        <v>5</v>
      </c>
      <c r="D1991" s="17">
        <f t="shared" si="1560"/>
        <v>50002</v>
      </c>
      <c r="E1991" s="17">
        <v>1</v>
      </c>
      <c r="F1991" s="17">
        <f t="shared" si="1495"/>
        <v>2</v>
      </c>
      <c r="G1991" s="17" t="str">
        <f t="shared" si="1563"/>
        <v>中级生命</v>
      </c>
      <c r="H1991" s="17" t="str">
        <f t="shared" si="1564"/>
        <v>icon_01</v>
      </c>
      <c r="I1991" s="20">
        <v>0</v>
      </c>
      <c r="J1991" s="17">
        <v>7</v>
      </c>
      <c r="K1991" s="17">
        <f t="shared" si="1561"/>
        <v>51008</v>
      </c>
      <c r="L1991" s="17" t="s">
        <v>317</v>
      </c>
      <c r="M1991" s="17" t="str">
        <f t="shared" si="1565"/>
        <v>2:10001:30</v>
      </c>
      <c r="N1991" s="16" t="str">
        <f t="shared" si="1485"/>
        <v>141:1</v>
      </c>
      <c r="O1991" s="17">
        <f t="shared" si="1496"/>
        <v>1</v>
      </c>
      <c r="P1991" s="21" t="str">
        <f>$S$2&amp;R1991&amp;$Q$1&amp;T1991</f>
        <v>所有牧师和法师生命增加:1</v>
      </c>
      <c r="Q1991" s="21"/>
      <c r="R1991" t="str">
        <f t="shared" si="1566"/>
        <v>生命</v>
      </c>
      <c r="T1991" t="str">
        <f t="shared" si="1567"/>
        <v>:1</v>
      </c>
      <c r="U1991" t="str">
        <f t="shared" si="1568"/>
        <v>牧师</v>
      </c>
      <c r="V1991" t="s">
        <v>4824</v>
      </c>
      <c r="W1991">
        <f>属性类型!G1991</f>
        <v>141</v>
      </c>
      <c r="X1991">
        <v>1</v>
      </c>
    </row>
    <row r="1992" customFormat="1" ht="16.5" spans="1:24">
      <c r="A1992" s="17">
        <f t="shared" si="1562"/>
        <v>51008</v>
      </c>
      <c r="B1992" s="17">
        <f t="shared" si="1546"/>
        <v>51000</v>
      </c>
      <c r="C1992" s="17" t="str">
        <f t="shared" si="1559"/>
        <v>5</v>
      </c>
      <c r="D1992" s="17">
        <f t="shared" si="1560"/>
        <v>50002</v>
      </c>
      <c r="E1992" s="17">
        <v>1</v>
      </c>
      <c r="F1992" s="17">
        <f t="shared" si="1495"/>
        <v>2</v>
      </c>
      <c r="G1992" s="17" t="str">
        <f t="shared" si="1563"/>
        <v>中级生命</v>
      </c>
      <c r="H1992" s="17" t="str">
        <f t="shared" si="1564"/>
        <v>icon_01</v>
      </c>
      <c r="I1992" s="20">
        <v>0</v>
      </c>
      <c r="J1992" s="17">
        <v>8</v>
      </c>
      <c r="K1992" s="17">
        <f t="shared" si="1561"/>
        <v>51009</v>
      </c>
      <c r="L1992" s="17" t="s">
        <v>320</v>
      </c>
      <c r="M1992" s="17" t="str">
        <f t="shared" si="1565"/>
        <v>2:10001:30</v>
      </c>
      <c r="N1992" s="16" t="str">
        <f t="shared" si="1485"/>
        <v>141:1</v>
      </c>
      <c r="O1992" s="17">
        <f t="shared" si="1496"/>
        <v>1</v>
      </c>
      <c r="P1992" s="21" t="str">
        <f>$S$2&amp;R1992&amp;$Q$1&amp;T1992</f>
        <v>所有牧师和法师生命增加:1</v>
      </c>
      <c r="Q1992" s="21"/>
      <c r="R1992" t="str">
        <f t="shared" si="1566"/>
        <v>生命</v>
      </c>
      <c r="T1992" t="str">
        <f t="shared" si="1567"/>
        <v>:1</v>
      </c>
      <c r="U1992" t="str">
        <f t="shared" si="1568"/>
        <v>牧师</v>
      </c>
      <c r="V1992" t="s">
        <v>4824</v>
      </c>
      <c r="W1992">
        <f>属性类型!G1992</f>
        <v>141</v>
      </c>
      <c r="X1992">
        <v>1</v>
      </c>
    </row>
    <row r="1993" customFormat="1" ht="16.5" spans="1:24">
      <c r="A1993" s="17">
        <f t="shared" si="1562"/>
        <v>51009</v>
      </c>
      <c r="B1993" s="17">
        <f t="shared" si="1546"/>
        <v>51000</v>
      </c>
      <c r="C1993" s="17" t="str">
        <f t="shared" si="1559"/>
        <v>5</v>
      </c>
      <c r="D1993" s="17">
        <f t="shared" si="1560"/>
        <v>50002</v>
      </c>
      <c r="E1993" s="17">
        <v>1</v>
      </c>
      <c r="F1993" s="17">
        <f t="shared" si="1495"/>
        <v>2</v>
      </c>
      <c r="G1993" s="17" t="str">
        <f t="shared" si="1563"/>
        <v>中级生命</v>
      </c>
      <c r="H1993" s="17" t="str">
        <f t="shared" si="1564"/>
        <v>icon_01</v>
      </c>
      <c r="I1993" s="20">
        <v>0</v>
      </c>
      <c r="J1993" s="17">
        <v>9</v>
      </c>
      <c r="K1993" s="17">
        <f t="shared" si="1561"/>
        <v>51010</v>
      </c>
      <c r="L1993" s="17" t="s">
        <v>323</v>
      </c>
      <c r="M1993" s="17" t="str">
        <f t="shared" si="1565"/>
        <v>2:10001:30</v>
      </c>
      <c r="N1993" s="16" t="str">
        <f t="shared" si="1485"/>
        <v>141:1</v>
      </c>
      <c r="O1993" s="17">
        <f t="shared" si="1496"/>
        <v>1</v>
      </c>
      <c r="P1993" s="21" t="str">
        <f>$S$2&amp;R1993&amp;$Q$1&amp;T1993</f>
        <v>所有牧师和法师生命增加:1</v>
      </c>
      <c r="Q1993" s="21"/>
      <c r="R1993" t="str">
        <f t="shared" si="1566"/>
        <v>生命</v>
      </c>
      <c r="T1993" t="str">
        <f t="shared" si="1567"/>
        <v>:1</v>
      </c>
      <c r="U1993" t="str">
        <f t="shared" si="1568"/>
        <v>牧师</v>
      </c>
      <c r="V1993" t="s">
        <v>4824</v>
      </c>
      <c r="W1993">
        <f>属性类型!G1993</f>
        <v>141</v>
      </c>
      <c r="X1993">
        <v>1</v>
      </c>
    </row>
    <row r="1994" customFormat="1" ht="16.5" spans="1:24">
      <c r="A1994" s="17">
        <f t="shared" si="1562"/>
        <v>51010</v>
      </c>
      <c r="B1994" s="17">
        <f t="shared" si="1546"/>
        <v>51000</v>
      </c>
      <c r="C1994" s="17" t="str">
        <f t="shared" si="1559"/>
        <v>5</v>
      </c>
      <c r="D1994" s="17">
        <f t="shared" si="1560"/>
        <v>50002</v>
      </c>
      <c r="E1994" s="17">
        <v>1</v>
      </c>
      <c r="F1994" s="17">
        <f t="shared" si="1495"/>
        <v>2</v>
      </c>
      <c r="G1994" s="17" t="str">
        <f t="shared" si="1563"/>
        <v>中级生命</v>
      </c>
      <c r="H1994" s="17" t="str">
        <f t="shared" si="1564"/>
        <v>icon_01</v>
      </c>
      <c r="I1994" s="20">
        <v>0</v>
      </c>
      <c r="J1994" s="17">
        <v>10</v>
      </c>
      <c r="K1994" s="17">
        <v>0</v>
      </c>
      <c r="L1994" s="17">
        <v>0</v>
      </c>
      <c r="M1994" s="17" t="str">
        <f t="shared" si="1565"/>
        <v>2:10001:30</v>
      </c>
      <c r="N1994" s="16" t="str">
        <f t="shared" si="1485"/>
        <v>141:1</v>
      </c>
      <c r="O1994" s="17">
        <f t="shared" si="1496"/>
        <v>1</v>
      </c>
      <c r="P1994" s="21" t="str">
        <f t="shared" ref="P1994:P2057" si="1569">$S$2&amp;R1994&amp;$Q$1&amp;T1994</f>
        <v>所有牧师和法师生命增加:1</v>
      </c>
      <c r="Q1994" s="21"/>
      <c r="R1994" t="str">
        <f t="shared" si="1566"/>
        <v>生命</v>
      </c>
      <c r="T1994" t="str">
        <f t="shared" si="1567"/>
        <v>:1</v>
      </c>
      <c r="U1994" t="str">
        <f t="shared" si="1568"/>
        <v>牧师</v>
      </c>
      <c r="V1994" t="s">
        <v>4824</v>
      </c>
      <c r="W1994">
        <f>属性类型!G1994</f>
        <v>141</v>
      </c>
      <c r="X1994">
        <v>1</v>
      </c>
    </row>
    <row r="1995" customFormat="1" ht="16.5" spans="1:24">
      <c r="A1995" s="18">
        <f>A1984+100</f>
        <v>51100</v>
      </c>
      <c r="B1995" s="18">
        <f t="shared" si="1546"/>
        <v>51100</v>
      </c>
      <c r="C1995" s="18" t="str">
        <f t="shared" si="1559"/>
        <v>5</v>
      </c>
      <c r="D1995" s="17">
        <f t="shared" si="1560"/>
        <v>50002</v>
      </c>
      <c r="E1995" s="17">
        <v>1</v>
      </c>
      <c r="F1995" s="18">
        <f t="shared" si="1495"/>
        <v>2</v>
      </c>
      <c r="G1995" s="18" t="s">
        <v>327</v>
      </c>
      <c r="H1995" s="18" t="s">
        <v>63</v>
      </c>
      <c r="I1995" s="20">
        <v>0</v>
      </c>
      <c r="J1995" s="18">
        <v>0</v>
      </c>
      <c r="K1995" s="18">
        <f t="shared" ref="K1995:K2004" si="1570">A1996</f>
        <v>51101</v>
      </c>
      <c r="L1995" s="18" t="s">
        <v>297</v>
      </c>
      <c r="M1995" s="18" t="s">
        <v>329</v>
      </c>
      <c r="N1995" s="16" t="str">
        <f t="shared" ref="N1995:N2058" si="1571">W1995&amp;$W$2&amp;X1995</f>
        <v>143:1</v>
      </c>
      <c r="O1995" s="18">
        <f t="shared" si="1496"/>
        <v>2</v>
      </c>
      <c r="P1995" s="21" t="str">
        <f t="shared" si="1569"/>
        <v>所有牧师和法师防御增加1</v>
      </c>
      <c r="Q1995" s="21"/>
      <c r="R1995" t="s">
        <v>4272</v>
      </c>
      <c r="T1995" t="str">
        <f>RIGHT(N1995,1)</f>
        <v>1</v>
      </c>
      <c r="U1995" t="str">
        <f t="shared" si="1568"/>
        <v>牧师</v>
      </c>
      <c r="V1995" t="s">
        <v>4825</v>
      </c>
      <c r="W1995">
        <f>属性类型!G1995</f>
        <v>143</v>
      </c>
      <c r="X1995">
        <v>1</v>
      </c>
    </row>
    <row r="1996" customFormat="1" ht="16.5" spans="1:24">
      <c r="A1996" s="17">
        <f t="shared" ref="A1996:A2005" si="1572">A1995+1</f>
        <v>51101</v>
      </c>
      <c r="B1996" s="17">
        <f t="shared" si="1546"/>
        <v>51100</v>
      </c>
      <c r="C1996" s="17" t="str">
        <f t="shared" si="1559"/>
        <v>5</v>
      </c>
      <c r="D1996" s="17">
        <f t="shared" si="1560"/>
        <v>50002</v>
      </c>
      <c r="E1996" s="17">
        <v>1</v>
      </c>
      <c r="F1996" s="17">
        <f t="shared" si="1495"/>
        <v>2</v>
      </c>
      <c r="G1996" s="17" t="str">
        <f t="shared" ref="G1996:G2005" si="1573">G1995</f>
        <v>中级防御</v>
      </c>
      <c r="H1996" s="17" t="str">
        <f t="shared" ref="H1996:H2005" si="1574">H1995</f>
        <v>icon_02</v>
      </c>
      <c r="I1996" s="20">
        <v>0</v>
      </c>
      <c r="J1996" s="17">
        <v>1</v>
      </c>
      <c r="K1996" s="17">
        <f t="shared" si="1570"/>
        <v>51102</v>
      </c>
      <c r="L1996" s="17" t="s">
        <v>300</v>
      </c>
      <c r="M1996" s="17" t="str">
        <f t="shared" ref="M1996:M2005" si="1575">M1995</f>
        <v>1:11000:5</v>
      </c>
      <c r="N1996" s="16" t="str">
        <f t="shared" si="1571"/>
        <v>143:1</v>
      </c>
      <c r="O1996" s="17">
        <f t="shared" si="1496"/>
        <v>2</v>
      </c>
      <c r="P1996" s="21" t="str">
        <f t="shared" si="1569"/>
        <v>所有牧师和法师防御增加:1</v>
      </c>
      <c r="Q1996" s="21"/>
      <c r="R1996" t="str">
        <f t="shared" ref="R1996:R2005" si="1576">R1995</f>
        <v>防御</v>
      </c>
      <c r="T1996" t="str">
        <f t="shared" ref="T1996:T2005" si="1577">RIGHT(N1996,2)</f>
        <v>:1</v>
      </c>
      <c r="U1996" t="str">
        <f t="shared" si="1568"/>
        <v>牧师</v>
      </c>
      <c r="V1996" t="s">
        <v>4825</v>
      </c>
      <c r="W1996">
        <f>属性类型!G1996</f>
        <v>143</v>
      </c>
      <c r="X1996">
        <v>1</v>
      </c>
    </row>
    <row r="1997" customFormat="1" ht="16.5" spans="1:24">
      <c r="A1997" s="17">
        <f t="shared" si="1572"/>
        <v>51102</v>
      </c>
      <c r="B1997" s="17">
        <f t="shared" si="1546"/>
        <v>51100</v>
      </c>
      <c r="C1997" s="17" t="str">
        <f t="shared" si="1559"/>
        <v>5</v>
      </c>
      <c r="D1997" s="17">
        <f t="shared" si="1560"/>
        <v>50002</v>
      </c>
      <c r="E1997" s="17">
        <v>1</v>
      </c>
      <c r="F1997" s="17">
        <f t="shared" si="1495"/>
        <v>2</v>
      </c>
      <c r="G1997" s="17" t="str">
        <f t="shared" si="1573"/>
        <v>中级防御</v>
      </c>
      <c r="H1997" s="17" t="str">
        <f t="shared" si="1574"/>
        <v>icon_02</v>
      </c>
      <c r="I1997" s="20">
        <v>0</v>
      </c>
      <c r="J1997" s="17">
        <v>2</v>
      </c>
      <c r="K1997" s="17">
        <f t="shared" si="1570"/>
        <v>51103</v>
      </c>
      <c r="L1997" s="17" t="s">
        <v>304</v>
      </c>
      <c r="M1997" s="17" t="str">
        <f t="shared" si="1575"/>
        <v>1:11000:5</v>
      </c>
      <c r="N1997" s="16" t="str">
        <f t="shared" si="1571"/>
        <v>143:1</v>
      </c>
      <c r="O1997" s="17">
        <f t="shared" si="1496"/>
        <v>2</v>
      </c>
      <c r="P1997" s="21" t="str">
        <f t="shared" si="1569"/>
        <v>所有牧师和法师防御增加:1</v>
      </c>
      <c r="Q1997" s="21"/>
      <c r="R1997" t="str">
        <f t="shared" si="1576"/>
        <v>防御</v>
      </c>
      <c r="T1997" t="str">
        <f t="shared" si="1577"/>
        <v>:1</v>
      </c>
      <c r="U1997" t="str">
        <f t="shared" si="1568"/>
        <v>牧师</v>
      </c>
      <c r="V1997" t="s">
        <v>4825</v>
      </c>
      <c r="W1997">
        <f>属性类型!G1997</f>
        <v>143</v>
      </c>
      <c r="X1997">
        <v>1</v>
      </c>
    </row>
    <row r="1998" customFormat="1" ht="16.5" spans="1:24">
      <c r="A1998" s="17">
        <f t="shared" si="1572"/>
        <v>51103</v>
      </c>
      <c r="B1998" s="17">
        <f t="shared" si="1546"/>
        <v>51100</v>
      </c>
      <c r="C1998" s="17" t="str">
        <f t="shared" si="1559"/>
        <v>5</v>
      </c>
      <c r="D1998" s="17">
        <f t="shared" si="1560"/>
        <v>50002</v>
      </c>
      <c r="E1998" s="17">
        <v>1</v>
      </c>
      <c r="F1998" s="17">
        <f t="shared" si="1495"/>
        <v>2</v>
      </c>
      <c r="G1998" s="17" t="str">
        <f t="shared" si="1573"/>
        <v>中级防御</v>
      </c>
      <c r="H1998" s="17" t="str">
        <f t="shared" si="1574"/>
        <v>icon_02</v>
      </c>
      <c r="I1998" s="20">
        <v>0</v>
      </c>
      <c r="J1998" s="17">
        <v>3</v>
      </c>
      <c r="K1998" s="17">
        <f t="shared" si="1570"/>
        <v>51104</v>
      </c>
      <c r="L1998" s="17" t="s">
        <v>307</v>
      </c>
      <c r="M1998" s="17" t="str">
        <f t="shared" si="1575"/>
        <v>1:11000:5</v>
      </c>
      <c r="N1998" s="16" t="str">
        <f t="shared" si="1571"/>
        <v>143:1</v>
      </c>
      <c r="O1998" s="17">
        <f t="shared" si="1496"/>
        <v>2</v>
      </c>
      <c r="P1998" s="21" t="str">
        <f t="shared" si="1569"/>
        <v>所有牧师和法师防御增加:1</v>
      </c>
      <c r="Q1998" s="21"/>
      <c r="R1998" t="str">
        <f t="shared" si="1576"/>
        <v>防御</v>
      </c>
      <c r="T1998" t="str">
        <f t="shared" si="1577"/>
        <v>:1</v>
      </c>
      <c r="U1998" t="str">
        <f t="shared" si="1568"/>
        <v>牧师</v>
      </c>
      <c r="V1998" t="s">
        <v>4825</v>
      </c>
      <c r="W1998">
        <f>属性类型!G1998</f>
        <v>143</v>
      </c>
      <c r="X1998">
        <v>1</v>
      </c>
    </row>
    <row r="1999" customFormat="1" ht="16.5" spans="1:24">
      <c r="A1999" s="17">
        <f t="shared" si="1572"/>
        <v>51104</v>
      </c>
      <c r="B1999" s="17">
        <f t="shared" si="1546"/>
        <v>51100</v>
      </c>
      <c r="C1999" s="17" t="str">
        <f t="shared" si="1559"/>
        <v>5</v>
      </c>
      <c r="D1999" s="17">
        <f t="shared" si="1560"/>
        <v>50002</v>
      </c>
      <c r="E1999" s="17">
        <v>1</v>
      </c>
      <c r="F1999" s="17">
        <f t="shared" si="1495"/>
        <v>2</v>
      </c>
      <c r="G1999" s="17" t="str">
        <f t="shared" si="1573"/>
        <v>中级防御</v>
      </c>
      <c r="H1999" s="17" t="str">
        <f t="shared" si="1574"/>
        <v>icon_02</v>
      </c>
      <c r="I1999" s="20">
        <v>0</v>
      </c>
      <c r="J1999" s="17">
        <v>4</v>
      </c>
      <c r="K1999" s="17">
        <f t="shared" si="1570"/>
        <v>51105</v>
      </c>
      <c r="L1999" s="17" t="s">
        <v>309</v>
      </c>
      <c r="M1999" s="17" t="str">
        <f t="shared" si="1575"/>
        <v>1:11000:5</v>
      </c>
      <c r="N1999" s="16" t="str">
        <f t="shared" si="1571"/>
        <v>143:1</v>
      </c>
      <c r="O1999" s="17">
        <f t="shared" si="1496"/>
        <v>2</v>
      </c>
      <c r="P1999" s="21" t="str">
        <f t="shared" si="1569"/>
        <v>所有牧师和法师防御增加:1</v>
      </c>
      <c r="Q1999" s="21"/>
      <c r="R1999" t="str">
        <f t="shared" si="1576"/>
        <v>防御</v>
      </c>
      <c r="T1999" t="str">
        <f t="shared" si="1577"/>
        <v>:1</v>
      </c>
      <c r="U1999" t="str">
        <f t="shared" si="1568"/>
        <v>牧师</v>
      </c>
      <c r="V1999" t="s">
        <v>4825</v>
      </c>
      <c r="W1999">
        <f>属性类型!G1999</f>
        <v>143</v>
      </c>
      <c r="X1999">
        <v>1</v>
      </c>
    </row>
    <row r="2000" customFormat="1" ht="16.5" spans="1:24">
      <c r="A2000" s="17">
        <f t="shared" si="1572"/>
        <v>51105</v>
      </c>
      <c r="B2000" s="17">
        <f t="shared" si="1546"/>
        <v>51100</v>
      </c>
      <c r="C2000" s="17" t="str">
        <f t="shared" si="1559"/>
        <v>5</v>
      </c>
      <c r="D2000" s="17">
        <f t="shared" si="1560"/>
        <v>50002</v>
      </c>
      <c r="E2000" s="17">
        <v>1</v>
      </c>
      <c r="F2000" s="17">
        <f t="shared" ref="F2000:F2063" si="1578">MID(B2000,2,1)+1</f>
        <v>2</v>
      </c>
      <c r="G2000" s="17" t="str">
        <f t="shared" si="1573"/>
        <v>中级防御</v>
      </c>
      <c r="H2000" s="17" t="str">
        <f t="shared" si="1574"/>
        <v>icon_02</v>
      </c>
      <c r="I2000" s="20">
        <v>0</v>
      </c>
      <c r="J2000" s="17">
        <v>5</v>
      </c>
      <c r="K2000" s="17">
        <f t="shared" si="1570"/>
        <v>51106</v>
      </c>
      <c r="L2000" s="17" t="s">
        <v>312</v>
      </c>
      <c r="M2000" s="17" t="str">
        <f t="shared" si="1575"/>
        <v>1:11000:5</v>
      </c>
      <c r="N2000" s="16" t="str">
        <f t="shared" si="1571"/>
        <v>143:1</v>
      </c>
      <c r="O2000" s="17">
        <f t="shared" ref="O2000:O2063" si="1579">MID(A2000,3,1)+1</f>
        <v>2</v>
      </c>
      <c r="P2000" s="21" t="str">
        <f t="shared" si="1569"/>
        <v>所有牧师和法师防御增加:1</v>
      </c>
      <c r="Q2000" s="21"/>
      <c r="R2000" t="str">
        <f t="shared" si="1576"/>
        <v>防御</v>
      </c>
      <c r="T2000" t="str">
        <f t="shared" si="1577"/>
        <v>:1</v>
      </c>
      <c r="U2000" t="str">
        <f t="shared" si="1568"/>
        <v>牧师</v>
      </c>
      <c r="V2000" t="s">
        <v>4825</v>
      </c>
      <c r="W2000">
        <f>属性类型!G2000</f>
        <v>143</v>
      </c>
      <c r="X2000">
        <v>1</v>
      </c>
    </row>
    <row r="2001" customFormat="1" ht="16.5" spans="1:24">
      <c r="A2001" s="17">
        <f t="shared" si="1572"/>
        <v>51106</v>
      </c>
      <c r="B2001" s="17">
        <f t="shared" si="1546"/>
        <v>51100</v>
      </c>
      <c r="C2001" s="17" t="str">
        <f t="shared" si="1559"/>
        <v>5</v>
      </c>
      <c r="D2001" s="17">
        <f t="shared" si="1560"/>
        <v>50002</v>
      </c>
      <c r="E2001" s="17">
        <v>1</v>
      </c>
      <c r="F2001" s="17">
        <f t="shared" si="1578"/>
        <v>2</v>
      </c>
      <c r="G2001" s="17" t="str">
        <f t="shared" si="1573"/>
        <v>中级防御</v>
      </c>
      <c r="H2001" s="17" t="str">
        <f t="shared" si="1574"/>
        <v>icon_02</v>
      </c>
      <c r="I2001" s="20">
        <v>0</v>
      </c>
      <c r="J2001" s="17">
        <v>6</v>
      </c>
      <c r="K2001" s="17">
        <f t="shared" si="1570"/>
        <v>51107</v>
      </c>
      <c r="L2001" s="17" t="s">
        <v>315</v>
      </c>
      <c r="M2001" s="17" t="str">
        <f t="shared" si="1575"/>
        <v>1:11000:5</v>
      </c>
      <c r="N2001" s="16" t="str">
        <f t="shared" si="1571"/>
        <v>143:1</v>
      </c>
      <c r="O2001" s="17">
        <f t="shared" si="1579"/>
        <v>2</v>
      </c>
      <c r="P2001" s="21" t="str">
        <f t="shared" si="1569"/>
        <v>所有牧师和法师防御增加:1</v>
      </c>
      <c r="Q2001" s="21"/>
      <c r="R2001" t="str">
        <f t="shared" si="1576"/>
        <v>防御</v>
      </c>
      <c r="T2001" t="str">
        <f t="shared" si="1577"/>
        <v>:1</v>
      </c>
      <c r="U2001" t="str">
        <f t="shared" si="1568"/>
        <v>牧师</v>
      </c>
      <c r="V2001" t="s">
        <v>4825</v>
      </c>
      <c r="W2001">
        <f>属性类型!G2001</f>
        <v>143</v>
      </c>
      <c r="X2001">
        <v>1</v>
      </c>
    </row>
    <row r="2002" customFormat="1" ht="16.5" spans="1:24">
      <c r="A2002" s="17">
        <f t="shared" si="1572"/>
        <v>51107</v>
      </c>
      <c r="B2002" s="17">
        <f t="shared" si="1546"/>
        <v>51100</v>
      </c>
      <c r="C2002" s="17" t="str">
        <f t="shared" si="1559"/>
        <v>5</v>
      </c>
      <c r="D2002" s="17">
        <f t="shared" si="1560"/>
        <v>50002</v>
      </c>
      <c r="E2002" s="17">
        <v>1</v>
      </c>
      <c r="F2002" s="17">
        <f t="shared" si="1578"/>
        <v>2</v>
      </c>
      <c r="G2002" s="17" t="str">
        <f t="shared" si="1573"/>
        <v>中级防御</v>
      </c>
      <c r="H2002" s="17" t="str">
        <f t="shared" si="1574"/>
        <v>icon_02</v>
      </c>
      <c r="I2002" s="20">
        <v>0</v>
      </c>
      <c r="J2002" s="17">
        <v>7</v>
      </c>
      <c r="K2002" s="17">
        <f t="shared" si="1570"/>
        <v>51108</v>
      </c>
      <c r="L2002" s="17" t="s">
        <v>317</v>
      </c>
      <c r="M2002" s="17" t="str">
        <f t="shared" si="1575"/>
        <v>1:11000:5</v>
      </c>
      <c r="N2002" s="16" t="str">
        <f t="shared" si="1571"/>
        <v>143:1</v>
      </c>
      <c r="O2002" s="17">
        <f t="shared" si="1579"/>
        <v>2</v>
      </c>
      <c r="P2002" s="21" t="str">
        <f t="shared" si="1569"/>
        <v>所有牧师和法师防御增加:1</v>
      </c>
      <c r="Q2002" s="21"/>
      <c r="R2002" t="str">
        <f t="shared" si="1576"/>
        <v>防御</v>
      </c>
      <c r="T2002" t="str">
        <f t="shared" si="1577"/>
        <v>:1</v>
      </c>
      <c r="U2002" t="str">
        <f t="shared" si="1568"/>
        <v>牧师</v>
      </c>
      <c r="V2002" t="s">
        <v>4825</v>
      </c>
      <c r="W2002">
        <f>属性类型!G2002</f>
        <v>143</v>
      </c>
      <c r="X2002">
        <v>1</v>
      </c>
    </row>
    <row r="2003" customFormat="1" ht="16.5" spans="1:24">
      <c r="A2003" s="17">
        <f t="shared" si="1572"/>
        <v>51108</v>
      </c>
      <c r="B2003" s="17">
        <f t="shared" si="1546"/>
        <v>51100</v>
      </c>
      <c r="C2003" s="17" t="str">
        <f t="shared" si="1559"/>
        <v>5</v>
      </c>
      <c r="D2003" s="17">
        <f t="shared" si="1560"/>
        <v>50002</v>
      </c>
      <c r="E2003" s="17">
        <v>1</v>
      </c>
      <c r="F2003" s="17">
        <f t="shared" si="1578"/>
        <v>2</v>
      </c>
      <c r="G2003" s="17" t="str">
        <f t="shared" si="1573"/>
        <v>中级防御</v>
      </c>
      <c r="H2003" s="17" t="str">
        <f t="shared" si="1574"/>
        <v>icon_02</v>
      </c>
      <c r="I2003" s="20">
        <v>0</v>
      </c>
      <c r="J2003" s="17">
        <v>8</v>
      </c>
      <c r="K2003" s="17">
        <f t="shared" si="1570"/>
        <v>51109</v>
      </c>
      <c r="L2003" s="17" t="s">
        <v>320</v>
      </c>
      <c r="M2003" s="17" t="str">
        <f t="shared" si="1575"/>
        <v>1:11000:5</v>
      </c>
      <c r="N2003" s="16" t="str">
        <f t="shared" si="1571"/>
        <v>143:1</v>
      </c>
      <c r="O2003" s="17">
        <f t="shared" si="1579"/>
        <v>2</v>
      </c>
      <c r="P2003" s="21" t="str">
        <f t="shared" si="1569"/>
        <v>所有牧师和法师防御增加:1</v>
      </c>
      <c r="Q2003" s="21"/>
      <c r="R2003" t="str">
        <f t="shared" si="1576"/>
        <v>防御</v>
      </c>
      <c r="T2003" t="str">
        <f t="shared" si="1577"/>
        <v>:1</v>
      </c>
      <c r="U2003" t="str">
        <f t="shared" si="1568"/>
        <v>牧师</v>
      </c>
      <c r="V2003" t="s">
        <v>4825</v>
      </c>
      <c r="W2003">
        <f>属性类型!G2003</f>
        <v>143</v>
      </c>
      <c r="X2003">
        <v>1</v>
      </c>
    </row>
    <row r="2004" customFormat="1" ht="16.5" spans="1:24">
      <c r="A2004" s="17">
        <f t="shared" si="1572"/>
        <v>51109</v>
      </c>
      <c r="B2004" s="17">
        <f t="shared" si="1546"/>
        <v>51100</v>
      </c>
      <c r="C2004" s="17" t="str">
        <f t="shared" si="1559"/>
        <v>5</v>
      </c>
      <c r="D2004" s="17">
        <f t="shared" si="1560"/>
        <v>50002</v>
      </c>
      <c r="E2004" s="17">
        <v>1</v>
      </c>
      <c r="F2004" s="17">
        <f t="shared" si="1578"/>
        <v>2</v>
      </c>
      <c r="G2004" s="17" t="str">
        <f t="shared" si="1573"/>
        <v>中级防御</v>
      </c>
      <c r="H2004" s="17" t="str">
        <f t="shared" si="1574"/>
        <v>icon_02</v>
      </c>
      <c r="I2004" s="20">
        <v>0</v>
      </c>
      <c r="J2004" s="17">
        <v>9</v>
      </c>
      <c r="K2004" s="17">
        <f t="shared" si="1570"/>
        <v>51110</v>
      </c>
      <c r="L2004" s="17" t="s">
        <v>323</v>
      </c>
      <c r="M2004" s="17" t="str">
        <f t="shared" si="1575"/>
        <v>1:11000:5</v>
      </c>
      <c r="N2004" s="16" t="str">
        <f t="shared" si="1571"/>
        <v>143:1</v>
      </c>
      <c r="O2004" s="17">
        <f t="shared" si="1579"/>
        <v>2</v>
      </c>
      <c r="P2004" s="21" t="str">
        <f t="shared" si="1569"/>
        <v>所有牧师和法师防御增加:1</v>
      </c>
      <c r="Q2004" s="21"/>
      <c r="R2004" t="str">
        <f t="shared" si="1576"/>
        <v>防御</v>
      </c>
      <c r="T2004" t="str">
        <f t="shared" si="1577"/>
        <v>:1</v>
      </c>
      <c r="U2004" t="str">
        <f t="shared" si="1568"/>
        <v>牧师</v>
      </c>
      <c r="V2004" t="s">
        <v>4825</v>
      </c>
      <c r="W2004">
        <f>属性类型!G2004</f>
        <v>143</v>
      </c>
      <c r="X2004">
        <v>1</v>
      </c>
    </row>
    <row r="2005" customFormat="1" ht="16.5" spans="1:24">
      <c r="A2005" s="17">
        <f t="shared" si="1572"/>
        <v>51110</v>
      </c>
      <c r="B2005" s="17">
        <f t="shared" si="1546"/>
        <v>51100</v>
      </c>
      <c r="C2005" s="17" t="str">
        <f t="shared" si="1559"/>
        <v>5</v>
      </c>
      <c r="D2005" s="17">
        <f t="shared" si="1560"/>
        <v>50002</v>
      </c>
      <c r="E2005" s="17">
        <v>1</v>
      </c>
      <c r="F2005" s="17">
        <f t="shared" si="1578"/>
        <v>2</v>
      </c>
      <c r="G2005" s="17" t="str">
        <f t="shared" si="1573"/>
        <v>中级防御</v>
      </c>
      <c r="H2005" s="17" t="str">
        <f t="shared" si="1574"/>
        <v>icon_02</v>
      </c>
      <c r="I2005" s="20">
        <v>0</v>
      </c>
      <c r="J2005" s="17">
        <v>10</v>
      </c>
      <c r="K2005" s="17">
        <v>0</v>
      </c>
      <c r="L2005" s="17">
        <v>0</v>
      </c>
      <c r="M2005" s="17" t="str">
        <f t="shared" si="1575"/>
        <v>1:11000:5</v>
      </c>
      <c r="N2005" s="16" t="str">
        <f t="shared" si="1571"/>
        <v>143:1</v>
      </c>
      <c r="O2005" s="17">
        <f t="shared" si="1579"/>
        <v>2</v>
      </c>
      <c r="P2005" s="21" t="str">
        <f t="shared" si="1569"/>
        <v>所有牧师和法师防御增加:1</v>
      </c>
      <c r="Q2005" s="21"/>
      <c r="R2005" t="str">
        <f t="shared" si="1576"/>
        <v>防御</v>
      </c>
      <c r="T2005" t="str">
        <f t="shared" si="1577"/>
        <v>:1</v>
      </c>
      <c r="U2005" t="str">
        <f t="shared" si="1568"/>
        <v>牧师</v>
      </c>
      <c r="V2005" t="s">
        <v>4825</v>
      </c>
      <c r="W2005">
        <f>属性类型!G2005</f>
        <v>143</v>
      </c>
      <c r="X2005">
        <v>1</v>
      </c>
    </row>
    <row r="2006" customFormat="1" ht="16.5" spans="1:24">
      <c r="A2006" s="18">
        <f>A1995+100</f>
        <v>51200</v>
      </c>
      <c r="B2006" s="18">
        <f t="shared" si="1546"/>
        <v>51200</v>
      </c>
      <c r="C2006" s="18" t="str">
        <f t="shared" si="1559"/>
        <v>5</v>
      </c>
      <c r="D2006" s="17">
        <f t="shared" si="1560"/>
        <v>50002</v>
      </c>
      <c r="E2006" s="17">
        <v>1</v>
      </c>
      <c r="F2006" s="18">
        <f t="shared" si="1578"/>
        <v>2</v>
      </c>
      <c r="G2006" s="18" t="s">
        <v>350</v>
      </c>
      <c r="H2006" s="18" t="s">
        <v>80</v>
      </c>
      <c r="I2006" s="20">
        <v>0</v>
      </c>
      <c r="J2006" s="18">
        <v>0</v>
      </c>
      <c r="K2006" s="18">
        <f t="shared" ref="K2006:K2015" si="1580">A2007</f>
        <v>51201</v>
      </c>
      <c r="L2006" s="18" t="s">
        <v>297</v>
      </c>
      <c r="M2006" s="18" t="s">
        <v>329</v>
      </c>
      <c r="N2006" s="16" t="str">
        <f t="shared" si="1571"/>
        <v>142:1</v>
      </c>
      <c r="O2006" s="18">
        <f t="shared" si="1579"/>
        <v>3</v>
      </c>
      <c r="P2006" s="21" t="str">
        <f t="shared" si="1569"/>
        <v>所有牧师和法师攻击增加1</v>
      </c>
      <c r="Q2006" s="21"/>
      <c r="R2006" t="s">
        <v>4274</v>
      </c>
      <c r="T2006" t="str">
        <f>RIGHT(N2006,1)</f>
        <v>1</v>
      </c>
      <c r="U2006" t="str">
        <f t="shared" si="1568"/>
        <v>牧师</v>
      </c>
      <c r="V2006" t="s">
        <v>4826</v>
      </c>
      <c r="W2006">
        <f>属性类型!G2006</f>
        <v>142</v>
      </c>
      <c r="X2006">
        <v>1</v>
      </c>
    </row>
    <row r="2007" customFormat="1" ht="16.5" spans="1:24">
      <c r="A2007" s="17">
        <f t="shared" ref="A2007:A2016" si="1581">A2006+1</f>
        <v>51201</v>
      </c>
      <c r="B2007" s="17">
        <f t="shared" si="1546"/>
        <v>51200</v>
      </c>
      <c r="C2007" s="17" t="str">
        <f t="shared" si="1559"/>
        <v>5</v>
      </c>
      <c r="D2007" s="17">
        <f t="shared" si="1560"/>
        <v>50002</v>
      </c>
      <c r="E2007" s="17">
        <v>1</v>
      </c>
      <c r="F2007" s="17">
        <f t="shared" si="1578"/>
        <v>2</v>
      </c>
      <c r="G2007" s="17" t="str">
        <f t="shared" ref="G2007:G2016" si="1582">G2006</f>
        <v>中级攻击</v>
      </c>
      <c r="H2007" s="17" t="str">
        <f t="shared" ref="H2007:H2016" si="1583">H2006</f>
        <v>icon_03</v>
      </c>
      <c r="I2007" s="20">
        <v>0</v>
      </c>
      <c r="J2007" s="17">
        <v>1</v>
      </c>
      <c r="K2007" s="17">
        <f t="shared" si="1580"/>
        <v>51202</v>
      </c>
      <c r="L2007" s="17" t="s">
        <v>300</v>
      </c>
      <c r="M2007" s="17" t="str">
        <f t="shared" ref="M2007:M2016" si="1584">M2006</f>
        <v>1:11000:5</v>
      </c>
      <c r="N2007" s="16" t="str">
        <f t="shared" si="1571"/>
        <v>142:1</v>
      </c>
      <c r="O2007" s="17">
        <f t="shared" si="1579"/>
        <v>3</v>
      </c>
      <c r="P2007" s="21" t="str">
        <f t="shared" si="1569"/>
        <v>所有牧师和法师攻击增加:1</v>
      </c>
      <c r="Q2007" s="21"/>
      <c r="R2007" t="str">
        <f t="shared" ref="R2007:R2016" si="1585">R2006</f>
        <v>攻击</v>
      </c>
      <c r="T2007" t="str">
        <f t="shared" ref="T2007:T2016" si="1586">RIGHT(N2007,2)</f>
        <v>:1</v>
      </c>
      <c r="U2007" t="str">
        <f t="shared" si="1568"/>
        <v>牧师</v>
      </c>
      <c r="V2007" t="s">
        <v>4826</v>
      </c>
      <c r="W2007">
        <f>属性类型!G2007</f>
        <v>142</v>
      </c>
      <c r="X2007">
        <v>1</v>
      </c>
    </row>
    <row r="2008" customFormat="1" ht="16.5" spans="1:24">
      <c r="A2008" s="17">
        <f t="shared" si="1581"/>
        <v>51202</v>
      </c>
      <c r="B2008" s="17">
        <f t="shared" si="1546"/>
        <v>51200</v>
      </c>
      <c r="C2008" s="17" t="str">
        <f t="shared" si="1559"/>
        <v>5</v>
      </c>
      <c r="D2008" s="17">
        <f t="shared" si="1560"/>
        <v>50002</v>
      </c>
      <c r="E2008" s="17">
        <v>1</v>
      </c>
      <c r="F2008" s="17">
        <f t="shared" si="1578"/>
        <v>2</v>
      </c>
      <c r="G2008" s="17" t="str">
        <f t="shared" si="1582"/>
        <v>中级攻击</v>
      </c>
      <c r="H2008" s="17" t="str">
        <f t="shared" si="1583"/>
        <v>icon_03</v>
      </c>
      <c r="I2008" s="20">
        <v>0</v>
      </c>
      <c r="J2008" s="17">
        <v>2</v>
      </c>
      <c r="K2008" s="17">
        <f t="shared" si="1580"/>
        <v>51203</v>
      </c>
      <c r="L2008" s="17" t="s">
        <v>304</v>
      </c>
      <c r="M2008" s="17" t="str">
        <f t="shared" si="1584"/>
        <v>1:11000:5</v>
      </c>
      <c r="N2008" s="16" t="str">
        <f t="shared" si="1571"/>
        <v>142:1</v>
      </c>
      <c r="O2008" s="17">
        <f t="shared" si="1579"/>
        <v>3</v>
      </c>
      <c r="P2008" s="21" t="str">
        <f t="shared" si="1569"/>
        <v>所有牧师和法师攻击增加:1</v>
      </c>
      <c r="Q2008" s="21"/>
      <c r="R2008" t="str">
        <f t="shared" si="1585"/>
        <v>攻击</v>
      </c>
      <c r="T2008" t="str">
        <f t="shared" si="1586"/>
        <v>:1</v>
      </c>
      <c r="U2008" t="str">
        <f t="shared" si="1568"/>
        <v>牧师</v>
      </c>
      <c r="V2008" t="s">
        <v>4826</v>
      </c>
      <c r="W2008">
        <f>属性类型!G2008</f>
        <v>142</v>
      </c>
      <c r="X2008">
        <v>1</v>
      </c>
    </row>
    <row r="2009" customFormat="1" ht="16.5" spans="1:24">
      <c r="A2009" s="17">
        <f t="shared" si="1581"/>
        <v>51203</v>
      </c>
      <c r="B2009" s="17">
        <f t="shared" si="1546"/>
        <v>51200</v>
      </c>
      <c r="C2009" s="17" t="str">
        <f t="shared" si="1559"/>
        <v>5</v>
      </c>
      <c r="D2009" s="17">
        <f t="shared" si="1560"/>
        <v>50002</v>
      </c>
      <c r="E2009" s="17">
        <v>1</v>
      </c>
      <c r="F2009" s="17">
        <f t="shared" si="1578"/>
        <v>2</v>
      </c>
      <c r="G2009" s="17" t="str">
        <f t="shared" si="1582"/>
        <v>中级攻击</v>
      </c>
      <c r="H2009" s="17" t="str">
        <f t="shared" si="1583"/>
        <v>icon_03</v>
      </c>
      <c r="I2009" s="20">
        <v>0</v>
      </c>
      <c r="J2009" s="17">
        <v>3</v>
      </c>
      <c r="K2009" s="17">
        <f t="shared" si="1580"/>
        <v>51204</v>
      </c>
      <c r="L2009" s="17" t="s">
        <v>307</v>
      </c>
      <c r="M2009" s="17" t="str">
        <f t="shared" si="1584"/>
        <v>1:11000:5</v>
      </c>
      <c r="N2009" s="16" t="str">
        <f t="shared" si="1571"/>
        <v>142:1</v>
      </c>
      <c r="O2009" s="17">
        <f t="shared" si="1579"/>
        <v>3</v>
      </c>
      <c r="P2009" s="21" t="str">
        <f t="shared" si="1569"/>
        <v>所有牧师和法师攻击增加:1</v>
      </c>
      <c r="Q2009" s="21"/>
      <c r="R2009" t="str">
        <f t="shared" si="1585"/>
        <v>攻击</v>
      </c>
      <c r="T2009" t="str">
        <f t="shared" si="1586"/>
        <v>:1</v>
      </c>
      <c r="U2009" t="str">
        <f t="shared" si="1568"/>
        <v>牧师</v>
      </c>
      <c r="V2009" t="s">
        <v>4826</v>
      </c>
      <c r="W2009">
        <f>属性类型!G2009</f>
        <v>142</v>
      </c>
      <c r="X2009">
        <v>1</v>
      </c>
    </row>
    <row r="2010" customFormat="1" ht="16.5" spans="1:24">
      <c r="A2010" s="17">
        <f t="shared" si="1581"/>
        <v>51204</v>
      </c>
      <c r="B2010" s="17">
        <f t="shared" si="1546"/>
        <v>51200</v>
      </c>
      <c r="C2010" s="17" t="str">
        <f t="shared" si="1559"/>
        <v>5</v>
      </c>
      <c r="D2010" s="17">
        <f t="shared" si="1560"/>
        <v>50002</v>
      </c>
      <c r="E2010" s="17">
        <v>1</v>
      </c>
      <c r="F2010" s="17">
        <f t="shared" si="1578"/>
        <v>2</v>
      </c>
      <c r="G2010" s="17" t="str">
        <f t="shared" si="1582"/>
        <v>中级攻击</v>
      </c>
      <c r="H2010" s="17" t="str">
        <f t="shared" si="1583"/>
        <v>icon_03</v>
      </c>
      <c r="I2010" s="20">
        <v>0</v>
      </c>
      <c r="J2010" s="17">
        <v>4</v>
      </c>
      <c r="K2010" s="17">
        <f t="shared" si="1580"/>
        <v>51205</v>
      </c>
      <c r="L2010" s="17" t="s">
        <v>309</v>
      </c>
      <c r="M2010" s="17" t="str">
        <f t="shared" si="1584"/>
        <v>1:11000:5</v>
      </c>
      <c r="N2010" s="16" t="str">
        <f t="shared" si="1571"/>
        <v>142:1</v>
      </c>
      <c r="O2010" s="17">
        <f t="shared" si="1579"/>
        <v>3</v>
      </c>
      <c r="P2010" s="21" t="str">
        <f t="shared" si="1569"/>
        <v>所有牧师和法师攻击增加:1</v>
      </c>
      <c r="Q2010" s="21"/>
      <c r="R2010" t="str">
        <f t="shared" si="1585"/>
        <v>攻击</v>
      </c>
      <c r="T2010" t="str">
        <f t="shared" si="1586"/>
        <v>:1</v>
      </c>
      <c r="U2010" t="str">
        <f t="shared" si="1568"/>
        <v>牧师</v>
      </c>
      <c r="V2010" t="s">
        <v>4826</v>
      </c>
      <c r="W2010">
        <f>属性类型!G2010</f>
        <v>142</v>
      </c>
      <c r="X2010">
        <v>1</v>
      </c>
    </row>
    <row r="2011" customFormat="1" ht="16.5" spans="1:24">
      <c r="A2011" s="17">
        <f t="shared" si="1581"/>
        <v>51205</v>
      </c>
      <c r="B2011" s="17">
        <f t="shared" si="1546"/>
        <v>51200</v>
      </c>
      <c r="C2011" s="17" t="str">
        <f t="shared" si="1559"/>
        <v>5</v>
      </c>
      <c r="D2011" s="17">
        <f t="shared" si="1560"/>
        <v>50002</v>
      </c>
      <c r="E2011" s="17">
        <v>1</v>
      </c>
      <c r="F2011" s="17">
        <f t="shared" si="1578"/>
        <v>2</v>
      </c>
      <c r="G2011" s="17" t="str">
        <f t="shared" si="1582"/>
        <v>中级攻击</v>
      </c>
      <c r="H2011" s="17" t="str">
        <f t="shared" si="1583"/>
        <v>icon_03</v>
      </c>
      <c r="I2011" s="20">
        <v>0</v>
      </c>
      <c r="J2011" s="17">
        <v>5</v>
      </c>
      <c r="K2011" s="17">
        <f t="shared" si="1580"/>
        <v>51206</v>
      </c>
      <c r="L2011" s="17" t="s">
        <v>312</v>
      </c>
      <c r="M2011" s="17" t="str">
        <f t="shared" si="1584"/>
        <v>1:11000:5</v>
      </c>
      <c r="N2011" s="16" t="str">
        <f t="shared" si="1571"/>
        <v>142:1</v>
      </c>
      <c r="O2011" s="17">
        <f t="shared" si="1579"/>
        <v>3</v>
      </c>
      <c r="P2011" s="21" t="str">
        <f t="shared" si="1569"/>
        <v>所有牧师和法师攻击增加:1</v>
      </c>
      <c r="Q2011" s="21"/>
      <c r="R2011" t="str">
        <f t="shared" si="1585"/>
        <v>攻击</v>
      </c>
      <c r="T2011" t="str">
        <f t="shared" si="1586"/>
        <v>:1</v>
      </c>
      <c r="U2011" t="str">
        <f t="shared" si="1568"/>
        <v>牧师</v>
      </c>
      <c r="V2011" t="s">
        <v>4826</v>
      </c>
      <c r="W2011">
        <f>属性类型!G2011</f>
        <v>142</v>
      </c>
      <c r="X2011">
        <v>1</v>
      </c>
    </row>
    <row r="2012" customFormat="1" ht="16.5" spans="1:24">
      <c r="A2012" s="17">
        <f t="shared" si="1581"/>
        <v>51206</v>
      </c>
      <c r="B2012" s="17">
        <f t="shared" si="1546"/>
        <v>51200</v>
      </c>
      <c r="C2012" s="17" t="str">
        <f t="shared" si="1559"/>
        <v>5</v>
      </c>
      <c r="D2012" s="17">
        <f t="shared" si="1560"/>
        <v>50002</v>
      </c>
      <c r="E2012" s="17">
        <v>1</v>
      </c>
      <c r="F2012" s="17">
        <f t="shared" si="1578"/>
        <v>2</v>
      </c>
      <c r="G2012" s="17" t="str">
        <f t="shared" si="1582"/>
        <v>中级攻击</v>
      </c>
      <c r="H2012" s="17" t="str">
        <f t="shared" si="1583"/>
        <v>icon_03</v>
      </c>
      <c r="I2012" s="20">
        <v>0</v>
      </c>
      <c r="J2012" s="17">
        <v>6</v>
      </c>
      <c r="K2012" s="17">
        <f t="shared" si="1580"/>
        <v>51207</v>
      </c>
      <c r="L2012" s="17" t="s">
        <v>315</v>
      </c>
      <c r="M2012" s="17" t="str">
        <f t="shared" si="1584"/>
        <v>1:11000:5</v>
      </c>
      <c r="N2012" s="16" t="str">
        <f t="shared" si="1571"/>
        <v>142:1</v>
      </c>
      <c r="O2012" s="17">
        <f t="shared" si="1579"/>
        <v>3</v>
      </c>
      <c r="P2012" s="21" t="str">
        <f t="shared" si="1569"/>
        <v>所有牧师和法师攻击增加:1</v>
      </c>
      <c r="Q2012" s="21"/>
      <c r="R2012" t="str">
        <f t="shared" si="1585"/>
        <v>攻击</v>
      </c>
      <c r="T2012" t="str">
        <f t="shared" si="1586"/>
        <v>:1</v>
      </c>
      <c r="U2012" t="str">
        <f t="shared" si="1568"/>
        <v>牧师</v>
      </c>
      <c r="V2012" t="s">
        <v>4826</v>
      </c>
      <c r="W2012">
        <f>属性类型!G2012</f>
        <v>142</v>
      </c>
      <c r="X2012">
        <v>1</v>
      </c>
    </row>
    <row r="2013" customFormat="1" ht="16.5" spans="1:24">
      <c r="A2013" s="17">
        <f t="shared" si="1581"/>
        <v>51207</v>
      </c>
      <c r="B2013" s="17">
        <f t="shared" si="1546"/>
        <v>51200</v>
      </c>
      <c r="C2013" s="17" t="str">
        <f t="shared" si="1559"/>
        <v>5</v>
      </c>
      <c r="D2013" s="17">
        <f t="shared" si="1560"/>
        <v>50002</v>
      </c>
      <c r="E2013" s="17">
        <v>1</v>
      </c>
      <c r="F2013" s="17">
        <f t="shared" si="1578"/>
        <v>2</v>
      </c>
      <c r="G2013" s="17" t="str">
        <f t="shared" si="1582"/>
        <v>中级攻击</v>
      </c>
      <c r="H2013" s="17" t="str">
        <f t="shared" si="1583"/>
        <v>icon_03</v>
      </c>
      <c r="I2013" s="20">
        <v>0</v>
      </c>
      <c r="J2013" s="17">
        <v>7</v>
      </c>
      <c r="K2013" s="17">
        <f t="shared" si="1580"/>
        <v>51208</v>
      </c>
      <c r="L2013" s="17" t="s">
        <v>317</v>
      </c>
      <c r="M2013" s="17" t="str">
        <f t="shared" si="1584"/>
        <v>1:11000:5</v>
      </c>
      <c r="N2013" s="16" t="str">
        <f t="shared" si="1571"/>
        <v>142:1</v>
      </c>
      <c r="O2013" s="17">
        <f t="shared" si="1579"/>
        <v>3</v>
      </c>
      <c r="P2013" s="21" t="str">
        <f t="shared" si="1569"/>
        <v>所有牧师和法师攻击增加:1</v>
      </c>
      <c r="Q2013" s="21"/>
      <c r="R2013" t="str">
        <f t="shared" si="1585"/>
        <v>攻击</v>
      </c>
      <c r="T2013" t="str">
        <f t="shared" si="1586"/>
        <v>:1</v>
      </c>
      <c r="U2013" t="str">
        <f t="shared" si="1568"/>
        <v>牧师</v>
      </c>
      <c r="V2013" t="s">
        <v>4826</v>
      </c>
      <c r="W2013">
        <f>属性类型!G2013</f>
        <v>142</v>
      </c>
      <c r="X2013">
        <v>1</v>
      </c>
    </row>
    <row r="2014" customFormat="1" ht="16.5" spans="1:24">
      <c r="A2014" s="17">
        <f t="shared" si="1581"/>
        <v>51208</v>
      </c>
      <c r="B2014" s="17">
        <f t="shared" si="1546"/>
        <v>51200</v>
      </c>
      <c r="C2014" s="17" t="str">
        <f t="shared" si="1559"/>
        <v>5</v>
      </c>
      <c r="D2014" s="17">
        <f t="shared" si="1560"/>
        <v>50002</v>
      </c>
      <c r="E2014" s="17">
        <v>1</v>
      </c>
      <c r="F2014" s="17">
        <f t="shared" si="1578"/>
        <v>2</v>
      </c>
      <c r="G2014" s="17" t="str">
        <f t="shared" si="1582"/>
        <v>中级攻击</v>
      </c>
      <c r="H2014" s="17" t="str">
        <f t="shared" si="1583"/>
        <v>icon_03</v>
      </c>
      <c r="I2014" s="20">
        <v>0</v>
      </c>
      <c r="J2014" s="17">
        <v>8</v>
      </c>
      <c r="K2014" s="17">
        <f t="shared" si="1580"/>
        <v>51209</v>
      </c>
      <c r="L2014" s="17" t="s">
        <v>320</v>
      </c>
      <c r="M2014" s="17" t="str">
        <f t="shared" si="1584"/>
        <v>1:11000:5</v>
      </c>
      <c r="N2014" s="16" t="str">
        <f t="shared" si="1571"/>
        <v>142:1</v>
      </c>
      <c r="O2014" s="17">
        <f t="shared" si="1579"/>
        <v>3</v>
      </c>
      <c r="P2014" s="21" t="str">
        <f t="shared" si="1569"/>
        <v>所有牧师和法师攻击增加:1</v>
      </c>
      <c r="Q2014" s="21"/>
      <c r="R2014" t="str">
        <f t="shared" si="1585"/>
        <v>攻击</v>
      </c>
      <c r="T2014" t="str">
        <f t="shared" si="1586"/>
        <v>:1</v>
      </c>
      <c r="U2014" t="str">
        <f t="shared" si="1568"/>
        <v>牧师</v>
      </c>
      <c r="V2014" t="s">
        <v>4826</v>
      </c>
      <c r="W2014">
        <f>属性类型!G2014</f>
        <v>142</v>
      </c>
      <c r="X2014">
        <v>1</v>
      </c>
    </row>
    <row r="2015" customFormat="1" ht="16.5" spans="1:24">
      <c r="A2015" s="17">
        <f t="shared" si="1581"/>
        <v>51209</v>
      </c>
      <c r="B2015" s="17">
        <f t="shared" si="1546"/>
        <v>51200</v>
      </c>
      <c r="C2015" s="17" t="str">
        <f t="shared" si="1559"/>
        <v>5</v>
      </c>
      <c r="D2015" s="17">
        <f t="shared" si="1560"/>
        <v>50002</v>
      </c>
      <c r="E2015" s="17">
        <v>1</v>
      </c>
      <c r="F2015" s="17">
        <f t="shared" si="1578"/>
        <v>2</v>
      </c>
      <c r="G2015" s="17" t="str">
        <f t="shared" si="1582"/>
        <v>中级攻击</v>
      </c>
      <c r="H2015" s="17" t="str">
        <f t="shared" si="1583"/>
        <v>icon_03</v>
      </c>
      <c r="I2015" s="20">
        <v>0</v>
      </c>
      <c r="J2015" s="17">
        <v>9</v>
      </c>
      <c r="K2015" s="17">
        <f t="shared" si="1580"/>
        <v>51210</v>
      </c>
      <c r="L2015" s="17" t="s">
        <v>323</v>
      </c>
      <c r="M2015" s="17" t="str">
        <f t="shared" si="1584"/>
        <v>1:11000:5</v>
      </c>
      <c r="N2015" s="16" t="str">
        <f t="shared" si="1571"/>
        <v>142:1</v>
      </c>
      <c r="O2015" s="17">
        <f t="shared" si="1579"/>
        <v>3</v>
      </c>
      <c r="P2015" s="21" t="str">
        <f t="shared" si="1569"/>
        <v>所有牧师和法师攻击增加:1</v>
      </c>
      <c r="Q2015" s="21"/>
      <c r="R2015" t="str">
        <f t="shared" si="1585"/>
        <v>攻击</v>
      </c>
      <c r="T2015" t="str">
        <f t="shared" si="1586"/>
        <v>:1</v>
      </c>
      <c r="U2015" t="str">
        <f t="shared" si="1568"/>
        <v>牧师</v>
      </c>
      <c r="V2015" t="s">
        <v>4826</v>
      </c>
      <c r="W2015">
        <f>属性类型!G2015</f>
        <v>142</v>
      </c>
      <c r="X2015">
        <v>1</v>
      </c>
    </row>
    <row r="2016" customFormat="1" ht="16.5" spans="1:24">
      <c r="A2016" s="17">
        <f t="shared" si="1581"/>
        <v>51210</v>
      </c>
      <c r="B2016" s="17">
        <f t="shared" ref="B2016:B2079" si="1587">ROUND(A2016,-2)</f>
        <v>51200</v>
      </c>
      <c r="C2016" s="17" t="str">
        <f t="shared" si="1559"/>
        <v>5</v>
      </c>
      <c r="D2016" s="17">
        <f t="shared" si="1560"/>
        <v>50002</v>
      </c>
      <c r="E2016" s="17">
        <v>1</v>
      </c>
      <c r="F2016" s="17">
        <f t="shared" si="1578"/>
        <v>2</v>
      </c>
      <c r="G2016" s="17" t="str">
        <f t="shared" si="1582"/>
        <v>中级攻击</v>
      </c>
      <c r="H2016" s="17" t="str">
        <f t="shared" si="1583"/>
        <v>icon_03</v>
      </c>
      <c r="I2016" s="20">
        <v>0</v>
      </c>
      <c r="J2016" s="17">
        <v>10</v>
      </c>
      <c r="K2016" s="17">
        <v>0</v>
      </c>
      <c r="L2016" s="17">
        <v>0</v>
      </c>
      <c r="M2016" s="17" t="str">
        <f t="shared" si="1584"/>
        <v>1:11000:5</v>
      </c>
      <c r="N2016" s="16" t="str">
        <f t="shared" si="1571"/>
        <v>142:1</v>
      </c>
      <c r="O2016" s="17">
        <f t="shared" si="1579"/>
        <v>3</v>
      </c>
      <c r="P2016" s="21" t="str">
        <f t="shared" si="1569"/>
        <v>所有牧师和法师攻击增加:1</v>
      </c>
      <c r="Q2016" s="21"/>
      <c r="R2016" t="str">
        <f t="shared" si="1585"/>
        <v>攻击</v>
      </c>
      <c r="T2016" t="str">
        <f t="shared" si="1586"/>
        <v>:1</v>
      </c>
      <c r="U2016" t="str">
        <f t="shared" si="1568"/>
        <v>牧师</v>
      </c>
      <c r="V2016" t="s">
        <v>4826</v>
      </c>
      <c r="W2016">
        <f>属性类型!G2016</f>
        <v>142</v>
      </c>
      <c r="X2016">
        <v>1</v>
      </c>
    </row>
    <row r="2017" customFormat="1" ht="16.5" spans="1:24">
      <c r="A2017" s="18">
        <f>A2006+100</f>
        <v>51300</v>
      </c>
      <c r="B2017" s="18">
        <f t="shared" si="1587"/>
        <v>51300</v>
      </c>
      <c r="C2017" s="18" t="str">
        <f t="shared" si="1559"/>
        <v>5</v>
      </c>
      <c r="D2017" s="17">
        <f t="shared" si="1560"/>
        <v>50002</v>
      </c>
      <c r="E2017" s="17">
        <v>1</v>
      </c>
      <c r="F2017" s="18">
        <f t="shared" si="1578"/>
        <v>2</v>
      </c>
      <c r="G2017" s="18" t="s">
        <v>372</v>
      </c>
      <c r="H2017" s="18" t="s">
        <v>96</v>
      </c>
      <c r="I2017" s="20">
        <v>0</v>
      </c>
      <c r="J2017" s="18">
        <v>0</v>
      </c>
      <c r="K2017" s="18">
        <f t="shared" ref="K2017:K2026" si="1588">A2018</f>
        <v>51301</v>
      </c>
      <c r="L2017" s="18" t="s">
        <v>297</v>
      </c>
      <c r="M2017" s="18" t="s">
        <v>329</v>
      </c>
      <c r="N2017" s="16" t="str">
        <f t="shared" si="1571"/>
        <v>144:1</v>
      </c>
      <c r="O2017" s="18">
        <f t="shared" si="1579"/>
        <v>4</v>
      </c>
      <c r="P2017" s="21" t="str">
        <f t="shared" si="1569"/>
        <v>所有牧师和法师魔防增加1</v>
      </c>
      <c r="Q2017" s="21"/>
      <c r="R2017" t="s">
        <v>4276</v>
      </c>
      <c r="T2017" t="str">
        <f>RIGHT(N2017,1)</f>
        <v>1</v>
      </c>
      <c r="U2017" t="str">
        <f t="shared" si="1568"/>
        <v>牧师</v>
      </c>
      <c r="V2017" t="s">
        <v>4827</v>
      </c>
      <c r="W2017">
        <f>属性类型!G2017</f>
        <v>144</v>
      </c>
      <c r="X2017">
        <v>1</v>
      </c>
    </row>
    <row r="2018" customFormat="1" ht="16.5" spans="1:24">
      <c r="A2018" s="17">
        <f t="shared" ref="A2018:A2027" si="1589">A2017+1</f>
        <v>51301</v>
      </c>
      <c r="B2018" s="17">
        <f t="shared" si="1587"/>
        <v>51300</v>
      </c>
      <c r="C2018" s="17" t="str">
        <f t="shared" si="1559"/>
        <v>5</v>
      </c>
      <c r="D2018" s="17">
        <f t="shared" si="1560"/>
        <v>50002</v>
      </c>
      <c r="E2018" s="17">
        <v>1</v>
      </c>
      <c r="F2018" s="17">
        <f t="shared" si="1578"/>
        <v>2</v>
      </c>
      <c r="G2018" s="17" t="str">
        <f t="shared" ref="G2018:G2027" si="1590">G2017</f>
        <v>中级魔防</v>
      </c>
      <c r="H2018" s="17" t="str">
        <f t="shared" ref="H2018:H2027" si="1591">H2017</f>
        <v>icon_04</v>
      </c>
      <c r="I2018" s="20">
        <v>0</v>
      </c>
      <c r="J2018" s="17">
        <v>1</v>
      </c>
      <c r="K2018" s="17">
        <f t="shared" si="1588"/>
        <v>51302</v>
      </c>
      <c r="L2018" s="17" t="s">
        <v>300</v>
      </c>
      <c r="M2018" s="17" t="str">
        <f t="shared" ref="M2018:M2027" si="1592">M2017</f>
        <v>1:11000:5</v>
      </c>
      <c r="N2018" s="16" t="str">
        <f t="shared" si="1571"/>
        <v>144:1</v>
      </c>
      <c r="O2018" s="17">
        <f t="shared" si="1579"/>
        <v>4</v>
      </c>
      <c r="P2018" s="21" t="str">
        <f t="shared" si="1569"/>
        <v>所有牧师和法师魔防增加:1</v>
      </c>
      <c r="Q2018" s="21"/>
      <c r="R2018" t="str">
        <f t="shared" ref="R2018:R2027" si="1593">R2017</f>
        <v>魔防</v>
      </c>
      <c r="T2018" t="str">
        <f t="shared" ref="T2018:T2027" si="1594">RIGHT(N2018,2)</f>
        <v>:1</v>
      </c>
      <c r="U2018" t="str">
        <f t="shared" si="1568"/>
        <v>牧师</v>
      </c>
      <c r="V2018" t="s">
        <v>4827</v>
      </c>
      <c r="W2018">
        <f>属性类型!G2018</f>
        <v>144</v>
      </c>
      <c r="X2018">
        <v>1</v>
      </c>
    </row>
    <row r="2019" customFormat="1" ht="16.5" spans="1:24">
      <c r="A2019" s="17">
        <f t="shared" si="1589"/>
        <v>51302</v>
      </c>
      <c r="B2019" s="17">
        <f t="shared" si="1587"/>
        <v>51300</v>
      </c>
      <c r="C2019" s="17" t="str">
        <f t="shared" si="1559"/>
        <v>5</v>
      </c>
      <c r="D2019" s="17">
        <f t="shared" si="1560"/>
        <v>50002</v>
      </c>
      <c r="E2019" s="17">
        <v>1</v>
      </c>
      <c r="F2019" s="17">
        <f t="shared" si="1578"/>
        <v>2</v>
      </c>
      <c r="G2019" s="17" t="str">
        <f t="shared" si="1590"/>
        <v>中级魔防</v>
      </c>
      <c r="H2019" s="17" t="str">
        <f t="shared" si="1591"/>
        <v>icon_04</v>
      </c>
      <c r="I2019" s="20">
        <v>0</v>
      </c>
      <c r="J2019" s="17">
        <v>2</v>
      </c>
      <c r="K2019" s="17">
        <f t="shared" si="1588"/>
        <v>51303</v>
      </c>
      <c r="L2019" s="17" t="s">
        <v>304</v>
      </c>
      <c r="M2019" s="17" t="str">
        <f t="shared" si="1592"/>
        <v>1:11000:5</v>
      </c>
      <c r="N2019" s="16" t="str">
        <f t="shared" si="1571"/>
        <v>144:1</v>
      </c>
      <c r="O2019" s="17">
        <f t="shared" si="1579"/>
        <v>4</v>
      </c>
      <c r="P2019" s="21" t="str">
        <f t="shared" si="1569"/>
        <v>所有牧师和法师魔防增加:1</v>
      </c>
      <c r="Q2019" s="21"/>
      <c r="R2019" t="str">
        <f t="shared" si="1593"/>
        <v>魔防</v>
      </c>
      <c r="T2019" t="str">
        <f t="shared" si="1594"/>
        <v>:1</v>
      </c>
      <c r="U2019" t="str">
        <f t="shared" si="1568"/>
        <v>牧师</v>
      </c>
      <c r="V2019" t="s">
        <v>4827</v>
      </c>
      <c r="W2019">
        <f>属性类型!G2019</f>
        <v>144</v>
      </c>
      <c r="X2019">
        <v>1</v>
      </c>
    </row>
    <row r="2020" customFormat="1" ht="16.5" spans="1:24">
      <c r="A2020" s="17">
        <f t="shared" si="1589"/>
        <v>51303</v>
      </c>
      <c r="B2020" s="17">
        <f t="shared" si="1587"/>
        <v>51300</v>
      </c>
      <c r="C2020" s="17" t="str">
        <f t="shared" si="1559"/>
        <v>5</v>
      </c>
      <c r="D2020" s="17">
        <f t="shared" si="1560"/>
        <v>50002</v>
      </c>
      <c r="E2020" s="17">
        <v>1</v>
      </c>
      <c r="F2020" s="17">
        <f t="shared" si="1578"/>
        <v>2</v>
      </c>
      <c r="G2020" s="17" t="str">
        <f t="shared" si="1590"/>
        <v>中级魔防</v>
      </c>
      <c r="H2020" s="17" t="str">
        <f t="shared" si="1591"/>
        <v>icon_04</v>
      </c>
      <c r="I2020" s="20">
        <v>0</v>
      </c>
      <c r="J2020" s="17">
        <v>3</v>
      </c>
      <c r="K2020" s="17">
        <f t="shared" si="1588"/>
        <v>51304</v>
      </c>
      <c r="L2020" s="17" t="s">
        <v>307</v>
      </c>
      <c r="M2020" s="17" t="str">
        <f t="shared" si="1592"/>
        <v>1:11000:5</v>
      </c>
      <c r="N2020" s="16" t="str">
        <f t="shared" si="1571"/>
        <v>144:1</v>
      </c>
      <c r="O2020" s="17">
        <f t="shared" si="1579"/>
        <v>4</v>
      </c>
      <c r="P2020" s="21" t="str">
        <f t="shared" si="1569"/>
        <v>所有牧师和法师魔防增加:1</v>
      </c>
      <c r="Q2020" s="21"/>
      <c r="R2020" t="str">
        <f t="shared" si="1593"/>
        <v>魔防</v>
      </c>
      <c r="T2020" t="str">
        <f t="shared" si="1594"/>
        <v>:1</v>
      </c>
      <c r="U2020" t="str">
        <f t="shared" si="1568"/>
        <v>牧师</v>
      </c>
      <c r="V2020" t="s">
        <v>4827</v>
      </c>
      <c r="W2020">
        <f>属性类型!G2020</f>
        <v>144</v>
      </c>
      <c r="X2020">
        <v>1</v>
      </c>
    </row>
    <row r="2021" customFormat="1" ht="16.5" spans="1:24">
      <c r="A2021" s="17">
        <f t="shared" si="1589"/>
        <v>51304</v>
      </c>
      <c r="B2021" s="17">
        <f t="shared" si="1587"/>
        <v>51300</v>
      </c>
      <c r="C2021" s="17" t="str">
        <f t="shared" si="1559"/>
        <v>5</v>
      </c>
      <c r="D2021" s="17">
        <f t="shared" si="1560"/>
        <v>50002</v>
      </c>
      <c r="E2021" s="17">
        <v>1</v>
      </c>
      <c r="F2021" s="17">
        <f t="shared" si="1578"/>
        <v>2</v>
      </c>
      <c r="G2021" s="17" t="str">
        <f t="shared" si="1590"/>
        <v>中级魔防</v>
      </c>
      <c r="H2021" s="17" t="str">
        <f t="shared" si="1591"/>
        <v>icon_04</v>
      </c>
      <c r="I2021" s="20">
        <v>0</v>
      </c>
      <c r="J2021" s="17">
        <v>4</v>
      </c>
      <c r="K2021" s="17">
        <f t="shared" si="1588"/>
        <v>51305</v>
      </c>
      <c r="L2021" s="17" t="s">
        <v>309</v>
      </c>
      <c r="M2021" s="17" t="str">
        <f t="shared" si="1592"/>
        <v>1:11000:5</v>
      </c>
      <c r="N2021" s="16" t="str">
        <f t="shared" si="1571"/>
        <v>144:1</v>
      </c>
      <c r="O2021" s="17">
        <f t="shared" si="1579"/>
        <v>4</v>
      </c>
      <c r="P2021" s="21" t="str">
        <f t="shared" si="1569"/>
        <v>所有牧师和法师魔防增加:1</v>
      </c>
      <c r="Q2021" s="21"/>
      <c r="R2021" t="str">
        <f t="shared" si="1593"/>
        <v>魔防</v>
      </c>
      <c r="T2021" t="str">
        <f t="shared" si="1594"/>
        <v>:1</v>
      </c>
      <c r="U2021" t="str">
        <f t="shared" si="1568"/>
        <v>牧师</v>
      </c>
      <c r="V2021" t="s">
        <v>4827</v>
      </c>
      <c r="W2021">
        <f>属性类型!G2021</f>
        <v>144</v>
      </c>
      <c r="X2021">
        <v>1</v>
      </c>
    </row>
    <row r="2022" customFormat="1" ht="16.5" spans="1:24">
      <c r="A2022" s="17">
        <f t="shared" si="1589"/>
        <v>51305</v>
      </c>
      <c r="B2022" s="17">
        <f t="shared" si="1587"/>
        <v>51300</v>
      </c>
      <c r="C2022" s="17" t="str">
        <f t="shared" si="1559"/>
        <v>5</v>
      </c>
      <c r="D2022" s="17">
        <f t="shared" si="1560"/>
        <v>50002</v>
      </c>
      <c r="E2022" s="17">
        <v>1</v>
      </c>
      <c r="F2022" s="17">
        <f t="shared" si="1578"/>
        <v>2</v>
      </c>
      <c r="G2022" s="17" t="str">
        <f t="shared" si="1590"/>
        <v>中级魔防</v>
      </c>
      <c r="H2022" s="17" t="str">
        <f t="shared" si="1591"/>
        <v>icon_04</v>
      </c>
      <c r="I2022" s="20">
        <v>0</v>
      </c>
      <c r="J2022" s="17">
        <v>5</v>
      </c>
      <c r="K2022" s="17">
        <f t="shared" si="1588"/>
        <v>51306</v>
      </c>
      <c r="L2022" s="17" t="s">
        <v>312</v>
      </c>
      <c r="M2022" s="17" t="str">
        <f t="shared" si="1592"/>
        <v>1:11000:5</v>
      </c>
      <c r="N2022" s="16" t="str">
        <f t="shared" si="1571"/>
        <v>144:1</v>
      </c>
      <c r="O2022" s="17">
        <f t="shared" si="1579"/>
        <v>4</v>
      </c>
      <c r="P2022" s="21" t="str">
        <f t="shared" si="1569"/>
        <v>所有牧师和法师魔防增加:1</v>
      </c>
      <c r="Q2022" s="21"/>
      <c r="R2022" t="str">
        <f t="shared" si="1593"/>
        <v>魔防</v>
      </c>
      <c r="T2022" t="str">
        <f t="shared" si="1594"/>
        <v>:1</v>
      </c>
      <c r="U2022" t="str">
        <f t="shared" si="1568"/>
        <v>牧师</v>
      </c>
      <c r="V2022" t="s">
        <v>4827</v>
      </c>
      <c r="W2022">
        <f>属性类型!G2022</f>
        <v>144</v>
      </c>
      <c r="X2022">
        <v>1</v>
      </c>
    </row>
    <row r="2023" customFormat="1" ht="16.5" spans="1:24">
      <c r="A2023" s="17">
        <f t="shared" si="1589"/>
        <v>51306</v>
      </c>
      <c r="B2023" s="17">
        <f t="shared" si="1587"/>
        <v>51300</v>
      </c>
      <c r="C2023" s="17" t="str">
        <f t="shared" si="1559"/>
        <v>5</v>
      </c>
      <c r="D2023" s="17">
        <f t="shared" si="1560"/>
        <v>50002</v>
      </c>
      <c r="E2023" s="17">
        <v>1</v>
      </c>
      <c r="F2023" s="17">
        <f t="shared" si="1578"/>
        <v>2</v>
      </c>
      <c r="G2023" s="17" t="str">
        <f t="shared" si="1590"/>
        <v>中级魔防</v>
      </c>
      <c r="H2023" s="17" t="str">
        <f t="shared" si="1591"/>
        <v>icon_04</v>
      </c>
      <c r="I2023" s="20">
        <v>0</v>
      </c>
      <c r="J2023" s="17">
        <v>6</v>
      </c>
      <c r="K2023" s="17">
        <f t="shared" si="1588"/>
        <v>51307</v>
      </c>
      <c r="L2023" s="17" t="s">
        <v>315</v>
      </c>
      <c r="M2023" s="17" t="str">
        <f t="shared" si="1592"/>
        <v>1:11000:5</v>
      </c>
      <c r="N2023" s="16" t="str">
        <f t="shared" si="1571"/>
        <v>144:1</v>
      </c>
      <c r="O2023" s="17">
        <f t="shared" si="1579"/>
        <v>4</v>
      </c>
      <c r="P2023" s="21" t="str">
        <f t="shared" si="1569"/>
        <v>所有牧师和法师魔防增加:1</v>
      </c>
      <c r="Q2023" s="21"/>
      <c r="R2023" t="str">
        <f t="shared" si="1593"/>
        <v>魔防</v>
      </c>
      <c r="T2023" t="str">
        <f t="shared" si="1594"/>
        <v>:1</v>
      </c>
      <c r="U2023" t="str">
        <f t="shared" si="1568"/>
        <v>牧师</v>
      </c>
      <c r="V2023" t="s">
        <v>4827</v>
      </c>
      <c r="W2023">
        <f>属性类型!G2023</f>
        <v>144</v>
      </c>
      <c r="X2023">
        <v>1</v>
      </c>
    </row>
    <row r="2024" customFormat="1" ht="16.5" spans="1:24">
      <c r="A2024" s="17">
        <f t="shared" si="1589"/>
        <v>51307</v>
      </c>
      <c r="B2024" s="17">
        <f t="shared" si="1587"/>
        <v>51300</v>
      </c>
      <c r="C2024" s="17" t="str">
        <f t="shared" si="1559"/>
        <v>5</v>
      </c>
      <c r="D2024" s="17">
        <f t="shared" ref="D2024:D2087" si="1595">$A$1864+F2024</f>
        <v>50002</v>
      </c>
      <c r="E2024" s="17">
        <v>1</v>
      </c>
      <c r="F2024" s="17">
        <f t="shared" si="1578"/>
        <v>2</v>
      </c>
      <c r="G2024" s="17" t="str">
        <f t="shared" si="1590"/>
        <v>中级魔防</v>
      </c>
      <c r="H2024" s="17" t="str">
        <f t="shared" si="1591"/>
        <v>icon_04</v>
      </c>
      <c r="I2024" s="20">
        <v>0</v>
      </c>
      <c r="J2024" s="17">
        <v>7</v>
      </c>
      <c r="K2024" s="17">
        <f t="shared" si="1588"/>
        <v>51308</v>
      </c>
      <c r="L2024" s="17" t="s">
        <v>317</v>
      </c>
      <c r="M2024" s="17" t="str">
        <f t="shared" si="1592"/>
        <v>1:11000:5</v>
      </c>
      <c r="N2024" s="16" t="str">
        <f t="shared" si="1571"/>
        <v>144:1</v>
      </c>
      <c r="O2024" s="17">
        <f t="shared" si="1579"/>
        <v>4</v>
      </c>
      <c r="P2024" s="21" t="str">
        <f t="shared" si="1569"/>
        <v>所有牧师和法师魔防增加:1</v>
      </c>
      <c r="Q2024" s="21"/>
      <c r="R2024" t="str">
        <f t="shared" si="1593"/>
        <v>魔防</v>
      </c>
      <c r="T2024" t="str">
        <f t="shared" si="1594"/>
        <v>:1</v>
      </c>
      <c r="U2024" t="str">
        <f t="shared" si="1568"/>
        <v>牧师</v>
      </c>
      <c r="V2024" t="s">
        <v>4827</v>
      </c>
      <c r="W2024">
        <f>属性类型!G2024</f>
        <v>144</v>
      </c>
      <c r="X2024">
        <v>1</v>
      </c>
    </row>
    <row r="2025" customFormat="1" ht="16.5" spans="1:24">
      <c r="A2025" s="17">
        <f t="shared" si="1589"/>
        <v>51308</v>
      </c>
      <c r="B2025" s="17">
        <f t="shared" si="1587"/>
        <v>51300</v>
      </c>
      <c r="C2025" s="17" t="str">
        <f t="shared" si="1559"/>
        <v>5</v>
      </c>
      <c r="D2025" s="17">
        <f t="shared" si="1595"/>
        <v>50002</v>
      </c>
      <c r="E2025" s="17">
        <v>1</v>
      </c>
      <c r="F2025" s="17">
        <f t="shared" si="1578"/>
        <v>2</v>
      </c>
      <c r="G2025" s="17" t="str">
        <f t="shared" si="1590"/>
        <v>中级魔防</v>
      </c>
      <c r="H2025" s="17" t="str">
        <f t="shared" si="1591"/>
        <v>icon_04</v>
      </c>
      <c r="I2025" s="20">
        <v>0</v>
      </c>
      <c r="J2025" s="17">
        <v>8</v>
      </c>
      <c r="K2025" s="17">
        <f t="shared" si="1588"/>
        <v>51309</v>
      </c>
      <c r="L2025" s="17" t="s">
        <v>320</v>
      </c>
      <c r="M2025" s="17" t="str">
        <f t="shared" si="1592"/>
        <v>1:11000:5</v>
      </c>
      <c r="N2025" s="16" t="str">
        <f t="shared" si="1571"/>
        <v>144:1</v>
      </c>
      <c r="O2025" s="17">
        <f t="shared" si="1579"/>
        <v>4</v>
      </c>
      <c r="P2025" s="21" t="str">
        <f t="shared" si="1569"/>
        <v>所有牧师和法师魔防增加:1</v>
      </c>
      <c r="Q2025" s="21"/>
      <c r="R2025" t="str">
        <f t="shared" si="1593"/>
        <v>魔防</v>
      </c>
      <c r="T2025" t="str">
        <f t="shared" si="1594"/>
        <v>:1</v>
      </c>
      <c r="U2025" t="str">
        <f t="shared" si="1568"/>
        <v>牧师</v>
      </c>
      <c r="V2025" t="s">
        <v>4827</v>
      </c>
      <c r="W2025">
        <f>属性类型!G2025</f>
        <v>144</v>
      </c>
      <c r="X2025">
        <v>1</v>
      </c>
    </row>
    <row r="2026" customFormat="1" ht="16.5" spans="1:24">
      <c r="A2026" s="17">
        <f t="shared" si="1589"/>
        <v>51309</v>
      </c>
      <c r="B2026" s="17">
        <f t="shared" si="1587"/>
        <v>51300</v>
      </c>
      <c r="C2026" s="17" t="str">
        <f t="shared" si="1559"/>
        <v>5</v>
      </c>
      <c r="D2026" s="17">
        <f t="shared" si="1595"/>
        <v>50002</v>
      </c>
      <c r="E2026" s="17">
        <v>1</v>
      </c>
      <c r="F2026" s="17">
        <f t="shared" si="1578"/>
        <v>2</v>
      </c>
      <c r="G2026" s="17" t="str">
        <f t="shared" si="1590"/>
        <v>中级魔防</v>
      </c>
      <c r="H2026" s="17" t="str">
        <f t="shared" si="1591"/>
        <v>icon_04</v>
      </c>
      <c r="I2026" s="20">
        <v>0</v>
      </c>
      <c r="J2026" s="17">
        <v>9</v>
      </c>
      <c r="K2026" s="17">
        <f t="shared" si="1588"/>
        <v>51310</v>
      </c>
      <c r="L2026" s="17" t="s">
        <v>323</v>
      </c>
      <c r="M2026" s="17" t="str">
        <f t="shared" si="1592"/>
        <v>1:11000:5</v>
      </c>
      <c r="N2026" s="16" t="str">
        <f t="shared" si="1571"/>
        <v>144:1</v>
      </c>
      <c r="O2026" s="17">
        <f t="shared" si="1579"/>
        <v>4</v>
      </c>
      <c r="P2026" s="21" t="str">
        <f t="shared" si="1569"/>
        <v>所有牧师和法师魔防增加:1</v>
      </c>
      <c r="Q2026" s="21"/>
      <c r="R2026" t="str">
        <f t="shared" si="1593"/>
        <v>魔防</v>
      </c>
      <c r="T2026" t="str">
        <f t="shared" si="1594"/>
        <v>:1</v>
      </c>
      <c r="U2026" t="str">
        <f t="shared" si="1568"/>
        <v>牧师</v>
      </c>
      <c r="V2026" t="s">
        <v>4827</v>
      </c>
      <c r="W2026">
        <f>属性类型!G2026</f>
        <v>144</v>
      </c>
      <c r="X2026">
        <v>1</v>
      </c>
    </row>
    <row r="2027" customFormat="1" ht="16.5" spans="1:24">
      <c r="A2027" s="17">
        <f t="shared" si="1589"/>
        <v>51310</v>
      </c>
      <c r="B2027" s="17">
        <f t="shared" si="1587"/>
        <v>51300</v>
      </c>
      <c r="C2027" s="17" t="str">
        <f t="shared" si="1559"/>
        <v>5</v>
      </c>
      <c r="D2027" s="17">
        <f t="shared" si="1595"/>
        <v>50002</v>
      </c>
      <c r="E2027" s="17">
        <v>1</v>
      </c>
      <c r="F2027" s="17">
        <f t="shared" si="1578"/>
        <v>2</v>
      </c>
      <c r="G2027" s="17" t="str">
        <f t="shared" si="1590"/>
        <v>中级魔防</v>
      </c>
      <c r="H2027" s="17" t="str">
        <f t="shared" si="1591"/>
        <v>icon_04</v>
      </c>
      <c r="I2027" s="20">
        <v>0</v>
      </c>
      <c r="J2027" s="17">
        <v>10</v>
      </c>
      <c r="K2027" s="17">
        <v>0</v>
      </c>
      <c r="L2027" s="17">
        <v>0</v>
      </c>
      <c r="M2027" s="17" t="str">
        <f t="shared" si="1592"/>
        <v>1:11000:5</v>
      </c>
      <c r="N2027" s="16" t="str">
        <f t="shared" si="1571"/>
        <v>144:1</v>
      </c>
      <c r="O2027" s="17">
        <f t="shared" si="1579"/>
        <v>4</v>
      </c>
      <c r="P2027" s="21" t="str">
        <f t="shared" si="1569"/>
        <v>所有牧师和法师魔防增加:1</v>
      </c>
      <c r="Q2027" s="21"/>
      <c r="R2027" t="str">
        <f t="shared" si="1593"/>
        <v>魔防</v>
      </c>
      <c r="T2027" t="str">
        <f t="shared" si="1594"/>
        <v>:1</v>
      </c>
      <c r="U2027" t="str">
        <f t="shared" si="1568"/>
        <v>牧师</v>
      </c>
      <c r="V2027" t="s">
        <v>4827</v>
      </c>
      <c r="W2027">
        <f>属性类型!G2027</f>
        <v>144</v>
      </c>
      <c r="X2027">
        <v>1</v>
      </c>
    </row>
    <row r="2028" customFormat="1" ht="16.5" spans="1:24">
      <c r="A2028" s="18">
        <f>A2017+100</f>
        <v>51400</v>
      </c>
      <c r="B2028" s="18">
        <f t="shared" si="1587"/>
        <v>51400</v>
      </c>
      <c r="C2028" s="18" t="str">
        <f t="shared" si="1559"/>
        <v>5</v>
      </c>
      <c r="D2028" s="17">
        <f t="shared" si="1595"/>
        <v>50002</v>
      </c>
      <c r="E2028" s="17">
        <v>1</v>
      </c>
      <c r="F2028" s="18">
        <f t="shared" si="1578"/>
        <v>2</v>
      </c>
      <c r="G2028" s="18" t="s">
        <v>4348</v>
      </c>
      <c r="H2028" s="18" t="s">
        <v>112</v>
      </c>
      <c r="I2028" s="20">
        <v>0</v>
      </c>
      <c r="J2028" s="18">
        <v>0</v>
      </c>
      <c r="K2028" s="18">
        <f t="shared" ref="K2028:K2042" si="1596">A2029</f>
        <v>51401</v>
      </c>
      <c r="L2028" s="18" t="s">
        <v>297</v>
      </c>
      <c r="M2028" s="18" t="s">
        <v>396</v>
      </c>
      <c r="N2028" s="16" t="str">
        <f t="shared" si="1571"/>
        <v>146:1</v>
      </c>
      <c r="O2028" s="18">
        <f t="shared" si="1579"/>
        <v>5</v>
      </c>
      <c r="P2028" s="21" t="str">
        <f t="shared" si="1569"/>
        <v>所有牧师和法师生命百分比增加1</v>
      </c>
      <c r="Q2028" s="21"/>
      <c r="R2028" t="s">
        <v>4414</v>
      </c>
      <c r="T2028" t="str">
        <f>RIGHT(N2028,1)</f>
        <v>1</v>
      </c>
      <c r="U2028" t="str">
        <f t="shared" si="1568"/>
        <v>牧师</v>
      </c>
      <c r="V2028" t="s">
        <v>4895</v>
      </c>
      <c r="W2028">
        <f>属性类型!G2028</f>
        <v>146</v>
      </c>
      <c r="X2028">
        <v>1</v>
      </c>
    </row>
    <row r="2029" customFormat="1" ht="16.5" spans="1:24">
      <c r="A2029" s="17">
        <f t="shared" ref="A2029:A2043" si="1597">A2028+1</f>
        <v>51401</v>
      </c>
      <c r="B2029" s="17">
        <f t="shared" si="1587"/>
        <v>51400</v>
      </c>
      <c r="C2029" s="17" t="str">
        <f t="shared" si="1559"/>
        <v>5</v>
      </c>
      <c r="D2029" s="17">
        <f t="shared" si="1595"/>
        <v>50002</v>
      </c>
      <c r="E2029" s="17">
        <v>1</v>
      </c>
      <c r="F2029" s="17">
        <f t="shared" si="1578"/>
        <v>2</v>
      </c>
      <c r="G2029" s="17" t="str">
        <f t="shared" ref="G2029:G2043" si="1598">G2028</f>
        <v>中级生命百分比</v>
      </c>
      <c r="H2029" s="17" t="str">
        <f t="shared" ref="H2029:H2043" si="1599">H2028</f>
        <v>icon_05</v>
      </c>
      <c r="I2029" s="20">
        <v>0</v>
      </c>
      <c r="J2029" s="17">
        <v>1</v>
      </c>
      <c r="K2029" s="17">
        <f t="shared" si="1596"/>
        <v>51402</v>
      </c>
      <c r="L2029" s="17" t="s">
        <v>300</v>
      </c>
      <c r="M2029" s="17" t="str">
        <f t="shared" ref="M2029:M2043" si="1600">M2028</f>
        <v>1:11100:5</v>
      </c>
      <c r="N2029" s="16" t="str">
        <f t="shared" si="1571"/>
        <v>146:1</v>
      </c>
      <c r="O2029" s="17">
        <f t="shared" si="1579"/>
        <v>5</v>
      </c>
      <c r="P2029" s="21" t="str">
        <f t="shared" si="1569"/>
        <v>所有牧师和法师生命百分比增加:1</v>
      </c>
      <c r="Q2029" s="21"/>
      <c r="R2029" t="str">
        <f t="shared" ref="R2029:R2043" si="1601">R2028</f>
        <v>生命百分比</v>
      </c>
      <c r="T2029" t="str">
        <f t="shared" ref="T2029:T2043" si="1602">RIGHT(N2029,2)</f>
        <v>:1</v>
      </c>
      <c r="U2029" t="str">
        <f t="shared" si="1568"/>
        <v>牧师</v>
      </c>
      <c r="V2029" t="s">
        <v>4895</v>
      </c>
      <c r="W2029">
        <f>属性类型!G2029</f>
        <v>146</v>
      </c>
      <c r="X2029">
        <v>1</v>
      </c>
    </row>
    <row r="2030" customFormat="1" ht="16.5" spans="1:24">
      <c r="A2030" s="17">
        <f t="shared" si="1597"/>
        <v>51402</v>
      </c>
      <c r="B2030" s="17">
        <f t="shared" si="1587"/>
        <v>51400</v>
      </c>
      <c r="C2030" s="17" t="str">
        <f t="shared" si="1559"/>
        <v>5</v>
      </c>
      <c r="D2030" s="17">
        <f t="shared" si="1595"/>
        <v>50002</v>
      </c>
      <c r="E2030" s="17">
        <v>1</v>
      </c>
      <c r="F2030" s="17">
        <f t="shared" si="1578"/>
        <v>2</v>
      </c>
      <c r="G2030" s="17" t="str">
        <f t="shared" si="1598"/>
        <v>中级生命百分比</v>
      </c>
      <c r="H2030" s="17" t="str">
        <f t="shared" si="1599"/>
        <v>icon_05</v>
      </c>
      <c r="I2030" s="20">
        <v>0</v>
      </c>
      <c r="J2030" s="17">
        <v>2</v>
      </c>
      <c r="K2030" s="17">
        <f t="shared" si="1596"/>
        <v>51403</v>
      </c>
      <c r="L2030" s="17" t="s">
        <v>304</v>
      </c>
      <c r="M2030" s="17" t="str">
        <f t="shared" si="1600"/>
        <v>1:11100:5</v>
      </c>
      <c r="N2030" s="16" t="str">
        <f t="shared" si="1571"/>
        <v>146:1</v>
      </c>
      <c r="O2030" s="17">
        <f t="shared" si="1579"/>
        <v>5</v>
      </c>
      <c r="P2030" s="21" t="str">
        <f t="shared" si="1569"/>
        <v>所有牧师和法师生命百分比增加:1</v>
      </c>
      <c r="Q2030" s="21"/>
      <c r="R2030" t="str">
        <f t="shared" si="1601"/>
        <v>生命百分比</v>
      </c>
      <c r="T2030" t="str">
        <f t="shared" si="1602"/>
        <v>:1</v>
      </c>
      <c r="U2030" t="str">
        <f t="shared" si="1568"/>
        <v>牧师</v>
      </c>
      <c r="V2030" t="s">
        <v>4895</v>
      </c>
      <c r="W2030">
        <f>属性类型!G2030</f>
        <v>146</v>
      </c>
      <c r="X2030">
        <v>1</v>
      </c>
    </row>
    <row r="2031" customFormat="1" ht="16.5" spans="1:24">
      <c r="A2031" s="17">
        <f t="shared" si="1597"/>
        <v>51403</v>
      </c>
      <c r="B2031" s="17">
        <f t="shared" si="1587"/>
        <v>51400</v>
      </c>
      <c r="C2031" s="17" t="str">
        <f t="shared" si="1559"/>
        <v>5</v>
      </c>
      <c r="D2031" s="17">
        <f t="shared" si="1595"/>
        <v>50002</v>
      </c>
      <c r="E2031" s="17">
        <v>1</v>
      </c>
      <c r="F2031" s="17">
        <f t="shared" si="1578"/>
        <v>2</v>
      </c>
      <c r="G2031" s="17" t="str">
        <f t="shared" si="1598"/>
        <v>中级生命百分比</v>
      </c>
      <c r="H2031" s="17" t="str">
        <f t="shared" si="1599"/>
        <v>icon_05</v>
      </c>
      <c r="I2031" s="20">
        <v>0</v>
      </c>
      <c r="J2031" s="17">
        <v>3</v>
      </c>
      <c r="K2031" s="17">
        <f t="shared" si="1596"/>
        <v>51404</v>
      </c>
      <c r="L2031" s="17" t="s">
        <v>307</v>
      </c>
      <c r="M2031" s="17" t="str">
        <f t="shared" si="1600"/>
        <v>1:11100:5</v>
      </c>
      <c r="N2031" s="16" t="str">
        <f t="shared" si="1571"/>
        <v>146:1</v>
      </c>
      <c r="O2031" s="17">
        <f t="shared" si="1579"/>
        <v>5</v>
      </c>
      <c r="P2031" s="21" t="str">
        <f t="shared" si="1569"/>
        <v>所有牧师和法师生命百分比增加:1</v>
      </c>
      <c r="Q2031" s="21"/>
      <c r="R2031" t="str">
        <f t="shared" si="1601"/>
        <v>生命百分比</v>
      </c>
      <c r="T2031" t="str">
        <f t="shared" si="1602"/>
        <v>:1</v>
      </c>
      <c r="U2031" t="str">
        <f t="shared" si="1568"/>
        <v>牧师</v>
      </c>
      <c r="V2031" t="s">
        <v>4895</v>
      </c>
      <c r="W2031">
        <f>属性类型!G2031</f>
        <v>146</v>
      </c>
      <c r="X2031">
        <v>1</v>
      </c>
    </row>
    <row r="2032" customFormat="1" ht="16.5" spans="1:24">
      <c r="A2032" s="17">
        <f t="shared" si="1597"/>
        <v>51404</v>
      </c>
      <c r="B2032" s="17">
        <f t="shared" si="1587"/>
        <v>51400</v>
      </c>
      <c r="C2032" s="17" t="str">
        <f t="shared" si="1559"/>
        <v>5</v>
      </c>
      <c r="D2032" s="17">
        <f t="shared" si="1595"/>
        <v>50002</v>
      </c>
      <c r="E2032" s="17">
        <v>1</v>
      </c>
      <c r="F2032" s="17">
        <f t="shared" si="1578"/>
        <v>2</v>
      </c>
      <c r="G2032" s="17" t="str">
        <f t="shared" si="1598"/>
        <v>中级生命百分比</v>
      </c>
      <c r="H2032" s="17" t="str">
        <f t="shared" si="1599"/>
        <v>icon_05</v>
      </c>
      <c r="I2032" s="20">
        <v>0</v>
      </c>
      <c r="J2032" s="17">
        <v>4</v>
      </c>
      <c r="K2032" s="17">
        <f t="shared" si="1596"/>
        <v>51405</v>
      </c>
      <c r="L2032" s="17" t="s">
        <v>309</v>
      </c>
      <c r="M2032" s="17" t="str">
        <f t="shared" si="1600"/>
        <v>1:11100:5</v>
      </c>
      <c r="N2032" s="16" t="str">
        <f t="shared" si="1571"/>
        <v>146:1</v>
      </c>
      <c r="O2032" s="17">
        <f t="shared" si="1579"/>
        <v>5</v>
      </c>
      <c r="P2032" s="21" t="str">
        <f t="shared" si="1569"/>
        <v>所有牧师和法师生命百分比增加:1</v>
      </c>
      <c r="Q2032" s="21"/>
      <c r="R2032" t="str">
        <f t="shared" si="1601"/>
        <v>生命百分比</v>
      </c>
      <c r="T2032" t="str">
        <f t="shared" si="1602"/>
        <v>:1</v>
      </c>
      <c r="U2032" t="str">
        <f t="shared" si="1568"/>
        <v>牧师</v>
      </c>
      <c r="V2032" t="s">
        <v>4895</v>
      </c>
      <c r="W2032">
        <f>属性类型!G2032</f>
        <v>146</v>
      </c>
      <c r="X2032">
        <v>1</v>
      </c>
    </row>
    <row r="2033" customFormat="1" ht="16.5" spans="1:24">
      <c r="A2033" s="17">
        <f t="shared" si="1597"/>
        <v>51405</v>
      </c>
      <c r="B2033" s="17">
        <f t="shared" si="1587"/>
        <v>51400</v>
      </c>
      <c r="C2033" s="17" t="str">
        <f t="shared" si="1559"/>
        <v>5</v>
      </c>
      <c r="D2033" s="17">
        <f t="shared" si="1595"/>
        <v>50002</v>
      </c>
      <c r="E2033" s="17">
        <v>1</v>
      </c>
      <c r="F2033" s="17">
        <f t="shared" si="1578"/>
        <v>2</v>
      </c>
      <c r="G2033" s="17" t="str">
        <f t="shared" si="1598"/>
        <v>中级生命百分比</v>
      </c>
      <c r="H2033" s="17" t="str">
        <f t="shared" si="1599"/>
        <v>icon_05</v>
      </c>
      <c r="I2033" s="20">
        <v>0</v>
      </c>
      <c r="J2033" s="17">
        <v>5</v>
      </c>
      <c r="K2033" s="17">
        <f t="shared" si="1596"/>
        <v>51406</v>
      </c>
      <c r="L2033" s="17" t="s">
        <v>312</v>
      </c>
      <c r="M2033" s="17" t="str">
        <f t="shared" si="1600"/>
        <v>1:11100:5</v>
      </c>
      <c r="N2033" s="16" t="str">
        <f t="shared" si="1571"/>
        <v>146:1</v>
      </c>
      <c r="O2033" s="17">
        <f t="shared" si="1579"/>
        <v>5</v>
      </c>
      <c r="P2033" s="21" t="str">
        <f t="shared" si="1569"/>
        <v>所有牧师和法师生命百分比增加:1</v>
      </c>
      <c r="Q2033" s="21"/>
      <c r="R2033" t="str">
        <f t="shared" si="1601"/>
        <v>生命百分比</v>
      </c>
      <c r="T2033" t="str">
        <f t="shared" si="1602"/>
        <v>:1</v>
      </c>
      <c r="U2033" t="str">
        <f t="shared" si="1568"/>
        <v>牧师</v>
      </c>
      <c r="V2033" t="s">
        <v>4895</v>
      </c>
      <c r="W2033">
        <f>属性类型!G2033</f>
        <v>146</v>
      </c>
      <c r="X2033">
        <v>1</v>
      </c>
    </row>
    <row r="2034" customFormat="1" ht="16.5" spans="1:24">
      <c r="A2034" s="17">
        <f t="shared" si="1597"/>
        <v>51406</v>
      </c>
      <c r="B2034" s="17">
        <f t="shared" si="1587"/>
        <v>51400</v>
      </c>
      <c r="C2034" s="17" t="str">
        <f t="shared" si="1559"/>
        <v>5</v>
      </c>
      <c r="D2034" s="17">
        <f t="shared" si="1595"/>
        <v>50002</v>
      </c>
      <c r="E2034" s="17">
        <v>1</v>
      </c>
      <c r="F2034" s="17">
        <f t="shared" si="1578"/>
        <v>2</v>
      </c>
      <c r="G2034" s="17" t="str">
        <f t="shared" si="1598"/>
        <v>中级生命百分比</v>
      </c>
      <c r="H2034" s="17" t="str">
        <f t="shared" si="1599"/>
        <v>icon_05</v>
      </c>
      <c r="I2034" s="20">
        <v>0</v>
      </c>
      <c r="J2034" s="17">
        <v>6</v>
      </c>
      <c r="K2034" s="17">
        <f t="shared" si="1596"/>
        <v>51407</v>
      </c>
      <c r="L2034" s="17" t="s">
        <v>315</v>
      </c>
      <c r="M2034" s="17" t="str">
        <f t="shared" si="1600"/>
        <v>1:11100:5</v>
      </c>
      <c r="N2034" s="16" t="str">
        <f t="shared" si="1571"/>
        <v>146:1</v>
      </c>
      <c r="O2034" s="17">
        <f t="shared" si="1579"/>
        <v>5</v>
      </c>
      <c r="P2034" s="21" t="str">
        <f t="shared" si="1569"/>
        <v>所有牧师和法师生命百分比增加:1</v>
      </c>
      <c r="Q2034" s="21"/>
      <c r="R2034" t="str">
        <f t="shared" si="1601"/>
        <v>生命百分比</v>
      </c>
      <c r="T2034" t="str">
        <f t="shared" si="1602"/>
        <v>:1</v>
      </c>
      <c r="U2034" t="str">
        <f t="shared" si="1568"/>
        <v>牧师</v>
      </c>
      <c r="V2034" t="s">
        <v>4895</v>
      </c>
      <c r="W2034">
        <f>属性类型!G2034</f>
        <v>146</v>
      </c>
      <c r="X2034">
        <v>1</v>
      </c>
    </row>
    <row r="2035" customFormat="1" ht="16.5" spans="1:24">
      <c r="A2035" s="17">
        <f t="shared" si="1597"/>
        <v>51407</v>
      </c>
      <c r="B2035" s="17">
        <f t="shared" si="1587"/>
        <v>51400</v>
      </c>
      <c r="C2035" s="17" t="str">
        <f t="shared" si="1559"/>
        <v>5</v>
      </c>
      <c r="D2035" s="17">
        <f t="shared" si="1595"/>
        <v>50002</v>
      </c>
      <c r="E2035" s="17">
        <v>1</v>
      </c>
      <c r="F2035" s="17">
        <f t="shared" si="1578"/>
        <v>2</v>
      </c>
      <c r="G2035" s="17" t="str">
        <f t="shared" si="1598"/>
        <v>中级生命百分比</v>
      </c>
      <c r="H2035" s="17" t="str">
        <f t="shared" si="1599"/>
        <v>icon_05</v>
      </c>
      <c r="I2035" s="20">
        <v>0</v>
      </c>
      <c r="J2035" s="17">
        <v>7</v>
      </c>
      <c r="K2035" s="17">
        <f t="shared" si="1596"/>
        <v>51408</v>
      </c>
      <c r="L2035" s="17" t="s">
        <v>317</v>
      </c>
      <c r="M2035" s="17" t="str">
        <f t="shared" si="1600"/>
        <v>1:11100:5</v>
      </c>
      <c r="N2035" s="16" t="str">
        <f t="shared" si="1571"/>
        <v>146:1</v>
      </c>
      <c r="O2035" s="17">
        <f t="shared" si="1579"/>
        <v>5</v>
      </c>
      <c r="P2035" s="21" t="str">
        <f t="shared" si="1569"/>
        <v>所有牧师和法师生命百分比增加:1</v>
      </c>
      <c r="Q2035" s="21"/>
      <c r="R2035" t="str">
        <f t="shared" si="1601"/>
        <v>生命百分比</v>
      </c>
      <c r="T2035" t="str">
        <f t="shared" si="1602"/>
        <v>:1</v>
      </c>
      <c r="U2035" t="str">
        <f t="shared" si="1568"/>
        <v>牧师</v>
      </c>
      <c r="V2035" t="s">
        <v>4895</v>
      </c>
      <c r="W2035">
        <f>属性类型!G2035</f>
        <v>146</v>
      </c>
      <c r="X2035">
        <v>1</v>
      </c>
    </row>
    <row r="2036" customFormat="1" ht="16.5" spans="1:24">
      <c r="A2036" s="17">
        <f t="shared" si="1597"/>
        <v>51408</v>
      </c>
      <c r="B2036" s="17">
        <f t="shared" si="1587"/>
        <v>51400</v>
      </c>
      <c r="C2036" s="17" t="str">
        <f t="shared" si="1559"/>
        <v>5</v>
      </c>
      <c r="D2036" s="17">
        <f t="shared" si="1595"/>
        <v>50002</v>
      </c>
      <c r="E2036" s="17">
        <v>1</v>
      </c>
      <c r="F2036" s="17">
        <f t="shared" si="1578"/>
        <v>2</v>
      </c>
      <c r="G2036" s="17" t="str">
        <f t="shared" si="1598"/>
        <v>中级生命百分比</v>
      </c>
      <c r="H2036" s="17" t="str">
        <f t="shared" si="1599"/>
        <v>icon_05</v>
      </c>
      <c r="I2036" s="20">
        <v>0</v>
      </c>
      <c r="J2036" s="17">
        <v>8</v>
      </c>
      <c r="K2036" s="17">
        <f t="shared" si="1596"/>
        <v>51409</v>
      </c>
      <c r="L2036" s="17" t="s">
        <v>320</v>
      </c>
      <c r="M2036" s="17" t="str">
        <f t="shared" si="1600"/>
        <v>1:11100:5</v>
      </c>
      <c r="N2036" s="16" t="str">
        <f t="shared" si="1571"/>
        <v>146:1</v>
      </c>
      <c r="O2036" s="17">
        <f t="shared" si="1579"/>
        <v>5</v>
      </c>
      <c r="P2036" s="21" t="str">
        <f t="shared" si="1569"/>
        <v>所有牧师和法师生命百分比增加:1</v>
      </c>
      <c r="Q2036" s="21"/>
      <c r="R2036" t="str">
        <f t="shared" si="1601"/>
        <v>生命百分比</v>
      </c>
      <c r="T2036" t="str">
        <f t="shared" si="1602"/>
        <v>:1</v>
      </c>
      <c r="U2036" t="str">
        <f t="shared" si="1568"/>
        <v>牧师</v>
      </c>
      <c r="V2036" t="s">
        <v>4895</v>
      </c>
      <c r="W2036">
        <f>属性类型!G2036</f>
        <v>146</v>
      </c>
      <c r="X2036">
        <v>1</v>
      </c>
    </row>
    <row r="2037" customFormat="1" ht="16.5" spans="1:24">
      <c r="A2037" s="17">
        <f t="shared" si="1597"/>
        <v>51409</v>
      </c>
      <c r="B2037" s="17">
        <f t="shared" si="1587"/>
        <v>51400</v>
      </c>
      <c r="C2037" s="17" t="str">
        <f t="shared" ref="C2037:C2100" si="1603">LEFT(A2037,1)</f>
        <v>5</v>
      </c>
      <c r="D2037" s="17">
        <f t="shared" si="1595"/>
        <v>50002</v>
      </c>
      <c r="E2037" s="17">
        <v>1</v>
      </c>
      <c r="F2037" s="17">
        <f t="shared" si="1578"/>
        <v>2</v>
      </c>
      <c r="G2037" s="17" t="str">
        <f t="shared" si="1598"/>
        <v>中级生命百分比</v>
      </c>
      <c r="H2037" s="17" t="str">
        <f t="shared" si="1599"/>
        <v>icon_05</v>
      </c>
      <c r="I2037" s="20">
        <v>0</v>
      </c>
      <c r="J2037" s="17">
        <v>9</v>
      </c>
      <c r="K2037" s="17">
        <f t="shared" si="1596"/>
        <v>51410</v>
      </c>
      <c r="L2037" s="17" t="s">
        <v>323</v>
      </c>
      <c r="M2037" s="17" t="str">
        <f t="shared" si="1600"/>
        <v>1:11100:5</v>
      </c>
      <c r="N2037" s="16" t="str">
        <f t="shared" si="1571"/>
        <v>146:1</v>
      </c>
      <c r="O2037" s="17">
        <f t="shared" si="1579"/>
        <v>5</v>
      </c>
      <c r="P2037" s="21" t="str">
        <f t="shared" si="1569"/>
        <v>所有牧师和法师生命百分比增加:1</v>
      </c>
      <c r="Q2037" s="21"/>
      <c r="R2037" t="str">
        <f t="shared" si="1601"/>
        <v>生命百分比</v>
      </c>
      <c r="T2037" t="str">
        <f t="shared" si="1602"/>
        <v>:1</v>
      </c>
      <c r="U2037" t="str">
        <f t="shared" si="1568"/>
        <v>牧师</v>
      </c>
      <c r="V2037" t="s">
        <v>4895</v>
      </c>
      <c r="W2037">
        <f>属性类型!G2037</f>
        <v>146</v>
      </c>
      <c r="X2037">
        <v>1</v>
      </c>
    </row>
    <row r="2038" customFormat="1" ht="16.5" spans="1:24">
      <c r="A2038" s="17">
        <f t="shared" si="1597"/>
        <v>51410</v>
      </c>
      <c r="B2038" s="17">
        <f t="shared" si="1587"/>
        <v>51400</v>
      </c>
      <c r="C2038" s="17" t="str">
        <f t="shared" si="1603"/>
        <v>5</v>
      </c>
      <c r="D2038" s="17">
        <f t="shared" si="1595"/>
        <v>50002</v>
      </c>
      <c r="E2038" s="17">
        <v>1</v>
      </c>
      <c r="F2038" s="17">
        <f t="shared" si="1578"/>
        <v>2</v>
      </c>
      <c r="G2038" s="17" t="str">
        <f t="shared" si="1598"/>
        <v>中级生命百分比</v>
      </c>
      <c r="H2038" s="17" t="str">
        <f t="shared" si="1599"/>
        <v>icon_05</v>
      </c>
      <c r="I2038" s="20">
        <v>0</v>
      </c>
      <c r="J2038" s="17">
        <v>10</v>
      </c>
      <c r="K2038" s="17">
        <f t="shared" si="1596"/>
        <v>51411</v>
      </c>
      <c r="L2038" s="17" t="s">
        <v>407</v>
      </c>
      <c r="M2038" s="17" t="str">
        <f t="shared" si="1600"/>
        <v>1:11100:5</v>
      </c>
      <c r="N2038" s="16" t="str">
        <f t="shared" si="1571"/>
        <v>146:1</v>
      </c>
      <c r="O2038" s="17">
        <f t="shared" si="1579"/>
        <v>5</v>
      </c>
      <c r="P2038" s="21" t="str">
        <f t="shared" si="1569"/>
        <v>所有牧师和法师生命百分比增加:1</v>
      </c>
      <c r="Q2038" s="21"/>
      <c r="R2038" t="str">
        <f t="shared" si="1601"/>
        <v>生命百分比</v>
      </c>
      <c r="T2038" t="str">
        <f t="shared" si="1602"/>
        <v>:1</v>
      </c>
      <c r="U2038" t="str">
        <f t="shared" si="1568"/>
        <v>牧师</v>
      </c>
      <c r="V2038" t="s">
        <v>4895</v>
      </c>
      <c r="W2038">
        <f>属性类型!G2038</f>
        <v>146</v>
      </c>
      <c r="X2038">
        <v>1</v>
      </c>
    </row>
    <row r="2039" customFormat="1" ht="16.5" spans="1:24">
      <c r="A2039" s="17">
        <f t="shared" si="1597"/>
        <v>51411</v>
      </c>
      <c r="B2039" s="17">
        <f t="shared" si="1587"/>
        <v>51400</v>
      </c>
      <c r="C2039" s="17" t="str">
        <f t="shared" si="1603"/>
        <v>5</v>
      </c>
      <c r="D2039" s="17">
        <f t="shared" si="1595"/>
        <v>50002</v>
      </c>
      <c r="E2039" s="17">
        <v>1</v>
      </c>
      <c r="F2039" s="17">
        <f t="shared" si="1578"/>
        <v>2</v>
      </c>
      <c r="G2039" s="17" t="str">
        <f t="shared" si="1598"/>
        <v>中级生命百分比</v>
      </c>
      <c r="H2039" s="17" t="str">
        <f t="shared" si="1599"/>
        <v>icon_05</v>
      </c>
      <c r="I2039" s="20">
        <v>0</v>
      </c>
      <c r="J2039" s="17">
        <v>11</v>
      </c>
      <c r="K2039" s="17">
        <f t="shared" si="1596"/>
        <v>51412</v>
      </c>
      <c r="L2039" s="17" t="s">
        <v>410</v>
      </c>
      <c r="M2039" s="17" t="str">
        <f t="shared" si="1600"/>
        <v>1:11100:5</v>
      </c>
      <c r="N2039" s="16" t="str">
        <f t="shared" si="1571"/>
        <v>146:1</v>
      </c>
      <c r="O2039" s="17">
        <f t="shared" si="1579"/>
        <v>5</v>
      </c>
      <c r="P2039" s="21" t="str">
        <f t="shared" si="1569"/>
        <v>所有牧师和法师生命百分比增加:1</v>
      </c>
      <c r="Q2039" s="21"/>
      <c r="R2039" t="str">
        <f t="shared" si="1601"/>
        <v>生命百分比</v>
      </c>
      <c r="T2039" t="str">
        <f t="shared" si="1602"/>
        <v>:1</v>
      </c>
      <c r="U2039" t="str">
        <f t="shared" si="1568"/>
        <v>牧师</v>
      </c>
      <c r="V2039" t="s">
        <v>4895</v>
      </c>
      <c r="W2039">
        <f>属性类型!G2039</f>
        <v>146</v>
      </c>
      <c r="X2039">
        <v>1</v>
      </c>
    </row>
    <row r="2040" customFormat="1" ht="16.5" spans="1:24">
      <c r="A2040" s="17">
        <f t="shared" si="1597"/>
        <v>51412</v>
      </c>
      <c r="B2040" s="17">
        <f t="shared" si="1587"/>
        <v>51400</v>
      </c>
      <c r="C2040" s="17" t="str">
        <f t="shared" si="1603"/>
        <v>5</v>
      </c>
      <c r="D2040" s="17">
        <f t="shared" si="1595"/>
        <v>50002</v>
      </c>
      <c r="E2040" s="17">
        <v>1</v>
      </c>
      <c r="F2040" s="17">
        <f t="shared" si="1578"/>
        <v>2</v>
      </c>
      <c r="G2040" s="17" t="str">
        <f t="shared" si="1598"/>
        <v>中级生命百分比</v>
      </c>
      <c r="H2040" s="17" t="str">
        <f t="shared" si="1599"/>
        <v>icon_05</v>
      </c>
      <c r="I2040" s="20">
        <v>0</v>
      </c>
      <c r="J2040" s="17">
        <v>12</v>
      </c>
      <c r="K2040" s="17">
        <f t="shared" si="1596"/>
        <v>51413</v>
      </c>
      <c r="L2040" s="17" t="s">
        <v>414</v>
      </c>
      <c r="M2040" s="17" t="str">
        <f t="shared" si="1600"/>
        <v>1:11100:5</v>
      </c>
      <c r="N2040" s="16" t="str">
        <f t="shared" si="1571"/>
        <v>146:1</v>
      </c>
      <c r="O2040" s="17">
        <f t="shared" si="1579"/>
        <v>5</v>
      </c>
      <c r="P2040" s="21" t="str">
        <f t="shared" si="1569"/>
        <v>所有牧师和法师生命百分比增加:1</v>
      </c>
      <c r="Q2040" s="21"/>
      <c r="R2040" t="str">
        <f t="shared" si="1601"/>
        <v>生命百分比</v>
      </c>
      <c r="T2040" t="str">
        <f t="shared" si="1602"/>
        <v>:1</v>
      </c>
      <c r="U2040" t="str">
        <f t="shared" si="1568"/>
        <v>牧师</v>
      </c>
      <c r="V2040" t="s">
        <v>4895</v>
      </c>
      <c r="W2040">
        <f>属性类型!G2040</f>
        <v>146</v>
      </c>
      <c r="X2040">
        <v>1</v>
      </c>
    </row>
    <row r="2041" customFormat="1" ht="16.5" spans="1:24">
      <c r="A2041" s="17">
        <f t="shared" si="1597"/>
        <v>51413</v>
      </c>
      <c r="B2041" s="17">
        <f t="shared" si="1587"/>
        <v>51400</v>
      </c>
      <c r="C2041" s="17" t="str">
        <f t="shared" si="1603"/>
        <v>5</v>
      </c>
      <c r="D2041" s="17">
        <f t="shared" si="1595"/>
        <v>50002</v>
      </c>
      <c r="E2041" s="17">
        <v>1</v>
      </c>
      <c r="F2041" s="17">
        <f t="shared" si="1578"/>
        <v>2</v>
      </c>
      <c r="G2041" s="17" t="str">
        <f t="shared" si="1598"/>
        <v>中级生命百分比</v>
      </c>
      <c r="H2041" s="17" t="str">
        <f t="shared" si="1599"/>
        <v>icon_05</v>
      </c>
      <c r="I2041" s="20">
        <v>0</v>
      </c>
      <c r="J2041" s="17">
        <v>13</v>
      </c>
      <c r="K2041" s="17">
        <f t="shared" si="1596"/>
        <v>51414</v>
      </c>
      <c r="L2041" s="17" t="s">
        <v>418</v>
      </c>
      <c r="M2041" s="17" t="str">
        <f t="shared" si="1600"/>
        <v>1:11100:5</v>
      </c>
      <c r="N2041" s="16" t="str">
        <f t="shared" si="1571"/>
        <v>146:1</v>
      </c>
      <c r="O2041" s="17">
        <f t="shared" si="1579"/>
        <v>5</v>
      </c>
      <c r="P2041" s="21" t="str">
        <f t="shared" si="1569"/>
        <v>所有牧师和法师生命百分比增加:1</v>
      </c>
      <c r="Q2041" s="21"/>
      <c r="R2041" t="str">
        <f t="shared" si="1601"/>
        <v>生命百分比</v>
      </c>
      <c r="T2041" t="str">
        <f t="shared" si="1602"/>
        <v>:1</v>
      </c>
      <c r="U2041" t="str">
        <f t="shared" si="1568"/>
        <v>牧师</v>
      </c>
      <c r="V2041" t="s">
        <v>4895</v>
      </c>
      <c r="W2041">
        <f>属性类型!G2041</f>
        <v>146</v>
      </c>
      <c r="X2041">
        <v>1</v>
      </c>
    </row>
    <row r="2042" customFormat="1" ht="16.5" spans="1:24">
      <c r="A2042" s="17">
        <f t="shared" si="1597"/>
        <v>51414</v>
      </c>
      <c r="B2042" s="17">
        <f t="shared" si="1587"/>
        <v>51400</v>
      </c>
      <c r="C2042" s="17" t="str">
        <f t="shared" si="1603"/>
        <v>5</v>
      </c>
      <c r="D2042" s="17">
        <f t="shared" si="1595"/>
        <v>50002</v>
      </c>
      <c r="E2042" s="17">
        <v>1</v>
      </c>
      <c r="F2042" s="17">
        <f t="shared" si="1578"/>
        <v>2</v>
      </c>
      <c r="G2042" s="17" t="str">
        <f t="shared" si="1598"/>
        <v>中级生命百分比</v>
      </c>
      <c r="H2042" s="17" t="str">
        <f t="shared" si="1599"/>
        <v>icon_05</v>
      </c>
      <c r="I2042" s="20">
        <v>0</v>
      </c>
      <c r="J2042" s="17">
        <v>14</v>
      </c>
      <c r="K2042" s="17">
        <f t="shared" si="1596"/>
        <v>51415</v>
      </c>
      <c r="L2042" s="17" t="s">
        <v>422</v>
      </c>
      <c r="M2042" s="17" t="str">
        <f t="shared" si="1600"/>
        <v>1:11100:5</v>
      </c>
      <c r="N2042" s="16" t="str">
        <f t="shared" si="1571"/>
        <v>146:1</v>
      </c>
      <c r="O2042" s="17">
        <f t="shared" si="1579"/>
        <v>5</v>
      </c>
      <c r="P2042" s="21" t="str">
        <f t="shared" si="1569"/>
        <v>所有牧师和法师生命百分比增加:1</v>
      </c>
      <c r="Q2042" s="21"/>
      <c r="R2042" t="str">
        <f t="shared" si="1601"/>
        <v>生命百分比</v>
      </c>
      <c r="T2042" t="str">
        <f t="shared" si="1602"/>
        <v>:1</v>
      </c>
      <c r="U2042" t="str">
        <f t="shared" si="1568"/>
        <v>牧师</v>
      </c>
      <c r="V2042" t="s">
        <v>4895</v>
      </c>
      <c r="W2042">
        <f>属性类型!G2042</f>
        <v>146</v>
      </c>
      <c r="X2042">
        <v>1</v>
      </c>
    </row>
    <row r="2043" customFormat="1" ht="16.5" spans="1:24">
      <c r="A2043" s="17">
        <f t="shared" si="1597"/>
        <v>51415</v>
      </c>
      <c r="B2043" s="17">
        <f t="shared" si="1587"/>
        <v>51400</v>
      </c>
      <c r="C2043" s="17" t="str">
        <f t="shared" si="1603"/>
        <v>5</v>
      </c>
      <c r="D2043" s="17">
        <f t="shared" si="1595"/>
        <v>50002</v>
      </c>
      <c r="E2043" s="17">
        <v>1</v>
      </c>
      <c r="F2043" s="17">
        <f t="shared" si="1578"/>
        <v>2</v>
      </c>
      <c r="G2043" s="17" t="str">
        <f t="shared" si="1598"/>
        <v>中级生命百分比</v>
      </c>
      <c r="H2043" s="17" t="str">
        <f t="shared" si="1599"/>
        <v>icon_05</v>
      </c>
      <c r="I2043" s="20">
        <v>0</v>
      </c>
      <c r="J2043" s="17">
        <v>15</v>
      </c>
      <c r="K2043" s="17">
        <v>0</v>
      </c>
      <c r="L2043" s="17">
        <v>0</v>
      </c>
      <c r="M2043" s="17" t="str">
        <f t="shared" si="1600"/>
        <v>1:11100:5</v>
      </c>
      <c r="N2043" s="16" t="str">
        <f t="shared" si="1571"/>
        <v>146:1</v>
      </c>
      <c r="O2043" s="17">
        <f t="shared" si="1579"/>
        <v>5</v>
      </c>
      <c r="P2043" s="21" t="str">
        <f t="shared" si="1569"/>
        <v>所有牧师和法师生命百分比增加:1</v>
      </c>
      <c r="Q2043" s="21"/>
      <c r="R2043" t="str">
        <f t="shared" si="1601"/>
        <v>生命百分比</v>
      </c>
      <c r="T2043" t="str">
        <f t="shared" si="1602"/>
        <v>:1</v>
      </c>
      <c r="U2043" t="str">
        <f t="shared" si="1568"/>
        <v>牧师</v>
      </c>
      <c r="V2043" t="s">
        <v>4895</v>
      </c>
      <c r="W2043">
        <f>属性类型!G2043</f>
        <v>146</v>
      </c>
      <c r="X2043">
        <v>1</v>
      </c>
    </row>
    <row r="2044" customFormat="1" ht="16.5" spans="1:24">
      <c r="A2044" s="18">
        <f>A2028+100</f>
        <v>51500</v>
      </c>
      <c r="B2044" s="18">
        <f t="shared" si="1587"/>
        <v>51500</v>
      </c>
      <c r="C2044" s="18" t="str">
        <f t="shared" si="1603"/>
        <v>5</v>
      </c>
      <c r="D2044" s="17">
        <f t="shared" si="1595"/>
        <v>50002</v>
      </c>
      <c r="E2044" s="17">
        <v>1</v>
      </c>
      <c r="F2044" s="18">
        <f t="shared" si="1578"/>
        <v>2</v>
      </c>
      <c r="G2044" s="18" t="s">
        <v>427</v>
      </c>
      <c r="H2044" s="18" t="s">
        <v>149</v>
      </c>
      <c r="I2044" s="20">
        <v>0</v>
      </c>
      <c r="J2044" s="18">
        <v>0</v>
      </c>
      <c r="K2044" s="18">
        <f t="shared" ref="K2044:K2058" si="1604">A2045</f>
        <v>51501</v>
      </c>
      <c r="L2044" s="18" t="s">
        <v>297</v>
      </c>
      <c r="M2044" s="18" t="s">
        <v>429</v>
      </c>
      <c r="N2044" s="16" t="str">
        <f t="shared" si="1571"/>
        <v>147:1</v>
      </c>
      <c r="O2044" s="18">
        <f t="shared" si="1579"/>
        <v>6</v>
      </c>
      <c r="P2044" s="21" t="str">
        <f t="shared" si="1569"/>
        <v>所有牧师和法师攻击百分比增加1</v>
      </c>
      <c r="Q2044" s="21"/>
      <c r="R2044" t="s">
        <v>4280</v>
      </c>
      <c r="T2044" t="str">
        <f>RIGHT(N2044,1)</f>
        <v>1</v>
      </c>
      <c r="U2044" t="str">
        <f t="shared" si="1568"/>
        <v>牧师</v>
      </c>
      <c r="V2044" t="s">
        <v>4829</v>
      </c>
      <c r="W2044">
        <f>属性类型!G2044</f>
        <v>147</v>
      </c>
      <c r="X2044">
        <v>1</v>
      </c>
    </row>
    <row r="2045" customFormat="1" ht="16.5" spans="1:24">
      <c r="A2045" s="17">
        <f t="shared" ref="A2045:A2059" si="1605">A2044+1</f>
        <v>51501</v>
      </c>
      <c r="B2045" s="17">
        <f t="shared" si="1587"/>
        <v>51500</v>
      </c>
      <c r="C2045" s="17" t="str">
        <f t="shared" si="1603"/>
        <v>5</v>
      </c>
      <c r="D2045" s="17">
        <f t="shared" si="1595"/>
        <v>50002</v>
      </c>
      <c r="E2045" s="17">
        <v>1</v>
      </c>
      <c r="F2045" s="17">
        <f t="shared" si="1578"/>
        <v>2</v>
      </c>
      <c r="G2045" s="17" t="str">
        <f t="shared" ref="G2045:G2059" si="1606">G2044</f>
        <v>中级攻击百分比</v>
      </c>
      <c r="H2045" s="17" t="str">
        <f t="shared" ref="H2045:H2059" si="1607">H2044</f>
        <v>icon_06</v>
      </c>
      <c r="I2045" s="20">
        <v>0</v>
      </c>
      <c r="J2045" s="17">
        <v>1</v>
      </c>
      <c r="K2045" s="17">
        <f t="shared" si="1604"/>
        <v>51502</v>
      </c>
      <c r="L2045" s="17" t="s">
        <v>300</v>
      </c>
      <c r="M2045" s="17" t="str">
        <f t="shared" ref="M2045:M2059" si="1608">M2044</f>
        <v>1:11200:5</v>
      </c>
      <c r="N2045" s="16" t="str">
        <f t="shared" si="1571"/>
        <v>147:1</v>
      </c>
      <c r="O2045" s="17">
        <f t="shared" si="1579"/>
        <v>6</v>
      </c>
      <c r="P2045" s="21" t="str">
        <f t="shared" si="1569"/>
        <v>所有牧师和法师攻击百分比增加:1</v>
      </c>
      <c r="Q2045" s="21"/>
      <c r="R2045" t="str">
        <f t="shared" ref="R2045:R2059" si="1609">R2044</f>
        <v>攻击百分比</v>
      </c>
      <c r="T2045" t="str">
        <f t="shared" ref="T2045:T2059" si="1610">RIGHT(N2045,2)</f>
        <v>:1</v>
      </c>
      <c r="U2045" t="str">
        <f t="shared" si="1568"/>
        <v>牧师</v>
      </c>
      <c r="V2045" t="s">
        <v>4829</v>
      </c>
      <c r="W2045">
        <f>属性类型!G2045</f>
        <v>147</v>
      </c>
      <c r="X2045">
        <v>1</v>
      </c>
    </row>
    <row r="2046" customFormat="1" ht="16.5" spans="1:24">
      <c r="A2046" s="17">
        <f t="shared" si="1605"/>
        <v>51502</v>
      </c>
      <c r="B2046" s="17">
        <f t="shared" si="1587"/>
        <v>51500</v>
      </c>
      <c r="C2046" s="17" t="str">
        <f t="shared" si="1603"/>
        <v>5</v>
      </c>
      <c r="D2046" s="17">
        <f t="shared" si="1595"/>
        <v>50002</v>
      </c>
      <c r="E2046" s="17">
        <v>1</v>
      </c>
      <c r="F2046" s="17">
        <f t="shared" si="1578"/>
        <v>2</v>
      </c>
      <c r="G2046" s="17" t="str">
        <f t="shared" si="1606"/>
        <v>中级攻击百分比</v>
      </c>
      <c r="H2046" s="17" t="str">
        <f t="shared" si="1607"/>
        <v>icon_06</v>
      </c>
      <c r="I2046" s="20">
        <v>0</v>
      </c>
      <c r="J2046" s="17">
        <v>2</v>
      </c>
      <c r="K2046" s="17">
        <f t="shared" si="1604"/>
        <v>51503</v>
      </c>
      <c r="L2046" s="17" t="s">
        <v>304</v>
      </c>
      <c r="M2046" s="17" t="str">
        <f t="shared" si="1608"/>
        <v>1:11200:5</v>
      </c>
      <c r="N2046" s="16" t="str">
        <f t="shared" si="1571"/>
        <v>147:1</v>
      </c>
      <c r="O2046" s="17">
        <f t="shared" si="1579"/>
        <v>6</v>
      </c>
      <c r="P2046" s="21" t="str">
        <f t="shared" si="1569"/>
        <v>所有牧师和法师攻击百分比增加:1</v>
      </c>
      <c r="Q2046" s="21"/>
      <c r="R2046" t="str">
        <f t="shared" si="1609"/>
        <v>攻击百分比</v>
      </c>
      <c r="T2046" t="str">
        <f t="shared" si="1610"/>
        <v>:1</v>
      </c>
      <c r="U2046" t="str">
        <f t="shared" si="1568"/>
        <v>牧师</v>
      </c>
      <c r="V2046" t="s">
        <v>4829</v>
      </c>
      <c r="W2046">
        <f>属性类型!G2046</f>
        <v>147</v>
      </c>
      <c r="X2046">
        <v>1</v>
      </c>
    </row>
    <row r="2047" customFormat="1" ht="16.5" spans="1:24">
      <c r="A2047" s="17">
        <f t="shared" si="1605"/>
        <v>51503</v>
      </c>
      <c r="B2047" s="17">
        <f t="shared" si="1587"/>
        <v>51500</v>
      </c>
      <c r="C2047" s="17" t="str">
        <f t="shared" si="1603"/>
        <v>5</v>
      </c>
      <c r="D2047" s="17">
        <f t="shared" si="1595"/>
        <v>50002</v>
      </c>
      <c r="E2047" s="17">
        <v>1</v>
      </c>
      <c r="F2047" s="17">
        <f t="shared" si="1578"/>
        <v>2</v>
      </c>
      <c r="G2047" s="17" t="str">
        <f t="shared" si="1606"/>
        <v>中级攻击百分比</v>
      </c>
      <c r="H2047" s="17" t="str">
        <f t="shared" si="1607"/>
        <v>icon_06</v>
      </c>
      <c r="I2047" s="20">
        <v>0</v>
      </c>
      <c r="J2047" s="17">
        <v>3</v>
      </c>
      <c r="K2047" s="17">
        <f t="shared" si="1604"/>
        <v>51504</v>
      </c>
      <c r="L2047" s="17" t="s">
        <v>307</v>
      </c>
      <c r="M2047" s="17" t="str">
        <f t="shared" si="1608"/>
        <v>1:11200:5</v>
      </c>
      <c r="N2047" s="16" t="str">
        <f t="shared" si="1571"/>
        <v>147:1</v>
      </c>
      <c r="O2047" s="17">
        <f t="shared" si="1579"/>
        <v>6</v>
      </c>
      <c r="P2047" s="21" t="str">
        <f t="shared" si="1569"/>
        <v>所有牧师和法师攻击百分比增加:1</v>
      </c>
      <c r="Q2047" s="21"/>
      <c r="R2047" t="str">
        <f t="shared" si="1609"/>
        <v>攻击百分比</v>
      </c>
      <c r="T2047" t="str">
        <f t="shared" si="1610"/>
        <v>:1</v>
      </c>
      <c r="U2047" t="str">
        <f t="shared" si="1568"/>
        <v>牧师</v>
      </c>
      <c r="V2047" t="s">
        <v>4829</v>
      </c>
      <c r="W2047">
        <f>属性类型!G2047</f>
        <v>147</v>
      </c>
      <c r="X2047">
        <v>1</v>
      </c>
    </row>
    <row r="2048" customFormat="1" ht="16.5" spans="1:24">
      <c r="A2048" s="17">
        <f t="shared" si="1605"/>
        <v>51504</v>
      </c>
      <c r="B2048" s="17">
        <f t="shared" si="1587"/>
        <v>51500</v>
      </c>
      <c r="C2048" s="17" t="str">
        <f t="shared" si="1603"/>
        <v>5</v>
      </c>
      <c r="D2048" s="17">
        <f t="shared" si="1595"/>
        <v>50002</v>
      </c>
      <c r="E2048" s="17">
        <v>1</v>
      </c>
      <c r="F2048" s="17">
        <f t="shared" si="1578"/>
        <v>2</v>
      </c>
      <c r="G2048" s="17" t="str">
        <f t="shared" si="1606"/>
        <v>中级攻击百分比</v>
      </c>
      <c r="H2048" s="17" t="str">
        <f t="shared" si="1607"/>
        <v>icon_06</v>
      </c>
      <c r="I2048" s="20">
        <v>0</v>
      </c>
      <c r="J2048" s="17">
        <v>4</v>
      </c>
      <c r="K2048" s="17">
        <f t="shared" si="1604"/>
        <v>51505</v>
      </c>
      <c r="L2048" s="17" t="s">
        <v>309</v>
      </c>
      <c r="M2048" s="17" t="str">
        <f t="shared" si="1608"/>
        <v>1:11200:5</v>
      </c>
      <c r="N2048" s="16" t="str">
        <f t="shared" si="1571"/>
        <v>147:1</v>
      </c>
      <c r="O2048" s="17">
        <f t="shared" si="1579"/>
        <v>6</v>
      </c>
      <c r="P2048" s="21" t="str">
        <f t="shared" si="1569"/>
        <v>所有牧师和法师攻击百分比增加:1</v>
      </c>
      <c r="Q2048" s="21"/>
      <c r="R2048" t="str">
        <f t="shared" si="1609"/>
        <v>攻击百分比</v>
      </c>
      <c r="T2048" t="str">
        <f t="shared" si="1610"/>
        <v>:1</v>
      </c>
      <c r="U2048" t="str">
        <f t="shared" si="1568"/>
        <v>牧师</v>
      </c>
      <c r="V2048" t="s">
        <v>4829</v>
      </c>
      <c r="W2048">
        <f>属性类型!G2048</f>
        <v>147</v>
      </c>
      <c r="X2048">
        <v>1</v>
      </c>
    </row>
    <row r="2049" customFormat="1" ht="16.5" spans="1:24">
      <c r="A2049" s="17">
        <f t="shared" si="1605"/>
        <v>51505</v>
      </c>
      <c r="B2049" s="17">
        <f t="shared" si="1587"/>
        <v>51500</v>
      </c>
      <c r="C2049" s="17" t="str">
        <f t="shared" si="1603"/>
        <v>5</v>
      </c>
      <c r="D2049" s="17">
        <f t="shared" si="1595"/>
        <v>50002</v>
      </c>
      <c r="E2049" s="17">
        <v>1</v>
      </c>
      <c r="F2049" s="17">
        <f t="shared" si="1578"/>
        <v>2</v>
      </c>
      <c r="G2049" s="17" t="str">
        <f t="shared" si="1606"/>
        <v>中级攻击百分比</v>
      </c>
      <c r="H2049" s="17" t="str">
        <f t="shared" si="1607"/>
        <v>icon_06</v>
      </c>
      <c r="I2049" s="20">
        <v>0</v>
      </c>
      <c r="J2049" s="17">
        <v>5</v>
      </c>
      <c r="K2049" s="17">
        <f t="shared" si="1604"/>
        <v>51506</v>
      </c>
      <c r="L2049" s="17" t="s">
        <v>312</v>
      </c>
      <c r="M2049" s="17" t="str">
        <f t="shared" si="1608"/>
        <v>1:11200:5</v>
      </c>
      <c r="N2049" s="16" t="str">
        <f t="shared" si="1571"/>
        <v>147:1</v>
      </c>
      <c r="O2049" s="17">
        <f t="shared" si="1579"/>
        <v>6</v>
      </c>
      <c r="P2049" s="21" t="str">
        <f t="shared" si="1569"/>
        <v>所有牧师和法师攻击百分比增加:1</v>
      </c>
      <c r="Q2049" s="21"/>
      <c r="R2049" t="str">
        <f t="shared" si="1609"/>
        <v>攻击百分比</v>
      </c>
      <c r="T2049" t="str">
        <f t="shared" si="1610"/>
        <v>:1</v>
      </c>
      <c r="U2049" t="str">
        <f t="shared" si="1568"/>
        <v>牧师</v>
      </c>
      <c r="V2049" t="s">
        <v>4829</v>
      </c>
      <c r="W2049">
        <f>属性类型!G2049</f>
        <v>147</v>
      </c>
      <c r="X2049">
        <v>1</v>
      </c>
    </row>
    <row r="2050" customFormat="1" ht="16.5" spans="1:24">
      <c r="A2050" s="17">
        <f t="shared" si="1605"/>
        <v>51506</v>
      </c>
      <c r="B2050" s="17">
        <f t="shared" si="1587"/>
        <v>51500</v>
      </c>
      <c r="C2050" s="17" t="str">
        <f t="shared" si="1603"/>
        <v>5</v>
      </c>
      <c r="D2050" s="17">
        <f t="shared" si="1595"/>
        <v>50002</v>
      </c>
      <c r="E2050" s="17">
        <v>1</v>
      </c>
      <c r="F2050" s="17">
        <f t="shared" si="1578"/>
        <v>2</v>
      </c>
      <c r="G2050" s="17" t="str">
        <f t="shared" si="1606"/>
        <v>中级攻击百分比</v>
      </c>
      <c r="H2050" s="17" t="str">
        <f t="shared" si="1607"/>
        <v>icon_06</v>
      </c>
      <c r="I2050" s="20">
        <v>0</v>
      </c>
      <c r="J2050" s="17">
        <v>6</v>
      </c>
      <c r="K2050" s="17">
        <f t="shared" si="1604"/>
        <v>51507</v>
      </c>
      <c r="L2050" s="17" t="s">
        <v>315</v>
      </c>
      <c r="M2050" s="17" t="str">
        <f t="shared" si="1608"/>
        <v>1:11200:5</v>
      </c>
      <c r="N2050" s="16" t="str">
        <f t="shared" si="1571"/>
        <v>147:1</v>
      </c>
      <c r="O2050" s="17">
        <f t="shared" si="1579"/>
        <v>6</v>
      </c>
      <c r="P2050" s="21" t="str">
        <f t="shared" si="1569"/>
        <v>所有牧师和法师攻击百分比增加:1</v>
      </c>
      <c r="Q2050" s="21"/>
      <c r="R2050" t="str">
        <f t="shared" si="1609"/>
        <v>攻击百分比</v>
      </c>
      <c r="T2050" t="str">
        <f t="shared" si="1610"/>
        <v>:1</v>
      </c>
      <c r="U2050" t="str">
        <f t="shared" si="1568"/>
        <v>牧师</v>
      </c>
      <c r="V2050" t="s">
        <v>4829</v>
      </c>
      <c r="W2050">
        <f>属性类型!G2050</f>
        <v>147</v>
      </c>
      <c r="X2050">
        <v>1</v>
      </c>
    </row>
    <row r="2051" customFormat="1" ht="16.5" spans="1:24">
      <c r="A2051" s="17">
        <f t="shared" si="1605"/>
        <v>51507</v>
      </c>
      <c r="B2051" s="17">
        <f t="shared" si="1587"/>
        <v>51500</v>
      </c>
      <c r="C2051" s="17" t="str">
        <f t="shared" si="1603"/>
        <v>5</v>
      </c>
      <c r="D2051" s="17">
        <f t="shared" si="1595"/>
        <v>50002</v>
      </c>
      <c r="E2051" s="17">
        <v>1</v>
      </c>
      <c r="F2051" s="17">
        <f t="shared" si="1578"/>
        <v>2</v>
      </c>
      <c r="G2051" s="17" t="str">
        <f t="shared" si="1606"/>
        <v>中级攻击百分比</v>
      </c>
      <c r="H2051" s="17" t="str">
        <f t="shared" si="1607"/>
        <v>icon_06</v>
      </c>
      <c r="I2051" s="20">
        <v>0</v>
      </c>
      <c r="J2051" s="17">
        <v>7</v>
      </c>
      <c r="K2051" s="17">
        <f t="shared" si="1604"/>
        <v>51508</v>
      </c>
      <c r="L2051" s="17" t="s">
        <v>317</v>
      </c>
      <c r="M2051" s="17" t="str">
        <f t="shared" si="1608"/>
        <v>1:11200:5</v>
      </c>
      <c r="N2051" s="16" t="str">
        <f t="shared" si="1571"/>
        <v>147:1</v>
      </c>
      <c r="O2051" s="17">
        <f t="shared" si="1579"/>
        <v>6</v>
      </c>
      <c r="P2051" s="21" t="str">
        <f t="shared" si="1569"/>
        <v>所有牧师和法师攻击百分比增加:1</v>
      </c>
      <c r="Q2051" s="21"/>
      <c r="R2051" t="str">
        <f t="shared" si="1609"/>
        <v>攻击百分比</v>
      </c>
      <c r="T2051" t="str">
        <f t="shared" si="1610"/>
        <v>:1</v>
      </c>
      <c r="U2051" t="str">
        <f t="shared" si="1568"/>
        <v>牧师</v>
      </c>
      <c r="V2051" t="s">
        <v>4829</v>
      </c>
      <c r="W2051">
        <f>属性类型!G2051</f>
        <v>147</v>
      </c>
      <c r="X2051">
        <v>1</v>
      </c>
    </row>
    <row r="2052" customFormat="1" ht="16.5" spans="1:24">
      <c r="A2052" s="17">
        <f t="shared" si="1605"/>
        <v>51508</v>
      </c>
      <c r="B2052" s="17">
        <f t="shared" si="1587"/>
        <v>51500</v>
      </c>
      <c r="C2052" s="17" t="str">
        <f t="shared" si="1603"/>
        <v>5</v>
      </c>
      <c r="D2052" s="17">
        <f t="shared" si="1595"/>
        <v>50002</v>
      </c>
      <c r="E2052" s="17">
        <v>1</v>
      </c>
      <c r="F2052" s="17">
        <f t="shared" si="1578"/>
        <v>2</v>
      </c>
      <c r="G2052" s="17" t="str">
        <f t="shared" si="1606"/>
        <v>中级攻击百分比</v>
      </c>
      <c r="H2052" s="17" t="str">
        <f t="shared" si="1607"/>
        <v>icon_06</v>
      </c>
      <c r="I2052" s="20">
        <v>0</v>
      </c>
      <c r="J2052" s="17">
        <v>8</v>
      </c>
      <c r="K2052" s="17">
        <f t="shared" si="1604"/>
        <v>51509</v>
      </c>
      <c r="L2052" s="17" t="s">
        <v>320</v>
      </c>
      <c r="M2052" s="17" t="str">
        <f t="shared" si="1608"/>
        <v>1:11200:5</v>
      </c>
      <c r="N2052" s="16" t="str">
        <f t="shared" si="1571"/>
        <v>147:1</v>
      </c>
      <c r="O2052" s="17">
        <f t="shared" si="1579"/>
        <v>6</v>
      </c>
      <c r="P2052" s="21" t="str">
        <f t="shared" si="1569"/>
        <v>所有牧师和法师攻击百分比增加:1</v>
      </c>
      <c r="Q2052" s="21"/>
      <c r="R2052" t="str">
        <f t="shared" si="1609"/>
        <v>攻击百分比</v>
      </c>
      <c r="T2052" t="str">
        <f t="shared" si="1610"/>
        <v>:1</v>
      </c>
      <c r="U2052" t="str">
        <f t="shared" si="1568"/>
        <v>牧师</v>
      </c>
      <c r="V2052" t="s">
        <v>4829</v>
      </c>
      <c r="W2052">
        <f>属性类型!G2052</f>
        <v>147</v>
      </c>
      <c r="X2052">
        <v>1</v>
      </c>
    </row>
    <row r="2053" customFormat="1" ht="16.5" spans="1:24">
      <c r="A2053" s="17">
        <f t="shared" si="1605"/>
        <v>51509</v>
      </c>
      <c r="B2053" s="17">
        <f t="shared" si="1587"/>
        <v>51500</v>
      </c>
      <c r="C2053" s="17" t="str">
        <f t="shared" si="1603"/>
        <v>5</v>
      </c>
      <c r="D2053" s="17">
        <f t="shared" si="1595"/>
        <v>50002</v>
      </c>
      <c r="E2053" s="17">
        <v>1</v>
      </c>
      <c r="F2053" s="17">
        <f t="shared" si="1578"/>
        <v>2</v>
      </c>
      <c r="G2053" s="17" t="str">
        <f t="shared" si="1606"/>
        <v>中级攻击百分比</v>
      </c>
      <c r="H2053" s="17" t="str">
        <f t="shared" si="1607"/>
        <v>icon_06</v>
      </c>
      <c r="I2053" s="20">
        <v>0</v>
      </c>
      <c r="J2053" s="17">
        <v>9</v>
      </c>
      <c r="K2053" s="17">
        <f t="shared" si="1604"/>
        <v>51510</v>
      </c>
      <c r="L2053" s="17" t="s">
        <v>323</v>
      </c>
      <c r="M2053" s="17" t="str">
        <f t="shared" si="1608"/>
        <v>1:11200:5</v>
      </c>
      <c r="N2053" s="16" t="str">
        <f t="shared" si="1571"/>
        <v>147:1</v>
      </c>
      <c r="O2053" s="17">
        <f t="shared" si="1579"/>
        <v>6</v>
      </c>
      <c r="P2053" s="21" t="str">
        <f t="shared" si="1569"/>
        <v>所有牧师和法师攻击百分比增加:1</v>
      </c>
      <c r="Q2053" s="21"/>
      <c r="R2053" t="str">
        <f t="shared" si="1609"/>
        <v>攻击百分比</v>
      </c>
      <c r="T2053" t="str">
        <f t="shared" si="1610"/>
        <v>:1</v>
      </c>
      <c r="U2053" t="str">
        <f t="shared" ref="U2053:U2116" si="1611">MID(P2053,3,2)</f>
        <v>牧师</v>
      </c>
      <c r="V2053" t="s">
        <v>4829</v>
      </c>
      <c r="W2053">
        <f>属性类型!G2053</f>
        <v>147</v>
      </c>
      <c r="X2053">
        <v>1</v>
      </c>
    </row>
    <row r="2054" customFormat="1" ht="16.5" spans="1:24">
      <c r="A2054" s="17">
        <f t="shared" si="1605"/>
        <v>51510</v>
      </c>
      <c r="B2054" s="17">
        <f t="shared" si="1587"/>
        <v>51500</v>
      </c>
      <c r="C2054" s="17" t="str">
        <f t="shared" si="1603"/>
        <v>5</v>
      </c>
      <c r="D2054" s="17">
        <f t="shared" si="1595"/>
        <v>50002</v>
      </c>
      <c r="E2054" s="17">
        <v>1</v>
      </c>
      <c r="F2054" s="17">
        <f t="shared" si="1578"/>
        <v>2</v>
      </c>
      <c r="G2054" s="17" t="str">
        <f t="shared" si="1606"/>
        <v>中级攻击百分比</v>
      </c>
      <c r="H2054" s="17" t="str">
        <f t="shared" si="1607"/>
        <v>icon_06</v>
      </c>
      <c r="I2054" s="20">
        <v>0</v>
      </c>
      <c r="J2054" s="17">
        <v>10</v>
      </c>
      <c r="K2054" s="17">
        <f t="shared" si="1604"/>
        <v>51511</v>
      </c>
      <c r="L2054" s="17" t="s">
        <v>407</v>
      </c>
      <c r="M2054" s="17" t="str">
        <f t="shared" si="1608"/>
        <v>1:11200:5</v>
      </c>
      <c r="N2054" s="16" t="str">
        <f t="shared" si="1571"/>
        <v>147:1</v>
      </c>
      <c r="O2054" s="17">
        <f t="shared" si="1579"/>
        <v>6</v>
      </c>
      <c r="P2054" s="21" t="str">
        <f t="shared" si="1569"/>
        <v>所有牧师和法师攻击百分比增加:1</v>
      </c>
      <c r="Q2054" s="21"/>
      <c r="R2054" t="str">
        <f t="shared" si="1609"/>
        <v>攻击百分比</v>
      </c>
      <c r="T2054" t="str">
        <f t="shared" si="1610"/>
        <v>:1</v>
      </c>
      <c r="U2054" t="str">
        <f t="shared" si="1611"/>
        <v>牧师</v>
      </c>
      <c r="V2054" t="s">
        <v>4829</v>
      </c>
      <c r="W2054">
        <f>属性类型!G2054</f>
        <v>147</v>
      </c>
      <c r="X2054">
        <v>1</v>
      </c>
    </row>
    <row r="2055" customFormat="1" ht="16.5" spans="1:24">
      <c r="A2055" s="17">
        <f t="shared" si="1605"/>
        <v>51511</v>
      </c>
      <c r="B2055" s="17">
        <f t="shared" si="1587"/>
        <v>51500</v>
      </c>
      <c r="C2055" s="17" t="str">
        <f t="shared" si="1603"/>
        <v>5</v>
      </c>
      <c r="D2055" s="17">
        <f t="shared" si="1595"/>
        <v>50002</v>
      </c>
      <c r="E2055" s="17">
        <v>1</v>
      </c>
      <c r="F2055" s="17">
        <f t="shared" si="1578"/>
        <v>2</v>
      </c>
      <c r="G2055" s="17" t="str">
        <f t="shared" si="1606"/>
        <v>中级攻击百分比</v>
      </c>
      <c r="H2055" s="17" t="str">
        <f t="shared" si="1607"/>
        <v>icon_06</v>
      </c>
      <c r="I2055" s="20">
        <v>0</v>
      </c>
      <c r="J2055" s="17">
        <v>11</v>
      </c>
      <c r="K2055" s="17">
        <f t="shared" si="1604"/>
        <v>51512</v>
      </c>
      <c r="L2055" s="17" t="s">
        <v>410</v>
      </c>
      <c r="M2055" s="17" t="str">
        <f t="shared" si="1608"/>
        <v>1:11200:5</v>
      </c>
      <c r="N2055" s="16" t="str">
        <f t="shared" si="1571"/>
        <v>147:1</v>
      </c>
      <c r="O2055" s="17">
        <f t="shared" si="1579"/>
        <v>6</v>
      </c>
      <c r="P2055" s="21" t="str">
        <f t="shared" si="1569"/>
        <v>所有牧师和法师攻击百分比增加:1</v>
      </c>
      <c r="Q2055" s="21"/>
      <c r="R2055" t="str">
        <f t="shared" si="1609"/>
        <v>攻击百分比</v>
      </c>
      <c r="T2055" t="str">
        <f t="shared" si="1610"/>
        <v>:1</v>
      </c>
      <c r="U2055" t="str">
        <f t="shared" si="1611"/>
        <v>牧师</v>
      </c>
      <c r="V2055" t="s">
        <v>4829</v>
      </c>
      <c r="W2055">
        <f>属性类型!G2055</f>
        <v>147</v>
      </c>
      <c r="X2055">
        <v>1</v>
      </c>
    </row>
    <row r="2056" customFormat="1" ht="16.5" spans="1:24">
      <c r="A2056" s="17">
        <f t="shared" si="1605"/>
        <v>51512</v>
      </c>
      <c r="B2056" s="17">
        <f t="shared" si="1587"/>
        <v>51500</v>
      </c>
      <c r="C2056" s="17" t="str">
        <f t="shared" si="1603"/>
        <v>5</v>
      </c>
      <c r="D2056" s="17">
        <f t="shared" si="1595"/>
        <v>50002</v>
      </c>
      <c r="E2056" s="17">
        <v>1</v>
      </c>
      <c r="F2056" s="17">
        <f t="shared" si="1578"/>
        <v>2</v>
      </c>
      <c r="G2056" s="17" t="str">
        <f t="shared" si="1606"/>
        <v>中级攻击百分比</v>
      </c>
      <c r="H2056" s="17" t="str">
        <f t="shared" si="1607"/>
        <v>icon_06</v>
      </c>
      <c r="I2056" s="20">
        <v>0</v>
      </c>
      <c r="J2056" s="17">
        <v>12</v>
      </c>
      <c r="K2056" s="17">
        <f t="shared" si="1604"/>
        <v>51513</v>
      </c>
      <c r="L2056" s="17" t="s">
        <v>414</v>
      </c>
      <c r="M2056" s="17" t="str">
        <f t="shared" si="1608"/>
        <v>1:11200:5</v>
      </c>
      <c r="N2056" s="16" t="str">
        <f t="shared" si="1571"/>
        <v>147:1</v>
      </c>
      <c r="O2056" s="17">
        <f t="shared" si="1579"/>
        <v>6</v>
      </c>
      <c r="P2056" s="21" t="str">
        <f t="shared" si="1569"/>
        <v>所有牧师和法师攻击百分比增加:1</v>
      </c>
      <c r="Q2056" s="21"/>
      <c r="R2056" t="str">
        <f t="shared" si="1609"/>
        <v>攻击百分比</v>
      </c>
      <c r="T2056" t="str">
        <f t="shared" si="1610"/>
        <v>:1</v>
      </c>
      <c r="U2056" t="str">
        <f t="shared" si="1611"/>
        <v>牧师</v>
      </c>
      <c r="V2056" t="s">
        <v>4829</v>
      </c>
      <c r="W2056">
        <f>属性类型!G2056</f>
        <v>147</v>
      </c>
      <c r="X2056">
        <v>1</v>
      </c>
    </row>
    <row r="2057" customFormat="1" ht="16.5" spans="1:24">
      <c r="A2057" s="17">
        <f t="shared" si="1605"/>
        <v>51513</v>
      </c>
      <c r="B2057" s="17">
        <f t="shared" si="1587"/>
        <v>51500</v>
      </c>
      <c r="C2057" s="17" t="str">
        <f t="shared" si="1603"/>
        <v>5</v>
      </c>
      <c r="D2057" s="17">
        <f t="shared" si="1595"/>
        <v>50002</v>
      </c>
      <c r="E2057" s="17">
        <v>1</v>
      </c>
      <c r="F2057" s="17">
        <f t="shared" si="1578"/>
        <v>2</v>
      </c>
      <c r="G2057" s="17" t="str">
        <f t="shared" si="1606"/>
        <v>中级攻击百分比</v>
      </c>
      <c r="H2057" s="17" t="str">
        <f t="shared" si="1607"/>
        <v>icon_06</v>
      </c>
      <c r="I2057" s="20">
        <v>0</v>
      </c>
      <c r="J2057" s="17">
        <v>13</v>
      </c>
      <c r="K2057" s="17">
        <f t="shared" si="1604"/>
        <v>51514</v>
      </c>
      <c r="L2057" s="17" t="s">
        <v>418</v>
      </c>
      <c r="M2057" s="17" t="str">
        <f t="shared" si="1608"/>
        <v>1:11200:5</v>
      </c>
      <c r="N2057" s="16" t="str">
        <f t="shared" si="1571"/>
        <v>147:1</v>
      </c>
      <c r="O2057" s="17">
        <f t="shared" si="1579"/>
        <v>6</v>
      </c>
      <c r="P2057" s="21" t="str">
        <f t="shared" si="1569"/>
        <v>所有牧师和法师攻击百分比增加:1</v>
      </c>
      <c r="Q2057" s="21"/>
      <c r="R2057" t="str">
        <f t="shared" si="1609"/>
        <v>攻击百分比</v>
      </c>
      <c r="T2057" t="str">
        <f t="shared" si="1610"/>
        <v>:1</v>
      </c>
      <c r="U2057" t="str">
        <f t="shared" si="1611"/>
        <v>牧师</v>
      </c>
      <c r="V2057" t="s">
        <v>4829</v>
      </c>
      <c r="W2057">
        <f>属性类型!G2057</f>
        <v>147</v>
      </c>
      <c r="X2057">
        <v>1</v>
      </c>
    </row>
    <row r="2058" customFormat="1" ht="16.5" spans="1:24">
      <c r="A2058" s="17">
        <f t="shared" si="1605"/>
        <v>51514</v>
      </c>
      <c r="B2058" s="17">
        <f t="shared" si="1587"/>
        <v>51500</v>
      </c>
      <c r="C2058" s="17" t="str">
        <f t="shared" si="1603"/>
        <v>5</v>
      </c>
      <c r="D2058" s="17">
        <f t="shared" si="1595"/>
        <v>50002</v>
      </c>
      <c r="E2058" s="17">
        <v>1</v>
      </c>
      <c r="F2058" s="17">
        <f t="shared" si="1578"/>
        <v>2</v>
      </c>
      <c r="G2058" s="17" t="str">
        <f t="shared" si="1606"/>
        <v>中级攻击百分比</v>
      </c>
      <c r="H2058" s="17" t="str">
        <f t="shared" si="1607"/>
        <v>icon_06</v>
      </c>
      <c r="I2058" s="20">
        <v>0</v>
      </c>
      <c r="J2058" s="17">
        <v>14</v>
      </c>
      <c r="K2058" s="17">
        <f t="shared" si="1604"/>
        <v>51515</v>
      </c>
      <c r="L2058" s="17" t="s">
        <v>422</v>
      </c>
      <c r="M2058" s="17" t="str">
        <f t="shared" si="1608"/>
        <v>1:11200:5</v>
      </c>
      <c r="N2058" s="16" t="str">
        <f t="shared" si="1571"/>
        <v>147:1</v>
      </c>
      <c r="O2058" s="17">
        <f t="shared" si="1579"/>
        <v>6</v>
      </c>
      <c r="P2058" s="21" t="str">
        <f>$S$2&amp;R2058&amp;$Q$1&amp;T2058</f>
        <v>所有牧师和法师攻击百分比增加:1</v>
      </c>
      <c r="Q2058" s="21"/>
      <c r="R2058" t="str">
        <f t="shared" si="1609"/>
        <v>攻击百分比</v>
      </c>
      <c r="T2058" t="str">
        <f t="shared" si="1610"/>
        <v>:1</v>
      </c>
      <c r="U2058" t="str">
        <f t="shared" si="1611"/>
        <v>牧师</v>
      </c>
      <c r="V2058" t="s">
        <v>4829</v>
      </c>
      <c r="W2058">
        <f>属性类型!G2058</f>
        <v>147</v>
      </c>
      <c r="X2058">
        <v>1</v>
      </c>
    </row>
    <row r="2059" customFormat="1" ht="16.5" spans="1:24">
      <c r="A2059" s="17">
        <f t="shared" si="1605"/>
        <v>51515</v>
      </c>
      <c r="B2059" s="17">
        <f t="shared" si="1587"/>
        <v>51500</v>
      </c>
      <c r="C2059" s="17" t="str">
        <f t="shared" si="1603"/>
        <v>5</v>
      </c>
      <c r="D2059" s="17">
        <f t="shared" si="1595"/>
        <v>50002</v>
      </c>
      <c r="E2059" s="17">
        <v>1</v>
      </c>
      <c r="F2059" s="17">
        <f t="shared" si="1578"/>
        <v>2</v>
      </c>
      <c r="G2059" s="17" t="str">
        <f t="shared" si="1606"/>
        <v>中级攻击百分比</v>
      </c>
      <c r="H2059" s="17" t="str">
        <f t="shared" si="1607"/>
        <v>icon_06</v>
      </c>
      <c r="I2059" s="20">
        <v>0</v>
      </c>
      <c r="J2059" s="17">
        <v>15</v>
      </c>
      <c r="K2059" s="17">
        <v>0</v>
      </c>
      <c r="L2059" s="17">
        <v>0</v>
      </c>
      <c r="M2059" s="17" t="str">
        <f t="shared" si="1608"/>
        <v>1:11200:5</v>
      </c>
      <c r="N2059" s="16" t="str">
        <f t="shared" ref="N2059:N2122" si="1612">W2059&amp;$W$2&amp;X2059</f>
        <v>147:1</v>
      </c>
      <c r="O2059" s="17">
        <f t="shared" si="1579"/>
        <v>6</v>
      </c>
      <c r="P2059" s="21" t="str">
        <f>$S$2&amp;R2059&amp;$Q$1&amp;T2059</f>
        <v>所有牧师和法师攻击百分比增加:1</v>
      </c>
      <c r="Q2059" s="21"/>
      <c r="R2059" t="str">
        <f t="shared" si="1609"/>
        <v>攻击百分比</v>
      </c>
      <c r="T2059" t="str">
        <f t="shared" si="1610"/>
        <v>:1</v>
      </c>
      <c r="U2059" t="str">
        <f t="shared" si="1611"/>
        <v>牧师</v>
      </c>
      <c r="V2059" t="s">
        <v>4829</v>
      </c>
      <c r="W2059">
        <f>属性类型!G2059</f>
        <v>147</v>
      </c>
      <c r="X2059">
        <v>1</v>
      </c>
    </row>
    <row r="2060" customFormat="1" ht="16.5" spans="1:24">
      <c r="A2060" s="18">
        <f>A2044+100</f>
        <v>51600</v>
      </c>
      <c r="B2060" s="18">
        <f t="shared" si="1587"/>
        <v>51600</v>
      </c>
      <c r="C2060" s="18" t="str">
        <f t="shared" si="1603"/>
        <v>5</v>
      </c>
      <c r="D2060" s="17">
        <f t="shared" si="1595"/>
        <v>50002</v>
      </c>
      <c r="E2060" s="17">
        <v>1</v>
      </c>
      <c r="F2060" s="18">
        <f t="shared" si="1578"/>
        <v>2</v>
      </c>
      <c r="G2060" s="18" t="s">
        <v>450</v>
      </c>
      <c r="H2060" s="18" t="s">
        <v>176</v>
      </c>
      <c r="I2060" s="20">
        <v>0</v>
      </c>
      <c r="J2060" s="18">
        <v>0</v>
      </c>
      <c r="K2060" s="18">
        <f t="shared" ref="K2060:K2074" si="1613">A2061</f>
        <v>51601</v>
      </c>
      <c r="L2060" s="18" t="s">
        <v>297</v>
      </c>
      <c r="M2060" s="18" t="s">
        <v>452</v>
      </c>
      <c r="N2060" s="16" t="str">
        <f t="shared" si="1612"/>
        <v>149:1</v>
      </c>
      <c r="O2060" s="18">
        <f t="shared" si="1579"/>
        <v>7</v>
      </c>
      <c r="P2060" s="21" t="str">
        <f>$S$2&amp;R2060&amp;$Q$1&amp;T2060</f>
        <v>所有牧师和法师魔防百分比增加1</v>
      </c>
      <c r="Q2060" s="21"/>
      <c r="R2060" t="s">
        <v>4282</v>
      </c>
      <c r="T2060" t="str">
        <f>RIGHT(N2060,1)</f>
        <v>1</v>
      </c>
      <c r="U2060" t="str">
        <f t="shared" si="1611"/>
        <v>牧师</v>
      </c>
      <c r="V2060" t="s">
        <v>4830</v>
      </c>
      <c r="W2060">
        <f>属性类型!G2060</f>
        <v>149</v>
      </c>
      <c r="X2060">
        <v>1</v>
      </c>
    </row>
    <row r="2061" customFormat="1" ht="16.5" spans="1:24">
      <c r="A2061" s="17">
        <f t="shared" ref="A2061:A2075" si="1614">A2060+1</f>
        <v>51601</v>
      </c>
      <c r="B2061" s="17">
        <f t="shared" si="1587"/>
        <v>51600</v>
      </c>
      <c r="C2061" s="17" t="str">
        <f t="shared" si="1603"/>
        <v>5</v>
      </c>
      <c r="D2061" s="17">
        <f t="shared" si="1595"/>
        <v>50002</v>
      </c>
      <c r="E2061" s="17">
        <v>1</v>
      </c>
      <c r="F2061" s="17">
        <f t="shared" si="1578"/>
        <v>2</v>
      </c>
      <c r="G2061" s="17" t="str">
        <f t="shared" ref="G2061:G2075" si="1615">G2060</f>
        <v>中级魔防百分比</v>
      </c>
      <c r="H2061" s="17" t="str">
        <f t="shared" ref="H2061:H2075" si="1616">H2060</f>
        <v>icon_07</v>
      </c>
      <c r="I2061" s="20">
        <v>0</v>
      </c>
      <c r="J2061" s="17">
        <v>1</v>
      </c>
      <c r="K2061" s="17">
        <f t="shared" si="1613"/>
        <v>51602</v>
      </c>
      <c r="L2061" s="17" t="s">
        <v>300</v>
      </c>
      <c r="M2061" s="17" t="str">
        <f t="shared" ref="M2061:M2075" si="1617">M2060</f>
        <v>1:11300:5</v>
      </c>
      <c r="N2061" s="16" t="str">
        <f t="shared" si="1612"/>
        <v>149:1</v>
      </c>
      <c r="O2061" s="17">
        <f t="shared" si="1579"/>
        <v>7</v>
      </c>
      <c r="P2061" s="21" t="str">
        <f>$S$2&amp;R2061&amp;$Q$1&amp;T2061</f>
        <v>所有牧师和法师魔防百分比增加:1</v>
      </c>
      <c r="Q2061" s="21"/>
      <c r="R2061" t="str">
        <f t="shared" ref="R2061:R2075" si="1618">R2060</f>
        <v>魔防百分比</v>
      </c>
      <c r="T2061" t="str">
        <f t="shared" ref="T2061:T2075" si="1619">RIGHT(N2061,2)</f>
        <v>:1</v>
      </c>
      <c r="U2061" t="str">
        <f t="shared" si="1611"/>
        <v>牧师</v>
      </c>
      <c r="V2061" t="s">
        <v>4830</v>
      </c>
      <c r="W2061">
        <f>属性类型!G2061</f>
        <v>149</v>
      </c>
      <c r="X2061">
        <v>1</v>
      </c>
    </row>
    <row r="2062" customFormat="1" ht="16.5" spans="1:24">
      <c r="A2062" s="17">
        <f t="shared" si="1614"/>
        <v>51602</v>
      </c>
      <c r="B2062" s="17">
        <f t="shared" si="1587"/>
        <v>51600</v>
      </c>
      <c r="C2062" s="17" t="str">
        <f t="shared" si="1603"/>
        <v>5</v>
      </c>
      <c r="D2062" s="17">
        <f t="shared" si="1595"/>
        <v>50002</v>
      </c>
      <c r="E2062" s="17">
        <v>1</v>
      </c>
      <c r="F2062" s="17">
        <f t="shared" si="1578"/>
        <v>2</v>
      </c>
      <c r="G2062" s="17" t="str">
        <f t="shared" si="1615"/>
        <v>中级魔防百分比</v>
      </c>
      <c r="H2062" s="17" t="str">
        <f t="shared" si="1616"/>
        <v>icon_07</v>
      </c>
      <c r="I2062" s="20">
        <v>0</v>
      </c>
      <c r="J2062" s="17">
        <v>2</v>
      </c>
      <c r="K2062" s="17">
        <f t="shared" si="1613"/>
        <v>51603</v>
      </c>
      <c r="L2062" s="17" t="s">
        <v>304</v>
      </c>
      <c r="M2062" s="17" t="str">
        <f t="shared" si="1617"/>
        <v>1:11300:5</v>
      </c>
      <c r="N2062" s="16" t="str">
        <f t="shared" si="1612"/>
        <v>149:1</v>
      </c>
      <c r="O2062" s="17">
        <f t="shared" si="1579"/>
        <v>7</v>
      </c>
      <c r="P2062" s="21" t="str">
        <f>$S$2&amp;R2062&amp;$Q$1&amp;T2062</f>
        <v>所有牧师和法师魔防百分比增加:1</v>
      </c>
      <c r="Q2062" s="21"/>
      <c r="R2062" t="str">
        <f t="shared" si="1618"/>
        <v>魔防百分比</v>
      </c>
      <c r="T2062" t="str">
        <f t="shared" si="1619"/>
        <v>:1</v>
      </c>
      <c r="U2062" t="str">
        <f t="shared" si="1611"/>
        <v>牧师</v>
      </c>
      <c r="V2062" t="s">
        <v>4830</v>
      </c>
      <c r="W2062">
        <f>属性类型!G2062</f>
        <v>149</v>
      </c>
      <c r="X2062">
        <v>1</v>
      </c>
    </row>
    <row r="2063" customFormat="1" ht="16.5" spans="1:24">
      <c r="A2063" s="17">
        <f t="shared" si="1614"/>
        <v>51603</v>
      </c>
      <c r="B2063" s="17">
        <f t="shared" si="1587"/>
        <v>51600</v>
      </c>
      <c r="C2063" s="17" t="str">
        <f t="shared" si="1603"/>
        <v>5</v>
      </c>
      <c r="D2063" s="17">
        <f t="shared" si="1595"/>
        <v>50002</v>
      </c>
      <c r="E2063" s="17">
        <v>1</v>
      </c>
      <c r="F2063" s="17">
        <f t="shared" si="1578"/>
        <v>2</v>
      </c>
      <c r="G2063" s="17" t="str">
        <f t="shared" si="1615"/>
        <v>中级魔防百分比</v>
      </c>
      <c r="H2063" s="17" t="str">
        <f t="shared" si="1616"/>
        <v>icon_07</v>
      </c>
      <c r="I2063" s="20">
        <v>0</v>
      </c>
      <c r="J2063" s="17">
        <v>3</v>
      </c>
      <c r="K2063" s="17">
        <f t="shared" si="1613"/>
        <v>51604</v>
      </c>
      <c r="L2063" s="17" t="s">
        <v>307</v>
      </c>
      <c r="M2063" s="17" t="str">
        <f t="shared" si="1617"/>
        <v>1:11300:5</v>
      </c>
      <c r="N2063" s="16" t="str">
        <f t="shared" si="1612"/>
        <v>149:1</v>
      </c>
      <c r="O2063" s="17">
        <f t="shared" si="1579"/>
        <v>7</v>
      </c>
      <c r="P2063" s="21" t="str">
        <f>$S$2&amp;R2063&amp;$Q$1&amp;T2063</f>
        <v>所有牧师和法师魔防百分比增加:1</v>
      </c>
      <c r="Q2063" s="21"/>
      <c r="R2063" t="str">
        <f t="shared" si="1618"/>
        <v>魔防百分比</v>
      </c>
      <c r="T2063" t="str">
        <f t="shared" si="1619"/>
        <v>:1</v>
      </c>
      <c r="U2063" t="str">
        <f t="shared" si="1611"/>
        <v>牧师</v>
      </c>
      <c r="V2063" t="s">
        <v>4830</v>
      </c>
      <c r="W2063">
        <f>属性类型!G2063</f>
        <v>149</v>
      </c>
      <c r="X2063">
        <v>1</v>
      </c>
    </row>
    <row r="2064" customFormat="1" ht="16.5" spans="1:24">
      <c r="A2064" s="17">
        <f t="shared" si="1614"/>
        <v>51604</v>
      </c>
      <c r="B2064" s="17">
        <f t="shared" si="1587"/>
        <v>51600</v>
      </c>
      <c r="C2064" s="17" t="str">
        <f t="shared" si="1603"/>
        <v>5</v>
      </c>
      <c r="D2064" s="17">
        <f t="shared" si="1595"/>
        <v>50002</v>
      </c>
      <c r="E2064" s="17">
        <v>1</v>
      </c>
      <c r="F2064" s="17">
        <f t="shared" ref="F2064:F2127" si="1620">MID(B2064,2,1)+1</f>
        <v>2</v>
      </c>
      <c r="G2064" s="17" t="str">
        <f t="shared" si="1615"/>
        <v>中级魔防百分比</v>
      </c>
      <c r="H2064" s="17" t="str">
        <f t="shared" si="1616"/>
        <v>icon_07</v>
      </c>
      <c r="I2064" s="20">
        <v>0</v>
      </c>
      <c r="J2064" s="17">
        <v>4</v>
      </c>
      <c r="K2064" s="17">
        <f t="shared" si="1613"/>
        <v>51605</v>
      </c>
      <c r="L2064" s="17" t="s">
        <v>309</v>
      </c>
      <c r="M2064" s="17" t="str">
        <f t="shared" si="1617"/>
        <v>1:11300:5</v>
      </c>
      <c r="N2064" s="16" t="str">
        <f t="shared" si="1612"/>
        <v>149:1</v>
      </c>
      <c r="O2064" s="17">
        <f t="shared" ref="O2064:O2127" si="1621">MID(A2064,3,1)+1</f>
        <v>7</v>
      </c>
      <c r="P2064" s="21" t="str">
        <f>$S$2&amp;R2064&amp;$Q$1&amp;T2064</f>
        <v>所有牧师和法师魔防百分比增加:1</v>
      </c>
      <c r="Q2064" s="21"/>
      <c r="R2064" t="str">
        <f t="shared" si="1618"/>
        <v>魔防百分比</v>
      </c>
      <c r="T2064" t="str">
        <f t="shared" si="1619"/>
        <v>:1</v>
      </c>
      <c r="U2064" t="str">
        <f t="shared" si="1611"/>
        <v>牧师</v>
      </c>
      <c r="V2064" t="s">
        <v>4830</v>
      </c>
      <c r="W2064">
        <f>属性类型!G2064</f>
        <v>149</v>
      </c>
      <c r="X2064">
        <v>1</v>
      </c>
    </row>
    <row r="2065" customFormat="1" ht="16.5" spans="1:24">
      <c r="A2065" s="17">
        <f t="shared" si="1614"/>
        <v>51605</v>
      </c>
      <c r="B2065" s="17">
        <f t="shared" si="1587"/>
        <v>51600</v>
      </c>
      <c r="C2065" s="17" t="str">
        <f t="shared" si="1603"/>
        <v>5</v>
      </c>
      <c r="D2065" s="17">
        <f t="shared" si="1595"/>
        <v>50002</v>
      </c>
      <c r="E2065" s="17">
        <v>1</v>
      </c>
      <c r="F2065" s="17">
        <f t="shared" si="1620"/>
        <v>2</v>
      </c>
      <c r="G2065" s="17" t="str">
        <f t="shared" si="1615"/>
        <v>中级魔防百分比</v>
      </c>
      <c r="H2065" s="17" t="str">
        <f t="shared" si="1616"/>
        <v>icon_07</v>
      </c>
      <c r="I2065" s="20">
        <v>0</v>
      </c>
      <c r="J2065" s="17">
        <v>5</v>
      </c>
      <c r="K2065" s="17">
        <f t="shared" si="1613"/>
        <v>51606</v>
      </c>
      <c r="L2065" s="17" t="s">
        <v>312</v>
      </c>
      <c r="M2065" s="17" t="str">
        <f t="shared" si="1617"/>
        <v>1:11300:5</v>
      </c>
      <c r="N2065" s="16" t="str">
        <f t="shared" si="1612"/>
        <v>149:1</v>
      </c>
      <c r="O2065" s="17">
        <f t="shared" si="1621"/>
        <v>7</v>
      </c>
      <c r="P2065" s="21" t="str">
        <f>$S$2&amp;R2065&amp;$Q$1&amp;T2065</f>
        <v>所有牧师和法师魔防百分比增加:1</v>
      </c>
      <c r="Q2065" s="21"/>
      <c r="R2065" t="str">
        <f t="shared" si="1618"/>
        <v>魔防百分比</v>
      </c>
      <c r="T2065" t="str">
        <f t="shared" si="1619"/>
        <v>:1</v>
      </c>
      <c r="U2065" t="str">
        <f t="shared" si="1611"/>
        <v>牧师</v>
      </c>
      <c r="V2065" t="s">
        <v>4830</v>
      </c>
      <c r="W2065">
        <f>属性类型!G2065</f>
        <v>149</v>
      </c>
      <c r="X2065">
        <v>1</v>
      </c>
    </row>
    <row r="2066" customFormat="1" ht="16.5" spans="1:24">
      <c r="A2066" s="17">
        <f t="shared" si="1614"/>
        <v>51606</v>
      </c>
      <c r="B2066" s="17">
        <f t="shared" si="1587"/>
        <v>51600</v>
      </c>
      <c r="C2066" s="17" t="str">
        <f t="shared" si="1603"/>
        <v>5</v>
      </c>
      <c r="D2066" s="17">
        <f t="shared" si="1595"/>
        <v>50002</v>
      </c>
      <c r="E2066" s="17">
        <v>1</v>
      </c>
      <c r="F2066" s="17">
        <f t="shared" si="1620"/>
        <v>2</v>
      </c>
      <c r="G2066" s="17" t="str">
        <f t="shared" si="1615"/>
        <v>中级魔防百分比</v>
      </c>
      <c r="H2066" s="17" t="str">
        <f t="shared" si="1616"/>
        <v>icon_07</v>
      </c>
      <c r="I2066" s="20">
        <v>0</v>
      </c>
      <c r="J2066" s="17">
        <v>6</v>
      </c>
      <c r="K2066" s="17">
        <f t="shared" si="1613"/>
        <v>51607</v>
      </c>
      <c r="L2066" s="17" t="s">
        <v>315</v>
      </c>
      <c r="M2066" s="17" t="str">
        <f t="shared" si="1617"/>
        <v>1:11300:5</v>
      </c>
      <c r="N2066" s="16" t="str">
        <f t="shared" si="1612"/>
        <v>149:1</v>
      </c>
      <c r="O2066" s="17">
        <f t="shared" si="1621"/>
        <v>7</v>
      </c>
      <c r="P2066" s="21" t="str">
        <f>$S$2&amp;R2066&amp;$Q$1&amp;T2066</f>
        <v>所有牧师和法师魔防百分比增加:1</v>
      </c>
      <c r="Q2066" s="21"/>
      <c r="R2066" t="str">
        <f t="shared" si="1618"/>
        <v>魔防百分比</v>
      </c>
      <c r="T2066" t="str">
        <f t="shared" si="1619"/>
        <v>:1</v>
      </c>
      <c r="U2066" t="str">
        <f t="shared" si="1611"/>
        <v>牧师</v>
      </c>
      <c r="V2066" t="s">
        <v>4830</v>
      </c>
      <c r="W2066">
        <f>属性类型!G2066</f>
        <v>149</v>
      </c>
      <c r="X2066">
        <v>1</v>
      </c>
    </row>
    <row r="2067" customFormat="1" ht="16.5" spans="1:24">
      <c r="A2067" s="17">
        <f t="shared" si="1614"/>
        <v>51607</v>
      </c>
      <c r="B2067" s="17">
        <f t="shared" si="1587"/>
        <v>51600</v>
      </c>
      <c r="C2067" s="17" t="str">
        <f t="shared" si="1603"/>
        <v>5</v>
      </c>
      <c r="D2067" s="17">
        <f t="shared" si="1595"/>
        <v>50002</v>
      </c>
      <c r="E2067" s="17">
        <v>1</v>
      </c>
      <c r="F2067" s="17">
        <f t="shared" si="1620"/>
        <v>2</v>
      </c>
      <c r="G2067" s="17" t="str">
        <f t="shared" si="1615"/>
        <v>中级魔防百分比</v>
      </c>
      <c r="H2067" s="17" t="str">
        <f t="shared" si="1616"/>
        <v>icon_07</v>
      </c>
      <c r="I2067" s="20">
        <v>0</v>
      </c>
      <c r="J2067" s="17">
        <v>7</v>
      </c>
      <c r="K2067" s="17">
        <f t="shared" si="1613"/>
        <v>51608</v>
      </c>
      <c r="L2067" s="17" t="s">
        <v>317</v>
      </c>
      <c r="M2067" s="17" t="str">
        <f t="shared" si="1617"/>
        <v>1:11300:5</v>
      </c>
      <c r="N2067" s="16" t="str">
        <f t="shared" si="1612"/>
        <v>149:1</v>
      </c>
      <c r="O2067" s="17">
        <f t="shared" si="1621"/>
        <v>7</v>
      </c>
      <c r="P2067" s="21" t="str">
        <f>$S$2&amp;R2067&amp;$Q$1&amp;T2067</f>
        <v>所有牧师和法师魔防百分比增加:1</v>
      </c>
      <c r="Q2067" s="21"/>
      <c r="R2067" t="str">
        <f t="shared" si="1618"/>
        <v>魔防百分比</v>
      </c>
      <c r="T2067" t="str">
        <f t="shared" si="1619"/>
        <v>:1</v>
      </c>
      <c r="U2067" t="str">
        <f t="shared" si="1611"/>
        <v>牧师</v>
      </c>
      <c r="V2067" t="s">
        <v>4830</v>
      </c>
      <c r="W2067">
        <f>属性类型!G2067</f>
        <v>149</v>
      </c>
      <c r="X2067">
        <v>1</v>
      </c>
    </row>
    <row r="2068" customFormat="1" ht="16.5" spans="1:24">
      <c r="A2068" s="17">
        <f t="shared" si="1614"/>
        <v>51608</v>
      </c>
      <c r="B2068" s="17">
        <f t="shared" si="1587"/>
        <v>51600</v>
      </c>
      <c r="C2068" s="17" t="str">
        <f t="shared" si="1603"/>
        <v>5</v>
      </c>
      <c r="D2068" s="17">
        <f t="shared" si="1595"/>
        <v>50002</v>
      </c>
      <c r="E2068" s="17">
        <v>1</v>
      </c>
      <c r="F2068" s="17">
        <f t="shared" si="1620"/>
        <v>2</v>
      </c>
      <c r="G2068" s="17" t="str">
        <f t="shared" si="1615"/>
        <v>中级魔防百分比</v>
      </c>
      <c r="H2068" s="17" t="str">
        <f t="shared" si="1616"/>
        <v>icon_07</v>
      </c>
      <c r="I2068" s="20">
        <v>0</v>
      </c>
      <c r="J2068" s="17">
        <v>8</v>
      </c>
      <c r="K2068" s="17">
        <f t="shared" si="1613"/>
        <v>51609</v>
      </c>
      <c r="L2068" s="17" t="s">
        <v>320</v>
      </c>
      <c r="M2068" s="17" t="str">
        <f t="shared" si="1617"/>
        <v>1:11300:5</v>
      </c>
      <c r="N2068" s="16" t="str">
        <f t="shared" si="1612"/>
        <v>149:1</v>
      </c>
      <c r="O2068" s="17">
        <f t="shared" si="1621"/>
        <v>7</v>
      </c>
      <c r="P2068" s="21" t="str">
        <f>$S$2&amp;R2068&amp;$Q$1&amp;T2068</f>
        <v>所有牧师和法师魔防百分比增加:1</v>
      </c>
      <c r="Q2068" s="21"/>
      <c r="R2068" t="str">
        <f t="shared" si="1618"/>
        <v>魔防百分比</v>
      </c>
      <c r="T2068" t="str">
        <f t="shared" si="1619"/>
        <v>:1</v>
      </c>
      <c r="U2068" t="str">
        <f t="shared" si="1611"/>
        <v>牧师</v>
      </c>
      <c r="V2068" t="s">
        <v>4830</v>
      </c>
      <c r="W2068">
        <f>属性类型!G2068</f>
        <v>149</v>
      </c>
      <c r="X2068">
        <v>1</v>
      </c>
    </row>
    <row r="2069" customFormat="1" ht="16.5" spans="1:24">
      <c r="A2069" s="17">
        <f t="shared" si="1614"/>
        <v>51609</v>
      </c>
      <c r="B2069" s="17">
        <f t="shared" si="1587"/>
        <v>51600</v>
      </c>
      <c r="C2069" s="17" t="str">
        <f t="shared" si="1603"/>
        <v>5</v>
      </c>
      <c r="D2069" s="17">
        <f t="shared" si="1595"/>
        <v>50002</v>
      </c>
      <c r="E2069" s="17">
        <v>1</v>
      </c>
      <c r="F2069" s="17">
        <f t="shared" si="1620"/>
        <v>2</v>
      </c>
      <c r="G2069" s="17" t="str">
        <f t="shared" si="1615"/>
        <v>中级魔防百分比</v>
      </c>
      <c r="H2069" s="17" t="str">
        <f t="shared" si="1616"/>
        <v>icon_07</v>
      </c>
      <c r="I2069" s="20">
        <v>0</v>
      </c>
      <c r="J2069" s="17">
        <v>9</v>
      </c>
      <c r="K2069" s="17">
        <f t="shared" si="1613"/>
        <v>51610</v>
      </c>
      <c r="L2069" s="17" t="s">
        <v>323</v>
      </c>
      <c r="M2069" s="17" t="str">
        <f t="shared" si="1617"/>
        <v>1:11300:5</v>
      </c>
      <c r="N2069" s="16" t="str">
        <f t="shared" si="1612"/>
        <v>149:1</v>
      </c>
      <c r="O2069" s="17">
        <f t="shared" si="1621"/>
        <v>7</v>
      </c>
      <c r="P2069" s="21" t="str">
        <f>$S$2&amp;R2069&amp;$Q$1&amp;T2069</f>
        <v>所有牧师和法师魔防百分比增加:1</v>
      </c>
      <c r="Q2069" s="21"/>
      <c r="R2069" t="str">
        <f t="shared" si="1618"/>
        <v>魔防百分比</v>
      </c>
      <c r="T2069" t="str">
        <f t="shared" si="1619"/>
        <v>:1</v>
      </c>
      <c r="U2069" t="str">
        <f t="shared" si="1611"/>
        <v>牧师</v>
      </c>
      <c r="V2069" t="s">
        <v>4830</v>
      </c>
      <c r="W2069">
        <f>属性类型!G2069</f>
        <v>149</v>
      </c>
      <c r="X2069">
        <v>1</v>
      </c>
    </row>
    <row r="2070" customFormat="1" ht="16.5" spans="1:24">
      <c r="A2070" s="17">
        <f t="shared" si="1614"/>
        <v>51610</v>
      </c>
      <c r="B2070" s="17">
        <f t="shared" si="1587"/>
        <v>51600</v>
      </c>
      <c r="C2070" s="17" t="str">
        <f t="shared" si="1603"/>
        <v>5</v>
      </c>
      <c r="D2070" s="17">
        <f t="shared" si="1595"/>
        <v>50002</v>
      </c>
      <c r="E2070" s="17">
        <v>1</v>
      </c>
      <c r="F2070" s="17">
        <f t="shared" si="1620"/>
        <v>2</v>
      </c>
      <c r="G2070" s="17" t="str">
        <f t="shared" si="1615"/>
        <v>中级魔防百分比</v>
      </c>
      <c r="H2070" s="17" t="str">
        <f t="shared" si="1616"/>
        <v>icon_07</v>
      </c>
      <c r="I2070" s="20">
        <v>0</v>
      </c>
      <c r="J2070" s="17">
        <v>10</v>
      </c>
      <c r="K2070" s="17">
        <f t="shared" si="1613"/>
        <v>51611</v>
      </c>
      <c r="L2070" s="17" t="s">
        <v>407</v>
      </c>
      <c r="M2070" s="17" t="str">
        <f t="shared" si="1617"/>
        <v>1:11300:5</v>
      </c>
      <c r="N2070" s="16" t="str">
        <f t="shared" si="1612"/>
        <v>149:1</v>
      </c>
      <c r="O2070" s="17">
        <f t="shared" si="1621"/>
        <v>7</v>
      </c>
      <c r="P2070" s="21" t="str">
        <f>$S$2&amp;R2070&amp;$Q$1&amp;T2070</f>
        <v>所有牧师和法师魔防百分比增加:1</v>
      </c>
      <c r="Q2070" s="21"/>
      <c r="R2070" t="str">
        <f t="shared" si="1618"/>
        <v>魔防百分比</v>
      </c>
      <c r="T2070" t="str">
        <f t="shared" si="1619"/>
        <v>:1</v>
      </c>
      <c r="U2070" t="str">
        <f t="shared" si="1611"/>
        <v>牧师</v>
      </c>
      <c r="V2070" t="s">
        <v>4830</v>
      </c>
      <c r="W2070">
        <f>属性类型!G2070</f>
        <v>149</v>
      </c>
      <c r="X2070">
        <v>1</v>
      </c>
    </row>
    <row r="2071" customFormat="1" ht="16.5" spans="1:24">
      <c r="A2071" s="17">
        <f t="shared" si="1614"/>
        <v>51611</v>
      </c>
      <c r="B2071" s="17">
        <f t="shared" si="1587"/>
        <v>51600</v>
      </c>
      <c r="C2071" s="17" t="str">
        <f t="shared" si="1603"/>
        <v>5</v>
      </c>
      <c r="D2071" s="17">
        <f t="shared" si="1595"/>
        <v>50002</v>
      </c>
      <c r="E2071" s="17">
        <v>1</v>
      </c>
      <c r="F2071" s="17">
        <f t="shared" si="1620"/>
        <v>2</v>
      </c>
      <c r="G2071" s="17" t="str">
        <f t="shared" si="1615"/>
        <v>中级魔防百分比</v>
      </c>
      <c r="H2071" s="17" t="str">
        <f t="shared" si="1616"/>
        <v>icon_07</v>
      </c>
      <c r="I2071" s="20">
        <v>0</v>
      </c>
      <c r="J2071" s="17">
        <v>11</v>
      </c>
      <c r="K2071" s="17">
        <f t="shared" si="1613"/>
        <v>51612</v>
      </c>
      <c r="L2071" s="17" t="s">
        <v>410</v>
      </c>
      <c r="M2071" s="17" t="str">
        <f t="shared" si="1617"/>
        <v>1:11300:5</v>
      </c>
      <c r="N2071" s="16" t="str">
        <f t="shared" si="1612"/>
        <v>149:1</v>
      </c>
      <c r="O2071" s="17">
        <f t="shared" si="1621"/>
        <v>7</v>
      </c>
      <c r="P2071" s="21" t="str">
        <f>$S$2&amp;R2071&amp;$Q$1&amp;T2071</f>
        <v>所有牧师和法师魔防百分比增加:1</v>
      </c>
      <c r="Q2071" s="21"/>
      <c r="R2071" t="str">
        <f t="shared" si="1618"/>
        <v>魔防百分比</v>
      </c>
      <c r="T2071" t="str">
        <f t="shared" si="1619"/>
        <v>:1</v>
      </c>
      <c r="U2071" t="str">
        <f t="shared" si="1611"/>
        <v>牧师</v>
      </c>
      <c r="V2071" t="s">
        <v>4830</v>
      </c>
      <c r="W2071">
        <f>属性类型!G2071</f>
        <v>149</v>
      </c>
      <c r="X2071">
        <v>1</v>
      </c>
    </row>
    <row r="2072" customFormat="1" ht="16.5" spans="1:24">
      <c r="A2072" s="17">
        <f t="shared" si="1614"/>
        <v>51612</v>
      </c>
      <c r="B2072" s="17">
        <f t="shared" si="1587"/>
        <v>51600</v>
      </c>
      <c r="C2072" s="17" t="str">
        <f t="shared" si="1603"/>
        <v>5</v>
      </c>
      <c r="D2072" s="17">
        <f t="shared" si="1595"/>
        <v>50002</v>
      </c>
      <c r="E2072" s="17">
        <v>1</v>
      </c>
      <c r="F2072" s="17">
        <f t="shared" si="1620"/>
        <v>2</v>
      </c>
      <c r="G2072" s="17" t="str">
        <f t="shared" si="1615"/>
        <v>中级魔防百分比</v>
      </c>
      <c r="H2072" s="17" t="str">
        <f t="shared" si="1616"/>
        <v>icon_07</v>
      </c>
      <c r="I2072" s="20">
        <v>0</v>
      </c>
      <c r="J2072" s="17">
        <v>12</v>
      </c>
      <c r="K2072" s="17">
        <f t="shared" si="1613"/>
        <v>51613</v>
      </c>
      <c r="L2072" s="17" t="s">
        <v>414</v>
      </c>
      <c r="M2072" s="17" t="str">
        <f t="shared" si="1617"/>
        <v>1:11300:5</v>
      </c>
      <c r="N2072" s="16" t="str">
        <f t="shared" si="1612"/>
        <v>149:1</v>
      </c>
      <c r="O2072" s="17">
        <f t="shared" si="1621"/>
        <v>7</v>
      </c>
      <c r="P2072" s="21" t="str">
        <f>$S$2&amp;R2072&amp;$Q$1&amp;T2072</f>
        <v>所有牧师和法师魔防百分比增加:1</v>
      </c>
      <c r="Q2072" s="21"/>
      <c r="R2072" t="str">
        <f t="shared" si="1618"/>
        <v>魔防百分比</v>
      </c>
      <c r="T2072" t="str">
        <f t="shared" si="1619"/>
        <v>:1</v>
      </c>
      <c r="U2072" t="str">
        <f t="shared" si="1611"/>
        <v>牧师</v>
      </c>
      <c r="V2072" t="s">
        <v>4830</v>
      </c>
      <c r="W2072">
        <f>属性类型!G2072</f>
        <v>149</v>
      </c>
      <c r="X2072">
        <v>1</v>
      </c>
    </row>
    <row r="2073" customFormat="1" ht="16.5" spans="1:24">
      <c r="A2073" s="17">
        <f t="shared" si="1614"/>
        <v>51613</v>
      </c>
      <c r="B2073" s="17">
        <f t="shared" si="1587"/>
        <v>51600</v>
      </c>
      <c r="C2073" s="17" t="str">
        <f t="shared" si="1603"/>
        <v>5</v>
      </c>
      <c r="D2073" s="17">
        <f t="shared" si="1595"/>
        <v>50002</v>
      </c>
      <c r="E2073" s="17">
        <v>1</v>
      </c>
      <c r="F2073" s="17">
        <f t="shared" si="1620"/>
        <v>2</v>
      </c>
      <c r="G2073" s="17" t="str">
        <f t="shared" si="1615"/>
        <v>中级魔防百分比</v>
      </c>
      <c r="H2073" s="17" t="str">
        <f t="shared" si="1616"/>
        <v>icon_07</v>
      </c>
      <c r="I2073" s="20">
        <v>0</v>
      </c>
      <c r="J2073" s="17">
        <v>13</v>
      </c>
      <c r="K2073" s="17">
        <f t="shared" si="1613"/>
        <v>51614</v>
      </c>
      <c r="L2073" s="17" t="s">
        <v>418</v>
      </c>
      <c r="M2073" s="17" t="str">
        <f t="shared" si="1617"/>
        <v>1:11300:5</v>
      </c>
      <c r="N2073" s="16" t="str">
        <f t="shared" si="1612"/>
        <v>149:1</v>
      </c>
      <c r="O2073" s="17">
        <f t="shared" si="1621"/>
        <v>7</v>
      </c>
      <c r="P2073" s="21" t="str">
        <f>$S$2&amp;R2073&amp;$Q$1&amp;T2073</f>
        <v>所有牧师和法师魔防百分比增加:1</v>
      </c>
      <c r="Q2073" s="21"/>
      <c r="R2073" t="str">
        <f t="shared" si="1618"/>
        <v>魔防百分比</v>
      </c>
      <c r="T2073" t="str">
        <f t="shared" si="1619"/>
        <v>:1</v>
      </c>
      <c r="U2073" t="str">
        <f t="shared" si="1611"/>
        <v>牧师</v>
      </c>
      <c r="V2073" t="s">
        <v>4830</v>
      </c>
      <c r="W2073">
        <f>属性类型!G2073</f>
        <v>149</v>
      </c>
      <c r="X2073">
        <v>1</v>
      </c>
    </row>
    <row r="2074" customFormat="1" ht="16.5" spans="1:24">
      <c r="A2074" s="17">
        <f t="shared" si="1614"/>
        <v>51614</v>
      </c>
      <c r="B2074" s="17">
        <f t="shared" si="1587"/>
        <v>51600</v>
      </c>
      <c r="C2074" s="17" t="str">
        <f t="shared" si="1603"/>
        <v>5</v>
      </c>
      <c r="D2074" s="17">
        <f t="shared" si="1595"/>
        <v>50002</v>
      </c>
      <c r="E2074" s="17">
        <v>1</v>
      </c>
      <c r="F2074" s="17">
        <f t="shared" si="1620"/>
        <v>2</v>
      </c>
      <c r="G2074" s="17" t="str">
        <f t="shared" si="1615"/>
        <v>中级魔防百分比</v>
      </c>
      <c r="H2074" s="17" t="str">
        <f t="shared" si="1616"/>
        <v>icon_07</v>
      </c>
      <c r="I2074" s="20">
        <v>0</v>
      </c>
      <c r="J2074" s="17">
        <v>14</v>
      </c>
      <c r="K2074" s="17">
        <f t="shared" si="1613"/>
        <v>51615</v>
      </c>
      <c r="L2074" s="17" t="s">
        <v>422</v>
      </c>
      <c r="M2074" s="17" t="str">
        <f t="shared" si="1617"/>
        <v>1:11300:5</v>
      </c>
      <c r="N2074" s="16" t="str">
        <f t="shared" si="1612"/>
        <v>149:1</v>
      </c>
      <c r="O2074" s="17">
        <f t="shared" si="1621"/>
        <v>7</v>
      </c>
      <c r="P2074" s="21" t="str">
        <f>$S$2&amp;R2074&amp;$Q$1&amp;T2074</f>
        <v>所有牧师和法师魔防百分比增加:1</v>
      </c>
      <c r="Q2074" s="21"/>
      <c r="R2074" t="str">
        <f t="shared" si="1618"/>
        <v>魔防百分比</v>
      </c>
      <c r="T2074" t="str">
        <f t="shared" si="1619"/>
        <v>:1</v>
      </c>
      <c r="U2074" t="str">
        <f t="shared" si="1611"/>
        <v>牧师</v>
      </c>
      <c r="V2074" t="s">
        <v>4830</v>
      </c>
      <c r="W2074">
        <f>属性类型!G2074</f>
        <v>149</v>
      </c>
      <c r="X2074">
        <v>1</v>
      </c>
    </row>
    <row r="2075" customFormat="1" ht="16.5" spans="1:24">
      <c r="A2075" s="17">
        <f t="shared" si="1614"/>
        <v>51615</v>
      </c>
      <c r="B2075" s="17">
        <f t="shared" si="1587"/>
        <v>51600</v>
      </c>
      <c r="C2075" s="17" t="str">
        <f t="shared" si="1603"/>
        <v>5</v>
      </c>
      <c r="D2075" s="17">
        <f t="shared" si="1595"/>
        <v>50002</v>
      </c>
      <c r="E2075" s="17">
        <v>1</v>
      </c>
      <c r="F2075" s="17">
        <f t="shared" si="1620"/>
        <v>2</v>
      </c>
      <c r="G2075" s="17" t="str">
        <f t="shared" si="1615"/>
        <v>中级魔防百分比</v>
      </c>
      <c r="H2075" s="17" t="str">
        <f t="shared" si="1616"/>
        <v>icon_07</v>
      </c>
      <c r="I2075" s="20">
        <v>0</v>
      </c>
      <c r="J2075" s="17">
        <v>15</v>
      </c>
      <c r="K2075" s="17">
        <v>0</v>
      </c>
      <c r="L2075" s="17">
        <v>0</v>
      </c>
      <c r="M2075" s="17" t="str">
        <f t="shared" si="1617"/>
        <v>1:11300:5</v>
      </c>
      <c r="N2075" s="16" t="str">
        <f t="shared" si="1612"/>
        <v>149:1</v>
      </c>
      <c r="O2075" s="17">
        <f t="shared" si="1621"/>
        <v>7</v>
      </c>
      <c r="P2075" s="21" t="str">
        <f>$S$2&amp;R2075&amp;$Q$1&amp;T2075</f>
        <v>所有牧师和法师魔防百分比增加:1</v>
      </c>
      <c r="Q2075" s="21"/>
      <c r="R2075" t="str">
        <f t="shared" si="1618"/>
        <v>魔防百分比</v>
      </c>
      <c r="T2075" t="str">
        <f t="shared" si="1619"/>
        <v>:1</v>
      </c>
      <c r="U2075" t="str">
        <f t="shared" si="1611"/>
        <v>牧师</v>
      </c>
      <c r="V2075" t="s">
        <v>4830</v>
      </c>
      <c r="W2075">
        <f>属性类型!G2075</f>
        <v>149</v>
      </c>
      <c r="X2075">
        <v>1</v>
      </c>
    </row>
    <row r="2076" customFormat="1" ht="16.5" spans="1:24">
      <c r="A2076" s="18">
        <f>A2060+100</f>
        <v>51700</v>
      </c>
      <c r="B2076" s="18">
        <f t="shared" si="1587"/>
        <v>51700</v>
      </c>
      <c r="C2076" s="18" t="str">
        <f t="shared" si="1603"/>
        <v>5</v>
      </c>
      <c r="D2076" s="17">
        <f t="shared" si="1595"/>
        <v>50002</v>
      </c>
      <c r="E2076" s="17">
        <v>2</v>
      </c>
      <c r="F2076" s="18">
        <f t="shared" si="1620"/>
        <v>2</v>
      </c>
      <c r="G2076" s="18" t="s">
        <v>4896</v>
      </c>
      <c r="H2076" s="18" t="s">
        <v>3051</v>
      </c>
      <c r="I2076" s="20">
        <v>1.5</v>
      </c>
      <c r="J2076" s="18">
        <v>0</v>
      </c>
      <c r="K2076" s="18">
        <f t="shared" ref="K2076:K2095" si="1622">A2077</f>
        <v>51701</v>
      </c>
      <c r="L2076" s="18" t="s">
        <v>206</v>
      </c>
      <c r="M2076" s="18" t="s">
        <v>474</v>
      </c>
      <c r="N2076" s="16" t="str">
        <f t="shared" si="1612"/>
        <v>10043:1</v>
      </c>
      <c r="O2076" s="18">
        <f t="shared" si="1621"/>
        <v>8</v>
      </c>
      <c r="P2076" s="21" t="s">
        <v>4897</v>
      </c>
      <c r="Q2076" s="21"/>
      <c r="R2076" t="s">
        <v>4898</v>
      </c>
      <c r="T2076" t="str">
        <f>RIGHT(N2076,1)</f>
        <v>1</v>
      </c>
      <c r="U2076" t="str">
        <f t="shared" si="1611"/>
        <v>之灵</v>
      </c>
      <c r="V2076" t="s">
        <v>4896</v>
      </c>
      <c r="W2076">
        <f>属性类型!G2076</f>
        <v>10043</v>
      </c>
      <c r="X2076">
        <v>1</v>
      </c>
    </row>
    <row r="2077" customFormat="1" ht="16.5" spans="1:24">
      <c r="A2077" s="17">
        <f t="shared" ref="A2077:A2096" si="1623">A2076+1</f>
        <v>51701</v>
      </c>
      <c r="B2077" s="17">
        <f t="shared" si="1587"/>
        <v>51700</v>
      </c>
      <c r="C2077" s="17" t="str">
        <f t="shared" si="1603"/>
        <v>5</v>
      </c>
      <c r="D2077" s="17">
        <f t="shared" si="1595"/>
        <v>50002</v>
      </c>
      <c r="E2077" s="17">
        <v>2</v>
      </c>
      <c r="F2077" s="17">
        <f t="shared" si="1620"/>
        <v>2</v>
      </c>
      <c r="G2077" s="17" t="str">
        <f t="shared" ref="G2077:G2096" si="1624">G2076</f>
        <v>烈焰之灵防御百分比</v>
      </c>
      <c r="H2077" s="17" t="str">
        <f t="shared" ref="H2077:H2096" si="1625">H2076</f>
        <v>fashi02_Lv3</v>
      </c>
      <c r="I2077" s="20">
        <v>1.5</v>
      </c>
      <c r="J2077" s="17">
        <v>1</v>
      </c>
      <c r="K2077" s="17">
        <f t="shared" si="1622"/>
        <v>51702</v>
      </c>
      <c r="L2077" s="17" t="s">
        <v>211</v>
      </c>
      <c r="M2077" s="17" t="str">
        <f t="shared" ref="M2077:M2096" si="1626">M2076</f>
        <v>1:11400:5</v>
      </c>
      <c r="N2077" s="16" t="str">
        <f t="shared" si="1612"/>
        <v>10043:1</v>
      </c>
      <c r="O2077" s="17">
        <f t="shared" si="1621"/>
        <v>8</v>
      </c>
      <c r="P2077" s="21" t="s">
        <v>4899</v>
      </c>
      <c r="Q2077" s="21"/>
      <c r="R2077" t="s">
        <v>4898</v>
      </c>
      <c r="T2077" t="str">
        <f t="shared" ref="T2077:T2096" si="1627">RIGHT(N2077,2)</f>
        <v>:1</v>
      </c>
      <c r="U2077" t="str">
        <f t="shared" si="1611"/>
        <v>之灵</v>
      </c>
      <c r="V2077" t="s">
        <v>4896</v>
      </c>
      <c r="W2077">
        <f>属性类型!G2077</f>
        <v>10043</v>
      </c>
      <c r="X2077">
        <v>1</v>
      </c>
    </row>
    <row r="2078" customFormat="1" ht="16.5" spans="1:24">
      <c r="A2078" s="17">
        <f t="shared" si="1623"/>
        <v>51702</v>
      </c>
      <c r="B2078" s="17">
        <f t="shared" si="1587"/>
        <v>51700</v>
      </c>
      <c r="C2078" s="17" t="str">
        <f t="shared" si="1603"/>
        <v>5</v>
      </c>
      <c r="D2078" s="17">
        <f t="shared" si="1595"/>
        <v>50002</v>
      </c>
      <c r="E2078" s="17">
        <v>2</v>
      </c>
      <c r="F2078" s="17">
        <f t="shared" si="1620"/>
        <v>2</v>
      </c>
      <c r="G2078" s="17" t="str">
        <f t="shared" si="1624"/>
        <v>烈焰之灵防御百分比</v>
      </c>
      <c r="H2078" s="17" t="str">
        <f t="shared" si="1625"/>
        <v>fashi02_Lv3</v>
      </c>
      <c r="I2078" s="20">
        <v>1.5</v>
      </c>
      <c r="J2078" s="17">
        <v>2</v>
      </c>
      <c r="K2078" s="17">
        <f t="shared" si="1622"/>
        <v>51703</v>
      </c>
      <c r="L2078" s="17" t="s">
        <v>215</v>
      </c>
      <c r="M2078" s="17" t="str">
        <f t="shared" si="1626"/>
        <v>1:11400:5</v>
      </c>
      <c r="N2078" s="16" t="str">
        <f t="shared" si="1612"/>
        <v>10043:1</v>
      </c>
      <c r="O2078" s="17">
        <f t="shared" si="1621"/>
        <v>8</v>
      </c>
      <c r="P2078" s="21" t="s">
        <v>4900</v>
      </c>
      <c r="Q2078" s="21"/>
      <c r="R2078" t="s">
        <v>4898</v>
      </c>
      <c r="T2078" t="str">
        <f t="shared" si="1627"/>
        <v>:1</v>
      </c>
      <c r="U2078" t="str">
        <f t="shared" si="1611"/>
        <v>之灵</v>
      </c>
      <c r="V2078" t="s">
        <v>4896</v>
      </c>
      <c r="W2078">
        <f>属性类型!G2078</f>
        <v>10043</v>
      </c>
      <c r="X2078">
        <v>1</v>
      </c>
    </row>
    <row r="2079" customFormat="1" ht="16.5" spans="1:24">
      <c r="A2079" s="17">
        <f t="shared" si="1623"/>
        <v>51703</v>
      </c>
      <c r="B2079" s="17">
        <f t="shared" si="1587"/>
        <v>51700</v>
      </c>
      <c r="C2079" s="17" t="str">
        <f t="shared" si="1603"/>
        <v>5</v>
      </c>
      <c r="D2079" s="17">
        <f t="shared" si="1595"/>
        <v>50002</v>
      </c>
      <c r="E2079" s="17">
        <v>2</v>
      </c>
      <c r="F2079" s="17">
        <f t="shared" si="1620"/>
        <v>2</v>
      </c>
      <c r="G2079" s="17" t="str">
        <f t="shared" si="1624"/>
        <v>烈焰之灵防御百分比</v>
      </c>
      <c r="H2079" s="17" t="str">
        <f t="shared" si="1625"/>
        <v>fashi02_Lv3</v>
      </c>
      <c r="I2079" s="20">
        <v>1.5</v>
      </c>
      <c r="J2079" s="17">
        <v>3</v>
      </c>
      <c r="K2079" s="17">
        <f t="shared" si="1622"/>
        <v>51704</v>
      </c>
      <c r="L2079" s="17" t="s">
        <v>218</v>
      </c>
      <c r="M2079" s="17" t="str">
        <f t="shared" si="1626"/>
        <v>1:11400:5</v>
      </c>
      <c r="N2079" s="16" t="str">
        <f t="shared" si="1612"/>
        <v>10043:1</v>
      </c>
      <c r="O2079" s="17">
        <f t="shared" si="1621"/>
        <v>8</v>
      </c>
      <c r="P2079" s="21" t="s">
        <v>4901</v>
      </c>
      <c r="Q2079" s="21"/>
      <c r="R2079" t="s">
        <v>4898</v>
      </c>
      <c r="T2079" t="str">
        <f t="shared" si="1627"/>
        <v>:1</v>
      </c>
      <c r="U2079" t="str">
        <f t="shared" si="1611"/>
        <v>之灵</v>
      </c>
      <c r="V2079" t="s">
        <v>4896</v>
      </c>
      <c r="W2079">
        <f>属性类型!G2079</f>
        <v>10043</v>
      </c>
      <c r="X2079">
        <v>1</v>
      </c>
    </row>
    <row r="2080" customFormat="1" ht="16.5" spans="1:24">
      <c r="A2080" s="17">
        <f t="shared" si="1623"/>
        <v>51704</v>
      </c>
      <c r="B2080" s="17">
        <f t="shared" ref="B2080:B2138" si="1628">ROUND(A2080,-2)</f>
        <v>51700</v>
      </c>
      <c r="C2080" s="17" t="str">
        <f t="shared" si="1603"/>
        <v>5</v>
      </c>
      <c r="D2080" s="17">
        <f t="shared" si="1595"/>
        <v>50002</v>
      </c>
      <c r="E2080" s="17">
        <v>2</v>
      </c>
      <c r="F2080" s="17">
        <f t="shared" si="1620"/>
        <v>2</v>
      </c>
      <c r="G2080" s="17" t="str">
        <f t="shared" si="1624"/>
        <v>烈焰之灵防御百分比</v>
      </c>
      <c r="H2080" s="17" t="str">
        <f t="shared" si="1625"/>
        <v>fashi02_Lv3</v>
      </c>
      <c r="I2080" s="20">
        <v>1.5</v>
      </c>
      <c r="J2080" s="17">
        <v>4</v>
      </c>
      <c r="K2080" s="17">
        <f t="shared" si="1622"/>
        <v>51705</v>
      </c>
      <c r="L2080" s="17" t="s">
        <v>221</v>
      </c>
      <c r="M2080" s="17" t="str">
        <f t="shared" si="1626"/>
        <v>1:11400:5</v>
      </c>
      <c r="N2080" s="16" t="str">
        <f t="shared" si="1612"/>
        <v>10043:1</v>
      </c>
      <c r="O2080" s="17">
        <f t="shared" si="1621"/>
        <v>8</v>
      </c>
      <c r="P2080" s="21" t="s">
        <v>4902</v>
      </c>
      <c r="Q2080" s="21"/>
      <c r="R2080" t="s">
        <v>4898</v>
      </c>
      <c r="T2080" t="str">
        <f t="shared" si="1627"/>
        <v>:1</v>
      </c>
      <c r="U2080" t="str">
        <f t="shared" si="1611"/>
        <v>之灵</v>
      </c>
      <c r="V2080" t="s">
        <v>4896</v>
      </c>
      <c r="W2080">
        <f>属性类型!G2080</f>
        <v>10043</v>
      </c>
      <c r="X2080">
        <v>1</v>
      </c>
    </row>
    <row r="2081" customFormat="1" ht="16.5" spans="1:24">
      <c r="A2081" s="17">
        <f t="shared" si="1623"/>
        <v>51705</v>
      </c>
      <c r="B2081" s="17">
        <f t="shared" si="1628"/>
        <v>51700</v>
      </c>
      <c r="C2081" s="17" t="str">
        <f t="shared" si="1603"/>
        <v>5</v>
      </c>
      <c r="D2081" s="17">
        <f t="shared" si="1595"/>
        <v>50002</v>
      </c>
      <c r="E2081" s="17">
        <v>2</v>
      </c>
      <c r="F2081" s="17">
        <f t="shared" si="1620"/>
        <v>2</v>
      </c>
      <c r="G2081" s="17" t="str">
        <f t="shared" si="1624"/>
        <v>烈焰之灵防御百分比</v>
      </c>
      <c r="H2081" s="17" t="str">
        <f t="shared" si="1625"/>
        <v>fashi02_Lv3</v>
      </c>
      <c r="I2081" s="20">
        <v>1.5</v>
      </c>
      <c r="J2081" s="17">
        <v>5</v>
      </c>
      <c r="K2081" s="17">
        <f t="shared" si="1622"/>
        <v>51706</v>
      </c>
      <c r="L2081" s="17" t="s">
        <v>224</v>
      </c>
      <c r="M2081" s="17" t="str">
        <f t="shared" si="1626"/>
        <v>1:11400:5</v>
      </c>
      <c r="N2081" s="16" t="str">
        <f t="shared" si="1612"/>
        <v>10043:1</v>
      </c>
      <c r="O2081" s="17">
        <f t="shared" si="1621"/>
        <v>8</v>
      </c>
      <c r="P2081" s="21" t="s">
        <v>4903</v>
      </c>
      <c r="Q2081" s="21"/>
      <c r="R2081" t="s">
        <v>4898</v>
      </c>
      <c r="T2081" t="str">
        <f t="shared" si="1627"/>
        <v>:1</v>
      </c>
      <c r="U2081" t="str">
        <f t="shared" si="1611"/>
        <v>之灵</v>
      </c>
      <c r="V2081" t="s">
        <v>4896</v>
      </c>
      <c r="W2081">
        <f>属性类型!G2081</f>
        <v>10043</v>
      </c>
      <c r="X2081">
        <v>1</v>
      </c>
    </row>
    <row r="2082" customFormat="1" ht="16.5" spans="1:24">
      <c r="A2082" s="17">
        <f t="shared" si="1623"/>
        <v>51706</v>
      </c>
      <c r="B2082" s="17">
        <f t="shared" si="1628"/>
        <v>51700</v>
      </c>
      <c r="C2082" s="17" t="str">
        <f t="shared" si="1603"/>
        <v>5</v>
      </c>
      <c r="D2082" s="17">
        <f t="shared" si="1595"/>
        <v>50002</v>
      </c>
      <c r="E2082" s="17">
        <v>2</v>
      </c>
      <c r="F2082" s="17">
        <f t="shared" si="1620"/>
        <v>2</v>
      </c>
      <c r="G2082" s="17" t="str">
        <f t="shared" si="1624"/>
        <v>烈焰之灵防御百分比</v>
      </c>
      <c r="H2082" s="17" t="str">
        <f t="shared" si="1625"/>
        <v>fashi02_Lv3</v>
      </c>
      <c r="I2082" s="20">
        <v>1.5</v>
      </c>
      <c r="J2082" s="17">
        <v>6</v>
      </c>
      <c r="K2082" s="17">
        <f t="shared" si="1622"/>
        <v>51707</v>
      </c>
      <c r="L2082" s="17" t="s">
        <v>227</v>
      </c>
      <c r="M2082" s="17" t="str">
        <f t="shared" si="1626"/>
        <v>1:11400:5</v>
      </c>
      <c r="N2082" s="16" t="str">
        <f t="shared" si="1612"/>
        <v>10043:1</v>
      </c>
      <c r="O2082" s="17">
        <f t="shared" si="1621"/>
        <v>8</v>
      </c>
      <c r="P2082" s="21" t="s">
        <v>4904</v>
      </c>
      <c r="Q2082" s="21"/>
      <c r="R2082" t="s">
        <v>4898</v>
      </c>
      <c r="T2082" t="str">
        <f t="shared" si="1627"/>
        <v>:1</v>
      </c>
      <c r="U2082" t="str">
        <f t="shared" si="1611"/>
        <v>之灵</v>
      </c>
      <c r="V2082" t="s">
        <v>4896</v>
      </c>
      <c r="W2082">
        <f>属性类型!G2082</f>
        <v>10043</v>
      </c>
      <c r="X2082">
        <v>1</v>
      </c>
    </row>
    <row r="2083" customFormat="1" ht="16.5" spans="1:24">
      <c r="A2083" s="17">
        <f t="shared" si="1623"/>
        <v>51707</v>
      </c>
      <c r="B2083" s="17">
        <f t="shared" si="1628"/>
        <v>51700</v>
      </c>
      <c r="C2083" s="17" t="str">
        <f t="shared" si="1603"/>
        <v>5</v>
      </c>
      <c r="D2083" s="17">
        <f t="shared" si="1595"/>
        <v>50002</v>
      </c>
      <c r="E2083" s="17">
        <v>2</v>
      </c>
      <c r="F2083" s="17">
        <f t="shared" si="1620"/>
        <v>2</v>
      </c>
      <c r="G2083" s="17" t="str">
        <f t="shared" si="1624"/>
        <v>烈焰之灵防御百分比</v>
      </c>
      <c r="H2083" s="17" t="str">
        <f t="shared" si="1625"/>
        <v>fashi02_Lv3</v>
      </c>
      <c r="I2083" s="20">
        <v>1.5</v>
      </c>
      <c r="J2083" s="17">
        <v>7</v>
      </c>
      <c r="K2083" s="17">
        <f t="shared" si="1622"/>
        <v>51708</v>
      </c>
      <c r="L2083" s="17" t="s">
        <v>230</v>
      </c>
      <c r="M2083" s="17" t="str">
        <f t="shared" si="1626"/>
        <v>1:11400:5</v>
      </c>
      <c r="N2083" s="16" t="str">
        <f t="shared" si="1612"/>
        <v>10043:1</v>
      </c>
      <c r="O2083" s="17">
        <f t="shared" si="1621"/>
        <v>8</v>
      </c>
      <c r="P2083" s="21" t="s">
        <v>4905</v>
      </c>
      <c r="Q2083" s="21"/>
      <c r="R2083" t="s">
        <v>4898</v>
      </c>
      <c r="T2083" t="str">
        <f t="shared" si="1627"/>
        <v>:1</v>
      </c>
      <c r="U2083" t="str">
        <f t="shared" si="1611"/>
        <v>之灵</v>
      </c>
      <c r="V2083" t="s">
        <v>4896</v>
      </c>
      <c r="W2083">
        <f>属性类型!G2083</f>
        <v>10043</v>
      </c>
      <c r="X2083">
        <v>1</v>
      </c>
    </row>
    <row r="2084" customFormat="1" ht="16.5" spans="1:24">
      <c r="A2084" s="17">
        <f t="shared" si="1623"/>
        <v>51708</v>
      </c>
      <c r="B2084" s="17">
        <f t="shared" si="1628"/>
        <v>51700</v>
      </c>
      <c r="C2084" s="17" t="str">
        <f t="shared" si="1603"/>
        <v>5</v>
      </c>
      <c r="D2084" s="17">
        <f t="shared" si="1595"/>
        <v>50002</v>
      </c>
      <c r="E2084" s="17">
        <v>2</v>
      </c>
      <c r="F2084" s="17">
        <f t="shared" si="1620"/>
        <v>2</v>
      </c>
      <c r="G2084" s="17" t="str">
        <f t="shared" si="1624"/>
        <v>烈焰之灵防御百分比</v>
      </c>
      <c r="H2084" s="17" t="str">
        <f t="shared" si="1625"/>
        <v>fashi02_Lv3</v>
      </c>
      <c r="I2084" s="20">
        <v>1.5</v>
      </c>
      <c r="J2084" s="17">
        <v>8</v>
      </c>
      <c r="K2084" s="17">
        <f t="shared" si="1622"/>
        <v>51709</v>
      </c>
      <c r="L2084" s="17" t="s">
        <v>233</v>
      </c>
      <c r="M2084" s="17" t="str">
        <f t="shared" si="1626"/>
        <v>1:11400:5</v>
      </c>
      <c r="N2084" s="16" t="str">
        <f t="shared" si="1612"/>
        <v>10043:1</v>
      </c>
      <c r="O2084" s="17">
        <f t="shared" si="1621"/>
        <v>8</v>
      </c>
      <c r="P2084" s="21" t="s">
        <v>4906</v>
      </c>
      <c r="Q2084" s="21"/>
      <c r="R2084" t="s">
        <v>4898</v>
      </c>
      <c r="T2084" t="str">
        <f t="shared" si="1627"/>
        <v>:1</v>
      </c>
      <c r="U2084" t="str">
        <f t="shared" si="1611"/>
        <v>之灵</v>
      </c>
      <c r="V2084" t="s">
        <v>4896</v>
      </c>
      <c r="W2084">
        <f>属性类型!G2084</f>
        <v>10043</v>
      </c>
      <c r="X2084">
        <v>1</v>
      </c>
    </row>
    <row r="2085" customFormat="1" ht="16.5" spans="1:24">
      <c r="A2085" s="17">
        <f t="shared" si="1623"/>
        <v>51709</v>
      </c>
      <c r="B2085" s="17">
        <f t="shared" si="1628"/>
        <v>51700</v>
      </c>
      <c r="C2085" s="17" t="str">
        <f t="shared" si="1603"/>
        <v>5</v>
      </c>
      <c r="D2085" s="17">
        <f t="shared" si="1595"/>
        <v>50002</v>
      </c>
      <c r="E2085" s="17">
        <v>2</v>
      </c>
      <c r="F2085" s="17">
        <f t="shared" si="1620"/>
        <v>2</v>
      </c>
      <c r="G2085" s="17" t="str">
        <f t="shared" si="1624"/>
        <v>烈焰之灵防御百分比</v>
      </c>
      <c r="H2085" s="17" t="str">
        <f t="shared" si="1625"/>
        <v>fashi02_Lv3</v>
      </c>
      <c r="I2085" s="20">
        <v>1.5</v>
      </c>
      <c r="J2085" s="17">
        <v>9</v>
      </c>
      <c r="K2085" s="17">
        <f t="shared" si="1622"/>
        <v>51710</v>
      </c>
      <c r="L2085" s="17" t="s">
        <v>236</v>
      </c>
      <c r="M2085" s="17" t="str">
        <f t="shared" si="1626"/>
        <v>1:11400:5</v>
      </c>
      <c r="N2085" s="16" t="str">
        <f t="shared" si="1612"/>
        <v>10043:1</v>
      </c>
      <c r="O2085" s="17">
        <f t="shared" si="1621"/>
        <v>8</v>
      </c>
      <c r="P2085" s="21" t="s">
        <v>4907</v>
      </c>
      <c r="Q2085" s="21"/>
      <c r="R2085" t="s">
        <v>4898</v>
      </c>
      <c r="T2085" t="str">
        <f t="shared" si="1627"/>
        <v>:1</v>
      </c>
      <c r="U2085" t="str">
        <f t="shared" si="1611"/>
        <v>之灵</v>
      </c>
      <c r="V2085" t="s">
        <v>4896</v>
      </c>
      <c r="W2085">
        <f>属性类型!G2085</f>
        <v>10043</v>
      </c>
      <c r="X2085">
        <v>1</v>
      </c>
    </row>
    <row r="2086" customFormat="1" ht="16.5" spans="1:24">
      <c r="A2086" s="17">
        <f t="shared" si="1623"/>
        <v>51710</v>
      </c>
      <c r="B2086" s="17">
        <f t="shared" si="1628"/>
        <v>51700</v>
      </c>
      <c r="C2086" s="17" t="str">
        <f t="shared" si="1603"/>
        <v>5</v>
      </c>
      <c r="D2086" s="17">
        <f t="shared" si="1595"/>
        <v>50002</v>
      </c>
      <c r="E2086" s="17">
        <v>2</v>
      </c>
      <c r="F2086" s="17">
        <f t="shared" si="1620"/>
        <v>2</v>
      </c>
      <c r="G2086" s="17" t="str">
        <f t="shared" si="1624"/>
        <v>烈焰之灵防御百分比</v>
      </c>
      <c r="H2086" s="17" t="str">
        <f t="shared" si="1625"/>
        <v>fashi02_Lv3</v>
      </c>
      <c r="I2086" s="20">
        <v>1.5</v>
      </c>
      <c r="J2086" s="17">
        <v>10</v>
      </c>
      <c r="K2086" s="17">
        <f t="shared" si="1622"/>
        <v>51711</v>
      </c>
      <c r="L2086" s="17" t="s">
        <v>238</v>
      </c>
      <c r="M2086" s="17" t="str">
        <f t="shared" si="1626"/>
        <v>1:11400:5</v>
      </c>
      <c r="N2086" s="16" t="str">
        <f t="shared" si="1612"/>
        <v>10043:1</v>
      </c>
      <c r="O2086" s="17">
        <f t="shared" si="1621"/>
        <v>8</v>
      </c>
      <c r="P2086" s="21" t="s">
        <v>4908</v>
      </c>
      <c r="Q2086" s="21"/>
      <c r="R2086" t="s">
        <v>4898</v>
      </c>
      <c r="T2086" t="str">
        <f t="shared" si="1627"/>
        <v>:1</v>
      </c>
      <c r="U2086" t="str">
        <f t="shared" si="1611"/>
        <v>之灵</v>
      </c>
      <c r="V2086" t="s">
        <v>4896</v>
      </c>
      <c r="W2086">
        <f>属性类型!G2086</f>
        <v>10043</v>
      </c>
      <c r="X2086">
        <v>1</v>
      </c>
    </row>
    <row r="2087" customFormat="1" ht="16.5" spans="1:24">
      <c r="A2087" s="17">
        <f t="shared" si="1623"/>
        <v>51711</v>
      </c>
      <c r="B2087" s="17">
        <f t="shared" si="1628"/>
        <v>51700</v>
      </c>
      <c r="C2087" s="17" t="str">
        <f t="shared" si="1603"/>
        <v>5</v>
      </c>
      <c r="D2087" s="17">
        <f t="shared" si="1595"/>
        <v>50002</v>
      </c>
      <c r="E2087" s="17">
        <v>2</v>
      </c>
      <c r="F2087" s="17">
        <f t="shared" si="1620"/>
        <v>2</v>
      </c>
      <c r="G2087" s="17" t="str">
        <f t="shared" si="1624"/>
        <v>烈焰之灵防御百分比</v>
      </c>
      <c r="H2087" s="17" t="str">
        <f t="shared" si="1625"/>
        <v>fashi02_Lv3</v>
      </c>
      <c r="I2087" s="20">
        <v>1.5</v>
      </c>
      <c r="J2087" s="17">
        <v>11</v>
      </c>
      <c r="K2087" s="17">
        <f t="shared" si="1622"/>
        <v>51712</v>
      </c>
      <c r="L2087" s="17" t="s">
        <v>529</v>
      </c>
      <c r="M2087" s="17" t="str">
        <f t="shared" si="1626"/>
        <v>1:11400:5</v>
      </c>
      <c r="N2087" s="16" t="str">
        <f t="shared" si="1612"/>
        <v>10043:1</v>
      </c>
      <c r="O2087" s="17">
        <f t="shared" si="1621"/>
        <v>8</v>
      </c>
      <c r="P2087" s="21" t="s">
        <v>4909</v>
      </c>
      <c r="Q2087" s="21"/>
      <c r="R2087" t="s">
        <v>4898</v>
      </c>
      <c r="T2087" t="str">
        <f t="shared" si="1627"/>
        <v>:1</v>
      </c>
      <c r="U2087" t="str">
        <f t="shared" si="1611"/>
        <v>之灵</v>
      </c>
      <c r="V2087" t="s">
        <v>4896</v>
      </c>
      <c r="W2087">
        <f>属性类型!G2087</f>
        <v>10043</v>
      </c>
      <c r="X2087">
        <v>1</v>
      </c>
    </row>
    <row r="2088" customFormat="1" ht="16.5" spans="1:24">
      <c r="A2088" s="17">
        <f t="shared" si="1623"/>
        <v>51712</v>
      </c>
      <c r="B2088" s="17">
        <f t="shared" si="1628"/>
        <v>51700</v>
      </c>
      <c r="C2088" s="17" t="str">
        <f t="shared" si="1603"/>
        <v>5</v>
      </c>
      <c r="D2088" s="17">
        <f t="shared" ref="D2088:D2138" si="1629">$A$1864+F2088</f>
        <v>50002</v>
      </c>
      <c r="E2088" s="17">
        <v>2</v>
      </c>
      <c r="F2088" s="17">
        <f t="shared" si="1620"/>
        <v>2</v>
      </c>
      <c r="G2088" s="17" t="str">
        <f t="shared" si="1624"/>
        <v>烈焰之灵防御百分比</v>
      </c>
      <c r="H2088" s="17" t="str">
        <f t="shared" si="1625"/>
        <v>fashi02_Lv3</v>
      </c>
      <c r="I2088" s="20">
        <v>1.5</v>
      </c>
      <c r="J2088" s="17">
        <v>12</v>
      </c>
      <c r="K2088" s="17">
        <f t="shared" si="1622"/>
        <v>51713</v>
      </c>
      <c r="L2088" s="17" t="s">
        <v>532</v>
      </c>
      <c r="M2088" s="17" t="str">
        <f t="shared" si="1626"/>
        <v>1:11400:5</v>
      </c>
      <c r="N2088" s="16" t="str">
        <f t="shared" si="1612"/>
        <v>10043:1</v>
      </c>
      <c r="O2088" s="17">
        <f t="shared" si="1621"/>
        <v>8</v>
      </c>
      <c r="P2088" s="21" t="s">
        <v>4910</v>
      </c>
      <c r="Q2088" s="21"/>
      <c r="R2088" t="s">
        <v>4898</v>
      </c>
      <c r="T2088" t="str">
        <f t="shared" si="1627"/>
        <v>:1</v>
      </c>
      <c r="U2088" t="str">
        <f t="shared" si="1611"/>
        <v>之灵</v>
      </c>
      <c r="V2088" t="s">
        <v>4896</v>
      </c>
      <c r="W2088">
        <f>属性类型!G2088</f>
        <v>10043</v>
      </c>
      <c r="X2088">
        <v>1</v>
      </c>
    </row>
    <row r="2089" customFormat="1" ht="16.5" spans="1:24">
      <c r="A2089" s="17">
        <f t="shared" si="1623"/>
        <v>51713</v>
      </c>
      <c r="B2089" s="17">
        <f t="shared" si="1628"/>
        <v>51700</v>
      </c>
      <c r="C2089" s="17" t="str">
        <f t="shared" si="1603"/>
        <v>5</v>
      </c>
      <c r="D2089" s="17">
        <f t="shared" si="1629"/>
        <v>50002</v>
      </c>
      <c r="E2089" s="17">
        <v>2</v>
      </c>
      <c r="F2089" s="17">
        <f t="shared" si="1620"/>
        <v>2</v>
      </c>
      <c r="G2089" s="17" t="str">
        <f t="shared" si="1624"/>
        <v>烈焰之灵防御百分比</v>
      </c>
      <c r="H2089" s="17" t="str">
        <f t="shared" si="1625"/>
        <v>fashi02_Lv3</v>
      </c>
      <c r="I2089" s="20">
        <v>1.5</v>
      </c>
      <c r="J2089" s="17">
        <v>13</v>
      </c>
      <c r="K2089" s="17">
        <f t="shared" si="1622"/>
        <v>51714</v>
      </c>
      <c r="L2089" s="17" t="s">
        <v>561</v>
      </c>
      <c r="M2089" s="17" t="str">
        <f t="shared" si="1626"/>
        <v>1:11400:5</v>
      </c>
      <c r="N2089" s="16" t="str">
        <f t="shared" si="1612"/>
        <v>10043:1</v>
      </c>
      <c r="O2089" s="17">
        <f t="shared" si="1621"/>
        <v>8</v>
      </c>
      <c r="P2089" s="21" t="s">
        <v>4911</v>
      </c>
      <c r="Q2089" s="21"/>
      <c r="R2089" t="s">
        <v>4898</v>
      </c>
      <c r="T2089" t="str">
        <f t="shared" si="1627"/>
        <v>:1</v>
      </c>
      <c r="U2089" t="str">
        <f t="shared" si="1611"/>
        <v>之灵</v>
      </c>
      <c r="V2089" t="s">
        <v>4896</v>
      </c>
      <c r="W2089">
        <f>属性类型!G2089</f>
        <v>10043</v>
      </c>
      <c r="X2089">
        <v>1</v>
      </c>
    </row>
    <row r="2090" customFormat="1" ht="16.5" spans="1:24">
      <c r="A2090" s="17">
        <f t="shared" si="1623"/>
        <v>51714</v>
      </c>
      <c r="B2090" s="17">
        <f t="shared" si="1628"/>
        <v>51700</v>
      </c>
      <c r="C2090" s="17" t="str">
        <f t="shared" si="1603"/>
        <v>5</v>
      </c>
      <c r="D2090" s="17">
        <f t="shared" si="1629"/>
        <v>50002</v>
      </c>
      <c r="E2090" s="17">
        <v>2</v>
      </c>
      <c r="F2090" s="17">
        <f t="shared" si="1620"/>
        <v>2</v>
      </c>
      <c r="G2090" s="17" t="str">
        <f t="shared" si="1624"/>
        <v>烈焰之灵防御百分比</v>
      </c>
      <c r="H2090" s="17" t="str">
        <f t="shared" si="1625"/>
        <v>fashi02_Lv3</v>
      </c>
      <c r="I2090" s="20">
        <v>1.5</v>
      </c>
      <c r="J2090" s="17">
        <v>14</v>
      </c>
      <c r="K2090" s="17">
        <f t="shared" si="1622"/>
        <v>51715</v>
      </c>
      <c r="L2090" s="17" t="s">
        <v>564</v>
      </c>
      <c r="M2090" s="17" t="str">
        <f t="shared" si="1626"/>
        <v>1:11400:5</v>
      </c>
      <c r="N2090" s="16" t="str">
        <f t="shared" si="1612"/>
        <v>10043:1</v>
      </c>
      <c r="O2090" s="17">
        <f t="shared" si="1621"/>
        <v>8</v>
      </c>
      <c r="P2090" s="21" t="s">
        <v>4912</v>
      </c>
      <c r="Q2090" s="21"/>
      <c r="R2090" t="s">
        <v>4898</v>
      </c>
      <c r="T2090" t="str">
        <f t="shared" si="1627"/>
        <v>:1</v>
      </c>
      <c r="U2090" t="str">
        <f t="shared" si="1611"/>
        <v>之灵</v>
      </c>
      <c r="V2090" t="s">
        <v>4896</v>
      </c>
      <c r="W2090">
        <f>属性类型!G2090</f>
        <v>10043</v>
      </c>
      <c r="X2090">
        <v>1</v>
      </c>
    </row>
    <row r="2091" customFormat="1" ht="16.5" spans="1:24">
      <c r="A2091" s="17">
        <f t="shared" si="1623"/>
        <v>51715</v>
      </c>
      <c r="B2091" s="17">
        <f t="shared" si="1628"/>
        <v>51700</v>
      </c>
      <c r="C2091" s="17" t="str">
        <f t="shared" si="1603"/>
        <v>5</v>
      </c>
      <c r="D2091" s="17">
        <f t="shared" si="1629"/>
        <v>50002</v>
      </c>
      <c r="E2091" s="17">
        <v>2</v>
      </c>
      <c r="F2091" s="17">
        <f t="shared" si="1620"/>
        <v>2</v>
      </c>
      <c r="G2091" s="17" t="str">
        <f t="shared" si="1624"/>
        <v>烈焰之灵防御百分比</v>
      </c>
      <c r="H2091" s="17" t="str">
        <f t="shared" si="1625"/>
        <v>fashi02_Lv3</v>
      </c>
      <c r="I2091" s="20">
        <v>1.5</v>
      </c>
      <c r="J2091" s="17">
        <v>15</v>
      </c>
      <c r="K2091" s="17">
        <f t="shared" si="1622"/>
        <v>51716</v>
      </c>
      <c r="L2091" s="17" t="s">
        <v>630</v>
      </c>
      <c r="M2091" s="17" t="str">
        <f t="shared" si="1626"/>
        <v>1:11400:5</v>
      </c>
      <c r="N2091" s="16" t="str">
        <f t="shared" si="1612"/>
        <v>10043:1</v>
      </c>
      <c r="O2091" s="17">
        <f t="shared" si="1621"/>
        <v>8</v>
      </c>
      <c r="P2091" s="21" t="s">
        <v>4913</v>
      </c>
      <c r="Q2091" s="21"/>
      <c r="R2091" t="s">
        <v>4898</v>
      </c>
      <c r="T2091" t="str">
        <f t="shared" si="1627"/>
        <v>:1</v>
      </c>
      <c r="U2091" t="str">
        <f t="shared" si="1611"/>
        <v>之灵</v>
      </c>
      <c r="V2091" t="s">
        <v>4896</v>
      </c>
      <c r="W2091">
        <f>属性类型!G2091</f>
        <v>10043</v>
      </c>
      <c r="X2091">
        <v>1</v>
      </c>
    </row>
    <row r="2092" customFormat="1" ht="16.5" spans="1:24">
      <c r="A2092" s="17">
        <f t="shared" si="1623"/>
        <v>51716</v>
      </c>
      <c r="B2092" s="17">
        <f t="shared" si="1628"/>
        <v>51700</v>
      </c>
      <c r="C2092" s="17" t="str">
        <f t="shared" si="1603"/>
        <v>5</v>
      </c>
      <c r="D2092" s="17">
        <f t="shared" si="1629"/>
        <v>50002</v>
      </c>
      <c r="E2092" s="17">
        <v>2</v>
      </c>
      <c r="F2092" s="17">
        <f t="shared" si="1620"/>
        <v>2</v>
      </c>
      <c r="G2092" s="17" t="str">
        <f t="shared" si="1624"/>
        <v>烈焰之灵防御百分比</v>
      </c>
      <c r="H2092" s="17" t="str">
        <f t="shared" si="1625"/>
        <v>fashi02_Lv3</v>
      </c>
      <c r="I2092" s="20">
        <v>1.5</v>
      </c>
      <c r="J2092" s="17">
        <v>16</v>
      </c>
      <c r="K2092" s="17">
        <f t="shared" si="1622"/>
        <v>51717</v>
      </c>
      <c r="L2092" s="17" t="s">
        <v>633</v>
      </c>
      <c r="M2092" s="17" t="str">
        <f t="shared" si="1626"/>
        <v>1:11400:5</v>
      </c>
      <c r="N2092" s="16" t="str">
        <f t="shared" si="1612"/>
        <v>10043:1</v>
      </c>
      <c r="O2092" s="17">
        <f t="shared" si="1621"/>
        <v>8</v>
      </c>
      <c r="P2092" s="21" t="s">
        <v>4914</v>
      </c>
      <c r="Q2092" s="21"/>
      <c r="R2092" t="s">
        <v>4898</v>
      </c>
      <c r="T2092" t="str">
        <f t="shared" si="1627"/>
        <v>:1</v>
      </c>
      <c r="U2092" t="str">
        <f t="shared" si="1611"/>
        <v>之灵</v>
      </c>
      <c r="V2092" t="s">
        <v>4896</v>
      </c>
      <c r="W2092">
        <f>属性类型!G2092</f>
        <v>10043</v>
      </c>
      <c r="X2092">
        <v>1</v>
      </c>
    </row>
    <row r="2093" customFormat="1" ht="16.5" spans="1:24">
      <c r="A2093" s="17">
        <f t="shared" si="1623"/>
        <v>51717</v>
      </c>
      <c r="B2093" s="17">
        <f t="shared" si="1628"/>
        <v>51700</v>
      </c>
      <c r="C2093" s="17" t="str">
        <f t="shared" si="1603"/>
        <v>5</v>
      </c>
      <c r="D2093" s="17">
        <f t="shared" si="1629"/>
        <v>50002</v>
      </c>
      <c r="E2093" s="17">
        <v>2</v>
      </c>
      <c r="F2093" s="17">
        <f t="shared" si="1620"/>
        <v>2</v>
      </c>
      <c r="G2093" s="17" t="str">
        <f t="shared" si="1624"/>
        <v>烈焰之灵防御百分比</v>
      </c>
      <c r="H2093" s="17" t="str">
        <f t="shared" si="1625"/>
        <v>fashi02_Lv3</v>
      </c>
      <c r="I2093" s="20">
        <v>1.5</v>
      </c>
      <c r="J2093" s="17">
        <v>17</v>
      </c>
      <c r="K2093" s="17">
        <f t="shared" si="1622"/>
        <v>51718</v>
      </c>
      <c r="L2093" s="17" t="s">
        <v>637</v>
      </c>
      <c r="M2093" s="17" t="str">
        <f t="shared" si="1626"/>
        <v>1:11400:5</v>
      </c>
      <c r="N2093" s="16" t="str">
        <f t="shared" si="1612"/>
        <v>10043:1</v>
      </c>
      <c r="O2093" s="17">
        <f t="shared" si="1621"/>
        <v>8</v>
      </c>
      <c r="P2093" s="21" t="s">
        <v>4915</v>
      </c>
      <c r="Q2093" s="21"/>
      <c r="R2093" t="s">
        <v>4898</v>
      </c>
      <c r="T2093" t="str">
        <f t="shared" si="1627"/>
        <v>:1</v>
      </c>
      <c r="U2093" t="str">
        <f t="shared" si="1611"/>
        <v>之灵</v>
      </c>
      <c r="V2093" t="s">
        <v>4896</v>
      </c>
      <c r="W2093">
        <f>属性类型!G2093</f>
        <v>10043</v>
      </c>
      <c r="X2093">
        <v>1</v>
      </c>
    </row>
    <row r="2094" customFormat="1" ht="16.5" spans="1:24">
      <c r="A2094" s="17">
        <f t="shared" si="1623"/>
        <v>51718</v>
      </c>
      <c r="B2094" s="17">
        <f t="shared" si="1628"/>
        <v>51700</v>
      </c>
      <c r="C2094" s="17" t="str">
        <f t="shared" si="1603"/>
        <v>5</v>
      </c>
      <c r="D2094" s="17">
        <f t="shared" si="1629"/>
        <v>50002</v>
      </c>
      <c r="E2094" s="17">
        <v>2</v>
      </c>
      <c r="F2094" s="17">
        <f t="shared" si="1620"/>
        <v>2</v>
      </c>
      <c r="G2094" s="17" t="str">
        <f t="shared" si="1624"/>
        <v>烈焰之灵防御百分比</v>
      </c>
      <c r="H2094" s="17" t="str">
        <f t="shared" si="1625"/>
        <v>fashi02_Lv3</v>
      </c>
      <c r="I2094" s="20">
        <v>1.5</v>
      </c>
      <c r="J2094" s="17">
        <v>18</v>
      </c>
      <c r="K2094" s="17">
        <f t="shared" si="1622"/>
        <v>51719</v>
      </c>
      <c r="L2094" s="17" t="s">
        <v>641</v>
      </c>
      <c r="M2094" s="17" t="str">
        <f t="shared" si="1626"/>
        <v>1:11400:5</v>
      </c>
      <c r="N2094" s="16" t="str">
        <f t="shared" si="1612"/>
        <v>10043:1</v>
      </c>
      <c r="O2094" s="17">
        <f t="shared" si="1621"/>
        <v>8</v>
      </c>
      <c r="P2094" s="21" t="s">
        <v>4916</v>
      </c>
      <c r="Q2094" s="21"/>
      <c r="R2094" t="s">
        <v>4898</v>
      </c>
      <c r="T2094" t="str">
        <f t="shared" si="1627"/>
        <v>:1</v>
      </c>
      <c r="U2094" t="str">
        <f t="shared" si="1611"/>
        <v>之灵</v>
      </c>
      <c r="V2094" t="s">
        <v>4896</v>
      </c>
      <c r="W2094">
        <f>属性类型!G2094</f>
        <v>10043</v>
      </c>
      <c r="X2094">
        <v>1</v>
      </c>
    </row>
    <row r="2095" customFormat="1" ht="16.5" spans="1:24">
      <c r="A2095" s="17">
        <f t="shared" si="1623"/>
        <v>51719</v>
      </c>
      <c r="B2095" s="17">
        <f t="shared" si="1628"/>
        <v>51700</v>
      </c>
      <c r="C2095" s="17" t="str">
        <f t="shared" si="1603"/>
        <v>5</v>
      </c>
      <c r="D2095" s="17">
        <f t="shared" si="1629"/>
        <v>50002</v>
      </c>
      <c r="E2095" s="17">
        <v>2</v>
      </c>
      <c r="F2095" s="17">
        <f t="shared" si="1620"/>
        <v>2</v>
      </c>
      <c r="G2095" s="17" t="str">
        <f t="shared" si="1624"/>
        <v>烈焰之灵防御百分比</v>
      </c>
      <c r="H2095" s="17" t="str">
        <f t="shared" si="1625"/>
        <v>fashi02_Lv3</v>
      </c>
      <c r="I2095" s="20">
        <v>1.5</v>
      </c>
      <c r="J2095" s="17">
        <v>19</v>
      </c>
      <c r="K2095" s="17">
        <f t="shared" si="1622"/>
        <v>51720</v>
      </c>
      <c r="L2095" s="17" t="s">
        <v>645</v>
      </c>
      <c r="M2095" s="17" t="str">
        <f t="shared" si="1626"/>
        <v>1:11400:5</v>
      </c>
      <c r="N2095" s="16" t="str">
        <f t="shared" si="1612"/>
        <v>10043:1</v>
      </c>
      <c r="O2095" s="17">
        <f t="shared" si="1621"/>
        <v>8</v>
      </c>
      <c r="P2095" s="21" t="s">
        <v>4917</v>
      </c>
      <c r="Q2095" s="21"/>
      <c r="R2095" t="s">
        <v>4898</v>
      </c>
      <c r="T2095" t="str">
        <f t="shared" si="1627"/>
        <v>:1</v>
      </c>
      <c r="U2095" t="str">
        <f t="shared" si="1611"/>
        <v>之灵</v>
      </c>
      <c r="V2095" t="s">
        <v>4896</v>
      </c>
      <c r="W2095">
        <f>属性类型!G2095</f>
        <v>10043</v>
      </c>
      <c r="X2095">
        <v>1</v>
      </c>
    </row>
    <row r="2096" customFormat="1" ht="16.5" spans="1:24">
      <c r="A2096" s="17">
        <f t="shared" si="1623"/>
        <v>51720</v>
      </c>
      <c r="B2096" s="17">
        <f t="shared" si="1628"/>
        <v>51700</v>
      </c>
      <c r="C2096" s="17" t="str">
        <f t="shared" si="1603"/>
        <v>5</v>
      </c>
      <c r="D2096" s="17">
        <f t="shared" si="1629"/>
        <v>50002</v>
      </c>
      <c r="E2096" s="17">
        <v>2</v>
      </c>
      <c r="F2096" s="17">
        <f t="shared" si="1620"/>
        <v>2</v>
      </c>
      <c r="G2096" s="17" t="str">
        <f t="shared" si="1624"/>
        <v>烈焰之灵防御百分比</v>
      </c>
      <c r="H2096" s="17" t="str">
        <f t="shared" si="1625"/>
        <v>fashi02_Lv3</v>
      </c>
      <c r="I2096" s="20">
        <v>1.5</v>
      </c>
      <c r="J2096" s="17">
        <v>20</v>
      </c>
      <c r="K2096" s="17">
        <v>0</v>
      </c>
      <c r="L2096" s="17">
        <v>0</v>
      </c>
      <c r="M2096" s="17" t="str">
        <f t="shared" si="1626"/>
        <v>1:11400:5</v>
      </c>
      <c r="N2096" s="16" t="str">
        <f t="shared" si="1612"/>
        <v>10043:1</v>
      </c>
      <c r="O2096" s="17">
        <f t="shared" si="1621"/>
        <v>8</v>
      </c>
      <c r="P2096" s="21" t="s">
        <v>4917</v>
      </c>
      <c r="Q2096" s="21"/>
      <c r="R2096" t="s">
        <v>4898</v>
      </c>
      <c r="T2096" t="str">
        <f t="shared" si="1627"/>
        <v>:1</v>
      </c>
      <c r="U2096" t="str">
        <f t="shared" si="1611"/>
        <v>之灵</v>
      </c>
      <c r="V2096" t="s">
        <v>4896</v>
      </c>
      <c r="W2096">
        <f>属性类型!G2096</f>
        <v>10043</v>
      </c>
      <c r="X2096">
        <v>1</v>
      </c>
    </row>
    <row r="2097" customFormat="1" ht="16.5" spans="1:24">
      <c r="A2097" s="18">
        <f>A2076+100</f>
        <v>51800</v>
      </c>
      <c r="B2097" s="18">
        <f t="shared" si="1628"/>
        <v>51800</v>
      </c>
      <c r="C2097" s="18" t="str">
        <f t="shared" si="1603"/>
        <v>5</v>
      </c>
      <c r="D2097" s="17">
        <f t="shared" si="1629"/>
        <v>50002</v>
      </c>
      <c r="E2097" s="17">
        <v>2</v>
      </c>
      <c r="F2097" s="18">
        <f t="shared" si="1620"/>
        <v>2</v>
      </c>
      <c r="G2097" s="18" t="s">
        <v>4918</v>
      </c>
      <c r="H2097" s="18" t="s">
        <v>3051</v>
      </c>
      <c r="I2097" s="20">
        <v>1.5</v>
      </c>
      <c r="J2097" s="18">
        <v>0</v>
      </c>
      <c r="K2097" s="18">
        <f t="shared" ref="K2097:K2116" si="1630">A2098</f>
        <v>51801</v>
      </c>
      <c r="L2097" s="18" t="s">
        <v>206</v>
      </c>
      <c r="M2097" s="18" t="s">
        <v>488</v>
      </c>
      <c r="N2097" s="16" t="str">
        <f t="shared" si="1612"/>
        <v>10044:1</v>
      </c>
      <c r="O2097" s="18">
        <f t="shared" si="1621"/>
        <v>9</v>
      </c>
      <c r="P2097" s="21" t="s">
        <v>4919</v>
      </c>
      <c r="Q2097" s="21"/>
      <c r="R2097" t="s">
        <v>4898</v>
      </c>
      <c r="T2097">
        <v>1</v>
      </c>
      <c r="U2097" t="str">
        <f t="shared" si="1611"/>
        <v>之灵</v>
      </c>
      <c r="V2097" t="s">
        <v>4918</v>
      </c>
      <c r="W2097">
        <f>属性类型!G2097</f>
        <v>10044</v>
      </c>
      <c r="X2097">
        <v>1</v>
      </c>
    </row>
    <row r="2098" customFormat="1" ht="16.5" spans="1:24">
      <c r="A2098" s="17">
        <f t="shared" ref="A2098:A2117" si="1631">A2097+1</f>
        <v>51801</v>
      </c>
      <c r="B2098" s="17">
        <f t="shared" si="1628"/>
        <v>51800</v>
      </c>
      <c r="C2098" s="17" t="str">
        <f t="shared" si="1603"/>
        <v>5</v>
      </c>
      <c r="D2098" s="17">
        <f t="shared" si="1629"/>
        <v>50002</v>
      </c>
      <c r="E2098" s="17">
        <f t="shared" ref="E2098:H2098" si="1632">E2097</f>
        <v>2</v>
      </c>
      <c r="F2098" s="17">
        <f t="shared" si="1620"/>
        <v>2</v>
      </c>
      <c r="G2098" s="17" t="str">
        <f t="shared" si="1632"/>
        <v>烈焰之灵攻击百分比</v>
      </c>
      <c r="H2098" s="17" t="str">
        <f t="shared" si="1632"/>
        <v>fashi02_Lv3</v>
      </c>
      <c r="I2098" s="20">
        <v>1.5</v>
      </c>
      <c r="J2098" s="17">
        <v>1</v>
      </c>
      <c r="K2098" s="17">
        <f t="shared" si="1630"/>
        <v>51802</v>
      </c>
      <c r="L2098" s="17" t="s">
        <v>211</v>
      </c>
      <c r="M2098" s="17" t="str">
        <f t="shared" ref="M2098:M2117" si="1633">M2097</f>
        <v>1:11500:5</v>
      </c>
      <c r="N2098" s="16" t="str">
        <f t="shared" si="1612"/>
        <v>10044:1</v>
      </c>
      <c r="O2098" s="17">
        <f t="shared" si="1621"/>
        <v>9</v>
      </c>
      <c r="P2098" s="21" t="s">
        <v>4920</v>
      </c>
      <c r="Q2098" s="21"/>
      <c r="R2098" t="s">
        <v>4898</v>
      </c>
      <c r="T2098">
        <v>2</v>
      </c>
      <c r="U2098" t="str">
        <f t="shared" si="1611"/>
        <v>之灵</v>
      </c>
      <c r="V2098" t="s">
        <v>4918</v>
      </c>
      <c r="W2098">
        <f>属性类型!G2098</f>
        <v>10044</v>
      </c>
      <c r="X2098">
        <v>1</v>
      </c>
    </row>
    <row r="2099" customFormat="1" ht="16.5" spans="1:24">
      <c r="A2099" s="17">
        <f t="shared" si="1631"/>
        <v>51802</v>
      </c>
      <c r="B2099" s="17">
        <f t="shared" si="1628"/>
        <v>51800</v>
      </c>
      <c r="C2099" s="17" t="str">
        <f t="shared" si="1603"/>
        <v>5</v>
      </c>
      <c r="D2099" s="17">
        <f t="shared" si="1629"/>
        <v>50002</v>
      </c>
      <c r="E2099" s="17">
        <f t="shared" ref="E2099:H2099" si="1634">E2098</f>
        <v>2</v>
      </c>
      <c r="F2099" s="17">
        <f t="shared" si="1620"/>
        <v>2</v>
      </c>
      <c r="G2099" s="17" t="str">
        <f t="shared" si="1634"/>
        <v>烈焰之灵攻击百分比</v>
      </c>
      <c r="H2099" s="17" t="str">
        <f t="shared" si="1634"/>
        <v>fashi02_Lv3</v>
      </c>
      <c r="I2099" s="20">
        <v>1.5</v>
      </c>
      <c r="J2099" s="17">
        <v>2</v>
      </c>
      <c r="K2099" s="17">
        <f t="shared" si="1630"/>
        <v>51803</v>
      </c>
      <c r="L2099" s="17" t="s">
        <v>215</v>
      </c>
      <c r="M2099" s="17" t="str">
        <f t="shared" si="1633"/>
        <v>1:11500:5</v>
      </c>
      <c r="N2099" s="16" t="str">
        <f t="shared" si="1612"/>
        <v>10044:1</v>
      </c>
      <c r="O2099" s="17">
        <f t="shared" si="1621"/>
        <v>9</v>
      </c>
      <c r="P2099" s="21" t="s">
        <v>4921</v>
      </c>
      <c r="Q2099" s="21"/>
      <c r="R2099" t="s">
        <v>4898</v>
      </c>
      <c r="T2099">
        <v>3</v>
      </c>
      <c r="U2099" t="str">
        <f t="shared" si="1611"/>
        <v>之灵</v>
      </c>
      <c r="V2099" t="s">
        <v>4918</v>
      </c>
      <c r="W2099">
        <f>属性类型!G2099</f>
        <v>10044</v>
      </c>
      <c r="X2099">
        <v>1</v>
      </c>
    </row>
    <row r="2100" customFormat="1" ht="16.5" spans="1:24">
      <c r="A2100" s="17">
        <f t="shared" si="1631"/>
        <v>51803</v>
      </c>
      <c r="B2100" s="17">
        <f t="shared" si="1628"/>
        <v>51800</v>
      </c>
      <c r="C2100" s="17" t="str">
        <f t="shared" si="1603"/>
        <v>5</v>
      </c>
      <c r="D2100" s="17">
        <f t="shared" si="1629"/>
        <v>50002</v>
      </c>
      <c r="E2100" s="17">
        <f t="shared" ref="E2100:H2100" si="1635">E2099</f>
        <v>2</v>
      </c>
      <c r="F2100" s="17">
        <f t="shared" si="1620"/>
        <v>2</v>
      </c>
      <c r="G2100" s="17" t="str">
        <f t="shared" si="1635"/>
        <v>烈焰之灵攻击百分比</v>
      </c>
      <c r="H2100" s="17" t="str">
        <f t="shared" si="1635"/>
        <v>fashi02_Lv3</v>
      </c>
      <c r="I2100" s="20">
        <v>1.5</v>
      </c>
      <c r="J2100" s="17">
        <v>3</v>
      </c>
      <c r="K2100" s="17">
        <f t="shared" si="1630"/>
        <v>51804</v>
      </c>
      <c r="L2100" s="17" t="s">
        <v>218</v>
      </c>
      <c r="M2100" s="17" t="str">
        <f t="shared" si="1633"/>
        <v>1:11500:5</v>
      </c>
      <c r="N2100" s="16" t="str">
        <f t="shared" si="1612"/>
        <v>10044:1</v>
      </c>
      <c r="O2100" s="17">
        <f t="shared" si="1621"/>
        <v>9</v>
      </c>
      <c r="P2100" s="21" t="s">
        <v>4922</v>
      </c>
      <c r="Q2100" s="21"/>
      <c r="R2100" t="s">
        <v>4898</v>
      </c>
      <c r="T2100">
        <v>4</v>
      </c>
      <c r="U2100" t="str">
        <f t="shared" si="1611"/>
        <v>之灵</v>
      </c>
      <c r="V2100" t="s">
        <v>4918</v>
      </c>
      <c r="W2100">
        <f>属性类型!G2100</f>
        <v>10044</v>
      </c>
      <c r="X2100">
        <v>1</v>
      </c>
    </row>
    <row r="2101" customFormat="1" ht="16.5" spans="1:24">
      <c r="A2101" s="17">
        <f t="shared" si="1631"/>
        <v>51804</v>
      </c>
      <c r="B2101" s="17">
        <f t="shared" si="1628"/>
        <v>51800</v>
      </c>
      <c r="C2101" s="17" t="str">
        <f t="shared" ref="C2101:C2138" si="1636">LEFT(A2101,1)</f>
        <v>5</v>
      </c>
      <c r="D2101" s="17">
        <f t="shared" si="1629"/>
        <v>50002</v>
      </c>
      <c r="E2101" s="17">
        <f t="shared" ref="E2101:H2101" si="1637">E2100</f>
        <v>2</v>
      </c>
      <c r="F2101" s="17">
        <f t="shared" si="1620"/>
        <v>2</v>
      </c>
      <c r="G2101" s="17" t="str">
        <f t="shared" si="1637"/>
        <v>烈焰之灵攻击百分比</v>
      </c>
      <c r="H2101" s="17" t="str">
        <f t="shared" si="1637"/>
        <v>fashi02_Lv3</v>
      </c>
      <c r="I2101" s="20">
        <v>1.5</v>
      </c>
      <c r="J2101" s="17">
        <v>4</v>
      </c>
      <c r="K2101" s="17">
        <f t="shared" si="1630"/>
        <v>51805</v>
      </c>
      <c r="L2101" s="17" t="s">
        <v>221</v>
      </c>
      <c r="M2101" s="17" t="str">
        <f t="shared" si="1633"/>
        <v>1:11500:5</v>
      </c>
      <c r="N2101" s="16" t="str">
        <f t="shared" si="1612"/>
        <v>10044:1</v>
      </c>
      <c r="O2101" s="17">
        <f t="shared" si="1621"/>
        <v>9</v>
      </c>
      <c r="P2101" s="21" t="s">
        <v>4923</v>
      </c>
      <c r="Q2101" s="21"/>
      <c r="R2101" t="s">
        <v>4898</v>
      </c>
      <c r="T2101">
        <v>5</v>
      </c>
      <c r="U2101" t="str">
        <f t="shared" si="1611"/>
        <v>之灵</v>
      </c>
      <c r="V2101" t="s">
        <v>4918</v>
      </c>
      <c r="W2101">
        <f>属性类型!G2101</f>
        <v>10044</v>
      </c>
      <c r="X2101">
        <v>1</v>
      </c>
    </row>
    <row r="2102" customFormat="1" ht="16.5" spans="1:24">
      <c r="A2102" s="17">
        <f t="shared" si="1631"/>
        <v>51805</v>
      </c>
      <c r="B2102" s="17">
        <f t="shared" si="1628"/>
        <v>51800</v>
      </c>
      <c r="C2102" s="17" t="str">
        <f t="shared" si="1636"/>
        <v>5</v>
      </c>
      <c r="D2102" s="17">
        <f t="shared" si="1629"/>
        <v>50002</v>
      </c>
      <c r="E2102" s="17">
        <f t="shared" ref="E2102:H2102" si="1638">E2101</f>
        <v>2</v>
      </c>
      <c r="F2102" s="17">
        <f t="shared" si="1620"/>
        <v>2</v>
      </c>
      <c r="G2102" s="17" t="str">
        <f t="shared" si="1638"/>
        <v>烈焰之灵攻击百分比</v>
      </c>
      <c r="H2102" s="17" t="str">
        <f t="shared" si="1638"/>
        <v>fashi02_Lv3</v>
      </c>
      <c r="I2102" s="20">
        <v>1.5</v>
      </c>
      <c r="J2102" s="17">
        <v>5</v>
      </c>
      <c r="K2102" s="17">
        <f t="shared" si="1630"/>
        <v>51806</v>
      </c>
      <c r="L2102" s="17" t="s">
        <v>224</v>
      </c>
      <c r="M2102" s="17" t="str">
        <f t="shared" si="1633"/>
        <v>1:11500:5</v>
      </c>
      <c r="N2102" s="16" t="str">
        <f t="shared" si="1612"/>
        <v>10044:1</v>
      </c>
      <c r="O2102" s="17">
        <f t="shared" si="1621"/>
        <v>9</v>
      </c>
      <c r="P2102" s="21" t="s">
        <v>4924</v>
      </c>
      <c r="Q2102" s="21"/>
      <c r="R2102" t="s">
        <v>4898</v>
      </c>
      <c r="T2102">
        <v>6</v>
      </c>
      <c r="U2102" t="str">
        <f t="shared" si="1611"/>
        <v>之灵</v>
      </c>
      <c r="V2102" t="s">
        <v>4918</v>
      </c>
      <c r="W2102">
        <f>属性类型!G2102</f>
        <v>10044</v>
      </c>
      <c r="X2102">
        <v>1</v>
      </c>
    </row>
    <row r="2103" customFormat="1" ht="16.5" spans="1:24">
      <c r="A2103" s="17">
        <f t="shared" si="1631"/>
        <v>51806</v>
      </c>
      <c r="B2103" s="17">
        <f t="shared" si="1628"/>
        <v>51800</v>
      </c>
      <c r="C2103" s="17" t="str">
        <f t="shared" si="1636"/>
        <v>5</v>
      </c>
      <c r="D2103" s="17">
        <f t="shared" si="1629"/>
        <v>50002</v>
      </c>
      <c r="E2103" s="17">
        <f t="shared" ref="E2103:H2103" si="1639">E2102</f>
        <v>2</v>
      </c>
      <c r="F2103" s="17">
        <f t="shared" si="1620"/>
        <v>2</v>
      </c>
      <c r="G2103" s="17" t="str">
        <f t="shared" si="1639"/>
        <v>烈焰之灵攻击百分比</v>
      </c>
      <c r="H2103" s="17" t="str">
        <f t="shared" si="1639"/>
        <v>fashi02_Lv3</v>
      </c>
      <c r="I2103" s="20">
        <v>1.5</v>
      </c>
      <c r="J2103" s="17">
        <v>6</v>
      </c>
      <c r="K2103" s="17">
        <f t="shared" si="1630"/>
        <v>51807</v>
      </c>
      <c r="L2103" s="17" t="s">
        <v>227</v>
      </c>
      <c r="M2103" s="17" t="str">
        <f t="shared" si="1633"/>
        <v>1:11500:5</v>
      </c>
      <c r="N2103" s="16" t="str">
        <f t="shared" si="1612"/>
        <v>10044:1</v>
      </c>
      <c r="O2103" s="17">
        <f t="shared" si="1621"/>
        <v>9</v>
      </c>
      <c r="P2103" s="21" t="s">
        <v>4925</v>
      </c>
      <c r="Q2103" s="21"/>
      <c r="R2103" t="s">
        <v>4898</v>
      </c>
      <c r="T2103">
        <v>7</v>
      </c>
      <c r="U2103" t="str">
        <f t="shared" si="1611"/>
        <v>之灵</v>
      </c>
      <c r="V2103" t="s">
        <v>4918</v>
      </c>
      <c r="W2103">
        <f>属性类型!G2103</f>
        <v>10044</v>
      </c>
      <c r="X2103">
        <v>1</v>
      </c>
    </row>
    <row r="2104" customFormat="1" ht="16.5" spans="1:24">
      <c r="A2104" s="17">
        <f t="shared" si="1631"/>
        <v>51807</v>
      </c>
      <c r="B2104" s="17">
        <f t="shared" si="1628"/>
        <v>51800</v>
      </c>
      <c r="C2104" s="17" t="str">
        <f t="shared" si="1636"/>
        <v>5</v>
      </c>
      <c r="D2104" s="17">
        <f t="shared" si="1629"/>
        <v>50002</v>
      </c>
      <c r="E2104" s="17">
        <f t="shared" ref="E2104:H2104" si="1640">E2103</f>
        <v>2</v>
      </c>
      <c r="F2104" s="17">
        <f t="shared" si="1620"/>
        <v>2</v>
      </c>
      <c r="G2104" s="17" t="str">
        <f t="shared" si="1640"/>
        <v>烈焰之灵攻击百分比</v>
      </c>
      <c r="H2104" s="17" t="str">
        <f t="shared" si="1640"/>
        <v>fashi02_Lv3</v>
      </c>
      <c r="I2104" s="20">
        <v>1.5</v>
      </c>
      <c r="J2104" s="17">
        <v>7</v>
      </c>
      <c r="K2104" s="17">
        <f t="shared" si="1630"/>
        <v>51808</v>
      </c>
      <c r="L2104" s="17" t="s">
        <v>230</v>
      </c>
      <c r="M2104" s="17" t="str">
        <f t="shared" si="1633"/>
        <v>1:11500:5</v>
      </c>
      <c r="N2104" s="16" t="str">
        <f t="shared" si="1612"/>
        <v>10044:1</v>
      </c>
      <c r="O2104" s="17">
        <f t="shared" si="1621"/>
        <v>9</v>
      </c>
      <c r="P2104" s="21" t="s">
        <v>4926</v>
      </c>
      <c r="Q2104" s="21"/>
      <c r="R2104" t="s">
        <v>4898</v>
      </c>
      <c r="T2104">
        <v>8</v>
      </c>
      <c r="U2104" t="str">
        <f t="shared" si="1611"/>
        <v>之灵</v>
      </c>
      <c r="V2104" t="s">
        <v>4918</v>
      </c>
      <c r="W2104">
        <f>属性类型!G2104</f>
        <v>10044</v>
      </c>
      <c r="X2104">
        <v>1</v>
      </c>
    </row>
    <row r="2105" customFormat="1" ht="16.5" spans="1:24">
      <c r="A2105" s="17">
        <f t="shared" si="1631"/>
        <v>51808</v>
      </c>
      <c r="B2105" s="17">
        <f t="shared" si="1628"/>
        <v>51800</v>
      </c>
      <c r="C2105" s="17" t="str">
        <f t="shared" si="1636"/>
        <v>5</v>
      </c>
      <c r="D2105" s="17">
        <f t="shared" si="1629"/>
        <v>50002</v>
      </c>
      <c r="E2105" s="17">
        <f t="shared" ref="E2105:H2105" si="1641">E2104</f>
        <v>2</v>
      </c>
      <c r="F2105" s="17">
        <f t="shared" si="1620"/>
        <v>2</v>
      </c>
      <c r="G2105" s="17" t="str">
        <f t="shared" si="1641"/>
        <v>烈焰之灵攻击百分比</v>
      </c>
      <c r="H2105" s="17" t="str">
        <f t="shared" si="1641"/>
        <v>fashi02_Lv3</v>
      </c>
      <c r="I2105" s="20">
        <v>1.5</v>
      </c>
      <c r="J2105" s="17">
        <v>8</v>
      </c>
      <c r="K2105" s="17">
        <f t="shared" si="1630"/>
        <v>51809</v>
      </c>
      <c r="L2105" s="17" t="s">
        <v>233</v>
      </c>
      <c r="M2105" s="17" t="str">
        <f t="shared" si="1633"/>
        <v>1:11500:5</v>
      </c>
      <c r="N2105" s="16" t="str">
        <f t="shared" si="1612"/>
        <v>10044:1</v>
      </c>
      <c r="O2105" s="17">
        <f t="shared" si="1621"/>
        <v>9</v>
      </c>
      <c r="P2105" s="21" t="s">
        <v>4927</v>
      </c>
      <c r="Q2105" s="21"/>
      <c r="R2105" t="s">
        <v>4898</v>
      </c>
      <c r="T2105">
        <v>9</v>
      </c>
      <c r="U2105" t="str">
        <f t="shared" si="1611"/>
        <v>之灵</v>
      </c>
      <c r="V2105" t="s">
        <v>4918</v>
      </c>
      <c r="W2105">
        <f>属性类型!G2105</f>
        <v>10044</v>
      </c>
      <c r="X2105">
        <v>1</v>
      </c>
    </row>
    <row r="2106" customFormat="1" ht="16.5" spans="1:24">
      <c r="A2106" s="17">
        <f t="shared" si="1631"/>
        <v>51809</v>
      </c>
      <c r="B2106" s="17">
        <f t="shared" si="1628"/>
        <v>51800</v>
      </c>
      <c r="C2106" s="17" t="str">
        <f t="shared" si="1636"/>
        <v>5</v>
      </c>
      <c r="D2106" s="17">
        <f t="shared" si="1629"/>
        <v>50002</v>
      </c>
      <c r="E2106" s="17">
        <f t="shared" ref="E2106:H2106" si="1642">E2105</f>
        <v>2</v>
      </c>
      <c r="F2106" s="17">
        <f t="shared" si="1620"/>
        <v>2</v>
      </c>
      <c r="G2106" s="17" t="str">
        <f t="shared" si="1642"/>
        <v>烈焰之灵攻击百分比</v>
      </c>
      <c r="H2106" s="17" t="str">
        <f t="shared" si="1642"/>
        <v>fashi02_Lv3</v>
      </c>
      <c r="I2106" s="20">
        <v>1.5</v>
      </c>
      <c r="J2106" s="17">
        <v>9</v>
      </c>
      <c r="K2106" s="17">
        <f t="shared" si="1630"/>
        <v>51810</v>
      </c>
      <c r="L2106" s="17" t="s">
        <v>236</v>
      </c>
      <c r="M2106" s="17" t="str">
        <f t="shared" si="1633"/>
        <v>1:11500:5</v>
      </c>
      <c r="N2106" s="16" t="str">
        <f t="shared" si="1612"/>
        <v>10044:1</v>
      </c>
      <c r="O2106" s="17">
        <f t="shared" si="1621"/>
        <v>9</v>
      </c>
      <c r="P2106" s="21" t="s">
        <v>4928</v>
      </c>
      <c r="Q2106" s="21"/>
      <c r="R2106" t="s">
        <v>4898</v>
      </c>
      <c r="T2106">
        <v>10</v>
      </c>
      <c r="U2106" t="str">
        <f t="shared" si="1611"/>
        <v>之灵</v>
      </c>
      <c r="V2106" t="s">
        <v>4918</v>
      </c>
      <c r="W2106">
        <f>属性类型!G2106</f>
        <v>10044</v>
      </c>
      <c r="X2106">
        <v>1</v>
      </c>
    </row>
    <row r="2107" customFormat="1" ht="16.5" spans="1:24">
      <c r="A2107" s="17">
        <f t="shared" si="1631"/>
        <v>51810</v>
      </c>
      <c r="B2107" s="17">
        <f t="shared" si="1628"/>
        <v>51800</v>
      </c>
      <c r="C2107" s="17" t="str">
        <f t="shared" si="1636"/>
        <v>5</v>
      </c>
      <c r="D2107" s="17">
        <f t="shared" si="1629"/>
        <v>50002</v>
      </c>
      <c r="E2107" s="17">
        <f t="shared" ref="E2107:H2107" si="1643">E2106</f>
        <v>2</v>
      </c>
      <c r="F2107" s="17">
        <f t="shared" si="1620"/>
        <v>2</v>
      </c>
      <c r="G2107" s="17" t="str">
        <f t="shared" si="1643"/>
        <v>烈焰之灵攻击百分比</v>
      </c>
      <c r="H2107" s="17" t="str">
        <f t="shared" si="1643"/>
        <v>fashi02_Lv3</v>
      </c>
      <c r="I2107" s="20">
        <v>1.5</v>
      </c>
      <c r="J2107" s="17">
        <v>10</v>
      </c>
      <c r="K2107" s="17">
        <f t="shared" si="1630"/>
        <v>51811</v>
      </c>
      <c r="L2107" s="17" t="s">
        <v>238</v>
      </c>
      <c r="M2107" s="17" t="str">
        <f t="shared" si="1633"/>
        <v>1:11500:5</v>
      </c>
      <c r="N2107" s="16" t="str">
        <f t="shared" si="1612"/>
        <v>10044:1</v>
      </c>
      <c r="O2107" s="17">
        <f t="shared" si="1621"/>
        <v>9</v>
      </c>
      <c r="P2107" s="21" t="s">
        <v>4929</v>
      </c>
      <c r="Q2107" s="21"/>
      <c r="R2107" t="s">
        <v>4898</v>
      </c>
      <c r="T2107">
        <v>11</v>
      </c>
      <c r="U2107" t="str">
        <f t="shared" si="1611"/>
        <v>之灵</v>
      </c>
      <c r="V2107" t="s">
        <v>4918</v>
      </c>
      <c r="W2107">
        <f>属性类型!G2107</f>
        <v>10044</v>
      </c>
      <c r="X2107">
        <v>1</v>
      </c>
    </row>
    <row r="2108" customFormat="1" ht="16.5" spans="1:24">
      <c r="A2108" s="17">
        <f t="shared" si="1631"/>
        <v>51811</v>
      </c>
      <c r="B2108" s="17">
        <f t="shared" si="1628"/>
        <v>51800</v>
      </c>
      <c r="C2108" s="17" t="str">
        <f t="shared" si="1636"/>
        <v>5</v>
      </c>
      <c r="D2108" s="17">
        <f t="shared" si="1629"/>
        <v>50002</v>
      </c>
      <c r="E2108" s="17">
        <f t="shared" ref="E2108:H2108" si="1644">E2107</f>
        <v>2</v>
      </c>
      <c r="F2108" s="17">
        <f t="shared" si="1620"/>
        <v>2</v>
      </c>
      <c r="G2108" s="17" t="str">
        <f t="shared" si="1644"/>
        <v>烈焰之灵攻击百分比</v>
      </c>
      <c r="H2108" s="17" t="str">
        <f t="shared" si="1644"/>
        <v>fashi02_Lv3</v>
      </c>
      <c r="I2108" s="20">
        <v>1.5</v>
      </c>
      <c r="J2108" s="17">
        <v>11</v>
      </c>
      <c r="K2108" s="17">
        <f t="shared" si="1630"/>
        <v>51812</v>
      </c>
      <c r="L2108" s="17" t="s">
        <v>529</v>
      </c>
      <c r="M2108" s="17" t="str">
        <f t="shared" si="1633"/>
        <v>1:11500:5</v>
      </c>
      <c r="N2108" s="16" t="str">
        <f t="shared" si="1612"/>
        <v>10044:1</v>
      </c>
      <c r="O2108" s="17">
        <f t="shared" si="1621"/>
        <v>9</v>
      </c>
      <c r="P2108" s="21" t="s">
        <v>4930</v>
      </c>
      <c r="Q2108" s="21"/>
      <c r="R2108" t="s">
        <v>4898</v>
      </c>
      <c r="T2108">
        <v>12</v>
      </c>
      <c r="U2108" t="str">
        <f t="shared" si="1611"/>
        <v>之灵</v>
      </c>
      <c r="V2108" t="s">
        <v>4918</v>
      </c>
      <c r="W2108">
        <f>属性类型!G2108</f>
        <v>10044</v>
      </c>
      <c r="X2108">
        <v>1</v>
      </c>
    </row>
    <row r="2109" customFormat="1" ht="16.5" spans="1:24">
      <c r="A2109" s="17">
        <f t="shared" si="1631"/>
        <v>51812</v>
      </c>
      <c r="B2109" s="17">
        <f t="shared" si="1628"/>
        <v>51800</v>
      </c>
      <c r="C2109" s="17" t="str">
        <f t="shared" si="1636"/>
        <v>5</v>
      </c>
      <c r="D2109" s="17">
        <f t="shared" si="1629"/>
        <v>50002</v>
      </c>
      <c r="E2109" s="17">
        <f t="shared" ref="E2109:H2109" si="1645">E2108</f>
        <v>2</v>
      </c>
      <c r="F2109" s="17">
        <f t="shared" si="1620"/>
        <v>2</v>
      </c>
      <c r="G2109" s="17" t="str">
        <f t="shared" si="1645"/>
        <v>烈焰之灵攻击百分比</v>
      </c>
      <c r="H2109" s="17" t="str">
        <f t="shared" si="1645"/>
        <v>fashi02_Lv3</v>
      </c>
      <c r="I2109" s="20">
        <v>1.5</v>
      </c>
      <c r="J2109" s="17">
        <v>12</v>
      </c>
      <c r="K2109" s="17">
        <f t="shared" si="1630"/>
        <v>51813</v>
      </c>
      <c r="L2109" s="17" t="s">
        <v>532</v>
      </c>
      <c r="M2109" s="17" t="str">
        <f t="shared" si="1633"/>
        <v>1:11500:5</v>
      </c>
      <c r="N2109" s="16" t="str">
        <f t="shared" si="1612"/>
        <v>10044:1</v>
      </c>
      <c r="O2109" s="17">
        <f t="shared" si="1621"/>
        <v>9</v>
      </c>
      <c r="P2109" s="21" t="s">
        <v>4931</v>
      </c>
      <c r="Q2109" s="21"/>
      <c r="R2109" t="s">
        <v>4898</v>
      </c>
      <c r="T2109">
        <v>13</v>
      </c>
      <c r="U2109" t="str">
        <f t="shared" si="1611"/>
        <v>之灵</v>
      </c>
      <c r="V2109" t="s">
        <v>4918</v>
      </c>
      <c r="W2109">
        <f>属性类型!G2109</f>
        <v>10044</v>
      </c>
      <c r="X2109">
        <v>1</v>
      </c>
    </row>
    <row r="2110" customFormat="1" ht="16.5" spans="1:24">
      <c r="A2110" s="17">
        <f t="shared" si="1631"/>
        <v>51813</v>
      </c>
      <c r="B2110" s="17">
        <f t="shared" si="1628"/>
        <v>51800</v>
      </c>
      <c r="C2110" s="17" t="str">
        <f t="shared" si="1636"/>
        <v>5</v>
      </c>
      <c r="D2110" s="17">
        <f t="shared" si="1629"/>
        <v>50002</v>
      </c>
      <c r="E2110" s="17">
        <f t="shared" ref="E2110:H2110" si="1646">E2109</f>
        <v>2</v>
      </c>
      <c r="F2110" s="17">
        <f t="shared" si="1620"/>
        <v>2</v>
      </c>
      <c r="G2110" s="17" t="str">
        <f t="shared" si="1646"/>
        <v>烈焰之灵攻击百分比</v>
      </c>
      <c r="H2110" s="17" t="str">
        <f t="shared" si="1646"/>
        <v>fashi02_Lv3</v>
      </c>
      <c r="I2110" s="20">
        <v>1.5</v>
      </c>
      <c r="J2110" s="17">
        <v>13</v>
      </c>
      <c r="K2110" s="17">
        <f t="shared" si="1630"/>
        <v>51814</v>
      </c>
      <c r="L2110" s="17" t="s">
        <v>561</v>
      </c>
      <c r="M2110" s="17" t="str">
        <f t="shared" si="1633"/>
        <v>1:11500:5</v>
      </c>
      <c r="N2110" s="16" t="str">
        <f t="shared" si="1612"/>
        <v>10044:1</v>
      </c>
      <c r="O2110" s="17">
        <f t="shared" si="1621"/>
        <v>9</v>
      </c>
      <c r="P2110" s="21" t="s">
        <v>4932</v>
      </c>
      <c r="Q2110" s="21"/>
      <c r="R2110" t="s">
        <v>4898</v>
      </c>
      <c r="T2110">
        <v>14</v>
      </c>
      <c r="U2110" t="str">
        <f t="shared" si="1611"/>
        <v>之灵</v>
      </c>
      <c r="V2110" t="s">
        <v>4918</v>
      </c>
      <c r="W2110">
        <f>属性类型!G2110</f>
        <v>10044</v>
      </c>
      <c r="X2110">
        <v>1</v>
      </c>
    </row>
    <row r="2111" customFormat="1" ht="16.5" spans="1:24">
      <c r="A2111" s="17">
        <f t="shared" si="1631"/>
        <v>51814</v>
      </c>
      <c r="B2111" s="17">
        <f t="shared" si="1628"/>
        <v>51800</v>
      </c>
      <c r="C2111" s="17" t="str">
        <f t="shared" si="1636"/>
        <v>5</v>
      </c>
      <c r="D2111" s="17">
        <f t="shared" si="1629"/>
        <v>50002</v>
      </c>
      <c r="E2111" s="17">
        <f t="shared" ref="E2111:H2111" si="1647">E2110</f>
        <v>2</v>
      </c>
      <c r="F2111" s="17">
        <f t="shared" si="1620"/>
        <v>2</v>
      </c>
      <c r="G2111" s="17" t="str">
        <f t="shared" si="1647"/>
        <v>烈焰之灵攻击百分比</v>
      </c>
      <c r="H2111" s="17" t="str">
        <f t="shared" si="1647"/>
        <v>fashi02_Lv3</v>
      </c>
      <c r="I2111" s="20">
        <v>1.5</v>
      </c>
      <c r="J2111" s="17">
        <v>14</v>
      </c>
      <c r="K2111" s="17">
        <f t="shared" si="1630"/>
        <v>51815</v>
      </c>
      <c r="L2111" s="17" t="s">
        <v>564</v>
      </c>
      <c r="M2111" s="17" t="str">
        <f t="shared" si="1633"/>
        <v>1:11500:5</v>
      </c>
      <c r="N2111" s="16" t="str">
        <f t="shared" si="1612"/>
        <v>10044:1</v>
      </c>
      <c r="O2111" s="17">
        <f t="shared" si="1621"/>
        <v>9</v>
      </c>
      <c r="P2111" s="21" t="s">
        <v>4933</v>
      </c>
      <c r="Q2111" s="21"/>
      <c r="R2111" t="s">
        <v>4898</v>
      </c>
      <c r="T2111">
        <v>15</v>
      </c>
      <c r="U2111" t="str">
        <f t="shared" si="1611"/>
        <v>之灵</v>
      </c>
      <c r="V2111" t="s">
        <v>4918</v>
      </c>
      <c r="W2111">
        <f>属性类型!G2111</f>
        <v>10044</v>
      </c>
      <c r="X2111">
        <v>1</v>
      </c>
    </row>
    <row r="2112" customFormat="1" ht="16.5" spans="1:24">
      <c r="A2112" s="17">
        <f t="shared" si="1631"/>
        <v>51815</v>
      </c>
      <c r="B2112" s="17">
        <f t="shared" si="1628"/>
        <v>51800</v>
      </c>
      <c r="C2112" s="17" t="str">
        <f t="shared" si="1636"/>
        <v>5</v>
      </c>
      <c r="D2112" s="17">
        <f t="shared" si="1629"/>
        <v>50002</v>
      </c>
      <c r="E2112" s="17">
        <f t="shared" ref="E2112:H2112" si="1648">E2111</f>
        <v>2</v>
      </c>
      <c r="F2112" s="17">
        <f t="shared" si="1620"/>
        <v>2</v>
      </c>
      <c r="G2112" s="17" t="str">
        <f t="shared" si="1648"/>
        <v>烈焰之灵攻击百分比</v>
      </c>
      <c r="H2112" s="17" t="str">
        <f t="shared" si="1648"/>
        <v>fashi02_Lv3</v>
      </c>
      <c r="I2112" s="20">
        <v>1.5</v>
      </c>
      <c r="J2112" s="17">
        <v>15</v>
      </c>
      <c r="K2112" s="17">
        <f t="shared" si="1630"/>
        <v>51816</v>
      </c>
      <c r="L2112" s="17" t="s">
        <v>630</v>
      </c>
      <c r="M2112" s="17" t="str">
        <f t="shared" si="1633"/>
        <v>1:11500:5</v>
      </c>
      <c r="N2112" s="16" t="str">
        <f t="shared" si="1612"/>
        <v>10044:1</v>
      </c>
      <c r="O2112" s="17">
        <f t="shared" si="1621"/>
        <v>9</v>
      </c>
      <c r="P2112" s="21" t="s">
        <v>4934</v>
      </c>
      <c r="Q2112" s="21"/>
      <c r="R2112" t="s">
        <v>4898</v>
      </c>
      <c r="T2112">
        <v>15</v>
      </c>
      <c r="U2112" t="str">
        <f t="shared" si="1611"/>
        <v>之灵</v>
      </c>
      <c r="V2112" t="s">
        <v>4918</v>
      </c>
      <c r="W2112">
        <f>属性类型!G2112</f>
        <v>10044</v>
      </c>
      <c r="X2112">
        <v>1</v>
      </c>
    </row>
    <row r="2113" customFormat="1" ht="16.5" spans="1:24">
      <c r="A2113" s="17">
        <f t="shared" si="1631"/>
        <v>51816</v>
      </c>
      <c r="B2113" s="17">
        <f t="shared" si="1628"/>
        <v>51800</v>
      </c>
      <c r="C2113" s="17" t="str">
        <f t="shared" si="1636"/>
        <v>5</v>
      </c>
      <c r="D2113" s="17">
        <f t="shared" si="1629"/>
        <v>50002</v>
      </c>
      <c r="E2113" s="17">
        <f t="shared" ref="E2113:H2113" si="1649">E2112</f>
        <v>2</v>
      </c>
      <c r="F2113" s="17">
        <f t="shared" si="1620"/>
        <v>2</v>
      </c>
      <c r="G2113" s="17" t="str">
        <f t="shared" si="1649"/>
        <v>烈焰之灵攻击百分比</v>
      </c>
      <c r="H2113" s="17" t="str">
        <f t="shared" si="1649"/>
        <v>fashi02_Lv3</v>
      </c>
      <c r="I2113" s="20">
        <v>1.5</v>
      </c>
      <c r="J2113" s="17">
        <v>16</v>
      </c>
      <c r="K2113" s="17">
        <f t="shared" si="1630"/>
        <v>51817</v>
      </c>
      <c r="L2113" s="17" t="s">
        <v>633</v>
      </c>
      <c r="M2113" s="17" t="str">
        <f t="shared" si="1633"/>
        <v>1:11500:5</v>
      </c>
      <c r="N2113" s="16" t="str">
        <f t="shared" si="1612"/>
        <v>10044:1</v>
      </c>
      <c r="O2113" s="17">
        <f t="shared" si="1621"/>
        <v>9</v>
      </c>
      <c r="P2113" s="21" t="s">
        <v>4935</v>
      </c>
      <c r="Q2113" s="21"/>
      <c r="R2113" t="s">
        <v>4898</v>
      </c>
      <c r="U2113" t="str">
        <f t="shared" si="1611"/>
        <v>之灵</v>
      </c>
      <c r="V2113" t="s">
        <v>4918</v>
      </c>
      <c r="W2113">
        <f>属性类型!G2113</f>
        <v>10044</v>
      </c>
      <c r="X2113">
        <v>1</v>
      </c>
    </row>
    <row r="2114" customFormat="1" ht="16.5" spans="1:24">
      <c r="A2114" s="17">
        <f t="shared" si="1631"/>
        <v>51817</v>
      </c>
      <c r="B2114" s="17">
        <f t="shared" si="1628"/>
        <v>51800</v>
      </c>
      <c r="C2114" s="17" t="str">
        <f t="shared" si="1636"/>
        <v>5</v>
      </c>
      <c r="D2114" s="17">
        <f t="shared" si="1629"/>
        <v>50002</v>
      </c>
      <c r="E2114" s="17">
        <f t="shared" ref="E2114:H2114" si="1650">E2113</f>
        <v>2</v>
      </c>
      <c r="F2114" s="17">
        <f t="shared" si="1620"/>
        <v>2</v>
      </c>
      <c r="G2114" s="17" t="str">
        <f t="shared" si="1650"/>
        <v>烈焰之灵攻击百分比</v>
      </c>
      <c r="H2114" s="17" t="str">
        <f t="shared" si="1650"/>
        <v>fashi02_Lv3</v>
      </c>
      <c r="I2114" s="20">
        <v>1.5</v>
      </c>
      <c r="J2114" s="17">
        <v>17</v>
      </c>
      <c r="K2114" s="17">
        <f t="shared" si="1630"/>
        <v>51818</v>
      </c>
      <c r="L2114" s="17" t="s">
        <v>637</v>
      </c>
      <c r="M2114" s="17" t="str">
        <f t="shared" si="1633"/>
        <v>1:11500:5</v>
      </c>
      <c r="N2114" s="16" t="str">
        <f t="shared" si="1612"/>
        <v>10044:1</v>
      </c>
      <c r="O2114" s="17">
        <f t="shared" si="1621"/>
        <v>9</v>
      </c>
      <c r="P2114" s="21" t="s">
        <v>4936</v>
      </c>
      <c r="Q2114" s="21"/>
      <c r="R2114" t="s">
        <v>4898</v>
      </c>
      <c r="U2114" t="str">
        <f t="shared" si="1611"/>
        <v>之灵</v>
      </c>
      <c r="V2114" t="s">
        <v>4918</v>
      </c>
      <c r="W2114">
        <f>属性类型!G2114</f>
        <v>10044</v>
      </c>
      <c r="X2114">
        <v>1</v>
      </c>
    </row>
    <row r="2115" customFormat="1" ht="16.5" spans="1:24">
      <c r="A2115" s="17">
        <f t="shared" si="1631"/>
        <v>51818</v>
      </c>
      <c r="B2115" s="17">
        <f t="shared" si="1628"/>
        <v>51800</v>
      </c>
      <c r="C2115" s="17" t="str">
        <f t="shared" si="1636"/>
        <v>5</v>
      </c>
      <c r="D2115" s="17">
        <f t="shared" si="1629"/>
        <v>50002</v>
      </c>
      <c r="E2115" s="17">
        <f t="shared" ref="E2115:H2115" si="1651">E2114</f>
        <v>2</v>
      </c>
      <c r="F2115" s="17">
        <f t="shared" si="1620"/>
        <v>2</v>
      </c>
      <c r="G2115" s="17" t="str">
        <f t="shared" si="1651"/>
        <v>烈焰之灵攻击百分比</v>
      </c>
      <c r="H2115" s="17" t="str">
        <f t="shared" si="1651"/>
        <v>fashi02_Lv3</v>
      </c>
      <c r="I2115" s="20">
        <v>1.5</v>
      </c>
      <c r="J2115" s="17">
        <v>18</v>
      </c>
      <c r="K2115" s="17">
        <f t="shared" si="1630"/>
        <v>51819</v>
      </c>
      <c r="L2115" s="17" t="s">
        <v>641</v>
      </c>
      <c r="M2115" s="17" t="str">
        <f t="shared" si="1633"/>
        <v>1:11500:5</v>
      </c>
      <c r="N2115" s="16" t="str">
        <f t="shared" si="1612"/>
        <v>10044:1</v>
      </c>
      <c r="O2115" s="17">
        <f t="shared" si="1621"/>
        <v>9</v>
      </c>
      <c r="P2115" s="21" t="s">
        <v>4937</v>
      </c>
      <c r="Q2115" s="21"/>
      <c r="R2115" t="s">
        <v>4898</v>
      </c>
      <c r="U2115" t="str">
        <f t="shared" si="1611"/>
        <v>之灵</v>
      </c>
      <c r="V2115" t="s">
        <v>4918</v>
      </c>
      <c r="W2115">
        <f>属性类型!G2115</f>
        <v>10044</v>
      </c>
      <c r="X2115">
        <v>1</v>
      </c>
    </row>
    <row r="2116" customFormat="1" ht="16.5" spans="1:24">
      <c r="A2116" s="17">
        <f t="shared" si="1631"/>
        <v>51819</v>
      </c>
      <c r="B2116" s="17">
        <f t="shared" si="1628"/>
        <v>51800</v>
      </c>
      <c r="C2116" s="17" t="str">
        <f t="shared" si="1636"/>
        <v>5</v>
      </c>
      <c r="D2116" s="17">
        <f t="shared" si="1629"/>
        <v>50002</v>
      </c>
      <c r="E2116" s="17">
        <f t="shared" ref="E2116:H2116" si="1652">E2115</f>
        <v>2</v>
      </c>
      <c r="F2116" s="17">
        <f t="shared" si="1620"/>
        <v>2</v>
      </c>
      <c r="G2116" s="17" t="str">
        <f t="shared" si="1652"/>
        <v>烈焰之灵攻击百分比</v>
      </c>
      <c r="H2116" s="17" t="str">
        <f t="shared" si="1652"/>
        <v>fashi02_Lv3</v>
      </c>
      <c r="I2116" s="20">
        <v>1.5</v>
      </c>
      <c r="J2116" s="17">
        <v>19</v>
      </c>
      <c r="K2116" s="17">
        <f t="shared" si="1630"/>
        <v>51820</v>
      </c>
      <c r="L2116" s="17" t="s">
        <v>645</v>
      </c>
      <c r="M2116" s="17" t="str">
        <f t="shared" si="1633"/>
        <v>1:11500:5</v>
      </c>
      <c r="N2116" s="16" t="str">
        <f t="shared" si="1612"/>
        <v>10044:1</v>
      </c>
      <c r="O2116" s="17">
        <f t="shared" si="1621"/>
        <v>9</v>
      </c>
      <c r="P2116" s="21" t="s">
        <v>4938</v>
      </c>
      <c r="Q2116" s="21"/>
      <c r="R2116" t="s">
        <v>4898</v>
      </c>
      <c r="U2116" t="str">
        <f t="shared" si="1611"/>
        <v>之灵</v>
      </c>
      <c r="V2116" t="s">
        <v>4918</v>
      </c>
      <c r="W2116">
        <f>属性类型!G2116</f>
        <v>10044</v>
      </c>
      <c r="X2116">
        <v>1</v>
      </c>
    </row>
    <row r="2117" customFormat="1" ht="16.5" spans="1:24">
      <c r="A2117" s="17">
        <f t="shared" si="1631"/>
        <v>51820</v>
      </c>
      <c r="B2117" s="17">
        <f t="shared" si="1628"/>
        <v>51800</v>
      </c>
      <c r="C2117" s="17" t="str">
        <f t="shared" si="1636"/>
        <v>5</v>
      </c>
      <c r="D2117" s="17">
        <f t="shared" si="1629"/>
        <v>50002</v>
      </c>
      <c r="E2117" s="17">
        <f t="shared" ref="E2117:H2117" si="1653">E2116</f>
        <v>2</v>
      </c>
      <c r="F2117" s="17">
        <f t="shared" si="1620"/>
        <v>2</v>
      </c>
      <c r="G2117" s="17" t="str">
        <f t="shared" si="1653"/>
        <v>烈焰之灵攻击百分比</v>
      </c>
      <c r="H2117" s="17" t="str">
        <f t="shared" si="1653"/>
        <v>fashi02_Lv3</v>
      </c>
      <c r="I2117" s="20">
        <v>1.5</v>
      </c>
      <c r="J2117" s="17">
        <v>20</v>
      </c>
      <c r="K2117" s="17">
        <v>0</v>
      </c>
      <c r="L2117" s="17">
        <v>0</v>
      </c>
      <c r="M2117" s="17" t="str">
        <f t="shared" si="1633"/>
        <v>1:11500:5</v>
      </c>
      <c r="N2117" s="16" t="str">
        <f t="shared" si="1612"/>
        <v>10044:1</v>
      </c>
      <c r="O2117" s="17">
        <f t="shared" si="1621"/>
        <v>9</v>
      </c>
      <c r="P2117" s="21" t="s">
        <v>4938</v>
      </c>
      <c r="Q2117" s="21"/>
      <c r="R2117" t="s">
        <v>4898</v>
      </c>
      <c r="U2117" t="str">
        <f t="shared" ref="U2117:U2180" si="1654">MID(P2117,3,2)</f>
        <v>之灵</v>
      </c>
      <c r="V2117" t="s">
        <v>4918</v>
      </c>
      <c r="W2117">
        <f>属性类型!G2117</f>
        <v>10044</v>
      </c>
      <c r="X2117">
        <v>1</v>
      </c>
    </row>
    <row r="2118" customFormat="1" ht="16.5" spans="1:24">
      <c r="A2118" s="18">
        <f>A2097+100</f>
        <v>51900</v>
      </c>
      <c r="B2118" s="18">
        <f t="shared" si="1628"/>
        <v>51900</v>
      </c>
      <c r="C2118" s="18" t="str">
        <f t="shared" si="1636"/>
        <v>5</v>
      </c>
      <c r="D2118" s="17">
        <f t="shared" si="1629"/>
        <v>50002</v>
      </c>
      <c r="E2118" s="17">
        <f>E2117</f>
        <v>2</v>
      </c>
      <c r="F2118" s="18">
        <f t="shared" si="1620"/>
        <v>2</v>
      </c>
      <c r="G2118" s="18" t="s">
        <v>4939</v>
      </c>
      <c r="H2118" s="18" t="s">
        <v>3051</v>
      </c>
      <c r="I2118" s="20">
        <v>1.5</v>
      </c>
      <c r="J2118" s="18">
        <v>0</v>
      </c>
      <c r="K2118" s="18">
        <f t="shared" ref="K2118:K2137" si="1655">A2119</f>
        <v>51901</v>
      </c>
      <c r="L2118" s="18" t="s">
        <v>206</v>
      </c>
      <c r="M2118" s="18" t="s">
        <v>502</v>
      </c>
      <c r="N2118" s="16" t="str">
        <f t="shared" si="1612"/>
        <v>10045:1</v>
      </c>
      <c r="O2118" s="18">
        <f t="shared" si="1621"/>
        <v>10</v>
      </c>
      <c r="P2118" s="21" t="s">
        <v>4940</v>
      </c>
      <c r="Q2118" s="21"/>
      <c r="R2118" t="s">
        <v>4898</v>
      </c>
      <c r="T2118" t="str">
        <f>RIGHT(N2118,1)</f>
        <v>1</v>
      </c>
      <c r="U2118" t="str">
        <f t="shared" si="1654"/>
        <v>之灵</v>
      </c>
      <c r="V2118" t="s">
        <v>4939</v>
      </c>
      <c r="W2118">
        <f>属性类型!G2118</f>
        <v>10045</v>
      </c>
      <c r="X2118">
        <v>1</v>
      </c>
    </row>
    <row r="2119" customFormat="1" ht="16.5" spans="1:24">
      <c r="A2119" s="17">
        <f t="shared" ref="A2119:A2138" si="1656">A2118+1</f>
        <v>51901</v>
      </c>
      <c r="B2119" s="17">
        <f t="shared" si="1628"/>
        <v>51900</v>
      </c>
      <c r="C2119" s="17" t="str">
        <f t="shared" si="1636"/>
        <v>5</v>
      </c>
      <c r="D2119" s="17">
        <f t="shared" si="1629"/>
        <v>50002</v>
      </c>
      <c r="E2119" s="17">
        <f t="shared" ref="E2119:H2119" si="1657">E2118</f>
        <v>2</v>
      </c>
      <c r="F2119" s="17">
        <f t="shared" si="1620"/>
        <v>2</v>
      </c>
      <c r="G2119" s="17" t="str">
        <f t="shared" si="1657"/>
        <v>烈焰之灵魔防百分比</v>
      </c>
      <c r="H2119" s="17" t="str">
        <f t="shared" si="1657"/>
        <v>fashi02_Lv3</v>
      </c>
      <c r="I2119" s="20">
        <v>1.5</v>
      </c>
      <c r="J2119" s="17">
        <v>1</v>
      </c>
      <c r="K2119" s="17">
        <f t="shared" si="1655"/>
        <v>51902</v>
      </c>
      <c r="L2119" s="17" t="s">
        <v>211</v>
      </c>
      <c r="M2119" s="17" t="str">
        <f t="shared" ref="M2119:M2138" si="1658">M2118</f>
        <v>1:11600:5</v>
      </c>
      <c r="N2119" s="16" t="str">
        <f t="shared" si="1612"/>
        <v>10045:1</v>
      </c>
      <c r="O2119" s="17">
        <f t="shared" si="1621"/>
        <v>10</v>
      </c>
      <c r="P2119" s="21" t="s">
        <v>4941</v>
      </c>
      <c r="Q2119" s="21"/>
      <c r="R2119" t="s">
        <v>4898</v>
      </c>
      <c r="T2119" t="str">
        <f t="shared" ref="T2119:T2138" si="1659">RIGHT(N2119,2)</f>
        <v>:1</v>
      </c>
      <c r="U2119" t="str">
        <f t="shared" si="1654"/>
        <v>之灵</v>
      </c>
      <c r="V2119" t="s">
        <v>4939</v>
      </c>
      <c r="W2119">
        <f>属性类型!G2119</f>
        <v>10045</v>
      </c>
      <c r="X2119">
        <v>1</v>
      </c>
    </row>
    <row r="2120" customFormat="1" ht="16.5" spans="1:24">
      <c r="A2120" s="17">
        <f t="shared" si="1656"/>
        <v>51902</v>
      </c>
      <c r="B2120" s="17">
        <f t="shared" si="1628"/>
        <v>51900</v>
      </c>
      <c r="C2120" s="17" t="str">
        <f t="shared" si="1636"/>
        <v>5</v>
      </c>
      <c r="D2120" s="17">
        <f t="shared" si="1629"/>
        <v>50002</v>
      </c>
      <c r="E2120" s="17">
        <f t="shared" ref="E2120:H2120" si="1660">E2119</f>
        <v>2</v>
      </c>
      <c r="F2120" s="17">
        <f t="shared" si="1620"/>
        <v>2</v>
      </c>
      <c r="G2120" s="17" t="str">
        <f t="shared" si="1660"/>
        <v>烈焰之灵魔防百分比</v>
      </c>
      <c r="H2120" s="17" t="str">
        <f t="shared" si="1660"/>
        <v>fashi02_Lv3</v>
      </c>
      <c r="I2120" s="20">
        <v>1.5</v>
      </c>
      <c r="J2120" s="17">
        <v>2</v>
      </c>
      <c r="K2120" s="17">
        <f t="shared" si="1655"/>
        <v>51903</v>
      </c>
      <c r="L2120" s="17" t="s">
        <v>215</v>
      </c>
      <c r="M2120" s="17" t="str">
        <f t="shared" si="1658"/>
        <v>1:11600:5</v>
      </c>
      <c r="N2120" s="16" t="str">
        <f t="shared" si="1612"/>
        <v>10045:1</v>
      </c>
      <c r="O2120" s="17">
        <f t="shared" si="1621"/>
        <v>10</v>
      </c>
      <c r="P2120" s="21" t="s">
        <v>4942</v>
      </c>
      <c r="Q2120" s="21"/>
      <c r="R2120" t="s">
        <v>4898</v>
      </c>
      <c r="T2120" t="str">
        <f t="shared" si="1659"/>
        <v>:1</v>
      </c>
      <c r="U2120" t="str">
        <f t="shared" si="1654"/>
        <v>之灵</v>
      </c>
      <c r="V2120" t="s">
        <v>4939</v>
      </c>
      <c r="W2120">
        <f>属性类型!G2120</f>
        <v>10045</v>
      </c>
      <c r="X2120">
        <v>1</v>
      </c>
    </row>
    <row r="2121" customFormat="1" ht="16.5" spans="1:24">
      <c r="A2121" s="17">
        <f t="shared" si="1656"/>
        <v>51903</v>
      </c>
      <c r="B2121" s="17">
        <f t="shared" si="1628"/>
        <v>51900</v>
      </c>
      <c r="C2121" s="17" t="str">
        <f t="shared" si="1636"/>
        <v>5</v>
      </c>
      <c r="D2121" s="17">
        <f t="shared" si="1629"/>
        <v>50002</v>
      </c>
      <c r="E2121" s="17">
        <f t="shared" ref="E2121:H2121" si="1661">E2120</f>
        <v>2</v>
      </c>
      <c r="F2121" s="17">
        <f t="shared" si="1620"/>
        <v>2</v>
      </c>
      <c r="G2121" s="17" t="str">
        <f t="shared" si="1661"/>
        <v>烈焰之灵魔防百分比</v>
      </c>
      <c r="H2121" s="17" t="str">
        <f t="shared" si="1661"/>
        <v>fashi02_Lv3</v>
      </c>
      <c r="I2121" s="20">
        <v>1.5</v>
      </c>
      <c r="J2121" s="17">
        <v>3</v>
      </c>
      <c r="K2121" s="17">
        <f t="shared" si="1655"/>
        <v>51904</v>
      </c>
      <c r="L2121" s="17" t="s">
        <v>218</v>
      </c>
      <c r="M2121" s="17" t="str">
        <f t="shared" si="1658"/>
        <v>1:11600:5</v>
      </c>
      <c r="N2121" s="16" t="str">
        <f t="shared" si="1612"/>
        <v>10045:1</v>
      </c>
      <c r="O2121" s="17">
        <f t="shared" si="1621"/>
        <v>10</v>
      </c>
      <c r="P2121" s="21" t="s">
        <v>4943</v>
      </c>
      <c r="Q2121" s="21"/>
      <c r="R2121" t="s">
        <v>4898</v>
      </c>
      <c r="T2121" t="str">
        <f t="shared" si="1659"/>
        <v>:1</v>
      </c>
      <c r="U2121" t="str">
        <f t="shared" si="1654"/>
        <v>之灵</v>
      </c>
      <c r="V2121" t="s">
        <v>4939</v>
      </c>
      <c r="W2121">
        <f>属性类型!G2121</f>
        <v>10045</v>
      </c>
      <c r="X2121">
        <v>1</v>
      </c>
    </row>
    <row r="2122" customFormat="1" ht="16.5" spans="1:24">
      <c r="A2122" s="17">
        <f t="shared" si="1656"/>
        <v>51904</v>
      </c>
      <c r="B2122" s="17">
        <f t="shared" si="1628"/>
        <v>51900</v>
      </c>
      <c r="C2122" s="17" t="str">
        <f t="shared" si="1636"/>
        <v>5</v>
      </c>
      <c r="D2122" s="17">
        <f t="shared" si="1629"/>
        <v>50002</v>
      </c>
      <c r="E2122" s="17">
        <f t="shared" ref="E2122:H2122" si="1662">E2121</f>
        <v>2</v>
      </c>
      <c r="F2122" s="17">
        <f t="shared" si="1620"/>
        <v>2</v>
      </c>
      <c r="G2122" s="17" t="str">
        <f t="shared" si="1662"/>
        <v>烈焰之灵魔防百分比</v>
      </c>
      <c r="H2122" s="17" t="str">
        <f t="shared" si="1662"/>
        <v>fashi02_Lv3</v>
      </c>
      <c r="I2122" s="20">
        <v>1.5</v>
      </c>
      <c r="J2122" s="17">
        <v>4</v>
      </c>
      <c r="K2122" s="17">
        <f t="shared" si="1655"/>
        <v>51905</v>
      </c>
      <c r="L2122" s="17" t="s">
        <v>221</v>
      </c>
      <c r="M2122" s="17" t="str">
        <f t="shared" si="1658"/>
        <v>1:11600:5</v>
      </c>
      <c r="N2122" s="16" t="str">
        <f t="shared" si="1612"/>
        <v>10045:1</v>
      </c>
      <c r="O2122" s="17">
        <f t="shared" si="1621"/>
        <v>10</v>
      </c>
      <c r="P2122" s="21" t="s">
        <v>4944</v>
      </c>
      <c r="Q2122" s="21"/>
      <c r="R2122" t="s">
        <v>4898</v>
      </c>
      <c r="T2122" t="str">
        <f t="shared" si="1659"/>
        <v>:1</v>
      </c>
      <c r="U2122" t="str">
        <f t="shared" si="1654"/>
        <v>之灵</v>
      </c>
      <c r="V2122" t="s">
        <v>4939</v>
      </c>
      <c r="W2122">
        <f>属性类型!G2122</f>
        <v>10045</v>
      </c>
      <c r="X2122">
        <v>1</v>
      </c>
    </row>
    <row r="2123" customFormat="1" ht="16.5" spans="1:24">
      <c r="A2123" s="17">
        <f t="shared" si="1656"/>
        <v>51905</v>
      </c>
      <c r="B2123" s="17">
        <f t="shared" si="1628"/>
        <v>51900</v>
      </c>
      <c r="C2123" s="17" t="str">
        <f t="shared" si="1636"/>
        <v>5</v>
      </c>
      <c r="D2123" s="17">
        <f t="shared" si="1629"/>
        <v>50002</v>
      </c>
      <c r="E2123" s="17">
        <f t="shared" ref="E2123:H2123" si="1663">E2122</f>
        <v>2</v>
      </c>
      <c r="F2123" s="17">
        <f t="shared" si="1620"/>
        <v>2</v>
      </c>
      <c r="G2123" s="17" t="str">
        <f t="shared" si="1663"/>
        <v>烈焰之灵魔防百分比</v>
      </c>
      <c r="H2123" s="17" t="str">
        <f t="shared" si="1663"/>
        <v>fashi02_Lv3</v>
      </c>
      <c r="I2123" s="20">
        <v>1.5</v>
      </c>
      <c r="J2123" s="17">
        <v>5</v>
      </c>
      <c r="K2123" s="17">
        <f t="shared" si="1655"/>
        <v>51906</v>
      </c>
      <c r="L2123" s="17" t="s">
        <v>224</v>
      </c>
      <c r="M2123" s="17" t="str">
        <f t="shared" si="1658"/>
        <v>1:11600:5</v>
      </c>
      <c r="N2123" s="16" t="str">
        <f t="shared" ref="N2123:N2186" si="1664">W2123&amp;$W$2&amp;X2123</f>
        <v>10045:1</v>
      </c>
      <c r="O2123" s="17">
        <f t="shared" si="1621"/>
        <v>10</v>
      </c>
      <c r="P2123" s="21" t="s">
        <v>4945</v>
      </c>
      <c r="Q2123" s="21"/>
      <c r="R2123" t="s">
        <v>4898</v>
      </c>
      <c r="T2123" t="str">
        <f t="shared" si="1659"/>
        <v>:1</v>
      </c>
      <c r="U2123" t="str">
        <f t="shared" si="1654"/>
        <v>之灵</v>
      </c>
      <c r="V2123" t="s">
        <v>4939</v>
      </c>
      <c r="W2123">
        <f>属性类型!G2123</f>
        <v>10045</v>
      </c>
      <c r="X2123">
        <v>1</v>
      </c>
    </row>
    <row r="2124" customFormat="1" ht="16.5" spans="1:24">
      <c r="A2124" s="17">
        <f t="shared" si="1656"/>
        <v>51906</v>
      </c>
      <c r="B2124" s="17">
        <f t="shared" si="1628"/>
        <v>51900</v>
      </c>
      <c r="C2124" s="17" t="str">
        <f t="shared" si="1636"/>
        <v>5</v>
      </c>
      <c r="D2124" s="17">
        <f t="shared" si="1629"/>
        <v>50002</v>
      </c>
      <c r="E2124" s="17">
        <f t="shared" ref="E2124:H2124" si="1665">E2123</f>
        <v>2</v>
      </c>
      <c r="F2124" s="17">
        <f t="shared" si="1620"/>
        <v>2</v>
      </c>
      <c r="G2124" s="17" t="str">
        <f t="shared" si="1665"/>
        <v>烈焰之灵魔防百分比</v>
      </c>
      <c r="H2124" s="17" t="str">
        <f t="shared" si="1665"/>
        <v>fashi02_Lv3</v>
      </c>
      <c r="I2124" s="20">
        <v>1.5</v>
      </c>
      <c r="J2124" s="17">
        <v>6</v>
      </c>
      <c r="K2124" s="17">
        <f t="shared" si="1655"/>
        <v>51907</v>
      </c>
      <c r="L2124" s="17" t="s">
        <v>227</v>
      </c>
      <c r="M2124" s="17" t="str">
        <f t="shared" si="1658"/>
        <v>1:11600:5</v>
      </c>
      <c r="N2124" s="16" t="str">
        <f t="shared" si="1664"/>
        <v>10045:1</v>
      </c>
      <c r="O2124" s="17">
        <f t="shared" si="1621"/>
        <v>10</v>
      </c>
      <c r="P2124" s="21" t="s">
        <v>4946</v>
      </c>
      <c r="Q2124" s="21"/>
      <c r="R2124" t="s">
        <v>4898</v>
      </c>
      <c r="T2124" t="str">
        <f t="shared" si="1659"/>
        <v>:1</v>
      </c>
      <c r="U2124" t="str">
        <f t="shared" si="1654"/>
        <v>之灵</v>
      </c>
      <c r="V2124" t="s">
        <v>4939</v>
      </c>
      <c r="W2124">
        <f>属性类型!G2124</f>
        <v>10045</v>
      </c>
      <c r="X2124">
        <v>1</v>
      </c>
    </row>
    <row r="2125" customFormat="1" ht="16.5" spans="1:24">
      <c r="A2125" s="17">
        <f t="shared" si="1656"/>
        <v>51907</v>
      </c>
      <c r="B2125" s="17">
        <f t="shared" si="1628"/>
        <v>51900</v>
      </c>
      <c r="C2125" s="17" t="str">
        <f t="shared" si="1636"/>
        <v>5</v>
      </c>
      <c r="D2125" s="17">
        <f t="shared" si="1629"/>
        <v>50002</v>
      </c>
      <c r="E2125" s="17">
        <f t="shared" ref="E2125:H2125" si="1666">E2124</f>
        <v>2</v>
      </c>
      <c r="F2125" s="17">
        <f t="shared" si="1620"/>
        <v>2</v>
      </c>
      <c r="G2125" s="17" t="str">
        <f t="shared" si="1666"/>
        <v>烈焰之灵魔防百分比</v>
      </c>
      <c r="H2125" s="17" t="str">
        <f t="shared" si="1666"/>
        <v>fashi02_Lv3</v>
      </c>
      <c r="I2125" s="20">
        <v>1.5</v>
      </c>
      <c r="J2125" s="17">
        <v>7</v>
      </c>
      <c r="K2125" s="17">
        <f t="shared" si="1655"/>
        <v>51908</v>
      </c>
      <c r="L2125" s="17" t="s">
        <v>230</v>
      </c>
      <c r="M2125" s="17" t="str">
        <f t="shared" si="1658"/>
        <v>1:11600:5</v>
      </c>
      <c r="N2125" s="16" t="str">
        <f t="shared" si="1664"/>
        <v>10045:1</v>
      </c>
      <c r="O2125" s="17">
        <f t="shared" si="1621"/>
        <v>10</v>
      </c>
      <c r="P2125" s="21" t="s">
        <v>4947</v>
      </c>
      <c r="Q2125" s="21"/>
      <c r="R2125" t="s">
        <v>4898</v>
      </c>
      <c r="T2125" t="str">
        <f t="shared" si="1659"/>
        <v>:1</v>
      </c>
      <c r="U2125" t="str">
        <f t="shared" si="1654"/>
        <v>之灵</v>
      </c>
      <c r="V2125" t="s">
        <v>4939</v>
      </c>
      <c r="W2125">
        <f>属性类型!G2125</f>
        <v>10045</v>
      </c>
      <c r="X2125">
        <v>1</v>
      </c>
    </row>
    <row r="2126" customFormat="1" ht="16.5" spans="1:24">
      <c r="A2126" s="17">
        <f t="shared" si="1656"/>
        <v>51908</v>
      </c>
      <c r="B2126" s="17">
        <f t="shared" si="1628"/>
        <v>51900</v>
      </c>
      <c r="C2126" s="17" t="str">
        <f t="shared" si="1636"/>
        <v>5</v>
      </c>
      <c r="D2126" s="17">
        <f t="shared" si="1629"/>
        <v>50002</v>
      </c>
      <c r="E2126" s="17">
        <f t="shared" ref="E2126:H2126" si="1667">E2125</f>
        <v>2</v>
      </c>
      <c r="F2126" s="17">
        <f t="shared" si="1620"/>
        <v>2</v>
      </c>
      <c r="G2126" s="17" t="str">
        <f t="shared" si="1667"/>
        <v>烈焰之灵魔防百分比</v>
      </c>
      <c r="H2126" s="17" t="str">
        <f t="shared" si="1667"/>
        <v>fashi02_Lv3</v>
      </c>
      <c r="I2126" s="20">
        <v>1.5</v>
      </c>
      <c r="J2126" s="17">
        <v>8</v>
      </c>
      <c r="K2126" s="17">
        <f t="shared" si="1655"/>
        <v>51909</v>
      </c>
      <c r="L2126" s="17" t="s">
        <v>233</v>
      </c>
      <c r="M2126" s="17" t="str">
        <f t="shared" si="1658"/>
        <v>1:11600:5</v>
      </c>
      <c r="N2126" s="16" t="str">
        <f t="shared" si="1664"/>
        <v>10045:1</v>
      </c>
      <c r="O2126" s="17">
        <f t="shared" si="1621"/>
        <v>10</v>
      </c>
      <c r="P2126" s="21" t="s">
        <v>4948</v>
      </c>
      <c r="Q2126" s="21"/>
      <c r="R2126" t="s">
        <v>4898</v>
      </c>
      <c r="T2126" t="str">
        <f t="shared" si="1659"/>
        <v>:1</v>
      </c>
      <c r="U2126" t="str">
        <f t="shared" si="1654"/>
        <v>之灵</v>
      </c>
      <c r="V2126" t="s">
        <v>4939</v>
      </c>
      <c r="W2126">
        <f>属性类型!G2126</f>
        <v>10045</v>
      </c>
      <c r="X2126">
        <v>1</v>
      </c>
    </row>
    <row r="2127" customFormat="1" ht="16.5" spans="1:24">
      <c r="A2127" s="17">
        <f t="shared" si="1656"/>
        <v>51909</v>
      </c>
      <c r="B2127" s="17">
        <f t="shared" si="1628"/>
        <v>51900</v>
      </c>
      <c r="C2127" s="17" t="str">
        <f t="shared" si="1636"/>
        <v>5</v>
      </c>
      <c r="D2127" s="17">
        <f t="shared" si="1629"/>
        <v>50002</v>
      </c>
      <c r="E2127" s="17">
        <f t="shared" ref="E2127:H2127" si="1668">E2126</f>
        <v>2</v>
      </c>
      <c r="F2127" s="17">
        <f t="shared" si="1620"/>
        <v>2</v>
      </c>
      <c r="G2127" s="17" t="str">
        <f t="shared" si="1668"/>
        <v>烈焰之灵魔防百分比</v>
      </c>
      <c r="H2127" s="17" t="str">
        <f t="shared" si="1668"/>
        <v>fashi02_Lv3</v>
      </c>
      <c r="I2127" s="20">
        <v>1.5</v>
      </c>
      <c r="J2127" s="17">
        <v>9</v>
      </c>
      <c r="K2127" s="17">
        <f t="shared" si="1655"/>
        <v>51910</v>
      </c>
      <c r="L2127" s="17" t="s">
        <v>236</v>
      </c>
      <c r="M2127" s="17" t="str">
        <f t="shared" si="1658"/>
        <v>1:11600:5</v>
      </c>
      <c r="N2127" s="16" t="str">
        <f t="shared" si="1664"/>
        <v>10045:1</v>
      </c>
      <c r="O2127" s="17">
        <f t="shared" si="1621"/>
        <v>10</v>
      </c>
      <c r="P2127" s="21" t="s">
        <v>4949</v>
      </c>
      <c r="Q2127" s="21"/>
      <c r="R2127" t="s">
        <v>4898</v>
      </c>
      <c r="T2127" t="str">
        <f t="shared" si="1659"/>
        <v>:1</v>
      </c>
      <c r="U2127" t="str">
        <f t="shared" si="1654"/>
        <v>之灵</v>
      </c>
      <c r="V2127" t="s">
        <v>4939</v>
      </c>
      <c r="W2127">
        <f>属性类型!G2127</f>
        <v>10045</v>
      </c>
      <c r="X2127">
        <v>1</v>
      </c>
    </row>
    <row r="2128" customFormat="1" ht="16.5" spans="1:24">
      <c r="A2128" s="17">
        <f t="shared" si="1656"/>
        <v>51910</v>
      </c>
      <c r="B2128" s="17">
        <f t="shared" si="1628"/>
        <v>51900</v>
      </c>
      <c r="C2128" s="17" t="str">
        <f t="shared" si="1636"/>
        <v>5</v>
      </c>
      <c r="D2128" s="17">
        <f t="shared" si="1629"/>
        <v>50002</v>
      </c>
      <c r="E2128" s="17">
        <f t="shared" ref="E2128:H2128" si="1669">E2127</f>
        <v>2</v>
      </c>
      <c r="F2128" s="17">
        <f t="shared" ref="F2128:F2191" si="1670">MID(B2128,2,1)+1</f>
        <v>2</v>
      </c>
      <c r="G2128" s="17" t="str">
        <f t="shared" si="1669"/>
        <v>烈焰之灵魔防百分比</v>
      </c>
      <c r="H2128" s="17" t="str">
        <f t="shared" si="1669"/>
        <v>fashi02_Lv3</v>
      </c>
      <c r="I2128" s="20">
        <v>1.5</v>
      </c>
      <c r="J2128" s="17">
        <v>10</v>
      </c>
      <c r="K2128" s="17">
        <f t="shared" si="1655"/>
        <v>51911</v>
      </c>
      <c r="L2128" s="17" t="s">
        <v>238</v>
      </c>
      <c r="M2128" s="17" t="str">
        <f t="shared" si="1658"/>
        <v>1:11600:5</v>
      </c>
      <c r="N2128" s="16" t="str">
        <f t="shared" si="1664"/>
        <v>10045:1</v>
      </c>
      <c r="O2128" s="17">
        <f t="shared" ref="O2128:O2191" si="1671">MID(A2128,3,1)+1</f>
        <v>10</v>
      </c>
      <c r="P2128" s="21" t="s">
        <v>4950</v>
      </c>
      <c r="Q2128" s="21"/>
      <c r="R2128" t="s">
        <v>4898</v>
      </c>
      <c r="T2128" t="str">
        <f t="shared" si="1659"/>
        <v>:1</v>
      </c>
      <c r="U2128" t="str">
        <f t="shared" si="1654"/>
        <v>之灵</v>
      </c>
      <c r="V2128" t="s">
        <v>4939</v>
      </c>
      <c r="W2128">
        <f>属性类型!G2128</f>
        <v>10045</v>
      </c>
      <c r="X2128">
        <v>1</v>
      </c>
    </row>
    <row r="2129" customFormat="1" ht="16.5" spans="1:24">
      <c r="A2129" s="17">
        <f t="shared" si="1656"/>
        <v>51911</v>
      </c>
      <c r="B2129" s="17">
        <f t="shared" si="1628"/>
        <v>51900</v>
      </c>
      <c r="C2129" s="17" t="str">
        <f t="shared" si="1636"/>
        <v>5</v>
      </c>
      <c r="D2129" s="17">
        <f t="shared" si="1629"/>
        <v>50002</v>
      </c>
      <c r="E2129" s="17">
        <f t="shared" ref="E2129:H2129" si="1672">E2128</f>
        <v>2</v>
      </c>
      <c r="F2129" s="17">
        <f t="shared" si="1670"/>
        <v>2</v>
      </c>
      <c r="G2129" s="17" t="str">
        <f t="shared" si="1672"/>
        <v>烈焰之灵魔防百分比</v>
      </c>
      <c r="H2129" s="17" t="str">
        <f t="shared" si="1672"/>
        <v>fashi02_Lv3</v>
      </c>
      <c r="I2129" s="20">
        <v>1.5</v>
      </c>
      <c r="J2129" s="17">
        <v>11</v>
      </c>
      <c r="K2129" s="17">
        <f t="shared" si="1655"/>
        <v>51912</v>
      </c>
      <c r="L2129" s="17" t="s">
        <v>529</v>
      </c>
      <c r="M2129" s="17" t="str">
        <f t="shared" si="1658"/>
        <v>1:11600:5</v>
      </c>
      <c r="N2129" s="16" t="str">
        <f t="shared" si="1664"/>
        <v>10045:1</v>
      </c>
      <c r="O2129" s="17">
        <f t="shared" si="1671"/>
        <v>10</v>
      </c>
      <c r="P2129" s="21" t="s">
        <v>4951</v>
      </c>
      <c r="Q2129" s="21"/>
      <c r="R2129" t="s">
        <v>4898</v>
      </c>
      <c r="T2129" t="str">
        <f t="shared" si="1659"/>
        <v>:1</v>
      </c>
      <c r="U2129" t="str">
        <f t="shared" si="1654"/>
        <v>之灵</v>
      </c>
      <c r="V2129" t="s">
        <v>4939</v>
      </c>
      <c r="W2129">
        <f>属性类型!G2129</f>
        <v>10045</v>
      </c>
      <c r="X2129">
        <v>1</v>
      </c>
    </row>
    <row r="2130" customFormat="1" ht="16.5" spans="1:24">
      <c r="A2130" s="17">
        <f t="shared" si="1656"/>
        <v>51912</v>
      </c>
      <c r="B2130" s="17">
        <f t="shared" si="1628"/>
        <v>51900</v>
      </c>
      <c r="C2130" s="17" t="str">
        <f t="shared" si="1636"/>
        <v>5</v>
      </c>
      <c r="D2130" s="17">
        <f t="shared" si="1629"/>
        <v>50002</v>
      </c>
      <c r="E2130" s="17">
        <f t="shared" ref="E2130:H2130" si="1673">E2129</f>
        <v>2</v>
      </c>
      <c r="F2130" s="17">
        <f t="shared" si="1670"/>
        <v>2</v>
      </c>
      <c r="G2130" s="17" t="str">
        <f t="shared" si="1673"/>
        <v>烈焰之灵魔防百分比</v>
      </c>
      <c r="H2130" s="17" t="str">
        <f t="shared" si="1673"/>
        <v>fashi02_Lv3</v>
      </c>
      <c r="I2130" s="20">
        <v>1.5</v>
      </c>
      <c r="J2130" s="17">
        <v>12</v>
      </c>
      <c r="K2130" s="17">
        <f t="shared" si="1655"/>
        <v>51913</v>
      </c>
      <c r="L2130" s="17" t="s">
        <v>532</v>
      </c>
      <c r="M2130" s="17" t="str">
        <f t="shared" si="1658"/>
        <v>1:11600:5</v>
      </c>
      <c r="N2130" s="16" t="str">
        <f t="shared" si="1664"/>
        <v>10045:1</v>
      </c>
      <c r="O2130" s="17">
        <f t="shared" si="1671"/>
        <v>10</v>
      </c>
      <c r="P2130" s="21" t="s">
        <v>4952</v>
      </c>
      <c r="Q2130" s="21"/>
      <c r="R2130" t="s">
        <v>4898</v>
      </c>
      <c r="T2130" t="str">
        <f t="shared" si="1659"/>
        <v>:1</v>
      </c>
      <c r="U2130" t="str">
        <f t="shared" si="1654"/>
        <v>之灵</v>
      </c>
      <c r="V2130" t="s">
        <v>4939</v>
      </c>
      <c r="W2130">
        <f>属性类型!G2130</f>
        <v>10045</v>
      </c>
      <c r="X2130">
        <v>1</v>
      </c>
    </row>
    <row r="2131" customFormat="1" ht="16.5" spans="1:24">
      <c r="A2131" s="17">
        <f t="shared" si="1656"/>
        <v>51913</v>
      </c>
      <c r="B2131" s="17">
        <f t="shared" si="1628"/>
        <v>51900</v>
      </c>
      <c r="C2131" s="17" t="str">
        <f t="shared" si="1636"/>
        <v>5</v>
      </c>
      <c r="D2131" s="17">
        <f t="shared" si="1629"/>
        <v>50002</v>
      </c>
      <c r="E2131" s="17">
        <f t="shared" ref="E2131:H2131" si="1674">E2130</f>
        <v>2</v>
      </c>
      <c r="F2131" s="17">
        <f t="shared" si="1670"/>
        <v>2</v>
      </c>
      <c r="G2131" s="17" t="str">
        <f t="shared" si="1674"/>
        <v>烈焰之灵魔防百分比</v>
      </c>
      <c r="H2131" s="17" t="str">
        <f t="shared" si="1674"/>
        <v>fashi02_Lv3</v>
      </c>
      <c r="I2131" s="20">
        <v>1.5</v>
      </c>
      <c r="J2131" s="17">
        <v>13</v>
      </c>
      <c r="K2131" s="17">
        <f t="shared" si="1655"/>
        <v>51914</v>
      </c>
      <c r="L2131" s="17" t="s">
        <v>561</v>
      </c>
      <c r="M2131" s="17" t="str">
        <f t="shared" si="1658"/>
        <v>1:11600:5</v>
      </c>
      <c r="N2131" s="16" t="str">
        <f t="shared" si="1664"/>
        <v>10045:1</v>
      </c>
      <c r="O2131" s="17">
        <f t="shared" si="1671"/>
        <v>10</v>
      </c>
      <c r="P2131" s="21" t="s">
        <v>4953</v>
      </c>
      <c r="Q2131" s="21"/>
      <c r="R2131" t="s">
        <v>4898</v>
      </c>
      <c r="T2131" t="str">
        <f t="shared" si="1659"/>
        <v>:1</v>
      </c>
      <c r="U2131" t="str">
        <f t="shared" si="1654"/>
        <v>之灵</v>
      </c>
      <c r="V2131" t="s">
        <v>4939</v>
      </c>
      <c r="W2131">
        <f>属性类型!G2131</f>
        <v>10045</v>
      </c>
      <c r="X2131">
        <v>1</v>
      </c>
    </row>
    <row r="2132" customFormat="1" ht="16.5" spans="1:24">
      <c r="A2132" s="17">
        <f t="shared" si="1656"/>
        <v>51914</v>
      </c>
      <c r="B2132" s="17">
        <f t="shared" si="1628"/>
        <v>51900</v>
      </c>
      <c r="C2132" s="17" t="str">
        <f t="shared" si="1636"/>
        <v>5</v>
      </c>
      <c r="D2132" s="17">
        <f t="shared" si="1629"/>
        <v>50002</v>
      </c>
      <c r="E2132" s="17">
        <f t="shared" ref="E2132:H2132" si="1675">E2131</f>
        <v>2</v>
      </c>
      <c r="F2132" s="17">
        <f t="shared" si="1670"/>
        <v>2</v>
      </c>
      <c r="G2132" s="17" t="str">
        <f t="shared" si="1675"/>
        <v>烈焰之灵魔防百分比</v>
      </c>
      <c r="H2132" s="17" t="str">
        <f t="shared" si="1675"/>
        <v>fashi02_Lv3</v>
      </c>
      <c r="I2132" s="20">
        <v>1.5</v>
      </c>
      <c r="J2132" s="17">
        <v>14</v>
      </c>
      <c r="K2132" s="17">
        <f t="shared" si="1655"/>
        <v>51915</v>
      </c>
      <c r="L2132" s="17" t="s">
        <v>564</v>
      </c>
      <c r="M2132" s="17" t="str">
        <f t="shared" si="1658"/>
        <v>1:11600:5</v>
      </c>
      <c r="N2132" s="16" t="str">
        <f t="shared" si="1664"/>
        <v>10045:1</v>
      </c>
      <c r="O2132" s="17">
        <f t="shared" si="1671"/>
        <v>10</v>
      </c>
      <c r="P2132" s="21" t="s">
        <v>4954</v>
      </c>
      <c r="Q2132" s="21"/>
      <c r="R2132" t="s">
        <v>4898</v>
      </c>
      <c r="T2132" t="str">
        <f t="shared" si="1659"/>
        <v>:1</v>
      </c>
      <c r="U2132" t="str">
        <f t="shared" si="1654"/>
        <v>之灵</v>
      </c>
      <c r="V2132" t="s">
        <v>4939</v>
      </c>
      <c r="W2132">
        <f>属性类型!G2132</f>
        <v>10045</v>
      </c>
      <c r="X2132">
        <v>1</v>
      </c>
    </row>
    <row r="2133" customFormat="1" ht="16.5" spans="1:24">
      <c r="A2133" s="17">
        <f t="shared" si="1656"/>
        <v>51915</v>
      </c>
      <c r="B2133" s="17">
        <f t="shared" si="1628"/>
        <v>51900</v>
      </c>
      <c r="C2133" s="17" t="str">
        <f t="shared" si="1636"/>
        <v>5</v>
      </c>
      <c r="D2133" s="17">
        <f t="shared" si="1629"/>
        <v>50002</v>
      </c>
      <c r="E2133" s="17">
        <f t="shared" ref="E2133:H2133" si="1676">E2132</f>
        <v>2</v>
      </c>
      <c r="F2133" s="17">
        <f t="shared" si="1670"/>
        <v>2</v>
      </c>
      <c r="G2133" s="17" t="str">
        <f t="shared" si="1676"/>
        <v>烈焰之灵魔防百分比</v>
      </c>
      <c r="H2133" s="17" t="str">
        <f t="shared" si="1676"/>
        <v>fashi02_Lv3</v>
      </c>
      <c r="I2133" s="20">
        <v>1.5</v>
      </c>
      <c r="J2133" s="17">
        <v>15</v>
      </c>
      <c r="K2133" s="17">
        <f t="shared" si="1655"/>
        <v>51916</v>
      </c>
      <c r="L2133" s="17" t="s">
        <v>630</v>
      </c>
      <c r="M2133" s="17" t="str">
        <f t="shared" si="1658"/>
        <v>1:11600:5</v>
      </c>
      <c r="N2133" s="16" t="str">
        <f t="shared" si="1664"/>
        <v>10045:1</v>
      </c>
      <c r="O2133" s="17">
        <f t="shared" si="1671"/>
        <v>10</v>
      </c>
      <c r="P2133" s="21" t="s">
        <v>4955</v>
      </c>
      <c r="Q2133" s="21"/>
      <c r="R2133" t="s">
        <v>4898</v>
      </c>
      <c r="T2133" t="str">
        <f t="shared" si="1659"/>
        <v>:1</v>
      </c>
      <c r="U2133" t="str">
        <f t="shared" si="1654"/>
        <v>之灵</v>
      </c>
      <c r="V2133" t="s">
        <v>4939</v>
      </c>
      <c r="W2133">
        <f>属性类型!G2133</f>
        <v>10045</v>
      </c>
      <c r="X2133">
        <v>1</v>
      </c>
    </row>
    <row r="2134" customFormat="1" ht="16.5" spans="1:24">
      <c r="A2134" s="17">
        <f t="shared" si="1656"/>
        <v>51916</v>
      </c>
      <c r="B2134" s="17">
        <f t="shared" si="1628"/>
        <v>51900</v>
      </c>
      <c r="C2134" s="17" t="str">
        <f t="shared" si="1636"/>
        <v>5</v>
      </c>
      <c r="D2134" s="17">
        <f t="shared" si="1629"/>
        <v>50002</v>
      </c>
      <c r="E2134" s="17">
        <f t="shared" ref="E2134:H2134" si="1677">E2133</f>
        <v>2</v>
      </c>
      <c r="F2134" s="17">
        <f t="shared" si="1670"/>
        <v>2</v>
      </c>
      <c r="G2134" s="17" t="str">
        <f t="shared" si="1677"/>
        <v>烈焰之灵魔防百分比</v>
      </c>
      <c r="H2134" s="17" t="str">
        <f t="shared" si="1677"/>
        <v>fashi02_Lv3</v>
      </c>
      <c r="I2134" s="20">
        <v>1.5</v>
      </c>
      <c r="J2134" s="17">
        <v>16</v>
      </c>
      <c r="K2134" s="17">
        <f t="shared" si="1655"/>
        <v>51917</v>
      </c>
      <c r="L2134" s="17" t="s">
        <v>633</v>
      </c>
      <c r="M2134" s="17" t="str">
        <f t="shared" si="1658"/>
        <v>1:11600:5</v>
      </c>
      <c r="N2134" s="16" t="str">
        <f t="shared" si="1664"/>
        <v>10045:1</v>
      </c>
      <c r="O2134" s="17">
        <f t="shared" si="1671"/>
        <v>10</v>
      </c>
      <c r="P2134" s="21" t="s">
        <v>4956</v>
      </c>
      <c r="Q2134" s="21"/>
      <c r="R2134" t="s">
        <v>4898</v>
      </c>
      <c r="T2134" t="str">
        <f t="shared" si="1659"/>
        <v>:1</v>
      </c>
      <c r="U2134" t="str">
        <f t="shared" si="1654"/>
        <v>之灵</v>
      </c>
      <c r="V2134" t="s">
        <v>4939</v>
      </c>
      <c r="W2134">
        <f>属性类型!G2134</f>
        <v>10045</v>
      </c>
      <c r="X2134">
        <v>1</v>
      </c>
    </row>
    <row r="2135" customFormat="1" ht="16.5" spans="1:24">
      <c r="A2135" s="17">
        <f t="shared" si="1656"/>
        <v>51917</v>
      </c>
      <c r="B2135" s="17">
        <f t="shared" si="1628"/>
        <v>51900</v>
      </c>
      <c r="C2135" s="17" t="str">
        <f t="shared" si="1636"/>
        <v>5</v>
      </c>
      <c r="D2135" s="17">
        <f t="shared" si="1629"/>
        <v>50002</v>
      </c>
      <c r="E2135" s="17">
        <f t="shared" ref="E2135:H2135" si="1678">E2134</f>
        <v>2</v>
      </c>
      <c r="F2135" s="17">
        <f t="shared" si="1670"/>
        <v>2</v>
      </c>
      <c r="G2135" s="17" t="str">
        <f t="shared" si="1678"/>
        <v>烈焰之灵魔防百分比</v>
      </c>
      <c r="H2135" s="17" t="str">
        <f t="shared" si="1678"/>
        <v>fashi02_Lv3</v>
      </c>
      <c r="I2135" s="20">
        <v>1.5</v>
      </c>
      <c r="J2135" s="17">
        <v>17</v>
      </c>
      <c r="K2135" s="17">
        <f t="shared" si="1655"/>
        <v>51918</v>
      </c>
      <c r="L2135" s="17" t="s">
        <v>637</v>
      </c>
      <c r="M2135" s="17" t="str">
        <f t="shared" si="1658"/>
        <v>1:11600:5</v>
      </c>
      <c r="N2135" s="16" t="str">
        <f t="shared" si="1664"/>
        <v>10045:1</v>
      </c>
      <c r="O2135" s="17">
        <f t="shared" si="1671"/>
        <v>10</v>
      </c>
      <c r="P2135" s="21" t="s">
        <v>4957</v>
      </c>
      <c r="Q2135" s="21"/>
      <c r="R2135" t="s">
        <v>4898</v>
      </c>
      <c r="T2135" t="str">
        <f t="shared" si="1659"/>
        <v>:1</v>
      </c>
      <c r="U2135" t="str">
        <f t="shared" si="1654"/>
        <v>之灵</v>
      </c>
      <c r="V2135" t="s">
        <v>4939</v>
      </c>
      <c r="W2135">
        <f>属性类型!G2135</f>
        <v>10045</v>
      </c>
      <c r="X2135">
        <v>1</v>
      </c>
    </row>
    <row r="2136" customFormat="1" ht="16.5" spans="1:24">
      <c r="A2136" s="17">
        <f t="shared" si="1656"/>
        <v>51918</v>
      </c>
      <c r="B2136" s="17">
        <f t="shared" si="1628"/>
        <v>51900</v>
      </c>
      <c r="C2136" s="17" t="str">
        <f t="shared" si="1636"/>
        <v>5</v>
      </c>
      <c r="D2136" s="17">
        <f t="shared" si="1629"/>
        <v>50002</v>
      </c>
      <c r="E2136" s="17">
        <f t="shared" ref="E2136:H2136" si="1679">E2135</f>
        <v>2</v>
      </c>
      <c r="F2136" s="17">
        <f t="shared" si="1670"/>
        <v>2</v>
      </c>
      <c r="G2136" s="17" t="str">
        <f t="shared" si="1679"/>
        <v>烈焰之灵魔防百分比</v>
      </c>
      <c r="H2136" s="17" t="str">
        <f t="shared" si="1679"/>
        <v>fashi02_Lv3</v>
      </c>
      <c r="I2136" s="20">
        <v>1.5</v>
      </c>
      <c r="J2136" s="17">
        <v>18</v>
      </c>
      <c r="K2136" s="17">
        <f t="shared" si="1655"/>
        <v>51919</v>
      </c>
      <c r="L2136" s="17" t="s">
        <v>641</v>
      </c>
      <c r="M2136" s="17" t="str">
        <f t="shared" si="1658"/>
        <v>1:11600:5</v>
      </c>
      <c r="N2136" s="16" t="str">
        <f t="shared" si="1664"/>
        <v>10045:1</v>
      </c>
      <c r="O2136" s="17">
        <f t="shared" si="1671"/>
        <v>10</v>
      </c>
      <c r="P2136" s="21" t="s">
        <v>4958</v>
      </c>
      <c r="Q2136" s="21"/>
      <c r="R2136" t="s">
        <v>4898</v>
      </c>
      <c r="T2136" t="str">
        <f t="shared" si="1659"/>
        <v>:1</v>
      </c>
      <c r="U2136" t="str">
        <f t="shared" si="1654"/>
        <v>之灵</v>
      </c>
      <c r="V2136" t="s">
        <v>4939</v>
      </c>
      <c r="W2136">
        <f>属性类型!G2136</f>
        <v>10045</v>
      </c>
      <c r="X2136">
        <v>1</v>
      </c>
    </row>
    <row r="2137" customFormat="1" ht="16.5" spans="1:24">
      <c r="A2137" s="17">
        <f t="shared" si="1656"/>
        <v>51919</v>
      </c>
      <c r="B2137" s="17">
        <f t="shared" si="1628"/>
        <v>51900</v>
      </c>
      <c r="C2137" s="17" t="str">
        <f t="shared" si="1636"/>
        <v>5</v>
      </c>
      <c r="D2137" s="17">
        <f t="shared" si="1629"/>
        <v>50002</v>
      </c>
      <c r="E2137" s="17">
        <f t="shared" ref="E2137:H2137" si="1680">E2136</f>
        <v>2</v>
      </c>
      <c r="F2137" s="17">
        <f t="shared" si="1670"/>
        <v>2</v>
      </c>
      <c r="G2137" s="17" t="str">
        <f t="shared" si="1680"/>
        <v>烈焰之灵魔防百分比</v>
      </c>
      <c r="H2137" s="17" t="str">
        <f t="shared" si="1680"/>
        <v>fashi02_Lv3</v>
      </c>
      <c r="I2137" s="20">
        <v>1.5</v>
      </c>
      <c r="J2137" s="17">
        <v>19</v>
      </c>
      <c r="K2137" s="17">
        <f t="shared" si="1655"/>
        <v>51920</v>
      </c>
      <c r="L2137" s="17" t="s">
        <v>645</v>
      </c>
      <c r="M2137" s="17" t="str">
        <f t="shared" si="1658"/>
        <v>1:11600:5</v>
      </c>
      <c r="N2137" s="16" t="str">
        <f t="shared" si="1664"/>
        <v>10045:1</v>
      </c>
      <c r="O2137" s="17">
        <f t="shared" si="1671"/>
        <v>10</v>
      </c>
      <c r="P2137" s="21" t="s">
        <v>4959</v>
      </c>
      <c r="Q2137" s="21"/>
      <c r="R2137" t="s">
        <v>4898</v>
      </c>
      <c r="T2137" t="str">
        <f t="shared" si="1659"/>
        <v>:1</v>
      </c>
      <c r="U2137" t="str">
        <f t="shared" si="1654"/>
        <v>之灵</v>
      </c>
      <c r="V2137" t="s">
        <v>4939</v>
      </c>
      <c r="W2137">
        <f>属性类型!G2137</f>
        <v>10045</v>
      </c>
      <c r="X2137">
        <v>1</v>
      </c>
    </row>
    <row r="2138" customFormat="1" ht="16.5" spans="1:24">
      <c r="A2138" s="17">
        <f t="shared" si="1656"/>
        <v>51920</v>
      </c>
      <c r="B2138" s="17">
        <f t="shared" si="1628"/>
        <v>51900</v>
      </c>
      <c r="C2138" s="17" t="str">
        <f t="shared" si="1636"/>
        <v>5</v>
      </c>
      <c r="D2138" s="17">
        <f t="shared" si="1629"/>
        <v>50002</v>
      </c>
      <c r="E2138" s="17">
        <f t="shared" ref="E2138:H2138" si="1681">E2137</f>
        <v>2</v>
      </c>
      <c r="F2138" s="17">
        <f t="shared" si="1670"/>
        <v>2</v>
      </c>
      <c r="G2138" s="17" t="str">
        <f t="shared" si="1681"/>
        <v>烈焰之灵魔防百分比</v>
      </c>
      <c r="H2138" s="17" t="str">
        <f t="shared" si="1681"/>
        <v>fashi02_Lv3</v>
      </c>
      <c r="I2138" s="20">
        <v>1.5</v>
      </c>
      <c r="J2138" s="17">
        <v>20</v>
      </c>
      <c r="K2138" s="17">
        <v>0</v>
      </c>
      <c r="L2138" s="17">
        <v>0</v>
      </c>
      <c r="M2138" s="17" t="str">
        <f t="shared" si="1658"/>
        <v>1:11600:5</v>
      </c>
      <c r="N2138" s="16" t="str">
        <f t="shared" si="1664"/>
        <v>10045:1</v>
      </c>
      <c r="O2138" s="17">
        <f t="shared" si="1671"/>
        <v>10</v>
      </c>
      <c r="P2138" s="21" t="s">
        <v>4959</v>
      </c>
      <c r="Q2138" s="21"/>
      <c r="R2138" t="s">
        <v>4898</v>
      </c>
      <c r="T2138" t="str">
        <f t="shared" si="1659"/>
        <v>:1</v>
      </c>
      <c r="U2138" t="str">
        <f t="shared" si="1654"/>
        <v>之灵</v>
      </c>
      <c r="V2138" t="s">
        <v>4939</v>
      </c>
      <c r="W2138">
        <f>属性类型!G2138</f>
        <v>10045</v>
      </c>
      <c r="X2138">
        <v>1</v>
      </c>
    </row>
    <row r="2139" customFormat="1" ht="16.5" spans="1:24">
      <c r="A2139" s="18">
        <f>A2118+100</f>
        <v>52000</v>
      </c>
      <c r="B2139" s="18">
        <f t="shared" ref="B2139:B2158" si="1682">ROUND(A2139,-2)</f>
        <v>52000</v>
      </c>
      <c r="C2139" s="18" t="str">
        <f t="shared" ref="C2139:C2179" si="1683">LEFT(A2139,1)</f>
        <v>5</v>
      </c>
      <c r="D2139" s="17">
        <f t="shared" ref="D2139:D2166" si="1684">$A$1864+F2139</f>
        <v>50003</v>
      </c>
      <c r="E2139" s="17">
        <v>1</v>
      </c>
      <c r="F2139" s="18">
        <f t="shared" si="1670"/>
        <v>3</v>
      </c>
      <c r="G2139" s="18" t="s">
        <v>515</v>
      </c>
      <c r="H2139" s="18" t="s">
        <v>38</v>
      </c>
      <c r="I2139" s="20">
        <v>0</v>
      </c>
      <c r="J2139" s="18">
        <v>0</v>
      </c>
      <c r="K2139" s="18">
        <f t="shared" ref="K2139:K2153" si="1685">A2140</f>
        <v>52001</v>
      </c>
      <c r="L2139" s="18" t="s">
        <v>206</v>
      </c>
      <c r="M2139" s="18" t="s">
        <v>517</v>
      </c>
      <c r="N2139" s="16" t="str">
        <f t="shared" si="1664"/>
        <v>141:1</v>
      </c>
      <c r="O2139" s="18">
        <f t="shared" si="1671"/>
        <v>1</v>
      </c>
      <c r="P2139" s="21" t="str">
        <f t="shared" ref="P2122:P2185" si="1686">$S$2&amp;R2139&amp;$Q$1&amp;T2139</f>
        <v>所有牧师和法师生命增加1</v>
      </c>
      <c r="Q2139" s="21"/>
      <c r="R2139" t="s">
        <v>4270</v>
      </c>
      <c r="T2139" t="str">
        <f>RIGHT(N2139,1)</f>
        <v>1</v>
      </c>
      <c r="U2139" t="str">
        <f t="shared" si="1654"/>
        <v>牧师</v>
      </c>
      <c r="V2139" t="s">
        <v>4824</v>
      </c>
      <c r="W2139">
        <f>属性类型!G2139</f>
        <v>141</v>
      </c>
      <c r="X2139">
        <v>1</v>
      </c>
    </row>
    <row r="2140" customFormat="1" ht="16.5" spans="1:24">
      <c r="A2140" s="17">
        <f t="shared" ref="A2140:A2154" si="1687">A2139+1</f>
        <v>52001</v>
      </c>
      <c r="B2140" s="17">
        <f t="shared" si="1682"/>
        <v>52000</v>
      </c>
      <c r="C2140" s="17" t="str">
        <f t="shared" si="1683"/>
        <v>5</v>
      </c>
      <c r="D2140" s="17">
        <f t="shared" si="1684"/>
        <v>50003</v>
      </c>
      <c r="E2140" s="17">
        <v>1</v>
      </c>
      <c r="F2140" s="17">
        <f t="shared" si="1670"/>
        <v>3</v>
      </c>
      <c r="G2140" s="17" t="str">
        <f t="shared" ref="G2140:G2154" si="1688">G2139</f>
        <v>高级生命</v>
      </c>
      <c r="H2140" s="17" t="str">
        <f t="shared" ref="H2140:H2154" si="1689">H2139</f>
        <v>icon_01</v>
      </c>
      <c r="I2140" s="20">
        <v>0</v>
      </c>
      <c r="J2140" s="17">
        <v>1</v>
      </c>
      <c r="K2140" s="17">
        <f t="shared" si="1685"/>
        <v>52002</v>
      </c>
      <c r="L2140" s="17" t="s">
        <v>211</v>
      </c>
      <c r="M2140" s="17" t="str">
        <f t="shared" ref="M2140:M2154" si="1690">M2139</f>
        <v>2:10001:50</v>
      </c>
      <c r="N2140" s="16" t="str">
        <f t="shared" si="1664"/>
        <v>141:1</v>
      </c>
      <c r="O2140" s="17">
        <f t="shared" si="1671"/>
        <v>1</v>
      </c>
      <c r="P2140" s="21" t="str">
        <f t="shared" si="1686"/>
        <v>所有牧师和法师生命增加:1</v>
      </c>
      <c r="Q2140" s="21"/>
      <c r="R2140" t="str">
        <f t="shared" ref="R2140:R2154" si="1691">R2139</f>
        <v>生命</v>
      </c>
      <c r="T2140" t="str">
        <f t="shared" ref="T2140:T2154" si="1692">RIGHT(N2140,2)</f>
        <v>:1</v>
      </c>
      <c r="U2140" t="str">
        <f t="shared" si="1654"/>
        <v>牧师</v>
      </c>
      <c r="V2140" t="s">
        <v>4824</v>
      </c>
      <c r="W2140">
        <f>属性类型!G2140</f>
        <v>141</v>
      </c>
      <c r="X2140">
        <v>1</v>
      </c>
    </row>
    <row r="2141" customFormat="1" ht="16.5" spans="1:24">
      <c r="A2141" s="17">
        <f t="shared" si="1687"/>
        <v>52002</v>
      </c>
      <c r="B2141" s="17">
        <f t="shared" si="1682"/>
        <v>52000</v>
      </c>
      <c r="C2141" s="17" t="str">
        <f t="shared" si="1683"/>
        <v>5</v>
      </c>
      <c r="D2141" s="17">
        <f t="shared" si="1684"/>
        <v>50003</v>
      </c>
      <c r="E2141" s="17">
        <v>1</v>
      </c>
      <c r="F2141" s="17">
        <f t="shared" si="1670"/>
        <v>3</v>
      </c>
      <c r="G2141" s="17" t="str">
        <f t="shared" si="1688"/>
        <v>高级生命</v>
      </c>
      <c r="H2141" s="17" t="str">
        <f t="shared" si="1689"/>
        <v>icon_01</v>
      </c>
      <c r="I2141" s="20">
        <v>0</v>
      </c>
      <c r="J2141" s="17">
        <v>2</v>
      </c>
      <c r="K2141" s="17">
        <f t="shared" si="1685"/>
        <v>52003</v>
      </c>
      <c r="L2141" s="17" t="s">
        <v>215</v>
      </c>
      <c r="M2141" s="17" t="str">
        <f t="shared" si="1690"/>
        <v>2:10001:50</v>
      </c>
      <c r="N2141" s="16" t="str">
        <f t="shared" si="1664"/>
        <v>141:1</v>
      </c>
      <c r="O2141" s="17">
        <f t="shared" si="1671"/>
        <v>1</v>
      </c>
      <c r="P2141" s="21" t="str">
        <f t="shared" si="1686"/>
        <v>所有牧师和法师生命增加:1</v>
      </c>
      <c r="Q2141" s="21"/>
      <c r="R2141" t="str">
        <f t="shared" si="1691"/>
        <v>生命</v>
      </c>
      <c r="T2141" t="str">
        <f t="shared" si="1692"/>
        <v>:1</v>
      </c>
      <c r="U2141" t="str">
        <f t="shared" si="1654"/>
        <v>牧师</v>
      </c>
      <c r="V2141" t="s">
        <v>4824</v>
      </c>
      <c r="W2141">
        <f>属性类型!G2141</f>
        <v>141</v>
      </c>
      <c r="X2141">
        <v>1</v>
      </c>
    </row>
    <row r="2142" customFormat="1" ht="16.5" spans="1:24">
      <c r="A2142" s="17">
        <f t="shared" si="1687"/>
        <v>52003</v>
      </c>
      <c r="B2142" s="17">
        <f t="shared" si="1682"/>
        <v>52000</v>
      </c>
      <c r="C2142" s="17" t="str">
        <f t="shared" si="1683"/>
        <v>5</v>
      </c>
      <c r="D2142" s="17">
        <f t="shared" si="1684"/>
        <v>50003</v>
      </c>
      <c r="E2142" s="17">
        <v>1</v>
      </c>
      <c r="F2142" s="17">
        <f t="shared" si="1670"/>
        <v>3</v>
      </c>
      <c r="G2142" s="17" t="str">
        <f t="shared" si="1688"/>
        <v>高级生命</v>
      </c>
      <c r="H2142" s="17" t="str">
        <f t="shared" si="1689"/>
        <v>icon_01</v>
      </c>
      <c r="I2142" s="20">
        <v>0</v>
      </c>
      <c r="J2142" s="17">
        <v>3</v>
      </c>
      <c r="K2142" s="17">
        <f t="shared" si="1685"/>
        <v>52004</v>
      </c>
      <c r="L2142" s="17" t="s">
        <v>218</v>
      </c>
      <c r="M2142" s="17" t="str">
        <f t="shared" si="1690"/>
        <v>2:10001:50</v>
      </c>
      <c r="N2142" s="16" t="str">
        <f t="shared" si="1664"/>
        <v>141:1</v>
      </c>
      <c r="O2142" s="17">
        <f t="shared" si="1671"/>
        <v>1</v>
      </c>
      <c r="P2142" s="21" t="str">
        <f t="shared" si="1686"/>
        <v>所有牧师和法师生命增加:1</v>
      </c>
      <c r="Q2142" s="21"/>
      <c r="R2142" t="str">
        <f t="shared" si="1691"/>
        <v>生命</v>
      </c>
      <c r="T2142" t="str">
        <f t="shared" si="1692"/>
        <v>:1</v>
      </c>
      <c r="U2142" t="str">
        <f t="shared" si="1654"/>
        <v>牧师</v>
      </c>
      <c r="V2142" t="s">
        <v>4824</v>
      </c>
      <c r="W2142">
        <f>属性类型!G2142</f>
        <v>141</v>
      </c>
      <c r="X2142">
        <v>1</v>
      </c>
    </row>
    <row r="2143" customFormat="1" ht="16.5" spans="1:24">
      <c r="A2143" s="17">
        <f t="shared" si="1687"/>
        <v>52004</v>
      </c>
      <c r="B2143" s="17">
        <f t="shared" si="1682"/>
        <v>52000</v>
      </c>
      <c r="C2143" s="17" t="str">
        <f t="shared" si="1683"/>
        <v>5</v>
      </c>
      <c r="D2143" s="17">
        <f t="shared" si="1684"/>
        <v>50003</v>
      </c>
      <c r="E2143" s="17">
        <v>1</v>
      </c>
      <c r="F2143" s="17">
        <f t="shared" si="1670"/>
        <v>3</v>
      </c>
      <c r="G2143" s="17" t="str">
        <f t="shared" si="1688"/>
        <v>高级生命</v>
      </c>
      <c r="H2143" s="17" t="str">
        <f t="shared" si="1689"/>
        <v>icon_01</v>
      </c>
      <c r="I2143" s="20">
        <v>0</v>
      </c>
      <c r="J2143" s="17">
        <v>4</v>
      </c>
      <c r="K2143" s="17">
        <f t="shared" si="1685"/>
        <v>52005</v>
      </c>
      <c r="L2143" s="17" t="s">
        <v>221</v>
      </c>
      <c r="M2143" s="17" t="str">
        <f t="shared" si="1690"/>
        <v>2:10001:50</v>
      </c>
      <c r="N2143" s="16" t="str">
        <f t="shared" si="1664"/>
        <v>141:1</v>
      </c>
      <c r="O2143" s="17">
        <f t="shared" si="1671"/>
        <v>1</v>
      </c>
      <c r="P2143" s="21" t="str">
        <f t="shared" si="1686"/>
        <v>所有牧师和法师生命增加:1</v>
      </c>
      <c r="Q2143" s="21"/>
      <c r="R2143" t="str">
        <f t="shared" si="1691"/>
        <v>生命</v>
      </c>
      <c r="T2143" t="str">
        <f t="shared" si="1692"/>
        <v>:1</v>
      </c>
      <c r="U2143" t="str">
        <f t="shared" si="1654"/>
        <v>牧师</v>
      </c>
      <c r="V2143" t="s">
        <v>4824</v>
      </c>
      <c r="W2143">
        <f>属性类型!G2143</f>
        <v>141</v>
      </c>
      <c r="X2143">
        <v>1</v>
      </c>
    </row>
    <row r="2144" customFormat="1" ht="16.5" spans="1:24">
      <c r="A2144" s="17">
        <f t="shared" si="1687"/>
        <v>52005</v>
      </c>
      <c r="B2144" s="17">
        <f t="shared" si="1682"/>
        <v>52000</v>
      </c>
      <c r="C2144" s="17" t="str">
        <f t="shared" si="1683"/>
        <v>5</v>
      </c>
      <c r="D2144" s="17">
        <f t="shared" si="1684"/>
        <v>50003</v>
      </c>
      <c r="E2144" s="17">
        <v>1</v>
      </c>
      <c r="F2144" s="17">
        <f t="shared" si="1670"/>
        <v>3</v>
      </c>
      <c r="G2144" s="17" t="str">
        <f t="shared" si="1688"/>
        <v>高级生命</v>
      </c>
      <c r="H2144" s="17" t="str">
        <f t="shared" si="1689"/>
        <v>icon_01</v>
      </c>
      <c r="I2144" s="20">
        <v>0</v>
      </c>
      <c r="J2144" s="17">
        <v>5</v>
      </c>
      <c r="K2144" s="17">
        <f t="shared" si="1685"/>
        <v>52006</v>
      </c>
      <c r="L2144" s="17" t="s">
        <v>224</v>
      </c>
      <c r="M2144" s="17" t="str">
        <f t="shared" si="1690"/>
        <v>2:10001:50</v>
      </c>
      <c r="N2144" s="16" t="str">
        <f t="shared" si="1664"/>
        <v>141:1</v>
      </c>
      <c r="O2144" s="17">
        <f t="shared" si="1671"/>
        <v>1</v>
      </c>
      <c r="P2144" s="21" t="str">
        <f t="shared" si="1686"/>
        <v>所有牧师和法师生命增加:1</v>
      </c>
      <c r="Q2144" s="21"/>
      <c r="R2144" t="str">
        <f t="shared" si="1691"/>
        <v>生命</v>
      </c>
      <c r="T2144" t="str">
        <f t="shared" si="1692"/>
        <v>:1</v>
      </c>
      <c r="U2144" t="str">
        <f t="shared" si="1654"/>
        <v>牧师</v>
      </c>
      <c r="V2144" t="s">
        <v>4824</v>
      </c>
      <c r="W2144">
        <f>属性类型!G2144</f>
        <v>141</v>
      </c>
      <c r="X2144">
        <v>1</v>
      </c>
    </row>
    <row r="2145" customFormat="1" ht="16.5" spans="1:24">
      <c r="A2145" s="17">
        <f t="shared" si="1687"/>
        <v>52006</v>
      </c>
      <c r="B2145" s="17">
        <f t="shared" si="1682"/>
        <v>52000</v>
      </c>
      <c r="C2145" s="17" t="str">
        <f t="shared" si="1683"/>
        <v>5</v>
      </c>
      <c r="D2145" s="17">
        <f t="shared" si="1684"/>
        <v>50003</v>
      </c>
      <c r="E2145" s="17">
        <v>1</v>
      </c>
      <c r="F2145" s="17">
        <f t="shared" si="1670"/>
        <v>3</v>
      </c>
      <c r="G2145" s="17" t="str">
        <f t="shared" si="1688"/>
        <v>高级生命</v>
      </c>
      <c r="H2145" s="17" t="str">
        <f t="shared" si="1689"/>
        <v>icon_01</v>
      </c>
      <c r="I2145" s="20">
        <v>0</v>
      </c>
      <c r="J2145" s="17">
        <v>6</v>
      </c>
      <c r="K2145" s="17">
        <f t="shared" si="1685"/>
        <v>52007</v>
      </c>
      <c r="L2145" s="17" t="s">
        <v>227</v>
      </c>
      <c r="M2145" s="17" t="str">
        <f t="shared" si="1690"/>
        <v>2:10001:50</v>
      </c>
      <c r="N2145" s="16" t="str">
        <f t="shared" si="1664"/>
        <v>141:1</v>
      </c>
      <c r="O2145" s="17">
        <f t="shared" si="1671"/>
        <v>1</v>
      </c>
      <c r="P2145" s="21" t="str">
        <f t="shared" si="1686"/>
        <v>所有牧师和法师生命增加:1</v>
      </c>
      <c r="Q2145" s="21"/>
      <c r="R2145" t="str">
        <f t="shared" si="1691"/>
        <v>生命</v>
      </c>
      <c r="T2145" t="str">
        <f t="shared" si="1692"/>
        <v>:1</v>
      </c>
      <c r="U2145" t="str">
        <f t="shared" si="1654"/>
        <v>牧师</v>
      </c>
      <c r="V2145" t="s">
        <v>4824</v>
      </c>
      <c r="W2145">
        <f>属性类型!G2145</f>
        <v>141</v>
      </c>
      <c r="X2145">
        <v>1</v>
      </c>
    </row>
    <row r="2146" customFormat="1" ht="16.5" spans="1:24">
      <c r="A2146" s="17">
        <f t="shared" si="1687"/>
        <v>52007</v>
      </c>
      <c r="B2146" s="17">
        <f t="shared" si="1682"/>
        <v>52000</v>
      </c>
      <c r="C2146" s="17" t="str">
        <f t="shared" si="1683"/>
        <v>5</v>
      </c>
      <c r="D2146" s="17">
        <f t="shared" si="1684"/>
        <v>50003</v>
      </c>
      <c r="E2146" s="17">
        <v>1</v>
      </c>
      <c r="F2146" s="17">
        <f t="shared" si="1670"/>
        <v>3</v>
      </c>
      <c r="G2146" s="17" t="str">
        <f t="shared" si="1688"/>
        <v>高级生命</v>
      </c>
      <c r="H2146" s="17" t="str">
        <f t="shared" si="1689"/>
        <v>icon_01</v>
      </c>
      <c r="I2146" s="20">
        <v>0</v>
      </c>
      <c r="J2146" s="17">
        <v>7</v>
      </c>
      <c r="K2146" s="17">
        <f t="shared" si="1685"/>
        <v>52008</v>
      </c>
      <c r="L2146" s="17" t="s">
        <v>230</v>
      </c>
      <c r="M2146" s="17" t="str">
        <f t="shared" si="1690"/>
        <v>2:10001:50</v>
      </c>
      <c r="N2146" s="16" t="str">
        <f t="shared" si="1664"/>
        <v>141:1</v>
      </c>
      <c r="O2146" s="17">
        <f t="shared" si="1671"/>
        <v>1</v>
      </c>
      <c r="P2146" s="21" t="str">
        <f t="shared" si="1686"/>
        <v>所有牧师和法师生命增加:1</v>
      </c>
      <c r="Q2146" s="21"/>
      <c r="R2146" t="str">
        <f t="shared" si="1691"/>
        <v>生命</v>
      </c>
      <c r="T2146" t="str">
        <f t="shared" si="1692"/>
        <v>:1</v>
      </c>
      <c r="U2146" t="str">
        <f t="shared" si="1654"/>
        <v>牧师</v>
      </c>
      <c r="V2146" t="s">
        <v>4824</v>
      </c>
      <c r="W2146">
        <f>属性类型!G2146</f>
        <v>141</v>
      </c>
      <c r="X2146">
        <v>1</v>
      </c>
    </row>
    <row r="2147" customFormat="1" ht="16.5" spans="1:24">
      <c r="A2147" s="17">
        <f t="shared" si="1687"/>
        <v>52008</v>
      </c>
      <c r="B2147" s="17">
        <f t="shared" si="1682"/>
        <v>52000</v>
      </c>
      <c r="C2147" s="17" t="str">
        <f t="shared" si="1683"/>
        <v>5</v>
      </c>
      <c r="D2147" s="17">
        <f t="shared" si="1684"/>
        <v>50003</v>
      </c>
      <c r="E2147" s="17">
        <v>1</v>
      </c>
      <c r="F2147" s="17">
        <f t="shared" si="1670"/>
        <v>3</v>
      </c>
      <c r="G2147" s="17" t="str">
        <f t="shared" si="1688"/>
        <v>高级生命</v>
      </c>
      <c r="H2147" s="17" t="str">
        <f t="shared" si="1689"/>
        <v>icon_01</v>
      </c>
      <c r="I2147" s="20">
        <v>0</v>
      </c>
      <c r="J2147" s="17">
        <v>8</v>
      </c>
      <c r="K2147" s="17">
        <f t="shared" si="1685"/>
        <v>52009</v>
      </c>
      <c r="L2147" s="17" t="s">
        <v>233</v>
      </c>
      <c r="M2147" s="17" t="str">
        <f t="shared" si="1690"/>
        <v>2:10001:50</v>
      </c>
      <c r="N2147" s="16" t="str">
        <f t="shared" si="1664"/>
        <v>141:1</v>
      </c>
      <c r="O2147" s="17">
        <f t="shared" si="1671"/>
        <v>1</v>
      </c>
      <c r="P2147" s="21" t="str">
        <f t="shared" si="1686"/>
        <v>所有牧师和法师生命增加:1</v>
      </c>
      <c r="Q2147" s="21"/>
      <c r="R2147" t="str">
        <f t="shared" si="1691"/>
        <v>生命</v>
      </c>
      <c r="T2147" t="str">
        <f t="shared" si="1692"/>
        <v>:1</v>
      </c>
      <c r="U2147" t="str">
        <f t="shared" si="1654"/>
        <v>牧师</v>
      </c>
      <c r="V2147" t="s">
        <v>4824</v>
      </c>
      <c r="W2147">
        <f>属性类型!G2147</f>
        <v>141</v>
      </c>
      <c r="X2147">
        <v>1</v>
      </c>
    </row>
    <row r="2148" customFormat="1" ht="16.5" spans="1:24">
      <c r="A2148" s="17">
        <f t="shared" si="1687"/>
        <v>52009</v>
      </c>
      <c r="B2148" s="17">
        <f t="shared" si="1682"/>
        <v>52000</v>
      </c>
      <c r="C2148" s="17" t="str">
        <f t="shared" si="1683"/>
        <v>5</v>
      </c>
      <c r="D2148" s="17">
        <f t="shared" si="1684"/>
        <v>50003</v>
      </c>
      <c r="E2148" s="17">
        <v>1</v>
      </c>
      <c r="F2148" s="17">
        <f t="shared" si="1670"/>
        <v>3</v>
      </c>
      <c r="G2148" s="17" t="str">
        <f t="shared" si="1688"/>
        <v>高级生命</v>
      </c>
      <c r="H2148" s="17" t="str">
        <f t="shared" si="1689"/>
        <v>icon_01</v>
      </c>
      <c r="I2148" s="20">
        <v>0</v>
      </c>
      <c r="J2148" s="17">
        <v>9</v>
      </c>
      <c r="K2148" s="17">
        <f t="shared" si="1685"/>
        <v>52010</v>
      </c>
      <c r="L2148" s="17" t="s">
        <v>236</v>
      </c>
      <c r="M2148" s="17" t="str">
        <f t="shared" si="1690"/>
        <v>2:10001:50</v>
      </c>
      <c r="N2148" s="16" t="str">
        <f t="shared" si="1664"/>
        <v>141:1</v>
      </c>
      <c r="O2148" s="17">
        <f t="shared" si="1671"/>
        <v>1</v>
      </c>
      <c r="P2148" s="21" t="str">
        <f t="shared" si="1686"/>
        <v>所有牧师和法师生命增加:1</v>
      </c>
      <c r="Q2148" s="21"/>
      <c r="R2148" t="str">
        <f t="shared" si="1691"/>
        <v>生命</v>
      </c>
      <c r="T2148" t="str">
        <f t="shared" si="1692"/>
        <v>:1</v>
      </c>
      <c r="U2148" t="str">
        <f t="shared" si="1654"/>
        <v>牧师</v>
      </c>
      <c r="V2148" t="s">
        <v>4824</v>
      </c>
      <c r="W2148">
        <f>属性类型!G2148</f>
        <v>141</v>
      </c>
      <c r="X2148">
        <v>1</v>
      </c>
    </row>
    <row r="2149" customFormat="1" ht="16.5" spans="1:24">
      <c r="A2149" s="17">
        <f t="shared" si="1687"/>
        <v>52010</v>
      </c>
      <c r="B2149" s="17">
        <f t="shared" si="1682"/>
        <v>52000</v>
      </c>
      <c r="C2149" s="17" t="str">
        <f t="shared" si="1683"/>
        <v>5</v>
      </c>
      <c r="D2149" s="17">
        <f t="shared" si="1684"/>
        <v>50003</v>
      </c>
      <c r="E2149" s="17">
        <v>1</v>
      </c>
      <c r="F2149" s="17">
        <f t="shared" si="1670"/>
        <v>3</v>
      </c>
      <c r="G2149" s="17" t="str">
        <f t="shared" si="1688"/>
        <v>高级生命</v>
      </c>
      <c r="H2149" s="17" t="str">
        <f t="shared" si="1689"/>
        <v>icon_01</v>
      </c>
      <c r="I2149" s="20">
        <v>0</v>
      </c>
      <c r="J2149" s="17">
        <v>10</v>
      </c>
      <c r="K2149" s="17">
        <f t="shared" si="1685"/>
        <v>52011</v>
      </c>
      <c r="L2149" s="17" t="s">
        <v>238</v>
      </c>
      <c r="M2149" s="17" t="str">
        <f t="shared" si="1690"/>
        <v>2:10001:50</v>
      </c>
      <c r="N2149" s="16" t="str">
        <f t="shared" si="1664"/>
        <v>141:1</v>
      </c>
      <c r="O2149" s="17">
        <f t="shared" si="1671"/>
        <v>1</v>
      </c>
      <c r="P2149" s="21" t="str">
        <f t="shared" si="1686"/>
        <v>所有牧师和法师生命增加:1</v>
      </c>
      <c r="Q2149" s="21"/>
      <c r="R2149" t="str">
        <f t="shared" si="1691"/>
        <v>生命</v>
      </c>
      <c r="T2149" t="str">
        <f t="shared" si="1692"/>
        <v>:1</v>
      </c>
      <c r="U2149" t="str">
        <f t="shared" si="1654"/>
        <v>牧师</v>
      </c>
      <c r="V2149" t="s">
        <v>4824</v>
      </c>
      <c r="W2149">
        <f>属性类型!G2149</f>
        <v>141</v>
      </c>
      <c r="X2149">
        <v>1</v>
      </c>
    </row>
    <row r="2150" customFormat="1" ht="16.5" spans="1:24">
      <c r="A2150" s="17">
        <f t="shared" si="1687"/>
        <v>52011</v>
      </c>
      <c r="B2150" s="17">
        <f t="shared" si="1682"/>
        <v>52000</v>
      </c>
      <c r="C2150" s="17" t="str">
        <f t="shared" si="1683"/>
        <v>5</v>
      </c>
      <c r="D2150" s="17">
        <f t="shared" si="1684"/>
        <v>50003</v>
      </c>
      <c r="E2150" s="17">
        <v>1</v>
      </c>
      <c r="F2150" s="17">
        <f t="shared" si="1670"/>
        <v>3</v>
      </c>
      <c r="G2150" s="17" t="str">
        <f t="shared" si="1688"/>
        <v>高级生命</v>
      </c>
      <c r="H2150" s="17" t="str">
        <f t="shared" si="1689"/>
        <v>icon_01</v>
      </c>
      <c r="I2150" s="20">
        <v>0</v>
      </c>
      <c r="J2150" s="17">
        <v>11</v>
      </c>
      <c r="K2150" s="17">
        <f t="shared" si="1685"/>
        <v>52012</v>
      </c>
      <c r="L2150" s="17" t="s">
        <v>529</v>
      </c>
      <c r="M2150" s="17" t="str">
        <f t="shared" si="1690"/>
        <v>2:10001:50</v>
      </c>
      <c r="N2150" s="16" t="str">
        <f t="shared" si="1664"/>
        <v>141:1</v>
      </c>
      <c r="O2150" s="17">
        <f t="shared" si="1671"/>
        <v>1</v>
      </c>
      <c r="P2150" s="21" t="str">
        <f t="shared" si="1686"/>
        <v>所有牧师和法师生命增加:1</v>
      </c>
      <c r="Q2150" s="21"/>
      <c r="R2150" t="str">
        <f t="shared" si="1691"/>
        <v>生命</v>
      </c>
      <c r="T2150" t="str">
        <f t="shared" si="1692"/>
        <v>:1</v>
      </c>
      <c r="U2150" t="str">
        <f t="shared" si="1654"/>
        <v>牧师</v>
      </c>
      <c r="V2150" t="s">
        <v>4824</v>
      </c>
      <c r="W2150">
        <f>属性类型!G2150</f>
        <v>141</v>
      </c>
      <c r="X2150">
        <v>1</v>
      </c>
    </row>
    <row r="2151" customFormat="1" ht="16.5" spans="1:24">
      <c r="A2151" s="17">
        <f t="shared" si="1687"/>
        <v>52012</v>
      </c>
      <c r="B2151" s="17">
        <f t="shared" si="1682"/>
        <v>52000</v>
      </c>
      <c r="C2151" s="17" t="str">
        <f t="shared" si="1683"/>
        <v>5</v>
      </c>
      <c r="D2151" s="17">
        <f t="shared" si="1684"/>
        <v>50003</v>
      </c>
      <c r="E2151" s="17">
        <v>1</v>
      </c>
      <c r="F2151" s="17">
        <f t="shared" si="1670"/>
        <v>3</v>
      </c>
      <c r="G2151" s="17" t="str">
        <f t="shared" si="1688"/>
        <v>高级生命</v>
      </c>
      <c r="H2151" s="17" t="str">
        <f t="shared" si="1689"/>
        <v>icon_01</v>
      </c>
      <c r="I2151" s="20">
        <v>0</v>
      </c>
      <c r="J2151" s="17">
        <v>12</v>
      </c>
      <c r="K2151" s="17">
        <f t="shared" si="1685"/>
        <v>52013</v>
      </c>
      <c r="L2151" s="17" t="s">
        <v>532</v>
      </c>
      <c r="M2151" s="17" t="str">
        <f t="shared" si="1690"/>
        <v>2:10001:50</v>
      </c>
      <c r="N2151" s="16" t="str">
        <f t="shared" si="1664"/>
        <v>141:1</v>
      </c>
      <c r="O2151" s="17">
        <f t="shared" si="1671"/>
        <v>1</v>
      </c>
      <c r="P2151" s="21" t="str">
        <f t="shared" si="1686"/>
        <v>所有牧师和法师生命增加:1</v>
      </c>
      <c r="Q2151" s="21"/>
      <c r="R2151" t="str">
        <f t="shared" si="1691"/>
        <v>生命</v>
      </c>
      <c r="T2151" t="str">
        <f t="shared" si="1692"/>
        <v>:1</v>
      </c>
      <c r="U2151" t="str">
        <f t="shared" si="1654"/>
        <v>牧师</v>
      </c>
      <c r="V2151" t="s">
        <v>4824</v>
      </c>
      <c r="W2151">
        <f>属性类型!G2151</f>
        <v>141</v>
      </c>
      <c r="X2151">
        <v>1</v>
      </c>
    </row>
    <row r="2152" customFormat="1" ht="16.5" spans="1:24">
      <c r="A2152" s="17">
        <f t="shared" si="1687"/>
        <v>52013</v>
      </c>
      <c r="B2152" s="17">
        <f t="shared" si="1682"/>
        <v>52000</v>
      </c>
      <c r="C2152" s="17" t="str">
        <f t="shared" si="1683"/>
        <v>5</v>
      </c>
      <c r="D2152" s="17">
        <f t="shared" si="1684"/>
        <v>50003</v>
      </c>
      <c r="E2152" s="17">
        <v>1</v>
      </c>
      <c r="F2152" s="17">
        <f t="shared" si="1670"/>
        <v>3</v>
      </c>
      <c r="G2152" s="17" t="str">
        <f t="shared" si="1688"/>
        <v>高级生命</v>
      </c>
      <c r="H2152" s="17" t="str">
        <f t="shared" si="1689"/>
        <v>icon_01</v>
      </c>
      <c r="I2152" s="20">
        <v>0</v>
      </c>
      <c r="J2152" s="17">
        <v>13</v>
      </c>
      <c r="K2152" s="17">
        <f t="shared" si="1685"/>
        <v>52014</v>
      </c>
      <c r="L2152" s="17" t="s">
        <v>535</v>
      </c>
      <c r="M2152" s="17" t="str">
        <f t="shared" si="1690"/>
        <v>2:10001:50</v>
      </c>
      <c r="N2152" s="16" t="str">
        <f t="shared" si="1664"/>
        <v>141:1</v>
      </c>
      <c r="O2152" s="17">
        <f t="shared" si="1671"/>
        <v>1</v>
      </c>
      <c r="P2152" s="21" t="str">
        <f t="shared" si="1686"/>
        <v>所有牧师和法师生命增加:1</v>
      </c>
      <c r="Q2152" s="21"/>
      <c r="R2152" t="str">
        <f t="shared" si="1691"/>
        <v>生命</v>
      </c>
      <c r="T2152" t="str">
        <f t="shared" si="1692"/>
        <v>:1</v>
      </c>
      <c r="U2152" t="str">
        <f t="shared" si="1654"/>
        <v>牧师</v>
      </c>
      <c r="V2152" t="s">
        <v>4824</v>
      </c>
      <c r="W2152">
        <f>属性类型!G2152</f>
        <v>141</v>
      </c>
      <c r="X2152">
        <v>1</v>
      </c>
    </row>
    <row r="2153" customFormat="1" ht="16.5" spans="1:24">
      <c r="A2153" s="17">
        <f t="shared" si="1687"/>
        <v>52014</v>
      </c>
      <c r="B2153" s="17">
        <f t="shared" si="1682"/>
        <v>52000</v>
      </c>
      <c r="C2153" s="17" t="str">
        <f t="shared" si="1683"/>
        <v>5</v>
      </c>
      <c r="D2153" s="17">
        <f t="shared" si="1684"/>
        <v>50003</v>
      </c>
      <c r="E2153" s="17">
        <v>1</v>
      </c>
      <c r="F2153" s="17">
        <f t="shared" si="1670"/>
        <v>3</v>
      </c>
      <c r="G2153" s="17" t="str">
        <f t="shared" si="1688"/>
        <v>高级生命</v>
      </c>
      <c r="H2153" s="17" t="str">
        <f t="shared" si="1689"/>
        <v>icon_01</v>
      </c>
      <c r="I2153" s="20">
        <v>0</v>
      </c>
      <c r="J2153" s="17">
        <v>14</v>
      </c>
      <c r="K2153" s="17">
        <f t="shared" si="1685"/>
        <v>52015</v>
      </c>
      <c r="L2153" s="17" t="s">
        <v>538</v>
      </c>
      <c r="M2153" s="17" t="str">
        <f t="shared" si="1690"/>
        <v>2:10001:50</v>
      </c>
      <c r="N2153" s="16" t="str">
        <f t="shared" si="1664"/>
        <v>141:1</v>
      </c>
      <c r="O2153" s="17">
        <f t="shared" si="1671"/>
        <v>1</v>
      </c>
      <c r="P2153" s="21" t="str">
        <f t="shared" si="1686"/>
        <v>所有牧师和法师生命增加:1</v>
      </c>
      <c r="Q2153" s="21"/>
      <c r="R2153" t="str">
        <f t="shared" si="1691"/>
        <v>生命</v>
      </c>
      <c r="T2153" t="str">
        <f t="shared" si="1692"/>
        <v>:1</v>
      </c>
      <c r="U2153" t="str">
        <f t="shared" si="1654"/>
        <v>牧师</v>
      </c>
      <c r="V2153" t="s">
        <v>4824</v>
      </c>
      <c r="W2153">
        <f>属性类型!G2153</f>
        <v>141</v>
      </c>
      <c r="X2153">
        <v>1</v>
      </c>
    </row>
    <row r="2154" customFormat="1" ht="16.5" spans="1:24">
      <c r="A2154" s="17">
        <f t="shared" si="1687"/>
        <v>52015</v>
      </c>
      <c r="B2154" s="17">
        <f t="shared" si="1682"/>
        <v>52000</v>
      </c>
      <c r="C2154" s="17" t="str">
        <f t="shared" si="1683"/>
        <v>5</v>
      </c>
      <c r="D2154" s="17">
        <f t="shared" si="1684"/>
        <v>50003</v>
      </c>
      <c r="E2154" s="17">
        <v>1</v>
      </c>
      <c r="F2154" s="17">
        <f t="shared" si="1670"/>
        <v>3</v>
      </c>
      <c r="G2154" s="17" t="str">
        <f t="shared" si="1688"/>
        <v>高级生命</v>
      </c>
      <c r="H2154" s="17" t="str">
        <f t="shared" si="1689"/>
        <v>icon_01</v>
      </c>
      <c r="I2154" s="20">
        <v>0</v>
      </c>
      <c r="J2154" s="17">
        <v>15</v>
      </c>
      <c r="K2154" s="17">
        <v>0</v>
      </c>
      <c r="L2154" s="17" t="s">
        <v>540</v>
      </c>
      <c r="M2154" s="17" t="str">
        <f t="shared" si="1690"/>
        <v>2:10001:50</v>
      </c>
      <c r="N2154" s="16" t="str">
        <f t="shared" si="1664"/>
        <v>141:1</v>
      </c>
      <c r="O2154" s="17">
        <f t="shared" si="1671"/>
        <v>1</v>
      </c>
      <c r="P2154" s="21" t="str">
        <f t="shared" si="1686"/>
        <v>所有牧师和法师生命增加:1</v>
      </c>
      <c r="Q2154" s="21"/>
      <c r="R2154" t="str">
        <f t="shared" si="1691"/>
        <v>生命</v>
      </c>
      <c r="T2154" t="str">
        <f t="shared" si="1692"/>
        <v>:1</v>
      </c>
      <c r="U2154" t="str">
        <f t="shared" si="1654"/>
        <v>牧师</v>
      </c>
      <c r="V2154" t="s">
        <v>4824</v>
      </c>
      <c r="W2154">
        <f>属性类型!G2154</f>
        <v>141</v>
      </c>
      <c r="X2154">
        <v>1</v>
      </c>
    </row>
    <row r="2155" customFormat="1" ht="16.5" spans="1:24">
      <c r="A2155" s="18">
        <f>A2139+100</f>
        <v>52100</v>
      </c>
      <c r="B2155" s="18">
        <f t="shared" si="1682"/>
        <v>52100</v>
      </c>
      <c r="C2155" s="18" t="str">
        <f t="shared" si="1683"/>
        <v>5</v>
      </c>
      <c r="D2155" s="17">
        <f t="shared" si="1684"/>
        <v>50003</v>
      </c>
      <c r="E2155" s="17">
        <v>1</v>
      </c>
      <c r="F2155" s="18">
        <f t="shared" si="1670"/>
        <v>3</v>
      </c>
      <c r="G2155" s="18" t="s">
        <v>543</v>
      </c>
      <c r="H2155" s="18" t="s">
        <v>63</v>
      </c>
      <c r="I2155" s="20">
        <v>0</v>
      </c>
      <c r="J2155" s="18">
        <v>0</v>
      </c>
      <c r="K2155" s="18">
        <f t="shared" ref="K2155:K2169" si="1693">A2156</f>
        <v>52101</v>
      </c>
      <c r="L2155" s="18" t="s">
        <v>206</v>
      </c>
      <c r="M2155" s="18" t="s">
        <v>545</v>
      </c>
      <c r="N2155" s="16" t="str">
        <f t="shared" si="1664"/>
        <v>143:1</v>
      </c>
      <c r="O2155" s="18">
        <f t="shared" si="1671"/>
        <v>2</v>
      </c>
      <c r="P2155" s="21" t="str">
        <f t="shared" si="1686"/>
        <v>所有牧师和法师防御增加1</v>
      </c>
      <c r="Q2155" s="21"/>
      <c r="R2155" t="s">
        <v>4272</v>
      </c>
      <c r="T2155" t="str">
        <f>RIGHT(N2155,1)</f>
        <v>1</v>
      </c>
      <c r="U2155" t="str">
        <f t="shared" si="1654"/>
        <v>牧师</v>
      </c>
      <c r="V2155" t="s">
        <v>4825</v>
      </c>
      <c r="W2155">
        <f>属性类型!G2155</f>
        <v>143</v>
      </c>
      <c r="X2155">
        <v>1</v>
      </c>
    </row>
    <row r="2156" customFormat="1" ht="16.5" spans="1:24">
      <c r="A2156" s="17">
        <f t="shared" ref="A2156:A2170" si="1694">A2155+1</f>
        <v>52101</v>
      </c>
      <c r="B2156" s="17">
        <f t="shared" si="1682"/>
        <v>52100</v>
      </c>
      <c r="C2156" s="17" t="str">
        <f t="shared" si="1683"/>
        <v>5</v>
      </c>
      <c r="D2156" s="17">
        <f t="shared" si="1684"/>
        <v>50003</v>
      </c>
      <c r="E2156" s="17">
        <v>1</v>
      </c>
      <c r="F2156" s="17">
        <f t="shared" si="1670"/>
        <v>3</v>
      </c>
      <c r="G2156" s="17" t="str">
        <f t="shared" ref="G2156:G2170" si="1695">G2155</f>
        <v>高级防御</v>
      </c>
      <c r="H2156" s="17" t="str">
        <f t="shared" ref="H2156:H2170" si="1696">H2155</f>
        <v>icon_02</v>
      </c>
      <c r="I2156" s="20">
        <v>0</v>
      </c>
      <c r="J2156" s="17">
        <v>1</v>
      </c>
      <c r="K2156" s="17">
        <f t="shared" si="1693"/>
        <v>52102</v>
      </c>
      <c r="L2156" s="17" t="s">
        <v>211</v>
      </c>
      <c r="M2156" s="17" t="str">
        <f t="shared" ref="M2156:M2170" si="1697">M2155</f>
        <v>1:12000:5</v>
      </c>
      <c r="N2156" s="16" t="str">
        <f t="shared" si="1664"/>
        <v>143:1</v>
      </c>
      <c r="O2156" s="17">
        <f t="shared" si="1671"/>
        <v>2</v>
      </c>
      <c r="P2156" s="21" t="str">
        <f t="shared" si="1686"/>
        <v>所有牧师和法师防御增加:1</v>
      </c>
      <c r="Q2156" s="21"/>
      <c r="R2156" t="str">
        <f t="shared" ref="R2156:R2170" si="1698">R2155</f>
        <v>防御</v>
      </c>
      <c r="T2156" t="str">
        <f t="shared" ref="T2156:T2170" si="1699">RIGHT(N2156,2)</f>
        <v>:1</v>
      </c>
      <c r="U2156" t="str">
        <f t="shared" si="1654"/>
        <v>牧师</v>
      </c>
      <c r="V2156" t="s">
        <v>4825</v>
      </c>
      <c r="W2156">
        <f>属性类型!G2156</f>
        <v>143</v>
      </c>
      <c r="X2156">
        <v>1</v>
      </c>
    </row>
    <row r="2157" customFormat="1" ht="16.5" spans="1:24">
      <c r="A2157" s="17">
        <f t="shared" si="1694"/>
        <v>52102</v>
      </c>
      <c r="B2157" s="17">
        <f t="shared" si="1682"/>
        <v>52100</v>
      </c>
      <c r="C2157" s="17" t="str">
        <f t="shared" si="1683"/>
        <v>5</v>
      </c>
      <c r="D2157" s="17">
        <f t="shared" si="1684"/>
        <v>50003</v>
      </c>
      <c r="E2157" s="17">
        <v>1</v>
      </c>
      <c r="F2157" s="17">
        <f t="shared" si="1670"/>
        <v>3</v>
      </c>
      <c r="G2157" s="17" t="str">
        <f t="shared" si="1695"/>
        <v>高级防御</v>
      </c>
      <c r="H2157" s="17" t="str">
        <f t="shared" si="1696"/>
        <v>icon_02</v>
      </c>
      <c r="I2157" s="20">
        <v>0</v>
      </c>
      <c r="J2157" s="17">
        <v>2</v>
      </c>
      <c r="K2157" s="17">
        <f t="shared" si="1693"/>
        <v>52103</v>
      </c>
      <c r="L2157" s="17" t="s">
        <v>215</v>
      </c>
      <c r="M2157" s="17" t="str">
        <f t="shared" si="1697"/>
        <v>1:12000:5</v>
      </c>
      <c r="N2157" s="16" t="str">
        <f t="shared" si="1664"/>
        <v>143:1</v>
      </c>
      <c r="O2157" s="17">
        <f t="shared" si="1671"/>
        <v>2</v>
      </c>
      <c r="P2157" s="21" t="str">
        <f t="shared" si="1686"/>
        <v>所有牧师和法师防御增加:1</v>
      </c>
      <c r="Q2157" s="21"/>
      <c r="R2157" t="str">
        <f t="shared" si="1698"/>
        <v>防御</v>
      </c>
      <c r="T2157" t="str">
        <f t="shared" si="1699"/>
        <v>:1</v>
      </c>
      <c r="U2157" t="str">
        <f t="shared" si="1654"/>
        <v>牧师</v>
      </c>
      <c r="V2157" t="s">
        <v>4825</v>
      </c>
      <c r="W2157">
        <f>属性类型!G2157</f>
        <v>143</v>
      </c>
      <c r="X2157">
        <v>1</v>
      </c>
    </row>
    <row r="2158" customFormat="1" ht="16.5" spans="1:24">
      <c r="A2158" s="17">
        <f t="shared" si="1694"/>
        <v>52103</v>
      </c>
      <c r="B2158" s="17">
        <f t="shared" si="1682"/>
        <v>52100</v>
      </c>
      <c r="C2158" s="17" t="str">
        <f t="shared" si="1683"/>
        <v>5</v>
      </c>
      <c r="D2158" s="17">
        <f t="shared" si="1684"/>
        <v>50003</v>
      </c>
      <c r="E2158" s="17">
        <v>1</v>
      </c>
      <c r="F2158" s="17">
        <f t="shared" si="1670"/>
        <v>3</v>
      </c>
      <c r="G2158" s="17" t="str">
        <f t="shared" si="1695"/>
        <v>高级防御</v>
      </c>
      <c r="H2158" s="17" t="str">
        <f t="shared" si="1696"/>
        <v>icon_02</v>
      </c>
      <c r="I2158" s="20">
        <v>0</v>
      </c>
      <c r="J2158" s="17">
        <v>3</v>
      </c>
      <c r="K2158" s="17">
        <f t="shared" si="1693"/>
        <v>52104</v>
      </c>
      <c r="L2158" s="17" t="s">
        <v>218</v>
      </c>
      <c r="M2158" s="17" t="str">
        <f t="shared" si="1697"/>
        <v>1:12000:5</v>
      </c>
      <c r="N2158" s="16" t="str">
        <f t="shared" si="1664"/>
        <v>143:1</v>
      </c>
      <c r="O2158" s="17">
        <f t="shared" si="1671"/>
        <v>2</v>
      </c>
      <c r="P2158" s="21" t="str">
        <f t="shared" si="1686"/>
        <v>所有牧师和法师防御增加:1</v>
      </c>
      <c r="Q2158" s="21"/>
      <c r="R2158" t="str">
        <f t="shared" si="1698"/>
        <v>防御</v>
      </c>
      <c r="T2158" t="str">
        <f t="shared" si="1699"/>
        <v>:1</v>
      </c>
      <c r="U2158" t="str">
        <f t="shared" si="1654"/>
        <v>牧师</v>
      </c>
      <c r="V2158" t="s">
        <v>4825</v>
      </c>
      <c r="W2158">
        <f>属性类型!G2158</f>
        <v>143</v>
      </c>
      <c r="X2158">
        <v>1</v>
      </c>
    </row>
    <row r="2159" customFormat="1" ht="16.5" spans="1:24">
      <c r="A2159" s="17">
        <f t="shared" si="1694"/>
        <v>52104</v>
      </c>
      <c r="B2159" s="17">
        <f t="shared" ref="B2159:B2222" si="1700">ROUND(A2159,-2)</f>
        <v>52100</v>
      </c>
      <c r="C2159" s="17" t="str">
        <f t="shared" si="1683"/>
        <v>5</v>
      </c>
      <c r="D2159" s="17">
        <f t="shared" si="1684"/>
        <v>50003</v>
      </c>
      <c r="E2159" s="17">
        <v>1</v>
      </c>
      <c r="F2159" s="17">
        <f t="shared" si="1670"/>
        <v>3</v>
      </c>
      <c r="G2159" s="17" t="str">
        <f t="shared" si="1695"/>
        <v>高级防御</v>
      </c>
      <c r="H2159" s="17" t="str">
        <f t="shared" si="1696"/>
        <v>icon_02</v>
      </c>
      <c r="I2159" s="20">
        <v>0</v>
      </c>
      <c r="J2159" s="17">
        <v>4</v>
      </c>
      <c r="K2159" s="17">
        <f t="shared" si="1693"/>
        <v>52105</v>
      </c>
      <c r="L2159" s="17" t="s">
        <v>221</v>
      </c>
      <c r="M2159" s="17" t="str">
        <f t="shared" si="1697"/>
        <v>1:12000:5</v>
      </c>
      <c r="N2159" s="16" t="str">
        <f t="shared" si="1664"/>
        <v>143:1</v>
      </c>
      <c r="O2159" s="17">
        <f t="shared" si="1671"/>
        <v>2</v>
      </c>
      <c r="P2159" s="21" t="str">
        <f t="shared" si="1686"/>
        <v>所有牧师和法师防御增加:1</v>
      </c>
      <c r="Q2159" s="21"/>
      <c r="R2159" t="str">
        <f t="shared" si="1698"/>
        <v>防御</v>
      </c>
      <c r="T2159" t="str">
        <f t="shared" si="1699"/>
        <v>:1</v>
      </c>
      <c r="U2159" t="str">
        <f t="shared" si="1654"/>
        <v>牧师</v>
      </c>
      <c r="V2159" t="s">
        <v>4825</v>
      </c>
      <c r="W2159">
        <f>属性类型!G2159</f>
        <v>143</v>
      </c>
      <c r="X2159">
        <v>1</v>
      </c>
    </row>
    <row r="2160" customFormat="1" ht="16.5" spans="1:24">
      <c r="A2160" s="17">
        <f t="shared" si="1694"/>
        <v>52105</v>
      </c>
      <c r="B2160" s="17">
        <f t="shared" si="1700"/>
        <v>52100</v>
      </c>
      <c r="C2160" s="17" t="str">
        <f t="shared" si="1683"/>
        <v>5</v>
      </c>
      <c r="D2160" s="17">
        <f t="shared" si="1684"/>
        <v>50003</v>
      </c>
      <c r="E2160" s="17">
        <v>1</v>
      </c>
      <c r="F2160" s="17">
        <f t="shared" si="1670"/>
        <v>3</v>
      </c>
      <c r="G2160" s="17" t="str">
        <f t="shared" si="1695"/>
        <v>高级防御</v>
      </c>
      <c r="H2160" s="17" t="str">
        <f t="shared" si="1696"/>
        <v>icon_02</v>
      </c>
      <c r="I2160" s="20">
        <v>0</v>
      </c>
      <c r="J2160" s="17">
        <v>5</v>
      </c>
      <c r="K2160" s="17">
        <f t="shared" si="1693"/>
        <v>52106</v>
      </c>
      <c r="L2160" s="17" t="s">
        <v>224</v>
      </c>
      <c r="M2160" s="17" t="str">
        <f t="shared" si="1697"/>
        <v>1:12000:5</v>
      </c>
      <c r="N2160" s="16" t="str">
        <f t="shared" si="1664"/>
        <v>143:1</v>
      </c>
      <c r="O2160" s="17">
        <f t="shared" si="1671"/>
        <v>2</v>
      </c>
      <c r="P2160" s="21" t="str">
        <f t="shared" si="1686"/>
        <v>所有牧师和法师防御增加:1</v>
      </c>
      <c r="Q2160" s="21"/>
      <c r="R2160" t="str">
        <f t="shared" si="1698"/>
        <v>防御</v>
      </c>
      <c r="T2160" t="str">
        <f t="shared" si="1699"/>
        <v>:1</v>
      </c>
      <c r="U2160" t="str">
        <f t="shared" si="1654"/>
        <v>牧师</v>
      </c>
      <c r="V2160" t="s">
        <v>4825</v>
      </c>
      <c r="W2160">
        <f>属性类型!G2160</f>
        <v>143</v>
      </c>
      <c r="X2160">
        <v>1</v>
      </c>
    </row>
    <row r="2161" customFormat="1" ht="16.5" spans="1:24">
      <c r="A2161" s="17">
        <f t="shared" si="1694"/>
        <v>52106</v>
      </c>
      <c r="B2161" s="17">
        <f t="shared" si="1700"/>
        <v>52100</v>
      </c>
      <c r="C2161" s="17" t="str">
        <f t="shared" si="1683"/>
        <v>5</v>
      </c>
      <c r="D2161" s="17">
        <f t="shared" si="1684"/>
        <v>50003</v>
      </c>
      <c r="E2161" s="17">
        <v>1</v>
      </c>
      <c r="F2161" s="17">
        <f t="shared" si="1670"/>
        <v>3</v>
      </c>
      <c r="G2161" s="17" t="str">
        <f t="shared" si="1695"/>
        <v>高级防御</v>
      </c>
      <c r="H2161" s="17" t="str">
        <f t="shared" si="1696"/>
        <v>icon_02</v>
      </c>
      <c r="I2161" s="20">
        <v>0</v>
      </c>
      <c r="J2161" s="17">
        <v>6</v>
      </c>
      <c r="K2161" s="17">
        <f t="shared" si="1693"/>
        <v>52107</v>
      </c>
      <c r="L2161" s="17" t="s">
        <v>227</v>
      </c>
      <c r="M2161" s="17" t="str">
        <f t="shared" si="1697"/>
        <v>1:12000:5</v>
      </c>
      <c r="N2161" s="16" t="str">
        <f t="shared" si="1664"/>
        <v>143:1</v>
      </c>
      <c r="O2161" s="17">
        <f t="shared" si="1671"/>
        <v>2</v>
      </c>
      <c r="P2161" s="21" t="str">
        <f t="shared" si="1686"/>
        <v>所有牧师和法师防御增加:1</v>
      </c>
      <c r="Q2161" s="21"/>
      <c r="R2161" t="str">
        <f t="shared" si="1698"/>
        <v>防御</v>
      </c>
      <c r="T2161" t="str">
        <f t="shared" si="1699"/>
        <v>:1</v>
      </c>
      <c r="U2161" t="str">
        <f t="shared" si="1654"/>
        <v>牧师</v>
      </c>
      <c r="V2161" t="s">
        <v>4825</v>
      </c>
      <c r="W2161">
        <f>属性类型!G2161</f>
        <v>143</v>
      </c>
      <c r="X2161">
        <v>1</v>
      </c>
    </row>
    <row r="2162" customFormat="1" ht="16.5" spans="1:24">
      <c r="A2162" s="17">
        <f t="shared" si="1694"/>
        <v>52107</v>
      </c>
      <c r="B2162" s="17">
        <f t="shared" si="1700"/>
        <v>52100</v>
      </c>
      <c r="C2162" s="17" t="str">
        <f t="shared" si="1683"/>
        <v>5</v>
      </c>
      <c r="D2162" s="17">
        <f t="shared" si="1684"/>
        <v>50003</v>
      </c>
      <c r="E2162" s="17">
        <v>1</v>
      </c>
      <c r="F2162" s="17">
        <f t="shared" si="1670"/>
        <v>3</v>
      </c>
      <c r="G2162" s="17" t="str">
        <f t="shared" si="1695"/>
        <v>高级防御</v>
      </c>
      <c r="H2162" s="17" t="str">
        <f t="shared" si="1696"/>
        <v>icon_02</v>
      </c>
      <c r="I2162" s="20">
        <v>0</v>
      </c>
      <c r="J2162" s="17">
        <v>7</v>
      </c>
      <c r="K2162" s="17">
        <f t="shared" si="1693"/>
        <v>52108</v>
      </c>
      <c r="L2162" s="17" t="s">
        <v>230</v>
      </c>
      <c r="M2162" s="17" t="str">
        <f t="shared" si="1697"/>
        <v>1:12000:5</v>
      </c>
      <c r="N2162" s="16" t="str">
        <f t="shared" si="1664"/>
        <v>143:1</v>
      </c>
      <c r="O2162" s="17">
        <f t="shared" si="1671"/>
        <v>2</v>
      </c>
      <c r="P2162" s="21" t="str">
        <f t="shared" si="1686"/>
        <v>所有牧师和法师防御增加:1</v>
      </c>
      <c r="Q2162" s="21"/>
      <c r="R2162" t="str">
        <f t="shared" si="1698"/>
        <v>防御</v>
      </c>
      <c r="T2162" t="str">
        <f t="shared" si="1699"/>
        <v>:1</v>
      </c>
      <c r="U2162" t="str">
        <f t="shared" si="1654"/>
        <v>牧师</v>
      </c>
      <c r="V2162" t="s">
        <v>4825</v>
      </c>
      <c r="W2162">
        <f>属性类型!G2162</f>
        <v>143</v>
      </c>
      <c r="X2162">
        <v>1</v>
      </c>
    </row>
    <row r="2163" customFormat="1" ht="16.5" spans="1:24">
      <c r="A2163" s="17">
        <f t="shared" si="1694"/>
        <v>52108</v>
      </c>
      <c r="B2163" s="17">
        <f t="shared" si="1700"/>
        <v>52100</v>
      </c>
      <c r="C2163" s="17" t="str">
        <f t="shared" si="1683"/>
        <v>5</v>
      </c>
      <c r="D2163" s="17">
        <f t="shared" si="1684"/>
        <v>50003</v>
      </c>
      <c r="E2163" s="17">
        <v>1</v>
      </c>
      <c r="F2163" s="17">
        <f t="shared" si="1670"/>
        <v>3</v>
      </c>
      <c r="G2163" s="17" t="str">
        <f t="shared" si="1695"/>
        <v>高级防御</v>
      </c>
      <c r="H2163" s="17" t="str">
        <f t="shared" si="1696"/>
        <v>icon_02</v>
      </c>
      <c r="I2163" s="20">
        <v>0</v>
      </c>
      <c r="J2163" s="17">
        <v>8</v>
      </c>
      <c r="K2163" s="17">
        <f t="shared" si="1693"/>
        <v>52109</v>
      </c>
      <c r="L2163" s="17" t="s">
        <v>233</v>
      </c>
      <c r="M2163" s="17" t="str">
        <f t="shared" si="1697"/>
        <v>1:12000:5</v>
      </c>
      <c r="N2163" s="16" t="str">
        <f t="shared" si="1664"/>
        <v>143:1</v>
      </c>
      <c r="O2163" s="17">
        <f t="shared" si="1671"/>
        <v>2</v>
      </c>
      <c r="P2163" s="21" t="str">
        <f t="shared" si="1686"/>
        <v>所有牧师和法师防御增加:1</v>
      </c>
      <c r="Q2163" s="21"/>
      <c r="R2163" t="str">
        <f t="shared" si="1698"/>
        <v>防御</v>
      </c>
      <c r="T2163" t="str">
        <f t="shared" si="1699"/>
        <v>:1</v>
      </c>
      <c r="U2163" t="str">
        <f t="shared" si="1654"/>
        <v>牧师</v>
      </c>
      <c r="V2163" t="s">
        <v>4825</v>
      </c>
      <c r="W2163">
        <f>属性类型!G2163</f>
        <v>143</v>
      </c>
      <c r="X2163">
        <v>1</v>
      </c>
    </row>
    <row r="2164" customFormat="1" ht="16.5" spans="1:24">
      <c r="A2164" s="17">
        <f t="shared" si="1694"/>
        <v>52109</v>
      </c>
      <c r="B2164" s="17">
        <f t="shared" si="1700"/>
        <v>52100</v>
      </c>
      <c r="C2164" s="17" t="str">
        <f t="shared" si="1683"/>
        <v>5</v>
      </c>
      <c r="D2164" s="17">
        <f t="shared" si="1684"/>
        <v>50003</v>
      </c>
      <c r="E2164" s="17">
        <v>1</v>
      </c>
      <c r="F2164" s="17">
        <f t="shared" si="1670"/>
        <v>3</v>
      </c>
      <c r="G2164" s="17" t="str">
        <f t="shared" si="1695"/>
        <v>高级防御</v>
      </c>
      <c r="H2164" s="17" t="str">
        <f t="shared" si="1696"/>
        <v>icon_02</v>
      </c>
      <c r="I2164" s="20">
        <v>0</v>
      </c>
      <c r="J2164" s="17">
        <v>9</v>
      </c>
      <c r="K2164" s="17">
        <f t="shared" si="1693"/>
        <v>52110</v>
      </c>
      <c r="L2164" s="17" t="s">
        <v>236</v>
      </c>
      <c r="M2164" s="17" t="str">
        <f t="shared" si="1697"/>
        <v>1:12000:5</v>
      </c>
      <c r="N2164" s="16" t="str">
        <f t="shared" si="1664"/>
        <v>143:1</v>
      </c>
      <c r="O2164" s="17">
        <f t="shared" si="1671"/>
        <v>2</v>
      </c>
      <c r="P2164" s="21" t="str">
        <f t="shared" si="1686"/>
        <v>所有牧师和法师防御增加:1</v>
      </c>
      <c r="Q2164" s="21"/>
      <c r="R2164" t="str">
        <f t="shared" si="1698"/>
        <v>防御</v>
      </c>
      <c r="T2164" t="str">
        <f t="shared" si="1699"/>
        <v>:1</v>
      </c>
      <c r="U2164" t="str">
        <f t="shared" si="1654"/>
        <v>牧师</v>
      </c>
      <c r="V2164" t="s">
        <v>4825</v>
      </c>
      <c r="W2164">
        <f>属性类型!G2164</f>
        <v>143</v>
      </c>
      <c r="X2164">
        <v>1</v>
      </c>
    </row>
    <row r="2165" customFormat="1" ht="16.5" spans="1:24">
      <c r="A2165" s="17">
        <f t="shared" si="1694"/>
        <v>52110</v>
      </c>
      <c r="B2165" s="17">
        <f t="shared" si="1700"/>
        <v>52100</v>
      </c>
      <c r="C2165" s="17" t="str">
        <f t="shared" si="1683"/>
        <v>5</v>
      </c>
      <c r="D2165" s="17">
        <f t="shared" si="1684"/>
        <v>50003</v>
      </c>
      <c r="E2165" s="17">
        <v>1</v>
      </c>
      <c r="F2165" s="17">
        <f t="shared" si="1670"/>
        <v>3</v>
      </c>
      <c r="G2165" s="17" t="str">
        <f t="shared" si="1695"/>
        <v>高级防御</v>
      </c>
      <c r="H2165" s="17" t="str">
        <f t="shared" si="1696"/>
        <v>icon_02</v>
      </c>
      <c r="I2165" s="20">
        <v>0</v>
      </c>
      <c r="J2165" s="17">
        <v>10</v>
      </c>
      <c r="K2165" s="17">
        <f t="shared" si="1693"/>
        <v>52111</v>
      </c>
      <c r="L2165" s="17" t="s">
        <v>238</v>
      </c>
      <c r="M2165" s="17" t="str">
        <f t="shared" si="1697"/>
        <v>1:12000:5</v>
      </c>
      <c r="N2165" s="16" t="str">
        <f t="shared" si="1664"/>
        <v>143:1</v>
      </c>
      <c r="O2165" s="17">
        <f t="shared" si="1671"/>
        <v>2</v>
      </c>
      <c r="P2165" s="21" t="str">
        <f t="shared" si="1686"/>
        <v>所有牧师和法师防御增加:1</v>
      </c>
      <c r="Q2165" s="21"/>
      <c r="R2165" t="str">
        <f t="shared" si="1698"/>
        <v>防御</v>
      </c>
      <c r="T2165" t="str">
        <f t="shared" si="1699"/>
        <v>:1</v>
      </c>
      <c r="U2165" t="str">
        <f t="shared" si="1654"/>
        <v>牧师</v>
      </c>
      <c r="V2165" t="s">
        <v>4825</v>
      </c>
      <c r="W2165">
        <f>属性类型!G2165</f>
        <v>143</v>
      </c>
      <c r="X2165">
        <v>1</v>
      </c>
    </row>
    <row r="2166" customFormat="1" ht="16.5" spans="1:24">
      <c r="A2166" s="17">
        <f t="shared" si="1694"/>
        <v>52111</v>
      </c>
      <c r="B2166" s="17">
        <f t="shared" si="1700"/>
        <v>52100</v>
      </c>
      <c r="C2166" s="17" t="str">
        <f t="shared" si="1683"/>
        <v>5</v>
      </c>
      <c r="D2166" s="17">
        <f t="shared" si="1684"/>
        <v>50003</v>
      </c>
      <c r="E2166" s="17">
        <v>1</v>
      </c>
      <c r="F2166" s="17">
        <f t="shared" si="1670"/>
        <v>3</v>
      </c>
      <c r="G2166" s="17" t="str">
        <f t="shared" si="1695"/>
        <v>高级防御</v>
      </c>
      <c r="H2166" s="17" t="str">
        <f t="shared" si="1696"/>
        <v>icon_02</v>
      </c>
      <c r="I2166" s="20">
        <v>0</v>
      </c>
      <c r="J2166" s="17">
        <v>11</v>
      </c>
      <c r="K2166" s="17">
        <f t="shared" si="1693"/>
        <v>52112</v>
      </c>
      <c r="L2166" s="17" t="s">
        <v>529</v>
      </c>
      <c r="M2166" s="17" t="str">
        <f t="shared" si="1697"/>
        <v>1:12000:5</v>
      </c>
      <c r="N2166" s="16" t="str">
        <f t="shared" si="1664"/>
        <v>143:1</v>
      </c>
      <c r="O2166" s="17">
        <f t="shared" si="1671"/>
        <v>2</v>
      </c>
      <c r="P2166" s="21" t="str">
        <f t="shared" si="1686"/>
        <v>所有牧师和法师防御增加:1</v>
      </c>
      <c r="Q2166" s="21"/>
      <c r="R2166" t="str">
        <f t="shared" si="1698"/>
        <v>防御</v>
      </c>
      <c r="T2166" t="str">
        <f t="shared" si="1699"/>
        <v>:1</v>
      </c>
      <c r="U2166" t="str">
        <f t="shared" si="1654"/>
        <v>牧师</v>
      </c>
      <c r="V2166" t="s">
        <v>4825</v>
      </c>
      <c r="W2166">
        <f>属性类型!G2166</f>
        <v>143</v>
      </c>
      <c r="X2166">
        <v>1</v>
      </c>
    </row>
    <row r="2167" customFormat="1" ht="16.5" spans="1:24">
      <c r="A2167" s="17">
        <f t="shared" si="1694"/>
        <v>52112</v>
      </c>
      <c r="B2167" s="17">
        <f t="shared" si="1700"/>
        <v>52100</v>
      </c>
      <c r="C2167" s="17" t="str">
        <f t="shared" si="1683"/>
        <v>5</v>
      </c>
      <c r="D2167" s="17">
        <f t="shared" ref="D2167:D2230" si="1701">$A$1864+F2167</f>
        <v>50003</v>
      </c>
      <c r="E2167" s="17">
        <v>1</v>
      </c>
      <c r="F2167" s="17">
        <f t="shared" si="1670"/>
        <v>3</v>
      </c>
      <c r="G2167" s="17" t="str">
        <f t="shared" si="1695"/>
        <v>高级防御</v>
      </c>
      <c r="H2167" s="17" t="str">
        <f t="shared" si="1696"/>
        <v>icon_02</v>
      </c>
      <c r="I2167" s="20">
        <v>0</v>
      </c>
      <c r="J2167" s="17">
        <v>12</v>
      </c>
      <c r="K2167" s="17">
        <f t="shared" si="1693"/>
        <v>52113</v>
      </c>
      <c r="L2167" s="17" t="s">
        <v>532</v>
      </c>
      <c r="M2167" s="17" t="str">
        <f t="shared" si="1697"/>
        <v>1:12000:5</v>
      </c>
      <c r="N2167" s="16" t="str">
        <f t="shared" si="1664"/>
        <v>143:1</v>
      </c>
      <c r="O2167" s="17">
        <f t="shared" si="1671"/>
        <v>2</v>
      </c>
      <c r="P2167" s="21" t="str">
        <f t="shared" si="1686"/>
        <v>所有牧师和法师防御增加:1</v>
      </c>
      <c r="Q2167" s="21"/>
      <c r="R2167" t="str">
        <f t="shared" si="1698"/>
        <v>防御</v>
      </c>
      <c r="T2167" t="str">
        <f t="shared" si="1699"/>
        <v>:1</v>
      </c>
      <c r="U2167" t="str">
        <f t="shared" si="1654"/>
        <v>牧师</v>
      </c>
      <c r="V2167" t="s">
        <v>4825</v>
      </c>
      <c r="W2167">
        <f>属性类型!G2167</f>
        <v>143</v>
      </c>
      <c r="X2167">
        <v>1</v>
      </c>
    </row>
    <row r="2168" customFormat="1" ht="16.5" spans="1:24">
      <c r="A2168" s="17">
        <f t="shared" si="1694"/>
        <v>52113</v>
      </c>
      <c r="B2168" s="17">
        <f t="shared" si="1700"/>
        <v>52100</v>
      </c>
      <c r="C2168" s="17" t="str">
        <f t="shared" si="1683"/>
        <v>5</v>
      </c>
      <c r="D2168" s="17">
        <f t="shared" si="1701"/>
        <v>50003</v>
      </c>
      <c r="E2168" s="17">
        <v>1</v>
      </c>
      <c r="F2168" s="17">
        <f t="shared" si="1670"/>
        <v>3</v>
      </c>
      <c r="G2168" s="17" t="str">
        <f t="shared" si="1695"/>
        <v>高级防御</v>
      </c>
      <c r="H2168" s="17" t="str">
        <f t="shared" si="1696"/>
        <v>icon_02</v>
      </c>
      <c r="I2168" s="20">
        <v>0</v>
      </c>
      <c r="J2168" s="17">
        <v>13</v>
      </c>
      <c r="K2168" s="17">
        <f t="shared" si="1693"/>
        <v>52114</v>
      </c>
      <c r="L2168" s="17" t="s">
        <v>561</v>
      </c>
      <c r="M2168" s="17" t="str">
        <f t="shared" si="1697"/>
        <v>1:12000:5</v>
      </c>
      <c r="N2168" s="16" t="str">
        <f t="shared" si="1664"/>
        <v>143:1</v>
      </c>
      <c r="O2168" s="17">
        <f t="shared" si="1671"/>
        <v>2</v>
      </c>
      <c r="P2168" s="21" t="str">
        <f t="shared" si="1686"/>
        <v>所有牧师和法师防御增加:1</v>
      </c>
      <c r="Q2168" s="21"/>
      <c r="R2168" t="str">
        <f t="shared" si="1698"/>
        <v>防御</v>
      </c>
      <c r="T2168" t="str">
        <f t="shared" si="1699"/>
        <v>:1</v>
      </c>
      <c r="U2168" t="str">
        <f t="shared" si="1654"/>
        <v>牧师</v>
      </c>
      <c r="V2168" t="s">
        <v>4825</v>
      </c>
      <c r="W2168">
        <f>属性类型!G2168</f>
        <v>143</v>
      </c>
      <c r="X2168">
        <v>1</v>
      </c>
    </row>
    <row r="2169" customFormat="1" ht="16.5" spans="1:24">
      <c r="A2169" s="17">
        <f t="shared" si="1694"/>
        <v>52114</v>
      </c>
      <c r="B2169" s="17">
        <f t="shared" si="1700"/>
        <v>52100</v>
      </c>
      <c r="C2169" s="17" t="str">
        <f t="shared" si="1683"/>
        <v>5</v>
      </c>
      <c r="D2169" s="17">
        <f t="shared" si="1701"/>
        <v>50003</v>
      </c>
      <c r="E2169" s="17">
        <v>1</v>
      </c>
      <c r="F2169" s="17">
        <f t="shared" si="1670"/>
        <v>3</v>
      </c>
      <c r="G2169" s="17" t="str">
        <f t="shared" si="1695"/>
        <v>高级防御</v>
      </c>
      <c r="H2169" s="17" t="str">
        <f t="shared" si="1696"/>
        <v>icon_02</v>
      </c>
      <c r="I2169" s="20">
        <v>0</v>
      </c>
      <c r="J2169" s="17">
        <v>14</v>
      </c>
      <c r="K2169" s="17">
        <f t="shared" si="1693"/>
        <v>52115</v>
      </c>
      <c r="L2169" s="17" t="s">
        <v>564</v>
      </c>
      <c r="M2169" s="17" t="str">
        <f t="shared" si="1697"/>
        <v>1:12000:5</v>
      </c>
      <c r="N2169" s="16" t="str">
        <f t="shared" si="1664"/>
        <v>143:1</v>
      </c>
      <c r="O2169" s="17">
        <f t="shared" si="1671"/>
        <v>2</v>
      </c>
      <c r="P2169" s="21" t="str">
        <f t="shared" si="1686"/>
        <v>所有牧师和法师防御增加:1</v>
      </c>
      <c r="Q2169" s="21"/>
      <c r="R2169" t="str">
        <f t="shared" si="1698"/>
        <v>防御</v>
      </c>
      <c r="T2169" t="str">
        <f t="shared" si="1699"/>
        <v>:1</v>
      </c>
      <c r="U2169" t="str">
        <f t="shared" si="1654"/>
        <v>牧师</v>
      </c>
      <c r="V2169" t="s">
        <v>4825</v>
      </c>
      <c r="W2169">
        <f>属性类型!G2169</f>
        <v>143</v>
      </c>
      <c r="X2169">
        <v>1</v>
      </c>
    </row>
    <row r="2170" customFormat="1" ht="16.5" spans="1:24">
      <c r="A2170" s="17">
        <f t="shared" si="1694"/>
        <v>52115</v>
      </c>
      <c r="B2170" s="17">
        <f t="shared" si="1700"/>
        <v>52100</v>
      </c>
      <c r="C2170" s="17" t="str">
        <f t="shared" si="1683"/>
        <v>5</v>
      </c>
      <c r="D2170" s="17">
        <f t="shared" si="1701"/>
        <v>50003</v>
      </c>
      <c r="E2170" s="17">
        <v>1</v>
      </c>
      <c r="F2170" s="17">
        <f t="shared" si="1670"/>
        <v>3</v>
      </c>
      <c r="G2170" s="17" t="str">
        <f t="shared" si="1695"/>
        <v>高级防御</v>
      </c>
      <c r="H2170" s="17" t="str">
        <f t="shared" si="1696"/>
        <v>icon_02</v>
      </c>
      <c r="I2170" s="20">
        <v>0</v>
      </c>
      <c r="J2170" s="17">
        <v>15</v>
      </c>
      <c r="K2170" s="17">
        <v>0</v>
      </c>
      <c r="L2170" s="17">
        <v>0</v>
      </c>
      <c r="M2170" s="17" t="str">
        <f t="shared" si="1697"/>
        <v>1:12000:5</v>
      </c>
      <c r="N2170" s="16" t="str">
        <f t="shared" si="1664"/>
        <v>143:1</v>
      </c>
      <c r="O2170" s="17">
        <f t="shared" si="1671"/>
        <v>2</v>
      </c>
      <c r="P2170" s="21" t="str">
        <f t="shared" si="1686"/>
        <v>所有牧师和法师防御增加:1</v>
      </c>
      <c r="Q2170" s="21"/>
      <c r="R2170" t="str">
        <f t="shared" si="1698"/>
        <v>防御</v>
      </c>
      <c r="T2170" t="str">
        <f t="shared" si="1699"/>
        <v>:1</v>
      </c>
      <c r="U2170" t="str">
        <f t="shared" si="1654"/>
        <v>牧师</v>
      </c>
      <c r="V2170" t="s">
        <v>4825</v>
      </c>
      <c r="W2170">
        <f>属性类型!G2170</f>
        <v>143</v>
      </c>
      <c r="X2170">
        <v>1</v>
      </c>
    </row>
    <row r="2171" customFormat="1" ht="16.5" spans="1:24">
      <c r="A2171" s="18">
        <f>A2155+100</f>
        <v>52200</v>
      </c>
      <c r="B2171" s="18">
        <f t="shared" si="1700"/>
        <v>52200</v>
      </c>
      <c r="C2171" s="18" t="str">
        <f t="shared" si="1683"/>
        <v>5</v>
      </c>
      <c r="D2171" s="17">
        <f t="shared" si="1701"/>
        <v>50003</v>
      </c>
      <c r="E2171" s="17">
        <v>1</v>
      </c>
      <c r="F2171" s="18">
        <f t="shared" si="1670"/>
        <v>3</v>
      </c>
      <c r="G2171" s="18" t="s">
        <v>568</v>
      </c>
      <c r="H2171" s="18" t="s">
        <v>80</v>
      </c>
      <c r="I2171" s="20">
        <v>0</v>
      </c>
      <c r="J2171" s="18">
        <v>0</v>
      </c>
      <c r="K2171" s="18">
        <f t="shared" ref="K2171:K2185" si="1702">A2172</f>
        <v>52201</v>
      </c>
      <c r="L2171" s="18" t="s">
        <v>206</v>
      </c>
      <c r="M2171" s="18" t="s">
        <v>545</v>
      </c>
      <c r="N2171" s="16" t="str">
        <f t="shared" si="1664"/>
        <v>142:1</v>
      </c>
      <c r="O2171" s="18">
        <f t="shared" si="1671"/>
        <v>3</v>
      </c>
      <c r="P2171" s="21" t="str">
        <f t="shared" si="1686"/>
        <v>所有牧师和法师攻击增加1</v>
      </c>
      <c r="Q2171" s="21"/>
      <c r="R2171" t="s">
        <v>4274</v>
      </c>
      <c r="T2171" t="str">
        <f>RIGHT(N2171,1)</f>
        <v>1</v>
      </c>
      <c r="U2171" t="str">
        <f t="shared" si="1654"/>
        <v>牧师</v>
      </c>
      <c r="V2171" t="s">
        <v>4826</v>
      </c>
      <c r="W2171">
        <f>属性类型!G2171</f>
        <v>142</v>
      </c>
      <c r="X2171">
        <v>1</v>
      </c>
    </row>
    <row r="2172" customFormat="1" ht="16.5" spans="1:24">
      <c r="A2172" s="17">
        <f t="shared" ref="A2172:A2186" si="1703">A2171+1</f>
        <v>52201</v>
      </c>
      <c r="B2172" s="17">
        <f t="shared" si="1700"/>
        <v>52200</v>
      </c>
      <c r="C2172" s="17" t="str">
        <f t="shared" si="1683"/>
        <v>5</v>
      </c>
      <c r="D2172" s="17">
        <f t="shared" si="1701"/>
        <v>50003</v>
      </c>
      <c r="E2172" s="17">
        <v>1</v>
      </c>
      <c r="F2172" s="17">
        <f t="shared" si="1670"/>
        <v>3</v>
      </c>
      <c r="G2172" s="17" t="str">
        <f t="shared" ref="G2172:G2186" si="1704">G2171</f>
        <v>高级攻击</v>
      </c>
      <c r="H2172" s="17" t="str">
        <f t="shared" ref="H2172:H2186" si="1705">H2171</f>
        <v>icon_03</v>
      </c>
      <c r="I2172" s="20">
        <v>0</v>
      </c>
      <c r="J2172" s="17">
        <v>1</v>
      </c>
      <c r="K2172" s="17">
        <f t="shared" si="1702"/>
        <v>52202</v>
      </c>
      <c r="L2172" s="17" t="s">
        <v>211</v>
      </c>
      <c r="M2172" s="17" t="str">
        <f t="shared" ref="M2172:M2186" si="1706">M2171</f>
        <v>1:12000:5</v>
      </c>
      <c r="N2172" s="16" t="str">
        <f t="shared" si="1664"/>
        <v>142:1</v>
      </c>
      <c r="O2172" s="17">
        <f t="shared" si="1671"/>
        <v>3</v>
      </c>
      <c r="P2172" s="21" t="str">
        <f t="shared" si="1686"/>
        <v>所有牧师和法师攻击增加:1</v>
      </c>
      <c r="Q2172" s="21"/>
      <c r="R2172" t="str">
        <f t="shared" ref="R2172:R2186" si="1707">R2171</f>
        <v>攻击</v>
      </c>
      <c r="T2172" t="str">
        <f t="shared" ref="T2172:T2186" si="1708">RIGHT(N2172,2)</f>
        <v>:1</v>
      </c>
      <c r="U2172" t="str">
        <f t="shared" si="1654"/>
        <v>牧师</v>
      </c>
      <c r="V2172" t="s">
        <v>4826</v>
      </c>
      <c r="W2172">
        <f>属性类型!G2172</f>
        <v>142</v>
      </c>
      <c r="X2172">
        <v>1</v>
      </c>
    </row>
    <row r="2173" customFormat="1" ht="16.5" spans="1:24">
      <c r="A2173" s="17">
        <f t="shared" si="1703"/>
        <v>52202</v>
      </c>
      <c r="B2173" s="17">
        <f t="shared" si="1700"/>
        <v>52200</v>
      </c>
      <c r="C2173" s="17" t="str">
        <f t="shared" si="1683"/>
        <v>5</v>
      </c>
      <c r="D2173" s="17">
        <f t="shared" si="1701"/>
        <v>50003</v>
      </c>
      <c r="E2173" s="17">
        <v>1</v>
      </c>
      <c r="F2173" s="17">
        <f t="shared" si="1670"/>
        <v>3</v>
      </c>
      <c r="G2173" s="17" t="str">
        <f t="shared" si="1704"/>
        <v>高级攻击</v>
      </c>
      <c r="H2173" s="17" t="str">
        <f t="shared" si="1705"/>
        <v>icon_03</v>
      </c>
      <c r="I2173" s="20">
        <v>0</v>
      </c>
      <c r="J2173" s="17">
        <v>2</v>
      </c>
      <c r="K2173" s="17">
        <f t="shared" si="1702"/>
        <v>52203</v>
      </c>
      <c r="L2173" s="17" t="s">
        <v>215</v>
      </c>
      <c r="M2173" s="17" t="str">
        <f t="shared" si="1706"/>
        <v>1:12000:5</v>
      </c>
      <c r="N2173" s="16" t="str">
        <f t="shared" si="1664"/>
        <v>142:1</v>
      </c>
      <c r="O2173" s="17">
        <f t="shared" si="1671"/>
        <v>3</v>
      </c>
      <c r="P2173" s="21" t="str">
        <f t="shared" si="1686"/>
        <v>所有牧师和法师攻击增加:1</v>
      </c>
      <c r="Q2173" s="21"/>
      <c r="R2173" t="str">
        <f t="shared" si="1707"/>
        <v>攻击</v>
      </c>
      <c r="T2173" t="str">
        <f t="shared" si="1708"/>
        <v>:1</v>
      </c>
      <c r="U2173" t="str">
        <f t="shared" si="1654"/>
        <v>牧师</v>
      </c>
      <c r="V2173" t="s">
        <v>4826</v>
      </c>
      <c r="W2173">
        <f>属性类型!G2173</f>
        <v>142</v>
      </c>
      <c r="X2173">
        <v>1</v>
      </c>
    </row>
    <row r="2174" customFormat="1" ht="16.5" spans="1:24">
      <c r="A2174" s="17">
        <f t="shared" si="1703"/>
        <v>52203</v>
      </c>
      <c r="B2174" s="17">
        <f t="shared" si="1700"/>
        <v>52200</v>
      </c>
      <c r="C2174" s="17" t="str">
        <f t="shared" si="1683"/>
        <v>5</v>
      </c>
      <c r="D2174" s="17">
        <f t="shared" si="1701"/>
        <v>50003</v>
      </c>
      <c r="E2174" s="17">
        <v>1</v>
      </c>
      <c r="F2174" s="17">
        <f t="shared" si="1670"/>
        <v>3</v>
      </c>
      <c r="G2174" s="17" t="str">
        <f t="shared" si="1704"/>
        <v>高级攻击</v>
      </c>
      <c r="H2174" s="17" t="str">
        <f t="shared" si="1705"/>
        <v>icon_03</v>
      </c>
      <c r="I2174" s="20">
        <v>0</v>
      </c>
      <c r="J2174" s="17">
        <v>3</v>
      </c>
      <c r="K2174" s="17">
        <f t="shared" si="1702"/>
        <v>52204</v>
      </c>
      <c r="L2174" s="17" t="s">
        <v>218</v>
      </c>
      <c r="M2174" s="17" t="str">
        <f t="shared" si="1706"/>
        <v>1:12000:5</v>
      </c>
      <c r="N2174" s="16" t="str">
        <f t="shared" si="1664"/>
        <v>142:1</v>
      </c>
      <c r="O2174" s="17">
        <f t="shared" si="1671"/>
        <v>3</v>
      </c>
      <c r="P2174" s="21" t="str">
        <f t="shared" si="1686"/>
        <v>所有牧师和法师攻击增加:1</v>
      </c>
      <c r="Q2174" s="21"/>
      <c r="R2174" t="str">
        <f t="shared" si="1707"/>
        <v>攻击</v>
      </c>
      <c r="T2174" t="str">
        <f t="shared" si="1708"/>
        <v>:1</v>
      </c>
      <c r="U2174" t="str">
        <f t="shared" si="1654"/>
        <v>牧师</v>
      </c>
      <c r="V2174" t="s">
        <v>4826</v>
      </c>
      <c r="W2174">
        <f>属性类型!G2174</f>
        <v>142</v>
      </c>
      <c r="X2174">
        <v>1</v>
      </c>
    </row>
    <row r="2175" customFormat="1" ht="16.5" spans="1:24">
      <c r="A2175" s="17">
        <f t="shared" si="1703"/>
        <v>52204</v>
      </c>
      <c r="B2175" s="17">
        <f t="shared" si="1700"/>
        <v>52200</v>
      </c>
      <c r="C2175" s="17" t="str">
        <f t="shared" si="1683"/>
        <v>5</v>
      </c>
      <c r="D2175" s="17">
        <f t="shared" si="1701"/>
        <v>50003</v>
      </c>
      <c r="E2175" s="17">
        <v>1</v>
      </c>
      <c r="F2175" s="17">
        <f t="shared" si="1670"/>
        <v>3</v>
      </c>
      <c r="G2175" s="17" t="str">
        <f t="shared" si="1704"/>
        <v>高级攻击</v>
      </c>
      <c r="H2175" s="17" t="str">
        <f t="shared" si="1705"/>
        <v>icon_03</v>
      </c>
      <c r="I2175" s="20">
        <v>0</v>
      </c>
      <c r="J2175" s="17">
        <v>4</v>
      </c>
      <c r="K2175" s="17">
        <f t="shared" si="1702"/>
        <v>52205</v>
      </c>
      <c r="L2175" s="17" t="s">
        <v>221</v>
      </c>
      <c r="M2175" s="17" t="str">
        <f t="shared" si="1706"/>
        <v>1:12000:5</v>
      </c>
      <c r="N2175" s="16" t="str">
        <f t="shared" si="1664"/>
        <v>142:1</v>
      </c>
      <c r="O2175" s="17">
        <f t="shared" si="1671"/>
        <v>3</v>
      </c>
      <c r="P2175" s="21" t="str">
        <f t="shared" si="1686"/>
        <v>所有牧师和法师攻击增加:1</v>
      </c>
      <c r="Q2175" s="21"/>
      <c r="R2175" t="str">
        <f t="shared" si="1707"/>
        <v>攻击</v>
      </c>
      <c r="T2175" t="str">
        <f t="shared" si="1708"/>
        <v>:1</v>
      </c>
      <c r="U2175" t="str">
        <f t="shared" si="1654"/>
        <v>牧师</v>
      </c>
      <c r="V2175" t="s">
        <v>4826</v>
      </c>
      <c r="W2175">
        <f>属性类型!G2175</f>
        <v>142</v>
      </c>
      <c r="X2175">
        <v>1</v>
      </c>
    </row>
    <row r="2176" customFormat="1" ht="16.5" spans="1:24">
      <c r="A2176" s="17">
        <f t="shared" si="1703"/>
        <v>52205</v>
      </c>
      <c r="B2176" s="17">
        <f t="shared" si="1700"/>
        <v>52200</v>
      </c>
      <c r="C2176" s="17" t="str">
        <f t="shared" si="1683"/>
        <v>5</v>
      </c>
      <c r="D2176" s="17">
        <f t="shared" si="1701"/>
        <v>50003</v>
      </c>
      <c r="E2176" s="17">
        <v>1</v>
      </c>
      <c r="F2176" s="17">
        <f t="shared" si="1670"/>
        <v>3</v>
      </c>
      <c r="G2176" s="17" t="str">
        <f t="shared" si="1704"/>
        <v>高级攻击</v>
      </c>
      <c r="H2176" s="17" t="str">
        <f t="shared" si="1705"/>
        <v>icon_03</v>
      </c>
      <c r="I2176" s="20">
        <v>0</v>
      </c>
      <c r="J2176" s="17">
        <v>5</v>
      </c>
      <c r="K2176" s="17">
        <f t="shared" si="1702"/>
        <v>52206</v>
      </c>
      <c r="L2176" s="17" t="s">
        <v>224</v>
      </c>
      <c r="M2176" s="17" t="str">
        <f t="shared" si="1706"/>
        <v>1:12000:5</v>
      </c>
      <c r="N2176" s="16" t="str">
        <f t="shared" si="1664"/>
        <v>142:1</v>
      </c>
      <c r="O2176" s="17">
        <f t="shared" si="1671"/>
        <v>3</v>
      </c>
      <c r="P2176" s="21" t="str">
        <f t="shared" si="1686"/>
        <v>所有牧师和法师攻击增加:1</v>
      </c>
      <c r="Q2176" s="21"/>
      <c r="R2176" t="str">
        <f t="shared" si="1707"/>
        <v>攻击</v>
      </c>
      <c r="T2176" t="str">
        <f t="shared" si="1708"/>
        <v>:1</v>
      </c>
      <c r="U2176" t="str">
        <f t="shared" si="1654"/>
        <v>牧师</v>
      </c>
      <c r="V2176" t="s">
        <v>4826</v>
      </c>
      <c r="W2176">
        <f>属性类型!G2176</f>
        <v>142</v>
      </c>
      <c r="X2176">
        <v>1</v>
      </c>
    </row>
    <row r="2177" customFormat="1" ht="16.5" spans="1:24">
      <c r="A2177" s="17">
        <f t="shared" si="1703"/>
        <v>52206</v>
      </c>
      <c r="B2177" s="17">
        <f t="shared" si="1700"/>
        <v>52200</v>
      </c>
      <c r="C2177" s="17" t="str">
        <f t="shared" si="1683"/>
        <v>5</v>
      </c>
      <c r="D2177" s="17">
        <f t="shared" si="1701"/>
        <v>50003</v>
      </c>
      <c r="E2177" s="17">
        <v>1</v>
      </c>
      <c r="F2177" s="17">
        <f t="shared" si="1670"/>
        <v>3</v>
      </c>
      <c r="G2177" s="17" t="str">
        <f t="shared" si="1704"/>
        <v>高级攻击</v>
      </c>
      <c r="H2177" s="17" t="str">
        <f t="shared" si="1705"/>
        <v>icon_03</v>
      </c>
      <c r="I2177" s="20">
        <v>0</v>
      </c>
      <c r="J2177" s="17">
        <v>6</v>
      </c>
      <c r="K2177" s="17">
        <f t="shared" si="1702"/>
        <v>52207</v>
      </c>
      <c r="L2177" s="17" t="s">
        <v>227</v>
      </c>
      <c r="M2177" s="17" t="str">
        <f t="shared" si="1706"/>
        <v>1:12000:5</v>
      </c>
      <c r="N2177" s="16" t="str">
        <f t="shared" si="1664"/>
        <v>142:1</v>
      </c>
      <c r="O2177" s="17">
        <f t="shared" si="1671"/>
        <v>3</v>
      </c>
      <c r="P2177" s="21" t="str">
        <f t="shared" si="1686"/>
        <v>所有牧师和法师攻击增加:1</v>
      </c>
      <c r="Q2177" s="21"/>
      <c r="R2177" t="str">
        <f t="shared" si="1707"/>
        <v>攻击</v>
      </c>
      <c r="T2177" t="str">
        <f t="shared" si="1708"/>
        <v>:1</v>
      </c>
      <c r="U2177" t="str">
        <f t="shared" si="1654"/>
        <v>牧师</v>
      </c>
      <c r="V2177" t="s">
        <v>4826</v>
      </c>
      <c r="W2177">
        <f>属性类型!G2177</f>
        <v>142</v>
      </c>
      <c r="X2177">
        <v>1</v>
      </c>
    </row>
    <row r="2178" customFormat="1" ht="16.5" spans="1:24">
      <c r="A2178" s="17">
        <f t="shared" si="1703"/>
        <v>52207</v>
      </c>
      <c r="B2178" s="17">
        <f t="shared" si="1700"/>
        <v>52200</v>
      </c>
      <c r="C2178" s="17" t="str">
        <f t="shared" si="1683"/>
        <v>5</v>
      </c>
      <c r="D2178" s="17">
        <f t="shared" si="1701"/>
        <v>50003</v>
      </c>
      <c r="E2178" s="17">
        <v>1</v>
      </c>
      <c r="F2178" s="17">
        <f t="shared" si="1670"/>
        <v>3</v>
      </c>
      <c r="G2178" s="17" t="str">
        <f t="shared" si="1704"/>
        <v>高级攻击</v>
      </c>
      <c r="H2178" s="17" t="str">
        <f t="shared" si="1705"/>
        <v>icon_03</v>
      </c>
      <c r="I2178" s="20">
        <v>0</v>
      </c>
      <c r="J2178" s="17">
        <v>7</v>
      </c>
      <c r="K2178" s="17">
        <f t="shared" si="1702"/>
        <v>52208</v>
      </c>
      <c r="L2178" s="17" t="s">
        <v>230</v>
      </c>
      <c r="M2178" s="17" t="str">
        <f t="shared" si="1706"/>
        <v>1:12000:5</v>
      </c>
      <c r="N2178" s="16" t="str">
        <f t="shared" si="1664"/>
        <v>142:1</v>
      </c>
      <c r="O2178" s="17">
        <f t="shared" si="1671"/>
        <v>3</v>
      </c>
      <c r="P2178" s="21" t="str">
        <f t="shared" si="1686"/>
        <v>所有牧师和法师攻击增加:1</v>
      </c>
      <c r="Q2178" s="21"/>
      <c r="R2178" t="str">
        <f t="shared" si="1707"/>
        <v>攻击</v>
      </c>
      <c r="T2178" t="str">
        <f t="shared" si="1708"/>
        <v>:1</v>
      </c>
      <c r="U2178" t="str">
        <f t="shared" si="1654"/>
        <v>牧师</v>
      </c>
      <c r="V2178" t="s">
        <v>4826</v>
      </c>
      <c r="W2178">
        <f>属性类型!G2178</f>
        <v>142</v>
      </c>
      <c r="X2178">
        <v>1</v>
      </c>
    </row>
    <row r="2179" customFormat="1" ht="16.5" spans="1:24">
      <c r="A2179" s="17">
        <f t="shared" si="1703"/>
        <v>52208</v>
      </c>
      <c r="B2179" s="17">
        <f t="shared" si="1700"/>
        <v>52200</v>
      </c>
      <c r="C2179" s="17" t="str">
        <f t="shared" si="1683"/>
        <v>5</v>
      </c>
      <c r="D2179" s="17">
        <f t="shared" si="1701"/>
        <v>50003</v>
      </c>
      <c r="E2179" s="17">
        <v>1</v>
      </c>
      <c r="F2179" s="17">
        <f t="shared" si="1670"/>
        <v>3</v>
      </c>
      <c r="G2179" s="17" t="str">
        <f t="shared" si="1704"/>
        <v>高级攻击</v>
      </c>
      <c r="H2179" s="17" t="str">
        <f t="shared" si="1705"/>
        <v>icon_03</v>
      </c>
      <c r="I2179" s="20">
        <v>0</v>
      </c>
      <c r="J2179" s="17">
        <v>8</v>
      </c>
      <c r="K2179" s="17">
        <f t="shared" si="1702"/>
        <v>52209</v>
      </c>
      <c r="L2179" s="17" t="s">
        <v>233</v>
      </c>
      <c r="M2179" s="17" t="str">
        <f t="shared" si="1706"/>
        <v>1:12000:5</v>
      </c>
      <c r="N2179" s="16" t="str">
        <f t="shared" si="1664"/>
        <v>142:1</v>
      </c>
      <c r="O2179" s="17">
        <f t="shared" si="1671"/>
        <v>3</v>
      </c>
      <c r="P2179" s="21" t="str">
        <f t="shared" si="1686"/>
        <v>所有牧师和法师攻击增加:1</v>
      </c>
      <c r="Q2179" s="21"/>
      <c r="R2179" t="str">
        <f t="shared" si="1707"/>
        <v>攻击</v>
      </c>
      <c r="T2179" t="str">
        <f t="shared" si="1708"/>
        <v>:1</v>
      </c>
      <c r="U2179" t="str">
        <f t="shared" si="1654"/>
        <v>牧师</v>
      </c>
      <c r="V2179" t="s">
        <v>4826</v>
      </c>
      <c r="W2179">
        <f>属性类型!G2179</f>
        <v>142</v>
      </c>
      <c r="X2179">
        <v>1</v>
      </c>
    </row>
    <row r="2180" customFormat="1" ht="16.5" spans="1:24">
      <c r="A2180" s="17">
        <f t="shared" si="1703"/>
        <v>52209</v>
      </c>
      <c r="B2180" s="17">
        <f t="shared" si="1700"/>
        <v>52200</v>
      </c>
      <c r="C2180" s="17" t="str">
        <f t="shared" ref="C2180:C2243" si="1709">LEFT(A2180,1)</f>
        <v>5</v>
      </c>
      <c r="D2180" s="17">
        <f t="shared" si="1701"/>
        <v>50003</v>
      </c>
      <c r="E2180" s="17">
        <v>1</v>
      </c>
      <c r="F2180" s="17">
        <f t="shared" si="1670"/>
        <v>3</v>
      </c>
      <c r="G2180" s="17" t="str">
        <f t="shared" si="1704"/>
        <v>高级攻击</v>
      </c>
      <c r="H2180" s="17" t="str">
        <f t="shared" si="1705"/>
        <v>icon_03</v>
      </c>
      <c r="I2180" s="20">
        <v>0</v>
      </c>
      <c r="J2180" s="17">
        <v>9</v>
      </c>
      <c r="K2180" s="17">
        <f t="shared" si="1702"/>
        <v>52210</v>
      </c>
      <c r="L2180" s="17" t="s">
        <v>236</v>
      </c>
      <c r="M2180" s="17" t="str">
        <f t="shared" si="1706"/>
        <v>1:12000:5</v>
      </c>
      <c r="N2180" s="16" t="str">
        <f t="shared" si="1664"/>
        <v>142:1</v>
      </c>
      <c r="O2180" s="17">
        <f t="shared" si="1671"/>
        <v>3</v>
      </c>
      <c r="P2180" s="21" t="str">
        <f t="shared" si="1686"/>
        <v>所有牧师和法师攻击增加:1</v>
      </c>
      <c r="Q2180" s="21"/>
      <c r="R2180" t="str">
        <f t="shared" si="1707"/>
        <v>攻击</v>
      </c>
      <c r="T2180" t="str">
        <f t="shared" si="1708"/>
        <v>:1</v>
      </c>
      <c r="U2180" t="str">
        <f t="shared" si="1654"/>
        <v>牧师</v>
      </c>
      <c r="V2180" t="s">
        <v>4826</v>
      </c>
      <c r="W2180">
        <f>属性类型!G2180</f>
        <v>142</v>
      </c>
      <c r="X2180">
        <v>1</v>
      </c>
    </row>
    <row r="2181" customFormat="1" ht="16.5" spans="1:24">
      <c r="A2181" s="17">
        <f t="shared" si="1703"/>
        <v>52210</v>
      </c>
      <c r="B2181" s="17">
        <f t="shared" si="1700"/>
        <v>52200</v>
      </c>
      <c r="C2181" s="17" t="str">
        <f t="shared" si="1709"/>
        <v>5</v>
      </c>
      <c r="D2181" s="17">
        <f t="shared" si="1701"/>
        <v>50003</v>
      </c>
      <c r="E2181" s="17">
        <v>1</v>
      </c>
      <c r="F2181" s="17">
        <f t="shared" si="1670"/>
        <v>3</v>
      </c>
      <c r="G2181" s="17" t="str">
        <f t="shared" si="1704"/>
        <v>高级攻击</v>
      </c>
      <c r="H2181" s="17" t="str">
        <f t="shared" si="1705"/>
        <v>icon_03</v>
      </c>
      <c r="I2181" s="20">
        <v>0</v>
      </c>
      <c r="J2181" s="17">
        <v>10</v>
      </c>
      <c r="K2181" s="17">
        <f t="shared" si="1702"/>
        <v>52211</v>
      </c>
      <c r="L2181" s="17" t="s">
        <v>238</v>
      </c>
      <c r="M2181" s="17" t="str">
        <f t="shared" si="1706"/>
        <v>1:12000:5</v>
      </c>
      <c r="N2181" s="16" t="str">
        <f t="shared" si="1664"/>
        <v>142:1</v>
      </c>
      <c r="O2181" s="17">
        <f t="shared" si="1671"/>
        <v>3</v>
      </c>
      <c r="P2181" s="21" t="str">
        <f t="shared" si="1686"/>
        <v>所有牧师和法师攻击增加:1</v>
      </c>
      <c r="Q2181" s="21"/>
      <c r="R2181" t="str">
        <f t="shared" si="1707"/>
        <v>攻击</v>
      </c>
      <c r="T2181" t="str">
        <f t="shared" si="1708"/>
        <v>:1</v>
      </c>
      <c r="U2181" t="str">
        <f t="shared" ref="U2181:U2244" si="1710">MID(P2181,3,2)</f>
        <v>牧师</v>
      </c>
      <c r="V2181" t="s">
        <v>4826</v>
      </c>
      <c r="W2181">
        <f>属性类型!G2181</f>
        <v>142</v>
      </c>
      <c r="X2181">
        <v>1</v>
      </c>
    </row>
    <row r="2182" customFormat="1" ht="16.5" spans="1:24">
      <c r="A2182" s="17">
        <f t="shared" si="1703"/>
        <v>52211</v>
      </c>
      <c r="B2182" s="17">
        <f t="shared" si="1700"/>
        <v>52200</v>
      </c>
      <c r="C2182" s="17" t="str">
        <f t="shared" si="1709"/>
        <v>5</v>
      </c>
      <c r="D2182" s="17">
        <f t="shared" si="1701"/>
        <v>50003</v>
      </c>
      <c r="E2182" s="17">
        <v>1</v>
      </c>
      <c r="F2182" s="17">
        <f t="shared" si="1670"/>
        <v>3</v>
      </c>
      <c r="G2182" s="17" t="str">
        <f t="shared" si="1704"/>
        <v>高级攻击</v>
      </c>
      <c r="H2182" s="17" t="str">
        <f t="shared" si="1705"/>
        <v>icon_03</v>
      </c>
      <c r="I2182" s="20">
        <v>0</v>
      </c>
      <c r="J2182" s="17">
        <v>11</v>
      </c>
      <c r="K2182" s="17">
        <f t="shared" si="1702"/>
        <v>52212</v>
      </c>
      <c r="L2182" s="17" t="s">
        <v>529</v>
      </c>
      <c r="M2182" s="17" t="str">
        <f t="shared" si="1706"/>
        <v>1:12000:5</v>
      </c>
      <c r="N2182" s="16" t="str">
        <f t="shared" si="1664"/>
        <v>142:1</v>
      </c>
      <c r="O2182" s="17">
        <f t="shared" si="1671"/>
        <v>3</v>
      </c>
      <c r="P2182" s="21" t="str">
        <f t="shared" si="1686"/>
        <v>所有牧师和法师攻击增加:1</v>
      </c>
      <c r="Q2182" s="21"/>
      <c r="R2182" t="str">
        <f t="shared" si="1707"/>
        <v>攻击</v>
      </c>
      <c r="T2182" t="str">
        <f t="shared" si="1708"/>
        <v>:1</v>
      </c>
      <c r="U2182" t="str">
        <f t="shared" si="1710"/>
        <v>牧师</v>
      </c>
      <c r="V2182" t="s">
        <v>4826</v>
      </c>
      <c r="W2182">
        <f>属性类型!G2182</f>
        <v>142</v>
      </c>
      <c r="X2182">
        <v>1</v>
      </c>
    </row>
    <row r="2183" customFormat="1" ht="16.5" spans="1:24">
      <c r="A2183" s="17">
        <f t="shared" si="1703"/>
        <v>52212</v>
      </c>
      <c r="B2183" s="17">
        <f t="shared" si="1700"/>
        <v>52200</v>
      </c>
      <c r="C2183" s="17" t="str">
        <f t="shared" si="1709"/>
        <v>5</v>
      </c>
      <c r="D2183" s="17">
        <f t="shared" si="1701"/>
        <v>50003</v>
      </c>
      <c r="E2183" s="17">
        <v>1</v>
      </c>
      <c r="F2183" s="17">
        <f t="shared" si="1670"/>
        <v>3</v>
      </c>
      <c r="G2183" s="17" t="str">
        <f t="shared" si="1704"/>
        <v>高级攻击</v>
      </c>
      <c r="H2183" s="17" t="str">
        <f t="shared" si="1705"/>
        <v>icon_03</v>
      </c>
      <c r="I2183" s="20">
        <v>0</v>
      </c>
      <c r="J2183" s="17">
        <v>12</v>
      </c>
      <c r="K2183" s="17">
        <f t="shared" si="1702"/>
        <v>52213</v>
      </c>
      <c r="L2183" s="17" t="s">
        <v>532</v>
      </c>
      <c r="M2183" s="17" t="str">
        <f t="shared" si="1706"/>
        <v>1:12000:5</v>
      </c>
      <c r="N2183" s="16" t="str">
        <f t="shared" si="1664"/>
        <v>142:1</v>
      </c>
      <c r="O2183" s="17">
        <f t="shared" si="1671"/>
        <v>3</v>
      </c>
      <c r="P2183" s="21" t="str">
        <f t="shared" si="1686"/>
        <v>所有牧师和法师攻击增加:1</v>
      </c>
      <c r="Q2183" s="21"/>
      <c r="R2183" t="str">
        <f t="shared" si="1707"/>
        <v>攻击</v>
      </c>
      <c r="T2183" t="str">
        <f t="shared" si="1708"/>
        <v>:1</v>
      </c>
      <c r="U2183" t="str">
        <f t="shared" si="1710"/>
        <v>牧师</v>
      </c>
      <c r="V2183" t="s">
        <v>4826</v>
      </c>
      <c r="W2183">
        <f>属性类型!G2183</f>
        <v>142</v>
      </c>
      <c r="X2183">
        <v>1</v>
      </c>
    </row>
    <row r="2184" customFormat="1" ht="16.5" spans="1:24">
      <c r="A2184" s="17">
        <f t="shared" si="1703"/>
        <v>52213</v>
      </c>
      <c r="B2184" s="17">
        <f t="shared" si="1700"/>
        <v>52200</v>
      </c>
      <c r="C2184" s="17" t="str">
        <f t="shared" si="1709"/>
        <v>5</v>
      </c>
      <c r="D2184" s="17">
        <f t="shared" si="1701"/>
        <v>50003</v>
      </c>
      <c r="E2184" s="17">
        <v>1</v>
      </c>
      <c r="F2184" s="17">
        <f t="shared" si="1670"/>
        <v>3</v>
      </c>
      <c r="G2184" s="17" t="str">
        <f t="shared" si="1704"/>
        <v>高级攻击</v>
      </c>
      <c r="H2184" s="17" t="str">
        <f t="shared" si="1705"/>
        <v>icon_03</v>
      </c>
      <c r="I2184" s="20">
        <v>0</v>
      </c>
      <c r="J2184" s="17">
        <v>13</v>
      </c>
      <c r="K2184" s="17">
        <f t="shared" si="1702"/>
        <v>52214</v>
      </c>
      <c r="L2184" s="17" t="s">
        <v>561</v>
      </c>
      <c r="M2184" s="17" t="str">
        <f t="shared" si="1706"/>
        <v>1:12000:5</v>
      </c>
      <c r="N2184" s="16" t="str">
        <f t="shared" si="1664"/>
        <v>142:1</v>
      </c>
      <c r="O2184" s="17">
        <f t="shared" si="1671"/>
        <v>3</v>
      </c>
      <c r="P2184" s="21" t="str">
        <f t="shared" si="1686"/>
        <v>所有牧师和法师攻击增加:1</v>
      </c>
      <c r="Q2184" s="21"/>
      <c r="R2184" t="str">
        <f t="shared" si="1707"/>
        <v>攻击</v>
      </c>
      <c r="T2184" t="str">
        <f t="shared" si="1708"/>
        <v>:1</v>
      </c>
      <c r="U2184" t="str">
        <f t="shared" si="1710"/>
        <v>牧师</v>
      </c>
      <c r="V2184" t="s">
        <v>4826</v>
      </c>
      <c r="W2184">
        <f>属性类型!G2184</f>
        <v>142</v>
      </c>
      <c r="X2184">
        <v>1</v>
      </c>
    </row>
    <row r="2185" customFormat="1" ht="16.5" spans="1:24">
      <c r="A2185" s="17">
        <f t="shared" si="1703"/>
        <v>52214</v>
      </c>
      <c r="B2185" s="17">
        <f t="shared" si="1700"/>
        <v>52200</v>
      </c>
      <c r="C2185" s="17" t="str">
        <f t="shared" si="1709"/>
        <v>5</v>
      </c>
      <c r="D2185" s="17">
        <f t="shared" si="1701"/>
        <v>50003</v>
      </c>
      <c r="E2185" s="17">
        <v>1</v>
      </c>
      <c r="F2185" s="17">
        <f t="shared" si="1670"/>
        <v>3</v>
      </c>
      <c r="G2185" s="17" t="str">
        <f t="shared" si="1704"/>
        <v>高级攻击</v>
      </c>
      <c r="H2185" s="17" t="str">
        <f t="shared" si="1705"/>
        <v>icon_03</v>
      </c>
      <c r="I2185" s="20">
        <v>0</v>
      </c>
      <c r="J2185" s="17">
        <v>14</v>
      </c>
      <c r="K2185" s="17">
        <f t="shared" si="1702"/>
        <v>52215</v>
      </c>
      <c r="L2185" s="17" t="s">
        <v>564</v>
      </c>
      <c r="M2185" s="17" t="str">
        <f t="shared" si="1706"/>
        <v>1:12000:5</v>
      </c>
      <c r="N2185" s="16" t="str">
        <f t="shared" si="1664"/>
        <v>142:1</v>
      </c>
      <c r="O2185" s="17">
        <f t="shared" si="1671"/>
        <v>3</v>
      </c>
      <c r="P2185" s="21" t="str">
        <f t="shared" si="1686"/>
        <v>所有牧师和法师攻击增加:1</v>
      </c>
      <c r="Q2185" s="21"/>
      <c r="R2185" t="str">
        <f t="shared" si="1707"/>
        <v>攻击</v>
      </c>
      <c r="T2185" t="str">
        <f t="shared" si="1708"/>
        <v>:1</v>
      </c>
      <c r="U2185" t="str">
        <f t="shared" si="1710"/>
        <v>牧师</v>
      </c>
      <c r="V2185" t="s">
        <v>4826</v>
      </c>
      <c r="W2185">
        <f>属性类型!G2185</f>
        <v>142</v>
      </c>
      <c r="X2185">
        <v>1</v>
      </c>
    </row>
    <row r="2186" customFormat="1" ht="16.5" spans="1:24">
      <c r="A2186" s="17">
        <f t="shared" si="1703"/>
        <v>52215</v>
      </c>
      <c r="B2186" s="17">
        <f t="shared" si="1700"/>
        <v>52200</v>
      </c>
      <c r="C2186" s="17" t="str">
        <f t="shared" si="1709"/>
        <v>5</v>
      </c>
      <c r="D2186" s="17">
        <f t="shared" si="1701"/>
        <v>50003</v>
      </c>
      <c r="E2186" s="17">
        <v>1</v>
      </c>
      <c r="F2186" s="17">
        <f t="shared" si="1670"/>
        <v>3</v>
      </c>
      <c r="G2186" s="17" t="str">
        <f t="shared" si="1704"/>
        <v>高级攻击</v>
      </c>
      <c r="H2186" s="17" t="str">
        <f t="shared" si="1705"/>
        <v>icon_03</v>
      </c>
      <c r="I2186" s="20">
        <v>0</v>
      </c>
      <c r="J2186" s="17">
        <v>15</v>
      </c>
      <c r="K2186" s="17">
        <v>0</v>
      </c>
      <c r="L2186" s="17">
        <v>0</v>
      </c>
      <c r="M2186" s="17" t="str">
        <f t="shared" si="1706"/>
        <v>1:12000:5</v>
      </c>
      <c r="N2186" s="16" t="str">
        <f t="shared" si="1664"/>
        <v>142:1</v>
      </c>
      <c r="O2186" s="17">
        <f t="shared" si="1671"/>
        <v>3</v>
      </c>
      <c r="P2186" s="21" t="str">
        <f t="shared" ref="P2186:P2249" si="1711">$S$2&amp;R2186&amp;$Q$1&amp;T2186</f>
        <v>所有牧师和法师攻击增加:1</v>
      </c>
      <c r="Q2186" s="21"/>
      <c r="R2186" t="str">
        <f t="shared" si="1707"/>
        <v>攻击</v>
      </c>
      <c r="T2186" t="str">
        <f t="shared" si="1708"/>
        <v>:1</v>
      </c>
      <c r="U2186" t="str">
        <f t="shared" si="1710"/>
        <v>牧师</v>
      </c>
      <c r="V2186" t="s">
        <v>4826</v>
      </c>
      <c r="W2186">
        <f>属性类型!G2186</f>
        <v>142</v>
      </c>
      <c r="X2186">
        <v>1</v>
      </c>
    </row>
    <row r="2187" customFormat="1" ht="16.5" spans="1:24">
      <c r="A2187" s="18">
        <f>A2171+100</f>
        <v>52300</v>
      </c>
      <c r="B2187" s="18">
        <f t="shared" si="1700"/>
        <v>52300</v>
      </c>
      <c r="C2187" s="18" t="str">
        <f t="shared" si="1709"/>
        <v>5</v>
      </c>
      <c r="D2187" s="17">
        <f t="shared" si="1701"/>
        <v>50003</v>
      </c>
      <c r="E2187" s="17">
        <v>1</v>
      </c>
      <c r="F2187" s="18">
        <f t="shared" si="1670"/>
        <v>3</v>
      </c>
      <c r="G2187" s="18" t="s">
        <v>590</v>
      </c>
      <c r="H2187" s="18" t="s">
        <v>96</v>
      </c>
      <c r="I2187" s="20">
        <v>0</v>
      </c>
      <c r="J2187" s="18">
        <v>0</v>
      </c>
      <c r="K2187" s="18">
        <f t="shared" ref="K2187:K2201" si="1712">A2188</f>
        <v>52301</v>
      </c>
      <c r="L2187" s="18" t="s">
        <v>206</v>
      </c>
      <c r="M2187" s="18" t="s">
        <v>545</v>
      </c>
      <c r="N2187" s="16" t="str">
        <f t="shared" ref="N2187:N2250" si="1713">W2187&amp;$W$2&amp;X2187</f>
        <v>144:1</v>
      </c>
      <c r="O2187" s="18">
        <f t="shared" si="1671"/>
        <v>4</v>
      </c>
      <c r="P2187" s="21" t="str">
        <f t="shared" si="1711"/>
        <v>所有牧师和法师魔防增加1</v>
      </c>
      <c r="Q2187" s="21"/>
      <c r="R2187" t="s">
        <v>4276</v>
      </c>
      <c r="T2187" t="str">
        <f>RIGHT(N2187,1)</f>
        <v>1</v>
      </c>
      <c r="U2187" t="str">
        <f t="shared" si="1710"/>
        <v>牧师</v>
      </c>
      <c r="V2187" t="s">
        <v>4827</v>
      </c>
      <c r="W2187">
        <f>属性类型!G2187</f>
        <v>144</v>
      </c>
      <c r="X2187">
        <v>1</v>
      </c>
    </row>
    <row r="2188" customFormat="1" ht="16.5" spans="1:24">
      <c r="A2188" s="17">
        <f t="shared" ref="A2188:A2202" si="1714">A2187+1</f>
        <v>52301</v>
      </c>
      <c r="B2188" s="17">
        <f t="shared" si="1700"/>
        <v>52300</v>
      </c>
      <c r="C2188" s="17" t="str">
        <f t="shared" si="1709"/>
        <v>5</v>
      </c>
      <c r="D2188" s="17">
        <f t="shared" si="1701"/>
        <v>50003</v>
      </c>
      <c r="E2188" s="17">
        <v>1</v>
      </c>
      <c r="F2188" s="17">
        <f t="shared" si="1670"/>
        <v>3</v>
      </c>
      <c r="G2188" s="17" t="str">
        <f t="shared" ref="G2188:G2202" si="1715">G2187</f>
        <v>高级魔防</v>
      </c>
      <c r="H2188" s="17" t="str">
        <f t="shared" ref="H2188:H2202" si="1716">H2187</f>
        <v>icon_04</v>
      </c>
      <c r="I2188" s="20">
        <v>0</v>
      </c>
      <c r="J2188" s="17">
        <v>1</v>
      </c>
      <c r="K2188" s="17">
        <f t="shared" si="1712"/>
        <v>52302</v>
      </c>
      <c r="L2188" s="17" t="s">
        <v>211</v>
      </c>
      <c r="M2188" s="17" t="str">
        <f t="shared" ref="M2188:M2202" si="1717">M2187</f>
        <v>1:12000:5</v>
      </c>
      <c r="N2188" s="16" t="str">
        <f t="shared" si="1713"/>
        <v>144:1</v>
      </c>
      <c r="O2188" s="17">
        <f t="shared" si="1671"/>
        <v>4</v>
      </c>
      <c r="P2188" s="21" t="str">
        <f t="shared" si="1711"/>
        <v>所有牧师和法师魔防增加:1</v>
      </c>
      <c r="Q2188" s="21"/>
      <c r="R2188" t="str">
        <f t="shared" ref="R2188:R2202" si="1718">R2187</f>
        <v>魔防</v>
      </c>
      <c r="T2188" t="str">
        <f t="shared" ref="T2188:T2202" si="1719">RIGHT(N2188,2)</f>
        <v>:1</v>
      </c>
      <c r="U2188" t="str">
        <f t="shared" si="1710"/>
        <v>牧师</v>
      </c>
      <c r="V2188" t="s">
        <v>4827</v>
      </c>
      <c r="W2188">
        <f>属性类型!G2188</f>
        <v>144</v>
      </c>
      <c r="X2188">
        <v>1</v>
      </c>
    </row>
    <row r="2189" customFormat="1" ht="16.5" spans="1:24">
      <c r="A2189" s="17">
        <f t="shared" si="1714"/>
        <v>52302</v>
      </c>
      <c r="B2189" s="17">
        <f t="shared" si="1700"/>
        <v>52300</v>
      </c>
      <c r="C2189" s="17" t="str">
        <f t="shared" si="1709"/>
        <v>5</v>
      </c>
      <c r="D2189" s="17">
        <f t="shared" si="1701"/>
        <v>50003</v>
      </c>
      <c r="E2189" s="17">
        <v>1</v>
      </c>
      <c r="F2189" s="17">
        <f t="shared" si="1670"/>
        <v>3</v>
      </c>
      <c r="G2189" s="17" t="str">
        <f t="shared" si="1715"/>
        <v>高级魔防</v>
      </c>
      <c r="H2189" s="17" t="str">
        <f t="shared" si="1716"/>
        <v>icon_04</v>
      </c>
      <c r="I2189" s="20">
        <v>0</v>
      </c>
      <c r="J2189" s="17">
        <v>2</v>
      </c>
      <c r="K2189" s="17">
        <f t="shared" si="1712"/>
        <v>52303</v>
      </c>
      <c r="L2189" s="17" t="s">
        <v>215</v>
      </c>
      <c r="M2189" s="17" t="str">
        <f t="shared" si="1717"/>
        <v>1:12000:5</v>
      </c>
      <c r="N2189" s="16" t="str">
        <f t="shared" si="1713"/>
        <v>144:1</v>
      </c>
      <c r="O2189" s="17">
        <f t="shared" si="1671"/>
        <v>4</v>
      </c>
      <c r="P2189" s="21" t="str">
        <f t="shared" si="1711"/>
        <v>所有牧师和法师魔防增加:1</v>
      </c>
      <c r="Q2189" s="21"/>
      <c r="R2189" t="str">
        <f t="shared" si="1718"/>
        <v>魔防</v>
      </c>
      <c r="T2189" t="str">
        <f t="shared" si="1719"/>
        <v>:1</v>
      </c>
      <c r="U2189" t="str">
        <f t="shared" si="1710"/>
        <v>牧师</v>
      </c>
      <c r="V2189" t="s">
        <v>4827</v>
      </c>
      <c r="W2189">
        <f>属性类型!G2189</f>
        <v>144</v>
      </c>
      <c r="X2189">
        <v>1</v>
      </c>
    </row>
    <row r="2190" customFormat="1" ht="16.5" spans="1:24">
      <c r="A2190" s="17">
        <f t="shared" si="1714"/>
        <v>52303</v>
      </c>
      <c r="B2190" s="17">
        <f t="shared" si="1700"/>
        <v>52300</v>
      </c>
      <c r="C2190" s="17" t="str">
        <f t="shared" si="1709"/>
        <v>5</v>
      </c>
      <c r="D2190" s="17">
        <f t="shared" si="1701"/>
        <v>50003</v>
      </c>
      <c r="E2190" s="17">
        <v>1</v>
      </c>
      <c r="F2190" s="17">
        <f t="shared" si="1670"/>
        <v>3</v>
      </c>
      <c r="G2190" s="17" t="str">
        <f t="shared" si="1715"/>
        <v>高级魔防</v>
      </c>
      <c r="H2190" s="17" t="str">
        <f t="shared" si="1716"/>
        <v>icon_04</v>
      </c>
      <c r="I2190" s="20">
        <v>0</v>
      </c>
      <c r="J2190" s="17">
        <v>3</v>
      </c>
      <c r="K2190" s="17">
        <f t="shared" si="1712"/>
        <v>52304</v>
      </c>
      <c r="L2190" s="17" t="s">
        <v>218</v>
      </c>
      <c r="M2190" s="17" t="str">
        <f t="shared" si="1717"/>
        <v>1:12000:5</v>
      </c>
      <c r="N2190" s="16" t="str">
        <f t="shared" si="1713"/>
        <v>144:1</v>
      </c>
      <c r="O2190" s="17">
        <f t="shared" si="1671"/>
        <v>4</v>
      </c>
      <c r="P2190" s="21" t="str">
        <f t="shared" si="1711"/>
        <v>所有牧师和法师魔防增加:1</v>
      </c>
      <c r="Q2190" s="21"/>
      <c r="R2190" t="str">
        <f t="shared" si="1718"/>
        <v>魔防</v>
      </c>
      <c r="T2190" t="str">
        <f t="shared" si="1719"/>
        <v>:1</v>
      </c>
      <c r="U2190" t="str">
        <f t="shared" si="1710"/>
        <v>牧师</v>
      </c>
      <c r="V2190" t="s">
        <v>4827</v>
      </c>
      <c r="W2190">
        <f>属性类型!G2190</f>
        <v>144</v>
      </c>
      <c r="X2190">
        <v>1</v>
      </c>
    </row>
    <row r="2191" customFormat="1" ht="16.5" spans="1:24">
      <c r="A2191" s="17">
        <f t="shared" si="1714"/>
        <v>52304</v>
      </c>
      <c r="B2191" s="17">
        <f t="shared" si="1700"/>
        <v>52300</v>
      </c>
      <c r="C2191" s="17" t="str">
        <f t="shared" si="1709"/>
        <v>5</v>
      </c>
      <c r="D2191" s="17">
        <f t="shared" si="1701"/>
        <v>50003</v>
      </c>
      <c r="E2191" s="17">
        <v>1</v>
      </c>
      <c r="F2191" s="17">
        <f t="shared" si="1670"/>
        <v>3</v>
      </c>
      <c r="G2191" s="17" t="str">
        <f t="shared" si="1715"/>
        <v>高级魔防</v>
      </c>
      <c r="H2191" s="17" t="str">
        <f t="shared" si="1716"/>
        <v>icon_04</v>
      </c>
      <c r="I2191" s="20">
        <v>0</v>
      </c>
      <c r="J2191" s="17">
        <v>4</v>
      </c>
      <c r="K2191" s="17">
        <f t="shared" si="1712"/>
        <v>52305</v>
      </c>
      <c r="L2191" s="17" t="s">
        <v>221</v>
      </c>
      <c r="M2191" s="17" t="str">
        <f t="shared" si="1717"/>
        <v>1:12000:5</v>
      </c>
      <c r="N2191" s="16" t="str">
        <f t="shared" si="1713"/>
        <v>144:1</v>
      </c>
      <c r="O2191" s="17">
        <f t="shared" si="1671"/>
        <v>4</v>
      </c>
      <c r="P2191" s="21" t="str">
        <f t="shared" si="1711"/>
        <v>所有牧师和法师魔防增加:1</v>
      </c>
      <c r="Q2191" s="21"/>
      <c r="R2191" t="str">
        <f t="shared" si="1718"/>
        <v>魔防</v>
      </c>
      <c r="T2191" t="str">
        <f t="shared" si="1719"/>
        <v>:1</v>
      </c>
      <c r="U2191" t="str">
        <f t="shared" si="1710"/>
        <v>牧师</v>
      </c>
      <c r="V2191" t="s">
        <v>4827</v>
      </c>
      <c r="W2191">
        <f>属性类型!G2191</f>
        <v>144</v>
      </c>
      <c r="X2191">
        <v>1</v>
      </c>
    </row>
    <row r="2192" customFormat="1" ht="16.5" spans="1:24">
      <c r="A2192" s="17">
        <f t="shared" si="1714"/>
        <v>52305</v>
      </c>
      <c r="B2192" s="17">
        <f t="shared" si="1700"/>
        <v>52300</v>
      </c>
      <c r="C2192" s="17" t="str">
        <f t="shared" si="1709"/>
        <v>5</v>
      </c>
      <c r="D2192" s="17">
        <f t="shared" si="1701"/>
        <v>50003</v>
      </c>
      <c r="E2192" s="17">
        <v>1</v>
      </c>
      <c r="F2192" s="17">
        <f t="shared" ref="F2192:F2255" si="1720">MID(B2192,2,1)+1</f>
        <v>3</v>
      </c>
      <c r="G2192" s="17" t="str">
        <f t="shared" si="1715"/>
        <v>高级魔防</v>
      </c>
      <c r="H2192" s="17" t="str">
        <f t="shared" si="1716"/>
        <v>icon_04</v>
      </c>
      <c r="I2192" s="20">
        <v>0</v>
      </c>
      <c r="J2192" s="17">
        <v>5</v>
      </c>
      <c r="K2192" s="17">
        <f t="shared" si="1712"/>
        <v>52306</v>
      </c>
      <c r="L2192" s="17" t="s">
        <v>224</v>
      </c>
      <c r="M2192" s="17" t="str">
        <f t="shared" si="1717"/>
        <v>1:12000:5</v>
      </c>
      <c r="N2192" s="16" t="str">
        <f t="shared" si="1713"/>
        <v>144:1</v>
      </c>
      <c r="O2192" s="17">
        <f t="shared" ref="O2192:O2255" si="1721">MID(A2192,3,1)+1</f>
        <v>4</v>
      </c>
      <c r="P2192" s="21" t="str">
        <f t="shared" si="1711"/>
        <v>所有牧师和法师魔防增加:1</v>
      </c>
      <c r="Q2192" s="21"/>
      <c r="R2192" t="str">
        <f t="shared" si="1718"/>
        <v>魔防</v>
      </c>
      <c r="T2192" t="str">
        <f t="shared" si="1719"/>
        <v>:1</v>
      </c>
      <c r="U2192" t="str">
        <f t="shared" si="1710"/>
        <v>牧师</v>
      </c>
      <c r="V2192" t="s">
        <v>4827</v>
      </c>
      <c r="W2192">
        <f>属性类型!G2192</f>
        <v>144</v>
      </c>
      <c r="X2192">
        <v>1</v>
      </c>
    </row>
    <row r="2193" customFormat="1" ht="16.5" spans="1:24">
      <c r="A2193" s="17">
        <f t="shared" si="1714"/>
        <v>52306</v>
      </c>
      <c r="B2193" s="17">
        <f t="shared" si="1700"/>
        <v>52300</v>
      </c>
      <c r="C2193" s="17" t="str">
        <f t="shared" si="1709"/>
        <v>5</v>
      </c>
      <c r="D2193" s="17">
        <f t="shared" si="1701"/>
        <v>50003</v>
      </c>
      <c r="E2193" s="17">
        <v>1</v>
      </c>
      <c r="F2193" s="17">
        <f t="shared" si="1720"/>
        <v>3</v>
      </c>
      <c r="G2193" s="17" t="str">
        <f t="shared" si="1715"/>
        <v>高级魔防</v>
      </c>
      <c r="H2193" s="17" t="str">
        <f t="shared" si="1716"/>
        <v>icon_04</v>
      </c>
      <c r="I2193" s="20">
        <v>0</v>
      </c>
      <c r="J2193" s="17">
        <v>6</v>
      </c>
      <c r="K2193" s="17">
        <f t="shared" si="1712"/>
        <v>52307</v>
      </c>
      <c r="L2193" s="17" t="s">
        <v>227</v>
      </c>
      <c r="M2193" s="17" t="str">
        <f t="shared" si="1717"/>
        <v>1:12000:5</v>
      </c>
      <c r="N2193" s="16" t="str">
        <f t="shared" si="1713"/>
        <v>144:1</v>
      </c>
      <c r="O2193" s="17">
        <f t="shared" si="1721"/>
        <v>4</v>
      </c>
      <c r="P2193" s="21" t="str">
        <f t="shared" si="1711"/>
        <v>所有牧师和法师魔防增加:1</v>
      </c>
      <c r="Q2193" s="21"/>
      <c r="R2193" t="str">
        <f t="shared" si="1718"/>
        <v>魔防</v>
      </c>
      <c r="T2193" t="str">
        <f t="shared" si="1719"/>
        <v>:1</v>
      </c>
      <c r="U2193" t="str">
        <f t="shared" si="1710"/>
        <v>牧师</v>
      </c>
      <c r="V2193" t="s">
        <v>4827</v>
      </c>
      <c r="W2193">
        <f>属性类型!G2193</f>
        <v>144</v>
      </c>
      <c r="X2193">
        <v>1</v>
      </c>
    </row>
    <row r="2194" customFormat="1" ht="16.5" spans="1:24">
      <c r="A2194" s="17">
        <f t="shared" si="1714"/>
        <v>52307</v>
      </c>
      <c r="B2194" s="17">
        <f t="shared" si="1700"/>
        <v>52300</v>
      </c>
      <c r="C2194" s="17" t="str">
        <f t="shared" si="1709"/>
        <v>5</v>
      </c>
      <c r="D2194" s="17">
        <f t="shared" si="1701"/>
        <v>50003</v>
      </c>
      <c r="E2194" s="17">
        <v>1</v>
      </c>
      <c r="F2194" s="17">
        <f t="shared" si="1720"/>
        <v>3</v>
      </c>
      <c r="G2194" s="17" t="str">
        <f t="shared" si="1715"/>
        <v>高级魔防</v>
      </c>
      <c r="H2194" s="17" t="str">
        <f t="shared" si="1716"/>
        <v>icon_04</v>
      </c>
      <c r="I2194" s="20">
        <v>0</v>
      </c>
      <c r="J2194" s="17">
        <v>7</v>
      </c>
      <c r="K2194" s="17">
        <f t="shared" si="1712"/>
        <v>52308</v>
      </c>
      <c r="L2194" s="17" t="s">
        <v>230</v>
      </c>
      <c r="M2194" s="17" t="str">
        <f t="shared" si="1717"/>
        <v>1:12000:5</v>
      </c>
      <c r="N2194" s="16" t="str">
        <f t="shared" si="1713"/>
        <v>144:1</v>
      </c>
      <c r="O2194" s="17">
        <f t="shared" si="1721"/>
        <v>4</v>
      </c>
      <c r="P2194" s="21" t="str">
        <f t="shared" si="1711"/>
        <v>所有牧师和法师魔防增加:1</v>
      </c>
      <c r="Q2194" s="21"/>
      <c r="R2194" t="str">
        <f t="shared" si="1718"/>
        <v>魔防</v>
      </c>
      <c r="T2194" t="str">
        <f t="shared" si="1719"/>
        <v>:1</v>
      </c>
      <c r="U2194" t="str">
        <f t="shared" si="1710"/>
        <v>牧师</v>
      </c>
      <c r="V2194" t="s">
        <v>4827</v>
      </c>
      <c r="W2194">
        <f>属性类型!G2194</f>
        <v>144</v>
      </c>
      <c r="X2194">
        <v>1</v>
      </c>
    </row>
    <row r="2195" customFormat="1" ht="16.5" spans="1:24">
      <c r="A2195" s="17">
        <f t="shared" si="1714"/>
        <v>52308</v>
      </c>
      <c r="B2195" s="17">
        <f t="shared" si="1700"/>
        <v>52300</v>
      </c>
      <c r="C2195" s="17" t="str">
        <f t="shared" si="1709"/>
        <v>5</v>
      </c>
      <c r="D2195" s="17">
        <f t="shared" si="1701"/>
        <v>50003</v>
      </c>
      <c r="E2195" s="17">
        <v>1</v>
      </c>
      <c r="F2195" s="17">
        <f t="shared" si="1720"/>
        <v>3</v>
      </c>
      <c r="G2195" s="17" t="str">
        <f t="shared" si="1715"/>
        <v>高级魔防</v>
      </c>
      <c r="H2195" s="17" t="str">
        <f t="shared" si="1716"/>
        <v>icon_04</v>
      </c>
      <c r="I2195" s="20">
        <v>0</v>
      </c>
      <c r="J2195" s="17">
        <v>8</v>
      </c>
      <c r="K2195" s="17">
        <f t="shared" si="1712"/>
        <v>52309</v>
      </c>
      <c r="L2195" s="17" t="s">
        <v>233</v>
      </c>
      <c r="M2195" s="17" t="str">
        <f t="shared" si="1717"/>
        <v>1:12000:5</v>
      </c>
      <c r="N2195" s="16" t="str">
        <f t="shared" si="1713"/>
        <v>144:1</v>
      </c>
      <c r="O2195" s="17">
        <f t="shared" si="1721"/>
        <v>4</v>
      </c>
      <c r="P2195" s="21" t="str">
        <f t="shared" si="1711"/>
        <v>所有牧师和法师魔防增加:1</v>
      </c>
      <c r="Q2195" s="21"/>
      <c r="R2195" t="str">
        <f t="shared" si="1718"/>
        <v>魔防</v>
      </c>
      <c r="T2195" t="str">
        <f t="shared" si="1719"/>
        <v>:1</v>
      </c>
      <c r="U2195" t="str">
        <f t="shared" si="1710"/>
        <v>牧师</v>
      </c>
      <c r="V2195" t="s">
        <v>4827</v>
      </c>
      <c r="W2195">
        <f>属性类型!G2195</f>
        <v>144</v>
      </c>
      <c r="X2195">
        <v>1</v>
      </c>
    </row>
    <row r="2196" customFormat="1" ht="16.5" spans="1:24">
      <c r="A2196" s="17">
        <f t="shared" si="1714"/>
        <v>52309</v>
      </c>
      <c r="B2196" s="17">
        <f t="shared" si="1700"/>
        <v>52300</v>
      </c>
      <c r="C2196" s="17" t="str">
        <f t="shared" si="1709"/>
        <v>5</v>
      </c>
      <c r="D2196" s="17">
        <f t="shared" si="1701"/>
        <v>50003</v>
      </c>
      <c r="E2196" s="17">
        <v>1</v>
      </c>
      <c r="F2196" s="17">
        <f t="shared" si="1720"/>
        <v>3</v>
      </c>
      <c r="G2196" s="17" t="str">
        <f t="shared" si="1715"/>
        <v>高级魔防</v>
      </c>
      <c r="H2196" s="17" t="str">
        <f t="shared" si="1716"/>
        <v>icon_04</v>
      </c>
      <c r="I2196" s="20">
        <v>0</v>
      </c>
      <c r="J2196" s="17">
        <v>9</v>
      </c>
      <c r="K2196" s="17">
        <f t="shared" si="1712"/>
        <v>52310</v>
      </c>
      <c r="L2196" s="17" t="s">
        <v>236</v>
      </c>
      <c r="M2196" s="17" t="str">
        <f t="shared" si="1717"/>
        <v>1:12000:5</v>
      </c>
      <c r="N2196" s="16" t="str">
        <f t="shared" si="1713"/>
        <v>144:1</v>
      </c>
      <c r="O2196" s="17">
        <f t="shared" si="1721"/>
        <v>4</v>
      </c>
      <c r="P2196" s="21" t="str">
        <f t="shared" si="1711"/>
        <v>所有牧师和法师魔防增加:1</v>
      </c>
      <c r="Q2196" s="21"/>
      <c r="R2196" t="str">
        <f t="shared" si="1718"/>
        <v>魔防</v>
      </c>
      <c r="T2196" t="str">
        <f t="shared" si="1719"/>
        <v>:1</v>
      </c>
      <c r="U2196" t="str">
        <f t="shared" si="1710"/>
        <v>牧师</v>
      </c>
      <c r="V2196" t="s">
        <v>4827</v>
      </c>
      <c r="W2196">
        <f>属性类型!G2196</f>
        <v>144</v>
      </c>
      <c r="X2196">
        <v>1</v>
      </c>
    </row>
    <row r="2197" customFormat="1" ht="16.5" spans="1:24">
      <c r="A2197" s="17">
        <f t="shared" si="1714"/>
        <v>52310</v>
      </c>
      <c r="B2197" s="17">
        <f t="shared" si="1700"/>
        <v>52300</v>
      </c>
      <c r="C2197" s="17" t="str">
        <f t="shared" si="1709"/>
        <v>5</v>
      </c>
      <c r="D2197" s="17">
        <f t="shared" si="1701"/>
        <v>50003</v>
      </c>
      <c r="E2197" s="17">
        <v>1</v>
      </c>
      <c r="F2197" s="17">
        <f t="shared" si="1720"/>
        <v>3</v>
      </c>
      <c r="G2197" s="17" t="str">
        <f t="shared" si="1715"/>
        <v>高级魔防</v>
      </c>
      <c r="H2197" s="17" t="str">
        <f t="shared" si="1716"/>
        <v>icon_04</v>
      </c>
      <c r="I2197" s="20">
        <v>0</v>
      </c>
      <c r="J2197" s="17">
        <v>10</v>
      </c>
      <c r="K2197" s="17">
        <f t="shared" si="1712"/>
        <v>52311</v>
      </c>
      <c r="L2197" s="17" t="s">
        <v>238</v>
      </c>
      <c r="M2197" s="17" t="str">
        <f t="shared" si="1717"/>
        <v>1:12000:5</v>
      </c>
      <c r="N2197" s="16" t="str">
        <f t="shared" si="1713"/>
        <v>144:1</v>
      </c>
      <c r="O2197" s="17">
        <f t="shared" si="1721"/>
        <v>4</v>
      </c>
      <c r="P2197" s="21" t="str">
        <f t="shared" si="1711"/>
        <v>所有牧师和法师魔防增加:1</v>
      </c>
      <c r="Q2197" s="21"/>
      <c r="R2197" t="str">
        <f t="shared" si="1718"/>
        <v>魔防</v>
      </c>
      <c r="T2197" t="str">
        <f t="shared" si="1719"/>
        <v>:1</v>
      </c>
      <c r="U2197" t="str">
        <f t="shared" si="1710"/>
        <v>牧师</v>
      </c>
      <c r="V2197" t="s">
        <v>4827</v>
      </c>
      <c r="W2197">
        <f>属性类型!G2197</f>
        <v>144</v>
      </c>
      <c r="X2197">
        <v>1</v>
      </c>
    </row>
    <row r="2198" customFormat="1" ht="16.5" spans="1:24">
      <c r="A2198" s="17">
        <f t="shared" si="1714"/>
        <v>52311</v>
      </c>
      <c r="B2198" s="17">
        <f t="shared" si="1700"/>
        <v>52300</v>
      </c>
      <c r="C2198" s="17" t="str">
        <f t="shared" si="1709"/>
        <v>5</v>
      </c>
      <c r="D2198" s="17">
        <f t="shared" si="1701"/>
        <v>50003</v>
      </c>
      <c r="E2198" s="17">
        <v>1</v>
      </c>
      <c r="F2198" s="17">
        <f t="shared" si="1720"/>
        <v>3</v>
      </c>
      <c r="G2198" s="17" t="str">
        <f t="shared" si="1715"/>
        <v>高级魔防</v>
      </c>
      <c r="H2198" s="17" t="str">
        <f t="shared" si="1716"/>
        <v>icon_04</v>
      </c>
      <c r="I2198" s="20">
        <v>0</v>
      </c>
      <c r="J2198" s="17">
        <v>11</v>
      </c>
      <c r="K2198" s="17">
        <f t="shared" si="1712"/>
        <v>52312</v>
      </c>
      <c r="L2198" s="17" t="s">
        <v>529</v>
      </c>
      <c r="M2198" s="17" t="str">
        <f t="shared" si="1717"/>
        <v>1:12000:5</v>
      </c>
      <c r="N2198" s="16" t="str">
        <f t="shared" si="1713"/>
        <v>144:1</v>
      </c>
      <c r="O2198" s="17">
        <f t="shared" si="1721"/>
        <v>4</v>
      </c>
      <c r="P2198" s="21" t="str">
        <f t="shared" si="1711"/>
        <v>所有牧师和法师魔防增加:1</v>
      </c>
      <c r="Q2198" s="21"/>
      <c r="R2198" t="str">
        <f t="shared" si="1718"/>
        <v>魔防</v>
      </c>
      <c r="T2198" t="str">
        <f t="shared" si="1719"/>
        <v>:1</v>
      </c>
      <c r="U2198" t="str">
        <f t="shared" si="1710"/>
        <v>牧师</v>
      </c>
      <c r="V2198" t="s">
        <v>4827</v>
      </c>
      <c r="W2198">
        <f>属性类型!G2198</f>
        <v>144</v>
      </c>
      <c r="X2198">
        <v>1</v>
      </c>
    </row>
    <row r="2199" customFormat="1" ht="16.5" spans="1:24">
      <c r="A2199" s="17">
        <f t="shared" si="1714"/>
        <v>52312</v>
      </c>
      <c r="B2199" s="17">
        <f t="shared" si="1700"/>
        <v>52300</v>
      </c>
      <c r="C2199" s="17" t="str">
        <f t="shared" si="1709"/>
        <v>5</v>
      </c>
      <c r="D2199" s="17">
        <f t="shared" si="1701"/>
        <v>50003</v>
      </c>
      <c r="E2199" s="17">
        <v>1</v>
      </c>
      <c r="F2199" s="17">
        <f t="shared" si="1720"/>
        <v>3</v>
      </c>
      <c r="G2199" s="17" t="str">
        <f t="shared" si="1715"/>
        <v>高级魔防</v>
      </c>
      <c r="H2199" s="17" t="str">
        <f t="shared" si="1716"/>
        <v>icon_04</v>
      </c>
      <c r="I2199" s="20">
        <v>0</v>
      </c>
      <c r="J2199" s="17">
        <v>12</v>
      </c>
      <c r="K2199" s="17">
        <f t="shared" si="1712"/>
        <v>52313</v>
      </c>
      <c r="L2199" s="17" t="s">
        <v>532</v>
      </c>
      <c r="M2199" s="17" t="str">
        <f t="shared" si="1717"/>
        <v>1:12000:5</v>
      </c>
      <c r="N2199" s="16" t="str">
        <f t="shared" si="1713"/>
        <v>144:1</v>
      </c>
      <c r="O2199" s="17">
        <f t="shared" si="1721"/>
        <v>4</v>
      </c>
      <c r="P2199" s="21" t="str">
        <f t="shared" si="1711"/>
        <v>所有牧师和法师魔防增加:1</v>
      </c>
      <c r="Q2199" s="21"/>
      <c r="R2199" t="str">
        <f t="shared" si="1718"/>
        <v>魔防</v>
      </c>
      <c r="T2199" t="str">
        <f t="shared" si="1719"/>
        <v>:1</v>
      </c>
      <c r="U2199" t="str">
        <f t="shared" si="1710"/>
        <v>牧师</v>
      </c>
      <c r="V2199" t="s">
        <v>4827</v>
      </c>
      <c r="W2199">
        <f>属性类型!G2199</f>
        <v>144</v>
      </c>
      <c r="X2199">
        <v>1</v>
      </c>
    </row>
    <row r="2200" customFormat="1" ht="16.5" spans="1:24">
      <c r="A2200" s="17">
        <f t="shared" si="1714"/>
        <v>52313</v>
      </c>
      <c r="B2200" s="17">
        <f t="shared" si="1700"/>
        <v>52300</v>
      </c>
      <c r="C2200" s="17" t="str">
        <f t="shared" si="1709"/>
        <v>5</v>
      </c>
      <c r="D2200" s="17">
        <f t="shared" si="1701"/>
        <v>50003</v>
      </c>
      <c r="E2200" s="17">
        <v>1</v>
      </c>
      <c r="F2200" s="17">
        <f t="shared" si="1720"/>
        <v>3</v>
      </c>
      <c r="G2200" s="17" t="str">
        <f t="shared" si="1715"/>
        <v>高级魔防</v>
      </c>
      <c r="H2200" s="17" t="str">
        <f t="shared" si="1716"/>
        <v>icon_04</v>
      </c>
      <c r="I2200" s="20">
        <v>0</v>
      </c>
      <c r="J2200" s="17">
        <v>13</v>
      </c>
      <c r="K2200" s="17">
        <f t="shared" si="1712"/>
        <v>52314</v>
      </c>
      <c r="L2200" s="17" t="s">
        <v>561</v>
      </c>
      <c r="M2200" s="17" t="str">
        <f t="shared" si="1717"/>
        <v>1:12000:5</v>
      </c>
      <c r="N2200" s="16" t="str">
        <f t="shared" si="1713"/>
        <v>144:1</v>
      </c>
      <c r="O2200" s="17">
        <f t="shared" si="1721"/>
        <v>4</v>
      </c>
      <c r="P2200" s="21" t="str">
        <f t="shared" si="1711"/>
        <v>所有牧师和法师魔防增加:1</v>
      </c>
      <c r="Q2200" s="21"/>
      <c r="R2200" t="str">
        <f t="shared" si="1718"/>
        <v>魔防</v>
      </c>
      <c r="T2200" t="str">
        <f t="shared" si="1719"/>
        <v>:1</v>
      </c>
      <c r="U2200" t="str">
        <f t="shared" si="1710"/>
        <v>牧师</v>
      </c>
      <c r="V2200" t="s">
        <v>4827</v>
      </c>
      <c r="W2200">
        <f>属性类型!G2200</f>
        <v>144</v>
      </c>
      <c r="X2200">
        <v>1</v>
      </c>
    </row>
    <row r="2201" customFormat="1" ht="16.5" spans="1:24">
      <c r="A2201" s="17">
        <f t="shared" si="1714"/>
        <v>52314</v>
      </c>
      <c r="B2201" s="17">
        <f t="shared" si="1700"/>
        <v>52300</v>
      </c>
      <c r="C2201" s="17" t="str">
        <f t="shared" si="1709"/>
        <v>5</v>
      </c>
      <c r="D2201" s="17">
        <f t="shared" si="1701"/>
        <v>50003</v>
      </c>
      <c r="E2201" s="17">
        <v>1</v>
      </c>
      <c r="F2201" s="17">
        <f t="shared" si="1720"/>
        <v>3</v>
      </c>
      <c r="G2201" s="17" t="str">
        <f t="shared" si="1715"/>
        <v>高级魔防</v>
      </c>
      <c r="H2201" s="17" t="str">
        <f t="shared" si="1716"/>
        <v>icon_04</v>
      </c>
      <c r="I2201" s="20">
        <v>0</v>
      </c>
      <c r="J2201" s="17">
        <v>14</v>
      </c>
      <c r="K2201" s="17">
        <f t="shared" si="1712"/>
        <v>52315</v>
      </c>
      <c r="L2201" s="17" t="s">
        <v>564</v>
      </c>
      <c r="M2201" s="17" t="str">
        <f t="shared" si="1717"/>
        <v>1:12000:5</v>
      </c>
      <c r="N2201" s="16" t="str">
        <f t="shared" si="1713"/>
        <v>144:1</v>
      </c>
      <c r="O2201" s="17">
        <f t="shared" si="1721"/>
        <v>4</v>
      </c>
      <c r="P2201" s="21" t="str">
        <f t="shared" si="1711"/>
        <v>所有牧师和法师魔防增加:1</v>
      </c>
      <c r="Q2201" s="21"/>
      <c r="R2201" t="str">
        <f t="shared" si="1718"/>
        <v>魔防</v>
      </c>
      <c r="T2201" t="str">
        <f t="shared" si="1719"/>
        <v>:1</v>
      </c>
      <c r="U2201" t="str">
        <f t="shared" si="1710"/>
        <v>牧师</v>
      </c>
      <c r="V2201" t="s">
        <v>4827</v>
      </c>
      <c r="W2201">
        <f>属性类型!G2201</f>
        <v>144</v>
      </c>
      <c r="X2201">
        <v>1</v>
      </c>
    </row>
    <row r="2202" customFormat="1" ht="16.5" spans="1:24">
      <c r="A2202" s="17">
        <f t="shared" si="1714"/>
        <v>52315</v>
      </c>
      <c r="B2202" s="17">
        <f t="shared" si="1700"/>
        <v>52300</v>
      </c>
      <c r="C2202" s="17" t="str">
        <f t="shared" si="1709"/>
        <v>5</v>
      </c>
      <c r="D2202" s="17">
        <f t="shared" si="1701"/>
        <v>50003</v>
      </c>
      <c r="E2202" s="17">
        <v>1</v>
      </c>
      <c r="F2202" s="17">
        <f t="shared" si="1720"/>
        <v>3</v>
      </c>
      <c r="G2202" s="17" t="str">
        <f t="shared" si="1715"/>
        <v>高级魔防</v>
      </c>
      <c r="H2202" s="17" t="str">
        <f t="shared" si="1716"/>
        <v>icon_04</v>
      </c>
      <c r="I2202" s="20">
        <v>0</v>
      </c>
      <c r="J2202" s="17">
        <v>15</v>
      </c>
      <c r="K2202" s="17">
        <v>0</v>
      </c>
      <c r="L2202" s="17">
        <v>0</v>
      </c>
      <c r="M2202" s="17" t="str">
        <f t="shared" si="1717"/>
        <v>1:12000:5</v>
      </c>
      <c r="N2202" s="16" t="str">
        <f t="shared" si="1713"/>
        <v>144:1</v>
      </c>
      <c r="O2202" s="17">
        <f t="shared" si="1721"/>
        <v>4</v>
      </c>
      <c r="P2202" s="21" t="str">
        <f t="shared" si="1711"/>
        <v>所有牧师和法师魔防增加:1</v>
      </c>
      <c r="Q2202" s="21"/>
      <c r="R2202" t="str">
        <f t="shared" si="1718"/>
        <v>魔防</v>
      </c>
      <c r="T2202" t="str">
        <f t="shared" si="1719"/>
        <v>:1</v>
      </c>
      <c r="U2202" t="str">
        <f t="shared" si="1710"/>
        <v>牧师</v>
      </c>
      <c r="V2202" t="s">
        <v>4827</v>
      </c>
      <c r="W2202">
        <f>属性类型!G2202</f>
        <v>144</v>
      </c>
      <c r="X2202">
        <v>1</v>
      </c>
    </row>
    <row r="2203" customFormat="1" ht="16.5" spans="1:24">
      <c r="A2203" s="18">
        <f>A2187+100</f>
        <v>52400</v>
      </c>
      <c r="B2203" s="18">
        <f t="shared" si="1700"/>
        <v>52400</v>
      </c>
      <c r="C2203" s="18" t="str">
        <f t="shared" si="1709"/>
        <v>5</v>
      </c>
      <c r="D2203" s="17">
        <f t="shared" si="1701"/>
        <v>50003</v>
      </c>
      <c r="E2203" s="17">
        <v>1</v>
      </c>
      <c r="F2203" s="18">
        <f t="shared" si="1720"/>
        <v>3</v>
      </c>
      <c r="G2203" s="18" t="s">
        <v>612</v>
      </c>
      <c r="H2203" s="18" t="s">
        <v>112</v>
      </c>
      <c r="I2203" s="20">
        <v>0</v>
      </c>
      <c r="J2203" s="18">
        <v>0</v>
      </c>
      <c r="K2203" s="18">
        <f t="shared" ref="K2203:K2222" si="1722">A2204</f>
        <v>52401</v>
      </c>
      <c r="L2203" s="18" t="s">
        <v>206</v>
      </c>
      <c r="M2203" s="18" t="s">
        <v>614</v>
      </c>
      <c r="N2203" s="16" t="str">
        <f t="shared" si="1713"/>
        <v>148:1</v>
      </c>
      <c r="O2203" s="18">
        <f t="shared" si="1721"/>
        <v>5</v>
      </c>
      <c r="P2203" s="21" t="str">
        <f t="shared" si="1711"/>
        <v>所有牧师和法师防御百分比增加1</v>
      </c>
      <c r="Q2203" s="21"/>
      <c r="R2203" t="s">
        <v>4278</v>
      </c>
      <c r="T2203" t="str">
        <f>RIGHT(N2203,1)</f>
        <v>1</v>
      </c>
      <c r="U2203" t="str">
        <f t="shared" si="1710"/>
        <v>牧师</v>
      </c>
      <c r="V2203" t="s">
        <v>4828</v>
      </c>
      <c r="W2203">
        <f>属性类型!G2203</f>
        <v>148</v>
      </c>
      <c r="X2203">
        <v>1</v>
      </c>
    </row>
    <row r="2204" customFormat="1" ht="16.5" spans="1:24">
      <c r="A2204" s="17">
        <f t="shared" ref="A2204:A2223" si="1723">A2203+1</f>
        <v>52401</v>
      </c>
      <c r="B2204" s="17">
        <f t="shared" si="1700"/>
        <v>52400</v>
      </c>
      <c r="C2204" s="17" t="str">
        <f t="shared" si="1709"/>
        <v>5</v>
      </c>
      <c r="D2204" s="17">
        <f t="shared" si="1701"/>
        <v>50003</v>
      </c>
      <c r="E2204" s="17">
        <v>1</v>
      </c>
      <c r="F2204" s="17">
        <f t="shared" si="1720"/>
        <v>3</v>
      </c>
      <c r="G2204" s="17" t="str">
        <f t="shared" ref="G2204:G2223" si="1724">G2203</f>
        <v>高级防御百分比</v>
      </c>
      <c r="H2204" s="17" t="str">
        <f t="shared" ref="H2204:H2223" si="1725">H2203</f>
        <v>icon_05</v>
      </c>
      <c r="I2204" s="20">
        <v>0</v>
      </c>
      <c r="J2204" s="17">
        <v>1</v>
      </c>
      <c r="K2204" s="17">
        <f t="shared" si="1722"/>
        <v>52402</v>
      </c>
      <c r="L2204" s="17" t="s">
        <v>211</v>
      </c>
      <c r="M2204" s="17" t="str">
        <f t="shared" ref="M2204:M2223" si="1726">M2203</f>
        <v>1:12100:10</v>
      </c>
      <c r="N2204" s="16" t="str">
        <f t="shared" si="1713"/>
        <v>148:1</v>
      </c>
      <c r="O2204" s="17">
        <f t="shared" si="1721"/>
        <v>5</v>
      </c>
      <c r="P2204" s="21" t="str">
        <f t="shared" si="1711"/>
        <v>所有牧师和法师防御百分比增加:1</v>
      </c>
      <c r="Q2204" s="21"/>
      <c r="R2204" t="str">
        <f t="shared" ref="R2204:R2223" si="1727">R2203</f>
        <v>防御百分比</v>
      </c>
      <c r="T2204" t="str">
        <f t="shared" ref="T2204:T2223" si="1728">RIGHT(N2204,2)</f>
        <v>:1</v>
      </c>
      <c r="U2204" t="str">
        <f t="shared" si="1710"/>
        <v>牧师</v>
      </c>
      <c r="V2204" t="s">
        <v>4828</v>
      </c>
      <c r="W2204">
        <f>属性类型!G2204</f>
        <v>148</v>
      </c>
      <c r="X2204">
        <v>1</v>
      </c>
    </row>
    <row r="2205" customFormat="1" ht="16.5" spans="1:24">
      <c r="A2205" s="17">
        <f t="shared" si="1723"/>
        <v>52402</v>
      </c>
      <c r="B2205" s="17">
        <f t="shared" si="1700"/>
        <v>52400</v>
      </c>
      <c r="C2205" s="17" t="str">
        <f t="shared" si="1709"/>
        <v>5</v>
      </c>
      <c r="D2205" s="17">
        <f t="shared" si="1701"/>
        <v>50003</v>
      </c>
      <c r="E2205" s="17">
        <v>1</v>
      </c>
      <c r="F2205" s="17">
        <f t="shared" si="1720"/>
        <v>3</v>
      </c>
      <c r="G2205" s="17" t="str">
        <f t="shared" si="1724"/>
        <v>高级防御百分比</v>
      </c>
      <c r="H2205" s="17" t="str">
        <f t="shared" si="1725"/>
        <v>icon_05</v>
      </c>
      <c r="I2205" s="20">
        <v>0</v>
      </c>
      <c r="J2205" s="17">
        <v>2</v>
      </c>
      <c r="K2205" s="17">
        <f t="shared" si="1722"/>
        <v>52403</v>
      </c>
      <c r="L2205" s="17" t="s">
        <v>215</v>
      </c>
      <c r="M2205" s="17" t="str">
        <f t="shared" si="1726"/>
        <v>1:12100:10</v>
      </c>
      <c r="N2205" s="16" t="str">
        <f t="shared" si="1713"/>
        <v>148:1</v>
      </c>
      <c r="O2205" s="17">
        <f t="shared" si="1721"/>
        <v>5</v>
      </c>
      <c r="P2205" s="21" t="str">
        <f t="shared" si="1711"/>
        <v>所有牧师和法师防御百分比增加:1</v>
      </c>
      <c r="Q2205" s="21"/>
      <c r="R2205" t="str">
        <f t="shared" si="1727"/>
        <v>防御百分比</v>
      </c>
      <c r="T2205" t="str">
        <f t="shared" si="1728"/>
        <v>:1</v>
      </c>
      <c r="U2205" t="str">
        <f t="shared" si="1710"/>
        <v>牧师</v>
      </c>
      <c r="V2205" t="s">
        <v>4828</v>
      </c>
      <c r="W2205">
        <f>属性类型!G2205</f>
        <v>148</v>
      </c>
      <c r="X2205">
        <v>1</v>
      </c>
    </row>
    <row r="2206" customFormat="1" ht="16.5" spans="1:24">
      <c r="A2206" s="17">
        <f t="shared" si="1723"/>
        <v>52403</v>
      </c>
      <c r="B2206" s="17">
        <f t="shared" si="1700"/>
        <v>52400</v>
      </c>
      <c r="C2206" s="17" t="str">
        <f t="shared" si="1709"/>
        <v>5</v>
      </c>
      <c r="D2206" s="17">
        <f t="shared" si="1701"/>
        <v>50003</v>
      </c>
      <c r="E2206" s="17">
        <v>1</v>
      </c>
      <c r="F2206" s="17">
        <f t="shared" si="1720"/>
        <v>3</v>
      </c>
      <c r="G2206" s="17" t="str">
        <f t="shared" si="1724"/>
        <v>高级防御百分比</v>
      </c>
      <c r="H2206" s="17" t="str">
        <f t="shared" si="1725"/>
        <v>icon_05</v>
      </c>
      <c r="I2206" s="20">
        <v>0</v>
      </c>
      <c r="J2206" s="17">
        <v>3</v>
      </c>
      <c r="K2206" s="17">
        <f t="shared" si="1722"/>
        <v>52404</v>
      </c>
      <c r="L2206" s="17" t="s">
        <v>218</v>
      </c>
      <c r="M2206" s="17" t="str">
        <f t="shared" si="1726"/>
        <v>1:12100:10</v>
      </c>
      <c r="N2206" s="16" t="str">
        <f t="shared" si="1713"/>
        <v>148:1</v>
      </c>
      <c r="O2206" s="17">
        <f t="shared" si="1721"/>
        <v>5</v>
      </c>
      <c r="P2206" s="21" t="str">
        <f t="shared" si="1711"/>
        <v>所有牧师和法师防御百分比增加:1</v>
      </c>
      <c r="Q2206" s="21"/>
      <c r="R2206" t="str">
        <f t="shared" si="1727"/>
        <v>防御百分比</v>
      </c>
      <c r="T2206" t="str">
        <f t="shared" si="1728"/>
        <v>:1</v>
      </c>
      <c r="U2206" t="str">
        <f t="shared" si="1710"/>
        <v>牧师</v>
      </c>
      <c r="V2206" t="s">
        <v>4828</v>
      </c>
      <c r="W2206">
        <f>属性类型!G2206</f>
        <v>148</v>
      </c>
      <c r="X2206">
        <v>1</v>
      </c>
    </row>
    <row r="2207" customFormat="1" ht="16.5" spans="1:24">
      <c r="A2207" s="17">
        <f t="shared" si="1723"/>
        <v>52404</v>
      </c>
      <c r="B2207" s="17">
        <f t="shared" si="1700"/>
        <v>52400</v>
      </c>
      <c r="C2207" s="17" t="str">
        <f t="shared" si="1709"/>
        <v>5</v>
      </c>
      <c r="D2207" s="17">
        <f t="shared" si="1701"/>
        <v>50003</v>
      </c>
      <c r="E2207" s="17">
        <v>1</v>
      </c>
      <c r="F2207" s="17">
        <f t="shared" si="1720"/>
        <v>3</v>
      </c>
      <c r="G2207" s="17" t="str">
        <f t="shared" si="1724"/>
        <v>高级防御百分比</v>
      </c>
      <c r="H2207" s="17" t="str">
        <f t="shared" si="1725"/>
        <v>icon_05</v>
      </c>
      <c r="I2207" s="20">
        <v>0</v>
      </c>
      <c r="J2207" s="17">
        <v>4</v>
      </c>
      <c r="K2207" s="17">
        <f t="shared" si="1722"/>
        <v>52405</v>
      </c>
      <c r="L2207" s="17" t="s">
        <v>221</v>
      </c>
      <c r="M2207" s="17" t="str">
        <f t="shared" si="1726"/>
        <v>1:12100:10</v>
      </c>
      <c r="N2207" s="16" t="str">
        <f t="shared" si="1713"/>
        <v>148:1</v>
      </c>
      <c r="O2207" s="17">
        <f t="shared" si="1721"/>
        <v>5</v>
      </c>
      <c r="P2207" s="21" t="str">
        <f t="shared" si="1711"/>
        <v>所有牧师和法师防御百分比增加:1</v>
      </c>
      <c r="Q2207" s="21"/>
      <c r="R2207" t="str">
        <f t="shared" si="1727"/>
        <v>防御百分比</v>
      </c>
      <c r="T2207" t="str">
        <f t="shared" si="1728"/>
        <v>:1</v>
      </c>
      <c r="U2207" t="str">
        <f t="shared" si="1710"/>
        <v>牧师</v>
      </c>
      <c r="V2207" t="s">
        <v>4828</v>
      </c>
      <c r="W2207">
        <f>属性类型!G2207</f>
        <v>148</v>
      </c>
      <c r="X2207">
        <v>1</v>
      </c>
    </row>
    <row r="2208" customFormat="1" ht="16.5" spans="1:24">
      <c r="A2208" s="17">
        <f t="shared" si="1723"/>
        <v>52405</v>
      </c>
      <c r="B2208" s="17">
        <f t="shared" si="1700"/>
        <v>52400</v>
      </c>
      <c r="C2208" s="17" t="str">
        <f t="shared" si="1709"/>
        <v>5</v>
      </c>
      <c r="D2208" s="17">
        <f t="shared" si="1701"/>
        <v>50003</v>
      </c>
      <c r="E2208" s="17">
        <v>1</v>
      </c>
      <c r="F2208" s="17">
        <f t="shared" si="1720"/>
        <v>3</v>
      </c>
      <c r="G2208" s="17" t="str">
        <f t="shared" si="1724"/>
        <v>高级防御百分比</v>
      </c>
      <c r="H2208" s="17" t="str">
        <f t="shared" si="1725"/>
        <v>icon_05</v>
      </c>
      <c r="I2208" s="20">
        <v>0</v>
      </c>
      <c r="J2208" s="17">
        <v>5</v>
      </c>
      <c r="K2208" s="17">
        <f t="shared" si="1722"/>
        <v>52406</v>
      </c>
      <c r="L2208" s="17" t="s">
        <v>224</v>
      </c>
      <c r="M2208" s="17" t="str">
        <f t="shared" si="1726"/>
        <v>1:12100:10</v>
      </c>
      <c r="N2208" s="16" t="str">
        <f t="shared" si="1713"/>
        <v>148:1</v>
      </c>
      <c r="O2208" s="17">
        <f t="shared" si="1721"/>
        <v>5</v>
      </c>
      <c r="P2208" s="21" t="str">
        <f t="shared" si="1711"/>
        <v>所有牧师和法师防御百分比增加:1</v>
      </c>
      <c r="Q2208" s="21"/>
      <c r="R2208" t="str">
        <f t="shared" si="1727"/>
        <v>防御百分比</v>
      </c>
      <c r="T2208" t="str">
        <f t="shared" si="1728"/>
        <v>:1</v>
      </c>
      <c r="U2208" t="str">
        <f t="shared" si="1710"/>
        <v>牧师</v>
      </c>
      <c r="V2208" t="s">
        <v>4828</v>
      </c>
      <c r="W2208">
        <f>属性类型!G2208</f>
        <v>148</v>
      </c>
      <c r="X2208">
        <v>1</v>
      </c>
    </row>
    <row r="2209" customFormat="1" ht="16.5" spans="1:24">
      <c r="A2209" s="17">
        <f t="shared" si="1723"/>
        <v>52406</v>
      </c>
      <c r="B2209" s="17">
        <f t="shared" si="1700"/>
        <v>52400</v>
      </c>
      <c r="C2209" s="17" t="str">
        <f t="shared" si="1709"/>
        <v>5</v>
      </c>
      <c r="D2209" s="17">
        <f t="shared" si="1701"/>
        <v>50003</v>
      </c>
      <c r="E2209" s="17">
        <v>1</v>
      </c>
      <c r="F2209" s="17">
        <f t="shared" si="1720"/>
        <v>3</v>
      </c>
      <c r="G2209" s="17" t="str">
        <f t="shared" si="1724"/>
        <v>高级防御百分比</v>
      </c>
      <c r="H2209" s="17" t="str">
        <f t="shared" si="1725"/>
        <v>icon_05</v>
      </c>
      <c r="I2209" s="20">
        <v>0</v>
      </c>
      <c r="J2209" s="17">
        <v>6</v>
      </c>
      <c r="K2209" s="17">
        <f t="shared" si="1722"/>
        <v>52407</v>
      </c>
      <c r="L2209" s="17" t="s">
        <v>227</v>
      </c>
      <c r="M2209" s="17" t="str">
        <f t="shared" si="1726"/>
        <v>1:12100:10</v>
      </c>
      <c r="N2209" s="16" t="str">
        <f t="shared" si="1713"/>
        <v>148:1</v>
      </c>
      <c r="O2209" s="17">
        <f t="shared" si="1721"/>
        <v>5</v>
      </c>
      <c r="P2209" s="21" t="str">
        <f t="shared" si="1711"/>
        <v>所有牧师和法师防御百分比增加:1</v>
      </c>
      <c r="Q2209" s="21"/>
      <c r="R2209" t="str">
        <f t="shared" si="1727"/>
        <v>防御百分比</v>
      </c>
      <c r="T2209" t="str">
        <f t="shared" si="1728"/>
        <v>:1</v>
      </c>
      <c r="U2209" t="str">
        <f t="shared" si="1710"/>
        <v>牧师</v>
      </c>
      <c r="V2209" t="s">
        <v>4828</v>
      </c>
      <c r="W2209">
        <f>属性类型!G2209</f>
        <v>148</v>
      </c>
      <c r="X2209">
        <v>1</v>
      </c>
    </row>
    <row r="2210" customFormat="1" ht="16.5" spans="1:24">
      <c r="A2210" s="17">
        <f t="shared" si="1723"/>
        <v>52407</v>
      </c>
      <c r="B2210" s="17">
        <f t="shared" si="1700"/>
        <v>52400</v>
      </c>
      <c r="C2210" s="17" t="str">
        <f t="shared" si="1709"/>
        <v>5</v>
      </c>
      <c r="D2210" s="17">
        <f t="shared" si="1701"/>
        <v>50003</v>
      </c>
      <c r="E2210" s="17">
        <v>1</v>
      </c>
      <c r="F2210" s="17">
        <f t="shared" si="1720"/>
        <v>3</v>
      </c>
      <c r="G2210" s="17" t="str">
        <f t="shared" si="1724"/>
        <v>高级防御百分比</v>
      </c>
      <c r="H2210" s="17" t="str">
        <f t="shared" si="1725"/>
        <v>icon_05</v>
      </c>
      <c r="I2210" s="20">
        <v>0</v>
      </c>
      <c r="J2210" s="17">
        <v>7</v>
      </c>
      <c r="K2210" s="17">
        <f t="shared" si="1722"/>
        <v>52408</v>
      </c>
      <c r="L2210" s="17" t="s">
        <v>230</v>
      </c>
      <c r="M2210" s="17" t="str">
        <f t="shared" si="1726"/>
        <v>1:12100:10</v>
      </c>
      <c r="N2210" s="16" t="str">
        <f t="shared" si="1713"/>
        <v>148:1</v>
      </c>
      <c r="O2210" s="17">
        <f t="shared" si="1721"/>
        <v>5</v>
      </c>
      <c r="P2210" s="21" t="str">
        <f t="shared" si="1711"/>
        <v>所有牧师和法师防御百分比增加:1</v>
      </c>
      <c r="Q2210" s="21"/>
      <c r="R2210" t="str">
        <f t="shared" si="1727"/>
        <v>防御百分比</v>
      </c>
      <c r="T2210" t="str">
        <f t="shared" si="1728"/>
        <v>:1</v>
      </c>
      <c r="U2210" t="str">
        <f t="shared" si="1710"/>
        <v>牧师</v>
      </c>
      <c r="V2210" t="s">
        <v>4828</v>
      </c>
      <c r="W2210">
        <f>属性类型!G2210</f>
        <v>148</v>
      </c>
      <c r="X2210">
        <v>1</v>
      </c>
    </row>
    <row r="2211" customFormat="1" ht="16.5" spans="1:24">
      <c r="A2211" s="17">
        <f t="shared" si="1723"/>
        <v>52408</v>
      </c>
      <c r="B2211" s="17">
        <f t="shared" si="1700"/>
        <v>52400</v>
      </c>
      <c r="C2211" s="17" t="str">
        <f t="shared" si="1709"/>
        <v>5</v>
      </c>
      <c r="D2211" s="17">
        <f t="shared" si="1701"/>
        <v>50003</v>
      </c>
      <c r="E2211" s="17">
        <v>1</v>
      </c>
      <c r="F2211" s="17">
        <f t="shared" si="1720"/>
        <v>3</v>
      </c>
      <c r="G2211" s="17" t="str">
        <f t="shared" si="1724"/>
        <v>高级防御百分比</v>
      </c>
      <c r="H2211" s="17" t="str">
        <f t="shared" si="1725"/>
        <v>icon_05</v>
      </c>
      <c r="I2211" s="20">
        <v>0</v>
      </c>
      <c r="J2211" s="17">
        <v>8</v>
      </c>
      <c r="K2211" s="17">
        <f t="shared" si="1722"/>
        <v>52409</v>
      </c>
      <c r="L2211" s="17" t="s">
        <v>233</v>
      </c>
      <c r="M2211" s="17" t="str">
        <f t="shared" si="1726"/>
        <v>1:12100:10</v>
      </c>
      <c r="N2211" s="16" t="str">
        <f t="shared" si="1713"/>
        <v>148:1</v>
      </c>
      <c r="O2211" s="17">
        <f t="shared" si="1721"/>
        <v>5</v>
      </c>
      <c r="P2211" s="21" t="str">
        <f t="shared" si="1711"/>
        <v>所有牧师和法师防御百分比增加:1</v>
      </c>
      <c r="Q2211" s="21"/>
      <c r="R2211" t="str">
        <f t="shared" si="1727"/>
        <v>防御百分比</v>
      </c>
      <c r="T2211" t="str">
        <f t="shared" si="1728"/>
        <v>:1</v>
      </c>
      <c r="U2211" t="str">
        <f t="shared" si="1710"/>
        <v>牧师</v>
      </c>
      <c r="V2211" t="s">
        <v>4828</v>
      </c>
      <c r="W2211">
        <f>属性类型!G2211</f>
        <v>148</v>
      </c>
      <c r="X2211">
        <v>1</v>
      </c>
    </row>
    <row r="2212" customFormat="1" ht="16.5" spans="1:24">
      <c r="A2212" s="17">
        <f t="shared" si="1723"/>
        <v>52409</v>
      </c>
      <c r="B2212" s="17">
        <f t="shared" si="1700"/>
        <v>52400</v>
      </c>
      <c r="C2212" s="17" t="str">
        <f t="shared" si="1709"/>
        <v>5</v>
      </c>
      <c r="D2212" s="17">
        <f t="shared" si="1701"/>
        <v>50003</v>
      </c>
      <c r="E2212" s="17">
        <v>1</v>
      </c>
      <c r="F2212" s="17">
        <f t="shared" si="1720"/>
        <v>3</v>
      </c>
      <c r="G2212" s="17" t="str">
        <f t="shared" si="1724"/>
        <v>高级防御百分比</v>
      </c>
      <c r="H2212" s="17" t="str">
        <f t="shared" si="1725"/>
        <v>icon_05</v>
      </c>
      <c r="I2212" s="20">
        <v>0</v>
      </c>
      <c r="J2212" s="17">
        <v>9</v>
      </c>
      <c r="K2212" s="17">
        <f t="shared" si="1722"/>
        <v>52410</v>
      </c>
      <c r="L2212" s="17" t="s">
        <v>236</v>
      </c>
      <c r="M2212" s="17" t="str">
        <f t="shared" si="1726"/>
        <v>1:12100:10</v>
      </c>
      <c r="N2212" s="16" t="str">
        <f t="shared" si="1713"/>
        <v>148:1</v>
      </c>
      <c r="O2212" s="17">
        <f t="shared" si="1721"/>
        <v>5</v>
      </c>
      <c r="P2212" s="21" t="str">
        <f t="shared" si="1711"/>
        <v>所有牧师和法师防御百分比增加:1</v>
      </c>
      <c r="Q2212" s="21"/>
      <c r="R2212" t="str">
        <f t="shared" si="1727"/>
        <v>防御百分比</v>
      </c>
      <c r="T2212" t="str">
        <f t="shared" si="1728"/>
        <v>:1</v>
      </c>
      <c r="U2212" t="str">
        <f t="shared" si="1710"/>
        <v>牧师</v>
      </c>
      <c r="V2212" t="s">
        <v>4828</v>
      </c>
      <c r="W2212">
        <f>属性类型!G2212</f>
        <v>148</v>
      </c>
      <c r="X2212">
        <v>1</v>
      </c>
    </row>
    <row r="2213" customFormat="1" ht="16.5" spans="1:24">
      <c r="A2213" s="17">
        <f t="shared" si="1723"/>
        <v>52410</v>
      </c>
      <c r="B2213" s="17">
        <f t="shared" si="1700"/>
        <v>52400</v>
      </c>
      <c r="C2213" s="17" t="str">
        <f t="shared" si="1709"/>
        <v>5</v>
      </c>
      <c r="D2213" s="17">
        <f t="shared" si="1701"/>
        <v>50003</v>
      </c>
      <c r="E2213" s="17">
        <v>1</v>
      </c>
      <c r="F2213" s="17">
        <f t="shared" si="1720"/>
        <v>3</v>
      </c>
      <c r="G2213" s="17" t="str">
        <f t="shared" si="1724"/>
        <v>高级防御百分比</v>
      </c>
      <c r="H2213" s="17" t="str">
        <f t="shared" si="1725"/>
        <v>icon_05</v>
      </c>
      <c r="I2213" s="20">
        <v>0</v>
      </c>
      <c r="J2213" s="17">
        <v>10</v>
      </c>
      <c r="K2213" s="17">
        <f t="shared" si="1722"/>
        <v>52411</v>
      </c>
      <c r="L2213" s="17" t="s">
        <v>238</v>
      </c>
      <c r="M2213" s="17" t="str">
        <f t="shared" si="1726"/>
        <v>1:12100:10</v>
      </c>
      <c r="N2213" s="16" t="str">
        <f t="shared" si="1713"/>
        <v>148:1</v>
      </c>
      <c r="O2213" s="17">
        <f t="shared" si="1721"/>
        <v>5</v>
      </c>
      <c r="P2213" s="21" t="str">
        <f t="shared" si="1711"/>
        <v>所有牧师和法师防御百分比增加:1</v>
      </c>
      <c r="Q2213" s="21"/>
      <c r="R2213" t="str">
        <f t="shared" si="1727"/>
        <v>防御百分比</v>
      </c>
      <c r="T2213" t="str">
        <f t="shared" si="1728"/>
        <v>:1</v>
      </c>
      <c r="U2213" t="str">
        <f t="shared" si="1710"/>
        <v>牧师</v>
      </c>
      <c r="V2213" t="s">
        <v>4828</v>
      </c>
      <c r="W2213">
        <f>属性类型!G2213</f>
        <v>148</v>
      </c>
      <c r="X2213">
        <v>1</v>
      </c>
    </row>
    <row r="2214" customFormat="1" ht="16.5" spans="1:24">
      <c r="A2214" s="17">
        <f t="shared" si="1723"/>
        <v>52411</v>
      </c>
      <c r="B2214" s="17">
        <f t="shared" si="1700"/>
        <v>52400</v>
      </c>
      <c r="C2214" s="17" t="str">
        <f t="shared" si="1709"/>
        <v>5</v>
      </c>
      <c r="D2214" s="17">
        <f t="shared" si="1701"/>
        <v>50003</v>
      </c>
      <c r="E2214" s="17">
        <v>1</v>
      </c>
      <c r="F2214" s="17">
        <f t="shared" si="1720"/>
        <v>3</v>
      </c>
      <c r="G2214" s="17" t="str">
        <f t="shared" si="1724"/>
        <v>高级防御百分比</v>
      </c>
      <c r="H2214" s="17" t="str">
        <f t="shared" si="1725"/>
        <v>icon_05</v>
      </c>
      <c r="I2214" s="20">
        <v>0</v>
      </c>
      <c r="J2214" s="17">
        <v>11</v>
      </c>
      <c r="K2214" s="17">
        <f t="shared" si="1722"/>
        <v>52412</v>
      </c>
      <c r="L2214" s="17" t="s">
        <v>529</v>
      </c>
      <c r="M2214" s="17" t="str">
        <f t="shared" si="1726"/>
        <v>1:12100:10</v>
      </c>
      <c r="N2214" s="16" t="str">
        <f t="shared" si="1713"/>
        <v>148:1</v>
      </c>
      <c r="O2214" s="17">
        <f t="shared" si="1721"/>
        <v>5</v>
      </c>
      <c r="P2214" s="21" t="str">
        <f t="shared" si="1711"/>
        <v>所有牧师和法师防御百分比增加:1</v>
      </c>
      <c r="Q2214" s="21"/>
      <c r="R2214" t="str">
        <f t="shared" si="1727"/>
        <v>防御百分比</v>
      </c>
      <c r="T2214" t="str">
        <f t="shared" si="1728"/>
        <v>:1</v>
      </c>
      <c r="U2214" t="str">
        <f t="shared" si="1710"/>
        <v>牧师</v>
      </c>
      <c r="V2214" t="s">
        <v>4828</v>
      </c>
      <c r="W2214">
        <f>属性类型!G2214</f>
        <v>148</v>
      </c>
      <c r="X2214">
        <v>1</v>
      </c>
    </row>
    <row r="2215" customFormat="1" ht="16.5" spans="1:24">
      <c r="A2215" s="17">
        <f t="shared" si="1723"/>
        <v>52412</v>
      </c>
      <c r="B2215" s="17">
        <f t="shared" si="1700"/>
        <v>52400</v>
      </c>
      <c r="C2215" s="17" t="str">
        <f t="shared" si="1709"/>
        <v>5</v>
      </c>
      <c r="D2215" s="17">
        <f t="shared" si="1701"/>
        <v>50003</v>
      </c>
      <c r="E2215" s="17">
        <v>1</v>
      </c>
      <c r="F2215" s="17">
        <f t="shared" si="1720"/>
        <v>3</v>
      </c>
      <c r="G2215" s="17" t="str">
        <f t="shared" si="1724"/>
        <v>高级防御百分比</v>
      </c>
      <c r="H2215" s="17" t="str">
        <f t="shared" si="1725"/>
        <v>icon_05</v>
      </c>
      <c r="I2215" s="20">
        <v>0</v>
      </c>
      <c r="J2215" s="17">
        <v>12</v>
      </c>
      <c r="K2215" s="17">
        <f t="shared" si="1722"/>
        <v>52413</v>
      </c>
      <c r="L2215" s="17" t="s">
        <v>532</v>
      </c>
      <c r="M2215" s="17" t="str">
        <f t="shared" si="1726"/>
        <v>1:12100:10</v>
      </c>
      <c r="N2215" s="16" t="str">
        <f t="shared" si="1713"/>
        <v>148:1</v>
      </c>
      <c r="O2215" s="17">
        <f t="shared" si="1721"/>
        <v>5</v>
      </c>
      <c r="P2215" s="21" t="str">
        <f t="shared" si="1711"/>
        <v>所有牧师和法师防御百分比增加:1</v>
      </c>
      <c r="Q2215" s="21"/>
      <c r="R2215" t="str">
        <f t="shared" si="1727"/>
        <v>防御百分比</v>
      </c>
      <c r="T2215" t="str">
        <f t="shared" si="1728"/>
        <v>:1</v>
      </c>
      <c r="U2215" t="str">
        <f t="shared" si="1710"/>
        <v>牧师</v>
      </c>
      <c r="V2215" t="s">
        <v>4828</v>
      </c>
      <c r="W2215">
        <f>属性类型!G2215</f>
        <v>148</v>
      </c>
      <c r="X2215">
        <v>1</v>
      </c>
    </row>
    <row r="2216" customFormat="1" ht="16.5" spans="1:24">
      <c r="A2216" s="17">
        <f t="shared" si="1723"/>
        <v>52413</v>
      </c>
      <c r="B2216" s="17">
        <f t="shared" si="1700"/>
        <v>52400</v>
      </c>
      <c r="C2216" s="17" t="str">
        <f t="shared" si="1709"/>
        <v>5</v>
      </c>
      <c r="D2216" s="17">
        <f t="shared" si="1701"/>
        <v>50003</v>
      </c>
      <c r="E2216" s="17">
        <v>1</v>
      </c>
      <c r="F2216" s="17">
        <f t="shared" si="1720"/>
        <v>3</v>
      </c>
      <c r="G2216" s="17" t="str">
        <f t="shared" si="1724"/>
        <v>高级防御百分比</v>
      </c>
      <c r="H2216" s="17" t="str">
        <f t="shared" si="1725"/>
        <v>icon_05</v>
      </c>
      <c r="I2216" s="20">
        <v>0</v>
      </c>
      <c r="J2216" s="17">
        <v>13</v>
      </c>
      <c r="K2216" s="17">
        <f t="shared" si="1722"/>
        <v>52414</v>
      </c>
      <c r="L2216" s="17" t="s">
        <v>561</v>
      </c>
      <c r="M2216" s="17" t="str">
        <f t="shared" si="1726"/>
        <v>1:12100:10</v>
      </c>
      <c r="N2216" s="16" t="str">
        <f t="shared" si="1713"/>
        <v>148:1</v>
      </c>
      <c r="O2216" s="17">
        <f t="shared" si="1721"/>
        <v>5</v>
      </c>
      <c r="P2216" s="21" t="str">
        <f t="shared" si="1711"/>
        <v>所有牧师和法师防御百分比增加:1</v>
      </c>
      <c r="Q2216" s="21"/>
      <c r="R2216" t="str">
        <f t="shared" si="1727"/>
        <v>防御百分比</v>
      </c>
      <c r="T2216" t="str">
        <f t="shared" si="1728"/>
        <v>:1</v>
      </c>
      <c r="U2216" t="str">
        <f t="shared" si="1710"/>
        <v>牧师</v>
      </c>
      <c r="V2216" t="s">
        <v>4828</v>
      </c>
      <c r="W2216">
        <f>属性类型!G2216</f>
        <v>148</v>
      </c>
      <c r="X2216">
        <v>1</v>
      </c>
    </row>
    <row r="2217" customFormat="1" ht="16.5" spans="1:24">
      <c r="A2217" s="17">
        <f t="shared" si="1723"/>
        <v>52414</v>
      </c>
      <c r="B2217" s="17">
        <f t="shared" si="1700"/>
        <v>52400</v>
      </c>
      <c r="C2217" s="17" t="str">
        <f t="shared" si="1709"/>
        <v>5</v>
      </c>
      <c r="D2217" s="17">
        <f t="shared" si="1701"/>
        <v>50003</v>
      </c>
      <c r="E2217" s="17">
        <v>1</v>
      </c>
      <c r="F2217" s="17">
        <f t="shared" si="1720"/>
        <v>3</v>
      </c>
      <c r="G2217" s="17" t="str">
        <f t="shared" si="1724"/>
        <v>高级防御百分比</v>
      </c>
      <c r="H2217" s="17" t="str">
        <f t="shared" si="1725"/>
        <v>icon_05</v>
      </c>
      <c r="I2217" s="20">
        <v>0</v>
      </c>
      <c r="J2217" s="17">
        <v>14</v>
      </c>
      <c r="K2217" s="17">
        <f t="shared" si="1722"/>
        <v>52415</v>
      </c>
      <c r="L2217" s="17" t="s">
        <v>564</v>
      </c>
      <c r="M2217" s="17" t="str">
        <f t="shared" si="1726"/>
        <v>1:12100:10</v>
      </c>
      <c r="N2217" s="16" t="str">
        <f t="shared" si="1713"/>
        <v>148:1</v>
      </c>
      <c r="O2217" s="17">
        <f t="shared" si="1721"/>
        <v>5</v>
      </c>
      <c r="P2217" s="21" t="str">
        <f t="shared" si="1711"/>
        <v>所有牧师和法师防御百分比增加:1</v>
      </c>
      <c r="Q2217" s="21"/>
      <c r="R2217" t="str">
        <f t="shared" si="1727"/>
        <v>防御百分比</v>
      </c>
      <c r="T2217" t="str">
        <f t="shared" si="1728"/>
        <v>:1</v>
      </c>
      <c r="U2217" t="str">
        <f t="shared" si="1710"/>
        <v>牧师</v>
      </c>
      <c r="V2217" t="s">
        <v>4828</v>
      </c>
      <c r="W2217">
        <f>属性类型!G2217</f>
        <v>148</v>
      </c>
      <c r="X2217">
        <v>1</v>
      </c>
    </row>
    <row r="2218" customFormat="1" ht="16.5" spans="1:24">
      <c r="A2218" s="17">
        <f t="shared" si="1723"/>
        <v>52415</v>
      </c>
      <c r="B2218" s="17">
        <f t="shared" si="1700"/>
        <v>52400</v>
      </c>
      <c r="C2218" s="17" t="str">
        <f t="shared" si="1709"/>
        <v>5</v>
      </c>
      <c r="D2218" s="17">
        <f t="shared" si="1701"/>
        <v>50003</v>
      </c>
      <c r="E2218" s="17">
        <v>1</v>
      </c>
      <c r="F2218" s="17">
        <f t="shared" si="1720"/>
        <v>3</v>
      </c>
      <c r="G2218" s="17" t="str">
        <f t="shared" si="1724"/>
        <v>高级防御百分比</v>
      </c>
      <c r="H2218" s="17" t="str">
        <f t="shared" si="1725"/>
        <v>icon_05</v>
      </c>
      <c r="I2218" s="20">
        <v>0</v>
      </c>
      <c r="J2218" s="17">
        <v>15</v>
      </c>
      <c r="K2218" s="17">
        <f t="shared" si="1722"/>
        <v>52416</v>
      </c>
      <c r="L2218" s="17" t="s">
        <v>630</v>
      </c>
      <c r="M2218" s="17" t="str">
        <f t="shared" si="1726"/>
        <v>1:12100:10</v>
      </c>
      <c r="N2218" s="16" t="str">
        <f t="shared" si="1713"/>
        <v>148:1</v>
      </c>
      <c r="O2218" s="17">
        <f t="shared" si="1721"/>
        <v>5</v>
      </c>
      <c r="P2218" s="21" t="str">
        <f t="shared" si="1711"/>
        <v>所有牧师和法师防御百分比增加:1</v>
      </c>
      <c r="Q2218" s="21"/>
      <c r="R2218" t="str">
        <f t="shared" si="1727"/>
        <v>防御百分比</v>
      </c>
      <c r="T2218" t="str">
        <f t="shared" si="1728"/>
        <v>:1</v>
      </c>
      <c r="U2218" t="str">
        <f t="shared" si="1710"/>
        <v>牧师</v>
      </c>
      <c r="V2218" t="s">
        <v>4828</v>
      </c>
      <c r="W2218">
        <f>属性类型!G2218</f>
        <v>148</v>
      </c>
      <c r="X2218">
        <v>1</v>
      </c>
    </row>
    <row r="2219" customFormat="1" ht="16.5" spans="1:24">
      <c r="A2219" s="17">
        <f t="shared" si="1723"/>
        <v>52416</v>
      </c>
      <c r="B2219" s="17">
        <f t="shared" si="1700"/>
        <v>52400</v>
      </c>
      <c r="C2219" s="17" t="str">
        <f t="shared" si="1709"/>
        <v>5</v>
      </c>
      <c r="D2219" s="17">
        <f t="shared" si="1701"/>
        <v>50003</v>
      </c>
      <c r="E2219" s="17">
        <v>1</v>
      </c>
      <c r="F2219" s="17">
        <f t="shared" si="1720"/>
        <v>3</v>
      </c>
      <c r="G2219" s="17" t="str">
        <f t="shared" si="1724"/>
        <v>高级防御百分比</v>
      </c>
      <c r="H2219" s="17" t="str">
        <f t="shared" si="1725"/>
        <v>icon_05</v>
      </c>
      <c r="I2219" s="20">
        <v>0</v>
      </c>
      <c r="J2219" s="17">
        <v>16</v>
      </c>
      <c r="K2219" s="17">
        <f t="shared" si="1722"/>
        <v>52417</v>
      </c>
      <c r="L2219" s="17" t="s">
        <v>633</v>
      </c>
      <c r="M2219" s="17" t="str">
        <f t="shared" si="1726"/>
        <v>1:12100:10</v>
      </c>
      <c r="N2219" s="16" t="str">
        <f t="shared" si="1713"/>
        <v>148:1</v>
      </c>
      <c r="O2219" s="17">
        <f t="shared" si="1721"/>
        <v>5</v>
      </c>
      <c r="P2219" s="21" t="str">
        <f t="shared" si="1711"/>
        <v>所有牧师和法师防御百分比增加:1</v>
      </c>
      <c r="Q2219" s="21"/>
      <c r="R2219" t="str">
        <f t="shared" si="1727"/>
        <v>防御百分比</v>
      </c>
      <c r="T2219" t="str">
        <f t="shared" si="1728"/>
        <v>:1</v>
      </c>
      <c r="U2219" t="str">
        <f t="shared" si="1710"/>
        <v>牧师</v>
      </c>
      <c r="V2219" t="s">
        <v>4828</v>
      </c>
      <c r="W2219">
        <f>属性类型!G2219</f>
        <v>148</v>
      </c>
      <c r="X2219">
        <v>1</v>
      </c>
    </row>
    <row r="2220" customFormat="1" ht="16.5" spans="1:24">
      <c r="A2220" s="17">
        <f t="shared" si="1723"/>
        <v>52417</v>
      </c>
      <c r="B2220" s="17">
        <f t="shared" si="1700"/>
        <v>52400</v>
      </c>
      <c r="C2220" s="17" t="str">
        <f t="shared" si="1709"/>
        <v>5</v>
      </c>
      <c r="D2220" s="17">
        <f t="shared" si="1701"/>
        <v>50003</v>
      </c>
      <c r="E2220" s="17">
        <v>1</v>
      </c>
      <c r="F2220" s="17">
        <f t="shared" si="1720"/>
        <v>3</v>
      </c>
      <c r="G2220" s="17" t="str">
        <f t="shared" si="1724"/>
        <v>高级防御百分比</v>
      </c>
      <c r="H2220" s="17" t="str">
        <f t="shared" si="1725"/>
        <v>icon_05</v>
      </c>
      <c r="I2220" s="20">
        <v>0</v>
      </c>
      <c r="J2220" s="17">
        <v>17</v>
      </c>
      <c r="K2220" s="17">
        <f t="shared" si="1722"/>
        <v>52418</v>
      </c>
      <c r="L2220" s="17" t="s">
        <v>637</v>
      </c>
      <c r="M2220" s="17" t="str">
        <f t="shared" si="1726"/>
        <v>1:12100:10</v>
      </c>
      <c r="N2220" s="16" t="str">
        <f t="shared" si="1713"/>
        <v>148:1</v>
      </c>
      <c r="O2220" s="17">
        <f t="shared" si="1721"/>
        <v>5</v>
      </c>
      <c r="P2220" s="21" t="str">
        <f t="shared" si="1711"/>
        <v>所有牧师和法师防御百分比增加:1</v>
      </c>
      <c r="Q2220" s="21"/>
      <c r="R2220" t="str">
        <f t="shared" si="1727"/>
        <v>防御百分比</v>
      </c>
      <c r="T2220" t="str">
        <f t="shared" si="1728"/>
        <v>:1</v>
      </c>
      <c r="U2220" t="str">
        <f t="shared" si="1710"/>
        <v>牧师</v>
      </c>
      <c r="V2220" t="s">
        <v>4828</v>
      </c>
      <c r="W2220">
        <f>属性类型!G2220</f>
        <v>148</v>
      </c>
      <c r="X2220">
        <v>1</v>
      </c>
    </row>
    <row r="2221" customFormat="1" ht="16.5" spans="1:24">
      <c r="A2221" s="17">
        <f t="shared" si="1723"/>
        <v>52418</v>
      </c>
      <c r="B2221" s="17">
        <f t="shared" si="1700"/>
        <v>52400</v>
      </c>
      <c r="C2221" s="17" t="str">
        <f t="shared" si="1709"/>
        <v>5</v>
      </c>
      <c r="D2221" s="17">
        <f t="shared" si="1701"/>
        <v>50003</v>
      </c>
      <c r="E2221" s="17">
        <v>1</v>
      </c>
      <c r="F2221" s="17">
        <f t="shared" si="1720"/>
        <v>3</v>
      </c>
      <c r="G2221" s="17" t="str">
        <f t="shared" si="1724"/>
        <v>高级防御百分比</v>
      </c>
      <c r="H2221" s="17" t="str">
        <f t="shared" si="1725"/>
        <v>icon_05</v>
      </c>
      <c r="I2221" s="20">
        <v>0</v>
      </c>
      <c r="J2221" s="17">
        <v>18</v>
      </c>
      <c r="K2221" s="17">
        <f t="shared" si="1722"/>
        <v>52419</v>
      </c>
      <c r="L2221" s="17" t="s">
        <v>641</v>
      </c>
      <c r="M2221" s="17" t="str">
        <f t="shared" si="1726"/>
        <v>1:12100:10</v>
      </c>
      <c r="N2221" s="16" t="str">
        <f t="shared" si="1713"/>
        <v>148:1</v>
      </c>
      <c r="O2221" s="17">
        <f t="shared" si="1721"/>
        <v>5</v>
      </c>
      <c r="P2221" s="21" t="str">
        <f t="shared" si="1711"/>
        <v>所有牧师和法师防御百分比增加:1</v>
      </c>
      <c r="Q2221" s="21"/>
      <c r="R2221" t="str">
        <f t="shared" si="1727"/>
        <v>防御百分比</v>
      </c>
      <c r="T2221" t="str">
        <f t="shared" si="1728"/>
        <v>:1</v>
      </c>
      <c r="U2221" t="str">
        <f t="shared" si="1710"/>
        <v>牧师</v>
      </c>
      <c r="V2221" t="s">
        <v>4828</v>
      </c>
      <c r="W2221">
        <f>属性类型!G2221</f>
        <v>148</v>
      </c>
      <c r="X2221">
        <v>1</v>
      </c>
    </row>
    <row r="2222" customFormat="1" ht="16.5" spans="1:24">
      <c r="A2222" s="17">
        <f t="shared" si="1723"/>
        <v>52419</v>
      </c>
      <c r="B2222" s="17">
        <f t="shared" si="1700"/>
        <v>52400</v>
      </c>
      <c r="C2222" s="17" t="str">
        <f t="shared" si="1709"/>
        <v>5</v>
      </c>
      <c r="D2222" s="17">
        <f t="shared" si="1701"/>
        <v>50003</v>
      </c>
      <c r="E2222" s="17">
        <v>1</v>
      </c>
      <c r="F2222" s="17">
        <f t="shared" si="1720"/>
        <v>3</v>
      </c>
      <c r="G2222" s="17" t="str">
        <f t="shared" si="1724"/>
        <v>高级防御百分比</v>
      </c>
      <c r="H2222" s="17" t="str">
        <f t="shared" si="1725"/>
        <v>icon_05</v>
      </c>
      <c r="I2222" s="20">
        <v>0</v>
      </c>
      <c r="J2222" s="17">
        <v>19</v>
      </c>
      <c r="K2222" s="17">
        <f t="shared" si="1722"/>
        <v>52420</v>
      </c>
      <c r="L2222" s="17" t="s">
        <v>645</v>
      </c>
      <c r="M2222" s="17" t="str">
        <f t="shared" si="1726"/>
        <v>1:12100:10</v>
      </c>
      <c r="N2222" s="16" t="str">
        <f t="shared" si="1713"/>
        <v>148:1</v>
      </c>
      <c r="O2222" s="17">
        <f t="shared" si="1721"/>
        <v>5</v>
      </c>
      <c r="P2222" s="21" t="str">
        <f t="shared" si="1711"/>
        <v>所有牧师和法师防御百分比增加:1</v>
      </c>
      <c r="Q2222" s="21"/>
      <c r="R2222" t="str">
        <f t="shared" si="1727"/>
        <v>防御百分比</v>
      </c>
      <c r="T2222" t="str">
        <f t="shared" si="1728"/>
        <v>:1</v>
      </c>
      <c r="U2222" t="str">
        <f t="shared" si="1710"/>
        <v>牧师</v>
      </c>
      <c r="V2222" t="s">
        <v>4828</v>
      </c>
      <c r="W2222">
        <f>属性类型!G2222</f>
        <v>148</v>
      </c>
      <c r="X2222">
        <v>1</v>
      </c>
    </row>
    <row r="2223" customFormat="1" ht="16.5" spans="1:24">
      <c r="A2223" s="17">
        <f t="shared" si="1723"/>
        <v>52420</v>
      </c>
      <c r="B2223" s="17">
        <f t="shared" ref="B2223:B2286" si="1729">ROUND(A2223,-2)</f>
        <v>52400</v>
      </c>
      <c r="C2223" s="17" t="str">
        <f t="shared" si="1709"/>
        <v>5</v>
      </c>
      <c r="D2223" s="17">
        <f t="shared" si="1701"/>
        <v>50003</v>
      </c>
      <c r="E2223" s="17">
        <v>1</v>
      </c>
      <c r="F2223" s="17">
        <f t="shared" si="1720"/>
        <v>3</v>
      </c>
      <c r="G2223" s="17" t="str">
        <f t="shared" si="1724"/>
        <v>高级防御百分比</v>
      </c>
      <c r="H2223" s="17" t="str">
        <f t="shared" si="1725"/>
        <v>icon_05</v>
      </c>
      <c r="I2223" s="20">
        <v>0</v>
      </c>
      <c r="J2223" s="17">
        <v>20</v>
      </c>
      <c r="K2223" s="17">
        <v>0</v>
      </c>
      <c r="L2223" s="17">
        <v>0</v>
      </c>
      <c r="M2223" s="17" t="str">
        <f t="shared" si="1726"/>
        <v>1:12100:10</v>
      </c>
      <c r="N2223" s="16" t="str">
        <f t="shared" si="1713"/>
        <v>148:1</v>
      </c>
      <c r="O2223" s="17">
        <f t="shared" si="1721"/>
        <v>5</v>
      </c>
      <c r="P2223" s="21" t="str">
        <f t="shared" si="1711"/>
        <v>所有牧师和法师防御百分比增加:1</v>
      </c>
      <c r="Q2223" s="21"/>
      <c r="R2223" t="str">
        <f t="shared" si="1727"/>
        <v>防御百分比</v>
      </c>
      <c r="T2223" t="str">
        <f t="shared" si="1728"/>
        <v>:1</v>
      </c>
      <c r="U2223" t="str">
        <f t="shared" si="1710"/>
        <v>牧师</v>
      </c>
      <c r="V2223" t="s">
        <v>4828</v>
      </c>
      <c r="W2223">
        <f>属性类型!G2223</f>
        <v>148</v>
      </c>
      <c r="X2223">
        <v>1</v>
      </c>
    </row>
    <row r="2224" customFormat="1" ht="16.5" spans="1:24">
      <c r="A2224" s="18">
        <f>A2203+100</f>
        <v>52500</v>
      </c>
      <c r="B2224" s="18">
        <f t="shared" si="1729"/>
        <v>52500</v>
      </c>
      <c r="C2224" s="18" t="str">
        <f t="shared" si="1709"/>
        <v>5</v>
      </c>
      <c r="D2224" s="17">
        <f t="shared" si="1701"/>
        <v>50003</v>
      </c>
      <c r="E2224" s="17">
        <v>1</v>
      </c>
      <c r="F2224" s="18">
        <f t="shared" si="1720"/>
        <v>3</v>
      </c>
      <c r="G2224" s="18" t="s">
        <v>650</v>
      </c>
      <c r="H2224" s="18" t="s">
        <v>149</v>
      </c>
      <c r="I2224" s="20">
        <v>0</v>
      </c>
      <c r="J2224" s="18">
        <v>0</v>
      </c>
      <c r="K2224" s="18">
        <f t="shared" ref="K2224:K2243" si="1730">A2225</f>
        <v>52501</v>
      </c>
      <c r="L2224" s="18" t="s">
        <v>206</v>
      </c>
      <c r="M2224" s="18" t="s">
        <v>652</v>
      </c>
      <c r="N2224" s="16" t="str">
        <f t="shared" si="1713"/>
        <v>147:1</v>
      </c>
      <c r="O2224" s="18">
        <f t="shared" si="1721"/>
        <v>6</v>
      </c>
      <c r="P2224" s="21" t="str">
        <f t="shared" si="1711"/>
        <v>所有牧师和法师攻击百分比增加1</v>
      </c>
      <c r="Q2224" s="21"/>
      <c r="R2224" t="s">
        <v>4280</v>
      </c>
      <c r="T2224" t="str">
        <f>RIGHT(N2224,1)</f>
        <v>1</v>
      </c>
      <c r="U2224" t="str">
        <f t="shared" si="1710"/>
        <v>牧师</v>
      </c>
      <c r="V2224" t="s">
        <v>4829</v>
      </c>
      <c r="W2224">
        <f>属性类型!G2224</f>
        <v>147</v>
      </c>
      <c r="X2224">
        <v>1</v>
      </c>
    </row>
    <row r="2225" customFormat="1" ht="16.5" spans="1:24">
      <c r="A2225" s="17">
        <f t="shared" ref="A2225:A2244" si="1731">A2224+1</f>
        <v>52501</v>
      </c>
      <c r="B2225" s="17">
        <f t="shared" si="1729"/>
        <v>52500</v>
      </c>
      <c r="C2225" s="17" t="str">
        <f t="shared" si="1709"/>
        <v>5</v>
      </c>
      <c r="D2225" s="17">
        <f t="shared" si="1701"/>
        <v>50003</v>
      </c>
      <c r="E2225" s="17">
        <v>1</v>
      </c>
      <c r="F2225" s="17">
        <f t="shared" si="1720"/>
        <v>3</v>
      </c>
      <c r="G2225" s="17" t="str">
        <f t="shared" ref="G2225:G2244" si="1732">G2224</f>
        <v>高级攻击百分比</v>
      </c>
      <c r="H2225" s="17" t="str">
        <f t="shared" ref="H2225:H2244" si="1733">H2224</f>
        <v>icon_06</v>
      </c>
      <c r="I2225" s="20">
        <v>0</v>
      </c>
      <c r="J2225" s="17">
        <v>1</v>
      </c>
      <c r="K2225" s="17">
        <f t="shared" si="1730"/>
        <v>52502</v>
      </c>
      <c r="L2225" s="17" t="s">
        <v>211</v>
      </c>
      <c r="M2225" s="17" t="str">
        <f t="shared" ref="M2225:M2244" si="1734">M2224</f>
        <v>1:12200:10</v>
      </c>
      <c r="N2225" s="16" t="str">
        <f t="shared" si="1713"/>
        <v>147:1</v>
      </c>
      <c r="O2225" s="17">
        <f t="shared" si="1721"/>
        <v>6</v>
      </c>
      <c r="P2225" s="21" t="str">
        <f t="shared" si="1711"/>
        <v>所有牧师和法师攻击百分比增加:1</v>
      </c>
      <c r="Q2225" s="21"/>
      <c r="R2225" t="str">
        <f t="shared" ref="R2225:R2244" si="1735">R2224</f>
        <v>攻击百分比</v>
      </c>
      <c r="T2225" t="str">
        <f t="shared" ref="T2225:T2244" si="1736">RIGHT(N2225,2)</f>
        <v>:1</v>
      </c>
      <c r="U2225" t="str">
        <f t="shared" si="1710"/>
        <v>牧师</v>
      </c>
      <c r="V2225" t="s">
        <v>4829</v>
      </c>
      <c r="W2225">
        <f>属性类型!G2225</f>
        <v>147</v>
      </c>
      <c r="X2225">
        <v>1</v>
      </c>
    </row>
    <row r="2226" customFormat="1" ht="16.5" spans="1:24">
      <c r="A2226" s="17">
        <f t="shared" si="1731"/>
        <v>52502</v>
      </c>
      <c r="B2226" s="17">
        <f t="shared" si="1729"/>
        <v>52500</v>
      </c>
      <c r="C2226" s="17" t="str">
        <f t="shared" si="1709"/>
        <v>5</v>
      </c>
      <c r="D2226" s="17">
        <f t="shared" si="1701"/>
        <v>50003</v>
      </c>
      <c r="E2226" s="17">
        <v>1</v>
      </c>
      <c r="F2226" s="17">
        <f t="shared" si="1720"/>
        <v>3</v>
      </c>
      <c r="G2226" s="17" t="str">
        <f t="shared" si="1732"/>
        <v>高级攻击百分比</v>
      </c>
      <c r="H2226" s="17" t="str">
        <f t="shared" si="1733"/>
        <v>icon_06</v>
      </c>
      <c r="I2226" s="20">
        <v>0</v>
      </c>
      <c r="J2226" s="17">
        <v>2</v>
      </c>
      <c r="K2226" s="17">
        <f t="shared" si="1730"/>
        <v>52503</v>
      </c>
      <c r="L2226" s="17" t="s">
        <v>215</v>
      </c>
      <c r="M2226" s="17" t="str">
        <f t="shared" si="1734"/>
        <v>1:12200:10</v>
      </c>
      <c r="N2226" s="16" t="str">
        <f t="shared" si="1713"/>
        <v>147:1</v>
      </c>
      <c r="O2226" s="17">
        <f t="shared" si="1721"/>
        <v>6</v>
      </c>
      <c r="P2226" s="21" t="str">
        <f t="shared" si="1711"/>
        <v>所有牧师和法师攻击百分比增加:1</v>
      </c>
      <c r="Q2226" s="21"/>
      <c r="R2226" t="str">
        <f t="shared" si="1735"/>
        <v>攻击百分比</v>
      </c>
      <c r="T2226" t="str">
        <f t="shared" si="1736"/>
        <v>:1</v>
      </c>
      <c r="U2226" t="str">
        <f t="shared" si="1710"/>
        <v>牧师</v>
      </c>
      <c r="V2226" t="s">
        <v>4829</v>
      </c>
      <c r="W2226">
        <f>属性类型!G2226</f>
        <v>147</v>
      </c>
      <c r="X2226">
        <v>1</v>
      </c>
    </row>
    <row r="2227" customFormat="1" ht="16.5" spans="1:24">
      <c r="A2227" s="17">
        <f t="shared" si="1731"/>
        <v>52503</v>
      </c>
      <c r="B2227" s="17">
        <f t="shared" si="1729"/>
        <v>52500</v>
      </c>
      <c r="C2227" s="17" t="str">
        <f t="shared" si="1709"/>
        <v>5</v>
      </c>
      <c r="D2227" s="17">
        <f t="shared" si="1701"/>
        <v>50003</v>
      </c>
      <c r="E2227" s="17">
        <v>1</v>
      </c>
      <c r="F2227" s="17">
        <f t="shared" si="1720"/>
        <v>3</v>
      </c>
      <c r="G2227" s="17" t="str">
        <f t="shared" si="1732"/>
        <v>高级攻击百分比</v>
      </c>
      <c r="H2227" s="17" t="str">
        <f t="shared" si="1733"/>
        <v>icon_06</v>
      </c>
      <c r="I2227" s="20">
        <v>0</v>
      </c>
      <c r="J2227" s="17">
        <v>3</v>
      </c>
      <c r="K2227" s="17">
        <f t="shared" si="1730"/>
        <v>52504</v>
      </c>
      <c r="L2227" s="17" t="s">
        <v>218</v>
      </c>
      <c r="M2227" s="17" t="str">
        <f t="shared" si="1734"/>
        <v>1:12200:10</v>
      </c>
      <c r="N2227" s="16" t="str">
        <f t="shared" si="1713"/>
        <v>147:1</v>
      </c>
      <c r="O2227" s="17">
        <f t="shared" si="1721"/>
        <v>6</v>
      </c>
      <c r="P2227" s="21" t="str">
        <f t="shared" si="1711"/>
        <v>所有牧师和法师攻击百分比增加:1</v>
      </c>
      <c r="Q2227" s="21"/>
      <c r="R2227" t="str">
        <f t="shared" si="1735"/>
        <v>攻击百分比</v>
      </c>
      <c r="T2227" t="str">
        <f t="shared" si="1736"/>
        <v>:1</v>
      </c>
      <c r="U2227" t="str">
        <f t="shared" si="1710"/>
        <v>牧师</v>
      </c>
      <c r="V2227" t="s">
        <v>4829</v>
      </c>
      <c r="W2227">
        <f>属性类型!G2227</f>
        <v>147</v>
      </c>
      <c r="X2227">
        <v>1</v>
      </c>
    </row>
    <row r="2228" customFormat="1" ht="16.5" spans="1:24">
      <c r="A2228" s="17">
        <f t="shared" si="1731"/>
        <v>52504</v>
      </c>
      <c r="B2228" s="17">
        <f t="shared" si="1729"/>
        <v>52500</v>
      </c>
      <c r="C2228" s="17" t="str">
        <f t="shared" si="1709"/>
        <v>5</v>
      </c>
      <c r="D2228" s="17">
        <f t="shared" si="1701"/>
        <v>50003</v>
      </c>
      <c r="E2228" s="17">
        <v>1</v>
      </c>
      <c r="F2228" s="17">
        <f t="shared" si="1720"/>
        <v>3</v>
      </c>
      <c r="G2228" s="17" t="str">
        <f t="shared" si="1732"/>
        <v>高级攻击百分比</v>
      </c>
      <c r="H2228" s="17" t="str">
        <f t="shared" si="1733"/>
        <v>icon_06</v>
      </c>
      <c r="I2228" s="20">
        <v>0</v>
      </c>
      <c r="J2228" s="17">
        <v>4</v>
      </c>
      <c r="K2228" s="17">
        <f t="shared" si="1730"/>
        <v>52505</v>
      </c>
      <c r="L2228" s="17" t="s">
        <v>221</v>
      </c>
      <c r="M2228" s="17" t="str">
        <f t="shared" si="1734"/>
        <v>1:12200:10</v>
      </c>
      <c r="N2228" s="16" t="str">
        <f t="shared" si="1713"/>
        <v>147:1</v>
      </c>
      <c r="O2228" s="17">
        <f t="shared" si="1721"/>
        <v>6</v>
      </c>
      <c r="P2228" s="21" t="str">
        <f t="shared" si="1711"/>
        <v>所有牧师和法师攻击百分比增加:1</v>
      </c>
      <c r="Q2228" s="21"/>
      <c r="R2228" t="str">
        <f t="shared" si="1735"/>
        <v>攻击百分比</v>
      </c>
      <c r="T2228" t="str">
        <f t="shared" si="1736"/>
        <v>:1</v>
      </c>
      <c r="U2228" t="str">
        <f t="shared" si="1710"/>
        <v>牧师</v>
      </c>
      <c r="V2228" t="s">
        <v>4829</v>
      </c>
      <c r="W2228">
        <f>属性类型!G2228</f>
        <v>147</v>
      </c>
      <c r="X2228">
        <v>1</v>
      </c>
    </row>
    <row r="2229" customFormat="1" ht="16.5" spans="1:24">
      <c r="A2229" s="17">
        <f t="shared" si="1731"/>
        <v>52505</v>
      </c>
      <c r="B2229" s="17">
        <f t="shared" si="1729"/>
        <v>52500</v>
      </c>
      <c r="C2229" s="17" t="str">
        <f t="shared" si="1709"/>
        <v>5</v>
      </c>
      <c r="D2229" s="17">
        <f t="shared" si="1701"/>
        <v>50003</v>
      </c>
      <c r="E2229" s="17">
        <v>1</v>
      </c>
      <c r="F2229" s="17">
        <f t="shared" si="1720"/>
        <v>3</v>
      </c>
      <c r="G2229" s="17" t="str">
        <f t="shared" si="1732"/>
        <v>高级攻击百分比</v>
      </c>
      <c r="H2229" s="17" t="str">
        <f t="shared" si="1733"/>
        <v>icon_06</v>
      </c>
      <c r="I2229" s="20">
        <v>0</v>
      </c>
      <c r="J2229" s="17">
        <v>5</v>
      </c>
      <c r="K2229" s="17">
        <f t="shared" si="1730"/>
        <v>52506</v>
      </c>
      <c r="L2229" s="17" t="s">
        <v>224</v>
      </c>
      <c r="M2229" s="17" t="str">
        <f t="shared" si="1734"/>
        <v>1:12200:10</v>
      </c>
      <c r="N2229" s="16" t="str">
        <f t="shared" si="1713"/>
        <v>147:1</v>
      </c>
      <c r="O2229" s="17">
        <f t="shared" si="1721"/>
        <v>6</v>
      </c>
      <c r="P2229" s="21" t="str">
        <f t="shared" si="1711"/>
        <v>所有牧师和法师攻击百分比增加:1</v>
      </c>
      <c r="Q2229" s="21"/>
      <c r="R2229" t="str">
        <f t="shared" si="1735"/>
        <v>攻击百分比</v>
      </c>
      <c r="T2229" t="str">
        <f t="shared" si="1736"/>
        <v>:1</v>
      </c>
      <c r="U2229" t="str">
        <f t="shared" si="1710"/>
        <v>牧师</v>
      </c>
      <c r="V2229" t="s">
        <v>4829</v>
      </c>
      <c r="W2229">
        <f>属性类型!G2229</f>
        <v>147</v>
      </c>
      <c r="X2229">
        <v>1</v>
      </c>
    </row>
    <row r="2230" customFormat="1" ht="16.5" spans="1:24">
      <c r="A2230" s="17">
        <f t="shared" si="1731"/>
        <v>52506</v>
      </c>
      <c r="B2230" s="17">
        <f t="shared" si="1729"/>
        <v>52500</v>
      </c>
      <c r="C2230" s="17" t="str">
        <f t="shared" si="1709"/>
        <v>5</v>
      </c>
      <c r="D2230" s="17">
        <f t="shared" si="1701"/>
        <v>50003</v>
      </c>
      <c r="E2230" s="17">
        <v>1</v>
      </c>
      <c r="F2230" s="17">
        <f t="shared" si="1720"/>
        <v>3</v>
      </c>
      <c r="G2230" s="17" t="str">
        <f t="shared" si="1732"/>
        <v>高级攻击百分比</v>
      </c>
      <c r="H2230" s="17" t="str">
        <f t="shared" si="1733"/>
        <v>icon_06</v>
      </c>
      <c r="I2230" s="20">
        <v>0</v>
      </c>
      <c r="J2230" s="17">
        <v>6</v>
      </c>
      <c r="K2230" s="17">
        <f t="shared" si="1730"/>
        <v>52507</v>
      </c>
      <c r="L2230" s="17" t="s">
        <v>227</v>
      </c>
      <c r="M2230" s="17" t="str">
        <f t="shared" si="1734"/>
        <v>1:12200:10</v>
      </c>
      <c r="N2230" s="16" t="str">
        <f t="shared" si="1713"/>
        <v>147:1</v>
      </c>
      <c r="O2230" s="17">
        <f t="shared" si="1721"/>
        <v>6</v>
      </c>
      <c r="P2230" s="21" t="str">
        <f t="shared" si="1711"/>
        <v>所有牧师和法师攻击百分比增加:1</v>
      </c>
      <c r="Q2230" s="21"/>
      <c r="R2230" t="str">
        <f t="shared" si="1735"/>
        <v>攻击百分比</v>
      </c>
      <c r="T2230" t="str">
        <f t="shared" si="1736"/>
        <v>:1</v>
      </c>
      <c r="U2230" t="str">
        <f t="shared" si="1710"/>
        <v>牧师</v>
      </c>
      <c r="V2230" t="s">
        <v>4829</v>
      </c>
      <c r="W2230">
        <f>属性类型!G2230</f>
        <v>147</v>
      </c>
      <c r="X2230">
        <v>1</v>
      </c>
    </row>
    <row r="2231" customFormat="1" ht="16.5" spans="1:24">
      <c r="A2231" s="17">
        <f t="shared" si="1731"/>
        <v>52507</v>
      </c>
      <c r="B2231" s="17">
        <f t="shared" si="1729"/>
        <v>52500</v>
      </c>
      <c r="C2231" s="17" t="str">
        <f t="shared" si="1709"/>
        <v>5</v>
      </c>
      <c r="D2231" s="17">
        <f t="shared" ref="D2231:D2294" si="1737">$A$1864+F2231</f>
        <v>50003</v>
      </c>
      <c r="E2231" s="17">
        <v>1</v>
      </c>
      <c r="F2231" s="17">
        <f t="shared" si="1720"/>
        <v>3</v>
      </c>
      <c r="G2231" s="17" t="str">
        <f t="shared" si="1732"/>
        <v>高级攻击百分比</v>
      </c>
      <c r="H2231" s="17" t="str">
        <f t="shared" si="1733"/>
        <v>icon_06</v>
      </c>
      <c r="I2231" s="20">
        <v>0</v>
      </c>
      <c r="J2231" s="17">
        <v>7</v>
      </c>
      <c r="K2231" s="17">
        <f t="shared" si="1730"/>
        <v>52508</v>
      </c>
      <c r="L2231" s="17" t="s">
        <v>230</v>
      </c>
      <c r="M2231" s="17" t="str">
        <f t="shared" si="1734"/>
        <v>1:12200:10</v>
      </c>
      <c r="N2231" s="16" t="str">
        <f t="shared" si="1713"/>
        <v>147:1</v>
      </c>
      <c r="O2231" s="17">
        <f t="shared" si="1721"/>
        <v>6</v>
      </c>
      <c r="P2231" s="21" t="str">
        <f t="shared" si="1711"/>
        <v>所有牧师和法师攻击百分比增加:1</v>
      </c>
      <c r="Q2231" s="21"/>
      <c r="R2231" t="str">
        <f t="shared" si="1735"/>
        <v>攻击百分比</v>
      </c>
      <c r="T2231" t="str">
        <f t="shared" si="1736"/>
        <v>:1</v>
      </c>
      <c r="U2231" t="str">
        <f t="shared" si="1710"/>
        <v>牧师</v>
      </c>
      <c r="V2231" t="s">
        <v>4829</v>
      </c>
      <c r="W2231">
        <f>属性类型!G2231</f>
        <v>147</v>
      </c>
      <c r="X2231">
        <v>1</v>
      </c>
    </row>
    <row r="2232" customFormat="1" ht="16.5" spans="1:24">
      <c r="A2232" s="17">
        <f t="shared" si="1731"/>
        <v>52508</v>
      </c>
      <c r="B2232" s="17">
        <f t="shared" si="1729"/>
        <v>52500</v>
      </c>
      <c r="C2232" s="17" t="str">
        <f t="shared" si="1709"/>
        <v>5</v>
      </c>
      <c r="D2232" s="17">
        <f t="shared" si="1737"/>
        <v>50003</v>
      </c>
      <c r="E2232" s="17">
        <v>1</v>
      </c>
      <c r="F2232" s="17">
        <f t="shared" si="1720"/>
        <v>3</v>
      </c>
      <c r="G2232" s="17" t="str">
        <f t="shared" si="1732"/>
        <v>高级攻击百分比</v>
      </c>
      <c r="H2232" s="17" t="str">
        <f t="shared" si="1733"/>
        <v>icon_06</v>
      </c>
      <c r="I2232" s="20">
        <v>0</v>
      </c>
      <c r="J2232" s="17">
        <v>8</v>
      </c>
      <c r="K2232" s="17">
        <f t="shared" si="1730"/>
        <v>52509</v>
      </c>
      <c r="L2232" s="17" t="s">
        <v>233</v>
      </c>
      <c r="M2232" s="17" t="str">
        <f t="shared" si="1734"/>
        <v>1:12200:10</v>
      </c>
      <c r="N2232" s="16" t="str">
        <f t="shared" si="1713"/>
        <v>147:1</v>
      </c>
      <c r="O2232" s="17">
        <f t="shared" si="1721"/>
        <v>6</v>
      </c>
      <c r="P2232" s="21" t="str">
        <f t="shared" si="1711"/>
        <v>所有牧师和法师攻击百分比增加:1</v>
      </c>
      <c r="Q2232" s="21"/>
      <c r="R2232" t="str">
        <f t="shared" si="1735"/>
        <v>攻击百分比</v>
      </c>
      <c r="T2232" t="str">
        <f t="shared" si="1736"/>
        <v>:1</v>
      </c>
      <c r="U2232" t="str">
        <f t="shared" si="1710"/>
        <v>牧师</v>
      </c>
      <c r="V2232" t="s">
        <v>4829</v>
      </c>
      <c r="W2232">
        <f>属性类型!G2232</f>
        <v>147</v>
      </c>
      <c r="X2232">
        <v>1</v>
      </c>
    </row>
    <row r="2233" customFormat="1" ht="16.5" spans="1:24">
      <c r="A2233" s="17">
        <f t="shared" si="1731"/>
        <v>52509</v>
      </c>
      <c r="B2233" s="17">
        <f t="shared" si="1729"/>
        <v>52500</v>
      </c>
      <c r="C2233" s="17" t="str">
        <f t="shared" si="1709"/>
        <v>5</v>
      </c>
      <c r="D2233" s="17">
        <f t="shared" si="1737"/>
        <v>50003</v>
      </c>
      <c r="E2233" s="17">
        <v>1</v>
      </c>
      <c r="F2233" s="17">
        <f t="shared" si="1720"/>
        <v>3</v>
      </c>
      <c r="G2233" s="17" t="str">
        <f t="shared" si="1732"/>
        <v>高级攻击百分比</v>
      </c>
      <c r="H2233" s="17" t="str">
        <f t="shared" si="1733"/>
        <v>icon_06</v>
      </c>
      <c r="I2233" s="20">
        <v>0</v>
      </c>
      <c r="J2233" s="17">
        <v>9</v>
      </c>
      <c r="K2233" s="17">
        <f t="shared" si="1730"/>
        <v>52510</v>
      </c>
      <c r="L2233" s="17" t="s">
        <v>236</v>
      </c>
      <c r="M2233" s="17" t="str">
        <f t="shared" si="1734"/>
        <v>1:12200:10</v>
      </c>
      <c r="N2233" s="16" t="str">
        <f t="shared" si="1713"/>
        <v>147:1</v>
      </c>
      <c r="O2233" s="17">
        <f t="shared" si="1721"/>
        <v>6</v>
      </c>
      <c r="P2233" s="21" t="str">
        <f t="shared" si="1711"/>
        <v>所有牧师和法师攻击百分比增加:1</v>
      </c>
      <c r="Q2233" s="21"/>
      <c r="R2233" t="str">
        <f t="shared" si="1735"/>
        <v>攻击百分比</v>
      </c>
      <c r="T2233" t="str">
        <f t="shared" si="1736"/>
        <v>:1</v>
      </c>
      <c r="U2233" t="str">
        <f t="shared" si="1710"/>
        <v>牧师</v>
      </c>
      <c r="V2233" t="s">
        <v>4829</v>
      </c>
      <c r="W2233">
        <f>属性类型!G2233</f>
        <v>147</v>
      </c>
      <c r="X2233">
        <v>1</v>
      </c>
    </row>
    <row r="2234" customFormat="1" ht="16.5" spans="1:24">
      <c r="A2234" s="17">
        <f t="shared" si="1731"/>
        <v>52510</v>
      </c>
      <c r="B2234" s="17">
        <f t="shared" si="1729"/>
        <v>52500</v>
      </c>
      <c r="C2234" s="17" t="str">
        <f t="shared" si="1709"/>
        <v>5</v>
      </c>
      <c r="D2234" s="17">
        <f t="shared" si="1737"/>
        <v>50003</v>
      </c>
      <c r="E2234" s="17">
        <v>1</v>
      </c>
      <c r="F2234" s="17">
        <f t="shared" si="1720"/>
        <v>3</v>
      </c>
      <c r="G2234" s="17" t="str">
        <f t="shared" si="1732"/>
        <v>高级攻击百分比</v>
      </c>
      <c r="H2234" s="17" t="str">
        <f t="shared" si="1733"/>
        <v>icon_06</v>
      </c>
      <c r="I2234" s="20">
        <v>0</v>
      </c>
      <c r="J2234" s="17">
        <v>10</v>
      </c>
      <c r="K2234" s="17">
        <f t="shared" si="1730"/>
        <v>52511</v>
      </c>
      <c r="L2234" s="17" t="s">
        <v>238</v>
      </c>
      <c r="M2234" s="17" t="str">
        <f t="shared" si="1734"/>
        <v>1:12200:10</v>
      </c>
      <c r="N2234" s="16" t="str">
        <f t="shared" si="1713"/>
        <v>147:1</v>
      </c>
      <c r="O2234" s="17">
        <f t="shared" si="1721"/>
        <v>6</v>
      </c>
      <c r="P2234" s="21" t="str">
        <f t="shared" si="1711"/>
        <v>所有牧师和法师攻击百分比增加:1</v>
      </c>
      <c r="Q2234" s="21"/>
      <c r="R2234" t="str">
        <f t="shared" si="1735"/>
        <v>攻击百分比</v>
      </c>
      <c r="T2234" t="str">
        <f t="shared" si="1736"/>
        <v>:1</v>
      </c>
      <c r="U2234" t="str">
        <f t="shared" si="1710"/>
        <v>牧师</v>
      </c>
      <c r="V2234" t="s">
        <v>4829</v>
      </c>
      <c r="W2234">
        <f>属性类型!G2234</f>
        <v>147</v>
      </c>
      <c r="X2234">
        <v>1</v>
      </c>
    </row>
    <row r="2235" customFormat="1" ht="16.5" spans="1:24">
      <c r="A2235" s="17">
        <f t="shared" si="1731"/>
        <v>52511</v>
      </c>
      <c r="B2235" s="17">
        <f t="shared" si="1729"/>
        <v>52500</v>
      </c>
      <c r="C2235" s="17" t="str">
        <f t="shared" si="1709"/>
        <v>5</v>
      </c>
      <c r="D2235" s="17">
        <f t="shared" si="1737"/>
        <v>50003</v>
      </c>
      <c r="E2235" s="17">
        <v>1</v>
      </c>
      <c r="F2235" s="17">
        <f t="shared" si="1720"/>
        <v>3</v>
      </c>
      <c r="G2235" s="17" t="str">
        <f t="shared" si="1732"/>
        <v>高级攻击百分比</v>
      </c>
      <c r="H2235" s="17" t="str">
        <f t="shared" si="1733"/>
        <v>icon_06</v>
      </c>
      <c r="I2235" s="20">
        <v>0</v>
      </c>
      <c r="J2235" s="17">
        <v>11</v>
      </c>
      <c r="K2235" s="17">
        <f t="shared" si="1730"/>
        <v>52512</v>
      </c>
      <c r="L2235" s="17" t="s">
        <v>529</v>
      </c>
      <c r="M2235" s="17" t="str">
        <f t="shared" si="1734"/>
        <v>1:12200:10</v>
      </c>
      <c r="N2235" s="16" t="str">
        <f t="shared" si="1713"/>
        <v>147:1</v>
      </c>
      <c r="O2235" s="17">
        <f t="shared" si="1721"/>
        <v>6</v>
      </c>
      <c r="P2235" s="21" t="str">
        <f t="shared" si="1711"/>
        <v>所有牧师和法师攻击百分比增加:1</v>
      </c>
      <c r="Q2235" s="21"/>
      <c r="R2235" t="str">
        <f t="shared" si="1735"/>
        <v>攻击百分比</v>
      </c>
      <c r="T2235" t="str">
        <f t="shared" si="1736"/>
        <v>:1</v>
      </c>
      <c r="U2235" t="str">
        <f t="shared" si="1710"/>
        <v>牧师</v>
      </c>
      <c r="V2235" t="s">
        <v>4829</v>
      </c>
      <c r="W2235">
        <f>属性类型!G2235</f>
        <v>147</v>
      </c>
      <c r="X2235">
        <v>1</v>
      </c>
    </row>
    <row r="2236" customFormat="1" ht="16.5" spans="1:24">
      <c r="A2236" s="17">
        <f t="shared" si="1731"/>
        <v>52512</v>
      </c>
      <c r="B2236" s="17">
        <f t="shared" si="1729"/>
        <v>52500</v>
      </c>
      <c r="C2236" s="17" t="str">
        <f t="shared" si="1709"/>
        <v>5</v>
      </c>
      <c r="D2236" s="17">
        <f t="shared" si="1737"/>
        <v>50003</v>
      </c>
      <c r="E2236" s="17">
        <v>1</v>
      </c>
      <c r="F2236" s="17">
        <f t="shared" si="1720"/>
        <v>3</v>
      </c>
      <c r="G2236" s="17" t="str">
        <f t="shared" si="1732"/>
        <v>高级攻击百分比</v>
      </c>
      <c r="H2236" s="17" t="str">
        <f t="shared" si="1733"/>
        <v>icon_06</v>
      </c>
      <c r="I2236" s="20">
        <v>0</v>
      </c>
      <c r="J2236" s="17">
        <v>12</v>
      </c>
      <c r="K2236" s="17">
        <f t="shared" si="1730"/>
        <v>52513</v>
      </c>
      <c r="L2236" s="17" t="s">
        <v>532</v>
      </c>
      <c r="M2236" s="17" t="str">
        <f t="shared" si="1734"/>
        <v>1:12200:10</v>
      </c>
      <c r="N2236" s="16" t="str">
        <f t="shared" si="1713"/>
        <v>147:1</v>
      </c>
      <c r="O2236" s="17">
        <f t="shared" si="1721"/>
        <v>6</v>
      </c>
      <c r="P2236" s="21" t="str">
        <f t="shared" si="1711"/>
        <v>所有牧师和法师攻击百分比增加:1</v>
      </c>
      <c r="Q2236" s="21"/>
      <c r="R2236" t="str">
        <f t="shared" si="1735"/>
        <v>攻击百分比</v>
      </c>
      <c r="T2236" t="str">
        <f t="shared" si="1736"/>
        <v>:1</v>
      </c>
      <c r="U2236" t="str">
        <f t="shared" si="1710"/>
        <v>牧师</v>
      </c>
      <c r="V2236" t="s">
        <v>4829</v>
      </c>
      <c r="W2236">
        <f>属性类型!G2236</f>
        <v>147</v>
      </c>
      <c r="X2236">
        <v>1</v>
      </c>
    </row>
    <row r="2237" customFormat="1" ht="16.5" spans="1:24">
      <c r="A2237" s="17">
        <f t="shared" si="1731"/>
        <v>52513</v>
      </c>
      <c r="B2237" s="17">
        <f t="shared" si="1729"/>
        <v>52500</v>
      </c>
      <c r="C2237" s="17" t="str">
        <f t="shared" si="1709"/>
        <v>5</v>
      </c>
      <c r="D2237" s="17">
        <f t="shared" si="1737"/>
        <v>50003</v>
      </c>
      <c r="E2237" s="17">
        <v>1</v>
      </c>
      <c r="F2237" s="17">
        <f t="shared" si="1720"/>
        <v>3</v>
      </c>
      <c r="G2237" s="17" t="str">
        <f t="shared" si="1732"/>
        <v>高级攻击百分比</v>
      </c>
      <c r="H2237" s="17" t="str">
        <f t="shared" si="1733"/>
        <v>icon_06</v>
      </c>
      <c r="I2237" s="20">
        <v>0</v>
      </c>
      <c r="J2237" s="17">
        <v>13</v>
      </c>
      <c r="K2237" s="17">
        <f t="shared" si="1730"/>
        <v>52514</v>
      </c>
      <c r="L2237" s="17" t="s">
        <v>561</v>
      </c>
      <c r="M2237" s="17" t="str">
        <f t="shared" si="1734"/>
        <v>1:12200:10</v>
      </c>
      <c r="N2237" s="16" t="str">
        <f t="shared" si="1713"/>
        <v>147:1</v>
      </c>
      <c r="O2237" s="17">
        <f t="shared" si="1721"/>
        <v>6</v>
      </c>
      <c r="P2237" s="21" t="str">
        <f t="shared" si="1711"/>
        <v>所有牧师和法师攻击百分比增加:1</v>
      </c>
      <c r="Q2237" s="21"/>
      <c r="R2237" t="str">
        <f t="shared" si="1735"/>
        <v>攻击百分比</v>
      </c>
      <c r="T2237" t="str">
        <f t="shared" si="1736"/>
        <v>:1</v>
      </c>
      <c r="U2237" t="str">
        <f t="shared" si="1710"/>
        <v>牧师</v>
      </c>
      <c r="V2237" t="s">
        <v>4829</v>
      </c>
      <c r="W2237">
        <f>属性类型!G2237</f>
        <v>147</v>
      </c>
      <c r="X2237">
        <v>1</v>
      </c>
    </row>
    <row r="2238" customFormat="1" ht="16.5" spans="1:24">
      <c r="A2238" s="17">
        <f t="shared" si="1731"/>
        <v>52514</v>
      </c>
      <c r="B2238" s="17">
        <f t="shared" si="1729"/>
        <v>52500</v>
      </c>
      <c r="C2238" s="17" t="str">
        <f t="shared" si="1709"/>
        <v>5</v>
      </c>
      <c r="D2238" s="17">
        <f t="shared" si="1737"/>
        <v>50003</v>
      </c>
      <c r="E2238" s="17">
        <v>1</v>
      </c>
      <c r="F2238" s="17">
        <f t="shared" si="1720"/>
        <v>3</v>
      </c>
      <c r="G2238" s="17" t="str">
        <f t="shared" si="1732"/>
        <v>高级攻击百分比</v>
      </c>
      <c r="H2238" s="17" t="str">
        <f t="shared" si="1733"/>
        <v>icon_06</v>
      </c>
      <c r="I2238" s="20">
        <v>0</v>
      </c>
      <c r="J2238" s="17">
        <v>14</v>
      </c>
      <c r="K2238" s="17">
        <f t="shared" si="1730"/>
        <v>52515</v>
      </c>
      <c r="L2238" s="17" t="s">
        <v>564</v>
      </c>
      <c r="M2238" s="17" t="str">
        <f t="shared" si="1734"/>
        <v>1:12200:10</v>
      </c>
      <c r="N2238" s="16" t="str">
        <f t="shared" si="1713"/>
        <v>147:1</v>
      </c>
      <c r="O2238" s="17">
        <f t="shared" si="1721"/>
        <v>6</v>
      </c>
      <c r="P2238" s="21" t="str">
        <f t="shared" si="1711"/>
        <v>所有牧师和法师攻击百分比增加:1</v>
      </c>
      <c r="Q2238" s="21"/>
      <c r="R2238" t="str">
        <f t="shared" si="1735"/>
        <v>攻击百分比</v>
      </c>
      <c r="T2238" t="str">
        <f t="shared" si="1736"/>
        <v>:1</v>
      </c>
      <c r="U2238" t="str">
        <f t="shared" si="1710"/>
        <v>牧师</v>
      </c>
      <c r="V2238" t="s">
        <v>4829</v>
      </c>
      <c r="W2238">
        <f>属性类型!G2238</f>
        <v>147</v>
      </c>
      <c r="X2238">
        <v>1</v>
      </c>
    </row>
    <row r="2239" customFormat="1" ht="16.5" spans="1:24">
      <c r="A2239" s="17">
        <f t="shared" si="1731"/>
        <v>52515</v>
      </c>
      <c r="B2239" s="17">
        <f t="shared" si="1729"/>
        <v>52500</v>
      </c>
      <c r="C2239" s="17" t="str">
        <f t="shared" si="1709"/>
        <v>5</v>
      </c>
      <c r="D2239" s="17">
        <f t="shared" si="1737"/>
        <v>50003</v>
      </c>
      <c r="E2239" s="17">
        <v>1</v>
      </c>
      <c r="F2239" s="17">
        <f t="shared" si="1720"/>
        <v>3</v>
      </c>
      <c r="G2239" s="17" t="str">
        <f t="shared" si="1732"/>
        <v>高级攻击百分比</v>
      </c>
      <c r="H2239" s="17" t="str">
        <f t="shared" si="1733"/>
        <v>icon_06</v>
      </c>
      <c r="I2239" s="20">
        <v>0</v>
      </c>
      <c r="J2239" s="17">
        <v>15</v>
      </c>
      <c r="K2239" s="17">
        <f t="shared" si="1730"/>
        <v>52516</v>
      </c>
      <c r="L2239" s="17" t="s">
        <v>630</v>
      </c>
      <c r="M2239" s="17" t="str">
        <f t="shared" si="1734"/>
        <v>1:12200:10</v>
      </c>
      <c r="N2239" s="16" t="str">
        <f t="shared" si="1713"/>
        <v>147:1</v>
      </c>
      <c r="O2239" s="17">
        <f t="shared" si="1721"/>
        <v>6</v>
      </c>
      <c r="P2239" s="21" t="str">
        <f t="shared" si="1711"/>
        <v>所有牧师和法师攻击百分比增加:1</v>
      </c>
      <c r="Q2239" s="21"/>
      <c r="R2239" t="str">
        <f t="shared" si="1735"/>
        <v>攻击百分比</v>
      </c>
      <c r="T2239" t="str">
        <f t="shared" si="1736"/>
        <v>:1</v>
      </c>
      <c r="U2239" t="str">
        <f t="shared" si="1710"/>
        <v>牧师</v>
      </c>
      <c r="V2239" t="s">
        <v>4829</v>
      </c>
      <c r="W2239">
        <f>属性类型!G2239</f>
        <v>147</v>
      </c>
      <c r="X2239">
        <v>1</v>
      </c>
    </row>
    <row r="2240" customFormat="1" ht="16.5" spans="1:24">
      <c r="A2240" s="17">
        <f t="shared" si="1731"/>
        <v>52516</v>
      </c>
      <c r="B2240" s="17">
        <f t="shared" si="1729"/>
        <v>52500</v>
      </c>
      <c r="C2240" s="17" t="str">
        <f t="shared" si="1709"/>
        <v>5</v>
      </c>
      <c r="D2240" s="17">
        <f t="shared" si="1737"/>
        <v>50003</v>
      </c>
      <c r="E2240" s="17">
        <v>1</v>
      </c>
      <c r="F2240" s="17">
        <f t="shared" si="1720"/>
        <v>3</v>
      </c>
      <c r="G2240" s="17" t="str">
        <f t="shared" si="1732"/>
        <v>高级攻击百分比</v>
      </c>
      <c r="H2240" s="17" t="str">
        <f t="shared" si="1733"/>
        <v>icon_06</v>
      </c>
      <c r="I2240" s="20">
        <v>0</v>
      </c>
      <c r="J2240" s="17">
        <v>16</v>
      </c>
      <c r="K2240" s="17">
        <f t="shared" si="1730"/>
        <v>52517</v>
      </c>
      <c r="L2240" s="17" t="s">
        <v>633</v>
      </c>
      <c r="M2240" s="17" t="str">
        <f t="shared" si="1734"/>
        <v>1:12200:10</v>
      </c>
      <c r="N2240" s="16" t="str">
        <f t="shared" si="1713"/>
        <v>147:1</v>
      </c>
      <c r="O2240" s="17">
        <f t="shared" si="1721"/>
        <v>6</v>
      </c>
      <c r="P2240" s="21" t="str">
        <f t="shared" si="1711"/>
        <v>所有牧师和法师攻击百分比增加:1</v>
      </c>
      <c r="Q2240" s="21"/>
      <c r="R2240" t="str">
        <f t="shared" si="1735"/>
        <v>攻击百分比</v>
      </c>
      <c r="T2240" t="str">
        <f t="shared" si="1736"/>
        <v>:1</v>
      </c>
      <c r="U2240" t="str">
        <f t="shared" si="1710"/>
        <v>牧师</v>
      </c>
      <c r="V2240" t="s">
        <v>4829</v>
      </c>
      <c r="W2240">
        <f>属性类型!G2240</f>
        <v>147</v>
      </c>
      <c r="X2240">
        <v>1</v>
      </c>
    </row>
    <row r="2241" customFormat="1" ht="16.5" spans="1:24">
      <c r="A2241" s="17">
        <f t="shared" si="1731"/>
        <v>52517</v>
      </c>
      <c r="B2241" s="17">
        <f t="shared" si="1729"/>
        <v>52500</v>
      </c>
      <c r="C2241" s="17" t="str">
        <f t="shared" si="1709"/>
        <v>5</v>
      </c>
      <c r="D2241" s="17">
        <f t="shared" si="1737"/>
        <v>50003</v>
      </c>
      <c r="E2241" s="17">
        <v>1</v>
      </c>
      <c r="F2241" s="17">
        <f t="shared" si="1720"/>
        <v>3</v>
      </c>
      <c r="G2241" s="17" t="str">
        <f t="shared" si="1732"/>
        <v>高级攻击百分比</v>
      </c>
      <c r="H2241" s="17" t="str">
        <f t="shared" si="1733"/>
        <v>icon_06</v>
      </c>
      <c r="I2241" s="20">
        <v>0</v>
      </c>
      <c r="J2241" s="17">
        <v>17</v>
      </c>
      <c r="K2241" s="17">
        <f t="shared" si="1730"/>
        <v>52518</v>
      </c>
      <c r="L2241" s="17" t="s">
        <v>637</v>
      </c>
      <c r="M2241" s="17" t="str">
        <f t="shared" si="1734"/>
        <v>1:12200:10</v>
      </c>
      <c r="N2241" s="16" t="str">
        <f t="shared" si="1713"/>
        <v>147:1</v>
      </c>
      <c r="O2241" s="17">
        <f t="shared" si="1721"/>
        <v>6</v>
      </c>
      <c r="P2241" s="21" t="str">
        <f t="shared" si="1711"/>
        <v>所有牧师和法师攻击百分比增加:1</v>
      </c>
      <c r="Q2241" s="21"/>
      <c r="R2241" t="str">
        <f t="shared" si="1735"/>
        <v>攻击百分比</v>
      </c>
      <c r="T2241" t="str">
        <f t="shared" si="1736"/>
        <v>:1</v>
      </c>
      <c r="U2241" t="str">
        <f t="shared" si="1710"/>
        <v>牧师</v>
      </c>
      <c r="V2241" t="s">
        <v>4829</v>
      </c>
      <c r="W2241">
        <f>属性类型!G2241</f>
        <v>147</v>
      </c>
      <c r="X2241">
        <v>1</v>
      </c>
    </row>
    <row r="2242" customFormat="1" ht="16.5" spans="1:24">
      <c r="A2242" s="17">
        <f t="shared" si="1731"/>
        <v>52518</v>
      </c>
      <c r="B2242" s="17">
        <f t="shared" si="1729"/>
        <v>52500</v>
      </c>
      <c r="C2242" s="17" t="str">
        <f t="shared" si="1709"/>
        <v>5</v>
      </c>
      <c r="D2242" s="17">
        <f t="shared" si="1737"/>
        <v>50003</v>
      </c>
      <c r="E2242" s="17">
        <v>1</v>
      </c>
      <c r="F2242" s="17">
        <f t="shared" si="1720"/>
        <v>3</v>
      </c>
      <c r="G2242" s="17" t="str">
        <f t="shared" si="1732"/>
        <v>高级攻击百分比</v>
      </c>
      <c r="H2242" s="17" t="str">
        <f t="shared" si="1733"/>
        <v>icon_06</v>
      </c>
      <c r="I2242" s="20">
        <v>0</v>
      </c>
      <c r="J2242" s="17">
        <v>18</v>
      </c>
      <c r="K2242" s="17">
        <f t="shared" si="1730"/>
        <v>52519</v>
      </c>
      <c r="L2242" s="17" t="s">
        <v>641</v>
      </c>
      <c r="M2242" s="17" t="str">
        <f t="shared" si="1734"/>
        <v>1:12200:10</v>
      </c>
      <c r="N2242" s="16" t="str">
        <f t="shared" si="1713"/>
        <v>147:1</v>
      </c>
      <c r="O2242" s="17">
        <f t="shared" si="1721"/>
        <v>6</v>
      </c>
      <c r="P2242" s="21" t="str">
        <f t="shared" si="1711"/>
        <v>所有牧师和法师攻击百分比增加:1</v>
      </c>
      <c r="Q2242" s="21"/>
      <c r="R2242" t="str">
        <f t="shared" si="1735"/>
        <v>攻击百分比</v>
      </c>
      <c r="T2242" t="str">
        <f t="shared" si="1736"/>
        <v>:1</v>
      </c>
      <c r="U2242" t="str">
        <f t="shared" si="1710"/>
        <v>牧师</v>
      </c>
      <c r="V2242" t="s">
        <v>4829</v>
      </c>
      <c r="W2242">
        <f>属性类型!G2242</f>
        <v>147</v>
      </c>
      <c r="X2242">
        <v>1</v>
      </c>
    </row>
    <row r="2243" customFormat="1" ht="16.5" spans="1:24">
      <c r="A2243" s="17">
        <f t="shared" si="1731"/>
        <v>52519</v>
      </c>
      <c r="B2243" s="17">
        <f t="shared" si="1729"/>
        <v>52500</v>
      </c>
      <c r="C2243" s="17" t="str">
        <f t="shared" si="1709"/>
        <v>5</v>
      </c>
      <c r="D2243" s="17">
        <f t="shared" si="1737"/>
        <v>50003</v>
      </c>
      <c r="E2243" s="17">
        <v>1</v>
      </c>
      <c r="F2243" s="17">
        <f t="shared" si="1720"/>
        <v>3</v>
      </c>
      <c r="G2243" s="17" t="str">
        <f t="shared" si="1732"/>
        <v>高级攻击百分比</v>
      </c>
      <c r="H2243" s="17" t="str">
        <f t="shared" si="1733"/>
        <v>icon_06</v>
      </c>
      <c r="I2243" s="20">
        <v>0</v>
      </c>
      <c r="J2243" s="17">
        <v>19</v>
      </c>
      <c r="K2243" s="17">
        <f t="shared" si="1730"/>
        <v>52520</v>
      </c>
      <c r="L2243" s="17" t="s">
        <v>645</v>
      </c>
      <c r="M2243" s="17" t="str">
        <f t="shared" si="1734"/>
        <v>1:12200:10</v>
      </c>
      <c r="N2243" s="16" t="str">
        <f t="shared" si="1713"/>
        <v>147:1</v>
      </c>
      <c r="O2243" s="17">
        <f t="shared" si="1721"/>
        <v>6</v>
      </c>
      <c r="P2243" s="21" t="str">
        <f t="shared" si="1711"/>
        <v>所有牧师和法师攻击百分比增加:1</v>
      </c>
      <c r="Q2243" s="21"/>
      <c r="R2243" t="str">
        <f t="shared" si="1735"/>
        <v>攻击百分比</v>
      </c>
      <c r="T2243" t="str">
        <f t="shared" si="1736"/>
        <v>:1</v>
      </c>
      <c r="U2243" t="str">
        <f t="shared" si="1710"/>
        <v>牧师</v>
      </c>
      <c r="V2243" t="s">
        <v>4829</v>
      </c>
      <c r="W2243">
        <f>属性类型!G2243</f>
        <v>147</v>
      </c>
      <c r="X2243">
        <v>1</v>
      </c>
    </row>
    <row r="2244" customFormat="1" ht="16.5" spans="1:24">
      <c r="A2244" s="17">
        <f t="shared" si="1731"/>
        <v>52520</v>
      </c>
      <c r="B2244" s="17">
        <f t="shared" si="1729"/>
        <v>52500</v>
      </c>
      <c r="C2244" s="17" t="str">
        <f t="shared" ref="C2244:C2307" si="1738">LEFT(A2244,1)</f>
        <v>5</v>
      </c>
      <c r="D2244" s="17">
        <f t="shared" si="1737"/>
        <v>50003</v>
      </c>
      <c r="E2244" s="17">
        <v>1</v>
      </c>
      <c r="F2244" s="17">
        <f t="shared" si="1720"/>
        <v>3</v>
      </c>
      <c r="G2244" s="17" t="str">
        <f t="shared" si="1732"/>
        <v>高级攻击百分比</v>
      </c>
      <c r="H2244" s="17" t="str">
        <f t="shared" si="1733"/>
        <v>icon_06</v>
      </c>
      <c r="I2244" s="20">
        <v>0</v>
      </c>
      <c r="J2244" s="17">
        <v>20</v>
      </c>
      <c r="K2244" s="17">
        <v>0</v>
      </c>
      <c r="L2244" s="17">
        <v>0</v>
      </c>
      <c r="M2244" s="17" t="str">
        <f t="shared" si="1734"/>
        <v>1:12200:10</v>
      </c>
      <c r="N2244" s="16" t="str">
        <f t="shared" si="1713"/>
        <v>147:1</v>
      </c>
      <c r="O2244" s="17">
        <f t="shared" si="1721"/>
        <v>6</v>
      </c>
      <c r="P2244" s="21" t="str">
        <f t="shared" si="1711"/>
        <v>所有牧师和法师攻击百分比增加:1</v>
      </c>
      <c r="Q2244" s="21"/>
      <c r="R2244" t="str">
        <f t="shared" si="1735"/>
        <v>攻击百分比</v>
      </c>
      <c r="T2244" t="str">
        <f t="shared" si="1736"/>
        <v>:1</v>
      </c>
      <c r="U2244" t="str">
        <f t="shared" si="1710"/>
        <v>牧师</v>
      </c>
      <c r="V2244" t="s">
        <v>4829</v>
      </c>
      <c r="W2244">
        <f>属性类型!G2244</f>
        <v>147</v>
      </c>
      <c r="X2244">
        <v>1</v>
      </c>
    </row>
    <row r="2245" customFormat="1" ht="16.5" spans="1:24">
      <c r="A2245" s="18">
        <f>A2224+100</f>
        <v>52600</v>
      </c>
      <c r="B2245" s="18">
        <f t="shared" si="1729"/>
        <v>52600</v>
      </c>
      <c r="C2245" s="18" t="str">
        <f t="shared" si="1738"/>
        <v>5</v>
      </c>
      <c r="D2245" s="17">
        <f t="shared" si="1737"/>
        <v>50003</v>
      </c>
      <c r="E2245" s="17">
        <v>1</v>
      </c>
      <c r="F2245" s="18">
        <f t="shared" si="1720"/>
        <v>3</v>
      </c>
      <c r="G2245" s="18" t="s">
        <v>4413</v>
      </c>
      <c r="H2245" s="18" t="s">
        <v>176</v>
      </c>
      <c r="I2245" s="20">
        <v>0</v>
      </c>
      <c r="J2245" s="18">
        <v>0</v>
      </c>
      <c r="K2245" s="18">
        <f t="shared" ref="K2245:K2264" si="1739">A2246</f>
        <v>52601</v>
      </c>
      <c r="L2245" s="18" t="s">
        <v>206</v>
      </c>
      <c r="M2245" s="18" t="s">
        <v>680</v>
      </c>
      <c r="N2245" s="16" t="str">
        <f t="shared" si="1713"/>
        <v>146:1</v>
      </c>
      <c r="O2245" s="18">
        <f t="shared" si="1721"/>
        <v>7</v>
      </c>
      <c r="P2245" s="21" t="str">
        <f t="shared" si="1711"/>
        <v>所有牧师和法师生命百分比增加1</v>
      </c>
      <c r="Q2245" s="21"/>
      <c r="R2245" t="s">
        <v>4414</v>
      </c>
      <c r="T2245" t="str">
        <f>RIGHT(N2245,1)</f>
        <v>1</v>
      </c>
      <c r="U2245" t="str">
        <f t="shared" ref="U2245:U2308" si="1740">MID(P2245,3,2)</f>
        <v>牧师</v>
      </c>
      <c r="V2245" t="s">
        <v>4895</v>
      </c>
      <c r="W2245">
        <f>属性类型!G2245</f>
        <v>146</v>
      </c>
      <c r="X2245">
        <v>1</v>
      </c>
    </row>
    <row r="2246" customFormat="1" ht="16.5" spans="1:24">
      <c r="A2246" s="17">
        <f t="shared" ref="A2246:A2265" si="1741">A2245+1</f>
        <v>52601</v>
      </c>
      <c r="B2246" s="17">
        <f t="shared" si="1729"/>
        <v>52600</v>
      </c>
      <c r="C2246" s="17" t="str">
        <f t="shared" si="1738"/>
        <v>5</v>
      </c>
      <c r="D2246" s="17">
        <f t="shared" si="1737"/>
        <v>50003</v>
      </c>
      <c r="E2246" s="17">
        <v>1</v>
      </c>
      <c r="F2246" s="17">
        <f t="shared" si="1720"/>
        <v>3</v>
      </c>
      <c r="G2246" s="17" t="str">
        <f t="shared" ref="G2246:G2265" si="1742">G2245</f>
        <v>高级生命百分比</v>
      </c>
      <c r="H2246" s="17" t="str">
        <f t="shared" ref="H2246:H2265" si="1743">H2245</f>
        <v>icon_07</v>
      </c>
      <c r="I2246" s="20">
        <v>0</v>
      </c>
      <c r="J2246" s="17">
        <v>1</v>
      </c>
      <c r="K2246" s="17">
        <f t="shared" si="1739"/>
        <v>52602</v>
      </c>
      <c r="L2246" s="17" t="s">
        <v>211</v>
      </c>
      <c r="M2246" s="17" t="str">
        <f t="shared" ref="M2246:M2265" si="1744">M2245</f>
        <v>1:12300:10</v>
      </c>
      <c r="N2246" s="16" t="str">
        <f t="shared" si="1713"/>
        <v>146:1</v>
      </c>
      <c r="O2246" s="17">
        <f t="shared" si="1721"/>
        <v>7</v>
      </c>
      <c r="P2246" s="21" t="str">
        <f t="shared" si="1711"/>
        <v>所有牧师和法师生命百分比增加:1</v>
      </c>
      <c r="Q2246" s="21"/>
      <c r="R2246" t="str">
        <f t="shared" ref="R2246:R2265" si="1745">R2245</f>
        <v>生命百分比</v>
      </c>
      <c r="T2246" t="str">
        <f t="shared" ref="T2246:T2265" si="1746">RIGHT(N2246,2)</f>
        <v>:1</v>
      </c>
      <c r="U2246" t="str">
        <f t="shared" si="1740"/>
        <v>牧师</v>
      </c>
      <c r="V2246" t="s">
        <v>4895</v>
      </c>
      <c r="W2246">
        <f>属性类型!G2246</f>
        <v>146</v>
      </c>
      <c r="X2246">
        <v>1</v>
      </c>
    </row>
    <row r="2247" customFormat="1" ht="16.5" spans="1:24">
      <c r="A2247" s="17">
        <f t="shared" si="1741"/>
        <v>52602</v>
      </c>
      <c r="B2247" s="17">
        <f t="shared" si="1729"/>
        <v>52600</v>
      </c>
      <c r="C2247" s="17" t="str">
        <f t="shared" si="1738"/>
        <v>5</v>
      </c>
      <c r="D2247" s="17">
        <f t="shared" si="1737"/>
        <v>50003</v>
      </c>
      <c r="E2247" s="17">
        <v>1</v>
      </c>
      <c r="F2247" s="17">
        <f t="shared" si="1720"/>
        <v>3</v>
      </c>
      <c r="G2247" s="17" t="str">
        <f t="shared" si="1742"/>
        <v>高级生命百分比</v>
      </c>
      <c r="H2247" s="17" t="str">
        <f t="shared" si="1743"/>
        <v>icon_07</v>
      </c>
      <c r="I2247" s="20">
        <v>0</v>
      </c>
      <c r="J2247" s="17">
        <v>2</v>
      </c>
      <c r="K2247" s="17">
        <f t="shared" si="1739"/>
        <v>52603</v>
      </c>
      <c r="L2247" s="17" t="s">
        <v>215</v>
      </c>
      <c r="M2247" s="17" t="str">
        <f t="shared" si="1744"/>
        <v>1:12300:10</v>
      </c>
      <c r="N2247" s="16" t="str">
        <f t="shared" si="1713"/>
        <v>146:1</v>
      </c>
      <c r="O2247" s="17">
        <f t="shared" si="1721"/>
        <v>7</v>
      </c>
      <c r="P2247" s="21" t="str">
        <f t="shared" si="1711"/>
        <v>所有牧师和法师生命百分比增加:1</v>
      </c>
      <c r="Q2247" s="21"/>
      <c r="R2247" t="str">
        <f t="shared" si="1745"/>
        <v>生命百分比</v>
      </c>
      <c r="T2247" t="str">
        <f t="shared" si="1746"/>
        <v>:1</v>
      </c>
      <c r="U2247" t="str">
        <f t="shared" si="1740"/>
        <v>牧师</v>
      </c>
      <c r="V2247" t="s">
        <v>4895</v>
      </c>
      <c r="W2247">
        <f>属性类型!G2247</f>
        <v>146</v>
      </c>
      <c r="X2247">
        <v>1</v>
      </c>
    </row>
    <row r="2248" customFormat="1" ht="16.5" spans="1:24">
      <c r="A2248" s="17">
        <f t="shared" si="1741"/>
        <v>52603</v>
      </c>
      <c r="B2248" s="17">
        <f t="shared" si="1729"/>
        <v>52600</v>
      </c>
      <c r="C2248" s="17" t="str">
        <f t="shared" si="1738"/>
        <v>5</v>
      </c>
      <c r="D2248" s="17">
        <f t="shared" si="1737"/>
        <v>50003</v>
      </c>
      <c r="E2248" s="17">
        <v>1</v>
      </c>
      <c r="F2248" s="17">
        <f t="shared" si="1720"/>
        <v>3</v>
      </c>
      <c r="G2248" s="17" t="str">
        <f t="shared" si="1742"/>
        <v>高级生命百分比</v>
      </c>
      <c r="H2248" s="17" t="str">
        <f t="shared" si="1743"/>
        <v>icon_07</v>
      </c>
      <c r="I2248" s="20">
        <v>0</v>
      </c>
      <c r="J2248" s="17">
        <v>3</v>
      </c>
      <c r="K2248" s="17">
        <f t="shared" si="1739"/>
        <v>52604</v>
      </c>
      <c r="L2248" s="17" t="s">
        <v>218</v>
      </c>
      <c r="M2248" s="17" t="str">
        <f t="shared" si="1744"/>
        <v>1:12300:10</v>
      </c>
      <c r="N2248" s="16" t="str">
        <f t="shared" si="1713"/>
        <v>146:1</v>
      </c>
      <c r="O2248" s="17">
        <f t="shared" si="1721"/>
        <v>7</v>
      </c>
      <c r="P2248" s="21" t="str">
        <f t="shared" si="1711"/>
        <v>所有牧师和法师生命百分比增加:1</v>
      </c>
      <c r="Q2248" s="21"/>
      <c r="R2248" t="str">
        <f t="shared" si="1745"/>
        <v>生命百分比</v>
      </c>
      <c r="T2248" t="str">
        <f t="shared" si="1746"/>
        <v>:1</v>
      </c>
      <c r="U2248" t="str">
        <f t="shared" si="1740"/>
        <v>牧师</v>
      </c>
      <c r="V2248" t="s">
        <v>4895</v>
      </c>
      <c r="W2248">
        <f>属性类型!G2248</f>
        <v>146</v>
      </c>
      <c r="X2248">
        <v>1</v>
      </c>
    </row>
    <row r="2249" customFormat="1" ht="16.5" spans="1:24">
      <c r="A2249" s="17">
        <f t="shared" si="1741"/>
        <v>52604</v>
      </c>
      <c r="B2249" s="17">
        <f t="shared" si="1729"/>
        <v>52600</v>
      </c>
      <c r="C2249" s="17" t="str">
        <f t="shared" si="1738"/>
        <v>5</v>
      </c>
      <c r="D2249" s="17">
        <f t="shared" si="1737"/>
        <v>50003</v>
      </c>
      <c r="E2249" s="17">
        <v>1</v>
      </c>
      <c r="F2249" s="17">
        <f t="shared" si="1720"/>
        <v>3</v>
      </c>
      <c r="G2249" s="17" t="str">
        <f t="shared" si="1742"/>
        <v>高级生命百分比</v>
      </c>
      <c r="H2249" s="17" t="str">
        <f t="shared" si="1743"/>
        <v>icon_07</v>
      </c>
      <c r="I2249" s="20">
        <v>0</v>
      </c>
      <c r="J2249" s="17">
        <v>4</v>
      </c>
      <c r="K2249" s="17">
        <f t="shared" si="1739"/>
        <v>52605</v>
      </c>
      <c r="L2249" s="17" t="s">
        <v>221</v>
      </c>
      <c r="M2249" s="17" t="str">
        <f t="shared" si="1744"/>
        <v>1:12300:10</v>
      </c>
      <c r="N2249" s="16" t="str">
        <f t="shared" si="1713"/>
        <v>146:1</v>
      </c>
      <c r="O2249" s="17">
        <f t="shared" si="1721"/>
        <v>7</v>
      </c>
      <c r="P2249" s="21" t="str">
        <f t="shared" si="1711"/>
        <v>所有牧师和法师生命百分比增加:1</v>
      </c>
      <c r="Q2249" s="21"/>
      <c r="R2249" t="str">
        <f t="shared" si="1745"/>
        <v>生命百分比</v>
      </c>
      <c r="T2249" t="str">
        <f t="shared" si="1746"/>
        <v>:1</v>
      </c>
      <c r="U2249" t="str">
        <f t="shared" si="1740"/>
        <v>牧师</v>
      </c>
      <c r="V2249" t="s">
        <v>4895</v>
      </c>
      <c r="W2249">
        <f>属性类型!G2249</f>
        <v>146</v>
      </c>
      <c r="X2249">
        <v>1</v>
      </c>
    </row>
    <row r="2250" customFormat="1" ht="16.5" spans="1:24">
      <c r="A2250" s="17">
        <f t="shared" si="1741"/>
        <v>52605</v>
      </c>
      <c r="B2250" s="17">
        <f t="shared" si="1729"/>
        <v>52600</v>
      </c>
      <c r="C2250" s="17" t="str">
        <f t="shared" si="1738"/>
        <v>5</v>
      </c>
      <c r="D2250" s="17">
        <f t="shared" si="1737"/>
        <v>50003</v>
      </c>
      <c r="E2250" s="17">
        <v>1</v>
      </c>
      <c r="F2250" s="17">
        <f t="shared" si="1720"/>
        <v>3</v>
      </c>
      <c r="G2250" s="17" t="str">
        <f t="shared" si="1742"/>
        <v>高级生命百分比</v>
      </c>
      <c r="H2250" s="17" t="str">
        <f t="shared" si="1743"/>
        <v>icon_07</v>
      </c>
      <c r="I2250" s="20">
        <v>0</v>
      </c>
      <c r="J2250" s="17">
        <v>5</v>
      </c>
      <c r="K2250" s="17">
        <f t="shared" si="1739"/>
        <v>52606</v>
      </c>
      <c r="L2250" s="17" t="s">
        <v>224</v>
      </c>
      <c r="M2250" s="17" t="str">
        <f t="shared" si="1744"/>
        <v>1:12300:10</v>
      </c>
      <c r="N2250" s="16" t="str">
        <f t="shared" si="1713"/>
        <v>146:1</v>
      </c>
      <c r="O2250" s="17">
        <f t="shared" si="1721"/>
        <v>7</v>
      </c>
      <c r="P2250" s="21" t="str">
        <f>$S$2&amp;R2250&amp;$Q$1&amp;T2250</f>
        <v>所有牧师和法师生命百分比增加:1</v>
      </c>
      <c r="Q2250" s="21"/>
      <c r="R2250" t="str">
        <f t="shared" si="1745"/>
        <v>生命百分比</v>
      </c>
      <c r="T2250" t="str">
        <f t="shared" si="1746"/>
        <v>:1</v>
      </c>
      <c r="U2250" t="str">
        <f t="shared" si="1740"/>
        <v>牧师</v>
      </c>
      <c r="V2250" t="s">
        <v>4895</v>
      </c>
      <c r="W2250">
        <f>属性类型!G2250</f>
        <v>146</v>
      </c>
      <c r="X2250">
        <v>1</v>
      </c>
    </row>
    <row r="2251" customFormat="1" ht="16.5" spans="1:24">
      <c r="A2251" s="17">
        <f t="shared" si="1741"/>
        <v>52606</v>
      </c>
      <c r="B2251" s="17">
        <f t="shared" si="1729"/>
        <v>52600</v>
      </c>
      <c r="C2251" s="17" t="str">
        <f t="shared" si="1738"/>
        <v>5</v>
      </c>
      <c r="D2251" s="17">
        <f t="shared" si="1737"/>
        <v>50003</v>
      </c>
      <c r="E2251" s="17">
        <v>1</v>
      </c>
      <c r="F2251" s="17">
        <f t="shared" si="1720"/>
        <v>3</v>
      </c>
      <c r="G2251" s="17" t="str">
        <f t="shared" si="1742"/>
        <v>高级生命百分比</v>
      </c>
      <c r="H2251" s="17" t="str">
        <f t="shared" si="1743"/>
        <v>icon_07</v>
      </c>
      <c r="I2251" s="20">
        <v>0</v>
      </c>
      <c r="J2251" s="17">
        <v>6</v>
      </c>
      <c r="K2251" s="17">
        <f t="shared" si="1739"/>
        <v>52607</v>
      </c>
      <c r="L2251" s="17" t="s">
        <v>227</v>
      </c>
      <c r="M2251" s="17" t="str">
        <f t="shared" si="1744"/>
        <v>1:12300:10</v>
      </c>
      <c r="N2251" s="16" t="str">
        <f t="shared" ref="N2251:N2314" si="1747">W2251&amp;$W$2&amp;X2251</f>
        <v>146:1</v>
      </c>
      <c r="O2251" s="17">
        <f t="shared" si="1721"/>
        <v>7</v>
      </c>
      <c r="P2251" s="21" t="str">
        <f>$S$2&amp;R2251&amp;$Q$1&amp;T2251</f>
        <v>所有牧师和法师生命百分比增加:1</v>
      </c>
      <c r="Q2251" s="21"/>
      <c r="R2251" t="str">
        <f t="shared" si="1745"/>
        <v>生命百分比</v>
      </c>
      <c r="T2251" t="str">
        <f t="shared" si="1746"/>
        <v>:1</v>
      </c>
      <c r="U2251" t="str">
        <f t="shared" si="1740"/>
        <v>牧师</v>
      </c>
      <c r="V2251" t="s">
        <v>4895</v>
      </c>
      <c r="W2251">
        <f>属性类型!G2251</f>
        <v>146</v>
      </c>
      <c r="X2251">
        <v>1</v>
      </c>
    </row>
    <row r="2252" customFormat="1" ht="16.5" spans="1:24">
      <c r="A2252" s="17">
        <f t="shared" si="1741"/>
        <v>52607</v>
      </c>
      <c r="B2252" s="17">
        <f t="shared" si="1729"/>
        <v>52600</v>
      </c>
      <c r="C2252" s="17" t="str">
        <f t="shared" si="1738"/>
        <v>5</v>
      </c>
      <c r="D2252" s="17">
        <f t="shared" si="1737"/>
        <v>50003</v>
      </c>
      <c r="E2252" s="17">
        <v>1</v>
      </c>
      <c r="F2252" s="17">
        <f t="shared" si="1720"/>
        <v>3</v>
      </c>
      <c r="G2252" s="17" t="str">
        <f t="shared" si="1742"/>
        <v>高级生命百分比</v>
      </c>
      <c r="H2252" s="17" t="str">
        <f t="shared" si="1743"/>
        <v>icon_07</v>
      </c>
      <c r="I2252" s="20">
        <v>0</v>
      </c>
      <c r="J2252" s="17">
        <v>7</v>
      </c>
      <c r="K2252" s="17">
        <f t="shared" si="1739"/>
        <v>52608</v>
      </c>
      <c r="L2252" s="17" t="s">
        <v>230</v>
      </c>
      <c r="M2252" s="17" t="str">
        <f t="shared" si="1744"/>
        <v>1:12300:10</v>
      </c>
      <c r="N2252" s="16" t="str">
        <f t="shared" si="1747"/>
        <v>146:1</v>
      </c>
      <c r="O2252" s="17">
        <f t="shared" si="1721"/>
        <v>7</v>
      </c>
      <c r="P2252" s="21" t="str">
        <f>$S$2&amp;R2252&amp;$Q$1&amp;T2252</f>
        <v>所有牧师和法师生命百分比增加:1</v>
      </c>
      <c r="Q2252" s="21"/>
      <c r="R2252" t="str">
        <f t="shared" si="1745"/>
        <v>生命百分比</v>
      </c>
      <c r="T2252" t="str">
        <f t="shared" si="1746"/>
        <v>:1</v>
      </c>
      <c r="U2252" t="str">
        <f t="shared" si="1740"/>
        <v>牧师</v>
      </c>
      <c r="V2252" t="s">
        <v>4895</v>
      </c>
      <c r="W2252">
        <f>属性类型!G2252</f>
        <v>146</v>
      </c>
      <c r="X2252">
        <v>1</v>
      </c>
    </row>
    <row r="2253" customFormat="1" ht="16.5" spans="1:24">
      <c r="A2253" s="17">
        <f t="shared" si="1741"/>
        <v>52608</v>
      </c>
      <c r="B2253" s="17">
        <f t="shared" si="1729"/>
        <v>52600</v>
      </c>
      <c r="C2253" s="17" t="str">
        <f t="shared" si="1738"/>
        <v>5</v>
      </c>
      <c r="D2253" s="17">
        <f t="shared" si="1737"/>
        <v>50003</v>
      </c>
      <c r="E2253" s="17">
        <v>1</v>
      </c>
      <c r="F2253" s="17">
        <f t="shared" si="1720"/>
        <v>3</v>
      </c>
      <c r="G2253" s="17" t="str">
        <f t="shared" si="1742"/>
        <v>高级生命百分比</v>
      </c>
      <c r="H2253" s="17" t="str">
        <f t="shared" si="1743"/>
        <v>icon_07</v>
      </c>
      <c r="I2253" s="20">
        <v>0</v>
      </c>
      <c r="J2253" s="17">
        <v>8</v>
      </c>
      <c r="K2253" s="17">
        <f t="shared" si="1739"/>
        <v>52609</v>
      </c>
      <c r="L2253" s="17" t="s">
        <v>233</v>
      </c>
      <c r="M2253" s="17" t="str">
        <f t="shared" si="1744"/>
        <v>1:12300:10</v>
      </c>
      <c r="N2253" s="16" t="str">
        <f t="shared" si="1747"/>
        <v>146:1</v>
      </c>
      <c r="O2253" s="17">
        <f t="shared" si="1721"/>
        <v>7</v>
      </c>
      <c r="P2253" s="21" t="str">
        <f>$S$2&amp;R2253&amp;$Q$1&amp;T2253</f>
        <v>所有牧师和法师生命百分比增加:1</v>
      </c>
      <c r="Q2253" s="21"/>
      <c r="R2253" t="str">
        <f t="shared" si="1745"/>
        <v>生命百分比</v>
      </c>
      <c r="T2253" t="str">
        <f t="shared" si="1746"/>
        <v>:1</v>
      </c>
      <c r="U2253" t="str">
        <f t="shared" si="1740"/>
        <v>牧师</v>
      </c>
      <c r="V2253" t="s">
        <v>4895</v>
      </c>
      <c r="W2253">
        <f>属性类型!G2253</f>
        <v>146</v>
      </c>
      <c r="X2253">
        <v>1</v>
      </c>
    </row>
    <row r="2254" customFormat="1" ht="16.5" spans="1:24">
      <c r="A2254" s="17">
        <f t="shared" si="1741"/>
        <v>52609</v>
      </c>
      <c r="B2254" s="17">
        <f t="shared" si="1729"/>
        <v>52600</v>
      </c>
      <c r="C2254" s="17" t="str">
        <f t="shared" si="1738"/>
        <v>5</v>
      </c>
      <c r="D2254" s="17">
        <f t="shared" si="1737"/>
        <v>50003</v>
      </c>
      <c r="E2254" s="17">
        <v>1</v>
      </c>
      <c r="F2254" s="17">
        <f t="shared" si="1720"/>
        <v>3</v>
      </c>
      <c r="G2254" s="17" t="str">
        <f t="shared" si="1742"/>
        <v>高级生命百分比</v>
      </c>
      <c r="H2254" s="17" t="str">
        <f t="shared" si="1743"/>
        <v>icon_07</v>
      </c>
      <c r="I2254" s="20">
        <v>0</v>
      </c>
      <c r="J2254" s="17">
        <v>9</v>
      </c>
      <c r="K2254" s="17">
        <f t="shared" si="1739"/>
        <v>52610</v>
      </c>
      <c r="L2254" s="17" t="s">
        <v>236</v>
      </c>
      <c r="M2254" s="17" t="str">
        <f t="shared" si="1744"/>
        <v>1:12300:10</v>
      </c>
      <c r="N2254" s="16" t="str">
        <f t="shared" si="1747"/>
        <v>146:1</v>
      </c>
      <c r="O2254" s="17">
        <f t="shared" si="1721"/>
        <v>7</v>
      </c>
      <c r="P2254" s="21" t="str">
        <f>$S$2&amp;R2254&amp;$Q$1&amp;T2254</f>
        <v>所有牧师和法师生命百分比增加:1</v>
      </c>
      <c r="Q2254" s="21"/>
      <c r="R2254" t="str">
        <f t="shared" si="1745"/>
        <v>生命百分比</v>
      </c>
      <c r="T2254" t="str">
        <f t="shared" si="1746"/>
        <v>:1</v>
      </c>
      <c r="U2254" t="str">
        <f t="shared" si="1740"/>
        <v>牧师</v>
      </c>
      <c r="V2254" t="s">
        <v>4895</v>
      </c>
      <c r="W2254">
        <f>属性类型!G2254</f>
        <v>146</v>
      </c>
      <c r="X2254">
        <v>1</v>
      </c>
    </row>
    <row r="2255" customFormat="1" ht="16.5" spans="1:24">
      <c r="A2255" s="17">
        <f t="shared" si="1741"/>
        <v>52610</v>
      </c>
      <c r="B2255" s="17">
        <f t="shared" si="1729"/>
        <v>52600</v>
      </c>
      <c r="C2255" s="17" t="str">
        <f t="shared" si="1738"/>
        <v>5</v>
      </c>
      <c r="D2255" s="17">
        <f t="shared" si="1737"/>
        <v>50003</v>
      </c>
      <c r="E2255" s="17">
        <v>1</v>
      </c>
      <c r="F2255" s="17">
        <f t="shared" si="1720"/>
        <v>3</v>
      </c>
      <c r="G2255" s="17" t="str">
        <f t="shared" si="1742"/>
        <v>高级生命百分比</v>
      </c>
      <c r="H2255" s="17" t="str">
        <f t="shared" si="1743"/>
        <v>icon_07</v>
      </c>
      <c r="I2255" s="20">
        <v>0</v>
      </c>
      <c r="J2255" s="17">
        <v>10</v>
      </c>
      <c r="K2255" s="17">
        <f t="shared" si="1739"/>
        <v>52611</v>
      </c>
      <c r="L2255" s="17" t="s">
        <v>238</v>
      </c>
      <c r="M2255" s="17" t="str">
        <f t="shared" si="1744"/>
        <v>1:12300:10</v>
      </c>
      <c r="N2255" s="16" t="str">
        <f t="shared" si="1747"/>
        <v>146:1</v>
      </c>
      <c r="O2255" s="17">
        <f t="shared" si="1721"/>
        <v>7</v>
      </c>
      <c r="P2255" s="21" t="str">
        <f>$S$2&amp;R2255&amp;$Q$1&amp;T2255</f>
        <v>所有牧师和法师生命百分比增加:1</v>
      </c>
      <c r="Q2255" s="21"/>
      <c r="R2255" t="str">
        <f t="shared" si="1745"/>
        <v>生命百分比</v>
      </c>
      <c r="T2255" t="str">
        <f t="shared" si="1746"/>
        <v>:1</v>
      </c>
      <c r="U2255" t="str">
        <f t="shared" si="1740"/>
        <v>牧师</v>
      </c>
      <c r="V2255" t="s">
        <v>4895</v>
      </c>
      <c r="W2255">
        <f>属性类型!G2255</f>
        <v>146</v>
      </c>
      <c r="X2255">
        <v>1</v>
      </c>
    </row>
    <row r="2256" customFormat="1" ht="16.5" spans="1:24">
      <c r="A2256" s="17">
        <f t="shared" si="1741"/>
        <v>52611</v>
      </c>
      <c r="B2256" s="17">
        <f t="shared" si="1729"/>
        <v>52600</v>
      </c>
      <c r="C2256" s="17" t="str">
        <f t="shared" si="1738"/>
        <v>5</v>
      </c>
      <c r="D2256" s="17">
        <f t="shared" si="1737"/>
        <v>50003</v>
      </c>
      <c r="E2256" s="17">
        <v>1</v>
      </c>
      <c r="F2256" s="17">
        <f t="shared" ref="F2256:F2319" si="1748">MID(B2256,2,1)+1</f>
        <v>3</v>
      </c>
      <c r="G2256" s="17" t="str">
        <f t="shared" si="1742"/>
        <v>高级生命百分比</v>
      </c>
      <c r="H2256" s="17" t="str">
        <f t="shared" si="1743"/>
        <v>icon_07</v>
      </c>
      <c r="I2256" s="20">
        <v>0</v>
      </c>
      <c r="J2256" s="17">
        <v>11</v>
      </c>
      <c r="K2256" s="17">
        <f t="shared" si="1739"/>
        <v>52612</v>
      </c>
      <c r="L2256" s="17" t="s">
        <v>529</v>
      </c>
      <c r="M2256" s="17" t="str">
        <f t="shared" si="1744"/>
        <v>1:12300:10</v>
      </c>
      <c r="N2256" s="16" t="str">
        <f t="shared" si="1747"/>
        <v>146:1</v>
      </c>
      <c r="O2256" s="17">
        <f t="shared" ref="O2256:O2319" si="1749">MID(A2256,3,1)+1</f>
        <v>7</v>
      </c>
      <c r="P2256" s="21" t="str">
        <f>$S$2&amp;R2256&amp;$Q$1&amp;T2256</f>
        <v>所有牧师和法师生命百分比增加:1</v>
      </c>
      <c r="Q2256" s="21"/>
      <c r="R2256" t="str">
        <f t="shared" si="1745"/>
        <v>生命百分比</v>
      </c>
      <c r="T2256" t="str">
        <f t="shared" si="1746"/>
        <v>:1</v>
      </c>
      <c r="U2256" t="str">
        <f t="shared" si="1740"/>
        <v>牧师</v>
      </c>
      <c r="V2256" t="s">
        <v>4895</v>
      </c>
      <c r="W2256">
        <f>属性类型!G2256</f>
        <v>146</v>
      </c>
      <c r="X2256">
        <v>1</v>
      </c>
    </row>
    <row r="2257" customFormat="1" ht="16.5" spans="1:24">
      <c r="A2257" s="17">
        <f t="shared" si="1741"/>
        <v>52612</v>
      </c>
      <c r="B2257" s="17">
        <f t="shared" si="1729"/>
        <v>52600</v>
      </c>
      <c r="C2257" s="17" t="str">
        <f t="shared" si="1738"/>
        <v>5</v>
      </c>
      <c r="D2257" s="17">
        <f t="shared" si="1737"/>
        <v>50003</v>
      </c>
      <c r="E2257" s="17">
        <v>1</v>
      </c>
      <c r="F2257" s="17">
        <f t="shared" si="1748"/>
        <v>3</v>
      </c>
      <c r="G2257" s="17" t="str">
        <f t="shared" si="1742"/>
        <v>高级生命百分比</v>
      </c>
      <c r="H2257" s="17" t="str">
        <f t="shared" si="1743"/>
        <v>icon_07</v>
      </c>
      <c r="I2257" s="20">
        <v>0</v>
      </c>
      <c r="J2257" s="17">
        <v>12</v>
      </c>
      <c r="K2257" s="17">
        <f t="shared" si="1739"/>
        <v>52613</v>
      </c>
      <c r="L2257" s="17" t="s">
        <v>532</v>
      </c>
      <c r="M2257" s="17" t="str">
        <f t="shared" si="1744"/>
        <v>1:12300:10</v>
      </c>
      <c r="N2257" s="16" t="str">
        <f t="shared" si="1747"/>
        <v>146:1</v>
      </c>
      <c r="O2257" s="17">
        <f t="shared" si="1749"/>
        <v>7</v>
      </c>
      <c r="P2257" s="21" t="str">
        <f>$S$2&amp;R2257&amp;$Q$1&amp;T2257</f>
        <v>所有牧师和法师生命百分比增加:1</v>
      </c>
      <c r="Q2257" s="21"/>
      <c r="R2257" t="str">
        <f t="shared" si="1745"/>
        <v>生命百分比</v>
      </c>
      <c r="T2257" t="str">
        <f t="shared" si="1746"/>
        <v>:1</v>
      </c>
      <c r="U2257" t="str">
        <f t="shared" si="1740"/>
        <v>牧师</v>
      </c>
      <c r="V2257" t="s">
        <v>4895</v>
      </c>
      <c r="W2257">
        <f>属性类型!G2257</f>
        <v>146</v>
      </c>
      <c r="X2257">
        <v>1</v>
      </c>
    </row>
    <row r="2258" customFormat="1" ht="16.5" spans="1:24">
      <c r="A2258" s="17">
        <f t="shared" si="1741"/>
        <v>52613</v>
      </c>
      <c r="B2258" s="17">
        <f t="shared" si="1729"/>
        <v>52600</v>
      </c>
      <c r="C2258" s="17" t="str">
        <f t="shared" si="1738"/>
        <v>5</v>
      </c>
      <c r="D2258" s="17">
        <f t="shared" si="1737"/>
        <v>50003</v>
      </c>
      <c r="E2258" s="17">
        <v>1</v>
      </c>
      <c r="F2258" s="17">
        <f t="shared" si="1748"/>
        <v>3</v>
      </c>
      <c r="G2258" s="17" t="str">
        <f t="shared" si="1742"/>
        <v>高级生命百分比</v>
      </c>
      <c r="H2258" s="17" t="str">
        <f t="shared" si="1743"/>
        <v>icon_07</v>
      </c>
      <c r="I2258" s="20">
        <v>0</v>
      </c>
      <c r="J2258" s="17">
        <v>13</v>
      </c>
      <c r="K2258" s="17">
        <f t="shared" si="1739"/>
        <v>52614</v>
      </c>
      <c r="L2258" s="17" t="s">
        <v>561</v>
      </c>
      <c r="M2258" s="17" t="str">
        <f t="shared" si="1744"/>
        <v>1:12300:10</v>
      </c>
      <c r="N2258" s="16" t="str">
        <f t="shared" si="1747"/>
        <v>146:1</v>
      </c>
      <c r="O2258" s="17">
        <f t="shared" si="1749"/>
        <v>7</v>
      </c>
      <c r="P2258" s="21" t="str">
        <f>$S$2&amp;R2258&amp;$Q$1&amp;T2258</f>
        <v>所有牧师和法师生命百分比增加:1</v>
      </c>
      <c r="Q2258" s="21"/>
      <c r="R2258" t="str">
        <f t="shared" si="1745"/>
        <v>生命百分比</v>
      </c>
      <c r="T2258" t="str">
        <f t="shared" si="1746"/>
        <v>:1</v>
      </c>
      <c r="U2258" t="str">
        <f t="shared" si="1740"/>
        <v>牧师</v>
      </c>
      <c r="V2258" t="s">
        <v>4895</v>
      </c>
      <c r="W2258">
        <f>属性类型!G2258</f>
        <v>146</v>
      </c>
      <c r="X2258">
        <v>1</v>
      </c>
    </row>
    <row r="2259" customFormat="1" ht="16.5" spans="1:24">
      <c r="A2259" s="17">
        <f t="shared" si="1741"/>
        <v>52614</v>
      </c>
      <c r="B2259" s="17">
        <f t="shared" si="1729"/>
        <v>52600</v>
      </c>
      <c r="C2259" s="17" t="str">
        <f t="shared" si="1738"/>
        <v>5</v>
      </c>
      <c r="D2259" s="17">
        <f t="shared" si="1737"/>
        <v>50003</v>
      </c>
      <c r="E2259" s="17">
        <v>1</v>
      </c>
      <c r="F2259" s="17">
        <f t="shared" si="1748"/>
        <v>3</v>
      </c>
      <c r="G2259" s="17" t="str">
        <f t="shared" si="1742"/>
        <v>高级生命百分比</v>
      </c>
      <c r="H2259" s="17" t="str">
        <f t="shared" si="1743"/>
        <v>icon_07</v>
      </c>
      <c r="I2259" s="20">
        <v>0</v>
      </c>
      <c r="J2259" s="17">
        <v>14</v>
      </c>
      <c r="K2259" s="17">
        <f t="shared" si="1739"/>
        <v>52615</v>
      </c>
      <c r="L2259" s="17" t="s">
        <v>564</v>
      </c>
      <c r="M2259" s="17" t="str">
        <f t="shared" si="1744"/>
        <v>1:12300:10</v>
      </c>
      <c r="N2259" s="16" t="str">
        <f t="shared" si="1747"/>
        <v>146:1</v>
      </c>
      <c r="O2259" s="17">
        <f t="shared" si="1749"/>
        <v>7</v>
      </c>
      <c r="P2259" s="21" t="str">
        <f>$S$2&amp;R2259&amp;$Q$1&amp;T2259</f>
        <v>所有牧师和法师生命百分比增加:1</v>
      </c>
      <c r="Q2259" s="21"/>
      <c r="R2259" t="str">
        <f t="shared" si="1745"/>
        <v>生命百分比</v>
      </c>
      <c r="T2259" t="str">
        <f t="shared" si="1746"/>
        <v>:1</v>
      </c>
      <c r="U2259" t="str">
        <f t="shared" si="1740"/>
        <v>牧师</v>
      </c>
      <c r="V2259" t="s">
        <v>4895</v>
      </c>
      <c r="W2259">
        <f>属性类型!G2259</f>
        <v>146</v>
      </c>
      <c r="X2259">
        <v>1</v>
      </c>
    </row>
    <row r="2260" customFormat="1" ht="16.5" spans="1:24">
      <c r="A2260" s="17">
        <f t="shared" si="1741"/>
        <v>52615</v>
      </c>
      <c r="B2260" s="17">
        <f t="shared" si="1729"/>
        <v>52600</v>
      </c>
      <c r="C2260" s="17" t="str">
        <f t="shared" si="1738"/>
        <v>5</v>
      </c>
      <c r="D2260" s="17">
        <f t="shared" si="1737"/>
        <v>50003</v>
      </c>
      <c r="E2260" s="17">
        <v>1</v>
      </c>
      <c r="F2260" s="17">
        <f t="shared" si="1748"/>
        <v>3</v>
      </c>
      <c r="G2260" s="17" t="str">
        <f t="shared" si="1742"/>
        <v>高级生命百分比</v>
      </c>
      <c r="H2260" s="17" t="str">
        <f t="shared" si="1743"/>
        <v>icon_07</v>
      </c>
      <c r="I2260" s="20">
        <v>0</v>
      </c>
      <c r="J2260" s="17">
        <v>15</v>
      </c>
      <c r="K2260" s="17">
        <f t="shared" si="1739"/>
        <v>52616</v>
      </c>
      <c r="L2260" s="17" t="s">
        <v>630</v>
      </c>
      <c r="M2260" s="17" t="str">
        <f t="shared" si="1744"/>
        <v>1:12300:10</v>
      </c>
      <c r="N2260" s="16" t="str">
        <f t="shared" si="1747"/>
        <v>146:1</v>
      </c>
      <c r="O2260" s="17">
        <f t="shared" si="1749"/>
        <v>7</v>
      </c>
      <c r="P2260" s="21" t="str">
        <f>$S$2&amp;R2260&amp;$Q$1&amp;T2260</f>
        <v>所有牧师和法师生命百分比增加:1</v>
      </c>
      <c r="Q2260" s="21"/>
      <c r="R2260" t="str">
        <f t="shared" si="1745"/>
        <v>生命百分比</v>
      </c>
      <c r="T2260" t="str">
        <f t="shared" si="1746"/>
        <v>:1</v>
      </c>
      <c r="U2260" t="str">
        <f t="shared" si="1740"/>
        <v>牧师</v>
      </c>
      <c r="V2260" t="s">
        <v>4895</v>
      </c>
      <c r="W2260">
        <f>属性类型!G2260</f>
        <v>146</v>
      </c>
      <c r="X2260">
        <v>1</v>
      </c>
    </row>
    <row r="2261" customFormat="1" ht="16.5" spans="1:24">
      <c r="A2261" s="17">
        <f t="shared" si="1741"/>
        <v>52616</v>
      </c>
      <c r="B2261" s="17">
        <f t="shared" si="1729"/>
        <v>52600</v>
      </c>
      <c r="C2261" s="17" t="str">
        <f t="shared" si="1738"/>
        <v>5</v>
      </c>
      <c r="D2261" s="17">
        <f t="shared" si="1737"/>
        <v>50003</v>
      </c>
      <c r="E2261" s="17">
        <v>1</v>
      </c>
      <c r="F2261" s="17">
        <f t="shared" si="1748"/>
        <v>3</v>
      </c>
      <c r="G2261" s="17" t="str">
        <f t="shared" si="1742"/>
        <v>高级生命百分比</v>
      </c>
      <c r="H2261" s="17" t="str">
        <f t="shared" si="1743"/>
        <v>icon_07</v>
      </c>
      <c r="I2261" s="20">
        <v>0</v>
      </c>
      <c r="J2261" s="17">
        <v>16</v>
      </c>
      <c r="K2261" s="17">
        <f t="shared" si="1739"/>
        <v>52617</v>
      </c>
      <c r="L2261" s="17" t="s">
        <v>633</v>
      </c>
      <c r="M2261" s="17" t="str">
        <f t="shared" si="1744"/>
        <v>1:12300:10</v>
      </c>
      <c r="N2261" s="16" t="str">
        <f t="shared" si="1747"/>
        <v>146:1</v>
      </c>
      <c r="O2261" s="17">
        <f t="shared" si="1749"/>
        <v>7</v>
      </c>
      <c r="P2261" s="21" t="str">
        <f>$S$2&amp;R2261&amp;$Q$1&amp;T2261</f>
        <v>所有牧师和法师生命百分比增加:1</v>
      </c>
      <c r="Q2261" s="21"/>
      <c r="R2261" t="str">
        <f t="shared" si="1745"/>
        <v>生命百分比</v>
      </c>
      <c r="T2261" t="str">
        <f t="shared" si="1746"/>
        <v>:1</v>
      </c>
      <c r="U2261" t="str">
        <f t="shared" si="1740"/>
        <v>牧师</v>
      </c>
      <c r="V2261" t="s">
        <v>4895</v>
      </c>
      <c r="W2261">
        <f>属性类型!G2261</f>
        <v>146</v>
      </c>
      <c r="X2261">
        <v>1</v>
      </c>
    </row>
    <row r="2262" customFormat="1" ht="16.5" spans="1:24">
      <c r="A2262" s="17">
        <f t="shared" si="1741"/>
        <v>52617</v>
      </c>
      <c r="B2262" s="17">
        <f t="shared" si="1729"/>
        <v>52600</v>
      </c>
      <c r="C2262" s="17" t="str">
        <f t="shared" si="1738"/>
        <v>5</v>
      </c>
      <c r="D2262" s="17">
        <f t="shared" si="1737"/>
        <v>50003</v>
      </c>
      <c r="E2262" s="17">
        <v>1</v>
      </c>
      <c r="F2262" s="17">
        <f t="shared" si="1748"/>
        <v>3</v>
      </c>
      <c r="G2262" s="17" t="str">
        <f t="shared" si="1742"/>
        <v>高级生命百分比</v>
      </c>
      <c r="H2262" s="17" t="str">
        <f t="shared" si="1743"/>
        <v>icon_07</v>
      </c>
      <c r="I2262" s="20">
        <v>0</v>
      </c>
      <c r="J2262" s="17">
        <v>17</v>
      </c>
      <c r="K2262" s="17">
        <f t="shared" si="1739"/>
        <v>52618</v>
      </c>
      <c r="L2262" s="17" t="s">
        <v>637</v>
      </c>
      <c r="M2262" s="17" t="str">
        <f t="shared" si="1744"/>
        <v>1:12300:10</v>
      </c>
      <c r="N2262" s="16" t="str">
        <f t="shared" si="1747"/>
        <v>146:1</v>
      </c>
      <c r="O2262" s="17">
        <f t="shared" si="1749"/>
        <v>7</v>
      </c>
      <c r="P2262" s="21" t="str">
        <f>$S$2&amp;R2262&amp;$Q$1&amp;T2262</f>
        <v>所有牧师和法师生命百分比增加:1</v>
      </c>
      <c r="Q2262" s="21"/>
      <c r="R2262" t="str">
        <f t="shared" si="1745"/>
        <v>生命百分比</v>
      </c>
      <c r="T2262" t="str">
        <f t="shared" si="1746"/>
        <v>:1</v>
      </c>
      <c r="U2262" t="str">
        <f t="shared" si="1740"/>
        <v>牧师</v>
      </c>
      <c r="V2262" t="s">
        <v>4895</v>
      </c>
      <c r="W2262">
        <f>属性类型!G2262</f>
        <v>146</v>
      </c>
      <c r="X2262">
        <v>1</v>
      </c>
    </row>
    <row r="2263" customFormat="1" ht="16.5" spans="1:24">
      <c r="A2263" s="17">
        <f t="shared" si="1741"/>
        <v>52618</v>
      </c>
      <c r="B2263" s="17">
        <f t="shared" si="1729"/>
        <v>52600</v>
      </c>
      <c r="C2263" s="17" t="str">
        <f t="shared" si="1738"/>
        <v>5</v>
      </c>
      <c r="D2263" s="17">
        <f t="shared" si="1737"/>
        <v>50003</v>
      </c>
      <c r="E2263" s="17">
        <v>1</v>
      </c>
      <c r="F2263" s="17">
        <f t="shared" si="1748"/>
        <v>3</v>
      </c>
      <c r="G2263" s="17" t="str">
        <f t="shared" si="1742"/>
        <v>高级生命百分比</v>
      </c>
      <c r="H2263" s="17" t="str">
        <f t="shared" si="1743"/>
        <v>icon_07</v>
      </c>
      <c r="I2263" s="20">
        <v>0</v>
      </c>
      <c r="J2263" s="17">
        <v>18</v>
      </c>
      <c r="K2263" s="17">
        <f t="shared" si="1739"/>
        <v>52619</v>
      </c>
      <c r="L2263" s="17" t="s">
        <v>641</v>
      </c>
      <c r="M2263" s="17" t="str">
        <f t="shared" si="1744"/>
        <v>1:12300:10</v>
      </c>
      <c r="N2263" s="16" t="str">
        <f t="shared" si="1747"/>
        <v>146:1</v>
      </c>
      <c r="O2263" s="17">
        <f t="shared" si="1749"/>
        <v>7</v>
      </c>
      <c r="P2263" s="21" t="str">
        <f>$S$2&amp;R2263&amp;$Q$1&amp;T2263</f>
        <v>所有牧师和法师生命百分比增加:1</v>
      </c>
      <c r="Q2263" s="21"/>
      <c r="R2263" t="str">
        <f t="shared" si="1745"/>
        <v>生命百分比</v>
      </c>
      <c r="T2263" t="str">
        <f t="shared" si="1746"/>
        <v>:1</v>
      </c>
      <c r="U2263" t="str">
        <f t="shared" si="1740"/>
        <v>牧师</v>
      </c>
      <c r="V2263" t="s">
        <v>4895</v>
      </c>
      <c r="W2263">
        <f>属性类型!G2263</f>
        <v>146</v>
      </c>
      <c r="X2263">
        <v>1</v>
      </c>
    </row>
    <row r="2264" customFormat="1" ht="16.5" spans="1:24">
      <c r="A2264" s="17">
        <f t="shared" si="1741"/>
        <v>52619</v>
      </c>
      <c r="B2264" s="17">
        <f t="shared" si="1729"/>
        <v>52600</v>
      </c>
      <c r="C2264" s="17" t="str">
        <f t="shared" si="1738"/>
        <v>5</v>
      </c>
      <c r="D2264" s="17">
        <f t="shared" si="1737"/>
        <v>50003</v>
      </c>
      <c r="E2264" s="17">
        <v>1</v>
      </c>
      <c r="F2264" s="17">
        <f t="shared" si="1748"/>
        <v>3</v>
      </c>
      <c r="G2264" s="17" t="str">
        <f t="shared" si="1742"/>
        <v>高级生命百分比</v>
      </c>
      <c r="H2264" s="17" t="str">
        <f t="shared" si="1743"/>
        <v>icon_07</v>
      </c>
      <c r="I2264" s="20">
        <v>0</v>
      </c>
      <c r="J2264" s="17">
        <v>19</v>
      </c>
      <c r="K2264" s="17">
        <f t="shared" si="1739"/>
        <v>52620</v>
      </c>
      <c r="L2264" s="17" t="s">
        <v>645</v>
      </c>
      <c r="M2264" s="17" t="str">
        <f t="shared" si="1744"/>
        <v>1:12300:10</v>
      </c>
      <c r="N2264" s="16" t="str">
        <f t="shared" si="1747"/>
        <v>146:1</v>
      </c>
      <c r="O2264" s="17">
        <f t="shared" si="1749"/>
        <v>7</v>
      </c>
      <c r="P2264" s="21" t="str">
        <f>$S$2&amp;R2264&amp;$Q$1&amp;T2264</f>
        <v>所有牧师和法师生命百分比增加:1</v>
      </c>
      <c r="Q2264" s="21"/>
      <c r="R2264" t="str">
        <f t="shared" si="1745"/>
        <v>生命百分比</v>
      </c>
      <c r="T2264" t="str">
        <f t="shared" si="1746"/>
        <v>:1</v>
      </c>
      <c r="U2264" t="str">
        <f t="shared" si="1740"/>
        <v>牧师</v>
      </c>
      <c r="V2264" t="s">
        <v>4895</v>
      </c>
      <c r="W2264">
        <f>属性类型!G2264</f>
        <v>146</v>
      </c>
      <c r="X2264">
        <v>1</v>
      </c>
    </row>
    <row r="2265" customFormat="1" ht="16.5" spans="1:24">
      <c r="A2265" s="17">
        <f t="shared" si="1741"/>
        <v>52620</v>
      </c>
      <c r="B2265" s="17">
        <f t="shared" si="1729"/>
        <v>52600</v>
      </c>
      <c r="C2265" s="17" t="str">
        <f t="shared" si="1738"/>
        <v>5</v>
      </c>
      <c r="D2265" s="17">
        <f t="shared" si="1737"/>
        <v>50003</v>
      </c>
      <c r="E2265" s="17">
        <v>1</v>
      </c>
      <c r="F2265" s="17">
        <f t="shared" si="1748"/>
        <v>3</v>
      </c>
      <c r="G2265" s="17" t="str">
        <f t="shared" si="1742"/>
        <v>高级生命百分比</v>
      </c>
      <c r="H2265" s="17" t="str">
        <f t="shared" si="1743"/>
        <v>icon_07</v>
      </c>
      <c r="I2265" s="20">
        <v>0</v>
      </c>
      <c r="J2265" s="17">
        <v>20</v>
      </c>
      <c r="K2265" s="17">
        <v>0</v>
      </c>
      <c r="L2265" s="17">
        <v>0</v>
      </c>
      <c r="M2265" s="17" t="str">
        <f t="shared" si="1744"/>
        <v>1:12300:10</v>
      </c>
      <c r="N2265" s="16" t="str">
        <f t="shared" si="1747"/>
        <v>146:1</v>
      </c>
      <c r="O2265" s="17">
        <f t="shared" si="1749"/>
        <v>7</v>
      </c>
      <c r="P2265" s="21" t="str">
        <f>$S$2&amp;R2265&amp;$Q$1&amp;T2265</f>
        <v>所有牧师和法师生命百分比增加:1</v>
      </c>
      <c r="Q2265" s="21"/>
      <c r="R2265" t="str">
        <f t="shared" si="1745"/>
        <v>生命百分比</v>
      </c>
      <c r="T2265" t="str">
        <f t="shared" si="1746"/>
        <v>:1</v>
      </c>
      <c r="U2265" t="str">
        <f t="shared" si="1740"/>
        <v>牧师</v>
      </c>
      <c r="V2265" t="s">
        <v>4895</v>
      </c>
      <c r="W2265">
        <f>属性类型!G2265</f>
        <v>146</v>
      </c>
      <c r="X2265">
        <v>1</v>
      </c>
    </row>
    <row r="2266" customFormat="1" ht="16.5" spans="1:24">
      <c r="A2266" s="18">
        <f>A2245+100</f>
        <v>52700</v>
      </c>
      <c r="B2266" s="18">
        <f t="shared" si="1729"/>
        <v>52700</v>
      </c>
      <c r="C2266" s="18" t="str">
        <f t="shared" si="1738"/>
        <v>5</v>
      </c>
      <c r="D2266" s="17">
        <f t="shared" si="1737"/>
        <v>50003</v>
      </c>
      <c r="E2266" s="17">
        <v>2</v>
      </c>
      <c r="F2266" s="18">
        <f t="shared" si="1748"/>
        <v>3</v>
      </c>
      <c r="G2266" s="18" t="s">
        <v>4960</v>
      </c>
      <c r="H2266" s="18" t="s">
        <v>4961</v>
      </c>
      <c r="I2266" s="20">
        <v>1.5</v>
      </c>
      <c r="J2266" s="18">
        <v>0</v>
      </c>
      <c r="K2266" s="18">
        <f t="shared" ref="K2266:K2285" si="1750">A2267</f>
        <v>52701</v>
      </c>
      <c r="L2266" s="18" t="s">
        <v>206</v>
      </c>
      <c r="M2266" s="18" t="s">
        <v>709</v>
      </c>
      <c r="N2266" s="16" t="str">
        <f t="shared" si="1747"/>
        <v>10049:1</v>
      </c>
      <c r="O2266" s="18">
        <f t="shared" si="1749"/>
        <v>8</v>
      </c>
      <c r="P2266" s="21" t="s">
        <v>4962</v>
      </c>
      <c r="Q2266" s="21"/>
      <c r="R2266" t="s">
        <v>4963</v>
      </c>
      <c r="T2266" t="str">
        <f>RIGHT(N2266,1)</f>
        <v>1</v>
      </c>
      <c r="U2266" t="str">
        <f t="shared" si="1740"/>
        <v>司防</v>
      </c>
      <c r="V2266" t="s">
        <v>4960</v>
      </c>
      <c r="W2266">
        <f>属性类型!G2266</f>
        <v>10049</v>
      </c>
      <c r="X2266">
        <v>1</v>
      </c>
    </row>
    <row r="2267" customFormat="1" ht="16.5" spans="1:24">
      <c r="A2267" s="17">
        <f t="shared" ref="A2267:A2286" si="1751">A2266+1</f>
        <v>52701</v>
      </c>
      <c r="B2267" s="17">
        <f t="shared" si="1729"/>
        <v>52700</v>
      </c>
      <c r="C2267" s="17" t="str">
        <f t="shared" si="1738"/>
        <v>5</v>
      </c>
      <c r="D2267" s="17">
        <f t="shared" si="1737"/>
        <v>50003</v>
      </c>
      <c r="E2267" s="17">
        <f t="shared" ref="E2267:H2267" si="1752">E2266</f>
        <v>2</v>
      </c>
      <c r="F2267" s="17">
        <f t="shared" si="1748"/>
        <v>3</v>
      </c>
      <c r="G2267" s="17" t="str">
        <f t="shared" si="1752"/>
        <v>大祭司防御百分比</v>
      </c>
      <c r="H2267" s="17" t="str">
        <f t="shared" si="1752"/>
        <v>mushi01_Lv3</v>
      </c>
      <c r="I2267" s="20">
        <v>1.5</v>
      </c>
      <c r="J2267" s="17">
        <v>1</v>
      </c>
      <c r="K2267" s="17">
        <f t="shared" si="1750"/>
        <v>52702</v>
      </c>
      <c r="L2267" s="17" t="s">
        <v>211</v>
      </c>
      <c r="M2267" s="17" t="str">
        <f t="shared" ref="M2267:M2286" si="1753">M2266</f>
        <v>1:12400:10</v>
      </c>
      <c r="N2267" s="16" t="str">
        <f t="shared" si="1747"/>
        <v>10049:1</v>
      </c>
      <c r="O2267" s="17">
        <f t="shared" si="1749"/>
        <v>8</v>
      </c>
      <c r="P2267" s="21" t="s">
        <v>4964</v>
      </c>
      <c r="Q2267" s="21"/>
      <c r="R2267" t="s">
        <v>4963</v>
      </c>
      <c r="T2267" t="str">
        <f t="shared" ref="T2267:T2286" si="1754">RIGHT(N2267,2)</f>
        <v>:1</v>
      </c>
      <c r="U2267" t="str">
        <f t="shared" si="1740"/>
        <v>司防</v>
      </c>
      <c r="V2267" t="s">
        <v>4960</v>
      </c>
      <c r="W2267">
        <f>属性类型!G2267</f>
        <v>10049</v>
      </c>
      <c r="X2267">
        <v>1</v>
      </c>
    </row>
    <row r="2268" customFormat="1" ht="16.5" spans="1:24">
      <c r="A2268" s="17">
        <f t="shared" si="1751"/>
        <v>52702</v>
      </c>
      <c r="B2268" s="17">
        <f t="shared" si="1729"/>
        <v>52700</v>
      </c>
      <c r="C2268" s="17" t="str">
        <f t="shared" si="1738"/>
        <v>5</v>
      </c>
      <c r="D2268" s="17">
        <f t="shared" si="1737"/>
        <v>50003</v>
      </c>
      <c r="E2268" s="17">
        <f t="shared" ref="E2268:H2268" si="1755">E2267</f>
        <v>2</v>
      </c>
      <c r="F2268" s="17">
        <f t="shared" si="1748"/>
        <v>3</v>
      </c>
      <c r="G2268" s="17" t="str">
        <f t="shared" si="1755"/>
        <v>大祭司防御百分比</v>
      </c>
      <c r="H2268" s="17" t="str">
        <f t="shared" si="1755"/>
        <v>mushi01_Lv3</v>
      </c>
      <c r="I2268" s="20">
        <v>1.5</v>
      </c>
      <c r="J2268" s="17">
        <v>2</v>
      </c>
      <c r="K2268" s="17">
        <f t="shared" si="1750"/>
        <v>52703</v>
      </c>
      <c r="L2268" s="17" t="s">
        <v>215</v>
      </c>
      <c r="M2268" s="17" t="str">
        <f t="shared" si="1753"/>
        <v>1:12400:10</v>
      </c>
      <c r="N2268" s="16" t="str">
        <f t="shared" si="1747"/>
        <v>10049:1</v>
      </c>
      <c r="O2268" s="17">
        <f t="shared" si="1749"/>
        <v>8</v>
      </c>
      <c r="P2268" s="21" t="s">
        <v>4965</v>
      </c>
      <c r="Q2268" s="21"/>
      <c r="R2268" t="s">
        <v>4963</v>
      </c>
      <c r="T2268" t="str">
        <f t="shared" si="1754"/>
        <v>:1</v>
      </c>
      <c r="U2268" t="str">
        <f t="shared" si="1740"/>
        <v>司防</v>
      </c>
      <c r="V2268" t="s">
        <v>4960</v>
      </c>
      <c r="W2268">
        <f>属性类型!G2268</f>
        <v>10049</v>
      </c>
      <c r="X2268">
        <v>1</v>
      </c>
    </row>
    <row r="2269" customFormat="1" ht="16.5" spans="1:24">
      <c r="A2269" s="17">
        <f t="shared" si="1751"/>
        <v>52703</v>
      </c>
      <c r="B2269" s="17">
        <f t="shared" si="1729"/>
        <v>52700</v>
      </c>
      <c r="C2269" s="17" t="str">
        <f t="shared" si="1738"/>
        <v>5</v>
      </c>
      <c r="D2269" s="17">
        <f t="shared" si="1737"/>
        <v>50003</v>
      </c>
      <c r="E2269" s="17">
        <f t="shared" ref="E2269:H2269" si="1756">E2268</f>
        <v>2</v>
      </c>
      <c r="F2269" s="17">
        <f t="shared" si="1748"/>
        <v>3</v>
      </c>
      <c r="G2269" s="17" t="str">
        <f t="shared" si="1756"/>
        <v>大祭司防御百分比</v>
      </c>
      <c r="H2269" s="17" t="str">
        <f t="shared" si="1756"/>
        <v>mushi01_Lv3</v>
      </c>
      <c r="I2269" s="20">
        <v>1.5</v>
      </c>
      <c r="J2269" s="17">
        <v>3</v>
      </c>
      <c r="K2269" s="17">
        <f t="shared" si="1750"/>
        <v>52704</v>
      </c>
      <c r="L2269" s="17" t="s">
        <v>218</v>
      </c>
      <c r="M2269" s="17" t="str">
        <f t="shared" si="1753"/>
        <v>1:12400:10</v>
      </c>
      <c r="N2269" s="16" t="str">
        <f t="shared" si="1747"/>
        <v>10049:1</v>
      </c>
      <c r="O2269" s="17">
        <f t="shared" si="1749"/>
        <v>8</v>
      </c>
      <c r="P2269" s="21" t="s">
        <v>4966</v>
      </c>
      <c r="Q2269" s="21"/>
      <c r="R2269" t="s">
        <v>4963</v>
      </c>
      <c r="T2269" t="str">
        <f t="shared" si="1754"/>
        <v>:1</v>
      </c>
      <c r="U2269" t="str">
        <f t="shared" si="1740"/>
        <v>司防</v>
      </c>
      <c r="V2269" t="s">
        <v>4960</v>
      </c>
      <c r="W2269">
        <f>属性类型!G2269</f>
        <v>10049</v>
      </c>
      <c r="X2269">
        <v>1</v>
      </c>
    </row>
    <row r="2270" customFormat="1" ht="16.5" spans="1:24">
      <c r="A2270" s="17">
        <f t="shared" si="1751"/>
        <v>52704</v>
      </c>
      <c r="B2270" s="17">
        <f t="shared" si="1729"/>
        <v>52700</v>
      </c>
      <c r="C2270" s="17" t="str">
        <f t="shared" si="1738"/>
        <v>5</v>
      </c>
      <c r="D2270" s="17">
        <f t="shared" si="1737"/>
        <v>50003</v>
      </c>
      <c r="E2270" s="17">
        <f t="shared" ref="E2270:H2270" si="1757">E2269</f>
        <v>2</v>
      </c>
      <c r="F2270" s="17">
        <f t="shared" si="1748"/>
        <v>3</v>
      </c>
      <c r="G2270" s="17" t="str">
        <f t="shared" si="1757"/>
        <v>大祭司防御百分比</v>
      </c>
      <c r="H2270" s="17" t="str">
        <f t="shared" si="1757"/>
        <v>mushi01_Lv3</v>
      </c>
      <c r="I2270" s="20">
        <v>1.5</v>
      </c>
      <c r="J2270" s="17">
        <v>4</v>
      </c>
      <c r="K2270" s="17">
        <f t="shared" si="1750"/>
        <v>52705</v>
      </c>
      <c r="L2270" s="17" t="s">
        <v>221</v>
      </c>
      <c r="M2270" s="17" t="str">
        <f t="shared" si="1753"/>
        <v>1:12400:10</v>
      </c>
      <c r="N2270" s="16" t="str">
        <f t="shared" si="1747"/>
        <v>10049:1</v>
      </c>
      <c r="O2270" s="17">
        <f t="shared" si="1749"/>
        <v>8</v>
      </c>
      <c r="P2270" s="21" t="s">
        <v>4967</v>
      </c>
      <c r="Q2270" s="21"/>
      <c r="R2270" t="s">
        <v>4963</v>
      </c>
      <c r="T2270" t="str">
        <f t="shared" si="1754"/>
        <v>:1</v>
      </c>
      <c r="U2270" t="str">
        <f t="shared" si="1740"/>
        <v>司防</v>
      </c>
      <c r="V2270" t="s">
        <v>4960</v>
      </c>
      <c r="W2270">
        <f>属性类型!G2270</f>
        <v>10049</v>
      </c>
      <c r="X2270">
        <v>1</v>
      </c>
    </row>
    <row r="2271" customFormat="1" ht="16.5" spans="1:24">
      <c r="A2271" s="17">
        <f t="shared" si="1751"/>
        <v>52705</v>
      </c>
      <c r="B2271" s="17">
        <f t="shared" si="1729"/>
        <v>52700</v>
      </c>
      <c r="C2271" s="17" t="str">
        <f t="shared" si="1738"/>
        <v>5</v>
      </c>
      <c r="D2271" s="17">
        <f t="shared" si="1737"/>
        <v>50003</v>
      </c>
      <c r="E2271" s="17">
        <f t="shared" ref="E2271:H2271" si="1758">E2270</f>
        <v>2</v>
      </c>
      <c r="F2271" s="17">
        <f t="shared" si="1748"/>
        <v>3</v>
      </c>
      <c r="G2271" s="17" t="str">
        <f t="shared" si="1758"/>
        <v>大祭司防御百分比</v>
      </c>
      <c r="H2271" s="17" t="str">
        <f t="shared" si="1758"/>
        <v>mushi01_Lv3</v>
      </c>
      <c r="I2271" s="20">
        <v>1.5</v>
      </c>
      <c r="J2271" s="17">
        <v>5</v>
      </c>
      <c r="K2271" s="17">
        <f t="shared" si="1750"/>
        <v>52706</v>
      </c>
      <c r="L2271" s="17" t="s">
        <v>224</v>
      </c>
      <c r="M2271" s="17" t="str">
        <f t="shared" si="1753"/>
        <v>1:12400:10</v>
      </c>
      <c r="N2271" s="16" t="str">
        <f t="shared" si="1747"/>
        <v>10049:1</v>
      </c>
      <c r="O2271" s="17">
        <f t="shared" si="1749"/>
        <v>8</v>
      </c>
      <c r="P2271" s="21" t="s">
        <v>4968</v>
      </c>
      <c r="Q2271" s="21"/>
      <c r="R2271" t="s">
        <v>4963</v>
      </c>
      <c r="T2271" t="str">
        <f t="shared" si="1754"/>
        <v>:1</v>
      </c>
      <c r="U2271" t="str">
        <f t="shared" si="1740"/>
        <v>司防</v>
      </c>
      <c r="V2271" t="s">
        <v>4960</v>
      </c>
      <c r="W2271">
        <f>属性类型!G2271</f>
        <v>10049</v>
      </c>
      <c r="X2271">
        <v>1</v>
      </c>
    </row>
    <row r="2272" customFormat="1" ht="16.5" spans="1:24">
      <c r="A2272" s="17">
        <f t="shared" si="1751"/>
        <v>52706</v>
      </c>
      <c r="B2272" s="17">
        <f t="shared" si="1729"/>
        <v>52700</v>
      </c>
      <c r="C2272" s="17" t="str">
        <f t="shared" si="1738"/>
        <v>5</v>
      </c>
      <c r="D2272" s="17">
        <f t="shared" si="1737"/>
        <v>50003</v>
      </c>
      <c r="E2272" s="17">
        <f t="shared" ref="E2272:H2272" si="1759">E2271</f>
        <v>2</v>
      </c>
      <c r="F2272" s="17">
        <f t="shared" si="1748"/>
        <v>3</v>
      </c>
      <c r="G2272" s="17" t="str">
        <f t="shared" si="1759"/>
        <v>大祭司防御百分比</v>
      </c>
      <c r="H2272" s="17" t="str">
        <f t="shared" si="1759"/>
        <v>mushi01_Lv3</v>
      </c>
      <c r="I2272" s="20">
        <v>1.5</v>
      </c>
      <c r="J2272" s="17">
        <v>6</v>
      </c>
      <c r="K2272" s="17">
        <f t="shared" si="1750"/>
        <v>52707</v>
      </c>
      <c r="L2272" s="17" t="s">
        <v>227</v>
      </c>
      <c r="M2272" s="17" t="str">
        <f t="shared" si="1753"/>
        <v>1:12400:10</v>
      </c>
      <c r="N2272" s="16" t="str">
        <f t="shared" si="1747"/>
        <v>10049:1</v>
      </c>
      <c r="O2272" s="17">
        <f t="shared" si="1749"/>
        <v>8</v>
      </c>
      <c r="P2272" s="21" t="s">
        <v>4969</v>
      </c>
      <c r="Q2272" s="21"/>
      <c r="R2272" t="s">
        <v>4963</v>
      </c>
      <c r="T2272" t="str">
        <f t="shared" si="1754"/>
        <v>:1</v>
      </c>
      <c r="U2272" t="str">
        <f t="shared" si="1740"/>
        <v>司防</v>
      </c>
      <c r="V2272" t="s">
        <v>4960</v>
      </c>
      <c r="W2272">
        <f>属性类型!G2272</f>
        <v>10049</v>
      </c>
      <c r="X2272">
        <v>1</v>
      </c>
    </row>
    <row r="2273" customFormat="1" ht="16.5" spans="1:24">
      <c r="A2273" s="17">
        <f t="shared" si="1751"/>
        <v>52707</v>
      </c>
      <c r="B2273" s="17">
        <f t="shared" si="1729"/>
        <v>52700</v>
      </c>
      <c r="C2273" s="17" t="str">
        <f t="shared" si="1738"/>
        <v>5</v>
      </c>
      <c r="D2273" s="17">
        <f t="shared" si="1737"/>
        <v>50003</v>
      </c>
      <c r="E2273" s="17">
        <f t="shared" ref="E2273:H2273" si="1760">E2272</f>
        <v>2</v>
      </c>
      <c r="F2273" s="17">
        <f t="shared" si="1748"/>
        <v>3</v>
      </c>
      <c r="G2273" s="17" t="str">
        <f t="shared" si="1760"/>
        <v>大祭司防御百分比</v>
      </c>
      <c r="H2273" s="17" t="str">
        <f t="shared" si="1760"/>
        <v>mushi01_Lv3</v>
      </c>
      <c r="I2273" s="20">
        <v>1.5</v>
      </c>
      <c r="J2273" s="17">
        <v>7</v>
      </c>
      <c r="K2273" s="17">
        <f t="shared" si="1750"/>
        <v>52708</v>
      </c>
      <c r="L2273" s="17" t="s">
        <v>230</v>
      </c>
      <c r="M2273" s="17" t="str">
        <f t="shared" si="1753"/>
        <v>1:12400:10</v>
      </c>
      <c r="N2273" s="16" t="str">
        <f t="shared" si="1747"/>
        <v>10049:1</v>
      </c>
      <c r="O2273" s="17">
        <f t="shared" si="1749"/>
        <v>8</v>
      </c>
      <c r="P2273" s="21" t="s">
        <v>4970</v>
      </c>
      <c r="Q2273" s="21"/>
      <c r="R2273" t="s">
        <v>4963</v>
      </c>
      <c r="T2273" t="str">
        <f t="shared" si="1754"/>
        <v>:1</v>
      </c>
      <c r="U2273" t="str">
        <f t="shared" si="1740"/>
        <v>司防</v>
      </c>
      <c r="V2273" t="s">
        <v>4960</v>
      </c>
      <c r="W2273">
        <f>属性类型!G2273</f>
        <v>10049</v>
      </c>
      <c r="X2273">
        <v>1</v>
      </c>
    </row>
    <row r="2274" customFormat="1" ht="16.5" spans="1:24">
      <c r="A2274" s="17">
        <f t="shared" si="1751"/>
        <v>52708</v>
      </c>
      <c r="B2274" s="17">
        <f t="shared" si="1729"/>
        <v>52700</v>
      </c>
      <c r="C2274" s="17" t="str">
        <f t="shared" si="1738"/>
        <v>5</v>
      </c>
      <c r="D2274" s="17">
        <f t="shared" si="1737"/>
        <v>50003</v>
      </c>
      <c r="E2274" s="17">
        <f t="shared" ref="E2274:H2274" si="1761">E2273</f>
        <v>2</v>
      </c>
      <c r="F2274" s="17">
        <f t="shared" si="1748"/>
        <v>3</v>
      </c>
      <c r="G2274" s="17" t="str">
        <f t="shared" si="1761"/>
        <v>大祭司防御百分比</v>
      </c>
      <c r="H2274" s="17" t="str">
        <f t="shared" si="1761"/>
        <v>mushi01_Lv3</v>
      </c>
      <c r="I2274" s="20">
        <v>1.5</v>
      </c>
      <c r="J2274" s="17">
        <v>8</v>
      </c>
      <c r="K2274" s="17">
        <f t="shared" si="1750"/>
        <v>52709</v>
      </c>
      <c r="L2274" s="17" t="s">
        <v>233</v>
      </c>
      <c r="M2274" s="17" t="str">
        <f t="shared" si="1753"/>
        <v>1:12400:10</v>
      </c>
      <c r="N2274" s="16" t="str">
        <f t="shared" si="1747"/>
        <v>10049:1</v>
      </c>
      <c r="O2274" s="17">
        <f t="shared" si="1749"/>
        <v>8</v>
      </c>
      <c r="P2274" s="21" t="s">
        <v>4971</v>
      </c>
      <c r="Q2274" s="21"/>
      <c r="R2274" t="s">
        <v>4963</v>
      </c>
      <c r="T2274" t="str">
        <f t="shared" si="1754"/>
        <v>:1</v>
      </c>
      <c r="U2274" t="str">
        <f t="shared" si="1740"/>
        <v>司防</v>
      </c>
      <c r="V2274" t="s">
        <v>4960</v>
      </c>
      <c r="W2274">
        <f>属性类型!G2274</f>
        <v>10049</v>
      </c>
      <c r="X2274">
        <v>1</v>
      </c>
    </row>
    <row r="2275" customFormat="1" ht="16.5" spans="1:24">
      <c r="A2275" s="17">
        <f t="shared" si="1751"/>
        <v>52709</v>
      </c>
      <c r="B2275" s="17">
        <f t="shared" si="1729"/>
        <v>52700</v>
      </c>
      <c r="C2275" s="17" t="str">
        <f t="shared" si="1738"/>
        <v>5</v>
      </c>
      <c r="D2275" s="17">
        <f t="shared" si="1737"/>
        <v>50003</v>
      </c>
      <c r="E2275" s="17">
        <f t="shared" ref="E2275:H2275" si="1762">E2274</f>
        <v>2</v>
      </c>
      <c r="F2275" s="17">
        <f t="shared" si="1748"/>
        <v>3</v>
      </c>
      <c r="G2275" s="17" t="str">
        <f t="shared" si="1762"/>
        <v>大祭司防御百分比</v>
      </c>
      <c r="H2275" s="17" t="str">
        <f t="shared" si="1762"/>
        <v>mushi01_Lv3</v>
      </c>
      <c r="I2275" s="20">
        <v>1.5</v>
      </c>
      <c r="J2275" s="17">
        <v>9</v>
      </c>
      <c r="K2275" s="17">
        <f t="shared" si="1750"/>
        <v>52710</v>
      </c>
      <c r="L2275" s="17" t="s">
        <v>236</v>
      </c>
      <c r="M2275" s="17" t="str">
        <f t="shared" si="1753"/>
        <v>1:12400:10</v>
      </c>
      <c r="N2275" s="16" t="str">
        <f t="shared" si="1747"/>
        <v>10049:1</v>
      </c>
      <c r="O2275" s="17">
        <f t="shared" si="1749"/>
        <v>8</v>
      </c>
      <c r="P2275" s="21" t="s">
        <v>4972</v>
      </c>
      <c r="Q2275" s="21"/>
      <c r="R2275" t="s">
        <v>4963</v>
      </c>
      <c r="T2275" t="str">
        <f t="shared" si="1754"/>
        <v>:1</v>
      </c>
      <c r="U2275" t="str">
        <f t="shared" si="1740"/>
        <v>司防</v>
      </c>
      <c r="V2275" t="s">
        <v>4960</v>
      </c>
      <c r="W2275">
        <f>属性类型!G2275</f>
        <v>10049</v>
      </c>
      <c r="X2275">
        <v>1</v>
      </c>
    </row>
    <row r="2276" customFormat="1" ht="16.5" spans="1:24">
      <c r="A2276" s="17">
        <f t="shared" si="1751"/>
        <v>52710</v>
      </c>
      <c r="B2276" s="17">
        <f t="shared" si="1729"/>
        <v>52700</v>
      </c>
      <c r="C2276" s="17" t="str">
        <f t="shared" si="1738"/>
        <v>5</v>
      </c>
      <c r="D2276" s="17">
        <f t="shared" si="1737"/>
        <v>50003</v>
      </c>
      <c r="E2276" s="17">
        <f t="shared" ref="E2276:H2276" si="1763">E2275</f>
        <v>2</v>
      </c>
      <c r="F2276" s="17">
        <f t="shared" si="1748"/>
        <v>3</v>
      </c>
      <c r="G2276" s="17" t="str">
        <f t="shared" si="1763"/>
        <v>大祭司防御百分比</v>
      </c>
      <c r="H2276" s="17" t="str">
        <f t="shared" si="1763"/>
        <v>mushi01_Lv3</v>
      </c>
      <c r="I2276" s="20">
        <v>1.5</v>
      </c>
      <c r="J2276" s="17">
        <v>10</v>
      </c>
      <c r="K2276" s="17">
        <f t="shared" si="1750"/>
        <v>52711</v>
      </c>
      <c r="L2276" s="17" t="s">
        <v>238</v>
      </c>
      <c r="M2276" s="17" t="str">
        <f t="shared" si="1753"/>
        <v>1:12400:10</v>
      </c>
      <c r="N2276" s="16" t="str">
        <f t="shared" si="1747"/>
        <v>10049:1</v>
      </c>
      <c r="O2276" s="17">
        <f t="shared" si="1749"/>
        <v>8</v>
      </c>
      <c r="P2276" s="21" t="s">
        <v>4973</v>
      </c>
      <c r="Q2276" s="21"/>
      <c r="R2276" t="s">
        <v>4963</v>
      </c>
      <c r="T2276" t="str">
        <f t="shared" si="1754"/>
        <v>:1</v>
      </c>
      <c r="U2276" t="str">
        <f t="shared" si="1740"/>
        <v>司防</v>
      </c>
      <c r="V2276" t="s">
        <v>4960</v>
      </c>
      <c r="W2276">
        <f>属性类型!G2276</f>
        <v>10049</v>
      </c>
      <c r="X2276">
        <v>1</v>
      </c>
    </row>
    <row r="2277" customFormat="1" ht="16.5" spans="1:24">
      <c r="A2277" s="17">
        <f t="shared" si="1751"/>
        <v>52711</v>
      </c>
      <c r="B2277" s="17">
        <f t="shared" si="1729"/>
        <v>52700</v>
      </c>
      <c r="C2277" s="17" t="str">
        <f t="shared" si="1738"/>
        <v>5</v>
      </c>
      <c r="D2277" s="17">
        <f t="shared" si="1737"/>
        <v>50003</v>
      </c>
      <c r="E2277" s="17">
        <f t="shared" ref="E2277:H2277" si="1764">E2276</f>
        <v>2</v>
      </c>
      <c r="F2277" s="17">
        <f t="shared" si="1748"/>
        <v>3</v>
      </c>
      <c r="G2277" s="17" t="str">
        <f t="shared" si="1764"/>
        <v>大祭司防御百分比</v>
      </c>
      <c r="H2277" s="17" t="str">
        <f t="shared" si="1764"/>
        <v>mushi01_Lv3</v>
      </c>
      <c r="I2277" s="20">
        <v>1.5</v>
      </c>
      <c r="J2277" s="17">
        <v>11</v>
      </c>
      <c r="K2277" s="17">
        <f t="shared" si="1750"/>
        <v>52712</v>
      </c>
      <c r="L2277" s="17" t="s">
        <v>529</v>
      </c>
      <c r="M2277" s="17" t="str">
        <f t="shared" si="1753"/>
        <v>1:12400:10</v>
      </c>
      <c r="N2277" s="16" t="str">
        <f t="shared" si="1747"/>
        <v>10049:1</v>
      </c>
      <c r="O2277" s="17">
        <f t="shared" si="1749"/>
        <v>8</v>
      </c>
      <c r="P2277" s="21" t="s">
        <v>4974</v>
      </c>
      <c r="Q2277" s="21"/>
      <c r="R2277" t="s">
        <v>4963</v>
      </c>
      <c r="T2277" t="str">
        <f t="shared" si="1754"/>
        <v>:1</v>
      </c>
      <c r="U2277" t="str">
        <f t="shared" si="1740"/>
        <v>司防</v>
      </c>
      <c r="V2277" t="s">
        <v>4960</v>
      </c>
      <c r="W2277">
        <f>属性类型!G2277</f>
        <v>10049</v>
      </c>
      <c r="X2277">
        <v>1</v>
      </c>
    </row>
    <row r="2278" customFormat="1" ht="16.5" spans="1:24">
      <c r="A2278" s="17">
        <f t="shared" si="1751"/>
        <v>52712</v>
      </c>
      <c r="B2278" s="17">
        <f t="shared" si="1729"/>
        <v>52700</v>
      </c>
      <c r="C2278" s="17" t="str">
        <f t="shared" si="1738"/>
        <v>5</v>
      </c>
      <c r="D2278" s="17">
        <f t="shared" si="1737"/>
        <v>50003</v>
      </c>
      <c r="E2278" s="17">
        <f t="shared" ref="E2278:H2278" si="1765">E2277</f>
        <v>2</v>
      </c>
      <c r="F2278" s="17">
        <f t="shared" si="1748"/>
        <v>3</v>
      </c>
      <c r="G2278" s="17" t="str">
        <f t="shared" si="1765"/>
        <v>大祭司防御百分比</v>
      </c>
      <c r="H2278" s="17" t="str">
        <f t="shared" si="1765"/>
        <v>mushi01_Lv3</v>
      </c>
      <c r="I2278" s="20">
        <v>1.5</v>
      </c>
      <c r="J2278" s="17">
        <v>12</v>
      </c>
      <c r="K2278" s="17">
        <f t="shared" si="1750"/>
        <v>52713</v>
      </c>
      <c r="L2278" s="17" t="s">
        <v>532</v>
      </c>
      <c r="M2278" s="17" t="str">
        <f t="shared" si="1753"/>
        <v>1:12400:10</v>
      </c>
      <c r="N2278" s="16" t="str">
        <f t="shared" si="1747"/>
        <v>10049:1</v>
      </c>
      <c r="O2278" s="17">
        <f t="shared" si="1749"/>
        <v>8</v>
      </c>
      <c r="P2278" s="21" t="s">
        <v>4975</v>
      </c>
      <c r="Q2278" s="21"/>
      <c r="R2278" t="s">
        <v>4963</v>
      </c>
      <c r="T2278" t="str">
        <f t="shared" si="1754"/>
        <v>:1</v>
      </c>
      <c r="U2278" t="str">
        <f t="shared" si="1740"/>
        <v>司防</v>
      </c>
      <c r="V2278" t="s">
        <v>4960</v>
      </c>
      <c r="W2278">
        <f>属性类型!G2278</f>
        <v>10049</v>
      </c>
      <c r="X2278">
        <v>1</v>
      </c>
    </row>
    <row r="2279" customFormat="1" ht="16.5" spans="1:24">
      <c r="A2279" s="17">
        <f t="shared" si="1751"/>
        <v>52713</v>
      </c>
      <c r="B2279" s="17">
        <f t="shared" si="1729"/>
        <v>52700</v>
      </c>
      <c r="C2279" s="17" t="str">
        <f t="shared" si="1738"/>
        <v>5</v>
      </c>
      <c r="D2279" s="17">
        <f t="shared" si="1737"/>
        <v>50003</v>
      </c>
      <c r="E2279" s="17">
        <f t="shared" ref="E2279:H2279" si="1766">E2278</f>
        <v>2</v>
      </c>
      <c r="F2279" s="17">
        <f t="shared" si="1748"/>
        <v>3</v>
      </c>
      <c r="G2279" s="17" t="str">
        <f t="shared" si="1766"/>
        <v>大祭司防御百分比</v>
      </c>
      <c r="H2279" s="17" t="str">
        <f t="shared" si="1766"/>
        <v>mushi01_Lv3</v>
      </c>
      <c r="I2279" s="20">
        <v>1.5</v>
      </c>
      <c r="J2279" s="17">
        <v>13</v>
      </c>
      <c r="K2279" s="17">
        <f t="shared" si="1750"/>
        <v>52714</v>
      </c>
      <c r="L2279" s="17" t="s">
        <v>561</v>
      </c>
      <c r="M2279" s="17" t="str">
        <f t="shared" si="1753"/>
        <v>1:12400:10</v>
      </c>
      <c r="N2279" s="16" t="str">
        <f t="shared" si="1747"/>
        <v>10049:1</v>
      </c>
      <c r="O2279" s="17">
        <f t="shared" si="1749"/>
        <v>8</v>
      </c>
      <c r="P2279" s="21" t="s">
        <v>4976</v>
      </c>
      <c r="Q2279" s="21"/>
      <c r="R2279" t="s">
        <v>4963</v>
      </c>
      <c r="T2279" t="str">
        <f t="shared" si="1754"/>
        <v>:1</v>
      </c>
      <c r="U2279" t="str">
        <f t="shared" si="1740"/>
        <v>司防</v>
      </c>
      <c r="V2279" t="s">
        <v>4960</v>
      </c>
      <c r="W2279">
        <f>属性类型!G2279</f>
        <v>10049</v>
      </c>
      <c r="X2279">
        <v>1</v>
      </c>
    </row>
    <row r="2280" customFormat="1" ht="16.5" spans="1:24">
      <c r="A2280" s="17">
        <f t="shared" si="1751"/>
        <v>52714</v>
      </c>
      <c r="B2280" s="17">
        <f t="shared" si="1729"/>
        <v>52700</v>
      </c>
      <c r="C2280" s="17" t="str">
        <f t="shared" si="1738"/>
        <v>5</v>
      </c>
      <c r="D2280" s="17">
        <f t="shared" si="1737"/>
        <v>50003</v>
      </c>
      <c r="E2280" s="17">
        <f t="shared" ref="E2280:H2280" si="1767">E2279</f>
        <v>2</v>
      </c>
      <c r="F2280" s="17">
        <f t="shared" si="1748"/>
        <v>3</v>
      </c>
      <c r="G2280" s="17" t="str">
        <f t="shared" si="1767"/>
        <v>大祭司防御百分比</v>
      </c>
      <c r="H2280" s="17" t="str">
        <f t="shared" si="1767"/>
        <v>mushi01_Lv3</v>
      </c>
      <c r="I2280" s="20">
        <v>1.5</v>
      </c>
      <c r="J2280" s="17">
        <v>14</v>
      </c>
      <c r="K2280" s="17">
        <f t="shared" si="1750"/>
        <v>52715</v>
      </c>
      <c r="L2280" s="17" t="s">
        <v>564</v>
      </c>
      <c r="M2280" s="17" t="str">
        <f t="shared" si="1753"/>
        <v>1:12400:10</v>
      </c>
      <c r="N2280" s="16" t="str">
        <f t="shared" si="1747"/>
        <v>10049:1</v>
      </c>
      <c r="O2280" s="17">
        <f t="shared" si="1749"/>
        <v>8</v>
      </c>
      <c r="P2280" s="21" t="s">
        <v>4977</v>
      </c>
      <c r="Q2280" s="21"/>
      <c r="R2280" t="s">
        <v>4963</v>
      </c>
      <c r="T2280" t="str">
        <f t="shared" si="1754"/>
        <v>:1</v>
      </c>
      <c r="U2280" t="str">
        <f t="shared" si="1740"/>
        <v>司防</v>
      </c>
      <c r="V2280" t="s">
        <v>4960</v>
      </c>
      <c r="W2280">
        <f>属性类型!G2280</f>
        <v>10049</v>
      </c>
      <c r="X2280">
        <v>1</v>
      </c>
    </row>
    <row r="2281" customFormat="1" ht="16.5" spans="1:24">
      <c r="A2281" s="17">
        <f t="shared" si="1751"/>
        <v>52715</v>
      </c>
      <c r="B2281" s="17">
        <f t="shared" si="1729"/>
        <v>52700</v>
      </c>
      <c r="C2281" s="17" t="str">
        <f t="shared" si="1738"/>
        <v>5</v>
      </c>
      <c r="D2281" s="17">
        <f t="shared" si="1737"/>
        <v>50003</v>
      </c>
      <c r="E2281" s="17">
        <f t="shared" ref="E2281:H2281" si="1768">E2280</f>
        <v>2</v>
      </c>
      <c r="F2281" s="17">
        <f t="shared" si="1748"/>
        <v>3</v>
      </c>
      <c r="G2281" s="17" t="str">
        <f t="shared" si="1768"/>
        <v>大祭司防御百分比</v>
      </c>
      <c r="H2281" s="17" t="str">
        <f t="shared" si="1768"/>
        <v>mushi01_Lv3</v>
      </c>
      <c r="I2281" s="20">
        <v>1.5</v>
      </c>
      <c r="J2281" s="17">
        <v>15</v>
      </c>
      <c r="K2281" s="17">
        <f t="shared" si="1750"/>
        <v>52716</v>
      </c>
      <c r="L2281" s="17" t="s">
        <v>630</v>
      </c>
      <c r="M2281" s="17" t="str">
        <f t="shared" si="1753"/>
        <v>1:12400:10</v>
      </c>
      <c r="N2281" s="16" t="str">
        <f t="shared" si="1747"/>
        <v>10049:1</v>
      </c>
      <c r="O2281" s="17">
        <f t="shared" si="1749"/>
        <v>8</v>
      </c>
      <c r="P2281" s="21" t="s">
        <v>4978</v>
      </c>
      <c r="Q2281" s="21"/>
      <c r="R2281" t="s">
        <v>4963</v>
      </c>
      <c r="T2281" t="str">
        <f t="shared" si="1754"/>
        <v>:1</v>
      </c>
      <c r="U2281" t="str">
        <f t="shared" si="1740"/>
        <v>司防</v>
      </c>
      <c r="V2281" t="s">
        <v>4960</v>
      </c>
      <c r="W2281">
        <f>属性类型!G2281</f>
        <v>10049</v>
      </c>
      <c r="X2281">
        <v>1</v>
      </c>
    </row>
    <row r="2282" customFormat="1" ht="16.5" spans="1:24">
      <c r="A2282" s="17">
        <f t="shared" si="1751"/>
        <v>52716</v>
      </c>
      <c r="B2282" s="17">
        <f t="shared" si="1729"/>
        <v>52700</v>
      </c>
      <c r="C2282" s="17" t="str">
        <f t="shared" si="1738"/>
        <v>5</v>
      </c>
      <c r="D2282" s="17">
        <f t="shared" si="1737"/>
        <v>50003</v>
      </c>
      <c r="E2282" s="17">
        <f t="shared" ref="E2282:H2282" si="1769">E2281</f>
        <v>2</v>
      </c>
      <c r="F2282" s="17">
        <f t="shared" si="1748"/>
        <v>3</v>
      </c>
      <c r="G2282" s="17" t="str">
        <f t="shared" si="1769"/>
        <v>大祭司防御百分比</v>
      </c>
      <c r="H2282" s="17" t="str">
        <f t="shared" si="1769"/>
        <v>mushi01_Lv3</v>
      </c>
      <c r="I2282" s="20">
        <v>1.5</v>
      </c>
      <c r="J2282" s="17">
        <v>16</v>
      </c>
      <c r="K2282" s="17">
        <f t="shared" si="1750"/>
        <v>52717</v>
      </c>
      <c r="L2282" s="17" t="s">
        <v>633</v>
      </c>
      <c r="M2282" s="17" t="str">
        <f t="shared" si="1753"/>
        <v>1:12400:10</v>
      </c>
      <c r="N2282" s="16" t="str">
        <f t="shared" si="1747"/>
        <v>10049:1</v>
      </c>
      <c r="O2282" s="17">
        <f t="shared" si="1749"/>
        <v>8</v>
      </c>
      <c r="P2282" s="21" t="s">
        <v>4979</v>
      </c>
      <c r="Q2282" s="21"/>
      <c r="R2282" t="s">
        <v>4963</v>
      </c>
      <c r="T2282" t="str">
        <f t="shared" si="1754"/>
        <v>:1</v>
      </c>
      <c r="U2282" t="str">
        <f t="shared" si="1740"/>
        <v>司防</v>
      </c>
      <c r="V2282" t="s">
        <v>4960</v>
      </c>
      <c r="W2282">
        <f>属性类型!G2282</f>
        <v>10049</v>
      </c>
      <c r="X2282">
        <v>1</v>
      </c>
    </row>
    <row r="2283" customFormat="1" ht="16.5" spans="1:24">
      <c r="A2283" s="17">
        <f t="shared" si="1751"/>
        <v>52717</v>
      </c>
      <c r="B2283" s="17">
        <f t="shared" si="1729"/>
        <v>52700</v>
      </c>
      <c r="C2283" s="17" t="str">
        <f t="shared" si="1738"/>
        <v>5</v>
      </c>
      <c r="D2283" s="17">
        <f t="shared" si="1737"/>
        <v>50003</v>
      </c>
      <c r="E2283" s="17">
        <f t="shared" ref="E2283:H2283" si="1770">E2282</f>
        <v>2</v>
      </c>
      <c r="F2283" s="17">
        <f t="shared" si="1748"/>
        <v>3</v>
      </c>
      <c r="G2283" s="17" t="str">
        <f t="shared" si="1770"/>
        <v>大祭司防御百分比</v>
      </c>
      <c r="H2283" s="17" t="str">
        <f t="shared" si="1770"/>
        <v>mushi01_Lv3</v>
      </c>
      <c r="I2283" s="20">
        <v>1.5</v>
      </c>
      <c r="J2283" s="17">
        <v>17</v>
      </c>
      <c r="K2283" s="17">
        <f t="shared" si="1750"/>
        <v>52718</v>
      </c>
      <c r="L2283" s="17" t="s">
        <v>637</v>
      </c>
      <c r="M2283" s="17" t="str">
        <f t="shared" si="1753"/>
        <v>1:12400:10</v>
      </c>
      <c r="N2283" s="16" t="str">
        <f t="shared" si="1747"/>
        <v>10049:1</v>
      </c>
      <c r="O2283" s="17">
        <f t="shared" si="1749"/>
        <v>8</v>
      </c>
      <c r="P2283" s="21" t="s">
        <v>4980</v>
      </c>
      <c r="Q2283" s="21"/>
      <c r="R2283" t="s">
        <v>4963</v>
      </c>
      <c r="T2283" t="str">
        <f t="shared" si="1754"/>
        <v>:1</v>
      </c>
      <c r="U2283" t="str">
        <f t="shared" si="1740"/>
        <v>司防</v>
      </c>
      <c r="V2283" t="s">
        <v>4960</v>
      </c>
      <c r="W2283">
        <f>属性类型!G2283</f>
        <v>10049</v>
      </c>
      <c r="X2283">
        <v>1</v>
      </c>
    </row>
    <row r="2284" customFormat="1" ht="16.5" spans="1:24">
      <c r="A2284" s="17">
        <f t="shared" si="1751"/>
        <v>52718</v>
      </c>
      <c r="B2284" s="17">
        <f t="shared" si="1729"/>
        <v>52700</v>
      </c>
      <c r="C2284" s="17" t="str">
        <f t="shared" si="1738"/>
        <v>5</v>
      </c>
      <c r="D2284" s="17">
        <f t="shared" si="1737"/>
        <v>50003</v>
      </c>
      <c r="E2284" s="17">
        <f t="shared" ref="E2284:H2284" si="1771">E2283</f>
        <v>2</v>
      </c>
      <c r="F2284" s="17">
        <f t="shared" si="1748"/>
        <v>3</v>
      </c>
      <c r="G2284" s="17" t="str">
        <f t="shared" si="1771"/>
        <v>大祭司防御百分比</v>
      </c>
      <c r="H2284" s="17" t="str">
        <f t="shared" si="1771"/>
        <v>mushi01_Lv3</v>
      </c>
      <c r="I2284" s="20">
        <v>1.5</v>
      </c>
      <c r="J2284" s="17">
        <v>18</v>
      </c>
      <c r="K2284" s="17">
        <f t="shared" si="1750"/>
        <v>52719</v>
      </c>
      <c r="L2284" s="17" t="s">
        <v>641</v>
      </c>
      <c r="M2284" s="17" t="str">
        <f t="shared" si="1753"/>
        <v>1:12400:10</v>
      </c>
      <c r="N2284" s="16" t="str">
        <f t="shared" si="1747"/>
        <v>10049:1</v>
      </c>
      <c r="O2284" s="17">
        <f t="shared" si="1749"/>
        <v>8</v>
      </c>
      <c r="P2284" s="21" t="s">
        <v>4981</v>
      </c>
      <c r="Q2284" s="21"/>
      <c r="R2284" t="s">
        <v>4963</v>
      </c>
      <c r="T2284" t="str">
        <f t="shared" si="1754"/>
        <v>:1</v>
      </c>
      <c r="U2284" t="str">
        <f t="shared" si="1740"/>
        <v>司防</v>
      </c>
      <c r="V2284" t="s">
        <v>4960</v>
      </c>
      <c r="W2284">
        <f>属性类型!G2284</f>
        <v>10049</v>
      </c>
      <c r="X2284">
        <v>1</v>
      </c>
    </row>
    <row r="2285" customFormat="1" ht="16.5" spans="1:24">
      <c r="A2285" s="17">
        <f t="shared" si="1751"/>
        <v>52719</v>
      </c>
      <c r="B2285" s="17">
        <f t="shared" si="1729"/>
        <v>52700</v>
      </c>
      <c r="C2285" s="17" t="str">
        <f t="shared" si="1738"/>
        <v>5</v>
      </c>
      <c r="D2285" s="17">
        <f t="shared" si="1737"/>
        <v>50003</v>
      </c>
      <c r="E2285" s="17">
        <f t="shared" ref="E2285:H2285" si="1772">E2284</f>
        <v>2</v>
      </c>
      <c r="F2285" s="17">
        <f t="shared" si="1748"/>
        <v>3</v>
      </c>
      <c r="G2285" s="17" t="str">
        <f t="shared" si="1772"/>
        <v>大祭司防御百分比</v>
      </c>
      <c r="H2285" s="17" t="str">
        <f t="shared" si="1772"/>
        <v>mushi01_Lv3</v>
      </c>
      <c r="I2285" s="20">
        <v>1.5</v>
      </c>
      <c r="J2285" s="17">
        <v>19</v>
      </c>
      <c r="K2285" s="17">
        <f t="shared" si="1750"/>
        <v>52720</v>
      </c>
      <c r="L2285" s="17" t="s">
        <v>645</v>
      </c>
      <c r="M2285" s="17" t="str">
        <f t="shared" si="1753"/>
        <v>1:12400:10</v>
      </c>
      <c r="N2285" s="16" t="str">
        <f t="shared" si="1747"/>
        <v>10049:1</v>
      </c>
      <c r="O2285" s="17">
        <f t="shared" si="1749"/>
        <v>8</v>
      </c>
      <c r="P2285" s="21" t="s">
        <v>4982</v>
      </c>
      <c r="Q2285" s="21"/>
      <c r="R2285" t="s">
        <v>4963</v>
      </c>
      <c r="T2285" t="str">
        <f t="shared" si="1754"/>
        <v>:1</v>
      </c>
      <c r="U2285" t="str">
        <f t="shared" si="1740"/>
        <v>司防</v>
      </c>
      <c r="V2285" t="s">
        <v>4960</v>
      </c>
      <c r="W2285">
        <f>属性类型!G2285</f>
        <v>10049</v>
      </c>
      <c r="X2285">
        <v>1</v>
      </c>
    </row>
    <row r="2286" customFormat="1" ht="16.5" spans="1:24">
      <c r="A2286" s="17">
        <f t="shared" si="1751"/>
        <v>52720</v>
      </c>
      <c r="B2286" s="17">
        <f t="shared" si="1729"/>
        <v>52700</v>
      </c>
      <c r="C2286" s="17" t="str">
        <f t="shared" si="1738"/>
        <v>5</v>
      </c>
      <c r="D2286" s="17">
        <f t="shared" si="1737"/>
        <v>50003</v>
      </c>
      <c r="E2286" s="17">
        <f t="shared" ref="E2286:H2286" si="1773">E2285</f>
        <v>2</v>
      </c>
      <c r="F2286" s="17">
        <f t="shared" si="1748"/>
        <v>3</v>
      </c>
      <c r="G2286" s="17" t="str">
        <f t="shared" si="1773"/>
        <v>大祭司防御百分比</v>
      </c>
      <c r="H2286" s="17" t="str">
        <f t="shared" si="1773"/>
        <v>mushi01_Lv3</v>
      </c>
      <c r="I2286" s="20">
        <v>1.5</v>
      </c>
      <c r="J2286" s="17">
        <v>20</v>
      </c>
      <c r="K2286" s="17">
        <v>0</v>
      </c>
      <c r="L2286" s="17">
        <v>0</v>
      </c>
      <c r="M2286" s="17" t="str">
        <f t="shared" si="1753"/>
        <v>1:12400:10</v>
      </c>
      <c r="N2286" s="16" t="str">
        <f t="shared" si="1747"/>
        <v>10049:1</v>
      </c>
      <c r="O2286" s="17">
        <f t="shared" si="1749"/>
        <v>8</v>
      </c>
      <c r="P2286" s="21" t="s">
        <v>4982</v>
      </c>
      <c r="Q2286" s="21"/>
      <c r="R2286" t="s">
        <v>4963</v>
      </c>
      <c r="T2286" t="str">
        <f t="shared" si="1754"/>
        <v>:1</v>
      </c>
      <c r="U2286" t="str">
        <f t="shared" si="1740"/>
        <v>司防</v>
      </c>
      <c r="V2286" t="s">
        <v>4960</v>
      </c>
      <c r="W2286">
        <f>属性类型!G2286</f>
        <v>10049</v>
      </c>
      <c r="X2286">
        <v>1</v>
      </c>
    </row>
    <row r="2287" customFormat="1" ht="16.5" spans="1:24">
      <c r="A2287" s="18">
        <f>A2266+100</f>
        <v>52800</v>
      </c>
      <c r="B2287" s="18">
        <f t="shared" ref="B2287:B2350" si="1774">ROUND(A2287,-2)</f>
        <v>52800</v>
      </c>
      <c r="C2287" s="18" t="str">
        <f t="shared" si="1738"/>
        <v>5</v>
      </c>
      <c r="D2287" s="17">
        <f t="shared" si="1737"/>
        <v>50003</v>
      </c>
      <c r="E2287" s="17">
        <v>2</v>
      </c>
      <c r="F2287" s="18">
        <f t="shared" si="1748"/>
        <v>3</v>
      </c>
      <c r="G2287" s="18" t="s">
        <v>4983</v>
      </c>
      <c r="H2287" s="18" t="s">
        <v>4961</v>
      </c>
      <c r="I2287" s="20">
        <v>1.5</v>
      </c>
      <c r="J2287" s="18">
        <v>0</v>
      </c>
      <c r="K2287" s="18">
        <f t="shared" ref="K2287:K2306" si="1775">A2288</f>
        <v>52801</v>
      </c>
      <c r="L2287" s="18" t="s">
        <v>206</v>
      </c>
      <c r="M2287" s="18" t="s">
        <v>741</v>
      </c>
      <c r="N2287" s="16" t="str">
        <f t="shared" si="1747"/>
        <v>10050:1</v>
      </c>
      <c r="O2287" s="18">
        <f t="shared" si="1749"/>
        <v>9</v>
      </c>
      <c r="P2287" s="21" t="s">
        <v>4984</v>
      </c>
      <c r="Q2287" s="21"/>
      <c r="R2287" t="s">
        <v>4963</v>
      </c>
      <c r="T2287" t="str">
        <f>RIGHT(N2287,1)</f>
        <v>1</v>
      </c>
      <c r="U2287" t="str">
        <f t="shared" si="1740"/>
        <v>司攻</v>
      </c>
      <c r="V2287" t="s">
        <v>4983</v>
      </c>
      <c r="W2287">
        <f>属性类型!G2287</f>
        <v>10050</v>
      </c>
      <c r="X2287">
        <v>1</v>
      </c>
    </row>
    <row r="2288" customFormat="1" ht="16.5" spans="1:24">
      <c r="A2288" s="17">
        <f t="shared" ref="A2288:A2307" si="1776">A2287+1</f>
        <v>52801</v>
      </c>
      <c r="B2288" s="17">
        <f t="shared" si="1774"/>
        <v>52800</v>
      </c>
      <c r="C2288" s="17" t="str">
        <f t="shared" si="1738"/>
        <v>5</v>
      </c>
      <c r="D2288" s="17">
        <f t="shared" si="1737"/>
        <v>50003</v>
      </c>
      <c r="E2288" s="17">
        <f t="shared" ref="E2288:H2288" si="1777">E2287</f>
        <v>2</v>
      </c>
      <c r="F2288" s="17">
        <f t="shared" si="1748"/>
        <v>3</v>
      </c>
      <c r="G2288" s="17" t="str">
        <f t="shared" si="1777"/>
        <v>大祭司攻击百分比</v>
      </c>
      <c r="H2288" s="17" t="str">
        <f t="shared" si="1777"/>
        <v>mushi01_Lv3</v>
      </c>
      <c r="I2288" s="20">
        <v>1.5</v>
      </c>
      <c r="J2288" s="17">
        <v>1</v>
      </c>
      <c r="K2288" s="17">
        <f t="shared" si="1775"/>
        <v>52802</v>
      </c>
      <c r="L2288" s="17" t="s">
        <v>211</v>
      </c>
      <c r="M2288" s="17" t="str">
        <f t="shared" ref="M2288:M2307" si="1778">M2287</f>
        <v>1:12500:10</v>
      </c>
      <c r="N2288" s="16" t="str">
        <f t="shared" si="1747"/>
        <v>10050:1</v>
      </c>
      <c r="O2288" s="17">
        <f t="shared" si="1749"/>
        <v>9</v>
      </c>
      <c r="P2288" s="21" t="s">
        <v>4985</v>
      </c>
      <c r="Q2288" s="21"/>
      <c r="R2288" t="s">
        <v>4963</v>
      </c>
      <c r="T2288" t="str">
        <f t="shared" ref="T2288:T2307" si="1779">RIGHT(N2288,2)</f>
        <v>:1</v>
      </c>
      <c r="U2288" t="str">
        <f t="shared" si="1740"/>
        <v>司攻</v>
      </c>
      <c r="V2288" t="s">
        <v>4983</v>
      </c>
      <c r="W2288">
        <f>属性类型!G2288</f>
        <v>10050</v>
      </c>
      <c r="X2288">
        <v>1</v>
      </c>
    </row>
    <row r="2289" customFormat="1" ht="16.5" spans="1:24">
      <c r="A2289" s="17">
        <f t="shared" si="1776"/>
        <v>52802</v>
      </c>
      <c r="B2289" s="17">
        <f t="shared" si="1774"/>
        <v>52800</v>
      </c>
      <c r="C2289" s="17" t="str">
        <f t="shared" si="1738"/>
        <v>5</v>
      </c>
      <c r="D2289" s="17">
        <f t="shared" si="1737"/>
        <v>50003</v>
      </c>
      <c r="E2289" s="17">
        <f t="shared" ref="E2289:H2289" si="1780">E2288</f>
        <v>2</v>
      </c>
      <c r="F2289" s="17">
        <f t="shared" si="1748"/>
        <v>3</v>
      </c>
      <c r="G2289" s="17" t="str">
        <f t="shared" si="1780"/>
        <v>大祭司攻击百分比</v>
      </c>
      <c r="H2289" s="17" t="str">
        <f t="shared" si="1780"/>
        <v>mushi01_Lv3</v>
      </c>
      <c r="I2289" s="20">
        <v>1.5</v>
      </c>
      <c r="J2289" s="17">
        <v>2</v>
      </c>
      <c r="K2289" s="17">
        <f t="shared" si="1775"/>
        <v>52803</v>
      </c>
      <c r="L2289" s="17" t="s">
        <v>215</v>
      </c>
      <c r="M2289" s="17" t="str">
        <f t="shared" si="1778"/>
        <v>1:12500:10</v>
      </c>
      <c r="N2289" s="16" t="str">
        <f t="shared" si="1747"/>
        <v>10050:1</v>
      </c>
      <c r="O2289" s="17">
        <f t="shared" si="1749"/>
        <v>9</v>
      </c>
      <c r="P2289" s="21" t="s">
        <v>4986</v>
      </c>
      <c r="Q2289" s="21"/>
      <c r="R2289" t="s">
        <v>4963</v>
      </c>
      <c r="T2289" t="str">
        <f t="shared" si="1779"/>
        <v>:1</v>
      </c>
      <c r="U2289" t="str">
        <f t="shared" si="1740"/>
        <v>司攻</v>
      </c>
      <c r="V2289" t="s">
        <v>4983</v>
      </c>
      <c r="W2289">
        <f>属性类型!G2289</f>
        <v>10050</v>
      </c>
      <c r="X2289">
        <v>1</v>
      </c>
    </row>
    <row r="2290" customFormat="1" ht="16.5" spans="1:24">
      <c r="A2290" s="17">
        <f t="shared" si="1776"/>
        <v>52803</v>
      </c>
      <c r="B2290" s="17">
        <f t="shared" si="1774"/>
        <v>52800</v>
      </c>
      <c r="C2290" s="17" t="str">
        <f t="shared" si="1738"/>
        <v>5</v>
      </c>
      <c r="D2290" s="17">
        <f t="shared" si="1737"/>
        <v>50003</v>
      </c>
      <c r="E2290" s="17">
        <f t="shared" ref="E2290:H2290" si="1781">E2289</f>
        <v>2</v>
      </c>
      <c r="F2290" s="17">
        <f t="shared" si="1748"/>
        <v>3</v>
      </c>
      <c r="G2290" s="17" t="str">
        <f t="shared" si="1781"/>
        <v>大祭司攻击百分比</v>
      </c>
      <c r="H2290" s="17" t="str">
        <f t="shared" si="1781"/>
        <v>mushi01_Lv3</v>
      </c>
      <c r="I2290" s="20">
        <v>1.5</v>
      </c>
      <c r="J2290" s="17">
        <v>3</v>
      </c>
      <c r="K2290" s="17">
        <f t="shared" si="1775"/>
        <v>52804</v>
      </c>
      <c r="L2290" s="17" t="s">
        <v>218</v>
      </c>
      <c r="M2290" s="17" t="str">
        <f t="shared" si="1778"/>
        <v>1:12500:10</v>
      </c>
      <c r="N2290" s="16" t="str">
        <f t="shared" si="1747"/>
        <v>10050:1</v>
      </c>
      <c r="O2290" s="17">
        <f t="shared" si="1749"/>
        <v>9</v>
      </c>
      <c r="P2290" s="21" t="s">
        <v>4987</v>
      </c>
      <c r="Q2290" s="21"/>
      <c r="R2290" t="s">
        <v>4963</v>
      </c>
      <c r="T2290" t="str">
        <f t="shared" si="1779"/>
        <v>:1</v>
      </c>
      <c r="U2290" t="str">
        <f t="shared" si="1740"/>
        <v>司攻</v>
      </c>
      <c r="V2290" t="s">
        <v>4983</v>
      </c>
      <c r="W2290">
        <f>属性类型!G2290</f>
        <v>10050</v>
      </c>
      <c r="X2290">
        <v>1</v>
      </c>
    </row>
    <row r="2291" customFormat="1" ht="16.5" spans="1:24">
      <c r="A2291" s="17">
        <f t="shared" si="1776"/>
        <v>52804</v>
      </c>
      <c r="B2291" s="17">
        <f t="shared" si="1774"/>
        <v>52800</v>
      </c>
      <c r="C2291" s="17" t="str">
        <f t="shared" si="1738"/>
        <v>5</v>
      </c>
      <c r="D2291" s="17">
        <f t="shared" si="1737"/>
        <v>50003</v>
      </c>
      <c r="E2291" s="17">
        <f t="shared" ref="E2291:H2291" si="1782">E2290</f>
        <v>2</v>
      </c>
      <c r="F2291" s="17">
        <f t="shared" si="1748"/>
        <v>3</v>
      </c>
      <c r="G2291" s="17" t="str">
        <f t="shared" si="1782"/>
        <v>大祭司攻击百分比</v>
      </c>
      <c r="H2291" s="17" t="str">
        <f t="shared" si="1782"/>
        <v>mushi01_Lv3</v>
      </c>
      <c r="I2291" s="20">
        <v>1.5</v>
      </c>
      <c r="J2291" s="17">
        <v>4</v>
      </c>
      <c r="K2291" s="17">
        <f t="shared" si="1775"/>
        <v>52805</v>
      </c>
      <c r="L2291" s="17" t="s">
        <v>221</v>
      </c>
      <c r="M2291" s="17" t="str">
        <f t="shared" si="1778"/>
        <v>1:12500:10</v>
      </c>
      <c r="N2291" s="16" t="str">
        <f t="shared" si="1747"/>
        <v>10050:1</v>
      </c>
      <c r="O2291" s="17">
        <f t="shared" si="1749"/>
        <v>9</v>
      </c>
      <c r="P2291" s="21" t="s">
        <v>4988</v>
      </c>
      <c r="Q2291" s="21"/>
      <c r="R2291" t="s">
        <v>4963</v>
      </c>
      <c r="T2291" t="str">
        <f t="shared" si="1779"/>
        <v>:1</v>
      </c>
      <c r="U2291" t="str">
        <f t="shared" si="1740"/>
        <v>司攻</v>
      </c>
      <c r="V2291" t="s">
        <v>4983</v>
      </c>
      <c r="W2291">
        <f>属性类型!G2291</f>
        <v>10050</v>
      </c>
      <c r="X2291">
        <v>1</v>
      </c>
    </row>
    <row r="2292" customFormat="1" ht="16.5" spans="1:24">
      <c r="A2292" s="17">
        <f t="shared" si="1776"/>
        <v>52805</v>
      </c>
      <c r="B2292" s="17">
        <f t="shared" si="1774"/>
        <v>52800</v>
      </c>
      <c r="C2292" s="17" t="str">
        <f t="shared" si="1738"/>
        <v>5</v>
      </c>
      <c r="D2292" s="17">
        <f t="shared" si="1737"/>
        <v>50003</v>
      </c>
      <c r="E2292" s="17">
        <f t="shared" ref="E2292:H2292" si="1783">E2291</f>
        <v>2</v>
      </c>
      <c r="F2292" s="17">
        <f t="shared" si="1748"/>
        <v>3</v>
      </c>
      <c r="G2292" s="17" t="str">
        <f t="shared" si="1783"/>
        <v>大祭司攻击百分比</v>
      </c>
      <c r="H2292" s="17" t="str">
        <f t="shared" si="1783"/>
        <v>mushi01_Lv3</v>
      </c>
      <c r="I2292" s="20">
        <v>1.5</v>
      </c>
      <c r="J2292" s="17">
        <v>5</v>
      </c>
      <c r="K2292" s="17">
        <f t="shared" si="1775"/>
        <v>52806</v>
      </c>
      <c r="L2292" s="17" t="s">
        <v>224</v>
      </c>
      <c r="M2292" s="17" t="str">
        <f t="shared" si="1778"/>
        <v>1:12500:10</v>
      </c>
      <c r="N2292" s="16" t="str">
        <f t="shared" si="1747"/>
        <v>10050:1</v>
      </c>
      <c r="O2292" s="17">
        <f t="shared" si="1749"/>
        <v>9</v>
      </c>
      <c r="P2292" s="21" t="s">
        <v>4989</v>
      </c>
      <c r="Q2292" s="21"/>
      <c r="R2292" t="s">
        <v>4963</v>
      </c>
      <c r="T2292" t="str">
        <f t="shared" si="1779"/>
        <v>:1</v>
      </c>
      <c r="U2292" t="str">
        <f t="shared" si="1740"/>
        <v>司攻</v>
      </c>
      <c r="V2292" t="s">
        <v>4983</v>
      </c>
      <c r="W2292">
        <f>属性类型!G2292</f>
        <v>10050</v>
      </c>
      <c r="X2292">
        <v>1</v>
      </c>
    </row>
    <row r="2293" customFormat="1" ht="16.5" spans="1:24">
      <c r="A2293" s="17">
        <f t="shared" si="1776"/>
        <v>52806</v>
      </c>
      <c r="B2293" s="17">
        <f t="shared" si="1774"/>
        <v>52800</v>
      </c>
      <c r="C2293" s="17" t="str">
        <f t="shared" si="1738"/>
        <v>5</v>
      </c>
      <c r="D2293" s="17">
        <f t="shared" si="1737"/>
        <v>50003</v>
      </c>
      <c r="E2293" s="17">
        <f t="shared" ref="E2293:H2293" si="1784">E2292</f>
        <v>2</v>
      </c>
      <c r="F2293" s="17">
        <f t="shared" si="1748"/>
        <v>3</v>
      </c>
      <c r="G2293" s="17" t="str">
        <f t="shared" si="1784"/>
        <v>大祭司攻击百分比</v>
      </c>
      <c r="H2293" s="17" t="str">
        <f t="shared" si="1784"/>
        <v>mushi01_Lv3</v>
      </c>
      <c r="I2293" s="20">
        <v>1.5</v>
      </c>
      <c r="J2293" s="17">
        <v>6</v>
      </c>
      <c r="K2293" s="17">
        <f t="shared" si="1775"/>
        <v>52807</v>
      </c>
      <c r="L2293" s="17" t="s">
        <v>227</v>
      </c>
      <c r="M2293" s="17" t="str">
        <f t="shared" si="1778"/>
        <v>1:12500:10</v>
      </c>
      <c r="N2293" s="16" t="str">
        <f t="shared" si="1747"/>
        <v>10050:1</v>
      </c>
      <c r="O2293" s="17">
        <f t="shared" si="1749"/>
        <v>9</v>
      </c>
      <c r="P2293" s="21" t="s">
        <v>4990</v>
      </c>
      <c r="Q2293" s="21"/>
      <c r="R2293" t="s">
        <v>4963</v>
      </c>
      <c r="T2293" t="str">
        <f t="shared" si="1779"/>
        <v>:1</v>
      </c>
      <c r="U2293" t="str">
        <f t="shared" si="1740"/>
        <v>司攻</v>
      </c>
      <c r="V2293" t="s">
        <v>4983</v>
      </c>
      <c r="W2293">
        <f>属性类型!G2293</f>
        <v>10050</v>
      </c>
      <c r="X2293">
        <v>1</v>
      </c>
    </row>
    <row r="2294" customFormat="1" ht="16.5" spans="1:24">
      <c r="A2294" s="17">
        <f t="shared" si="1776"/>
        <v>52807</v>
      </c>
      <c r="B2294" s="17">
        <f t="shared" si="1774"/>
        <v>52800</v>
      </c>
      <c r="C2294" s="17" t="str">
        <f t="shared" si="1738"/>
        <v>5</v>
      </c>
      <c r="D2294" s="17">
        <f t="shared" si="1737"/>
        <v>50003</v>
      </c>
      <c r="E2294" s="17">
        <f t="shared" ref="E2294:H2294" si="1785">E2293</f>
        <v>2</v>
      </c>
      <c r="F2294" s="17">
        <f t="shared" si="1748"/>
        <v>3</v>
      </c>
      <c r="G2294" s="17" t="str">
        <f t="shared" si="1785"/>
        <v>大祭司攻击百分比</v>
      </c>
      <c r="H2294" s="17" t="str">
        <f t="shared" si="1785"/>
        <v>mushi01_Lv3</v>
      </c>
      <c r="I2294" s="20">
        <v>1.5</v>
      </c>
      <c r="J2294" s="17">
        <v>7</v>
      </c>
      <c r="K2294" s="17">
        <f t="shared" si="1775"/>
        <v>52808</v>
      </c>
      <c r="L2294" s="17" t="s">
        <v>230</v>
      </c>
      <c r="M2294" s="17" t="str">
        <f t="shared" si="1778"/>
        <v>1:12500:10</v>
      </c>
      <c r="N2294" s="16" t="str">
        <f t="shared" si="1747"/>
        <v>10050:1</v>
      </c>
      <c r="O2294" s="17">
        <f t="shared" si="1749"/>
        <v>9</v>
      </c>
      <c r="P2294" s="21" t="s">
        <v>4991</v>
      </c>
      <c r="Q2294" s="21"/>
      <c r="R2294" t="s">
        <v>4963</v>
      </c>
      <c r="T2294" t="str">
        <f t="shared" si="1779"/>
        <v>:1</v>
      </c>
      <c r="U2294" t="str">
        <f t="shared" si="1740"/>
        <v>司攻</v>
      </c>
      <c r="V2294" t="s">
        <v>4983</v>
      </c>
      <c r="W2294">
        <f>属性类型!G2294</f>
        <v>10050</v>
      </c>
      <c r="X2294">
        <v>1</v>
      </c>
    </row>
    <row r="2295" customFormat="1" ht="16.5" spans="1:24">
      <c r="A2295" s="17">
        <f t="shared" si="1776"/>
        <v>52808</v>
      </c>
      <c r="B2295" s="17">
        <f t="shared" si="1774"/>
        <v>52800</v>
      </c>
      <c r="C2295" s="17" t="str">
        <f t="shared" si="1738"/>
        <v>5</v>
      </c>
      <c r="D2295" s="17">
        <f t="shared" ref="D2295:D2358" si="1786">$A$1864+F2295</f>
        <v>50003</v>
      </c>
      <c r="E2295" s="17">
        <f t="shared" ref="E2295:H2295" si="1787">E2294</f>
        <v>2</v>
      </c>
      <c r="F2295" s="17">
        <f t="shared" si="1748"/>
        <v>3</v>
      </c>
      <c r="G2295" s="17" t="str">
        <f t="shared" si="1787"/>
        <v>大祭司攻击百分比</v>
      </c>
      <c r="H2295" s="17" t="str">
        <f t="shared" si="1787"/>
        <v>mushi01_Lv3</v>
      </c>
      <c r="I2295" s="20">
        <v>1.5</v>
      </c>
      <c r="J2295" s="17">
        <v>8</v>
      </c>
      <c r="K2295" s="17">
        <f t="shared" si="1775"/>
        <v>52809</v>
      </c>
      <c r="L2295" s="17" t="s">
        <v>233</v>
      </c>
      <c r="M2295" s="17" t="str">
        <f t="shared" si="1778"/>
        <v>1:12500:10</v>
      </c>
      <c r="N2295" s="16" t="str">
        <f t="shared" si="1747"/>
        <v>10050:1</v>
      </c>
      <c r="O2295" s="17">
        <f t="shared" si="1749"/>
        <v>9</v>
      </c>
      <c r="P2295" s="21" t="s">
        <v>4992</v>
      </c>
      <c r="Q2295" s="21"/>
      <c r="R2295" t="s">
        <v>4963</v>
      </c>
      <c r="T2295" t="str">
        <f t="shared" si="1779"/>
        <v>:1</v>
      </c>
      <c r="U2295" t="str">
        <f t="shared" si="1740"/>
        <v>司攻</v>
      </c>
      <c r="V2295" t="s">
        <v>4983</v>
      </c>
      <c r="W2295">
        <f>属性类型!G2295</f>
        <v>10050</v>
      </c>
      <c r="X2295">
        <v>1</v>
      </c>
    </row>
    <row r="2296" customFormat="1" ht="16.5" spans="1:24">
      <c r="A2296" s="17">
        <f t="shared" si="1776"/>
        <v>52809</v>
      </c>
      <c r="B2296" s="17">
        <f t="shared" si="1774"/>
        <v>52800</v>
      </c>
      <c r="C2296" s="17" t="str">
        <f t="shared" si="1738"/>
        <v>5</v>
      </c>
      <c r="D2296" s="17">
        <f t="shared" si="1786"/>
        <v>50003</v>
      </c>
      <c r="E2296" s="17">
        <f t="shared" ref="E2296:H2296" si="1788">E2295</f>
        <v>2</v>
      </c>
      <c r="F2296" s="17">
        <f t="shared" si="1748"/>
        <v>3</v>
      </c>
      <c r="G2296" s="17" t="str">
        <f t="shared" si="1788"/>
        <v>大祭司攻击百分比</v>
      </c>
      <c r="H2296" s="17" t="str">
        <f t="shared" si="1788"/>
        <v>mushi01_Lv3</v>
      </c>
      <c r="I2296" s="20">
        <v>1.5</v>
      </c>
      <c r="J2296" s="17">
        <v>9</v>
      </c>
      <c r="K2296" s="17">
        <f t="shared" si="1775"/>
        <v>52810</v>
      </c>
      <c r="L2296" s="17" t="s">
        <v>236</v>
      </c>
      <c r="M2296" s="17" t="str">
        <f t="shared" si="1778"/>
        <v>1:12500:10</v>
      </c>
      <c r="N2296" s="16" t="str">
        <f t="shared" si="1747"/>
        <v>10050:1</v>
      </c>
      <c r="O2296" s="17">
        <f t="shared" si="1749"/>
        <v>9</v>
      </c>
      <c r="P2296" s="21" t="s">
        <v>4993</v>
      </c>
      <c r="Q2296" s="21"/>
      <c r="R2296" t="s">
        <v>4963</v>
      </c>
      <c r="T2296" t="str">
        <f t="shared" si="1779"/>
        <v>:1</v>
      </c>
      <c r="U2296" t="str">
        <f t="shared" si="1740"/>
        <v>司攻</v>
      </c>
      <c r="V2296" t="s">
        <v>4983</v>
      </c>
      <c r="W2296">
        <f>属性类型!G2296</f>
        <v>10050</v>
      </c>
      <c r="X2296">
        <v>1</v>
      </c>
    </row>
    <row r="2297" customFormat="1" ht="16.5" spans="1:24">
      <c r="A2297" s="17">
        <f t="shared" si="1776"/>
        <v>52810</v>
      </c>
      <c r="B2297" s="17">
        <f t="shared" si="1774"/>
        <v>52800</v>
      </c>
      <c r="C2297" s="17" t="str">
        <f t="shared" si="1738"/>
        <v>5</v>
      </c>
      <c r="D2297" s="17">
        <f t="shared" si="1786"/>
        <v>50003</v>
      </c>
      <c r="E2297" s="17">
        <f t="shared" ref="E2297:H2297" si="1789">E2296</f>
        <v>2</v>
      </c>
      <c r="F2297" s="17">
        <f t="shared" si="1748"/>
        <v>3</v>
      </c>
      <c r="G2297" s="17" t="str">
        <f t="shared" si="1789"/>
        <v>大祭司攻击百分比</v>
      </c>
      <c r="H2297" s="17" t="str">
        <f t="shared" si="1789"/>
        <v>mushi01_Lv3</v>
      </c>
      <c r="I2297" s="20">
        <v>1.5</v>
      </c>
      <c r="J2297" s="17">
        <v>10</v>
      </c>
      <c r="K2297" s="17">
        <f t="shared" si="1775"/>
        <v>52811</v>
      </c>
      <c r="L2297" s="17" t="s">
        <v>238</v>
      </c>
      <c r="M2297" s="17" t="str">
        <f t="shared" si="1778"/>
        <v>1:12500:10</v>
      </c>
      <c r="N2297" s="16" t="str">
        <f t="shared" si="1747"/>
        <v>10050:1</v>
      </c>
      <c r="O2297" s="17">
        <f t="shared" si="1749"/>
        <v>9</v>
      </c>
      <c r="P2297" s="21" t="s">
        <v>4994</v>
      </c>
      <c r="Q2297" s="21"/>
      <c r="R2297" t="s">
        <v>4963</v>
      </c>
      <c r="T2297" t="str">
        <f t="shared" si="1779"/>
        <v>:1</v>
      </c>
      <c r="U2297" t="str">
        <f t="shared" si="1740"/>
        <v>司攻</v>
      </c>
      <c r="V2297" t="s">
        <v>4983</v>
      </c>
      <c r="W2297">
        <f>属性类型!G2297</f>
        <v>10050</v>
      </c>
      <c r="X2297">
        <v>1</v>
      </c>
    </row>
    <row r="2298" customFormat="1" ht="16.5" spans="1:24">
      <c r="A2298" s="17">
        <f t="shared" si="1776"/>
        <v>52811</v>
      </c>
      <c r="B2298" s="17">
        <f t="shared" si="1774"/>
        <v>52800</v>
      </c>
      <c r="C2298" s="17" t="str">
        <f t="shared" si="1738"/>
        <v>5</v>
      </c>
      <c r="D2298" s="17">
        <f t="shared" si="1786"/>
        <v>50003</v>
      </c>
      <c r="E2298" s="17">
        <f t="shared" ref="E2298:H2298" si="1790">E2297</f>
        <v>2</v>
      </c>
      <c r="F2298" s="17">
        <f t="shared" si="1748"/>
        <v>3</v>
      </c>
      <c r="G2298" s="17" t="str">
        <f t="shared" si="1790"/>
        <v>大祭司攻击百分比</v>
      </c>
      <c r="H2298" s="17" t="str">
        <f t="shared" si="1790"/>
        <v>mushi01_Lv3</v>
      </c>
      <c r="I2298" s="20">
        <v>1.5</v>
      </c>
      <c r="J2298" s="17">
        <v>11</v>
      </c>
      <c r="K2298" s="17">
        <f t="shared" si="1775"/>
        <v>52812</v>
      </c>
      <c r="L2298" s="17" t="s">
        <v>529</v>
      </c>
      <c r="M2298" s="17" t="str">
        <f t="shared" si="1778"/>
        <v>1:12500:10</v>
      </c>
      <c r="N2298" s="16" t="str">
        <f t="shared" si="1747"/>
        <v>10050:1</v>
      </c>
      <c r="O2298" s="17">
        <f t="shared" si="1749"/>
        <v>9</v>
      </c>
      <c r="P2298" s="21" t="s">
        <v>4995</v>
      </c>
      <c r="Q2298" s="21"/>
      <c r="R2298" t="s">
        <v>4963</v>
      </c>
      <c r="T2298" t="str">
        <f t="shared" si="1779"/>
        <v>:1</v>
      </c>
      <c r="U2298" t="str">
        <f t="shared" si="1740"/>
        <v>司攻</v>
      </c>
      <c r="V2298" t="s">
        <v>4983</v>
      </c>
      <c r="W2298">
        <f>属性类型!G2298</f>
        <v>10050</v>
      </c>
      <c r="X2298">
        <v>1</v>
      </c>
    </row>
    <row r="2299" customFormat="1" ht="16.5" spans="1:24">
      <c r="A2299" s="17">
        <f t="shared" si="1776"/>
        <v>52812</v>
      </c>
      <c r="B2299" s="17">
        <f t="shared" si="1774"/>
        <v>52800</v>
      </c>
      <c r="C2299" s="17" t="str">
        <f t="shared" si="1738"/>
        <v>5</v>
      </c>
      <c r="D2299" s="17">
        <f t="shared" si="1786"/>
        <v>50003</v>
      </c>
      <c r="E2299" s="17">
        <f t="shared" ref="E2299:H2299" si="1791">E2298</f>
        <v>2</v>
      </c>
      <c r="F2299" s="17">
        <f t="shared" si="1748"/>
        <v>3</v>
      </c>
      <c r="G2299" s="17" t="str">
        <f t="shared" si="1791"/>
        <v>大祭司攻击百分比</v>
      </c>
      <c r="H2299" s="17" t="str">
        <f t="shared" si="1791"/>
        <v>mushi01_Lv3</v>
      </c>
      <c r="I2299" s="20">
        <v>1.5</v>
      </c>
      <c r="J2299" s="17">
        <v>12</v>
      </c>
      <c r="K2299" s="17">
        <f t="shared" si="1775"/>
        <v>52813</v>
      </c>
      <c r="L2299" s="17" t="s">
        <v>532</v>
      </c>
      <c r="M2299" s="17" t="str">
        <f t="shared" si="1778"/>
        <v>1:12500:10</v>
      </c>
      <c r="N2299" s="16" t="str">
        <f t="shared" si="1747"/>
        <v>10050:1</v>
      </c>
      <c r="O2299" s="17">
        <f t="shared" si="1749"/>
        <v>9</v>
      </c>
      <c r="P2299" s="21" t="s">
        <v>4996</v>
      </c>
      <c r="Q2299" s="21"/>
      <c r="R2299" t="s">
        <v>4963</v>
      </c>
      <c r="T2299" t="str">
        <f t="shared" si="1779"/>
        <v>:1</v>
      </c>
      <c r="U2299" t="str">
        <f t="shared" si="1740"/>
        <v>司攻</v>
      </c>
      <c r="V2299" t="s">
        <v>4983</v>
      </c>
      <c r="W2299">
        <f>属性类型!G2299</f>
        <v>10050</v>
      </c>
      <c r="X2299">
        <v>1</v>
      </c>
    </row>
    <row r="2300" customFormat="1" ht="16.5" spans="1:24">
      <c r="A2300" s="17">
        <f t="shared" si="1776"/>
        <v>52813</v>
      </c>
      <c r="B2300" s="17">
        <f t="shared" si="1774"/>
        <v>52800</v>
      </c>
      <c r="C2300" s="17" t="str">
        <f t="shared" si="1738"/>
        <v>5</v>
      </c>
      <c r="D2300" s="17">
        <f t="shared" si="1786"/>
        <v>50003</v>
      </c>
      <c r="E2300" s="17">
        <f t="shared" ref="E2300:H2300" si="1792">E2299</f>
        <v>2</v>
      </c>
      <c r="F2300" s="17">
        <f t="shared" si="1748"/>
        <v>3</v>
      </c>
      <c r="G2300" s="17" t="str">
        <f t="shared" si="1792"/>
        <v>大祭司攻击百分比</v>
      </c>
      <c r="H2300" s="17" t="str">
        <f t="shared" si="1792"/>
        <v>mushi01_Lv3</v>
      </c>
      <c r="I2300" s="20">
        <v>1.5</v>
      </c>
      <c r="J2300" s="17">
        <v>13</v>
      </c>
      <c r="K2300" s="17">
        <f t="shared" si="1775"/>
        <v>52814</v>
      </c>
      <c r="L2300" s="17" t="s">
        <v>561</v>
      </c>
      <c r="M2300" s="17" t="str">
        <f t="shared" si="1778"/>
        <v>1:12500:10</v>
      </c>
      <c r="N2300" s="16" t="str">
        <f t="shared" si="1747"/>
        <v>10050:1</v>
      </c>
      <c r="O2300" s="17">
        <f t="shared" si="1749"/>
        <v>9</v>
      </c>
      <c r="P2300" s="21" t="s">
        <v>4997</v>
      </c>
      <c r="Q2300" s="21"/>
      <c r="R2300" t="s">
        <v>4963</v>
      </c>
      <c r="T2300" t="str">
        <f t="shared" si="1779"/>
        <v>:1</v>
      </c>
      <c r="U2300" t="str">
        <f t="shared" si="1740"/>
        <v>司攻</v>
      </c>
      <c r="V2300" t="s">
        <v>4983</v>
      </c>
      <c r="W2300">
        <f>属性类型!G2300</f>
        <v>10050</v>
      </c>
      <c r="X2300">
        <v>1</v>
      </c>
    </row>
    <row r="2301" customFormat="1" ht="16.5" spans="1:24">
      <c r="A2301" s="17">
        <f t="shared" si="1776"/>
        <v>52814</v>
      </c>
      <c r="B2301" s="17">
        <f t="shared" si="1774"/>
        <v>52800</v>
      </c>
      <c r="C2301" s="17" t="str">
        <f t="shared" si="1738"/>
        <v>5</v>
      </c>
      <c r="D2301" s="17">
        <f t="shared" si="1786"/>
        <v>50003</v>
      </c>
      <c r="E2301" s="17">
        <f t="shared" ref="E2301:H2301" si="1793">E2300</f>
        <v>2</v>
      </c>
      <c r="F2301" s="17">
        <f t="shared" si="1748"/>
        <v>3</v>
      </c>
      <c r="G2301" s="17" t="str">
        <f t="shared" si="1793"/>
        <v>大祭司攻击百分比</v>
      </c>
      <c r="H2301" s="17" t="str">
        <f t="shared" si="1793"/>
        <v>mushi01_Lv3</v>
      </c>
      <c r="I2301" s="20">
        <v>1.5</v>
      </c>
      <c r="J2301" s="17">
        <v>14</v>
      </c>
      <c r="K2301" s="17">
        <f t="shared" si="1775"/>
        <v>52815</v>
      </c>
      <c r="L2301" s="17" t="s">
        <v>564</v>
      </c>
      <c r="M2301" s="17" t="str">
        <f t="shared" si="1778"/>
        <v>1:12500:10</v>
      </c>
      <c r="N2301" s="16" t="str">
        <f t="shared" si="1747"/>
        <v>10050:1</v>
      </c>
      <c r="O2301" s="17">
        <f t="shared" si="1749"/>
        <v>9</v>
      </c>
      <c r="P2301" s="21" t="s">
        <v>4998</v>
      </c>
      <c r="Q2301" s="21"/>
      <c r="R2301" t="s">
        <v>4963</v>
      </c>
      <c r="T2301" t="str">
        <f t="shared" si="1779"/>
        <v>:1</v>
      </c>
      <c r="U2301" t="str">
        <f t="shared" si="1740"/>
        <v>司攻</v>
      </c>
      <c r="V2301" t="s">
        <v>4983</v>
      </c>
      <c r="W2301">
        <f>属性类型!G2301</f>
        <v>10050</v>
      </c>
      <c r="X2301">
        <v>1</v>
      </c>
    </row>
    <row r="2302" customFormat="1" ht="16.5" spans="1:24">
      <c r="A2302" s="17">
        <f t="shared" si="1776"/>
        <v>52815</v>
      </c>
      <c r="B2302" s="17">
        <f t="shared" si="1774"/>
        <v>52800</v>
      </c>
      <c r="C2302" s="17" t="str">
        <f t="shared" si="1738"/>
        <v>5</v>
      </c>
      <c r="D2302" s="17">
        <f t="shared" si="1786"/>
        <v>50003</v>
      </c>
      <c r="E2302" s="17">
        <f t="shared" ref="E2302:H2302" si="1794">E2301</f>
        <v>2</v>
      </c>
      <c r="F2302" s="17">
        <f t="shared" si="1748"/>
        <v>3</v>
      </c>
      <c r="G2302" s="17" t="str">
        <f t="shared" si="1794"/>
        <v>大祭司攻击百分比</v>
      </c>
      <c r="H2302" s="17" t="str">
        <f t="shared" si="1794"/>
        <v>mushi01_Lv3</v>
      </c>
      <c r="I2302" s="20">
        <v>1.5</v>
      </c>
      <c r="J2302" s="17">
        <v>15</v>
      </c>
      <c r="K2302" s="17">
        <f t="shared" si="1775"/>
        <v>52816</v>
      </c>
      <c r="L2302" s="17" t="s">
        <v>630</v>
      </c>
      <c r="M2302" s="17" t="str">
        <f t="shared" si="1778"/>
        <v>1:12500:10</v>
      </c>
      <c r="N2302" s="16" t="str">
        <f t="shared" si="1747"/>
        <v>10050:1</v>
      </c>
      <c r="O2302" s="17">
        <f t="shared" si="1749"/>
        <v>9</v>
      </c>
      <c r="P2302" s="21" t="s">
        <v>4999</v>
      </c>
      <c r="Q2302" s="21"/>
      <c r="R2302" t="s">
        <v>4963</v>
      </c>
      <c r="T2302" t="str">
        <f t="shared" si="1779"/>
        <v>:1</v>
      </c>
      <c r="U2302" t="str">
        <f t="shared" si="1740"/>
        <v>司攻</v>
      </c>
      <c r="V2302" t="s">
        <v>4983</v>
      </c>
      <c r="W2302">
        <f>属性类型!G2302</f>
        <v>10050</v>
      </c>
      <c r="X2302">
        <v>1</v>
      </c>
    </row>
    <row r="2303" customFormat="1" ht="16.5" spans="1:24">
      <c r="A2303" s="17">
        <f t="shared" si="1776"/>
        <v>52816</v>
      </c>
      <c r="B2303" s="17">
        <f t="shared" si="1774"/>
        <v>52800</v>
      </c>
      <c r="C2303" s="17" t="str">
        <f t="shared" si="1738"/>
        <v>5</v>
      </c>
      <c r="D2303" s="17">
        <f t="shared" si="1786"/>
        <v>50003</v>
      </c>
      <c r="E2303" s="17">
        <f t="shared" ref="E2303:H2303" si="1795">E2302</f>
        <v>2</v>
      </c>
      <c r="F2303" s="17">
        <f t="shared" si="1748"/>
        <v>3</v>
      </c>
      <c r="G2303" s="17" t="str">
        <f t="shared" si="1795"/>
        <v>大祭司攻击百分比</v>
      </c>
      <c r="H2303" s="17" t="str">
        <f t="shared" si="1795"/>
        <v>mushi01_Lv3</v>
      </c>
      <c r="I2303" s="20">
        <v>1.5</v>
      </c>
      <c r="J2303" s="17">
        <v>16</v>
      </c>
      <c r="K2303" s="17">
        <f t="shared" si="1775"/>
        <v>52817</v>
      </c>
      <c r="L2303" s="17" t="s">
        <v>633</v>
      </c>
      <c r="M2303" s="17" t="str">
        <f t="shared" si="1778"/>
        <v>1:12500:10</v>
      </c>
      <c r="N2303" s="16" t="str">
        <f t="shared" si="1747"/>
        <v>10050:1</v>
      </c>
      <c r="O2303" s="17">
        <f t="shared" si="1749"/>
        <v>9</v>
      </c>
      <c r="P2303" s="21" t="s">
        <v>5000</v>
      </c>
      <c r="Q2303" s="21"/>
      <c r="R2303" t="s">
        <v>4963</v>
      </c>
      <c r="T2303" t="str">
        <f t="shared" si="1779"/>
        <v>:1</v>
      </c>
      <c r="U2303" t="str">
        <f t="shared" si="1740"/>
        <v>司攻</v>
      </c>
      <c r="V2303" t="s">
        <v>4983</v>
      </c>
      <c r="W2303">
        <f>属性类型!G2303</f>
        <v>10050</v>
      </c>
      <c r="X2303">
        <v>1</v>
      </c>
    </row>
    <row r="2304" customFormat="1" ht="16.5" spans="1:24">
      <c r="A2304" s="17">
        <f t="shared" si="1776"/>
        <v>52817</v>
      </c>
      <c r="B2304" s="17">
        <f t="shared" si="1774"/>
        <v>52800</v>
      </c>
      <c r="C2304" s="17" t="str">
        <f t="shared" si="1738"/>
        <v>5</v>
      </c>
      <c r="D2304" s="17">
        <f t="shared" si="1786"/>
        <v>50003</v>
      </c>
      <c r="E2304" s="17">
        <f t="shared" ref="E2304:H2304" si="1796">E2303</f>
        <v>2</v>
      </c>
      <c r="F2304" s="17">
        <f t="shared" si="1748"/>
        <v>3</v>
      </c>
      <c r="G2304" s="17" t="str">
        <f t="shared" si="1796"/>
        <v>大祭司攻击百分比</v>
      </c>
      <c r="H2304" s="17" t="str">
        <f t="shared" si="1796"/>
        <v>mushi01_Lv3</v>
      </c>
      <c r="I2304" s="20">
        <v>1.5</v>
      </c>
      <c r="J2304" s="17">
        <v>17</v>
      </c>
      <c r="K2304" s="17">
        <f t="shared" si="1775"/>
        <v>52818</v>
      </c>
      <c r="L2304" s="17" t="s">
        <v>637</v>
      </c>
      <c r="M2304" s="17" t="str">
        <f t="shared" si="1778"/>
        <v>1:12500:10</v>
      </c>
      <c r="N2304" s="16" t="str">
        <f t="shared" si="1747"/>
        <v>10050:1</v>
      </c>
      <c r="O2304" s="17">
        <f t="shared" si="1749"/>
        <v>9</v>
      </c>
      <c r="P2304" s="21" t="s">
        <v>5001</v>
      </c>
      <c r="Q2304" s="21"/>
      <c r="R2304" t="s">
        <v>4963</v>
      </c>
      <c r="T2304" t="str">
        <f t="shared" si="1779"/>
        <v>:1</v>
      </c>
      <c r="U2304" t="str">
        <f t="shared" si="1740"/>
        <v>司攻</v>
      </c>
      <c r="V2304" t="s">
        <v>4983</v>
      </c>
      <c r="W2304">
        <f>属性类型!G2304</f>
        <v>10050</v>
      </c>
      <c r="X2304">
        <v>1</v>
      </c>
    </row>
    <row r="2305" customFormat="1" ht="16.5" spans="1:24">
      <c r="A2305" s="17">
        <f t="shared" si="1776"/>
        <v>52818</v>
      </c>
      <c r="B2305" s="17">
        <f t="shared" si="1774"/>
        <v>52800</v>
      </c>
      <c r="C2305" s="17" t="str">
        <f t="shared" si="1738"/>
        <v>5</v>
      </c>
      <c r="D2305" s="17">
        <f t="shared" si="1786"/>
        <v>50003</v>
      </c>
      <c r="E2305" s="17">
        <f t="shared" ref="E2305:H2305" si="1797">E2304</f>
        <v>2</v>
      </c>
      <c r="F2305" s="17">
        <f t="shared" si="1748"/>
        <v>3</v>
      </c>
      <c r="G2305" s="17" t="str">
        <f t="shared" si="1797"/>
        <v>大祭司攻击百分比</v>
      </c>
      <c r="H2305" s="17" t="str">
        <f t="shared" si="1797"/>
        <v>mushi01_Lv3</v>
      </c>
      <c r="I2305" s="20">
        <v>1.5</v>
      </c>
      <c r="J2305" s="17">
        <v>18</v>
      </c>
      <c r="K2305" s="17">
        <f t="shared" si="1775"/>
        <v>52819</v>
      </c>
      <c r="L2305" s="17" t="s">
        <v>641</v>
      </c>
      <c r="M2305" s="17" t="str">
        <f t="shared" si="1778"/>
        <v>1:12500:10</v>
      </c>
      <c r="N2305" s="16" t="str">
        <f t="shared" si="1747"/>
        <v>10050:1</v>
      </c>
      <c r="O2305" s="17">
        <f t="shared" si="1749"/>
        <v>9</v>
      </c>
      <c r="P2305" s="21" t="s">
        <v>5002</v>
      </c>
      <c r="Q2305" s="21"/>
      <c r="R2305" t="s">
        <v>4963</v>
      </c>
      <c r="T2305" t="str">
        <f t="shared" si="1779"/>
        <v>:1</v>
      </c>
      <c r="U2305" t="str">
        <f t="shared" si="1740"/>
        <v>司攻</v>
      </c>
      <c r="V2305" t="s">
        <v>4983</v>
      </c>
      <c r="W2305">
        <f>属性类型!G2305</f>
        <v>10050</v>
      </c>
      <c r="X2305">
        <v>1</v>
      </c>
    </row>
    <row r="2306" customFormat="1" ht="16.5" spans="1:24">
      <c r="A2306" s="17">
        <f t="shared" si="1776"/>
        <v>52819</v>
      </c>
      <c r="B2306" s="17">
        <f t="shared" si="1774"/>
        <v>52800</v>
      </c>
      <c r="C2306" s="17" t="str">
        <f t="shared" si="1738"/>
        <v>5</v>
      </c>
      <c r="D2306" s="17">
        <f t="shared" si="1786"/>
        <v>50003</v>
      </c>
      <c r="E2306" s="17">
        <f t="shared" ref="E2306:H2306" si="1798">E2305</f>
        <v>2</v>
      </c>
      <c r="F2306" s="17">
        <f t="shared" si="1748"/>
        <v>3</v>
      </c>
      <c r="G2306" s="17" t="str">
        <f t="shared" si="1798"/>
        <v>大祭司攻击百分比</v>
      </c>
      <c r="H2306" s="17" t="str">
        <f t="shared" si="1798"/>
        <v>mushi01_Lv3</v>
      </c>
      <c r="I2306" s="20">
        <v>1.5</v>
      </c>
      <c r="J2306" s="17">
        <v>19</v>
      </c>
      <c r="K2306" s="17">
        <f t="shared" si="1775"/>
        <v>52820</v>
      </c>
      <c r="L2306" s="17" t="s">
        <v>645</v>
      </c>
      <c r="M2306" s="17" t="str">
        <f t="shared" si="1778"/>
        <v>1:12500:10</v>
      </c>
      <c r="N2306" s="16" t="str">
        <f t="shared" si="1747"/>
        <v>10050:1</v>
      </c>
      <c r="O2306" s="17">
        <f t="shared" si="1749"/>
        <v>9</v>
      </c>
      <c r="P2306" s="21" t="s">
        <v>5003</v>
      </c>
      <c r="Q2306" s="21"/>
      <c r="R2306" t="s">
        <v>4963</v>
      </c>
      <c r="T2306" t="str">
        <f t="shared" si="1779"/>
        <v>:1</v>
      </c>
      <c r="U2306" t="str">
        <f t="shared" si="1740"/>
        <v>司攻</v>
      </c>
      <c r="V2306" t="s">
        <v>4983</v>
      </c>
      <c r="W2306">
        <f>属性类型!G2306</f>
        <v>10050</v>
      </c>
      <c r="X2306">
        <v>1</v>
      </c>
    </row>
    <row r="2307" customFormat="1" ht="16.5" spans="1:24">
      <c r="A2307" s="17">
        <f t="shared" si="1776"/>
        <v>52820</v>
      </c>
      <c r="B2307" s="17">
        <f t="shared" si="1774"/>
        <v>52800</v>
      </c>
      <c r="C2307" s="17" t="str">
        <f t="shared" si="1738"/>
        <v>5</v>
      </c>
      <c r="D2307" s="17">
        <f t="shared" si="1786"/>
        <v>50003</v>
      </c>
      <c r="E2307" s="17">
        <f t="shared" ref="E2307:H2307" si="1799">E2306</f>
        <v>2</v>
      </c>
      <c r="F2307" s="17">
        <f t="shared" si="1748"/>
        <v>3</v>
      </c>
      <c r="G2307" s="17" t="str">
        <f t="shared" si="1799"/>
        <v>大祭司攻击百分比</v>
      </c>
      <c r="H2307" s="17" t="str">
        <f t="shared" si="1799"/>
        <v>mushi01_Lv3</v>
      </c>
      <c r="I2307" s="20">
        <v>1.5</v>
      </c>
      <c r="J2307" s="17">
        <v>20</v>
      </c>
      <c r="K2307" s="17">
        <v>0</v>
      </c>
      <c r="L2307" s="17">
        <v>0</v>
      </c>
      <c r="M2307" s="17" t="str">
        <f t="shared" si="1778"/>
        <v>1:12500:10</v>
      </c>
      <c r="N2307" s="16" t="str">
        <f t="shared" si="1747"/>
        <v>10050:1</v>
      </c>
      <c r="O2307" s="17">
        <f t="shared" si="1749"/>
        <v>9</v>
      </c>
      <c r="P2307" s="21" t="s">
        <v>5003</v>
      </c>
      <c r="Q2307" s="21"/>
      <c r="R2307" t="s">
        <v>4963</v>
      </c>
      <c r="T2307" t="str">
        <f t="shared" si="1779"/>
        <v>:1</v>
      </c>
      <c r="U2307" t="str">
        <f t="shared" si="1740"/>
        <v>司攻</v>
      </c>
      <c r="V2307" t="s">
        <v>4983</v>
      </c>
      <c r="W2307">
        <f>属性类型!G2307</f>
        <v>10050</v>
      </c>
      <c r="X2307">
        <v>1</v>
      </c>
    </row>
    <row r="2308" customFormat="1" ht="16.5" spans="1:24">
      <c r="A2308" s="18">
        <f>A2287+100</f>
        <v>52900</v>
      </c>
      <c r="B2308" s="18">
        <f t="shared" si="1774"/>
        <v>52900</v>
      </c>
      <c r="C2308" s="18" t="str">
        <f t="shared" ref="C2308:C2371" si="1800">LEFT(A2308,1)</f>
        <v>5</v>
      </c>
      <c r="D2308" s="17">
        <f t="shared" si="1786"/>
        <v>50003</v>
      </c>
      <c r="E2308" s="17">
        <v>2</v>
      </c>
      <c r="F2308" s="18">
        <f t="shared" si="1748"/>
        <v>3</v>
      </c>
      <c r="G2308" s="18" t="s">
        <v>5004</v>
      </c>
      <c r="H2308" s="18" t="s">
        <v>4961</v>
      </c>
      <c r="I2308" s="20">
        <v>1.5</v>
      </c>
      <c r="J2308" s="18">
        <v>0</v>
      </c>
      <c r="K2308" s="18">
        <f t="shared" ref="K2308:K2333" si="1801">A2309</f>
        <v>52901</v>
      </c>
      <c r="L2308" s="18" t="s">
        <v>206</v>
      </c>
      <c r="M2308" s="18" t="s">
        <v>773</v>
      </c>
      <c r="N2308" s="16" t="str">
        <f t="shared" si="1747"/>
        <v>10051:1</v>
      </c>
      <c r="O2308" s="18">
        <f t="shared" si="1749"/>
        <v>10</v>
      </c>
      <c r="P2308" s="21" t="s">
        <v>5005</v>
      </c>
      <c r="Q2308" s="21"/>
      <c r="R2308" t="s">
        <v>4963</v>
      </c>
      <c r="T2308" t="str">
        <f>RIGHT(N2308,1)</f>
        <v>1</v>
      </c>
      <c r="U2308" t="str">
        <f t="shared" si="1740"/>
        <v>司魔</v>
      </c>
      <c r="V2308" t="s">
        <v>5004</v>
      </c>
      <c r="W2308">
        <f>属性类型!G2308</f>
        <v>10051</v>
      </c>
      <c r="X2308">
        <v>1</v>
      </c>
    </row>
    <row r="2309" customFormat="1" ht="16.5" spans="1:24">
      <c r="A2309" s="17">
        <f t="shared" ref="A2309:A2328" si="1802">A2308+1</f>
        <v>52901</v>
      </c>
      <c r="B2309" s="17">
        <f t="shared" si="1774"/>
        <v>52900</v>
      </c>
      <c r="C2309" s="17" t="str">
        <f t="shared" si="1800"/>
        <v>5</v>
      </c>
      <c r="D2309" s="17">
        <f t="shared" si="1786"/>
        <v>50003</v>
      </c>
      <c r="E2309" s="17">
        <f t="shared" ref="E2309:H2309" si="1803">E2308</f>
        <v>2</v>
      </c>
      <c r="F2309" s="17">
        <f t="shared" si="1748"/>
        <v>3</v>
      </c>
      <c r="G2309" s="17" t="str">
        <f t="shared" si="1803"/>
        <v>大祭司魔防百分比</v>
      </c>
      <c r="H2309" s="17" t="str">
        <f t="shared" si="1803"/>
        <v>mushi01_Lv3</v>
      </c>
      <c r="I2309" s="20">
        <v>1.5</v>
      </c>
      <c r="J2309" s="17">
        <v>1</v>
      </c>
      <c r="K2309" s="17">
        <f t="shared" si="1801"/>
        <v>52902</v>
      </c>
      <c r="L2309" s="17" t="s">
        <v>211</v>
      </c>
      <c r="M2309" s="17" t="str">
        <f t="shared" ref="M2309:M2328" si="1804">M2308</f>
        <v>1:12600:10</v>
      </c>
      <c r="N2309" s="16" t="str">
        <f t="shared" si="1747"/>
        <v>10051:1</v>
      </c>
      <c r="O2309" s="17">
        <f t="shared" si="1749"/>
        <v>10</v>
      </c>
      <c r="P2309" s="21" t="s">
        <v>5006</v>
      </c>
      <c r="Q2309" s="21"/>
      <c r="R2309" t="s">
        <v>4963</v>
      </c>
      <c r="T2309" t="str">
        <f t="shared" ref="T2309:T2352" si="1805">RIGHT(N2309,2)</f>
        <v>:1</v>
      </c>
      <c r="U2309" t="str">
        <f t="shared" ref="U2309:U2372" si="1806">MID(P2309,3,2)</f>
        <v>司魔</v>
      </c>
      <c r="V2309" t="s">
        <v>5004</v>
      </c>
      <c r="W2309">
        <f>属性类型!G2309</f>
        <v>10051</v>
      </c>
      <c r="X2309">
        <v>1</v>
      </c>
    </row>
    <row r="2310" customFormat="1" ht="16.5" spans="1:24">
      <c r="A2310" s="17">
        <f t="shared" si="1802"/>
        <v>52902</v>
      </c>
      <c r="B2310" s="17">
        <f t="shared" si="1774"/>
        <v>52900</v>
      </c>
      <c r="C2310" s="17" t="str">
        <f t="shared" si="1800"/>
        <v>5</v>
      </c>
      <c r="D2310" s="17">
        <f t="shared" si="1786"/>
        <v>50003</v>
      </c>
      <c r="E2310" s="17">
        <f t="shared" ref="E2310:H2310" si="1807">E2309</f>
        <v>2</v>
      </c>
      <c r="F2310" s="17">
        <f t="shared" si="1748"/>
        <v>3</v>
      </c>
      <c r="G2310" s="17" t="str">
        <f t="shared" si="1807"/>
        <v>大祭司魔防百分比</v>
      </c>
      <c r="H2310" s="17" t="str">
        <f t="shared" si="1807"/>
        <v>mushi01_Lv3</v>
      </c>
      <c r="I2310" s="20">
        <v>1.5</v>
      </c>
      <c r="J2310" s="17">
        <v>2</v>
      </c>
      <c r="K2310" s="17">
        <f t="shared" si="1801"/>
        <v>52903</v>
      </c>
      <c r="L2310" s="17" t="s">
        <v>215</v>
      </c>
      <c r="M2310" s="17" t="str">
        <f t="shared" si="1804"/>
        <v>1:12600:10</v>
      </c>
      <c r="N2310" s="16" t="str">
        <f t="shared" si="1747"/>
        <v>10051:1</v>
      </c>
      <c r="O2310" s="17">
        <f t="shared" si="1749"/>
        <v>10</v>
      </c>
      <c r="P2310" s="21" t="s">
        <v>5007</v>
      </c>
      <c r="Q2310" s="21"/>
      <c r="R2310" t="s">
        <v>4963</v>
      </c>
      <c r="T2310" t="str">
        <f t="shared" si="1805"/>
        <v>:1</v>
      </c>
      <c r="U2310" t="str">
        <f t="shared" si="1806"/>
        <v>司魔</v>
      </c>
      <c r="V2310" t="s">
        <v>5004</v>
      </c>
      <c r="W2310">
        <f>属性类型!G2310</f>
        <v>10051</v>
      </c>
      <c r="X2310">
        <v>1</v>
      </c>
    </row>
    <row r="2311" customFormat="1" ht="16.5" spans="1:24">
      <c r="A2311" s="17">
        <f t="shared" si="1802"/>
        <v>52903</v>
      </c>
      <c r="B2311" s="17">
        <f t="shared" si="1774"/>
        <v>52900</v>
      </c>
      <c r="C2311" s="17" t="str">
        <f t="shared" si="1800"/>
        <v>5</v>
      </c>
      <c r="D2311" s="17">
        <f t="shared" si="1786"/>
        <v>50003</v>
      </c>
      <c r="E2311" s="17">
        <f t="shared" ref="E2311:H2311" si="1808">E2310</f>
        <v>2</v>
      </c>
      <c r="F2311" s="17">
        <f t="shared" si="1748"/>
        <v>3</v>
      </c>
      <c r="G2311" s="17" t="str">
        <f t="shared" si="1808"/>
        <v>大祭司魔防百分比</v>
      </c>
      <c r="H2311" s="17" t="str">
        <f t="shared" si="1808"/>
        <v>mushi01_Lv3</v>
      </c>
      <c r="I2311" s="20">
        <v>1.5</v>
      </c>
      <c r="J2311" s="17">
        <v>3</v>
      </c>
      <c r="K2311" s="17">
        <f t="shared" si="1801"/>
        <v>52904</v>
      </c>
      <c r="L2311" s="17" t="s">
        <v>218</v>
      </c>
      <c r="M2311" s="17" t="str">
        <f t="shared" si="1804"/>
        <v>1:12600:10</v>
      </c>
      <c r="N2311" s="16" t="str">
        <f t="shared" si="1747"/>
        <v>10051:1</v>
      </c>
      <c r="O2311" s="17">
        <f t="shared" si="1749"/>
        <v>10</v>
      </c>
      <c r="P2311" s="21" t="s">
        <v>5008</v>
      </c>
      <c r="Q2311" s="21"/>
      <c r="R2311" t="s">
        <v>4963</v>
      </c>
      <c r="T2311" t="str">
        <f t="shared" si="1805"/>
        <v>:1</v>
      </c>
      <c r="U2311" t="str">
        <f t="shared" si="1806"/>
        <v>司魔</v>
      </c>
      <c r="V2311" t="s">
        <v>5004</v>
      </c>
      <c r="W2311">
        <f>属性类型!G2311</f>
        <v>10051</v>
      </c>
      <c r="X2311">
        <v>1</v>
      </c>
    </row>
    <row r="2312" customFormat="1" ht="16.5" spans="1:24">
      <c r="A2312" s="17">
        <f t="shared" si="1802"/>
        <v>52904</v>
      </c>
      <c r="B2312" s="17">
        <f t="shared" si="1774"/>
        <v>52900</v>
      </c>
      <c r="C2312" s="17" t="str">
        <f t="shared" si="1800"/>
        <v>5</v>
      </c>
      <c r="D2312" s="17">
        <f t="shared" si="1786"/>
        <v>50003</v>
      </c>
      <c r="E2312" s="17">
        <f t="shared" ref="E2312:H2312" si="1809">E2311</f>
        <v>2</v>
      </c>
      <c r="F2312" s="17">
        <f t="shared" si="1748"/>
        <v>3</v>
      </c>
      <c r="G2312" s="17" t="str">
        <f t="shared" si="1809"/>
        <v>大祭司魔防百分比</v>
      </c>
      <c r="H2312" s="17" t="str">
        <f t="shared" si="1809"/>
        <v>mushi01_Lv3</v>
      </c>
      <c r="I2312" s="20">
        <v>1.5</v>
      </c>
      <c r="J2312" s="17">
        <v>4</v>
      </c>
      <c r="K2312" s="17">
        <f t="shared" si="1801"/>
        <v>52905</v>
      </c>
      <c r="L2312" s="17" t="s">
        <v>221</v>
      </c>
      <c r="M2312" s="17" t="str">
        <f t="shared" si="1804"/>
        <v>1:12600:10</v>
      </c>
      <c r="N2312" s="16" t="str">
        <f t="shared" si="1747"/>
        <v>10051:1</v>
      </c>
      <c r="O2312" s="17">
        <f t="shared" si="1749"/>
        <v>10</v>
      </c>
      <c r="P2312" s="21" t="s">
        <v>5009</v>
      </c>
      <c r="Q2312" s="21"/>
      <c r="R2312" t="s">
        <v>4963</v>
      </c>
      <c r="T2312" t="str">
        <f t="shared" si="1805"/>
        <v>:1</v>
      </c>
      <c r="U2312" t="str">
        <f t="shared" si="1806"/>
        <v>司魔</v>
      </c>
      <c r="V2312" t="s">
        <v>5004</v>
      </c>
      <c r="W2312">
        <f>属性类型!G2312</f>
        <v>10051</v>
      </c>
      <c r="X2312">
        <v>1</v>
      </c>
    </row>
    <row r="2313" customFormat="1" ht="16.5" spans="1:24">
      <c r="A2313" s="17">
        <f t="shared" si="1802"/>
        <v>52905</v>
      </c>
      <c r="B2313" s="17">
        <f t="shared" si="1774"/>
        <v>52900</v>
      </c>
      <c r="C2313" s="17" t="str">
        <f t="shared" si="1800"/>
        <v>5</v>
      </c>
      <c r="D2313" s="17">
        <f t="shared" si="1786"/>
        <v>50003</v>
      </c>
      <c r="E2313" s="17">
        <f t="shared" ref="E2313:H2313" si="1810">E2312</f>
        <v>2</v>
      </c>
      <c r="F2313" s="17">
        <f t="shared" si="1748"/>
        <v>3</v>
      </c>
      <c r="G2313" s="17" t="str">
        <f t="shared" si="1810"/>
        <v>大祭司魔防百分比</v>
      </c>
      <c r="H2313" s="17" t="str">
        <f t="shared" si="1810"/>
        <v>mushi01_Lv3</v>
      </c>
      <c r="I2313" s="20">
        <v>1.5</v>
      </c>
      <c r="J2313" s="17">
        <v>5</v>
      </c>
      <c r="K2313" s="17">
        <f t="shared" si="1801"/>
        <v>52906</v>
      </c>
      <c r="L2313" s="17" t="s">
        <v>224</v>
      </c>
      <c r="M2313" s="17" t="str">
        <f t="shared" si="1804"/>
        <v>1:12600:10</v>
      </c>
      <c r="N2313" s="16" t="str">
        <f t="shared" si="1747"/>
        <v>10051:1</v>
      </c>
      <c r="O2313" s="17">
        <f t="shared" si="1749"/>
        <v>10</v>
      </c>
      <c r="P2313" s="21" t="s">
        <v>5010</v>
      </c>
      <c r="Q2313" s="21"/>
      <c r="R2313" t="s">
        <v>4963</v>
      </c>
      <c r="T2313" t="str">
        <f t="shared" si="1805"/>
        <v>:1</v>
      </c>
      <c r="U2313" t="str">
        <f t="shared" si="1806"/>
        <v>司魔</v>
      </c>
      <c r="V2313" t="s">
        <v>5004</v>
      </c>
      <c r="W2313">
        <f>属性类型!G2313</f>
        <v>10051</v>
      </c>
      <c r="X2313">
        <v>1</v>
      </c>
    </row>
    <row r="2314" customFormat="1" ht="16.5" spans="1:24">
      <c r="A2314" s="17">
        <f t="shared" si="1802"/>
        <v>52906</v>
      </c>
      <c r="B2314" s="17">
        <f t="shared" si="1774"/>
        <v>52900</v>
      </c>
      <c r="C2314" s="17" t="str">
        <f t="shared" si="1800"/>
        <v>5</v>
      </c>
      <c r="D2314" s="17">
        <f t="shared" si="1786"/>
        <v>50003</v>
      </c>
      <c r="E2314" s="17">
        <f t="shared" ref="E2314:H2314" si="1811">E2313</f>
        <v>2</v>
      </c>
      <c r="F2314" s="17">
        <f t="shared" si="1748"/>
        <v>3</v>
      </c>
      <c r="G2314" s="17" t="str">
        <f t="shared" si="1811"/>
        <v>大祭司魔防百分比</v>
      </c>
      <c r="H2314" s="17" t="str">
        <f t="shared" si="1811"/>
        <v>mushi01_Lv3</v>
      </c>
      <c r="I2314" s="20">
        <v>1.5</v>
      </c>
      <c r="J2314" s="17">
        <v>6</v>
      </c>
      <c r="K2314" s="17">
        <f t="shared" si="1801"/>
        <v>52907</v>
      </c>
      <c r="L2314" s="17" t="s">
        <v>227</v>
      </c>
      <c r="M2314" s="17" t="str">
        <f t="shared" si="1804"/>
        <v>1:12600:10</v>
      </c>
      <c r="N2314" s="16" t="str">
        <f t="shared" si="1747"/>
        <v>10051:1</v>
      </c>
      <c r="O2314" s="17">
        <f t="shared" si="1749"/>
        <v>10</v>
      </c>
      <c r="P2314" s="21" t="s">
        <v>5011</v>
      </c>
      <c r="Q2314" s="21"/>
      <c r="R2314" t="s">
        <v>4963</v>
      </c>
      <c r="T2314" t="str">
        <f t="shared" si="1805"/>
        <v>:1</v>
      </c>
      <c r="U2314" t="str">
        <f t="shared" si="1806"/>
        <v>司魔</v>
      </c>
      <c r="V2314" t="s">
        <v>5004</v>
      </c>
      <c r="W2314">
        <f>属性类型!G2314</f>
        <v>10051</v>
      </c>
      <c r="X2314">
        <v>1</v>
      </c>
    </row>
    <row r="2315" customFormat="1" ht="16.5" spans="1:24">
      <c r="A2315" s="17">
        <f t="shared" si="1802"/>
        <v>52907</v>
      </c>
      <c r="B2315" s="17">
        <f t="shared" si="1774"/>
        <v>52900</v>
      </c>
      <c r="C2315" s="17" t="str">
        <f t="shared" si="1800"/>
        <v>5</v>
      </c>
      <c r="D2315" s="17">
        <f t="shared" si="1786"/>
        <v>50003</v>
      </c>
      <c r="E2315" s="17">
        <f t="shared" ref="E2315:H2315" si="1812">E2314</f>
        <v>2</v>
      </c>
      <c r="F2315" s="17">
        <f t="shared" si="1748"/>
        <v>3</v>
      </c>
      <c r="G2315" s="17" t="str">
        <f t="shared" si="1812"/>
        <v>大祭司魔防百分比</v>
      </c>
      <c r="H2315" s="17" t="str">
        <f t="shared" si="1812"/>
        <v>mushi01_Lv3</v>
      </c>
      <c r="I2315" s="20">
        <v>1.5</v>
      </c>
      <c r="J2315" s="17">
        <v>7</v>
      </c>
      <c r="K2315" s="17">
        <f t="shared" si="1801"/>
        <v>52908</v>
      </c>
      <c r="L2315" s="17" t="s">
        <v>230</v>
      </c>
      <c r="M2315" s="17" t="str">
        <f t="shared" si="1804"/>
        <v>1:12600:10</v>
      </c>
      <c r="N2315" s="16" t="str">
        <f t="shared" ref="N2315:N2378" si="1813">W2315&amp;$W$2&amp;X2315</f>
        <v>10051:1</v>
      </c>
      <c r="O2315" s="17">
        <f t="shared" si="1749"/>
        <v>10</v>
      </c>
      <c r="P2315" s="21" t="s">
        <v>5012</v>
      </c>
      <c r="Q2315" s="21"/>
      <c r="R2315" t="s">
        <v>4963</v>
      </c>
      <c r="T2315" t="str">
        <f t="shared" si="1805"/>
        <v>:1</v>
      </c>
      <c r="U2315" t="str">
        <f t="shared" si="1806"/>
        <v>司魔</v>
      </c>
      <c r="V2315" t="s">
        <v>5004</v>
      </c>
      <c r="W2315">
        <f>属性类型!G2315</f>
        <v>10051</v>
      </c>
      <c r="X2315">
        <v>1</v>
      </c>
    </row>
    <row r="2316" customFormat="1" ht="16.5" spans="1:24">
      <c r="A2316" s="17">
        <f t="shared" si="1802"/>
        <v>52908</v>
      </c>
      <c r="B2316" s="17">
        <f t="shared" si="1774"/>
        <v>52900</v>
      </c>
      <c r="C2316" s="17" t="str">
        <f t="shared" si="1800"/>
        <v>5</v>
      </c>
      <c r="D2316" s="17">
        <f t="shared" si="1786"/>
        <v>50003</v>
      </c>
      <c r="E2316" s="17">
        <f t="shared" ref="E2316:H2316" si="1814">E2315</f>
        <v>2</v>
      </c>
      <c r="F2316" s="17">
        <f t="shared" si="1748"/>
        <v>3</v>
      </c>
      <c r="G2316" s="17" t="str">
        <f t="shared" si="1814"/>
        <v>大祭司魔防百分比</v>
      </c>
      <c r="H2316" s="17" t="str">
        <f t="shared" si="1814"/>
        <v>mushi01_Lv3</v>
      </c>
      <c r="I2316" s="20">
        <v>1.5</v>
      </c>
      <c r="J2316" s="17">
        <v>8</v>
      </c>
      <c r="K2316" s="17">
        <f t="shared" si="1801"/>
        <v>52909</v>
      </c>
      <c r="L2316" s="17" t="s">
        <v>233</v>
      </c>
      <c r="M2316" s="17" t="str">
        <f t="shared" si="1804"/>
        <v>1:12600:10</v>
      </c>
      <c r="N2316" s="16" t="str">
        <f t="shared" si="1813"/>
        <v>10051:1</v>
      </c>
      <c r="O2316" s="17">
        <f t="shared" si="1749"/>
        <v>10</v>
      </c>
      <c r="P2316" s="21" t="s">
        <v>5013</v>
      </c>
      <c r="Q2316" s="21"/>
      <c r="R2316" t="s">
        <v>4963</v>
      </c>
      <c r="T2316" t="str">
        <f t="shared" si="1805"/>
        <v>:1</v>
      </c>
      <c r="U2316" t="str">
        <f t="shared" si="1806"/>
        <v>司魔</v>
      </c>
      <c r="V2316" t="s">
        <v>5004</v>
      </c>
      <c r="W2316">
        <f>属性类型!G2316</f>
        <v>10051</v>
      </c>
      <c r="X2316">
        <v>1</v>
      </c>
    </row>
    <row r="2317" customFormat="1" ht="16.5" spans="1:24">
      <c r="A2317" s="17">
        <f t="shared" si="1802"/>
        <v>52909</v>
      </c>
      <c r="B2317" s="17">
        <f t="shared" si="1774"/>
        <v>52900</v>
      </c>
      <c r="C2317" s="17" t="str">
        <f t="shared" si="1800"/>
        <v>5</v>
      </c>
      <c r="D2317" s="17">
        <f t="shared" si="1786"/>
        <v>50003</v>
      </c>
      <c r="E2317" s="17">
        <f t="shared" ref="E2317:H2317" si="1815">E2316</f>
        <v>2</v>
      </c>
      <c r="F2317" s="17">
        <f t="shared" si="1748"/>
        <v>3</v>
      </c>
      <c r="G2317" s="17" t="str">
        <f t="shared" si="1815"/>
        <v>大祭司魔防百分比</v>
      </c>
      <c r="H2317" s="17" t="str">
        <f t="shared" si="1815"/>
        <v>mushi01_Lv3</v>
      </c>
      <c r="I2317" s="20">
        <v>1.5</v>
      </c>
      <c r="J2317" s="17">
        <v>9</v>
      </c>
      <c r="K2317" s="17">
        <f t="shared" si="1801"/>
        <v>52910</v>
      </c>
      <c r="L2317" s="17" t="s">
        <v>236</v>
      </c>
      <c r="M2317" s="17" t="str">
        <f t="shared" si="1804"/>
        <v>1:12600:10</v>
      </c>
      <c r="N2317" s="16" t="str">
        <f t="shared" si="1813"/>
        <v>10051:1</v>
      </c>
      <c r="O2317" s="17">
        <f t="shared" si="1749"/>
        <v>10</v>
      </c>
      <c r="P2317" s="21" t="s">
        <v>5014</v>
      </c>
      <c r="Q2317" s="21"/>
      <c r="R2317" t="s">
        <v>4963</v>
      </c>
      <c r="T2317" t="str">
        <f t="shared" si="1805"/>
        <v>:1</v>
      </c>
      <c r="U2317" t="str">
        <f t="shared" si="1806"/>
        <v>司魔</v>
      </c>
      <c r="V2317" t="s">
        <v>5004</v>
      </c>
      <c r="W2317">
        <f>属性类型!G2317</f>
        <v>10051</v>
      </c>
      <c r="X2317">
        <v>1</v>
      </c>
    </row>
    <row r="2318" customFormat="1" ht="16.5" spans="1:24">
      <c r="A2318" s="17">
        <f t="shared" si="1802"/>
        <v>52910</v>
      </c>
      <c r="B2318" s="17">
        <f t="shared" si="1774"/>
        <v>52900</v>
      </c>
      <c r="C2318" s="17" t="str">
        <f t="shared" si="1800"/>
        <v>5</v>
      </c>
      <c r="D2318" s="17">
        <f t="shared" si="1786"/>
        <v>50003</v>
      </c>
      <c r="E2318" s="17">
        <f t="shared" ref="E2318:H2318" si="1816">E2317</f>
        <v>2</v>
      </c>
      <c r="F2318" s="17">
        <f t="shared" si="1748"/>
        <v>3</v>
      </c>
      <c r="G2318" s="17" t="str">
        <f t="shared" si="1816"/>
        <v>大祭司魔防百分比</v>
      </c>
      <c r="H2318" s="17" t="str">
        <f t="shared" si="1816"/>
        <v>mushi01_Lv3</v>
      </c>
      <c r="I2318" s="20">
        <v>1.5</v>
      </c>
      <c r="J2318" s="17">
        <v>10</v>
      </c>
      <c r="K2318" s="17">
        <f t="shared" si="1801"/>
        <v>52911</v>
      </c>
      <c r="L2318" s="17" t="s">
        <v>238</v>
      </c>
      <c r="M2318" s="17" t="str">
        <f t="shared" si="1804"/>
        <v>1:12600:10</v>
      </c>
      <c r="N2318" s="16" t="str">
        <f t="shared" si="1813"/>
        <v>10051:1</v>
      </c>
      <c r="O2318" s="17">
        <f t="shared" si="1749"/>
        <v>10</v>
      </c>
      <c r="P2318" s="21" t="s">
        <v>5015</v>
      </c>
      <c r="Q2318" s="21"/>
      <c r="R2318" t="s">
        <v>4963</v>
      </c>
      <c r="T2318" t="str">
        <f t="shared" si="1805"/>
        <v>:1</v>
      </c>
      <c r="U2318" t="str">
        <f t="shared" si="1806"/>
        <v>司魔</v>
      </c>
      <c r="V2318" t="s">
        <v>5004</v>
      </c>
      <c r="W2318">
        <f>属性类型!G2318</f>
        <v>10051</v>
      </c>
      <c r="X2318">
        <v>1</v>
      </c>
    </row>
    <row r="2319" ht="16.5" spans="1:24">
      <c r="A2319" s="17">
        <f t="shared" si="1802"/>
        <v>52911</v>
      </c>
      <c r="B2319" s="17">
        <f t="shared" si="1774"/>
        <v>52900</v>
      </c>
      <c r="C2319" s="17" t="str">
        <f t="shared" si="1800"/>
        <v>5</v>
      </c>
      <c r="D2319" s="17">
        <f t="shared" si="1786"/>
        <v>50003</v>
      </c>
      <c r="E2319" s="17">
        <f t="shared" ref="E2319:H2319" si="1817">E2318</f>
        <v>2</v>
      </c>
      <c r="F2319" s="17">
        <f t="shared" si="1748"/>
        <v>3</v>
      </c>
      <c r="G2319" s="17" t="str">
        <f t="shared" si="1817"/>
        <v>大祭司魔防百分比</v>
      </c>
      <c r="H2319" s="17" t="str">
        <f t="shared" si="1817"/>
        <v>mushi01_Lv3</v>
      </c>
      <c r="I2319" s="20">
        <v>1.5</v>
      </c>
      <c r="J2319" s="17">
        <v>11</v>
      </c>
      <c r="K2319" s="17">
        <f t="shared" si="1801"/>
        <v>52912</v>
      </c>
      <c r="L2319" s="17" t="s">
        <v>529</v>
      </c>
      <c r="M2319" s="17" t="str">
        <f t="shared" si="1804"/>
        <v>1:12600:10</v>
      </c>
      <c r="N2319" s="16" t="str">
        <f t="shared" si="1813"/>
        <v>10051:1</v>
      </c>
      <c r="O2319" s="17">
        <f t="shared" si="1749"/>
        <v>10</v>
      </c>
      <c r="P2319" s="21" t="s">
        <v>5016</v>
      </c>
      <c r="Q2319" s="21"/>
      <c r="R2319" t="s">
        <v>4963</v>
      </c>
      <c r="T2319" t="str">
        <f t="shared" si="1805"/>
        <v>:1</v>
      </c>
      <c r="U2319" t="str">
        <f t="shared" si="1806"/>
        <v>司魔</v>
      </c>
      <c r="V2319" t="s">
        <v>5004</v>
      </c>
      <c r="W2319">
        <f>属性类型!G2319</f>
        <v>10051</v>
      </c>
      <c r="X2319">
        <v>1</v>
      </c>
    </row>
    <row r="2320" ht="16.5" spans="1:24">
      <c r="A2320" s="17">
        <f t="shared" si="1802"/>
        <v>52912</v>
      </c>
      <c r="B2320" s="17">
        <f t="shared" si="1774"/>
        <v>52900</v>
      </c>
      <c r="C2320" s="17" t="str">
        <f t="shared" si="1800"/>
        <v>5</v>
      </c>
      <c r="D2320" s="17">
        <f t="shared" si="1786"/>
        <v>50003</v>
      </c>
      <c r="E2320" s="17">
        <f t="shared" ref="E2320:H2320" si="1818">E2319</f>
        <v>2</v>
      </c>
      <c r="F2320" s="17">
        <f t="shared" ref="F2320:F2383" si="1819">MID(B2320,2,1)+1</f>
        <v>3</v>
      </c>
      <c r="G2320" s="17" t="str">
        <f t="shared" si="1818"/>
        <v>大祭司魔防百分比</v>
      </c>
      <c r="H2320" s="17" t="str">
        <f t="shared" si="1818"/>
        <v>mushi01_Lv3</v>
      </c>
      <c r="I2320" s="20">
        <v>1.5</v>
      </c>
      <c r="J2320" s="17">
        <v>12</v>
      </c>
      <c r="K2320" s="17">
        <f t="shared" si="1801"/>
        <v>52913</v>
      </c>
      <c r="L2320" s="17" t="s">
        <v>532</v>
      </c>
      <c r="M2320" s="17" t="str">
        <f t="shared" si="1804"/>
        <v>1:12600:10</v>
      </c>
      <c r="N2320" s="16" t="str">
        <f t="shared" si="1813"/>
        <v>10051:1</v>
      </c>
      <c r="O2320" s="17">
        <f t="shared" ref="O2320:O2383" si="1820">MID(A2320,3,1)+1</f>
        <v>10</v>
      </c>
      <c r="P2320" s="21" t="s">
        <v>5017</v>
      </c>
      <c r="Q2320" s="21"/>
      <c r="R2320" t="s">
        <v>4963</v>
      </c>
      <c r="T2320" t="str">
        <f t="shared" si="1805"/>
        <v>:1</v>
      </c>
      <c r="U2320" t="str">
        <f t="shared" si="1806"/>
        <v>司魔</v>
      </c>
      <c r="V2320" t="s">
        <v>5004</v>
      </c>
      <c r="W2320">
        <f>属性类型!G2320</f>
        <v>10051</v>
      </c>
      <c r="X2320">
        <v>1</v>
      </c>
    </row>
    <row r="2321" ht="16.5" spans="1:24">
      <c r="A2321" s="17">
        <f t="shared" si="1802"/>
        <v>52913</v>
      </c>
      <c r="B2321" s="17">
        <f t="shared" si="1774"/>
        <v>52900</v>
      </c>
      <c r="C2321" s="17" t="str">
        <f t="shared" si="1800"/>
        <v>5</v>
      </c>
      <c r="D2321" s="17">
        <f t="shared" si="1786"/>
        <v>50003</v>
      </c>
      <c r="E2321" s="17">
        <f t="shared" ref="E2321:H2321" si="1821">E2320</f>
        <v>2</v>
      </c>
      <c r="F2321" s="17">
        <f t="shared" si="1819"/>
        <v>3</v>
      </c>
      <c r="G2321" s="17" t="str">
        <f t="shared" si="1821"/>
        <v>大祭司魔防百分比</v>
      </c>
      <c r="H2321" s="17" t="str">
        <f t="shared" si="1821"/>
        <v>mushi01_Lv3</v>
      </c>
      <c r="I2321" s="20">
        <v>1.5</v>
      </c>
      <c r="J2321" s="17">
        <v>13</v>
      </c>
      <c r="K2321" s="17">
        <f t="shared" si="1801"/>
        <v>52914</v>
      </c>
      <c r="L2321" s="17" t="s">
        <v>561</v>
      </c>
      <c r="M2321" s="17" t="str">
        <f t="shared" si="1804"/>
        <v>1:12600:10</v>
      </c>
      <c r="N2321" s="16" t="str">
        <f t="shared" si="1813"/>
        <v>10051:1</v>
      </c>
      <c r="O2321" s="17">
        <f t="shared" si="1820"/>
        <v>10</v>
      </c>
      <c r="P2321" s="21" t="s">
        <v>5018</v>
      </c>
      <c r="Q2321" s="21"/>
      <c r="R2321" t="s">
        <v>4963</v>
      </c>
      <c r="T2321" t="str">
        <f t="shared" si="1805"/>
        <v>:1</v>
      </c>
      <c r="U2321" t="str">
        <f t="shared" si="1806"/>
        <v>司魔</v>
      </c>
      <c r="V2321" t="s">
        <v>5004</v>
      </c>
      <c r="W2321">
        <f>属性类型!G2321</f>
        <v>10051</v>
      </c>
      <c r="X2321">
        <v>1</v>
      </c>
    </row>
    <row r="2322" ht="16.5" spans="1:24">
      <c r="A2322" s="17">
        <f t="shared" si="1802"/>
        <v>52914</v>
      </c>
      <c r="B2322" s="17">
        <f t="shared" si="1774"/>
        <v>52900</v>
      </c>
      <c r="C2322" s="17" t="str">
        <f t="shared" si="1800"/>
        <v>5</v>
      </c>
      <c r="D2322" s="17">
        <f t="shared" si="1786"/>
        <v>50003</v>
      </c>
      <c r="E2322" s="17">
        <f t="shared" ref="E2322:H2322" si="1822">E2321</f>
        <v>2</v>
      </c>
      <c r="F2322" s="17">
        <f t="shared" si="1819"/>
        <v>3</v>
      </c>
      <c r="G2322" s="17" t="str">
        <f t="shared" si="1822"/>
        <v>大祭司魔防百分比</v>
      </c>
      <c r="H2322" s="17" t="str">
        <f t="shared" si="1822"/>
        <v>mushi01_Lv3</v>
      </c>
      <c r="I2322" s="20">
        <v>1.5</v>
      </c>
      <c r="J2322" s="17">
        <v>14</v>
      </c>
      <c r="K2322" s="17">
        <f t="shared" si="1801"/>
        <v>52915</v>
      </c>
      <c r="L2322" s="17" t="s">
        <v>564</v>
      </c>
      <c r="M2322" s="17" t="str">
        <f t="shared" si="1804"/>
        <v>1:12600:10</v>
      </c>
      <c r="N2322" s="16" t="str">
        <f t="shared" si="1813"/>
        <v>10051:1</v>
      </c>
      <c r="O2322" s="17">
        <f t="shared" si="1820"/>
        <v>10</v>
      </c>
      <c r="P2322" s="21" t="s">
        <v>5019</v>
      </c>
      <c r="Q2322" s="21"/>
      <c r="R2322" t="s">
        <v>4963</v>
      </c>
      <c r="T2322" t="str">
        <f t="shared" si="1805"/>
        <v>:1</v>
      </c>
      <c r="U2322" t="str">
        <f t="shared" si="1806"/>
        <v>司魔</v>
      </c>
      <c r="V2322" t="s">
        <v>5004</v>
      </c>
      <c r="W2322">
        <f>属性类型!G2322</f>
        <v>10051</v>
      </c>
      <c r="X2322">
        <v>1</v>
      </c>
    </row>
    <row r="2323" ht="16.5" spans="1:24">
      <c r="A2323" s="17">
        <f t="shared" si="1802"/>
        <v>52915</v>
      </c>
      <c r="B2323" s="17">
        <f t="shared" si="1774"/>
        <v>52900</v>
      </c>
      <c r="C2323" s="17" t="str">
        <f t="shared" si="1800"/>
        <v>5</v>
      </c>
      <c r="D2323" s="17">
        <f t="shared" si="1786"/>
        <v>50003</v>
      </c>
      <c r="E2323" s="17">
        <f t="shared" ref="E2323:H2323" si="1823">E2322</f>
        <v>2</v>
      </c>
      <c r="F2323" s="17">
        <f t="shared" si="1819"/>
        <v>3</v>
      </c>
      <c r="G2323" s="17" t="str">
        <f t="shared" si="1823"/>
        <v>大祭司魔防百分比</v>
      </c>
      <c r="H2323" s="17" t="str">
        <f t="shared" si="1823"/>
        <v>mushi01_Lv3</v>
      </c>
      <c r="I2323" s="20">
        <v>1.5</v>
      </c>
      <c r="J2323" s="17">
        <v>15</v>
      </c>
      <c r="K2323" s="17">
        <f t="shared" si="1801"/>
        <v>52916</v>
      </c>
      <c r="L2323" s="17" t="s">
        <v>630</v>
      </c>
      <c r="M2323" s="17" t="str">
        <f t="shared" si="1804"/>
        <v>1:12600:10</v>
      </c>
      <c r="N2323" s="16" t="str">
        <f t="shared" si="1813"/>
        <v>10051:1</v>
      </c>
      <c r="O2323" s="17">
        <f t="shared" si="1820"/>
        <v>10</v>
      </c>
      <c r="P2323" s="21" t="s">
        <v>5020</v>
      </c>
      <c r="Q2323" s="21"/>
      <c r="R2323" t="s">
        <v>4963</v>
      </c>
      <c r="T2323" t="str">
        <f t="shared" si="1805"/>
        <v>:1</v>
      </c>
      <c r="U2323" t="str">
        <f t="shared" si="1806"/>
        <v>司魔</v>
      </c>
      <c r="V2323" t="s">
        <v>5004</v>
      </c>
      <c r="W2323">
        <f>属性类型!G2323</f>
        <v>10051</v>
      </c>
      <c r="X2323">
        <v>1</v>
      </c>
    </row>
    <row r="2324" ht="16.5" spans="1:24">
      <c r="A2324" s="17">
        <f t="shared" si="1802"/>
        <v>52916</v>
      </c>
      <c r="B2324" s="17">
        <f t="shared" si="1774"/>
        <v>52900</v>
      </c>
      <c r="C2324" s="17" t="str">
        <f t="shared" si="1800"/>
        <v>5</v>
      </c>
      <c r="D2324" s="17">
        <f t="shared" si="1786"/>
        <v>50003</v>
      </c>
      <c r="E2324" s="17">
        <f t="shared" ref="E2324:H2324" si="1824">E2323</f>
        <v>2</v>
      </c>
      <c r="F2324" s="17">
        <f t="shared" si="1819"/>
        <v>3</v>
      </c>
      <c r="G2324" s="17" t="str">
        <f t="shared" si="1824"/>
        <v>大祭司魔防百分比</v>
      </c>
      <c r="H2324" s="17" t="str">
        <f t="shared" si="1824"/>
        <v>mushi01_Lv3</v>
      </c>
      <c r="I2324" s="20">
        <v>1.5</v>
      </c>
      <c r="J2324" s="17">
        <v>16</v>
      </c>
      <c r="K2324" s="17">
        <f t="shared" si="1801"/>
        <v>52917</v>
      </c>
      <c r="L2324" s="17" t="s">
        <v>633</v>
      </c>
      <c r="M2324" s="17" t="str">
        <f t="shared" si="1804"/>
        <v>1:12600:10</v>
      </c>
      <c r="N2324" s="16" t="str">
        <f t="shared" si="1813"/>
        <v>10051:1</v>
      </c>
      <c r="O2324" s="17">
        <f t="shared" si="1820"/>
        <v>10</v>
      </c>
      <c r="P2324" s="21" t="s">
        <v>5021</v>
      </c>
      <c r="Q2324" s="21"/>
      <c r="R2324" t="s">
        <v>4963</v>
      </c>
      <c r="T2324" t="str">
        <f t="shared" si="1805"/>
        <v>:1</v>
      </c>
      <c r="U2324" t="str">
        <f t="shared" si="1806"/>
        <v>司魔</v>
      </c>
      <c r="V2324" t="s">
        <v>5004</v>
      </c>
      <c r="W2324">
        <f>属性类型!G2324</f>
        <v>10051</v>
      </c>
      <c r="X2324">
        <v>1</v>
      </c>
    </row>
    <row r="2325" ht="16.5" spans="1:24">
      <c r="A2325" s="17">
        <f t="shared" si="1802"/>
        <v>52917</v>
      </c>
      <c r="B2325" s="17">
        <f t="shared" si="1774"/>
        <v>52900</v>
      </c>
      <c r="C2325" s="17" t="str">
        <f t="shared" si="1800"/>
        <v>5</v>
      </c>
      <c r="D2325" s="17">
        <f t="shared" si="1786"/>
        <v>50003</v>
      </c>
      <c r="E2325" s="17">
        <f t="shared" ref="E2325:H2325" si="1825">E2324</f>
        <v>2</v>
      </c>
      <c r="F2325" s="17">
        <f t="shared" si="1819"/>
        <v>3</v>
      </c>
      <c r="G2325" s="17" t="str">
        <f t="shared" si="1825"/>
        <v>大祭司魔防百分比</v>
      </c>
      <c r="H2325" s="17" t="str">
        <f t="shared" si="1825"/>
        <v>mushi01_Lv3</v>
      </c>
      <c r="I2325" s="20">
        <v>1.5</v>
      </c>
      <c r="J2325" s="17">
        <v>17</v>
      </c>
      <c r="K2325" s="17">
        <f t="shared" si="1801"/>
        <v>52918</v>
      </c>
      <c r="L2325" s="17" t="s">
        <v>637</v>
      </c>
      <c r="M2325" s="17" t="str">
        <f t="shared" si="1804"/>
        <v>1:12600:10</v>
      </c>
      <c r="N2325" s="16" t="str">
        <f t="shared" si="1813"/>
        <v>10051:1</v>
      </c>
      <c r="O2325" s="17">
        <f t="shared" si="1820"/>
        <v>10</v>
      </c>
      <c r="P2325" s="21" t="s">
        <v>5022</v>
      </c>
      <c r="Q2325" s="21"/>
      <c r="R2325" t="s">
        <v>4963</v>
      </c>
      <c r="T2325" t="str">
        <f t="shared" si="1805"/>
        <v>:1</v>
      </c>
      <c r="U2325" t="str">
        <f t="shared" si="1806"/>
        <v>司魔</v>
      </c>
      <c r="V2325" t="s">
        <v>5004</v>
      </c>
      <c r="W2325">
        <f>属性类型!G2325</f>
        <v>10051</v>
      </c>
      <c r="X2325">
        <v>1</v>
      </c>
    </row>
    <row r="2326" ht="16.5" spans="1:24">
      <c r="A2326" s="17">
        <f t="shared" si="1802"/>
        <v>52918</v>
      </c>
      <c r="B2326" s="17">
        <f t="shared" si="1774"/>
        <v>52900</v>
      </c>
      <c r="C2326" s="17" t="str">
        <f t="shared" si="1800"/>
        <v>5</v>
      </c>
      <c r="D2326" s="17">
        <f t="shared" si="1786"/>
        <v>50003</v>
      </c>
      <c r="E2326" s="17">
        <f t="shared" ref="E2326:H2326" si="1826">E2325</f>
        <v>2</v>
      </c>
      <c r="F2326" s="17">
        <f t="shared" si="1819"/>
        <v>3</v>
      </c>
      <c r="G2326" s="17" t="str">
        <f t="shared" si="1826"/>
        <v>大祭司魔防百分比</v>
      </c>
      <c r="H2326" s="17" t="str">
        <f t="shared" si="1826"/>
        <v>mushi01_Lv3</v>
      </c>
      <c r="I2326" s="20">
        <v>1.5</v>
      </c>
      <c r="J2326" s="17">
        <v>18</v>
      </c>
      <c r="K2326" s="17">
        <f t="shared" si="1801"/>
        <v>52919</v>
      </c>
      <c r="L2326" s="17" t="s">
        <v>641</v>
      </c>
      <c r="M2326" s="17" t="str">
        <f t="shared" si="1804"/>
        <v>1:12600:10</v>
      </c>
      <c r="N2326" s="16" t="str">
        <f t="shared" si="1813"/>
        <v>10051:1</v>
      </c>
      <c r="O2326" s="17">
        <f t="shared" si="1820"/>
        <v>10</v>
      </c>
      <c r="P2326" s="21" t="s">
        <v>5023</v>
      </c>
      <c r="Q2326" s="21"/>
      <c r="R2326" t="s">
        <v>4963</v>
      </c>
      <c r="T2326" t="str">
        <f t="shared" si="1805"/>
        <v>:1</v>
      </c>
      <c r="U2326" t="str">
        <f t="shared" si="1806"/>
        <v>司魔</v>
      </c>
      <c r="V2326" t="s">
        <v>5004</v>
      </c>
      <c r="W2326">
        <f>属性类型!G2326</f>
        <v>10051</v>
      </c>
      <c r="X2326">
        <v>1</v>
      </c>
    </row>
    <row r="2327" ht="16.5" spans="1:24">
      <c r="A2327" s="17">
        <f t="shared" si="1802"/>
        <v>52919</v>
      </c>
      <c r="B2327" s="17">
        <f t="shared" si="1774"/>
        <v>52900</v>
      </c>
      <c r="C2327" s="17" t="str">
        <f t="shared" si="1800"/>
        <v>5</v>
      </c>
      <c r="D2327" s="17">
        <f t="shared" si="1786"/>
        <v>50003</v>
      </c>
      <c r="E2327" s="17">
        <f t="shared" ref="E2327:H2327" si="1827">E2326</f>
        <v>2</v>
      </c>
      <c r="F2327" s="17">
        <f t="shared" si="1819"/>
        <v>3</v>
      </c>
      <c r="G2327" s="17" t="str">
        <f t="shared" si="1827"/>
        <v>大祭司魔防百分比</v>
      </c>
      <c r="H2327" s="17" t="str">
        <f t="shared" si="1827"/>
        <v>mushi01_Lv3</v>
      </c>
      <c r="I2327" s="20">
        <v>1.5</v>
      </c>
      <c r="J2327" s="17">
        <v>19</v>
      </c>
      <c r="K2327" s="17">
        <f t="shared" si="1801"/>
        <v>52920</v>
      </c>
      <c r="L2327" s="17" t="s">
        <v>645</v>
      </c>
      <c r="M2327" s="17" t="str">
        <f t="shared" si="1804"/>
        <v>1:12600:10</v>
      </c>
      <c r="N2327" s="16" t="str">
        <f t="shared" si="1813"/>
        <v>10051:1</v>
      </c>
      <c r="O2327" s="17">
        <f t="shared" si="1820"/>
        <v>10</v>
      </c>
      <c r="P2327" s="21" t="s">
        <v>5024</v>
      </c>
      <c r="Q2327" s="21"/>
      <c r="R2327" t="s">
        <v>4963</v>
      </c>
      <c r="T2327" t="str">
        <f t="shared" si="1805"/>
        <v>:1</v>
      </c>
      <c r="U2327" t="str">
        <f t="shared" si="1806"/>
        <v>司魔</v>
      </c>
      <c r="V2327" t="s">
        <v>5004</v>
      </c>
      <c r="W2327">
        <f>属性类型!G2327</f>
        <v>10051</v>
      </c>
      <c r="X2327">
        <v>1</v>
      </c>
    </row>
    <row r="2328" ht="16.5" spans="1:24">
      <c r="A2328" s="17">
        <f t="shared" si="1802"/>
        <v>52920</v>
      </c>
      <c r="B2328" s="17">
        <f t="shared" si="1774"/>
        <v>52900</v>
      </c>
      <c r="C2328" s="17" t="str">
        <f t="shared" si="1800"/>
        <v>5</v>
      </c>
      <c r="D2328" s="17">
        <f t="shared" si="1786"/>
        <v>50003</v>
      </c>
      <c r="E2328" s="17">
        <f t="shared" ref="E2328:H2328" si="1828">E2327</f>
        <v>2</v>
      </c>
      <c r="F2328" s="17">
        <f t="shared" si="1819"/>
        <v>3</v>
      </c>
      <c r="G2328" s="17" t="str">
        <f t="shared" si="1828"/>
        <v>大祭司魔防百分比</v>
      </c>
      <c r="H2328" s="17" t="str">
        <f t="shared" si="1828"/>
        <v>mushi01_Lv3</v>
      </c>
      <c r="I2328" s="20">
        <v>1.5</v>
      </c>
      <c r="J2328" s="17">
        <v>20</v>
      </c>
      <c r="K2328" s="17">
        <f t="shared" si="1801"/>
        <v>60000</v>
      </c>
      <c r="L2328" s="17">
        <v>0</v>
      </c>
      <c r="M2328" s="17" t="str">
        <f t="shared" si="1804"/>
        <v>1:12600:10</v>
      </c>
      <c r="N2328" s="16" t="str">
        <f t="shared" si="1813"/>
        <v>10051:1</v>
      </c>
      <c r="O2328" s="17">
        <f t="shared" si="1820"/>
        <v>10</v>
      </c>
      <c r="P2328" s="21" t="s">
        <v>5024</v>
      </c>
      <c r="Q2328" s="21"/>
      <c r="R2328" t="s">
        <v>4963</v>
      </c>
      <c r="T2328" t="str">
        <f t="shared" si="1805"/>
        <v>:1</v>
      </c>
      <c r="U2328" t="str">
        <f t="shared" si="1806"/>
        <v>司魔</v>
      </c>
      <c r="V2328" t="s">
        <v>5004</v>
      </c>
      <c r="W2328">
        <f>属性类型!G2328</f>
        <v>10051</v>
      </c>
      <c r="X2328">
        <v>1</v>
      </c>
    </row>
    <row r="2329" s="15" customFormat="1" ht="16.5" spans="1:24">
      <c r="A2329" s="23">
        <v>60000</v>
      </c>
      <c r="B2329" s="23">
        <f t="shared" si="1774"/>
        <v>60000</v>
      </c>
      <c r="C2329" s="23" t="str">
        <f t="shared" si="1800"/>
        <v>6</v>
      </c>
      <c r="D2329" s="23">
        <f>$A$2329+F2329</f>
        <v>60001</v>
      </c>
      <c r="E2329" s="23">
        <v>1</v>
      </c>
      <c r="F2329" s="23">
        <f t="shared" si="1819"/>
        <v>1</v>
      </c>
      <c r="G2329" s="23" t="s">
        <v>37</v>
      </c>
      <c r="H2329" s="23" t="s">
        <v>38</v>
      </c>
      <c r="I2329" s="20">
        <v>0</v>
      </c>
      <c r="J2329" s="23">
        <v>0</v>
      </c>
      <c r="K2329" s="23">
        <f t="shared" si="1801"/>
        <v>60001</v>
      </c>
      <c r="L2329" s="23" t="s">
        <v>40</v>
      </c>
      <c r="M2329" s="23">
        <v>0</v>
      </c>
      <c r="N2329" s="16" t="str">
        <f t="shared" si="1813"/>
        <v>171:1</v>
      </c>
      <c r="O2329" s="23">
        <f t="shared" si="1820"/>
        <v>1</v>
      </c>
      <c r="P2329" s="24" t="str">
        <f>$S$3&amp;R2329&amp;$Q$1&amp;T2329</f>
        <v>所有魔物和野兽生命增加:1</v>
      </c>
      <c r="Q2329" s="24"/>
      <c r="R2329" s="15" t="s">
        <v>4270</v>
      </c>
      <c r="T2329" s="15" t="str">
        <f t="shared" si="1805"/>
        <v>:1</v>
      </c>
      <c r="U2329" t="str">
        <f t="shared" si="1806"/>
        <v>魔物</v>
      </c>
      <c r="V2329" t="s">
        <v>5025</v>
      </c>
      <c r="W2329">
        <f>属性类型!G2329</f>
        <v>171</v>
      </c>
      <c r="X2329">
        <v>1</v>
      </c>
    </row>
    <row r="2330" customFormat="1" ht="16.5" spans="1:24">
      <c r="A2330" s="17">
        <f t="shared" ref="A2330:A2334" si="1829">A2329+1</f>
        <v>60001</v>
      </c>
      <c r="B2330" s="17">
        <f t="shared" si="1774"/>
        <v>60000</v>
      </c>
      <c r="C2330" s="17" t="str">
        <f t="shared" si="1800"/>
        <v>6</v>
      </c>
      <c r="D2330" s="17">
        <f>$A$2329+F2330</f>
        <v>60001</v>
      </c>
      <c r="E2330" s="17">
        <v>1</v>
      </c>
      <c r="F2330" s="17">
        <f t="shared" si="1819"/>
        <v>1</v>
      </c>
      <c r="G2330" s="17" t="str">
        <f>G2329</f>
        <v>初级生命</v>
      </c>
      <c r="H2330" s="17" t="str">
        <f>H2329</f>
        <v>icon_01</v>
      </c>
      <c r="I2330" s="20">
        <v>0</v>
      </c>
      <c r="J2330" s="17">
        <v>1</v>
      </c>
      <c r="K2330" s="17">
        <f t="shared" si="1801"/>
        <v>60002</v>
      </c>
      <c r="L2330" s="17" t="s">
        <v>44</v>
      </c>
      <c r="M2330" s="17">
        <f>M2329</f>
        <v>0</v>
      </c>
      <c r="N2330" s="16" t="str">
        <f t="shared" si="1813"/>
        <v>171:1</v>
      </c>
      <c r="O2330" s="17">
        <f t="shared" si="1820"/>
        <v>1</v>
      </c>
      <c r="P2330" s="21" t="str">
        <f>$S$3&amp;R2330&amp;$Q$1&amp;T2330</f>
        <v>所有魔物和野兽生命增加:1</v>
      </c>
      <c r="Q2330" s="21"/>
      <c r="R2330" t="str">
        <f t="shared" ref="R2330:R2334" si="1830">R2329</f>
        <v>生命</v>
      </c>
      <c r="T2330" t="str">
        <f t="shared" si="1805"/>
        <v>:1</v>
      </c>
      <c r="U2330" t="str">
        <f t="shared" si="1806"/>
        <v>魔物</v>
      </c>
      <c r="V2330" t="s">
        <v>5025</v>
      </c>
      <c r="W2330">
        <f>属性类型!G2330</f>
        <v>171</v>
      </c>
      <c r="X2330">
        <v>1</v>
      </c>
    </row>
    <row r="2331" customFormat="1" ht="16.5" spans="1:24">
      <c r="A2331" s="17">
        <f t="shared" si="1829"/>
        <v>60002</v>
      </c>
      <c r="B2331" s="17">
        <f t="shared" si="1774"/>
        <v>60000</v>
      </c>
      <c r="C2331" s="17" t="str">
        <f t="shared" si="1800"/>
        <v>6</v>
      </c>
      <c r="D2331" s="17">
        <f t="shared" ref="D2331:D2394" si="1831">$A$2329+F2331</f>
        <v>60001</v>
      </c>
      <c r="E2331" s="17">
        <v>1</v>
      </c>
      <c r="F2331" s="17">
        <f t="shared" si="1819"/>
        <v>1</v>
      </c>
      <c r="G2331" s="17" t="str">
        <f>G2330</f>
        <v>初级生命</v>
      </c>
      <c r="H2331" s="17" t="str">
        <f>H2330</f>
        <v>icon_01</v>
      </c>
      <c r="I2331" s="20">
        <v>0</v>
      </c>
      <c r="J2331" s="17">
        <v>2</v>
      </c>
      <c r="K2331" s="17">
        <f t="shared" si="1801"/>
        <v>60003</v>
      </c>
      <c r="L2331" s="17" t="s">
        <v>49</v>
      </c>
      <c r="M2331" s="17">
        <f>M2330</f>
        <v>0</v>
      </c>
      <c r="N2331" s="16" t="str">
        <f t="shared" si="1813"/>
        <v>171:1</v>
      </c>
      <c r="O2331" s="17">
        <f t="shared" si="1820"/>
        <v>1</v>
      </c>
      <c r="P2331" s="21" t="str">
        <f t="shared" ref="P2331:P2394" si="1832">$S$3&amp;R2331&amp;$Q$1&amp;T2331</f>
        <v>所有魔物和野兽生命增加:1</v>
      </c>
      <c r="Q2331" s="21"/>
      <c r="R2331" t="str">
        <f t="shared" si="1830"/>
        <v>生命</v>
      </c>
      <c r="T2331" t="str">
        <f t="shared" si="1805"/>
        <v>:1</v>
      </c>
      <c r="U2331" t="str">
        <f t="shared" si="1806"/>
        <v>魔物</v>
      </c>
      <c r="V2331" t="s">
        <v>5025</v>
      </c>
      <c r="W2331">
        <f>属性类型!G2331</f>
        <v>171</v>
      </c>
      <c r="X2331">
        <v>1</v>
      </c>
    </row>
    <row r="2332" customFormat="1" ht="16.5" spans="1:24">
      <c r="A2332" s="17">
        <f t="shared" si="1829"/>
        <v>60003</v>
      </c>
      <c r="B2332" s="17">
        <f t="shared" si="1774"/>
        <v>60000</v>
      </c>
      <c r="C2332" s="17" t="str">
        <f t="shared" si="1800"/>
        <v>6</v>
      </c>
      <c r="D2332" s="17">
        <f t="shared" si="1831"/>
        <v>60001</v>
      </c>
      <c r="E2332" s="17">
        <v>1</v>
      </c>
      <c r="F2332" s="17">
        <f t="shared" si="1819"/>
        <v>1</v>
      </c>
      <c r="G2332" s="17" t="str">
        <f>G2331</f>
        <v>初级生命</v>
      </c>
      <c r="H2332" s="17" t="str">
        <f>H2331</f>
        <v>icon_01</v>
      </c>
      <c r="I2332" s="20">
        <v>0</v>
      </c>
      <c r="J2332" s="17">
        <v>3</v>
      </c>
      <c r="K2332" s="17">
        <f t="shared" si="1801"/>
        <v>60004</v>
      </c>
      <c r="L2332" s="17" t="s">
        <v>53</v>
      </c>
      <c r="M2332" s="17">
        <f>M2331</f>
        <v>0</v>
      </c>
      <c r="N2332" s="16" t="str">
        <f t="shared" si="1813"/>
        <v>171:1</v>
      </c>
      <c r="O2332" s="17">
        <f t="shared" si="1820"/>
        <v>1</v>
      </c>
      <c r="P2332" s="21" t="str">
        <f t="shared" si="1832"/>
        <v>所有魔物和野兽生命增加:1</v>
      </c>
      <c r="Q2332" s="21"/>
      <c r="R2332" t="str">
        <f t="shared" si="1830"/>
        <v>生命</v>
      </c>
      <c r="T2332" t="str">
        <f t="shared" si="1805"/>
        <v>:1</v>
      </c>
      <c r="U2332" t="str">
        <f t="shared" si="1806"/>
        <v>魔物</v>
      </c>
      <c r="V2332" t="s">
        <v>5025</v>
      </c>
      <c r="W2332">
        <f>属性类型!G2332</f>
        <v>171</v>
      </c>
      <c r="X2332">
        <v>1</v>
      </c>
    </row>
    <row r="2333" customFormat="1" ht="16.5" spans="1:24">
      <c r="A2333" s="17">
        <f t="shared" si="1829"/>
        <v>60004</v>
      </c>
      <c r="B2333" s="17">
        <f t="shared" si="1774"/>
        <v>60000</v>
      </c>
      <c r="C2333" s="17" t="str">
        <f t="shared" si="1800"/>
        <v>6</v>
      </c>
      <c r="D2333" s="17">
        <f t="shared" si="1831"/>
        <v>60001</v>
      </c>
      <c r="E2333" s="17">
        <v>1</v>
      </c>
      <c r="F2333" s="17">
        <f t="shared" si="1819"/>
        <v>1</v>
      </c>
      <c r="G2333" s="17" t="str">
        <f>G2332</f>
        <v>初级生命</v>
      </c>
      <c r="H2333" s="17" t="str">
        <f>H2332</f>
        <v>icon_01</v>
      </c>
      <c r="I2333" s="20">
        <v>0</v>
      </c>
      <c r="J2333" s="17">
        <v>4</v>
      </c>
      <c r="K2333" s="17">
        <f t="shared" si="1801"/>
        <v>60005</v>
      </c>
      <c r="L2333" s="17" t="s">
        <v>57</v>
      </c>
      <c r="M2333" s="17">
        <f>M2332</f>
        <v>0</v>
      </c>
      <c r="N2333" s="16" t="str">
        <f t="shared" si="1813"/>
        <v>171:1</v>
      </c>
      <c r="O2333" s="17">
        <f t="shared" si="1820"/>
        <v>1</v>
      </c>
      <c r="P2333" s="21" t="str">
        <f t="shared" si="1832"/>
        <v>所有魔物和野兽生命增加:1</v>
      </c>
      <c r="Q2333" s="21"/>
      <c r="R2333" t="str">
        <f t="shared" si="1830"/>
        <v>生命</v>
      </c>
      <c r="T2333" t="str">
        <f t="shared" si="1805"/>
        <v>:1</v>
      </c>
      <c r="U2333" t="str">
        <f t="shared" si="1806"/>
        <v>魔物</v>
      </c>
      <c r="V2333" t="s">
        <v>5025</v>
      </c>
      <c r="W2333">
        <f>属性类型!G2333</f>
        <v>171</v>
      </c>
      <c r="X2333">
        <v>1</v>
      </c>
    </row>
    <row r="2334" customFormat="1" ht="16.5" spans="1:24">
      <c r="A2334" s="17">
        <f t="shared" si="1829"/>
        <v>60005</v>
      </c>
      <c r="B2334" s="17">
        <f t="shared" si="1774"/>
        <v>60000</v>
      </c>
      <c r="C2334" s="17" t="str">
        <f t="shared" si="1800"/>
        <v>6</v>
      </c>
      <c r="D2334" s="17">
        <f t="shared" si="1831"/>
        <v>60001</v>
      </c>
      <c r="E2334" s="17">
        <v>1</v>
      </c>
      <c r="F2334" s="17">
        <f t="shared" si="1819"/>
        <v>1</v>
      </c>
      <c r="G2334" s="17" t="str">
        <f>G2333</f>
        <v>初级生命</v>
      </c>
      <c r="H2334" s="17" t="str">
        <f>H2333</f>
        <v>icon_01</v>
      </c>
      <c r="I2334" s="20">
        <v>0</v>
      </c>
      <c r="J2334" s="17">
        <v>5</v>
      </c>
      <c r="K2334" s="17">
        <v>0</v>
      </c>
      <c r="L2334" s="17">
        <v>0</v>
      </c>
      <c r="M2334" s="17">
        <f>M2333</f>
        <v>0</v>
      </c>
      <c r="N2334" s="16" t="str">
        <f t="shared" si="1813"/>
        <v>171:1</v>
      </c>
      <c r="O2334" s="17">
        <f t="shared" si="1820"/>
        <v>1</v>
      </c>
      <c r="P2334" s="21" t="str">
        <f t="shared" si="1832"/>
        <v>所有魔物和野兽生命增加:1</v>
      </c>
      <c r="Q2334" s="21"/>
      <c r="R2334" t="str">
        <f t="shared" si="1830"/>
        <v>生命</v>
      </c>
      <c r="T2334" t="str">
        <f t="shared" si="1805"/>
        <v>:1</v>
      </c>
      <c r="U2334" t="str">
        <f t="shared" si="1806"/>
        <v>魔物</v>
      </c>
      <c r="V2334" t="s">
        <v>5025</v>
      </c>
      <c r="W2334">
        <f>属性类型!G2334</f>
        <v>171</v>
      </c>
      <c r="X2334">
        <v>1</v>
      </c>
    </row>
    <row r="2335" customFormat="1" ht="16.5" spans="1:24">
      <c r="A2335" s="18">
        <f>A2329+100</f>
        <v>60100</v>
      </c>
      <c r="B2335" s="18">
        <f t="shared" si="1774"/>
        <v>60100</v>
      </c>
      <c r="C2335" s="18" t="str">
        <f t="shared" si="1800"/>
        <v>6</v>
      </c>
      <c r="D2335" s="17">
        <f t="shared" si="1831"/>
        <v>60001</v>
      </c>
      <c r="E2335" s="17">
        <v>1</v>
      </c>
      <c r="F2335" s="18">
        <f t="shared" si="1819"/>
        <v>1</v>
      </c>
      <c r="G2335" s="18" t="s">
        <v>62</v>
      </c>
      <c r="H2335" s="18" t="s">
        <v>63</v>
      </c>
      <c r="I2335" s="20">
        <v>0</v>
      </c>
      <c r="J2335" s="18">
        <v>0</v>
      </c>
      <c r="K2335" s="18">
        <f t="shared" ref="K2335:K2339" si="1833">A2336</f>
        <v>60101</v>
      </c>
      <c r="L2335" s="18" t="s">
        <v>40</v>
      </c>
      <c r="M2335" s="18" t="s">
        <v>65</v>
      </c>
      <c r="N2335" s="16" t="str">
        <f t="shared" si="1813"/>
        <v>173:1</v>
      </c>
      <c r="O2335" s="18">
        <f t="shared" si="1820"/>
        <v>2</v>
      </c>
      <c r="P2335" s="21" t="str">
        <f t="shared" si="1832"/>
        <v>所有魔物和野兽防御增加:1</v>
      </c>
      <c r="Q2335" s="21"/>
      <c r="R2335" t="s">
        <v>4272</v>
      </c>
      <c r="T2335" t="str">
        <f t="shared" si="1805"/>
        <v>:1</v>
      </c>
      <c r="U2335" t="str">
        <f t="shared" si="1806"/>
        <v>魔物</v>
      </c>
      <c r="V2335" t="s">
        <v>5026</v>
      </c>
      <c r="W2335">
        <f>属性类型!G2335</f>
        <v>173</v>
      </c>
      <c r="X2335">
        <v>1</v>
      </c>
    </row>
    <row r="2336" customFormat="1" ht="16.5" spans="1:24">
      <c r="A2336" s="17">
        <f t="shared" ref="A2336:A2340" si="1834">A2335+1</f>
        <v>60101</v>
      </c>
      <c r="B2336" s="17">
        <f t="shared" si="1774"/>
        <v>60100</v>
      </c>
      <c r="C2336" s="17" t="str">
        <f t="shared" si="1800"/>
        <v>6</v>
      </c>
      <c r="D2336" s="17">
        <f t="shared" si="1831"/>
        <v>60001</v>
      </c>
      <c r="E2336" s="17">
        <v>1</v>
      </c>
      <c r="F2336" s="17">
        <f t="shared" si="1819"/>
        <v>1</v>
      </c>
      <c r="G2336" s="17" t="str">
        <f>G2335</f>
        <v>初级防御</v>
      </c>
      <c r="H2336" s="17" t="str">
        <f>H2335</f>
        <v>icon_02</v>
      </c>
      <c r="I2336" s="20">
        <v>0</v>
      </c>
      <c r="J2336" s="17">
        <v>1</v>
      </c>
      <c r="K2336" s="17">
        <f t="shared" si="1833"/>
        <v>60102</v>
      </c>
      <c r="L2336" s="17" t="s">
        <v>44</v>
      </c>
      <c r="M2336" s="17" t="str">
        <f>M2335</f>
        <v>1:10000:1</v>
      </c>
      <c r="N2336" s="16" t="str">
        <f t="shared" si="1813"/>
        <v>173:1</v>
      </c>
      <c r="O2336" s="17">
        <f t="shared" si="1820"/>
        <v>2</v>
      </c>
      <c r="P2336" s="21" t="str">
        <f t="shared" si="1832"/>
        <v>所有魔物和野兽防御增加:1</v>
      </c>
      <c r="Q2336" s="21"/>
      <c r="R2336" t="str">
        <f t="shared" ref="R2336:R2340" si="1835">R2335</f>
        <v>防御</v>
      </c>
      <c r="T2336" t="str">
        <f t="shared" si="1805"/>
        <v>:1</v>
      </c>
      <c r="U2336" t="str">
        <f t="shared" si="1806"/>
        <v>魔物</v>
      </c>
      <c r="V2336" t="s">
        <v>5026</v>
      </c>
      <c r="W2336">
        <f>属性类型!G2336</f>
        <v>173</v>
      </c>
      <c r="X2336">
        <v>1</v>
      </c>
    </row>
    <row r="2337" customFormat="1" ht="16.5" spans="1:24">
      <c r="A2337" s="17">
        <f t="shared" si="1834"/>
        <v>60102</v>
      </c>
      <c r="B2337" s="17">
        <f t="shared" si="1774"/>
        <v>60100</v>
      </c>
      <c r="C2337" s="17" t="str">
        <f t="shared" si="1800"/>
        <v>6</v>
      </c>
      <c r="D2337" s="17">
        <f t="shared" si="1831"/>
        <v>60001</v>
      </c>
      <c r="E2337" s="17">
        <v>1</v>
      </c>
      <c r="F2337" s="17">
        <f t="shared" si="1819"/>
        <v>1</v>
      </c>
      <c r="G2337" s="17" t="str">
        <f>G2336</f>
        <v>初级防御</v>
      </c>
      <c r="H2337" s="17" t="str">
        <f>H2336</f>
        <v>icon_02</v>
      </c>
      <c r="I2337" s="20">
        <v>0</v>
      </c>
      <c r="J2337" s="17">
        <v>2</v>
      </c>
      <c r="K2337" s="17">
        <f t="shared" si="1833"/>
        <v>60103</v>
      </c>
      <c r="L2337" s="17" t="s">
        <v>49</v>
      </c>
      <c r="M2337" s="17" t="str">
        <f>M2336</f>
        <v>1:10000:1</v>
      </c>
      <c r="N2337" s="16" t="str">
        <f t="shared" si="1813"/>
        <v>173:1</v>
      </c>
      <c r="O2337" s="17">
        <f t="shared" si="1820"/>
        <v>2</v>
      </c>
      <c r="P2337" s="21" t="str">
        <f t="shared" si="1832"/>
        <v>所有魔物和野兽防御增加:1</v>
      </c>
      <c r="Q2337" s="21"/>
      <c r="R2337" t="str">
        <f t="shared" si="1835"/>
        <v>防御</v>
      </c>
      <c r="T2337" t="str">
        <f t="shared" si="1805"/>
        <v>:1</v>
      </c>
      <c r="U2337" t="str">
        <f t="shared" si="1806"/>
        <v>魔物</v>
      </c>
      <c r="V2337" t="s">
        <v>5026</v>
      </c>
      <c r="W2337">
        <f>属性类型!G2337</f>
        <v>173</v>
      </c>
      <c r="X2337">
        <v>1</v>
      </c>
    </row>
    <row r="2338" customFormat="1" ht="16.5" spans="1:24">
      <c r="A2338" s="17">
        <f t="shared" si="1834"/>
        <v>60103</v>
      </c>
      <c r="B2338" s="17">
        <f t="shared" si="1774"/>
        <v>60100</v>
      </c>
      <c r="C2338" s="17" t="str">
        <f t="shared" si="1800"/>
        <v>6</v>
      </c>
      <c r="D2338" s="17">
        <f t="shared" si="1831"/>
        <v>60001</v>
      </c>
      <c r="E2338" s="17">
        <v>1</v>
      </c>
      <c r="F2338" s="17">
        <f t="shared" si="1819"/>
        <v>1</v>
      </c>
      <c r="G2338" s="17" t="str">
        <f>G2337</f>
        <v>初级防御</v>
      </c>
      <c r="H2338" s="17" t="str">
        <f>H2337</f>
        <v>icon_02</v>
      </c>
      <c r="I2338" s="20">
        <v>0</v>
      </c>
      <c r="J2338" s="17">
        <v>3</v>
      </c>
      <c r="K2338" s="17">
        <f t="shared" si="1833"/>
        <v>60104</v>
      </c>
      <c r="L2338" s="17" t="s">
        <v>53</v>
      </c>
      <c r="M2338" s="17" t="str">
        <f>M2337</f>
        <v>1:10000:1</v>
      </c>
      <c r="N2338" s="16" t="str">
        <f t="shared" si="1813"/>
        <v>173:1</v>
      </c>
      <c r="O2338" s="17">
        <f t="shared" si="1820"/>
        <v>2</v>
      </c>
      <c r="P2338" s="21" t="str">
        <f t="shared" si="1832"/>
        <v>所有魔物和野兽防御增加:1</v>
      </c>
      <c r="Q2338" s="21"/>
      <c r="R2338" t="str">
        <f t="shared" si="1835"/>
        <v>防御</v>
      </c>
      <c r="T2338" t="str">
        <f t="shared" si="1805"/>
        <v>:1</v>
      </c>
      <c r="U2338" t="str">
        <f t="shared" si="1806"/>
        <v>魔物</v>
      </c>
      <c r="V2338" t="s">
        <v>5026</v>
      </c>
      <c r="W2338">
        <f>属性类型!G2338</f>
        <v>173</v>
      </c>
      <c r="X2338">
        <v>1</v>
      </c>
    </row>
    <row r="2339" customFormat="1" ht="16.5" spans="1:24">
      <c r="A2339" s="17">
        <f t="shared" si="1834"/>
        <v>60104</v>
      </c>
      <c r="B2339" s="17">
        <f t="shared" si="1774"/>
        <v>60100</v>
      </c>
      <c r="C2339" s="17" t="str">
        <f t="shared" si="1800"/>
        <v>6</v>
      </c>
      <c r="D2339" s="17">
        <f t="shared" si="1831"/>
        <v>60001</v>
      </c>
      <c r="E2339" s="17">
        <v>1</v>
      </c>
      <c r="F2339" s="17">
        <f t="shared" si="1819"/>
        <v>1</v>
      </c>
      <c r="G2339" s="17" t="str">
        <f>G2338</f>
        <v>初级防御</v>
      </c>
      <c r="H2339" s="17" t="str">
        <f>H2338</f>
        <v>icon_02</v>
      </c>
      <c r="I2339" s="20">
        <v>0</v>
      </c>
      <c r="J2339" s="17">
        <v>4</v>
      </c>
      <c r="K2339" s="17">
        <f t="shared" si="1833"/>
        <v>60105</v>
      </c>
      <c r="L2339" s="17" t="s">
        <v>57</v>
      </c>
      <c r="M2339" s="17" t="str">
        <f>M2338</f>
        <v>1:10000:1</v>
      </c>
      <c r="N2339" s="16" t="str">
        <f t="shared" si="1813"/>
        <v>173:1</v>
      </c>
      <c r="O2339" s="17">
        <f t="shared" si="1820"/>
        <v>2</v>
      </c>
      <c r="P2339" s="21" t="str">
        <f t="shared" si="1832"/>
        <v>所有魔物和野兽防御增加:1</v>
      </c>
      <c r="Q2339" s="21"/>
      <c r="R2339" t="str">
        <f t="shared" si="1835"/>
        <v>防御</v>
      </c>
      <c r="T2339" t="str">
        <f t="shared" si="1805"/>
        <v>:1</v>
      </c>
      <c r="U2339" t="str">
        <f t="shared" si="1806"/>
        <v>魔物</v>
      </c>
      <c r="V2339" t="s">
        <v>5026</v>
      </c>
      <c r="W2339">
        <f>属性类型!G2339</f>
        <v>173</v>
      </c>
      <c r="X2339">
        <v>1</v>
      </c>
    </row>
    <row r="2340" customFormat="1" ht="16.5" spans="1:24">
      <c r="A2340" s="17">
        <f t="shared" si="1834"/>
        <v>60105</v>
      </c>
      <c r="B2340" s="17">
        <f t="shared" si="1774"/>
        <v>60100</v>
      </c>
      <c r="C2340" s="17" t="str">
        <f t="shared" si="1800"/>
        <v>6</v>
      </c>
      <c r="D2340" s="17">
        <f t="shared" si="1831"/>
        <v>60001</v>
      </c>
      <c r="E2340" s="17">
        <v>1</v>
      </c>
      <c r="F2340" s="17">
        <f t="shared" si="1819"/>
        <v>1</v>
      </c>
      <c r="G2340" s="17" t="str">
        <f>G2339</f>
        <v>初级防御</v>
      </c>
      <c r="H2340" s="17" t="str">
        <f>H2339</f>
        <v>icon_02</v>
      </c>
      <c r="I2340" s="20">
        <v>0</v>
      </c>
      <c r="J2340" s="17">
        <v>5</v>
      </c>
      <c r="K2340" s="17">
        <v>0</v>
      </c>
      <c r="L2340" s="17">
        <v>0</v>
      </c>
      <c r="M2340" s="17" t="str">
        <f>M2339</f>
        <v>1:10000:1</v>
      </c>
      <c r="N2340" s="16" t="str">
        <f t="shared" si="1813"/>
        <v>173:1</v>
      </c>
      <c r="O2340" s="17">
        <f t="shared" si="1820"/>
        <v>2</v>
      </c>
      <c r="P2340" s="21" t="str">
        <f t="shared" si="1832"/>
        <v>所有魔物和野兽防御增加:1</v>
      </c>
      <c r="Q2340" s="21"/>
      <c r="R2340" t="str">
        <f t="shared" si="1835"/>
        <v>防御</v>
      </c>
      <c r="T2340" t="str">
        <f t="shared" si="1805"/>
        <v>:1</v>
      </c>
      <c r="U2340" t="str">
        <f t="shared" si="1806"/>
        <v>魔物</v>
      </c>
      <c r="V2340" t="s">
        <v>5026</v>
      </c>
      <c r="W2340">
        <f>属性类型!G2340</f>
        <v>173</v>
      </c>
      <c r="X2340">
        <v>1</v>
      </c>
    </row>
    <row r="2341" customFormat="1" ht="16.5" spans="1:24">
      <c r="A2341" s="18">
        <f>A2335+100</f>
        <v>60200</v>
      </c>
      <c r="B2341" s="18">
        <f t="shared" si="1774"/>
        <v>60200</v>
      </c>
      <c r="C2341" s="18" t="str">
        <f t="shared" si="1800"/>
        <v>6</v>
      </c>
      <c r="D2341" s="17">
        <f t="shared" si="1831"/>
        <v>60001</v>
      </c>
      <c r="E2341" s="17">
        <v>1</v>
      </c>
      <c r="F2341" s="18">
        <f t="shared" si="1819"/>
        <v>1</v>
      </c>
      <c r="G2341" s="18" t="s">
        <v>79</v>
      </c>
      <c r="H2341" s="18" t="s">
        <v>80</v>
      </c>
      <c r="I2341" s="20">
        <v>0</v>
      </c>
      <c r="J2341" s="18">
        <v>0</v>
      </c>
      <c r="K2341" s="18">
        <f t="shared" ref="K2341:K2345" si="1836">A2342</f>
        <v>60201</v>
      </c>
      <c r="L2341" s="18" t="s">
        <v>40</v>
      </c>
      <c r="M2341" s="18" t="s">
        <v>65</v>
      </c>
      <c r="N2341" s="16" t="str">
        <f t="shared" si="1813"/>
        <v>172:1</v>
      </c>
      <c r="O2341" s="18">
        <f t="shared" si="1820"/>
        <v>3</v>
      </c>
      <c r="P2341" s="21" t="str">
        <f t="shared" si="1832"/>
        <v>所有魔物和野兽攻击增加:1</v>
      </c>
      <c r="Q2341" s="21"/>
      <c r="R2341" t="s">
        <v>4274</v>
      </c>
      <c r="T2341" t="str">
        <f t="shared" si="1805"/>
        <v>:1</v>
      </c>
      <c r="U2341" t="str">
        <f t="shared" si="1806"/>
        <v>魔物</v>
      </c>
      <c r="V2341" t="s">
        <v>5027</v>
      </c>
      <c r="W2341">
        <f>属性类型!G2341</f>
        <v>172</v>
      </c>
      <c r="X2341">
        <v>1</v>
      </c>
    </row>
    <row r="2342" customFormat="1" ht="16.5" spans="1:24">
      <c r="A2342" s="17">
        <f t="shared" ref="A2342:A2346" si="1837">A2341+1</f>
        <v>60201</v>
      </c>
      <c r="B2342" s="17">
        <f t="shared" si="1774"/>
        <v>60200</v>
      </c>
      <c r="C2342" s="17" t="str">
        <f t="shared" si="1800"/>
        <v>6</v>
      </c>
      <c r="D2342" s="17">
        <f t="shared" si="1831"/>
        <v>60001</v>
      </c>
      <c r="E2342" s="17">
        <v>1</v>
      </c>
      <c r="F2342" s="17">
        <f t="shared" si="1819"/>
        <v>1</v>
      </c>
      <c r="G2342" s="17" t="str">
        <f>G2341</f>
        <v>初级攻击</v>
      </c>
      <c r="H2342" s="17" t="str">
        <f>H2341</f>
        <v>icon_03</v>
      </c>
      <c r="I2342" s="20">
        <v>0</v>
      </c>
      <c r="J2342" s="17">
        <v>1</v>
      </c>
      <c r="K2342" s="17">
        <f t="shared" si="1836"/>
        <v>60202</v>
      </c>
      <c r="L2342" s="17" t="s">
        <v>44</v>
      </c>
      <c r="M2342" s="17" t="str">
        <f>M2341</f>
        <v>1:10000:1</v>
      </c>
      <c r="N2342" s="16" t="str">
        <f t="shared" si="1813"/>
        <v>172:1</v>
      </c>
      <c r="O2342" s="17">
        <f t="shared" si="1820"/>
        <v>3</v>
      </c>
      <c r="P2342" s="21" t="str">
        <f t="shared" si="1832"/>
        <v>所有魔物和野兽攻击增加:1</v>
      </c>
      <c r="Q2342" s="21"/>
      <c r="R2342" t="str">
        <f t="shared" ref="R2342:R2346" si="1838">R2341</f>
        <v>攻击</v>
      </c>
      <c r="T2342" t="str">
        <f t="shared" si="1805"/>
        <v>:1</v>
      </c>
      <c r="U2342" t="str">
        <f t="shared" si="1806"/>
        <v>魔物</v>
      </c>
      <c r="V2342" t="s">
        <v>5027</v>
      </c>
      <c r="W2342">
        <f>属性类型!G2342</f>
        <v>172</v>
      </c>
      <c r="X2342">
        <v>1</v>
      </c>
    </row>
    <row r="2343" customFormat="1" ht="16.5" spans="1:24">
      <c r="A2343" s="17">
        <f t="shared" si="1837"/>
        <v>60202</v>
      </c>
      <c r="B2343" s="17">
        <f t="shared" si="1774"/>
        <v>60200</v>
      </c>
      <c r="C2343" s="17" t="str">
        <f t="shared" si="1800"/>
        <v>6</v>
      </c>
      <c r="D2343" s="17">
        <f t="shared" si="1831"/>
        <v>60001</v>
      </c>
      <c r="E2343" s="17">
        <v>1</v>
      </c>
      <c r="F2343" s="17">
        <f t="shared" si="1819"/>
        <v>1</v>
      </c>
      <c r="G2343" s="17" t="str">
        <f>G2342</f>
        <v>初级攻击</v>
      </c>
      <c r="H2343" s="17" t="str">
        <f>H2342</f>
        <v>icon_03</v>
      </c>
      <c r="I2343" s="20">
        <v>0</v>
      </c>
      <c r="J2343" s="17">
        <v>2</v>
      </c>
      <c r="K2343" s="17">
        <f t="shared" si="1836"/>
        <v>60203</v>
      </c>
      <c r="L2343" s="17" t="s">
        <v>49</v>
      </c>
      <c r="M2343" s="17" t="str">
        <f>M2342</f>
        <v>1:10000:1</v>
      </c>
      <c r="N2343" s="16" t="str">
        <f t="shared" si="1813"/>
        <v>172:1</v>
      </c>
      <c r="O2343" s="17">
        <f t="shared" si="1820"/>
        <v>3</v>
      </c>
      <c r="P2343" s="21" t="str">
        <f t="shared" si="1832"/>
        <v>所有魔物和野兽攻击增加:1</v>
      </c>
      <c r="Q2343" s="21"/>
      <c r="R2343" t="str">
        <f t="shared" si="1838"/>
        <v>攻击</v>
      </c>
      <c r="T2343" t="str">
        <f t="shared" si="1805"/>
        <v>:1</v>
      </c>
      <c r="U2343" t="str">
        <f t="shared" si="1806"/>
        <v>魔物</v>
      </c>
      <c r="V2343" t="s">
        <v>5027</v>
      </c>
      <c r="W2343">
        <f>属性类型!G2343</f>
        <v>172</v>
      </c>
      <c r="X2343">
        <v>1</v>
      </c>
    </row>
    <row r="2344" customFormat="1" ht="16.5" spans="1:24">
      <c r="A2344" s="17">
        <f t="shared" si="1837"/>
        <v>60203</v>
      </c>
      <c r="B2344" s="17">
        <f t="shared" si="1774"/>
        <v>60200</v>
      </c>
      <c r="C2344" s="17" t="str">
        <f t="shared" si="1800"/>
        <v>6</v>
      </c>
      <c r="D2344" s="17">
        <f t="shared" si="1831"/>
        <v>60001</v>
      </c>
      <c r="E2344" s="17">
        <v>1</v>
      </c>
      <c r="F2344" s="17">
        <f t="shared" si="1819"/>
        <v>1</v>
      </c>
      <c r="G2344" s="17" t="str">
        <f>G2343</f>
        <v>初级攻击</v>
      </c>
      <c r="H2344" s="17" t="str">
        <f>H2343</f>
        <v>icon_03</v>
      </c>
      <c r="I2344" s="20">
        <v>0</v>
      </c>
      <c r="J2344" s="17">
        <v>3</v>
      </c>
      <c r="K2344" s="17">
        <f t="shared" si="1836"/>
        <v>60204</v>
      </c>
      <c r="L2344" s="17" t="s">
        <v>53</v>
      </c>
      <c r="M2344" s="17" t="str">
        <f>M2343</f>
        <v>1:10000:1</v>
      </c>
      <c r="N2344" s="16" t="str">
        <f t="shared" si="1813"/>
        <v>172:1</v>
      </c>
      <c r="O2344" s="17">
        <f t="shared" si="1820"/>
        <v>3</v>
      </c>
      <c r="P2344" s="21" t="str">
        <f t="shared" si="1832"/>
        <v>所有魔物和野兽攻击增加:1</v>
      </c>
      <c r="Q2344" s="21"/>
      <c r="R2344" t="str">
        <f t="shared" si="1838"/>
        <v>攻击</v>
      </c>
      <c r="T2344" t="str">
        <f t="shared" si="1805"/>
        <v>:1</v>
      </c>
      <c r="U2344" t="str">
        <f t="shared" si="1806"/>
        <v>魔物</v>
      </c>
      <c r="V2344" t="s">
        <v>5027</v>
      </c>
      <c r="W2344">
        <f>属性类型!G2344</f>
        <v>172</v>
      </c>
      <c r="X2344">
        <v>1</v>
      </c>
    </row>
    <row r="2345" customFormat="1" ht="16.5" spans="1:24">
      <c r="A2345" s="17">
        <f t="shared" si="1837"/>
        <v>60204</v>
      </c>
      <c r="B2345" s="17">
        <f t="shared" si="1774"/>
        <v>60200</v>
      </c>
      <c r="C2345" s="17" t="str">
        <f t="shared" si="1800"/>
        <v>6</v>
      </c>
      <c r="D2345" s="17">
        <f t="shared" si="1831"/>
        <v>60001</v>
      </c>
      <c r="E2345" s="17">
        <v>1</v>
      </c>
      <c r="F2345" s="17">
        <f t="shared" si="1819"/>
        <v>1</v>
      </c>
      <c r="G2345" s="17" t="str">
        <f>G2344</f>
        <v>初级攻击</v>
      </c>
      <c r="H2345" s="17" t="str">
        <f>H2344</f>
        <v>icon_03</v>
      </c>
      <c r="I2345" s="20">
        <v>0</v>
      </c>
      <c r="J2345" s="17">
        <v>4</v>
      </c>
      <c r="K2345" s="17">
        <f t="shared" si="1836"/>
        <v>60205</v>
      </c>
      <c r="L2345" s="17" t="s">
        <v>57</v>
      </c>
      <c r="M2345" s="17" t="str">
        <f>M2344</f>
        <v>1:10000:1</v>
      </c>
      <c r="N2345" s="16" t="str">
        <f t="shared" si="1813"/>
        <v>172:1</v>
      </c>
      <c r="O2345" s="17">
        <f t="shared" si="1820"/>
        <v>3</v>
      </c>
      <c r="P2345" s="21" t="str">
        <f t="shared" si="1832"/>
        <v>所有魔物和野兽攻击增加:1</v>
      </c>
      <c r="Q2345" s="21"/>
      <c r="R2345" t="str">
        <f t="shared" si="1838"/>
        <v>攻击</v>
      </c>
      <c r="T2345" t="str">
        <f t="shared" si="1805"/>
        <v>:1</v>
      </c>
      <c r="U2345" t="str">
        <f t="shared" si="1806"/>
        <v>魔物</v>
      </c>
      <c r="V2345" t="s">
        <v>5027</v>
      </c>
      <c r="W2345">
        <f>属性类型!G2345</f>
        <v>172</v>
      </c>
      <c r="X2345">
        <v>1</v>
      </c>
    </row>
    <row r="2346" customFormat="1" ht="16.5" spans="1:24">
      <c r="A2346" s="17">
        <f t="shared" si="1837"/>
        <v>60205</v>
      </c>
      <c r="B2346" s="17">
        <f t="shared" si="1774"/>
        <v>60200</v>
      </c>
      <c r="C2346" s="17" t="str">
        <f t="shared" si="1800"/>
        <v>6</v>
      </c>
      <c r="D2346" s="17">
        <f t="shared" si="1831"/>
        <v>60001</v>
      </c>
      <c r="E2346" s="17">
        <v>1</v>
      </c>
      <c r="F2346" s="17">
        <f t="shared" si="1819"/>
        <v>1</v>
      </c>
      <c r="G2346" s="17" t="str">
        <f>G2345</f>
        <v>初级攻击</v>
      </c>
      <c r="H2346" s="17" t="str">
        <f>H2345</f>
        <v>icon_03</v>
      </c>
      <c r="I2346" s="20">
        <v>0</v>
      </c>
      <c r="J2346" s="17">
        <v>5</v>
      </c>
      <c r="K2346" s="17">
        <v>0</v>
      </c>
      <c r="L2346" s="17">
        <v>0</v>
      </c>
      <c r="M2346" s="17" t="str">
        <f>M2345</f>
        <v>1:10000:1</v>
      </c>
      <c r="N2346" s="16" t="str">
        <f t="shared" si="1813"/>
        <v>172:1</v>
      </c>
      <c r="O2346" s="17">
        <f t="shared" si="1820"/>
        <v>3</v>
      </c>
      <c r="P2346" s="21" t="str">
        <f t="shared" si="1832"/>
        <v>所有魔物和野兽攻击增加:1</v>
      </c>
      <c r="Q2346" s="21"/>
      <c r="R2346" t="str">
        <f t="shared" si="1838"/>
        <v>攻击</v>
      </c>
      <c r="T2346" t="str">
        <f t="shared" si="1805"/>
        <v>:1</v>
      </c>
      <c r="U2346" t="str">
        <f t="shared" si="1806"/>
        <v>魔物</v>
      </c>
      <c r="V2346" t="s">
        <v>5027</v>
      </c>
      <c r="W2346">
        <f>属性类型!G2346</f>
        <v>172</v>
      </c>
      <c r="X2346">
        <v>1</v>
      </c>
    </row>
    <row r="2347" customFormat="1" ht="16.5" spans="1:24">
      <c r="A2347" s="18">
        <f>A2341+100</f>
        <v>60300</v>
      </c>
      <c r="B2347" s="18">
        <f t="shared" si="1774"/>
        <v>60300</v>
      </c>
      <c r="C2347" s="18" t="str">
        <f t="shared" si="1800"/>
        <v>6</v>
      </c>
      <c r="D2347" s="17">
        <f t="shared" si="1831"/>
        <v>60001</v>
      </c>
      <c r="E2347" s="17">
        <v>1</v>
      </c>
      <c r="F2347" s="18">
        <f t="shared" si="1819"/>
        <v>1</v>
      </c>
      <c r="G2347" s="18" t="s">
        <v>95</v>
      </c>
      <c r="H2347" s="18" t="s">
        <v>96</v>
      </c>
      <c r="I2347" s="20">
        <v>0</v>
      </c>
      <c r="J2347" s="18">
        <v>0</v>
      </c>
      <c r="K2347" s="18">
        <f t="shared" ref="K2347:K2351" si="1839">A2348</f>
        <v>60301</v>
      </c>
      <c r="L2347" s="18" t="s">
        <v>40</v>
      </c>
      <c r="M2347" s="18" t="s">
        <v>65</v>
      </c>
      <c r="N2347" s="16" t="str">
        <f t="shared" si="1813"/>
        <v>174:1</v>
      </c>
      <c r="O2347" s="18">
        <f t="shared" si="1820"/>
        <v>4</v>
      </c>
      <c r="P2347" s="21" t="str">
        <f t="shared" si="1832"/>
        <v>所有魔物和野兽魔防增加:1</v>
      </c>
      <c r="Q2347" s="21"/>
      <c r="R2347" t="s">
        <v>4276</v>
      </c>
      <c r="T2347" t="str">
        <f t="shared" si="1805"/>
        <v>:1</v>
      </c>
      <c r="U2347" t="str">
        <f t="shared" si="1806"/>
        <v>魔物</v>
      </c>
      <c r="V2347" t="s">
        <v>5028</v>
      </c>
      <c r="W2347">
        <f>属性类型!G2347</f>
        <v>174</v>
      </c>
      <c r="X2347">
        <v>1</v>
      </c>
    </row>
    <row r="2348" customFormat="1" ht="16.5" spans="1:24">
      <c r="A2348" s="17">
        <f t="shared" ref="A2348:A2352" si="1840">A2347+1</f>
        <v>60301</v>
      </c>
      <c r="B2348" s="17">
        <f t="shared" si="1774"/>
        <v>60300</v>
      </c>
      <c r="C2348" s="17" t="str">
        <f t="shared" si="1800"/>
        <v>6</v>
      </c>
      <c r="D2348" s="17">
        <f t="shared" si="1831"/>
        <v>60001</v>
      </c>
      <c r="E2348" s="17">
        <v>1</v>
      </c>
      <c r="F2348" s="17">
        <f t="shared" si="1819"/>
        <v>1</v>
      </c>
      <c r="G2348" s="17" t="str">
        <f>G2347</f>
        <v>初级魔防</v>
      </c>
      <c r="H2348" s="17" t="str">
        <f>H2347</f>
        <v>icon_04</v>
      </c>
      <c r="I2348" s="20">
        <v>0</v>
      </c>
      <c r="J2348" s="17">
        <v>1</v>
      </c>
      <c r="K2348" s="17">
        <f t="shared" si="1839"/>
        <v>60302</v>
      </c>
      <c r="L2348" s="17" t="s">
        <v>44</v>
      </c>
      <c r="M2348" s="17" t="str">
        <f>M2347</f>
        <v>1:10000:1</v>
      </c>
      <c r="N2348" s="16" t="str">
        <f t="shared" si="1813"/>
        <v>174:1</v>
      </c>
      <c r="O2348" s="17">
        <f t="shared" si="1820"/>
        <v>4</v>
      </c>
      <c r="P2348" s="21" t="str">
        <f t="shared" si="1832"/>
        <v>所有魔物和野兽魔防增加:1</v>
      </c>
      <c r="Q2348" s="21"/>
      <c r="R2348" t="str">
        <f t="shared" ref="R2348:R2352" si="1841">R2347</f>
        <v>魔防</v>
      </c>
      <c r="T2348" t="str">
        <f t="shared" si="1805"/>
        <v>:1</v>
      </c>
      <c r="U2348" t="str">
        <f t="shared" si="1806"/>
        <v>魔物</v>
      </c>
      <c r="V2348" t="s">
        <v>5028</v>
      </c>
      <c r="W2348">
        <f>属性类型!G2348</f>
        <v>174</v>
      </c>
      <c r="X2348">
        <v>1</v>
      </c>
    </row>
    <row r="2349" customFormat="1" ht="16.5" spans="1:24">
      <c r="A2349" s="17">
        <f t="shared" si="1840"/>
        <v>60302</v>
      </c>
      <c r="B2349" s="17">
        <f t="shared" si="1774"/>
        <v>60300</v>
      </c>
      <c r="C2349" s="17" t="str">
        <f t="shared" si="1800"/>
        <v>6</v>
      </c>
      <c r="D2349" s="17">
        <f t="shared" si="1831"/>
        <v>60001</v>
      </c>
      <c r="E2349" s="17">
        <v>1</v>
      </c>
      <c r="F2349" s="17">
        <f t="shared" si="1819"/>
        <v>1</v>
      </c>
      <c r="G2349" s="17" t="str">
        <f>G2348</f>
        <v>初级魔防</v>
      </c>
      <c r="H2349" s="17" t="str">
        <f>H2348</f>
        <v>icon_04</v>
      </c>
      <c r="I2349" s="20">
        <v>0</v>
      </c>
      <c r="J2349" s="17">
        <v>2</v>
      </c>
      <c r="K2349" s="17">
        <f t="shared" si="1839"/>
        <v>60303</v>
      </c>
      <c r="L2349" s="17" t="s">
        <v>49</v>
      </c>
      <c r="M2349" s="17" t="str">
        <f>M2348</f>
        <v>1:10000:1</v>
      </c>
      <c r="N2349" s="16" t="str">
        <f t="shared" si="1813"/>
        <v>174:1</v>
      </c>
      <c r="O2349" s="17">
        <f t="shared" si="1820"/>
        <v>4</v>
      </c>
      <c r="P2349" s="21" t="str">
        <f t="shared" si="1832"/>
        <v>所有魔物和野兽魔防增加:1</v>
      </c>
      <c r="Q2349" s="21"/>
      <c r="R2349" t="str">
        <f t="shared" si="1841"/>
        <v>魔防</v>
      </c>
      <c r="T2349" t="str">
        <f t="shared" si="1805"/>
        <v>:1</v>
      </c>
      <c r="U2349" t="str">
        <f t="shared" si="1806"/>
        <v>魔物</v>
      </c>
      <c r="V2349" t="s">
        <v>5028</v>
      </c>
      <c r="W2349">
        <f>属性类型!G2349</f>
        <v>174</v>
      </c>
      <c r="X2349">
        <v>1</v>
      </c>
    </row>
    <row r="2350" customFormat="1" ht="16.5" spans="1:24">
      <c r="A2350" s="17">
        <f t="shared" si="1840"/>
        <v>60303</v>
      </c>
      <c r="B2350" s="17">
        <f t="shared" si="1774"/>
        <v>60300</v>
      </c>
      <c r="C2350" s="17" t="str">
        <f t="shared" si="1800"/>
        <v>6</v>
      </c>
      <c r="D2350" s="17">
        <f t="shared" si="1831"/>
        <v>60001</v>
      </c>
      <c r="E2350" s="17">
        <v>1</v>
      </c>
      <c r="F2350" s="17">
        <f t="shared" si="1819"/>
        <v>1</v>
      </c>
      <c r="G2350" s="17" t="str">
        <f>G2349</f>
        <v>初级魔防</v>
      </c>
      <c r="H2350" s="17" t="str">
        <f>H2349</f>
        <v>icon_04</v>
      </c>
      <c r="I2350" s="20">
        <v>0</v>
      </c>
      <c r="J2350" s="17">
        <v>3</v>
      </c>
      <c r="K2350" s="17">
        <f t="shared" si="1839"/>
        <v>60304</v>
      </c>
      <c r="L2350" s="17" t="s">
        <v>53</v>
      </c>
      <c r="M2350" s="17" t="str">
        <f>M2349</f>
        <v>1:10000:1</v>
      </c>
      <c r="N2350" s="16" t="str">
        <f t="shared" si="1813"/>
        <v>174:1</v>
      </c>
      <c r="O2350" s="17">
        <f t="shared" si="1820"/>
        <v>4</v>
      </c>
      <c r="P2350" s="21" t="str">
        <f t="shared" si="1832"/>
        <v>所有魔物和野兽魔防增加:1</v>
      </c>
      <c r="Q2350" s="21"/>
      <c r="R2350" t="str">
        <f t="shared" si="1841"/>
        <v>魔防</v>
      </c>
      <c r="T2350" t="str">
        <f t="shared" si="1805"/>
        <v>:1</v>
      </c>
      <c r="U2350" t="str">
        <f t="shared" si="1806"/>
        <v>魔物</v>
      </c>
      <c r="V2350" t="s">
        <v>5028</v>
      </c>
      <c r="W2350">
        <f>属性类型!G2350</f>
        <v>174</v>
      </c>
      <c r="X2350">
        <v>1</v>
      </c>
    </row>
    <row r="2351" customFormat="1" ht="16.5" spans="1:24">
      <c r="A2351" s="17">
        <f t="shared" si="1840"/>
        <v>60304</v>
      </c>
      <c r="B2351" s="17">
        <f t="shared" ref="B2351:B2414" si="1842">ROUND(A2351,-2)</f>
        <v>60300</v>
      </c>
      <c r="C2351" s="17" t="str">
        <f t="shared" si="1800"/>
        <v>6</v>
      </c>
      <c r="D2351" s="17">
        <f t="shared" si="1831"/>
        <v>60001</v>
      </c>
      <c r="E2351" s="17">
        <v>1</v>
      </c>
      <c r="F2351" s="17">
        <f t="shared" si="1819"/>
        <v>1</v>
      </c>
      <c r="G2351" s="17" t="str">
        <f>G2350</f>
        <v>初级魔防</v>
      </c>
      <c r="H2351" s="17" t="str">
        <f>H2350</f>
        <v>icon_04</v>
      </c>
      <c r="I2351" s="20">
        <v>0</v>
      </c>
      <c r="J2351" s="17">
        <v>4</v>
      </c>
      <c r="K2351" s="17">
        <f t="shared" si="1839"/>
        <v>60305</v>
      </c>
      <c r="L2351" s="17" t="s">
        <v>57</v>
      </c>
      <c r="M2351" s="17" t="str">
        <f>M2350</f>
        <v>1:10000:1</v>
      </c>
      <c r="N2351" s="16" t="str">
        <f t="shared" si="1813"/>
        <v>174:1</v>
      </c>
      <c r="O2351" s="17">
        <f t="shared" si="1820"/>
        <v>4</v>
      </c>
      <c r="P2351" s="21" t="str">
        <f t="shared" si="1832"/>
        <v>所有魔物和野兽魔防增加:1</v>
      </c>
      <c r="Q2351" s="21"/>
      <c r="R2351" t="str">
        <f t="shared" si="1841"/>
        <v>魔防</v>
      </c>
      <c r="T2351" t="str">
        <f t="shared" si="1805"/>
        <v>:1</v>
      </c>
      <c r="U2351" t="str">
        <f t="shared" si="1806"/>
        <v>魔物</v>
      </c>
      <c r="V2351" t="s">
        <v>5028</v>
      </c>
      <c r="W2351">
        <f>属性类型!G2351</f>
        <v>174</v>
      </c>
      <c r="X2351">
        <v>1</v>
      </c>
    </row>
    <row r="2352" customFormat="1" ht="16.5" spans="1:24">
      <c r="A2352" s="17">
        <f t="shared" si="1840"/>
        <v>60305</v>
      </c>
      <c r="B2352" s="17">
        <f t="shared" si="1842"/>
        <v>60300</v>
      </c>
      <c r="C2352" s="17" t="str">
        <f t="shared" si="1800"/>
        <v>6</v>
      </c>
      <c r="D2352" s="17">
        <f t="shared" si="1831"/>
        <v>60001</v>
      </c>
      <c r="E2352" s="17">
        <v>1</v>
      </c>
      <c r="F2352" s="17">
        <f t="shared" si="1819"/>
        <v>1</v>
      </c>
      <c r="G2352" s="17" t="str">
        <f>G2351</f>
        <v>初级魔防</v>
      </c>
      <c r="H2352" s="17" t="str">
        <f>H2351</f>
        <v>icon_04</v>
      </c>
      <c r="I2352" s="20">
        <v>0</v>
      </c>
      <c r="J2352" s="17">
        <v>5</v>
      </c>
      <c r="K2352" s="17">
        <v>0</v>
      </c>
      <c r="L2352" s="17">
        <v>0</v>
      </c>
      <c r="M2352" s="17" t="str">
        <f>M2351</f>
        <v>1:10000:1</v>
      </c>
      <c r="N2352" s="16" t="str">
        <f t="shared" si="1813"/>
        <v>174:1</v>
      </c>
      <c r="O2352" s="17">
        <f t="shared" si="1820"/>
        <v>4</v>
      </c>
      <c r="P2352" s="21" t="str">
        <f t="shared" si="1832"/>
        <v>所有魔物和野兽魔防增加:1</v>
      </c>
      <c r="Q2352" s="21"/>
      <c r="R2352" t="str">
        <f t="shared" si="1841"/>
        <v>魔防</v>
      </c>
      <c r="T2352" t="str">
        <f t="shared" si="1805"/>
        <v>:1</v>
      </c>
      <c r="U2352" t="str">
        <f t="shared" si="1806"/>
        <v>魔物</v>
      </c>
      <c r="V2352" t="s">
        <v>5028</v>
      </c>
      <c r="W2352">
        <f>属性类型!G2352</f>
        <v>174</v>
      </c>
      <c r="X2352">
        <v>1</v>
      </c>
    </row>
    <row r="2353" customFormat="1" ht="16.5" spans="1:24">
      <c r="A2353" s="18">
        <f>A2347+100</f>
        <v>60400</v>
      </c>
      <c r="B2353" s="18">
        <f t="shared" si="1842"/>
        <v>60400</v>
      </c>
      <c r="C2353" s="18" t="str">
        <f t="shared" si="1800"/>
        <v>6</v>
      </c>
      <c r="D2353" s="17">
        <f t="shared" si="1831"/>
        <v>60001</v>
      </c>
      <c r="E2353" s="17">
        <v>1</v>
      </c>
      <c r="F2353" s="18">
        <f t="shared" si="1819"/>
        <v>1</v>
      </c>
      <c r="G2353" s="18" t="s">
        <v>111</v>
      </c>
      <c r="H2353" s="18" t="s">
        <v>112</v>
      </c>
      <c r="I2353" s="20">
        <v>0</v>
      </c>
      <c r="J2353" s="18">
        <v>0</v>
      </c>
      <c r="K2353" s="18">
        <f t="shared" ref="K2353:K2362" si="1843">A2354</f>
        <v>60401</v>
      </c>
      <c r="L2353" s="18" t="s">
        <v>40</v>
      </c>
      <c r="M2353" s="18" t="s">
        <v>114</v>
      </c>
      <c r="N2353" s="16" t="str">
        <f t="shared" si="1813"/>
        <v>178:1</v>
      </c>
      <c r="O2353" s="18">
        <f t="shared" si="1820"/>
        <v>5</v>
      </c>
      <c r="P2353" s="21" t="str">
        <f t="shared" si="1832"/>
        <v>所有魔物和野兽防御百分比增加1</v>
      </c>
      <c r="Q2353" s="21"/>
      <c r="R2353" t="s">
        <v>4278</v>
      </c>
      <c r="T2353" t="str">
        <f>RIGHT(N2353,1)</f>
        <v>1</v>
      </c>
      <c r="U2353" t="str">
        <f t="shared" si="1806"/>
        <v>魔物</v>
      </c>
      <c r="V2353" t="s">
        <v>5029</v>
      </c>
      <c r="W2353">
        <f>属性类型!G2353</f>
        <v>178</v>
      </c>
      <c r="X2353">
        <v>1</v>
      </c>
    </row>
    <row r="2354" customFormat="1" ht="16.5" spans="1:24">
      <c r="A2354" s="17">
        <f t="shared" ref="A2354:A2363" si="1844">A2353+1</f>
        <v>60401</v>
      </c>
      <c r="B2354" s="17">
        <f t="shared" si="1842"/>
        <v>60400</v>
      </c>
      <c r="C2354" s="17" t="str">
        <f t="shared" si="1800"/>
        <v>6</v>
      </c>
      <c r="D2354" s="17">
        <f t="shared" si="1831"/>
        <v>60001</v>
      </c>
      <c r="E2354" s="17">
        <v>1</v>
      </c>
      <c r="F2354" s="17">
        <f t="shared" si="1819"/>
        <v>1</v>
      </c>
      <c r="G2354" s="17" t="str">
        <f t="shared" ref="G2354:G2363" si="1845">G2353</f>
        <v>初级防御百分比</v>
      </c>
      <c r="H2354" s="17" t="str">
        <f t="shared" ref="H2354:H2363" si="1846">H2353</f>
        <v>icon_05</v>
      </c>
      <c r="I2354" s="20">
        <v>0</v>
      </c>
      <c r="J2354" s="17">
        <v>1</v>
      </c>
      <c r="K2354" s="17">
        <f t="shared" si="1843"/>
        <v>60402</v>
      </c>
      <c r="L2354" s="17" t="s">
        <v>44</v>
      </c>
      <c r="M2354" s="17" t="str">
        <f t="shared" ref="M2354:M2363" si="1847">M2353</f>
        <v>1:10100:5</v>
      </c>
      <c r="N2354" s="16" t="str">
        <f t="shared" si="1813"/>
        <v>178:1</v>
      </c>
      <c r="O2354" s="17">
        <f t="shared" si="1820"/>
        <v>5</v>
      </c>
      <c r="P2354" s="21" t="str">
        <f t="shared" si="1832"/>
        <v>所有魔物和野兽防御百分比增加:1</v>
      </c>
      <c r="Q2354" s="21"/>
      <c r="R2354" t="str">
        <f t="shared" ref="R2354:R2363" si="1848">R2353</f>
        <v>防御百分比</v>
      </c>
      <c r="T2354" t="str">
        <f t="shared" ref="T2354:T2363" si="1849">RIGHT(N2354,2)</f>
        <v>:1</v>
      </c>
      <c r="U2354" t="str">
        <f t="shared" si="1806"/>
        <v>魔物</v>
      </c>
      <c r="V2354" t="s">
        <v>5029</v>
      </c>
      <c r="W2354">
        <f>属性类型!G2354</f>
        <v>178</v>
      </c>
      <c r="X2354">
        <v>1</v>
      </c>
    </row>
    <row r="2355" customFormat="1" ht="16.5" spans="1:24">
      <c r="A2355" s="17">
        <f t="shared" si="1844"/>
        <v>60402</v>
      </c>
      <c r="B2355" s="17">
        <f t="shared" si="1842"/>
        <v>60400</v>
      </c>
      <c r="C2355" s="17" t="str">
        <f t="shared" si="1800"/>
        <v>6</v>
      </c>
      <c r="D2355" s="17">
        <f t="shared" si="1831"/>
        <v>60001</v>
      </c>
      <c r="E2355" s="17">
        <v>1</v>
      </c>
      <c r="F2355" s="17">
        <f t="shared" si="1819"/>
        <v>1</v>
      </c>
      <c r="G2355" s="17" t="str">
        <f t="shared" si="1845"/>
        <v>初级防御百分比</v>
      </c>
      <c r="H2355" s="17" t="str">
        <f t="shared" si="1846"/>
        <v>icon_05</v>
      </c>
      <c r="I2355" s="20">
        <v>0</v>
      </c>
      <c r="J2355" s="17">
        <v>2</v>
      </c>
      <c r="K2355" s="17">
        <f t="shared" si="1843"/>
        <v>60403</v>
      </c>
      <c r="L2355" s="17" t="s">
        <v>49</v>
      </c>
      <c r="M2355" s="17" t="str">
        <f t="shared" si="1847"/>
        <v>1:10100:5</v>
      </c>
      <c r="N2355" s="16" t="str">
        <f t="shared" si="1813"/>
        <v>178:1</v>
      </c>
      <c r="O2355" s="17">
        <f t="shared" si="1820"/>
        <v>5</v>
      </c>
      <c r="P2355" s="21" t="str">
        <f t="shared" si="1832"/>
        <v>所有魔物和野兽防御百分比增加:1</v>
      </c>
      <c r="Q2355" s="21"/>
      <c r="R2355" t="str">
        <f t="shared" si="1848"/>
        <v>防御百分比</v>
      </c>
      <c r="T2355" t="str">
        <f t="shared" si="1849"/>
        <v>:1</v>
      </c>
      <c r="U2355" t="str">
        <f t="shared" si="1806"/>
        <v>魔物</v>
      </c>
      <c r="V2355" t="s">
        <v>5029</v>
      </c>
      <c r="W2355">
        <f>属性类型!G2355</f>
        <v>178</v>
      </c>
      <c r="X2355">
        <v>1</v>
      </c>
    </row>
    <row r="2356" customFormat="1" ht="16.5" spans="1:24">
      <c r="A2356" s="17">
        <f t="shared" si="1844"/>
        <v>60403</v>
      </c>
      <c r="B2356" s="17">
        <f t="shared" si="1842"/>
        <v>60400</v>
      </c>
      <c r="C2356" s="17" t="str">
        <f t="shared" si="1800"/>
        <v>6</v>
      </c>
      <c r="D2356" s="17">
        <f t="shared" si="1831"/>
        <v>60001</v>
      </c>
      <c r="E2356" s="17">
        <v>1</v>
      </c>
      <c r="F2356" s="17">
        <f t="shared" si="1819"/>
        <v>1</v>
      </c>
      <c r="G2356" s="17" t="str">
        <f t="shared" si="1845"/>
        <v>初级防御百分比</v>
      </c>
      <c r="H2356" s="17" t="str">
        <f t="shared" si="1846"/>
        <v>icon_05</v>
      </c>
      <c r="I2356" s="20">
        <v>0</v>
      </c>
      <c r="J2356" s="17">
        <v>3</v>
      </c>
      <c r="K2356" s="17">
        <f t="shared" si="1843"/>
        <v>60404</v>
      </c>
      <c r="L2356" s="17" t="s">
        <v>53</v>
      </c>
      <c r="M2356" s="17" t="str">
        <f t="shared" si="1847"/>
        <v>1:10100:5</v>
      </c>
      <c r="N2356" s="16" t="str">
        <f t="shared" si="1813"/>
        <v>178:1</v>
      </c>
      <c r="O2356" s="17">
        <f t="shared" si="1820"/>
        <v>5</v>
      </c>
      <c r="P2356" s="21" t="str">
        <f t="shared" si="1832"/>
        <v>所有魔物和野兽防御百分比增加:1</v>
      </c>
      <c r="Q2356" s="21"/>
      <c r="R2356" t="str">
        <f t="shared" si="1848"/>
        <v>防御百分比</v>
      </c>
      <c r="T2356" t="str">
        <f t="shared" si="1849"/>
        <v>:1</v>
      </c>
      <c r="U2356" t="str">
        <f t="shared" si="1806"/>
        <v>魔物</v>
      </c>
      <c r="V2356" t="s">
        <v>5029</v>
      </c>
      <c r="W2356">
        <f>属性类型!G2356</f>
        <v>178</v>
      </c>
      <c r="X2356">
        <v>1</v>
      </c>
    </row>
    <row r="2357" customFormat="1" ht="16.5" spans="1:24">
      <c r="A2357" s="17">
        <f t="shared" si="1844"/>
        <v>60404</v>
      </c>
      <c r="B2357" s="17">
        <f t="shared" si="1842"/>
        <v>60400</v>
      </c>
      <c r="C2357" s="17" t="str">
        <f t="shared" si="1800"/>
        <v>6</v>
      </c>
      <c r="D2357" s="17">
        <f t="shared" si="1831"/>
        <v>60001</v>
      </c>
      <c r="E2357" s="17">
        <v>1</v>
      </c>
      <c r="F2357" s="17">
        <f t="shared" si="1819"/>
        <v>1</v>
      </c>
      <c r="G2357" s="17" t="str">
        <f t="shared" si="1845"/>
        <v>初级防御百分比</v>
      </c>
      <c r="H2357" s="17" t="str">
        <f t="shared" si="1846"/>
        <v>icon_05</v>
      </c>
      <c r="I2357" s="20">
        <v>0</v>
      </c>
      <c r="J2357" s="17">
        <v>4</v>
      </c>
      <c r="K2357" s="17">
        <f t="shared" si="1843"/>
        <v>60405</v>
      </c>
      <c r="L2357" s="17" t="s">
        <v>57</v>
      </c>
      <c r="M2357" s="17" t="str">
        <f t="shared" si="1847"/>
        <v>1:10100:5</v>
      </c>
      <c r="N2357" s="16" t="str">
        <f t="shared" si="1813"/>
        <v>178:1</v>
      </c>
      <c r="O2357" s="17">
        <f t="shared" si="1820"/>
        <v>5</v>
      </c>
      <c r="P2357" s="21" t="str">
        <f t="shared" si="1832"/>
        <v>所有魔物和野兽防御百分比增加:1</v>
      </c>
      <c r="Q2357" s="21"/>
      <c r="R2357" t="str">
        <f t="shared" si="1848"/>
        <v>防御百分比</v>
      </c>
      <c r="T2357" t="str">
        <f t="shared" si="1849"/>
        <v>:1</v>
      </c>
      <c r="U2357" t="str">
        <f t="shared" si="1806"/>
        <v>魔物</v>
      </c>
      <c r="V2357" t="s">
        <v>5029</v>
      </c>
      <c r="W2357">
        <f>属性类型!G2357</f>
        <v>178</v>
      </c>
      <c r="X2357">
        <v>1</v>
      </c>
    </row>
    <row r="2358" customFormat="1" ht="16.5" spans="1:24">
      <c r="A2358" s="17">
        <f t="shared" si="1844"/>
        <v>60405</v>
      </c>
      <c r="B2358" s="17">
        <f t="shared" si="1842"/>
        <v>60400</v>
      </c>
      <c r="C2358" s="17" t="str">
        <f t="shared" si="1800"/>
        <v>6</v>
      </c>
      <c r="D2358" s="17">
        <f t="shared" si="1831"/>
        <v>60001</v>
      </c>
      <c r="E2358" s="17">
        <v>1</v>
      </c>
      <c r="F2358" s="17">
        <f t="shared" si="1819"/>
        <v>1</v>
      </c>
      <c r="G2358" s="17" t="str">
        <f t="shared" si="1845"/>
        <v>初级防御百分比</v>
      </c>
      <c r="H2358" s="17" t="str">
        <f t="shared" si="1846"/>
        <v>icon_05</v>
      </c>
      <c r="I2358" s="20">
        <v>0</v>
      </c>
      <c r="J2358" s="17">
        <v>5</v>
      </c>
      <c r="K2358" s="17">
        <f t="shared" si="1843"/>
        <v>60406</v>
      </c>
      <c r="L2358" s="17" t="s">
        <v>127</v>
      </c>
      <c r="M2358" s="17" t="str">
        <f t="shared" si="1847"/>
        <v>1:10100:5</v>
      </c>
      <c r="N2358" s="16" t="str">
        <f t="shared" si="1813"/>
        <v>178:1</v>
      </c>
      <c r="O2358" s="17">
        <f t="shared" si="1820"/>
        <v>5</v>
      </c>
      <c r="P2358" s="21" t="str">
        <f t="shared" si="1832"/>
        <v>所有魔物和野兽防御百分比增加:1</v>
      </c>
      <c r="Q2358" s="21"/>
      <c r="R2358" t="str">
        <f t="shared" si="1848"/>
        <v>防御百分比</v>
      </c>
      <c r="T2358" t="str">
        <f t="shared" si="1849"/>
        <v>:1</v>
      </c>
      <c r="U2358" t="str">
        <f t="shared" si="1806"/>
        <v>魔物</v>
      </c>
      <c r="V2358" t="s">
        <v>5029</v>
      </c>
      <c r="W2358">
        <f>属性类型!G2358</f>
        <v>178</v>
      </c>
      <c r="X2358">
        <v>1</v>
      </c>
    </row>
    <row r="2359" customFormat="1" ht="16.5" spans="1:24">
      <c r="A2359" s="17">
        <f t="shared" si="1844"/>
        <v>60406</v>
      </c>
      <c r="B2359" s="17">
        <f t="shared" si="1842"/>
        <v>60400</v>
      </c>
      <c r="C2359" s="17" t="str">
        <f t="shared" si="1800"/>
        <v>6</v>
      </c>
      <c r="D2359" s="17">
        <f t="shared" si="1831"/>
        <v>60001</v>
      </c>
      <c r="E2359" s="17">
        <v>1</v>
      </c>
      <c r="F2359" s="17">
        <f t="shared" si="1819"/>
        <v>1</v>
      </c>
      <c r="G2359" s="17" t="str">
        <f t="shared" si="1845"/>
        <v>初级防御百分比</v>
      </c>
      <c r="H2359" s="17" t="str">
        <f t="shared" si="1846"/>
        <v>icon_05</v>
      </c>
      <c r="I2359" s="20">
        <v>0</v>
      </c>
      <c r="J2359" s="17">
        <v>6</v>
      </c>
      <c r="K2359" s="17">
        <f t="shared" si="1843"/>
        <v>60407</v>
      </c>
      <c r="L2359" s="17" t="s">
        <v>131</v>
      </c>
      <c r="M2359" s="17" t="str">
        <f t="shared" si="1847"/>
        <v>1:10100:5</v>
      </c>
      <c r="N2359" s="16" t="str">
        <f t="shared" si="1813"/>
        <v>178:1</v>
      </c>
      <c r="O2359" s="17">
        <f t="shared" si="1820"/>
        <v>5</v>
      </c>
      <c r="P2359" s="21" t="str">
        <f t="shared" si="1832"/>
        <v>所有魔物和野兽防御百分比增加:1</v>
      </c>
      <c r="Q2359" s="21"/>
      <c r="R2359" t="str">
        <f t="shared" si="1848"/>
        <v>防御百分比</v>
      </c>
      <c r="T2359" t="str">
        <f t="shared" si="1849"/>
        <v>:1</v>
      </c>
      <c r="U2359" t="str">
        <f t="shared" si="1806"/>
        <v>魔物</v>
      </c>
      <c r="V2359" t="s">
        <v>5029</v>
      </c>
      <c r="W2359">
        <f>属性类型!G2359</f>
        <v>178</v>
      </c>
      <c r="X2359">
        <v>1</v>
      </c>
    </row>
    <row r="2360" customFormat="1" ht="16.5" spans="1:24">
      <c r="A2360" s="17">
        <f t="shared" si="1844"/>
        <v>60407</v>
      </c>
      <c r="B2360" s="17">
        <f t="shared" si="1842"/>
        <v>60400</v>
      </c>
      <c r="C2360" s="17" t="str">
        <f t="shared" si="1800"/>
        <v>6</v>
      </c>
      <c r="D2360" s="17">
        <f t="shared" si="1831"/>
        <v>60001</v>
      </c>
      <c r="E2360" s="17">
        <v>1</v>
      </c>
      <c r="F2360" s="17">
        <f t="shared" si="1819"/>
        <v>1</v>
      </c>
      <c r="G2360" s="17" t="str">
        <f t="shared" si="1845"/>
        <v>初级防御百分比</v>
      </c>
      <c r="H2360" s="17" t="str">
        <f t="shared" si="1846"/>
        <v>icon_05</v>
      </c>
      <c r="I2360" s="20">
        <v>0</v>
      </c>
      <c r="J2360" s="17">
        <v>7</v>
      </c>
      <c r="K2360" s="17">
        <f t="shared" si="1843"/>
        <v>60408</v>
      </c>
      <c r="L2360" s="17" t="s">
        <v>135</v>
      </c>
      <c r="M2360" s="17" t="str">
        <f t="shared" si="1847"/>
        <v>1:10100:5</v>
      </c>
      <c r="N2360" s="16" t="str">
        <f t="shared" si="1813"/>
        <v>178:1</v>
      </c>
      <c r="O2360" s="17">
        <f t="shared" si="1820"/>
        <v>5</v>
      </c>
      <c r="P2360" s="21" t="str">
        <f t="shared" si="1832"/>
        <v>所有魔物和野兽防御百分比增加:1</v>
      </c>
      <c r="Q2360" s="21"/>
      <c r="R2360" t="str">
        <f t="shared" si="1848"/>
        <v>防御百分比</v>
      </c>
      <c r="T2360" t="str">
        <f t="shared" si="1849"/>
        <v>:1</v>
      </c>
      <c r="U2360" t="str">
        <f t="shared" si="1806"/>
        <v>魔物</v>
      </c>
      <c r="V2360" t="s">
        <v>5029</v>
      </c>
      <c r="W2360">
        <f>属性类型!G2360</f>
        <v>178</v>
      </c>
      <c r="X2360">
        <v>1</v>
      </c>
    </row>
    <row r="2361" customFormat="1" ht="16.5" spans="1:24">
      <c r="A2361" s="17">
        <f t="shared" si="1844"/>
        <v>60408</v>
      </c>
      <c r="B2361" s="17">
        <f t="shared" si="1842"/>
        <v>60400</v>
      </c>
      <c r="C2361" s="17" t="str">
        <f t="shared" si="1800"/>
        <v>6</v>
      </c>
      <c r="D2361" s="17">
        <f t="shared" si="1831"/>
        <v>60001</v>
      </c>
      <c r="E2361" s="17">
        <v>1</v>
      </c>
      <c r="F2361" s="17">
        <f t="shared" si="1819"/>
        <v>1</v>
      </c>
      <c r="G2361" s="17" t="str">
        <f t="shared" si="1845"/>
        <v>初级防御百分比</v>
      </c>
      <c r="H2361" s="17" t="str">
        <f t="shared" si="1846"/>
        <v>icon_05</v>
      </c>
      <c r="I2361" s="20">
        <v>0</v>
      </c>
      <c r="J2361" s="17">
        <v>8</v>
      </c>
      <c r="K2361" s="17">
        <f t="shared" si="1843"/>
        <v>60409</v>
      </c>
      <c r="L2361" s="17" t="s">
        <v>139</v>
      </c>
      <c r="M2361" s="17" t="str">
        <f t="shared" si="1847"/>
        <v>1:10100:5</v>
      </c>
      <c r="N2361" s="16" t="str">
        <f t="shared" si="1813"/>
        <v>178:1</v>
      </c>
      <c r="O2361" s="17">
        <f t="shared" si="1820"/>
        <v>5</v>
      </c>
      <c r="P2361" s="21" t="str">
        <f t="shared" si="1832"/>
        <v>所有魔物和野兽防御百分比增加:1</v>
      </c>
      <c r="Q2361" s="21"/>
      <c r="R2361" t="str">
        <f t="shared" si="1848"/>
        <v>防御百分比</v>
      </c>
      <c r="T2361" t="str">
        <f t="shared" si="1849"/>
        <v>:1</v>
      </c>
      <c r="U2361" t="str">
        <f t="shared" si="1806"/>
        <v>魔物</v>
      </c>
      <c r="V2361" t="s">
        <v>5029</v>
      </c>
      <c r="W2361">
        <f>属性类型!G2361</f>
        <v>178</v>
      </c>
      <c r="X2361">
        <v>1</v>
      </c>
    </row>
    <row r="2362" customFormat="1" ht="16.5" spans="1:24">
      <c r="A2362" s="17">
        <f t="shared" si="1844"/>
        <v>60409</v>
      </c>
      <c r="B2362" s="17">
        <f t="shared" si="1842"/>
        <v>60400</v>
      </c>
      <c r="C2362" s="17" t="str">
        <f t="shared" si="1800"/>
        <v>6</v>
      </c>
      <c r="D2362" s="17">
        <f t="shared" si="1831"/>
        <v>60001</v>
      </c>
      <c r="E2362" s="17">
        <v>1</v>
      </c>
      <c r="F2362" s="17">
        <f t="shared" si="1819"/>
        <v>1</v>
      </c>
      <c r="G2362" s="17" t="str">
        <f t="shared" si="1845"/>
        <v>初级防御百分比</v>
      </c>
      <c r="H2362" s="17" t="str">
        <f t="shared" si="1846"/>
        <v>icon_05</v>
      </c>
      <c r="I2362" s="20">
        <v>0</v>
      </c>
      <c r="J2362" s="17">
        <v>9</v>
      </c>
      <c r="K2362" s="17">
        <f t="shared" si="1843"/>
        <v>60410</v>
      </c>
      <c r="L2362" s="17" t="s">
        <v>143</v>
      </c>
      <c r="M2362" s="17" t="str">
        <f t="shared" si="1847"/>
        <v>1:10100:5</v>
      </c>
      <c r="N2362" s="16" t="str">
        <f t="shared" si="1813"/>
        <v>178:1</v>
      </c>
      <c r="O2362" s="17">
        <f t="shared" si="1820"/>
        <v>5</v>
      </c>
      <c r="P2362" s="21" t="str">
        <f t="shared" si="1832"/>
        <v>所有魔物和野兽防御百分比增加:1</v>
      </c>
      <c r="Q2362" s="21"/>
      <c r="R2362" t="str">
        <f t="shared" si="1848"/>
        <v>防御百分比</v>
      </c>
      <c r="T2362" t="str">
        <f t="shared" si="1849"/>
        <v>:1</v>
      </c>
      <c r="U2362" t="str">
        <f t="shared" si="1806"/>
        <v>魔物</v>
      </c>
      <c r="V2362" t="s">
        <v>5029</v>
      </c>
      <c r="W2362">
        <f>属性类型!G2362</f>
        <v>178</v>
      </c>
      <c r="X2362">
        <v>1</v>
      </c>
    </row>
    <row r="2363" customFormat="1" ht="16.5" spans="1:24">
      <c r="A2363" s="17">
        <f t="shared" si="1844"/>
        <v>60410</v>
      </c>
      <c r="B2363" s="17">
        <f t="shared" si="1842"/>
        <v>60400</v>
      </c>
      <c r="C2363" s="17" t="str">
        <f t="shared" si="1800"/>
        <v>6</v>
      </c>
      <c r="D2363" s="17">
        <f t="shared" si="1831"/>
        <v>60001</v>
      </c>
      <c r="E2363" s="17">
        <v>1</v>
      </c>
      <c r="F2363" s="17">
        <f t="shared" si="1819"/>
        <v>1</v>
      </c>
      <c r="G2363" s="17" t="str">
        <f t="shared" si="1845"/>
        <v>初级防御百分比</v>
      </c>
      <c r="H2363" s="17" t="str">
        <f t="shared" si="1846"/>
        <v>icon_05</v>
      </c>
      <c r="I2363" s="20">
        <v>0</v>
      </c>
      <c r="J2363" s="17">
        <v>10</v>
      </c>
      <c r="K2363" s="17">
        <v>0</v>
      </c>
      <c r="L2363" s="17">
        <v>0</v>
      </c>
      <c r="M2363" s="17" t="str">
        <f t="shared" si="1847"/>
        <v>1:10100:5</v>
      </c>
      <c r="N2363" s="16" t="str">
        <f t="shared" si="1813"/>
        <v>178:1</v>
      </c>
      <c r="O2363" s="17">
        <f t="shared" si="1820"/>
        <v>5</v>
      </c>
      <c r="P2363" s="21" t="str">
        <f t="shared" si="1832"/>
        <v>所有魔物和野兽防御百分比增加:1</v>
      </c>
      <c r="Q2363" s="21"/>
      <c r="R2363" t="str">
        <f t="shared" si="1848"/>
        <v>防御百分比</v>
      </c>
      <c r="T2363" t="str">
        <f t="shared" si="1849"/>
        <v>:1</v>
      </c>
      <c r="U2363" t="str">
        <f t="shared" si="1806"/>
        <v>魔物</v>
      </c>
      <c r="V2363" t="s">
        <v>5029</v>
      </c>
      <c r="W2363">
        <f>属性类型!G2363</f>
        <v>178</v>
      </c>
      <c r="X2363">
        <v>1</v>
      </c>
    </row>
    <row r="2364" customFormat="1" ht="16.5" spans="1:24">
      <c r="A2364" s="18">
        <f>A2353+100</f>
        <v>60500</v>
      </c>
      <c r="B2364" s="18">
        <f t="shared" si="1842"/>
        <v>60500</v>
      </c>
      <c r="C2364" s="18" t="str">
        <f t="shared" si="1800"/>
        <v>6</v>
      </c>
      <c r="D2364" s="17">
        <f t="shared" si="1831"/>
        <v>60001</v>
      </c>
      <c r="E2364" s="17">
        <v>1</v>
      </c>
      <c r="F2364" s="18">
        <f t="shared" si="1819"/>
        <v>1</v>
      </c>
      <c r="G2364" s="18" t="s">
        <v>148</v>
      </c>
      <c r="H2364" s="18" t="s">
        <v>149</v>
      </c>
      <c r="I2364" s="20">
        <v>0</v>
      </c>
      <c r="J2364" s="18">
        <v>0</v>
      </c>
      <c r="K2364" s="18">
        <f t="shared" ref="K2364:K2373" si="1850">A2365</f>
        <v>60501</v>
      </c>
      <c r="L2364" s="18" t="s">
        <v>40</v>
      </c>
      <c r="M2364" s="18" t="s">
        <v>151</v>
      </c>
      <c r="N2364" s="16" t="str">
        <f t="shared" si="1813"/>
        <v>177:1</v>
      </c>
      <c r="O2364" s="18">
        <f t="shared" si="1820"/>
        <v>6</v>
      </c>
      <c r="P2364" s="21" t="str">
        <f t="shared" si="1832"/>
        <v>所有魔物和野兽攻击百分比增加1</v>
      </c>
      <c r="Q2364" s="21"/>
      <c r="R2364" t="s">
        <v>4280</v>
      </c>
      <c r="T2364" t="str">
        <f>RIGHT(N2364,1)</f>
        <v>1</v>
      </c>
      <c r="U2364" t="str">
        <f t="shared" si="1806"/>
        <v>魔物</v>
      </c>
      <c r="V2364" t="s">
        <v>5030</v>
      </c>
      <c r="W2364">
        <f>属性类型!G2364</f>
        <v>177</v>
      </c>
      <c r="X2364">
        <v>1</v>
      </c>
    </row>
    <row r="2365" customFormat="1" ht="16.5" spans="1:24">
      <c r="A2365" s="17">
        <f t="shared" ref="A2365:A2374" si="1851">A2364+1</f>
        <v>60501</v>
      </c>
      <c r="B2365" s="17">
        <f t="shared" si="1842"/>
        <v>60500</v>
      </c>
      <c r="C2365" s="17" t="str">
        <f t="shared" si="1800"/>
        <v>6</v>
      </c>
      <c r="D2365" s="17">
        <f t="shared" si="1831"/>
        <v>60001</v>
      </c>
      <c r="E2365" s="17">
        <v>1</v>
      </c>
      <c r="F2365" s="17">
        <f t="shared" si="1819"/>
        <v>1</v>
      </c>
      <c r="G2365" s="17" t="str">
        <f t="shared" ref="G2365:G2374" si="1852">G2364</f>
        <v>初级攻击百分比</v>
      </c>
      <c r="H2365" s="17" t="str">
        <f t="shared" ref="H2365:H2374" si="1853">H2364</f>
        <v>icon_06</v>
      </c>
      <c r="I2365" s="20">
        <v>0</v>
      </c>
      <c r="J2365" s="17">
        <v>1</v>
      </c>
      <c r="K2365" s="17">
        <f t="shared" si="1850"/>
        <v>60502</v>
      </c>
      <c r="L2365" s="17" t="s">
        <v>44</v>
      </c>
      <c r="M2365" s="17" t="str">
        <f t="shared" ref="M2365:M2374" si="1854">M2364</f>
        <v>1:10200:5</v>
      </c>
      <c r="N2365" s="16" t="str">
        <f t="shared" si="1813"/>
        <v>177:1</v>
      </c>
      <c r="O2365" s="17">
        <f t="shared" si="1820"/>
        <v>6</v>
      </c>
      <c r="P2365" s="21" t="str">
        <f t="shared" si="1832"/>
        <v>所有魔物和野兽攻击百分比增加:1</v>
      </c>
      <c r="Q2365" s="21"/>
      <c r="R2365" t="str">
        <f t="shared" ref="R2365:R2374" si="1855">R2364</f>
        <v>攻击百分比</v>
      </c>
      <c r="T2365" t="str">
        <f t="shared" ref="T2365:T2374" si="1856">RIGHT(N2365,2)</f>
        <v>:1</v>
      </c>
      <c r="U2365" t="str">
        <f t="shared" si="1806"/>
        <v>魔物</v>
      </c>
      <c r="V2365" t="s">
        <v>5030</v>
      </c>
      <c r="W2365">
        <f>属性类型!G2365</f>
        <v>177</v>
      </c>
      <c r="X2365">
        <v>1</v>
      </c>
    </row>
    <row r="2366" customFormat="1" ht="16.5" spans="1:24">
      <c r="A2366" s="17">
        <f t="shared" si="1851"/>
        <v>60502</v>
      </c>
      <c r="B2366" s="17">
        <f t="shared" si="1842"/>
        <v>60500</v>
      </c>
      <c r="C2366" s="17" t="str">
        <f t="shared" si="1800"/>
        <v>6</v>
      </c>
      <c r="D2366" s="17">
        <f t="shared" si="1831"/>
        <v>60001</v>
      </c>
      <c r="E2366" s="17">
        <v>1</v>
      </c>
      <c r="F2366" s="17">
        <f t="shared" si="1819"/>
        <v>1</v>
      </c>
      <c r="G2366" s="17" t="str">
        <f t="shared" si="1852"/>
        <v>初级攻击百分比</v>
      </c>
      <c r="H2366" s="17" t="str">
        <f t="shared" si="1853"/>
        <v>icon_06</v>
      </c>
      <c r="I2366" s="20">
        <v>0</v>
      </c>
      <c r="J2366" s="17">
        <v>2</v>
      </c>
      <c r="K2366" s="17">
        <f t="shared" si="1850"/>
        <v>60503</v>
      </c>
      <c r="L2366" s="17" t="s">
        <v>49</v>
      </c>
      <c r="M2366" s="17" t="str">
        <f t="shared" si="1854"/>
        <v>1:10200:5</v>
      </c>
      <c r="N2366" s="16" t="str">
        <f t="shared" si="1813"/>
        <v>177:1</v>
      </c>
      <c r="O2366" s="17">
        <f t="shared" si="1820"/>
        <v>6</v>
      </c>
      <c r="P2366" s="21" t="str">
        <f t="shared" si="1832"/>
        <v>所有魔物和野兽攻击百分比增加:1</v>
      </c>
      <c r="Q2366" s="21"/>
      <c r="R2366" t="str">
        <f t="shared" si="1855"/>
        <v>攻击百分比</v>
      </c>
      <c r="T2366" t="str">
        <f t="shared" si="1856"/>
        <v>:1</v>
      </c>
      <c r="U2366" t="str">
        <f t="shared" si="1806"/>
        <v>魔物</v>
      </c>
      <c r="V2366" t="s">
        <v>5030</v>
      </c>
      <c r="W2366">
        <f>属性类型!G2366</f>
        <v>177</v>
      </c>
      <c r="X2366">
        <v>1</v>
      </c>
    </row>
    <row r="2367" customFormat="1" ht="16.5" spans="1:24">
      <c r="A2367" s="17">
        <f t="shared" si="1851"/>
        <v>60503</v>
      </c>
      <c r="B2367" s="17">
        <f t="shared" si="1842"/>
        <v>60500</v>
      </c>
      <c r="C2367" s="17" t="str">
        <f t="shared" si="1800"/>
        <v>6</v>
      </c>
      <c r="D2367" s="17">
        <f t="shared" si="1831"/>
        <v>60001</v>
      </c>
      <c r="E2367" s="17">
        <v>1</v>
      </c>
      <c r="F2367" s="17">
        <f t="shared" si="1819"/>
        <v>1</v>
      </c>
      <c r="G2367" s="17" t="str">
        <f t="shared" si="1852"/>
        <v>初级攻击百分比</v>
      </c>
      <c r="H2367" s="17" t="str">
        <f t="shared" si="1853"/>
        <v>icon_06</v>
      </c>
      <c r="I2367" s="20">
        <v>0</v>
      </c>
      <c r="J2367" s="17">
        <v>3</v>
      </c>
      <c r="K2367" s="17">
        <f t="shared" si="1850"/>
        <v>60504</v>
      </c>
      <c r="L2367" s="17" t="s">
        <v>53</v>
      </c>
      <c r="M2367" s="17" t="str">
        <f t="shared" si="1854"/>
        <v>1:10200:5</v>
      </c>
      <c r="N2367" s="16" t="str">
        <f t="shared" si="1813"/>
        <v>177:1</v>
      </c>
      <c r="O2367" s="17">
        <f t="shared" si="1820"/>
        <v>6</v>
      </c>
      <c r="P2367" s="21" t="str">
        <f t="shared" si="1832"/>
        <v>所有魔物和野兽攻击百分比增加:1</v>
      </c>
      <c r="Q2367" s="21"/>
      <c r="R2367" t="str">
        <f t="shared" si="1855"/>
        <v>攻击百分比</v>
      </c>
      <c r="T2367" t="str">
        <f t="shared" si="1856"/>
        <v>:1</v>
      </c>
      <c r="U2367" t="str">
        <f t="shared" si="1806"/>
        <v>魔物</v>
      </c>
      <c r="V2367" t="s">
        <v>5030</v>
      </c>
      <c r="W2367">
        <f>属性类型!G2367</f>
        <v>177</v>
      </c>
      <c r="X2367">
        <v>1</v>
      </c>
    </row>
    <row r="2368" customFormat="1" ht="16.5" spans="1:24">
      <c r="A2368" s="17">
        <f t="shared" si="1851"/>
        <v>60504</v>
      </c>
      <c r="B2368" s="17">
        <f t="shared" si="1842"/>
        <v>60500</v>
      </c>
      <c r="C2368" s="17" t="str">
        <f t="shared" si="1800"/>
        <v>6</v>
      </c>
      <c r="D2368" s="17">
        <f t="shared" si="1831"/>
        <v>60001</v>
      </c>
      <c r="E2368" s="17">
        <v>1</v>
      </c>
      <c r="F2368" s="17">
        <f t="shared" si="1819"/>
        <v>1</v>
      </c>
      <c r="G2368" s="17" t="str">
        <f t="shared" si="1852"/>
        <v>初级攻击百分比</v>
      </c>
      <c r="H2368" s="17" t="str">
        <f t="shared" si="1853"/>
        <v>icon_06</v>
      </c>
      <c r="I2368" s="20">
        <v>0</v>
      </c>
      <c r="J2368" s="17">
        <v>4</v>
      </c>
      <c r="K2368" s="17">
        <f t="shared" si="1850"/>
        <v>60505</v>
      </c>
      <c r="L2368" s="17" t="s">
        <v>57</v>
      </c>
      <c r="M2368" s="17" t="str">
        <f t="shared" si="1854"/>
        <v>1:10200:5</v>
      </c>
      <c r="N2368" s="16" t="str">
        <f t="shared" si="1813"/>
        <v>177:1</v>
      </c>
      <c r="O2368" s="17">
        <f t="shared" si="1820"/>
        <v>6</v>
      </c>
      <c r="P2368" s="21" t="str">
        <f t="shared" si="1832"/>
        <v>所有魔物和野兽攻击百分比增加:1</v>
      </c>
      <c r="Q2368" s="21"/>
      <c r="R2368" t="str">
        <f t="shared" si="1855"/>
        <v>攻击百分比</v>
      </c>
      <c r="T2368" t="str">
        <f t="shared" si="1856"/>
        <v>:1</v>
      </c>
      <c r="U2368" t="str">
        <f t="shared" si="1806"/>
        <v>魔物</v>
      </c>
      <c r="V2368" t="s">
        <v>5030</v>
      </c>
      <c r="W2368">
        <f>属性类型!G2368</f>
        <v>177</v>
      </c>
      <c r="X2368">
        <v>1</v>
      </c>
    </row>
    <row r="2369" customFormat="1" ht="16.5" spans="1:24">
      <c r="A2369" s="17">
        <f t="shared" si="1851"/>
        <v>60505</v>
      </c>
      <c r="B2369" s="17">
        <f t="shared" si="1842"/>
        <v>60500</v>
      </c>
      <c r="C2369" s="17" t="str">
        <f t="shared" si="1800"/>
        <v>6</v>
      </c>
      <c r="D2369" s="17">
        <f t="shared" si="1831"/>
        <v>60001</v>
      </c>
      <c r="E2369" s="17">
        <v>1</v>
      </c>
      <c r="F2369" s="17">
        <f t="shared" si="1819"/>
        <v>1</v>
      </c>
      <c r="G2369" s="17" t="str">
        <f t="shared" si="1852"/>
        <v>初级攻击百分比</v>
      </c>
      <c r="H2369" s="17" t="str">
        <f t="shared" si="1853"/>
        <v>icon_06</v>
      </c>
      <c r="I2369" s="20">
        <v>0</v>
      </c>
      <c r="J2369" s="17">
        <v>5</v>
      </c>
      <c r="K2369" s="17">
        <f t="shared" si="1850"/>
        <v>60506</v>
      </c>
      <c r="L2369" s="17" t="s">
        <v>127</v>
      </c>
      <c r="M2369" s="17" t="str">
        <f t="shared" si="1854"/>
        <v>1:10200:5</v>
      </c>
      <c r="N2369" s="16" t="str">
        <f t="shared" si="1813"/>
        <v>177:1</v>
      </c>
      <c r="O2369" s="17">
        <f t="shared" si="1820"/>
        <v>6</v>
      </c>
      <c r="P2369" s="21" t="str">
        <f t="shared" si="1832"/>
        <v>所有魔物和野兽攻击百分比增加:1</v>
      </c>
      <c r="Q2369" s="21"/>
      <c r="R2369" t="str">
        <f t="shared" si="1855"/>
        <v>攻击百分比</v>
      </c>
      <c r="T2369" t="str">
        <f t="shared" si="1856"/>
        <v>:1</v>
      </c>
      <c r="U2369" t="str">
        <f t="shared" si="1806"/>
        <v>魔物</v>
      </c>
      <c r="V2369" t="s">
        <v>5030</v>
      </c>
      <c r="W2369">
        <f>属性类型!G2369</f>
        <v>177</v>
      </c>
      <c r="X2369">
        <v>1</v>
      </c>
    </row>
    <row r="2370" customFormat="1" ht="16.5" spans="1:24">
      <c r="A2370" s="17">
        <f t="shared" si="1851"/>
        <v>60506</v>
      </c>
      <c r="B2370" s="17">
        <f t="shared" si="1842"/>
        <v>60500</v>
      </c>
      <c r="C2370" s="17" t="str">
        <f t="shared" si="1800"/>
        <v>6</v>
      </c>
      <c r="D2370" s="17">
        <f t="shared" si="1831"/>
        <v>60001</v>
      </c>
      <c r="E2370" s="17">
        <v>1</v>
      </c>
      <c r="F2370" s="17">
        <f t="shared" si="1819"/>
        <v>1</v>
      </c>
      <c r="G2370" s="17" t="str">
        <f t="shared" si="1852"/>
        <v>初级攻击百分比</v>
      </c>
      <c r="H2370" s="17" t="str">
        <f t="shared" si="1853"/>
        <v>icon_06</v>
      </c>
      <c r="I2370" s="20">
        <v>0</v>
      </c>
      <c r="J2370" s="17">
        <v>6</v>
      </c>
      <c r="K2370" s="17">
        <f t="shared" si="1850"/>
        <v>60507</v>
      </c>
      <c r="L2370" s="17" t="s">
        <v>131</v>
      </c>
      <c r="M2370" s="17" t="str">
        <f t="shared" si="1854"/>
        <v>1:10200:5</v>
      </c>
      <c r="N2370" s="16" t="str">
        <f t="shared" si="1813"/>
        <v>177:1</v>
      </c>
      <c r="O2370" s="17">
        <f t="shared" si="1820"/>
        <v>6</v>
      </c>
      <c r="P2370" s="21" t="str">
        <f t="shared" si="1832"/>
        <v>所有魔物和野兽攻击百分比增加:1</v>
      </c>
      <c r="Q2370" s="21"/>
      <c r="R2370" t="str">
        <f t="shared" si="1855"/>
        <v>攻击百分比</v>
      </c>
      <c r="T2370" t="str">
        <f t="shared" si="1856"/>
        <v>:1</v>
      </c>
      <c r="U2370" t="str">
        <f t="shared" si="1806"/>
        <v>魔物</v>
      </c>
      <c r="V2370" t="s">
        <v>5030</v>
      </c>
      <c r="W2370">
        <f>属性类型!G2370</f>
        <v>177</v>
      </c>
      <c r="X2370">
        <v>1</v>
      </c>
    </row>
    <row r="2371" customFormat="1" ht="16.5" spans="1:24">
      <c r="A2371" s="17">
        <f t="shared" si="1851"/>
        <v>60507</v>
      </c>
      <c r="B2371" s="17">
        <f t="shared" si="1842"/>
        <v>60500</v>
      </c>
      <c r="C2371" s="17" t="str">
        <f t="shared" si="1800"/>
        <v>6</v>
      </c>
      <c r="D2371" s="17">
        <f t="shared" si="1831"/>
        <v>60001</v>
      </c>
      <c r="E2371" s="17">
        <v>1</v>
      </c>
      <c r="F2371" s="17">
        <f t="shared" si="1819"/>
        <v>1</v>
      </c>
      <c r="G2371" s="17" t="str">
        <f t="shared" si="1852"/>
        <v>初级攻击百分比</v>
      </c>
      <c r="H2371" s="17" t="str">
        <f t="shared" si="1853"/>
        <v>icon_06</v>
      </c>
      <c r="I2371" s="20">
        <v>0</v>
      </c>
      <c r="J2371" s="17">
        <v>7</v>
      </c>
      <c r="K2371" s="17">
        <f t="shared" si="1850"/>
        <v>60508</v>
      </c>
      <c r="L2371" s="17" t="s">
        <v>135</v>
      </c>
      <c r="M2371" s="17" t="str">
        <f t="shared" si="1854"/>
        <v>1:10200:5</v>
      </c>
      <c r="N2371" s="16" t="str">
        <f t="shared" si="1813"/>
        <v>177:1</v>
      </c>
      <c r="O2371" s="17">
        <f t="shared" si="1820"/>
        <v>6</v>
      </c>
      <c r="P2371" s="21" t="str">
        <f t="shared" si="1832"/>
        <v>所有魔物和野兽攻击百分比增加:1</v>
      </c>
      <c r="Q2371" s="21"/>
      <c r="R2371" t="str">
        <f t="shared" si="1855"/>
        <v>攻击百分比</v>
      </c>
      <c r="T2371" t="str">
        <f t="shared" si="1856"/>
        <v>:1</v>
      </c>
      <c r="U2371" t="str">
        <f t="shared" si="1806"/>
        <v>魔物</v>
      </c>
      <c r="V2371" t="s">
        <v>5030</v>
      </c>
      <c r="W2371">
        <f>属性类型!G2371</f>
        <v>177</v>
      </c>
      <c r="X2371">
        <v>1</v>
      </c>
    </row>
    <row r="2372" customFormat="1" ht="16.5" spans="1:24">
      <c r="A2372" s="17">
        <f t="shared" si="1851"/>
        <v>60508</v>
      </c>
      <c r="B2372" s="17">
        <f t="shared" si="1842"/>
        <v>60500</v>
      </c>
      <c r="C2372" s="17" t="str">
        <f t="shared" ref="C2372:C2396" si="1857">LEFT(A2372,1)</f>
        <v>6</v>
      </c>
      <c r="D2372" s="17">
        <f t="shared" si="1831"/>
        <v>60001</v>
      </c>
      <c r="E2372" s="17">
        <v>1</v>
      </c>
      <c r="F2372" s="17">
        <f t="shared" si="1819"/>
        <v>1</v>
      </c>
      <c r="G2372" s="17" t="str">
        <f t="shared" si="1852"/>
        <v>初级攻击百分比</v>
      </c>
      <c r="H2372" s="17" t="str">
        <f t="shared" si="1853"/>
        <v>icon_06</v>
      </c>
      <c r="I2372" s="20">
        <v>0</v>
      </c>
      <c r="J2372" s="17">
        <v>8</v>
      </c>
      <c r="K2372" s="17">
        <f t="shared" si="1850"/>
        <v>60509</v>
      </c>
      <c r="L2372" s="17" t="s">
        <v>139</v>
      </c>
      <c r="M2372" s="17" t="str">
        <f t="shared" si="1854"/>
        <v>1:10200:5</v>
      </c>
      <c r="N2372" s="16" t="str">
        <f t="shared" si="1813"/>
        <v>177:1</v>
      </c>
      <c r="O2372" s="17">
        <f t="shared" si="1820"/>
        <v>6</v>
      </c>
      <c r="P2372" s="21" t="str">
        <f t="shared" si="1832"/>
        <v>所有魔物和野兽攻击百分比增加:1</v>
      </c>
      <c r="Q2372" s="21"/>
      <c r="R2372" t="str">
        <f t="shared" si="1855"/>
        <v>攻击百分比</v>
      </c>
      <c r="T2372" t="str">
        <f t="shared" si="1856"/>
        <v>:1</v>
      </c>
      <c r="U2372" t="str">
        <f t="shared" si="1806"/>
        <v>魔物</v>
      </c>
      <c r="V2372" t="s">
        <v>5030</v>
      </c>
      <c r="W2372">
        <f>属性类型!G2372</f>
        <v>177</v>
      </c>
      <c r="X2372">
        <v>1</v>
      </c>
    </row>
    <row r="2373" customFormat="1" ht="16.5" spans="1:24">
      <c r="A2373" s="17">
        <f t="shared" si="1851"/>
        <v>60509</v>
      </c>
      <c r="B2373" s="17">
        <f t="shared" si="1842"/>
        <v>60500</v>
      </c>
      <c r="C2373" s="17" t="str">
        <f t="shared" si="1857"/>
        <v>6</v>
      </c>
      <c r="D2373" s="17">
        <f t="shared" si="1831"/>
        <v>60001</v>
      </c>
      <c r="E2373" s="17">
        <v>1</v>
      </c>
      <c r="F2373" s="17">
        <f t="shared" si="1819"/>
        <v>1</v>
      </c>
      <c r="G2373" s="17" t="str">
        <f t="shared" si="1852"/>
        <v>初级攻击百分比</v>
      </c>
      <c r="H2373" s="17" t="str">
        <f t="shared" si="1853"/>
        <v>icon_06</v>
      </c>
      <c r="I2373" s="20">
        <v>0</v>
      </c>
      <c r="J2373" s="17">
        <v>9</v>
      </c>
      <c r="K2373" s="17">
        <f t="shared" si="1850"/>
        <v>60510</v>
      </c>
      <c r="L2373" s="17" t="s">
        <v>143</v>
      </c>
      <c r="M2373" s="17" t="str">
        <f t="shared" si="1854"/>
        <v>1:10200:5</v>
      </c>
      <c r="N2373" s="16" t="str">
        <f t="shared" si="1813"/>
        <v>177:1</v>
      </c>
      <c r="O2373" s="17">
        <f t="shared" si="1820"/>
        <v>6</v>
      </c>
      <c r="P2373" s="21" t="str">
        <f t="shared" si="1832"/>
        <v>所有魔物和野兽攻击百分比增加:1</v>
      </c>
      <c r="Q2373" s="21"/>
      <c r="R2373" t="str">
        <f t="shared" si="1855"/>
        <v>攻击百分比</v>
      </c>
      <c r="T2373" t="str">
        <f t="shared" si="1856"/>
        <v>:1</v>
      </c>
      <c r="U2373" t="str">
        <f t="shared" ref="U2373:U2436" si="1858">MID(P2373,3,2)</f>
        <v>魔物</v>
      </c>
      <c r="V2373" t="s">
        <v>5030</v>
      </c>
      <c r="W2373">
        <f>属性类型!G2373</f>
        <v>177</v>
      </c>
      <c r="X2373">
        <v>1</v>
      </c>
    </row>
    <row r="2374" customFormat="1" ht="16.5" spans="1:24">
      <c r="A2374" s="17">
        <f t="shared" si="1851"/>
        <v>60510</v>
      </c>
      <c r="B2374" s="17">
        <f t="shared" si="1842"/>
        <v>60500</v>
      </c>
      <c r="C2374" s="17" t="str">
        <f t="shared" si="1857"/>
        <v>6</v>
      </c>
      <c r="D2374" s="17">
        <f t="shared" si="1831"/>
        <v>60001</v>
      </c>
      <c r="E2374" s="17">
        <v>1</v>
      </c>
      <c r="F2374" s="17">
        <f t="shared" si="1819"/>
        <v>1</v>
      </c>
      <c r="G2374" s="17" t="str">
        <f t="shared" si="1852"/>
        <v>初级攻击百分比</v>
      </c>
      <c r="H2374" s="17" t="str">
        <f t="shared" si="1853"/>
        <v>icon_06</v>
      </c>
      <c r="I2374" s="20">
        <v>0</v>
      </c>
      <c r="J2374" s="17">
        <v>10</v>
      </c>
      <c r="K2374" s="17">
        <v>0</v>
      </c>
      <c r="L2374" s="17">
        <v>0</v>
      </c>
      <c r="M2374" s="17" t="str">
        <f t="shared" si="1854"/>
        <v>1:10200:5</v>
      </c>
      <c r="N2374" s="16" t="str">
        <f t="shared" si="1813"/>
        <v>177:1</v>
      </c>
      <c r="O2374" s="17">
        <f t="shared" si="1820"/>
        <v>6</v>
      </c>
      <c r="P2374" s="21" t="str">
        <f t="shared" si="1832"/>
        <v>所有魔物和野兽攻击百分比增加:1</v>
      </c>
      <c r="Q2374" s="21"/>
      <c r="R2374" t="str">
        <f t="shared" si="1855"/>
        <v>攻击百分比</v>
      </c>
      <c r="T2374" t="str">
        <f t="shared" si="1856"/>
        <v>:1</v>
      </c>
      <c r="U2374" t="str">
        <f t="shared" si="1858"/>
        <v>魔物</v>
      </c>
      <c r="V2374" t="s">
        <v>5030</v>
      </c>
      <c r="W2374">
        <f>属性类型!G2374</f>
        <v>177</v>
      </c>
      <c r="X2374">
        <v>1</v>
      </c>
    </row>
    <row r="2375" customFormat="1" ht="16.5" spans="1:24">
      <c r="A2375" s="18">
        <f>A2364+100</f>
        <v>60600</v>
      </c>
      <c r="B2375" s="18">
        <f t="shared" si="1842"/>
        <v>60600</v>
      </c>
      <c r="C2375" s="18" t="str">
        <f t="shared" si="1857"/>
        <v>6</v>
      </c>
      <c r="D2375" s="17">
        <f t="shared" si="1831"/>
        <v>60001</v>
      </c>
      <c r="E2375" s="17">
        <v>1</v>
      </c>
      <c r="F2375" s="18">
        <f t="shared" si="1819"/>
        <v>1</v>
      </c>
      <c r="G2375" s="18" t="s">
        <v>175</v>
      </c>
      <c r="H2375" s="18" t="s">
        <v>176</v>
      </c>
      <c r="I2375" s="20">
        <v>0</v>
      </c>
      <c r="J2375" s="18">
        <v>0</v>
      </c>
      <c r="K2375" s="18">
        <f t="shared" ref="K2375:K2384" si="1859">A2376</f>
        <v>60601</v>
      </c>
      <c r="L2375" s="18" t="s">
        <v>40</v>
      </c>
      <c r="M2375" s="18" t="s">
        <v>178</v>
      </c>
      <c r="N2375" s="16" t="str">
        <f t="shared" si="1813"/>
        <v>179:1</v>
      </c>
      <c r="O2375" s="18">
        <f t="shared" si="1820"/>
        <v>7</v>
      </c>
      <c r="P2375" s="21" t="str">
        <f t="shared" si="1832"/>
        <v>所有魔物和野兽魔防百分比增加1</v>
      </c>
      <c r="Q2375" s="21"/>
      <c r="R2375" t="s">
        <v>4282</v>
      </c>
      <c r="T2375" t="str">
        <f>RIGHT(N2375,1)</f>
        <v>1</v>
      </c>
      <c r="U2375" t="str">
        <f t="shared" si="1858"/>
        <v>魔物</v>
      </c>
      <c r="V2375" t="s">
        <v>5031</v>
      </c>
      <c r="W2375">
        <f>属性类型!G2375</f>
        <v>179</v>
      </c>
      <c r="X2375">
        <v>1</v>
      </c>
    </row>
    <row r="2376" customFormat="1" ht="16.5" spans="1:24">
      <c r="A2376" s="17">
        <f t="shared" ref="A2376:A2385" si="1860">A2375+1</f>
        <v>60601</v>
      </c>
      <c r="B2376" s="17">
        <f t="shared" si="1842"/>
        <v>60600</v>
      </c>
      <c r="C2376" s="17" t="str">
        <f t="shared" si="1857"/>
        <v>6</v>
      </c>
      <c r="D2376" s="17">
        <f t="shared" si="1831"/>
        <v>60001</v>
      </c>
      <c r="E2376" s="17">
        <v>1</v>
      </c>
      <c r="F2376" s="17">
        <f t="shared" si="1819"/>
        <v>1</v>
      </c>
      <c r="G2376" s="17" t="str">
        <f t="shared" ref="G2376:G2385" si="1861">G2375</f>
        <v>初级魔防百分比</v>
      </c>
      <c r="H2376" s="17" t="str">
        <f t="shared" ref="H2376:H2385" si="1862">H2375</f>
        <v>icon_07</v>
      </c>
      <c r="I2376" s="20">
        <v>0</v>
      </c>
      <c r="J2376" s="17">
        <v>1</v>
      </c>
      <c r="K2376" s="17">
        <f t="shared" si="1859"/>
        <v>60602</v>
      </c>
      <c r="L2376" s="17" t="s">
        <v>44</v>
      </c>
      <c r="M2376" s="17" t="str">
        <f t="shared" ref="M2376:M2385" si="1863">M2375</f>
        <v>1:10300:5</v>
      </c>
      <c r="N2376" s="16" t="str">
        <f t="shared" si="1813"/>
        <v>179:1</v>
      </c>
      <c r="O2376" s="17">
        <f t="shared" si="1820"/>
        <v>7</v>
      </c>
      <c r="P2376" s="21" t="str">
        <f t="shared" si="1832"/>
        <v>所有魔物和野兽魔防百分比增加:1</v>
      </c>
      <c r="Q2376" s="21"/>
      <c r="R2376" t="str">
        <f t="shared" ref="R2376:R2385" si="1864">R2375</f>
        <v>魔防百分比</v>
      </c>
      <c r="T2376" t="str">
        <f t="shared" ref="T2376:T2385" si="1865">RIGHT(N2376,2)</f>
        <v>:1</v>
      </c>
      <c r="U2376" t="str">
        <f t="shared" si="1858"/>
        <v>魔物</v>
      </c>
      <c r="V2376" t="s">
        <v>5031</v>
      </c>
      <c r="W2376">
        <f>属性类型!G2376</f>
        <v>179</v>
      </c>
      <c r="X2376">
        <v>1</v>
      </c>
    </row>
    <row r="2377" customFormat="1" ht="16.5" spans="1:24">
      <c r="A2377" s="17">
        <f t="shared" si="1860"/>
        <v>60602</v>
      </c>
      <c r="B2377" s="17">
        <f t="shared" si="1842"/>
        <v>60600</v>
      </c>
      <c r="C2377" s="17" t="str">
        <f t="shared" si="1857"/>
        <v>6</v>
      </c>
      <c r="D2377" s="17">
        <f t="shared" si="1831"/>
        <v>60001</v>
      </c>
      <c r="E2377" s="17">
        <v>1</v>
      </c>
      <c r="F2377" s="17">
        <f t="shared" si="1819"/>
        <v>1</v>
      </c>
      <c r="G2377" s="17" t="str">
        <f t="shared" si="1861"/>
        <v>初级魔防百分比</v>
      </c>
      <c r="H2377" s="17" t="str">
        <f t="shared" si="1862"/>
        <v>icon_07</v>
      </c>
      <c r="I2377" s="20">
        <v>0</v>
      </c>
      <c r="J2377" s="17">
        <v>2</v>
      </c>
      <c r="K2377" s="17">
        <f t="shared" si="1859"/>
        <v>60603</v>
      </c>
      <c r="L2377" s="17" t="s">
        <v>49</v>
      </c>
      <c r="M2377" s="17" t="str">
        <f t="shared" si="1863"/>
        <v>1:10300:5</v>
      </c>
      <c r="N2377" s="16" t="str">
        <f t="shared" si="1813"/>
        <v>179:1</v>
      </c>
      <c r="O2377" s="17">
        <f t="shared" si="1820"/>
        <v>7</v>
      </c>
      <c r="P2377" s="21" t="str">
        <f t="shared" si="1832"/>
        <v>所有魔物和野兽魔防百分比增加:1</v>
      </c>
      <c r="Q2377" s="21"/>
      <c r="R2377" t="str">
        <f t="shared" si="1864"/>
        <v>魔防百分比</v>
      </c>
      <c r="T2377" t="str">
        <f t="shared" si="1865"/>
        <v>:1</v>
      </c>
      <c r="U2377" t="str">
        <f t="shared" si="1858"/>
        <v>魔物</v>
      </c>
      <c r="V2377" t="s">
        <v>5031</v>
      </c>
      <c r="W2377">
        <f>属性类型!G2377</f>
        <v>179</v>
      </c>
      <c r="X2377">
        <v>1</v>
      </c>
    </row>
    <row r="2378" customFormat="1" ht="16.5" spans="1:24">
      <c r="A2378" s="17">
        <f t="shared" si="1860"/>
        <v>60603</v>
      </c>
      <c r="B2378" s="17">
        <f t="shared" si="1842"/>
        <v>60600</v>
      </c>
      <c r="C2378" s="17" t="str">
        <f t="shared" si="1857"/>
        <v>6</v>
      </c>
      <c r="D2378" s="17">
        <f t="shared" si="1831"/>
        <v>60001</v>
      </c>
      <c r="E2378" s="17">
        <v>1</v>
      </c>
      <c r="F2378" s="17">
        <f t="shared" si="1819"/>
        <v>1</v>
      </c>
      <c r="G2378" s="17" t="str">
        <f t="shared" si="1861"/>
        <v>初级魔防百分比</v>
      </c>
      <c r="H2378" s="17" t="str">
        <f t="shared" si="1862"/>
        <v>icon_07</v>
      </c>
      <c r="I2378" s="20">
        <v>0</v>
      </c>
      <c r="J2378" s="17">
        <v>3</v>
      </c>
      <c r="K2378" s="17">
        <f t="shared" si="1859"/>
        <v>60604</v>
      </c>
      <c r="L2378" s="17" t="s">
        <v>53</v>
      </c>
      <c r="M2378" s="17" t="str">
        <f t="shared" si="1863"/>
        <v>1:10300:5</v>
      </c>
      <c r="N2378" s="16" t="str">
        <f t="shared" si="1813"/>
        <v>179:1</v>
      </c>
      <c r="O2378" s="17">
        <f t="shared" si="1820"/>
        <v>7</v>
      </c>
      <c r="P2378" s="21" t="str">
        <f t="shared" si="1832"/>
        <v>所有魔物和野兽魔防百分比增加:1</v>
      </c>
      <c r="Q2378" s="21"/>
      <c r="R2378" t="str">
        <f t="shared" si="1864"/>
        <v>魔防百分比</v>
      </c>
      <c r="T2378" t="str">
        <f t="shared" si="1865"/>
        <v>:1</v>
      </c>
      <c r="U2378" t="str">
        <f t="shared" si="1858"/>
        <v>魔物</v>
      </c>
      <c r="V2378" t="s">
        <v>5031</v>
      </c>
      <c r="W2378">
        <f>属性类型!G2378</f>
        <v>179</v>
      </c>
      <c r="X2378">
        <v>1</v>
      </c>
    </row>
    <row r="2379" customFormat="1" ht="16.5" spans="1:24">
      <c r="A2379" s="17">
        <f t="shared" si="1860"/>
        <v>60604</v>
      </c>
      <c r="B2379" s="17">
        <f t="shared" si="1842"/>
        <v>60600</v>
      </c>
      <c r="C2379" s="17" t="str">
        <f t="shared" si="1857"/>
        <v>6</v>
      </c>
      <c r="D2379" s="17">
        <f t="shared" si="1831"/>
        <v>60001</v>
      </c>
      <c r="E2379" s="17">
        <v>1</v>
      </c>
      <c r="F2379" s="17">
        <f t="shared" si="1819"/>
        <v>1</v>
      </c>
      <c r="G2379" s="17" t="str">
        <f t="shared" si="1861"/>
        <v>初级魔防百分比</v>
      </c>
      <c r="H2379" s="17" t="str">
        <f t="shared" si="1862"/>
        <v>icon_07</v>
      </c>
      <c r="I2379" s="20">
        <v>0</v>
      </c>
      <c r="J2379" s="17">
        <v>4</v>
      </c>
      <c r="K2379" s="17">
        <f t="shared" si="1859"/>
        <v>60605</v>
      </c>
      <c r="L2379" s="17" t="s">
        <v>57</v>
      </c>
      <c r="M2379" s="17" t="str">
        <f t="shared" si="1863"/>
        <v>1:10300:5</v>
      </c>
      <c r="N2379" s="16" t="str">
        <f t="shared" ref="N2379:N2442" si="1866">W2379&amp;$W$2&amp;X2379</f>
        <v>179:1</v>
      </c>
      <c r="O2379" s="17">
        <f t="shared" si="1820"/>
        <v>7</v>
      </c>
      <c r="P2379" s="21" t="str">
        <f t="shared" si="1832"/>
        <v>所有魔物和野兽魔防百分比增加:1</v>
      </c>
      <c r="Q2379" s="21"/>
      <c r="R2379" t="str">
        <f t="shared" si="1864"/>
        <v>魔防百分比</v>
      </c>
      <c r="T2379" t="str">
        <f t="shared" si="1865"/>
        <v>:1</v>
      </c>
      <c r="U2379" t="str">
        <f t="shared" si="1858"/>
        <v>魔物</v>
      </c>
      <c r="V2379" t="s">
        <v>5031</v>
      </c>
      <c r="W2379">
        <f>属性类型!G2379</f>
        <v>179</v>
      </c>
      <c r="X2379">
        <v>1</v>
      </c>
    </row>
    <row r="2380" customFormat="1" ht="16.5" spans="1:24">
      <c r="A2380" s="17">
        <f t="shared" si="1860"/>
        <v>60605</v>
      </c>
      <c r="B2380" s="17">
        <f t="shared" si="1842"/>
        <v>60600</v>
      </c>
      <c r="C2380" s="17" t="str">
        <f t="shared" si="1857"/>
        <v>6</v>
      </c>
      <c r="D2380" s="17">
        <f t="shared" si="1831"/>
        <v>60001</v>
      </c>
      <c r="E2380" s="17">
        <v>1</v>
      </c>
      <c r="F2380" s="17">
        <f t="shared" si="1819"/>
        <v>1</v>
      </c>
      <c r="G2380" s="17" t="str">
        <f t="shared" si="1861"/>
        <v>初级魔防百分比</v>
      </c>
      <c r="H2380" s="17" t="str">
        <f t="shared" si="1862"/>
        <v>icon_07</v>
      </c>
      <c r="I2380" s="20">
        <v>0</v>
      </c>
      <c r="J2380" s="17">
        <v>5</v>
      </c>
      <c r="K2380" s="17">
        <f t="shared" si="1859"/>
        <v>60606</v>
      </c>
      <c r="L2380" s="17" t="s">
        <v>127</v>
      </c>
      <c r="M2380" s="17" t="str">
        <f t="shared" si="1863"/>
        <v>1:10300:5</v>
      </c>
      <c r="N2380" s="16" t="str">
        <f t="shared" si="1866"/>
        <v>179:1</v>
      </c>
      <c r="O2380" s="17">
        <f t="shared" si="1820"/>
        <v>7</v>
      </c>
      <c r="P2380" s="21" t="str">
        <f t="shared" si="1832"/>
        <v>所有魔物和野兽魔防百分比增加:1</v>
      </c>
      <c r="Q2380" s="21"/>
      <c r="R2380" t="str">
        <f t="shared" si="1864"/>
        <v>魔防百分比</v>
      </c>
      <c r="T2380" t="str">
        <f t="shared" si="1865"/>
        <v>:1</v>
      </c>
      <c r="U2380" t="str">
        <f t="shared" si="1858"/>
        <v>魔物</v>
      </c>
      <c r="V2380" t="s">
        <v>5031</v>
      </c>
      <c r="W2380">
        <f>属性类型!G2380</f>
        <v>179</v>
      </c>
      <c r="X2380">
        <v>1</v>
      </c>
    </row>
    <row r="2381" customFormat="1" ht="16.5" spans="1:24">
      <c r="A2381" s="17">
        <f t="shared" si="1860"/>
        <v>60606</v>
      </c>
      <c r="B2381" s="17">
        <f t="shared" si="1842"/>
        <v>60600</v>
      </c>
      <c r="C2381" s="17" t="str">
        <f t="shared" si="1857"/>
        <v>6</v>
      </c>
      <c r="D2381" s="17">
        <f t="shared" si="1831"/>
        <v>60001</v>
      </c>
      <c r="E2381" s="17">
        <v>1</v>
      </c>
      <c r="F2381" s="17">
        <f t="shared" si="1819"/>
        <v>1</v>
      </c>
      <c r="G2381" s="17" t="str">
        <f t="shared" si="1861"/>
        <v>初级魔防百分比</v>
      </c>
      <c r="H2381" s="17" t="str">
        <f t="shared" si="1862"/>
        <v>icon_07</v>
      </c>
      <c r="I2381" s="20">
        <v>0</v>
      </c>
      <c r="J2381" s="17">
        <v>6</v>
      </c>
      <c r="K2381" s="17">
        <f t="shared" si="1859"/>
        <v>60607</v>
      </c>
      <c r="L2381" s="17" t="s">
        <v>131</v>
      </c>
      <c r="M2381" s="17" t="str">
        <f t="shared" si="1863"/>
        <v>1:10300:5</v>
      </c>
      <c r="N2381" s="16" t="str">
        <f t="shared" si="1866"/>
        <v>179:1</v>
      </c>
      <c r="O2381" s="17">
        <f t="shared" si="1820"/>
        <v>7</v>
      </c>
      <c r="P2381" s="21" t="str">
        <f t="shared" si="1832"/>
        <v>所有魔物和野兽魔防百分比增加:1</v>
      </c>
      <c r="Q2381" s="21"/>
      <c r="R2381" t="str">
        <f t="shared" si="1864"/>
        <v>魔防百分比</v>
      </c>
      <c r="T2381" t="str">
        <f t="shared" si="1865"/>
        <v>:1</v>
      </c>
      <c r="U2381" t="str">
        <f t="shared" si="1858"/>
        <v>魔物</v>
      </c>
      <c r="V2381" t="s">
        <v>5031</v>
      </c>
      <c r="W2381">
        <f>属性类型!G2381</f>
        <v>179</v>
      </c>
      <c r="X2381">
        <v>1</v>
      </c>
    </row>
    <row r="2382" customFormat="1" ht="16.5" spans="1:24">
      <c r="A2382" s="17">
        <f t="shared" si="1860"/>
        <v>60607</v>
      </c>
      <c r="B2382" s="17">
        <f t="shared" si="1842"/>
        <v>60600</v>
      </c>
      <c r="C2382" s="17" t="str">
        <f t="shared" si="1857"/>
        <v>6</v>
      </c>
      <c r="D2382" s="17">
        <f t="shared" si="1831"/>
        <v>60001</v>
      </c>
      <c r="E2382" s="17">
        <v>1</v>
      </c>
      <c r="F2382" s="17">
        <f t="shared" si="1819"/>
        <v>1</v>
      </c>
      <c r="G2382" s="17" t="str">
        <f t="shared" si="1861"/>
        <v>初级魔防百分比</v>
      </c>
      <c r="H2382" s="17" t="str">
        <f t="shared" si="1862"/>
        <v>icon_07</v>
      </c>
      <c r="I2382" s="20">
        <v>0</v>
      </c>
      <c r="J2382" s="17">
        <v>7</v>
      </c>
      <c r="K2382" s="17">
        <f t="shared" si="1859"/>
        <v>60608</v>
      </c>
      <c r="L2382" s="17" t="s">
        <v>135</v>
      </c>
      <c r="M2382" s="17" t="str">
        <f t="shared" si="1863"/>
        <v>1:10300:5</v>
      </c>
      <c r="N2382" s="16" t="str">
        <f t="shared" si="1866"/>
        <v>179:1</v>
      </c>
      <c r="O2382" s="17">
        <f t="shared" si="1820"/>
        <v>7</v>
      </c>
      <c r="P2382" s="21" t="str">
        <f t="shared" si="1832"/>
        <v>所有魔物和野兽魔防百分比增加:1</v>
      </c>
      <c r="Q2382" s="21"/>
      <c r="R2382" t="str">
        <f t="shared" si="1864"/>
        <v>魔防百分比</v>
      </c>
      <c r="T2382" t="str">
        <f t="shared" si="1865"/>
        <v>:1</v>
      </c>
      <c r="U2382" t="str">
        <f t="shared" si="1858"/>
        <v>魔物</v>
      </c>
      <c r="V2382" t="s">
        <v>5031</v>
      </c>
      <c r="W2382">
        <f>属性类型!G2382</f>
        <v>179</v>
      </c>
      <c r="X2382">
        <v>1</v>
      </c>
    </row>
    <row r="2383" customFormat="1" ht="16.5" spans="1:24">
      <c r="A2383" s="17">
        <f t="shared" si="1860"/>
        <v>60608</v>
      </c>
      <c r="B2383" s="17">
        <f t="shared" si="1842"/>
        <v>60600</v>
      </c>
      <c r="C2383" s="17" t="str">
        <f t="shared" si="1857"/>
        <v>6</v>
      </c>
      <c r="D2383" s="17">
        <f t="shared" si="1831"/>
        <v>60001</v>
      </c>
      <c r="E2383" s="17">
        <v>1</v>
      </c>
      <c r="F2383" s="17">
        <f t="shared" si="1819"/>
        <v>1</v>
      </c>
      <c r="G2383" s="17" t="str">
        <f t="shared" si="1861"/>
        <v>初级魔防百分比</v>
      </c>
      <c r="H2383" s="17" t="str">
        <f t="shared" si="1862"/>
        <v>icon_07</v>
      </c>
      <c r="I2383" s="20">
        <v>0</v>
      </c>
      <c r="J2383" s="17">
        <v>8</v>
      </c>
      <c r="K2383" s="17">
        <f t="shared" si="1859"/>
        <v>60609</v>
      </c>
      <c r="L2383" s="17" t="s">
        <v>139</v>
      </c>
      <c r="M2383" s="17" t="str">
        <f t="shared" si="1863"/>
        <v>1:10300:5</v>
      </c>
      <c r="N2383" s="16" t="str">
        <f t="shared" si="1866"/>
        <v>179:1</v>
      </c>
      <c r="O2383" s="17">
        <f t="shared" si="1820"/>
        <v>7</v>
      </c>
      <c r="P2383" s="21" t="str">
        <f t="shared" si="1832"/>
        <v>所有魔物和野兽魔防百分比增加:1</v>
      </c>
      <c r="Q2383" s="21"/>
      <c r="R2383" t="str">
        <f t="shared" si="1864"/>
        <v>魔防百分比</v>
      </c>
      <c r="T2383" t="str">
        <f t="shared" si="1865"/>
        <v>:1</v>
      </c>
      <c r="U2383" t="str">
        <f t="shared" si="1858"/>
        <v>魔物</v>
      </c>
      <c r="V2383" t="s">
        <v>5031</v>
      </c>
      <c r="W2383">
        <f>属性类型!G2383</f>
        <v>179</v>
      </c>
      <c r="X2383">
        <v>1</v>
      </c>
    </row>
    <row r="2384" customFormat="1" ht="16.5" spans="1:24">
      <c r="A2384" s="17">
        <f t="shared" si="1860"/>
        <v>60609</v>
      </c>
      <c r="B2384" s="17">
        <f t="shared" si="1842"/>
        <v>60600</v>
      </c>
      <c r="C2384" s="17" t="str">
        <f t="shared" si="1857"/>
        <v>6</v>
      </c>
      <c r="D2384" s="17">
        <f t="shared" si="1831"/>
        <v>60001</v>
      </c>
      <c r="E2384" s="17">
        <v>1</v>
      </c>
      <c r="F2384" s="17">
        <f t="shared" ref="F2384:F2447" si="1867">MID(B2384,2,1)+1</f>
        <v>1</v>
      </c>
      <c r="G2384" s="17" t="str">
        <f t="shared" si="1861"/>
        <v>初级魔防百分比</v>
      </c>
      <c r="H2384" s="17" t="str">
        <f t="shared" si="1862"/>
        <v>icon_07</v>
      </c>
      <c r="I2384" s="20">
        <v>0</v>
      </c>
      <c r="J2384" s="17">
        <v>9</v>
      </c>
      <c r="K2384" s="17">
        <f t="shared" si="1859"/>
        <v>60610</v>
      </c>
      <c r="L2384" s="17" t="s">
        <v>143</v>
      </c>
      <c r="M2384" s="17" t="str">
        <f t="shared" si="1863"/>
        <v>1:10300:5</v>
      </c>
      <c r="N2384" s="16" t="str">
        <f t="shared" si="1866"/>
        <v>179:1</v>
      </c>
      <c r="O2384" s="17">
        <f t="shared" ref="O2384:O2447" si="1868">MID(A2384,3,1)+1</f>
        <v>7</v>
      </c>
      <c r="P2384" s="21" t="str">
        <f t="shared" si="1832"/>
        <v>所有魔物和野兽魔防百分比增加:1</v>
      </c>
      <c r="Q2384" s="21"/>
      <c r="R2384" t="str">
        <f t="shared" si="1864"/>
        <v>魔防百分比</v>
      </c>
      <c r="T2384" t="str">
        <f t="shared" si="1865"/>
        <v>:1</v>
      </c>
      <c r="U2384" t="str">
        <f t="shared" si="1858"/>
        <v>魔物</v>
      </c>
      <c r="V2384" t="s">
        <v>5031</v>
      </c>
      <c r="W2384">
        <f>属性类型!G2384</f>
        <v>179</v>
      </c>
      <c r="X2384">
        <v>1</v>
      </c>
    </row>
    <row r="2385" customFormat="1" ht="16.5" spans="1:24">
      <c r="A2385" s="17">
        <f t="shared" si="1860"/>
        <v>60610</v>
      </c>
      <c r="B2385" s="17">
        <f t="shared" si="1842"/>
        <v>60600</v>
      </c>
      <c r="C2385" s="17" t="str">
        <f t="shared" si="1857"/>
        <v>6</v>
      </c>
      <c r="D2385" s="17">
        <f t="shared" si="1831"/>
        <v>60001</v>
      </c>
      <c r="E2385" s="17">
        <v>1</v>
      </c>
      <c r="F2385" s="17">
        <f t="shared" si="1867"/>
        <v>1</v>
      </c>
      <c r="G2385" s="17" t="str">
        <f t="shared" si="1861"/>
        <v>初级魔防百分比</v>
      </c>
      <c r="H2385" s="17" t="str">
        <f t="shared" si="1862"/>
        <v>icon_07</v>
      </c>
      <c r="I2385" s="20">
        <v>0</v>
      </c>
      <c r="J2385" s="17">
        <v>10</v>
      </c>
      <c r="K2385" s="17">
        <v>0</v>
      </c>
      <c r="L2385" s="17">
        <v>0</v>
      </c>
      <c r="M2385" s="17" t="str">
        <f t="shared" si="1863"/>
        <v>1:10300:5</v>
      </c>
      <c r="N2385" s="16" t="str">
        <f t="shared" si="1866"/>
        <v>179:1</v>
      </c>
      <c r="O2385" s="17">
        <f t="shared" si="1868"/>
        <v>7</v>
      </c>
      <c r="P2385" s="21" t="str">
        <f t="shared" si="1832"/>
        <v>所有魔物和野兽魔防百分比增加:1</v>
      </c>
      <c r="Q2385" s="21"/>
      <c r="R2385" t="str">
        <f t="shared" si="1864"/>
        <v>魔防百分比</v>
      </c>
      <c r="T2385" t="str">
        <f t="shared" si="1865"/>
        <v>:1</v>
      </c>
      <c r="U2385" t="str">
        <f t="shared" si="1858"/>
        <v>魔物</v>
      </c>
      <c r="V2385" t="s">
        <v>5031</v>
      </c>
      <c r="W2385">
        <f>属性类型!G2385</f>
        <v>179</v>
      </c>
      <c r="X2385">
        <v>1</v>
      </c>
    </row>
    <row r="2386" customFormat="1" ht="16.5" spans="1:24">
      <c r="A2386" s="18">
        <f>A2375+100</f>
        <v>60700</v>
      </c>
      <c r="B2386" s="18">
        <f t="shared" si="1842"/>
        <v>60700</v>
      </c>
      <c r="C2386" s="18" t="str">
        <f t="shared" si="1857"/>
        <v>6</v>
      </c>
      <c r="D2386" s="17">
        <f t="shared" si="1831"/>
        <v>60001</v>
      </c>
      <c r="E2386" s="17">
        <v>2</v>
      </c>
      <c r="F2386" s="18">
        <f t="shared" si="1867"/>
        <v>1</v>
      </c>
      <c r="G2386" s="18" t="s">
        <v>5032</v>
      </c>
      <c r="H2386" s="18" t="s">
        <v>3767</v>
      </c>
      <c r="I2386" s="20">
        <v>2</v>
      </c>
      <c r="J2386" s="18">
        <v>0</v>
      </c>
      <c r="K2386" s="18">
        <f t="shared" ref="K2386:K2405" si="1869">A2387</f>
        <v>60701</v>
      </c>
      <c r="L2386" s="18" t="s">
        <v>206</v>
      </c>
      <c r="M2386" s="18" t="s">
        <v>207</v>
      </c>
      <c r="N2386" s="16" t="str">
        <f t="shared" si="1866"/>
        <v>10061:1</v>
      </c>
      <c r="O2386" s="18">
        <f t="shared" si="1868"/>
        <v>8</v>
      </c>
      <c r="P2386" s="21" t="s">
        <v>5033</v>
      </c>
      <c r="Q2386" s="21"/>
      <c r="R2386" t="s">
        <v>5034</v>
      </c>
      <c r="T2386" t="str">
        <f>RIGHT(N2386,1)</f>
        <v>1</v>
      </c>
      <c r="U2386" t="str">
        <f t="shared" si="1858"/>
        <v>法师</v>
      </c>
      <c r="V2386" t="s">
        <v>5032</v>
      </c>
      <c r="W2386">
        <f>属性类型!G2386</f>
        <v>10061</v>
      </c>
      <c r="X2386">
        <v>1</v>
      </c>
    </row>
    <row r="2387" customFormat="1" ht="16.5" spans="1:24">
      <c r="A2387" s="17">
        <f t="shared" ref="A2387:A2396" si="1870">A2386+1</f>
        <v>60701</v>
      </c>
      <c r="B2387" s="17">
        <f t="shared" si="1842"/>
        <v>60700</v>
      </c>
      <c r="C2387" s="17" t="str">
        <f t="shared" si="1857"/>
        <v>6</v>
      </c>
      <c r="D2387" s="17">
        <f t="shared" si="1831"/>
        <v>60001</v>
      </c>
      <c r="E2387" s="17">
        <f t="shared" ref="E2387:I2387" si="1871">E2386</f>
        <v>2</v>
      </c>
      <c r="F2387" s="17">
        <f t="shared" si="1867"/>
        <v>1</v>
      </c>
      <c r="G2387" s="17" t="str">
        <f t="shared" si="1871"/>
        <v>死灵法师防御百分比</v>
      </c>
      <c r="H2387" s="17" t="str">
        <f t="shared" si="1871"/>
        <v>moshou03_Lv3</v>
      </c>
      <c r="I2387" s="20">
        <f t="shared" si="1871"/>
        <v>2</v>
      </c>
      <c r="J2387" s="17">
        <v>1</v>
      </c>
      <c r="K2387" s="17">
        <f t="shared" si="1869"/>
        <v>60702</v>
      </c>
      <c r="L2387" s="17" t="s">
        <v>211</v>
      </c>
      <c r="M2387" s="17" t="str">
        <f t="shared" ref="M2387:M2406" si="1872">M2386</f>
        <v>1:10400:5</v>
      </c>
      <c r="N2387" s="16" t="str">
        <f t="shared" si="1866"/>
        <v>10061:1</v>
      </c>
      <c r="O2387" s="17">
        <f t="shared" si="1868"/>
        <v>8</v>
      </c>
      <c r="P2387" s="21" t="s">
        <v>5035</v>
      </c>
      <c r="Q2387" s="21"/>
      <c r="R2387" t="s">
        <v>5034</v>
      </c>
      <c r="T2387" t="str">
        <f t="shared" ref="T2387:T2396" si="1873">RIGHT(N2387,2)</f>
        <v>:1</v>
      </c>
      <c r="U2387" t="str">
        <f t="shared" si="1858"/>
        <v>法师</v>
      </c>
      <c r="V2387" t="s">
        <v>5032</v>
      </c>
      <c r="W2387">
        <f>属性类型!G2387</f>
        <v>10061</v>
      </c>
      <c r="X2387">
        <v>1</v>
      </c>
    </row>
    <row r="2388" customFormat="1" ht="16.5" spans="1:24">
      <c r="A2388" s="17">
        <f t="shared" si="1870"/>
        <v>60702</v>
      </c>
      <c r="B2388" s="17">
        <f t="shared" si="1842"/>
        <v>60700</v>
      </c>
      <c r="C2388" s="17" t="str">
        <f t="shared" si="1857"/>
        <v>6</v>
      </c>
      <c r="D2388" s="17">
        <f t="shared" si="1831"/>
        <v>60001</v>
      </c>
      <c r="E2388" s="17">
        <f t="shared" ref="E2388:H2388" si="1874">E2387</f>
        <v>2</v>
      </c>
      <c r="F2388" s="17">
        <f t="shared" si="1867"/>
        <v>1</v>
      </c>
      <c r="G2388" s="17" t="str">
        <f t="shared" si="1874"/>
        <v>死灵法师防御百分比</v>
      </c>
      <c r="H2388" s="17" t="str">
        <f t="shared" si="1874"/>
        <v>moshou03_Lv3</v>
      </c>
      <c r="I2388" s="20">
        <f t="shared" ref="I2388:I2406" si="1875">I2387</f>
        <v>2</v>
      </c>
      <c r="J2388" s="17">
        <v>2</v>
      </c>
      <c r="K2388" s="17">
        <f t="shared" si="1869"/>
        <v>60703</v>
      </c>
      <c r="L2388" s="17" t="s">
        <v>215</v>
      </c>
      <c r="M2388" s="17" t="str">
        <f t="shared" si="1872"/>
        <v>1:10400:5</v>
      </c>
      <c r="N2388" s="16" t="str">
        <f t="shared" si="1866"/>
        <v>10061:1</v>
      </c>
      <c r="O2388" s="17">
        <f t="shared" si="1868"/>
        <v>8</v>
      </c>
      <c r="P2388" s="21" t="s">
        <v>5036</v>
      </c>
      <c r="Q2388" s="21"/>
      <c r="R2388" t="s">
        <v>5034</v>
      </c>
      <c r="T2388" t="str">
        <f t="shared" si="1873"/>
        <v>:1</v>
      </c>
      <c r="U2388" t="str">
        <f t="shared" si="1858"/>
        <v>法师</v>
      </c>
      <c r="V2388" t="s">
        <v>5032</v>
      </c>
      <c r="W2388">
        <f>属性类型!G2388</f>
        <v>10061</v>
      </c>
      <c r="X2388">
        <v>1</v>
      </c>
    </row>
    <row r="2389" customFormat="1" ht="16.5" spans="1:24">
      <c r="A2389" s="17">
        <f t="shared" si="1870"/>
        <v>60703</v>
      </c>
      <c r="B2389" s="17">
        <f t="shared" si="1842"/>
        <v>60700</v>
      </c>
      <c r="C2389" s="17" t="str">
        <f t="shared" si="1857"/>
        <v>6</v>
      </c>
      <c r="D2389" s="17">
        <f t="shared" si="1831"/>
        <v>60001</v>
      </c>
      <c r="E2389" s="17">
        <f t="shared" ref="E2389:H2389" si="1876">E2388</f>
        <v>2</v>
      </c>
      <c r="F2389" s="17">
        <f t="shared" si="1867"/>
        <v>1</v>
      </c>
      <c r="G2389" s="17" t="str">
        <f t="shared" si="1876"/>
        <v>死灵法师防御百分比</v>
      </c>
      <c r="H2389" s="17" t="str">
        <f t="shared" si="1876"/>
        <v>moshou03_Lv3</v>
      </c>
      <c r="I2389" s="20">
        <f t="shared" si="1875"/>
        <v>2</v>
      </c>
      <c r="J2389" s="17">
        <v>3</v>
      </c>
      <c r="K2389" s="17">
        <f t="shared" si="1869"/>
        <v>60704</v>
      </c>
      <c r="L2389" s="17" t="s">
        <v>218</v>
      </c>
      <c r="M2389" s="17" t="str">
        <f t="shared" si="1872"/>
        <v>1:10400:5</v>
      </c>
      <c r="N2389" s="16" t="str">
        <f t="shared" si="1866"/>
        <v>10061:1</v>
      </c>
      <c r="O2389" s="17">
        <f t="shared" si="1868"/>
        <v>8</v>
      </c>
      <c r="P2389" s="21" t="s">
        <v>5037</v>
      </c>
      <c r="Q2389" s="21"/>
      <c r="R2389" t="s">
        <v>5034</v>
      </c>
      <c r="T2389" t="str">
        <f t="shared" si="1873"/>
        <v>:1</v>
      </c>
      <c r="U2389" t="str">
        <f t="shared" si="1858"/>
        <v>法师</v>
      </c>
      <c r="V2389" t="s">
        <v>5032</v>
      </c>
      <c r="W2389">
        <f>属性类型!G2389</f>
        <v>10061</v>
      </c>
      <c r="X2389">
        <v>1</v>
      </c>
    </row>
    <row r="2390" customFormat="1" ht="16.5" spans="1:24">
      <c r="A2390" s="17">
        <f t="shared" si="1870"/>
        <v>60704</v>
      </c>
      <c r="B2390" s="17">
        <f t="shared" si="1842"/>
        <v>60700</v>
      </c>
      <c r="C2390" s="17" t="str">
        <f t="shared" si="1857"/>
        <v>6</v>
      </c>
      <c r="D2390" s="17">
        <f t="shared" si="1831"/>
        <v>60001</v>
      </c>
      <c r="E2390" s="17">
        <f t="shared" ref="E2390:H2390" si="1877">E2389</f>
        <v>2</v>
      </c>
      <c r="F2390" s="17">
        <f t="shared" si="1867"/>
        <v>1</v>
      </c>
      <c r="G2390" s="17" t="str">
        <f t="shared" si="1877"/>
        <v>死灵法师防御百分比</v>
      </c>
      <c r="H2390" s="17" t="str">
        <f t="shared" si="1877"/>
        <v>moshou03_Lv3</v>
      </c>
      <c r="I2390" s="20">
        <f t="shared" si="1875"/>
        <v>2</v>
      </c>
      <c r="J2390" s="17">
        <v>4</v>
      </c>
      <c r="K2390" s="17">
        <f t="shared" si="1869"/>
        <v>60705</v>
      </c>
      <c r="L2390" s="17" t="s">
        <v>221</v>
      </c>
      <c r="M2390" s="17" t="str">
        <f t="shared" si="1872"/>
        <v>1:10400:5</v>
      </c>
      <c r="N2390" s="16" t="str">
        <f t="shared" si="1866"/>
        <v>10061:1</v>
      </c>
      <c r="O2390" s="17">
        <f t="shared" si="1868"/>
        <v>8</v>
      </c>
      <c r="P2390" s="21" t="s">
        <v>5038</v>
      </c>
      <c r="Q2390" s="21"/>
      <c r="R2390" t="s">
        <v>5034</v>
      </c>
      <c r="T2390" t="str">
        <f t="shared" si="1873"/>
        <v>:1</v>
      </c>
      <c r="U2390" t="str">
        <f t="shared" si="1858"/>
        <v>法师</v>
      </c>
      <c r="V2390" t="s">
        <v>5032</v>
      </c>
      <c r="W2390">
        <f>属性类型!G2390</f>
        <v>10061</v>
      </c>
      <c r="X2390">
        <v>1</v>
      </c>
    </row>
    <row r="2391" customFormat="1" ht="16.5" spans="1:24">
      <c r="A2391" s="17">
        <f t="shared" si="1870"/>
        <v>60705</v>
      </c>
      <c r="B2391" s="17">
        <f t="shared" si="1842"/>
        <v>60700</v>
      </c>
      <c r="C2391" s="17" t="str">
        <f t="shared" si="1857"/>
        <v>6</v>
      </c>
      <c r="D2391" s="17">
        <f t="shared" si="1831"/>
        <v>60001</v>
      </c>
      <c r="E2391" s="17">
        <f t="shared" ref="E2391:H2391" si="1878">E2390</f>
        <v>2</v>
      </c>
      <c r="F2391" s="17">
        <f t="shared" si="1867"/>
        <v>1</v>
      </c>
      <c r="G2391" s="17" t="str">
        <f t="shared" si="1878"/>
        <v>死灵法师防御百分比</v>
      </c>
      <c r="H2391" s="17" t="str">
        <f t="shared" si="1878"/>
        <v>moshou03_Lv3</v>
      </c>
      <c r="I2391" s="20">
        <f t="shared" si="1875"/>
        <v>2</v>
      </c>
      <c r="J2391" s="17">
        <v>5</v>
      </c>
      <c r="K2391" s="17">
        <f t="shared" si="1869"/>
        <v>60706</v>
      </c>
      <c r="L2391" s="17" t="s">
        <v>224</v>
      </c>
      <c r="M2391" s="17" t="str">
        <f t="shared" si="1872"/>
        <v>1:10400:5</v>
      </c>
      <c r="N2391" s="16" t="str">
        <f t="shared" si="1866"/>
        <v>10061:1</v>
      </c>
      <c r="O2391" s="17">
        <f t="shared" si="1868"/>
        <v>8</v>
      </c>
      <c r="P2391" s="21" t="s">
        <v>5039</v>
      </c>
      <c r="Q2391" s="21"/>
      <c r="R2391" t="s">
        <v>5034</v>
      </c>
      <c r="T2391" t="str">
        <f t="shared" si="1873"/>
        <v>:1</v>
      </c>
      <c r="U2391" t="str">
        <f t="shared" si="1858"/>
        <v>法师</v>
      </c>
      <c r="V2391" t="s">
        <v>5032</v>
      </c>
      <c r="W2391">
        <f>属性类型!G2391</f>
        <v>10061</v>
      </c>
      <c r="X2391">
        <v>1</v>
      </c>
    </row>
    <row r="2392" customFormat="1" ht="16.5" spans="1:24">
      <c r="A2392" s="17">
        <f t="shared" si="1870"/>
        <v>60706</v>
      </c>
      <c r="B2392" s="17">
        <f t="shared" si="1842"/>
        <v>60700</v>
      </c>
      <c r="C2392" s="17" t="str">
        <f t="shared" si="1857"/>
        <v>6</v>
      </c>
      <c r="D2392" s="17">
        <f t="shared" si="1831"/>
        <v>60001</v>
      </c>
      <c r="E2392" s="17">
        <f t="shared" ref="E2392:H2392" si="1879">E2391</f>
        <v>2</v>
      </c>
      <c r="F2392" s="17">
        <f t="shared" si="1867"/>
        <v>1</v>
      </c>
      <c r="G2392" s="17" t="str">
        <f t="shared" si="1879"/>
        <v>死灵法师防御百分比</v>
      </c>
      <c r="H2392" s="17" t="str">
        <f t="shared" si="1879"/>
        <v>moshou03_Lv3</v>
      </c>
      <c r="I2392" s="20">
        <f t="shared" si="1875"/>
        <v>2</v>
      </c>
      <c r="J2392" s="17">
        <v>6</v>
      </c>
      <c r="K2392" s="17">
        <f t="shared" si="1869"/>
        <v>60707</v>
      </c>
      <c r="L2392" s="17" t="s">
        <v>227</v>
      </c>
      <c r="M2392" s="17" t="str">
        <f t="shared" si="1872"/>
        <v>1:10400:5</v>
      </c>
      <c r="N2392" s="16" t="str">
        <f t="shared" si="1866"/>
        <v>10061:1</v>
      </c>
      <c r="O2392" s="17">
        <f t="shared" si="1868"/>
        <v>8</v>
      </c>
      <c r="P2392" s="21" t="s">
        <v>5040</v>
      </c>
      <c r="Q2392" s="21"/>
      <c r="R2392" t="s">
        <v>5034</v>
      </c>
      <c r="T2392" t="str">
        <f t="shared" si="1873"/>
        <v>:1</v>
      </c>
      <c r="U2392" t="str">
        <f t="shared" si="1858"/>
        <v>法师</v>
      </c>
      <c r="V2392" t="s">
        <v>5032</v>
      </c>
      <c r="W2392">
        <f>属性类型!G2392</f>
        <v>10061</v>
      </c>
      <c r="X2392">
        <v>1</v>
      </c>
    </row>
    <row r="2393" customFormat="1" ht="16.5" spans="1:24">
      <c r="A2393" s="17">
        <f t="shared" si="1870"/>
        <v>60707</v>
      </c>
      <c r="B2393" s="17">
        <f t="shared" si="1842"/>
        <v>60700</v>
      </c>
      <c r="C2393" s="17" t="str">
        <f t="shared" si="1857"/>
        <v>6</v>
      </c>
      <c r="D2393" s="17">
        <f t="shared" si="1831"/>
        <v>60001</v>
      </c>
      <c r="E2393" s="17">
        <f t="shared" ref="E2393:H2393" si="1880">E2392</f>
        <v>2</v>
      </c>
      <c r="F2393" s="17">
        <f t="shared" si="1867"/>
        <v>1</v>
      </c>
      <c r="G2393" s="17" t="str">
        <f t="shared" si="1880"/>
        <v>死灵法师防御百分比</v>
      </c>
      <c r="H2393" s="17" t="str">
        <f t="shared" si="1880"/>
        <v>moshou03_Lv3</v>
      </c>
      <c r="I2393" s="20">
        <f t="shared" si="1875"/>
        <v>2</v>
      </c>
      <c r="J2393" s="17">
        <v>7</v>
      </c>
      <c r="K2393" s="17">
        <f t="shared" si="1869"/>
        <v>60708</v>
      </c>
      <c r="L2393" s="17" t="s">
        <v>230</v>
      </c>
      <c r="M2393" s="17" t="str">
        <f t="shared" si="1872"/>
        <v>1:10400:5</v>
      </c>
      <c r="N2393" s="16" t="str">
        <f t="shared" si="1866"/>
        <v>10061:1</v>
      </c>
      <c r="O2393" s="17">
        <f t="shared" si="1868"/>
        <v>8</v>
      </c>
      <c r="P2393" s="21" t="s">
        <v>5041</v>
      </c>
      <c r="Q2393" s="21"/>
      <c r="R2393" t="s">
        <v>5034</v>
      </c>
      <c r="T2393" t="str">
        <f t="shared" si="1873"/>
        <v>:1</v>
      </c>
      <c r="U2393" t="str">
        <f t="shared" si="1858"/>
        <v>法师</v>
      </c>
      <c r="V2393" t="s">
        <v>5032</v>
      </c>
      <c r="W2393">
        <f>属性类型!G2393</f>
        <v>10061</v>
      </c>
      <c r="X2393">
        <v>1</v>
      </c>
    </row>
    <row r="2394" customFormat="1" ht="16.5" spans="1:24">
      <c r="A2394" s="17">
        <f t="shared" si="1870"/>
        <v>60708</v>
      </c>
      <c r="B2394" s="17">
        <f t="shared" si="1842"/>
        <v>60700</v>
      </c>
      <c r="C2394" s="17" t="str">
        <f t="shared" si="1857"/>
        <v>6</v>
      </c>
      <c r="D2394" s="17">
        <f t="shared" si="1831"/>
        <v>60001</v>
      </c>
      <c r="E2394" s="17">
        <f t="shared" ref="E2394:H2394" si="1881">E2393</f>
        <v>2</v>
      </c>
      <c r="F2394" s="17">
        <f t="shared" si="1867"/>
        <v>1</v>
      </c>
      <c r="G2394" s="17" t="str">
        <f t="shared" si="1881"/>
        <v>死灵法师防御百分比</v>
      </c>
      <c r="H2394" s="17" t="str">
        <f t="shared" si="1881"/>
        <v>moshou03_Lv3</v>
      </c>
      <c r="I2394" s="20">
        <f t="shared" si="1875"/>
        <v>2</v>
      </c>
      <c r="J2394" s="17">
        <v>8</v>
      </c>
      <c r="K2394" s="17">
        <f t="shared" si="1869"/>
        <v>60709</v>
      </c>
      <c r="L2394" s="17" t="s">
        <v>233</v>
      </c>
      <c r="M2394" s="17" t="str">
        <f t="shared" si="1872"/>
        <v>1:10400:5</v>
      </c>
      <c r="N2394" s="16" t="str">
        <f t="shared" si="1866"/>
        <v>10061:1</v>
      </c>
      <c r="O2394" s="17">
        <f t="shared" si="1868"/>
        <v>8</v>
      </c>
      <c r="P2394" s="21" t="s">
        <v>5042</v>
      </c>
      <c r="Q2394" s="21"/>
      <c r="R2394" t="s">
        <v>5034</v>
      </c>
      <c r="T2394" t="str">
        <f t="shared" si="1873"/>
        <v>:1</v>
      </c>
      <c r="U2394" t="str">
        <f t="shared" si="1858"/>
        <v>法师</v>
      </c>
      <c r="V2394" t="s">
        <v>5032</v>
      </c>
      <c r="W2394">
        <f>属性类型!G2394</f>
        <v>10061</v>
      </c>
      <c r="X2394">
        <v>1</v>
      </c>
    </row>
    <row r="2395" customFormat="1" ht="16.5" spans="1:24">
      <c r="A2395" s="17">
        <f t="shared" si="1870"/>
        <v>60709</v>
      </c>
      <c r="B2395" s="17">
        <f t="shared" si="1842"/>
        <v>60700</v>
      </c>
      <c r="C2395" s="17" t="str">
        <f t="shared" si="1857"/>
        <v>6</v>
      </c>
      <c r="D2395" s="17">
        <f>$A$2329+F2395</f>
        <v>60001</v>
      </c>
      <c r="E2395" s="17">
        <f t="shared" ref="E2395:H2395" si="1882">E2394</f>
        <v>2</v>
      </c>
      <c r="F2395" s="17">
        <f t="shared" si="1867"/>
        <v>1</v>
      </c>
      <c r="G2395" s="17" t="str">
        <f t="shared" si="1882"/>
        <v>死灵法师防御百分比</v>
      </c>
      <c r="H2395" s="17" t="str">
        <f t="shared" si="1882"/>
        <v>moshou03_Lv3</v>
      </c>
      <c r="I2395" s="20">
        <f t="shared" si="1875"/>
        <v>2</v>
      </c>
      <c r="J2395" s="17">
        <v>9</v>
      </c>
      <c r="K2395" s="17">
        <f t="shared" si="1869"/>
        <v>60710</v>
      </c>
      <c r="L2395" s="17" t="s">
        <v>236</v>
      </c>
      <c r="M2395" s="17" t="str">
        <f t="shared" si="1872"/>
        <v>1:10400:5</v>
      </c>
      <c r="N2395" s="16" t="str">
        <f t="shared" si="1866"/>
        <v>10061:1</v>
      </c>
      <c r="O2395" s="17">
        <f t="shared" si="1868"/>
        <v>8</v>
      </c>
      <c r="P2395" s="21" t="s">
        <v>5043</v>
      </c>
      <c r="Q2395" s="21"/>
      <c r="R2395" t="s">
        <v>5034</v>
      </c>
      <c r="T2395" t="str">
        <f t="shared" si="1873"/>
        <v>:1</v>
      </c>
      <c r="U2395" t="str">
        <f t="shared" si="1858"/>
        <v>法师</v>
      </c>
      <c r="V2395" t="s">
        <v>5032</v>
      </c>
      <c r="W2395">
        <f>属性类型!G2395</f>
        <v>10061</v>
      </c>
      <c r="X2395">
        <v>1</v>
      </c>
    </row>
    <row r="2396" customFormat="1" ht="16.5" spans="1:24">
      <c r="A2396" s="17">
        <f t="shared" si="1870"/>
        <v>60710</v>
      </c>
      <c r="B2396" s="17">
        <f t="shared" si="1842"/>
        <v>60700</v>
      </c>
      <c r="C2396" s="17" t="str">
        <f t="shared" si="1857"/>
        <v>6</v>
      </c>
      <c r="D2396" s="17">
        <f>$A$2329+F2396</f>
        <v>60001</v>
      </c>
      <c r="E2396" s="17">
        <f t="shared" ref="E2396:H2396" si="1883">E2395</f>
        <v>2</v>
      </c>
      <c r="F2396" s="17">
        <f t="shared" si="1867"/>
        <v>1</v>
      </c>
      <c r="G2396" s="17" t="str">
        <f t="shared" si="1883"/>
        <v>死灵法师防御百分比</v>
      </c>
      <c r="H2396" s="17" t="str">
        <f t="shared" si="1883"/>
        <v>moshou03_Lv3</v>
      </c>
      <c r="I2396" s="20">
        <f t="shared" si="1875"/>
        <v>2</v>
      </c>
      <c r="J2396" s="17">
        <v>10</v>
      </c>
      <c r="K2396" s="17">
        <f t="shared" si="1869"/>
        <v>60711</v>
      </c>
      <c r="L2396" s="17" t="s">
        <v>238</v>
      </c>
      <c r="M2396" s="17" t="str">
        <f t="shared" si="1872"/>
        <v>1:10400:5</v>
      </c>
      <c r="N2396" s="16" t="str">
        <f t="shared" si="1866"/>
        <v>10061:1</v>
      </c>
      <c r="O2396" s="17">
        <f t="shared" si="1868"/>
        <v>8</v>
      </c>
      <c r="P2396" s="21" t="s">
        <v>5044</v>
      </c>
      <c r="Q2396" s="21"/>
      <c r="R2396" t="s">
        <v>5034</v>
      </c>
      <c r="T2396" t="str">
        <f t="shared" si="1873"/>
        <v>:1</v>
      </c>
      <c r="U2396" t="str">
        <f t="shared" si="1858"/>
        <v>法师</v>
      </c>
      <c r="V2396" t="s">
        <v>5032</v>
      </c>
      <c r="W2396">
        <f>属性类型!G2396</f>
        <v>10061</v>
      </c>
      <c r="X2396">
        <v>1</v>
      </c>
    </row>
    <row r="2397" customFormat="1" ht="16.5" spans="1:24">
      <c r="A2397" s="17">
        <f t="shared" ref="A2397:A2408" si="1884">A2396+1</f>
        <v>60711</v>
      </c>
      <c r="B2397" s="17">
        <f t="shared" ref="B2397:B2417" si="1885">ROUND(A2397,-2)</f>
        <v>60700</v>
      </c>
      <c r="C2397" s="17" t="str">
        <f t="shared" ref="C2397:C2408" si="1886">LEFT(A2397,1)</f>
        <v>6</v>
      </c>
      <c r="D2397" s="17">
        <f t="shared" ref="D2397:D2417" si="1887">$A$2329+F2397</f>
        <v>60001</v>
      </c>
      <c r="E2397" s="17">
        <f t="shared" ref="E2397:H2397" si="1888">E2396</f>
        <v>2</v>
      </c>
      <c r="F2397" s="17">
        <f t="shared" si="1867"/>
        <v>1</v>
      </c>
      <c r="G2397" s="17" t="str">
        <f t="shared" si="1888"/>
        <v>死灵法师防御百分比</v>
      </c>
      <c r="H2397" s="17" t="str">
        <f t="shared" si="1888"/>
        <v>moshou03_Lv3</v>
      </c>
      <c r="I2397" s="20">
        <f t="shared" si="1875"/>
        <v>2</v>
      </c>
      <c r="J2397" s="17">
        <v>11</v>
      </c>
      <c r="K2397" s="17">
        <f t="shared" si="1869"/>
        <v>60712</v>
      </c>
      <c r="L2397" s="17" t="s">
        <v>529</v>
      </c>
      <c r="M2397" s="17" t="str">
        <f t="shared" si="1872"/>
        <v>1:10400:5</v>
      </c>
      <c r="N2397" s="16" t="str">
        <f t="shared" si="1866"/>
        <v>10061:1</v>
      </c>
      <c r="O2397" s="17">
        <f t="shared" si="1868"/>
        <v>8</v>
      </c>
      <c r="P2397" s="21" t="s">
        <v>5045</v>
      </c>
      <c r="Q2397" s="21"/>
      <c r="R2397" t="s">
        <v>5034</v>
      </c>
      <c r="U2397" t="str">
        <f t="shared" si="1858"/>
        <v>法师</v>
      </c>
      <c r="V2397" t="s">
        <v>5032</v>
      </c>
      <c r="W2397">
        <f>属性类型!G2397</f>
        <v>10061</v>
      </c>
      <c r="X2397">
        <v>1</v>
      </c>
    </row>
    <row r="2398" customFormat="1" ht="16.5" spans="1:24">
      <c r="A2398" s="17">
        <f t="shared" si="1884"/>
        <v>60712</v>
      </c>
      <c r="B2398" s="17">
        <f t="shared" si="1885"/>
        <v>60700</v>
      </c>
      <c r="C2398" s="17" t="str">
        <f t="shared" si="1886"/>
        <v>6</v>
      </c>
      <c r="D2398" s="17">
        <f t="shared" si="1887"/>
        <v>60001</v>
      </c>
      <c r="E2398" s="17">
        <f t="shared" ref="E2398:H2398" si="1889">E2397</f>
        <v>2</v>
      </c>
      <c r="F2398" s="17">
        <f t="shared" si="1867"/>
        <v>1</v>
      </c>
      <c r="G2398" s="17" t="str">
        <f t="shared" si="1889"/>
        <v>死灵法师防御百分比</v>
      </c>
      <c r="H2398" s="17" t="str">
        <f t="shared" si="1889"/>
        <v>moshou03_Lv3</v>
      </c>
      <c r="I2398" s="20">
        <f t="shared" si="1875"/>
        <v>2</v>
      </c>
      <c r="J2398" s="17">
        <v>12</v>
      </c>
      <c r="K2398" s="17">
        <f t="shared" si="1869"/>
        <v>60713</v>
      </c>
      <c r="L2398" s="17" t="s">
        <v>532</v>
      </c>
      <c r="M2398" s="17" t="str">
        <f t="shared" si="1872"/>
        <v>1:10400:5</v>
      </c>
      <c r="N2398" s="16" t="str">
        <f t="shared" si="1866"/>
        <v>10061:1</v>
      </c>
      <c r="O2398" s="17">
        <f t="shared" si="1868"/>
        <v>8</v>
      </c>
      <c r="P2398" s="21" t="s">
        <v>5046</v>
      </c>
      <c r="Q2398" s="21"/>
      <c r="R2398" t="s">
        <v>5034</v>
      </c>
      <c r="U2398" t="str">
        <f t="shared" si="1858"/>
        <v>法师</v>
      </c>
      <c r="V2398" t="s">
        <v>5032</v>
      </c>
      <c r="W2398">
        <f>属性类型!G2398</f>
        <v>10061</v>
      </c>
      <c r="X2398">
        <v>1</v>
      </c>
    </row>
    <row r="2399" customFormat="1" ht="16.5" spans="1:24">
      <c r="A2399" s="17">
        <f t="shared" si="1884"/>
        <v>60713</v>
      </c>
      <c r="B2399" s="17">
        <f t="shared" si="1885"/>
        <v>60700</v>
      </c>
      <c r="C2399" s="17" t="str">
        <f t="shared" si="1886"/>
        <v>6</v>
      </c>
      <c r="D2399" s="17">
        <f t="shared" si="1887"/>
        <v>60001</v>
      </c>
      <c r="E2399" s="17">
        <f t="shared" ref="E2399:H2399" si="1890">E2398</f>
        <v>2</v>
      </c>
      <c r="F2399" s="17">
        <f t="shared" si="1867"/>
        <v>1</v>
      </c>
      <c r="G2399" s="17" t="str">
        <f t="shared" si="1890"/>
        <v>死灵法师防御百分比</v>
      </c>
      <c r="H2399" s="17" t="str">
        <f t="shared" si="1890"/>
        <v>moshou03_Lv3</v>
      </c>
      <c r="I2399" s="20">
        <f t="shared" si="1875"/>
        <v>2</v>
      </c>
      <c r="J2399" s="17">
        <v>13</v>
      </c>
      <c r="K2399" s="17">
        <f t="shared" si="1869"/>
        <v>60714</v>
      </c>
      <c r="L2399" s="17" t="s">
        <v>561</v>
      </c>
      <c r="M2399" s="17" t="str">
        <f t="shared" si="1872"/>
        <v>1:10400:5</v>
      </c>
      <c r="N2399" s="16" t="str">
        <f t="shared" si="1866"/>
        <v>10061:1</v>
      </c>
      <c r="O2399" s="17">
        <f t="shared" si="1868"/>
        <v>8</v>
      </c>
      <c r="P2399" s="21" t="s">
        <v>5047</v>
      </c>
      <c r="Q2399" s="21"/>
      <c r="R2399" t="s">
        <v>5034</v>
      </c>
      <c r="U2399" t="str">
        <f t="shared" si="1858"/>
        <v>法师</v>
      </c>
      <c r="V2399" t="s">
        <v>5032</v>
      </c>
      <c r="W2399">
        <f>属性类型!G2399</f>
        <v>10061</v>
      </c>
      <c r="X2399">
        <v>1</v>
      </c>
    </row>
    <row r="2400" customFormat="1" ht="16.5" spans="1:24">
      <c r="A2400" s="17">
        <f t="shared" si="1884"/>
        <v>60714</v>
      </c>
      <c r="B2400" s="17">
        <f t="shared" si="1885"/>
        <v>60700</v>
      </c>
      <c r="C2400" s="17" t="str">
        <f t="shared" si="1886"/>
        <v>6</v>
      </c>
      <c r="D2400" s="17">
        <f t="shared" si="1887"/>
        <v>60001</v>
      </c>
      <c r="E2400" s="17">
        <f t="shared" ref="E2400:H2400" si="1891">E2399</f>
        <v>2</v>
      </c>
      <c r="F2400" s="17">
        <f t="shared" si="1867"/>
        <v>1</v>
      </c>
      <c r="G2400" s="17" t="str">
        <f t="shared" si="1891"/>
        <v>死灵法师防御百分比</v>
      </c>
      <c r="H2400" s="17" t="str">
        <f t="shared" si="1891"/>
        <v>moshou03_Lv3</v>
      </c>
      <c r="I2400" s="20">
        <f t="shared" si="1875"/>
        <v>2</v>
      </c>
      <c r="J2400" s="17">
        <v>14</v>
      </c>
      <c r="K2400" s="17">
        <f t="shared" si="1869"/>
        <v>60715</v>
      </c>
      <c r="L2400" s="17" t="s">
        <v>564</v>
      </c>
      <c r="M2400" s="17" t="str">
        <f t="shared" si="1872"/>
        <v>1:10400:5</v>
      </c>
      <c r="N2400" s="16" t="str">
        <f t="shared" si="1866"/>
        <v>10061:1</v>
      </c>
      <c r="O2400" s="17">
        <f t="shared" si="1868"/>
        <v>8</v>
      </c>
      <c r="P2400" s="21" t="s">
        <v>5048</v>
      </c>
      <c r="Q2400" s="21"/>
      <c r="R2400" t="s">
        <v>5034</v>
      </c>
      <c r="U2400" t="str">
        <f t="shared" si="1858"/>
        <v>法师</v>
      </c>
      <c r="V2400" t="s">
        <v>5032</v>
      </c>
      <c r="W2400">
        <f>属性类型!G2400</f>
        <v>10061</v>
      </c>
      <c r="X2400">
        <v>1</v>
      </c>
    </row>
    <row r="2401" customFormat="1" ht="16.5" spans="1:24">
      <c r="A2401" s="17">
        <f t="shared" si="1884"/>
        <v>60715</v>
      </c>
      <c r="B2401" s="17">
        <f t="shared" si="1885"/>
        <v>60700</v>
      </c>
      <c r="C2401" s="17" t="str">
        <f t="shared" si="1886"/>
        <v>6</v>
      </c>
      <c r="D2401" s="17">
        <f t="shared" si="1887"/>
        <v>60001</v>
      </c>
      <c r="E2401" s="17">
        <f t="shared" ref="E2401:H2401" si="1892">E2400</f>
        <v>2</v>
      </c>
      <c r="F2401" s="17">
        <f t="shared" si="1867"/>
        <v>1</v>
      </c>
      <c r="G2401" s="17" t="str">
        <f t="shared" si="1892"/>
        <v>死灵法师防御百分比</v>
      </c>
      <c r="H2401" s="17" t="str">
        <f t="shared" si="1892"/>
        <v>moshou03_Lv3</v>
      </c>
      <c r="I2401" s="20">
        <f t="shared" si="1875"/>
        <v>2</v>
      </c>
      <c r="J2401" s="17">
        <v>15</v>
      </c>
      <c r="K2401" s="17">
        <f t="shared" si="1869"/>
        <v>60716</v>
      </c>
      <c r="L2401" s="17" t="s">
        <v>630</v>
      </c>
      <c r="M2401" s="17" t="str">
        <f t="shared" si="1872"/>
        <v>1:10400:5</v>
      </c>
      <c r="N2401" s="16" t="str">
        <f t="shared" si="1866"/>
        <v>10061:1</v>
      </c>
      <c r="O2401" s="17">
        <f t="shared" si="1868"/>
        <v>8</v>
      </c>
      <c r="P2401" s="21" t="s">
        <v>5049</v>
      </c>
      <c r="Q2401" s="21"/>
      <c r="R2401" t="s">
        <v>5034</v>
      </c>
      <c r="U2401" t="str">
        <f t="shared" si="1858"/>
        <v>法师</v>
      </c>
      <c r="V2401" t="s">
        <v>5032</v>
      </c>
      <c r="W2401">
        <f>属性类型!G2401</f>
        <v>10061</v>
      </c>
      <c r="X2401">
        <v>1</v>
      </c>
    </row>
    <row r="2402" customFormat="1" ht="16.5" spans="1:24">
      <c r="A2402" s="17">
        <f t="shared" si="1884"/>
        <v>60716</v>
      </c>
      <c r="B2402" s="17">
        <f t="shared" si="1885"/>
        <v>60700</v>
      </c>
      <c r="C2402" s="17" t="str">
        <f t="shared" si="1886"/>
        <v>6</v>
      </c>
      <c r="D2402" s="17">
        <f t="shared" si="1887"/>
        <v>60001</v>
      </c>
      <c r="E2402" s="17">
        <f t="shared" ref="E2402:H2402" si="1893">E2401</f>
        <v>2</v>
      </c>
      <c r="F2402" s="17">
        <f t="shared" si="1867"/>
        <v>1</v>
      </c>
      <c r="G2402" s="17" t="str">
        <f t="shared" si="1893"/>
        <v>死灵法师防御百分比</v>
      </c>
      <c r="H2402" s="17" t="str">
        <f t="shared" si="1893"/>
        <v>moshou03_Lv3</v>
      </c>
      <c r="I2402" s="20">
        <f t="shared" si="1875"/>
        <v>2</v>
      </c>
      <c r="J2402" s="17">
        <v>16</v>
      </c>
      <c r="K2402" s="17">
        <f t="shared" si="1869"/>
        <v>60717</v>
      </c>
      <c r="L2402" s="17" t="s">
        <v>633</v>
      </c>
      <c r="M2402" s="17" t="str">
        <f t="shared" si="1872"/>
        <v>1:10400:5</v>
      </c>
      <c r="N2402" s="16" t="str">
        <f t="shared" si="1866"/>
        <v>10061:1</v>
      </c>
      <c r="O2402" s="17">
        <f t="shared" si="1868"/>
        <v>8</v>
      </c>
      <c r="P2402" s="21" t="s">
        <v>5050</v>
      </c>
      <c r="Q2402" s="21"/>
      <c r="R2402" t="s">
        <v>5034</v>
      </c>
      <c r="U2402" t="str">
        <f t="shared" si="1858"/>
        <v>法师</v>
      </c>
      <c r="V2402" t="s">
        <v>5032</v>
      </c>
      <c r="W2402">
        <f>属性类型!G2402</f>
        <v>10061</v>
      </c>
      <c r="X2402">
        <v>1</v>
      </c>
    </row>
    <row r="2403" customFormat="1" ht="16.5" spans="1:24">
      <c r="A2403" s="17">
        <f t="shared" si="1884"/>
        <v>60717</v>
      </c>
      <c r="B2403" s="17">
        <f t="shared" si="1885"/>
        <v>60700</v>
      </c>
      <c r="C2403" s="17" t="str">
        <f t="shared" si="1886"/>
        <v>6</v>
      </c>
      <c r="D2403" s="17">
        <f t="shared" si="1887"/>
        <v>60001</v>
      </c>
      <c r="E2403" s="17">
        <f t="shared" ref="E2403:H2403" si="1894">E2402</f>
        <v>2</v>
      </c>
      <c r="F2403" s="17">
        <f t="shared" si="1867"/>
        <v>1</v>
      </c>
      <c r="G2403" s="17" t="str">
        <f t="shared" si="1894"/>
        <v>死灵法师防御百分比</v>
      </c>
      <c r="H2403" s="17" t="str">
        <f t="shared" si="1894"/>
        <v>moshou03_Lv3</v>
      </c>
      <c r="I2403" s="20">
        <f t="shared" si="1875"/>
        <v>2</v>
      </c>
      <c r="J2403" s="17">
        <v>17</v>
      </c>
      <c r="K2403" s="17">
        <f t="shared" si="1869"/>
        <v>60718</v>
      </c>
      <c r="L2403" s="17" t="s">
        <v>637</v>
      </c>
      <c r="M2403" s="17" t="str">
        <f t="shared" si="1872"/>
        <v>1:10400:5</v>
      </c>
      <c r="N2403" s="16" t="str">
        <f t="shared" si="1866"/>
        <v>10061:1</v>
      </c>
      <c r="O2403" s="17">
        <f t="shared" si="1868"/>
        <v>8</v>
      </c>
      <c r="P2403" s="21" t="s">
        <v>5051</v>
      </c>
      <c r="Q2403" s="21"/>
      <c r="R2403" t="s">
        <v>5034</v>
      </c>
      <c r="U2403" t="str">
        <f t="shared" si="1858"/>
        <v>法师</v>
      </c>
      <c r="V2403" t="s">
        <v>5032</v>
      </c>
      <c r="W2403">
        <f>属性类型!G2403</f>
        <v>10061</v>
      </c>
      <c r="X2403">
        <v>1</v>
      </c>
    </row>
    <row r="2404" customFormat="1" ht="16.5" spans="1:24">
      <c r="A2404" s="17">
        <f t="shared" si="1884"/>
        <v>60718</v>
      </c>
      <c r="B2404" s="17">
        <f t="shared" si="1885"/>
        <v>60700</v>
      </c>
      <c r="C2404" s="17" t="str">
        <f t="shared" si="1886"/>
        <v>6</v>
      </c>
      <c r="D2404" s="17">
        <f t="shared" si="1887"/>
        <v>60001</v>
      </c>
      <c r="E2404" s="17">
        <f t="shared" ref="E2404:H2404" si="1895">E2403</f>
        <v>2</v>
      </c>
      <c r="F2404" s="17">
        <f t="shared" si="1867"/>
        <v>1</v>
      </c>
      <c r="G2404" s="17" t="str">
        <f t="shared" si="1895"/>
        <v>死灵法师防御百分比</v>
      </c>
      <c r="H2404" s="17" t="str">
        <f t="shared" si="1895"/>
        <v>moshou03_Lv3</v>
      </c>
      <c r="I2404" s="20">
        <f t="shared" si="1875"/>
        <v>2</v>
      </c>
      <c r="J2404" s="17">
        <v>18</v>
      </c>
      <c r="K2404" s="17">
        <f t="shared" si="1869"/>
        <v>60719</v>
      </c>
      <c r="L2404" s="17" t="s">
        <v>641</v>
      </c>
      <c r="M2404" s="17" t="str">
        <f t="shared" si="1872"/>
        <v>1:10400:5</v>
      </c>
      <c r="N2404" s="16" t="str">
        <f t="shared" si="1866"/>
        <v>10061:1</v>
      </c>
      <c r="O2404" s="17">
        <f t="shared" si="1868"/>
        <v>8</v>
      </c>
      <c r="P2404" s="21" t="s">
        <v>5052</v>
      </c>
      <c r="Q2404" s="21"/>
      <c r="R2404" t="s">
        <v>5034</v>
      </c>
      <c r="U2404" t="str">
        <f t="shared" si="1858"/>
        <v>法师</v>
      </c>
      <c r="V2404" t="s">
        <v>5032</v>
      </c>
      <c r="W2404">
        <f>属性类型!G2404</f>
        <v>10061</v>
      </c>
      <c r="X2404">
        <v>1</v>
      </c>
    </row>
    <row r="2405" customFormat="1" ht="16.5" spans="1:24">
      <c r="A2405" s="17">
        <f t="shared" si="1884"/>
        <v>60719</v>
      </c>
      <c r="B2405" s="17">
        <f t="shared" si="1885"/>
        <v>60700</v>
      </c>
      <c r="C2405" s="17" t="str">
        <f t="shared" si="1886"/>
        <v>6</v>
      </c>
      <c r="D2405" s="17">
        <f t="shared" si="1887"/>
        <v>60001</v>
      </c>
      <c r="E2405" s="17">
        <f t="shared" ref="E2405:H2405" si="1896">E2404</f>
        <v>2</v>
      </c>
      <c r="F2405" s="17">
        <f t="shared" si="1867"/>
        <v>1</v>
      </c>
      <c r="G2405" s="17" t="str">
        <f t="shared" si="1896"/>
        <v>死灵法师防御百分比</v>
      </c>
      <c r="H2405" s="17" t="str">
        <f t="shared" si="1896"/>
        <v>moshou03_Lv3</v>
      </c>
      <c r="I2405" s="20">
        <f t="shared" si="1875"/>
        <v>2</v>
      </c>
      <c r="J2405" s="17">
        <v>19</v>
      </c>
      <c r="K2405" s="17">
        <f t="shared" si="1869"/>
        <v>60720</v>
      </c>
      <c r="L2405" s="17" t="s">
        <v>645</v>
      </c>
      <c r="M2405" s="17" t="str">
        <f t="shared" si="1872"/>
        <v>1:10400:5</v>
      </c>
      <c r="N2405" s="16" t="str">
        <f t="shared" si="1866"/>
        <v>10061:1</v>
      </c>
      <c r="O2405" s="17">
        <f t="shared" si="1868"/>
        <v>8</v>
      </c>
      <c r="P2405" s="21" t="s">
        <v>5053</v>
      </c>
      <c r="Q2405" s="21"/>
      <c r="R2405" t="s">
        <v>5034</v>
      </c>
      <c r="U2405" t="str">
        <f t="shared" si="1858"/>
        <v>法师</v>
      </c>
      <c r="V2405" t="s">
        <v>5032</v>
      </c>
      <c r="W2405">
        <f>属性类型!G2405</f>
        <v>10061</v>
      </c>
      <c r="X2405">
        <v>1</v>
      </c>
    </row>
    <row r="2406" customFormat="1" ht="16.5" spans="1:24">
      <c r="A2406" s="17">
        <f t="shared" si="1884"/>
        <v>60720</v>
      </c>
      <c r="B2406" s="17">
        <f t="shared" si="1885"/>
        <v>60700</v>
      </c>
      <c r="C2406" s="17" t="str">
        <f t="shared" si="1886"/>
        <v>6</v>
      </c>
      <c r="D2406" s="17">
        <f t="shared" si="1887"/>
        <v>60001</v>
      </c>
      <c r="E2406" s="17">
        <f t="shared" ref="E2406:H2406" si="1897">E2405</f>
        <v>2</v>
      </c>
      <c r="F2406" s="17">
        <f t="shared" si="1867"/>
        <v>1</v>
      </c>
      <c r="G2406" s="17" t="str">
        <f t="shared" si="1897"/>
        <v>死灵法师防御百分比</v>
      </c>
      <c r="H2406" s="17" t="str">
        <f t="shared" si="1897"/>
        <v>moshou03_Lv3</v>
      </c>
      <c r="I2406" s="20">
        <f t="shared" si="1875"/>
        <v>2</v>
      </c>
      <c r="J2406" s="17">
        <v>20</v>
      </c>
      <c r="K2406" s="17">
        <v>0</v>
      </c>
      <c r="L2406" s="17">
        <v>0</v>
      </c>
      <c r="M2406" s="17" t="str">
        <f t="shared" si="1872"/>
        <v>1:10400:5</v>
      </c>
      <c r="N2406" s="16" t="str">
        <f t="shared" si="1866"/>
        <v>10061:1</v>
      </c>
      <c r="O2406" s="17">
        <f t="shared" si="1868"/>
        <v>8</v>
      </c>
      <c r="P2406" s="21" t="s">
        <v>5053</v>
      </c>
      <c r="Q2406" s="21"/>
      <c r="R2406" t="s">
        <v>5034</v>
      </c>
      <c r="U2406" t="str">
        <f t="shared" si="1858"/>
        <v>法师</v>
      </c>
      <c r="V2406" t="s">
        <v>5032</v>
      </c>
      <c r="W2406">
        <f>属性类型!G2406</f>
        <v>10061</v>
      </c>
      <c r="X2406">
        <v>1</v>
      </c>
    </row>
    <row r="2407" customFormat="1" ht="16.5" spans="1:24">
      <c r="A2407" s="18">
        <f>A2386+100</f>
        <v>60800</v>
      </c>
      <c r="B2407" s="18">
        <f t="shared" si="1885"/>
        <v>60800</v>
      </c>
      <c r="C2407" s="18" t="str">
        <f t="shared" ref="C2407:C2445" si="1898">LEFT(A2407,1)</f>
        <v>6</v>
      </c>
      <c r="D2407" s="17">
        <f t="shared" si="1887"/>
        <v>60001</v>
      </c>
      <c r="E2407" s="17">
        <v>2</v>
      </c>
      <c r="F2407" s="18">
        <f t="shared" si="1867"/>
        <v>1</v>
      </c>
      <c r="G2407" s="18" t="s">
        <v>5054</v>
      </c>
      <c r="H2407" s="18" t="s">
        <v>3767</v>
      </c>
      <c r="I2407" s="20">
        <v>2</v>
      </c>
      <c r="J2407" s="18">
        <v>0</v>
      </c>
      <c r="K2407" s="18">
        <f t="shared" ref="K2407:K2426" si="1899">A2408</f>
        <v>60801</v>
      </c>
      <c r="L2407" s="18" t="s">
        <v>206</v>
      </c>
      <c r="M2407" s="18" t="s">
        <v>244</v>
      </c>
      <c r="N2407" s="16" t="str">
        <f t="shared" si="1866"/>
        <v>10062:1</v>
      </c>
      <c r="O2407" s="18">
        <f t="shared" si="1868"/>
        <v>9</v>
      </c>
      <c r="P2407" s="21" t="s">
        <v>5055</v>
      </c>
      <c r="Q2407" s="21"/>
      <c r="R2407" t="s">
        <v>5034</v>
      </c>
      <c r="T2407" t="str">
        <f>RIGHT(N2407,1)</f>
        <v>1</v>
      </c>
      <c r="U2407" t="str">
        <f t="shared" si="1858"/>
        <v>法师</v>
      </c>
      <c r="V2407" t="s">
        <v>5054</v>
      </c>
      <c r="W2407">
        <f>属性类型!G2407</f>
        <v>10062</v>
      </c>
      <c r="X2407">
        <v>1</v>
      </c>
    </row>
    <row r="2408" customFormat="1" ht="16.5" spans="1:24">
      <c r="A2408" s="17">
        <f t="shared" ref="A2408:A2417" si="1900">A2407+1</f>
        <v>60801</v>
      </c>
      <c r="B2408" s="17">
        <f t="shared" si="1885"/>
        <v>60800</v>
      </c>
      <c r="C2408" s="17" t="str">
        <f t="shared" si="1898"/>
        <v>6</v>
      </c>
      <c r="D2408" s="17">
        <f t="shared" si="1887"/>
        <v>60001</v>
      </c>
      <c r="E2408" s="17">
        <f t="shared" ref="E2408:I2408" si="1901">E2407</f>
        <v>2</v>
      </c>
      <c r="F2408" s="17">
        <f t="shared" si="1867"/>
        <v>1</v>
      </c>
      <c r="G2408" s="17" t="str">
        <f t="shared" si="1901"/>
        <v>死灵法师攻击百分比</v>
      </c>
      <c r="H2408" s="17" t="str">
        <f t="shared" si="1901"/>
        <v>moshou03_Lv3</v>
      </c>
      <c r="I2408" s="20">
        <f t="shared" si="1901"/>
        <v>2</v>
      </c>
      <c r="J2408" s="17">
        <v>1</v>
      </c>
      <c r="K2408" s="17">
        <f t="shared" si="1899"/>
        <v>60802</v>
      </c>
      <c r="L2408" s="17" t="s">
        <v>211</v>
      </c>
      <c r="M2408" s="17" t="str">
        <f t="shared" ref="M2408:M2427" si="1902">M2407</f>
        <v>1:10500:5</v>
      </c>
      <c r="N2408" s="16" t="str">
        <f t="shared" si="1866"/>
        <v>10062:1</v>
      </c>
      <c r="O2408" s="17">
        <f t="shared" si="1868"/>
        <v>9</v>
      </c>
      <c r="P2408" s="21" t="s">
        <v>5056</v>
      </c>
      <c r="Q2408" s="21"/>
      <c r="R2408" t="str">
        <f t="shared" ref="R2408:R2427" si="1903">R2407</f>
        <v>死灵法师</v>
      </c>
      <c r="T2408" t="str">
        <f t="shared" ref="T2408:T2417" si="1904">RIGHT(N2408,2)</f>
        <v>:1</v>
      </c>
      <c r="U2408" t="str">
        <f t="shared" si="1858"/>
        <v>法师</v>
      </c>
      <c r="V2408" t="s">
        <v>5054</v>
      </c>
      <c r="W2408">
        <f>属性类型!G2408</f>
        <v>10062</v>
      </c>
      <c r="X2408">
        <v>1</v>
      </c>
    </row>
    <row r="2409" customFormat="1" ht="16.5" spans="1:24">
      <c r="A2409" s="17">
        <f t="shared" si="1900"/>
        <v>60802</v>
      </c>
      <c r="B2409" s="17">
        <f t="shared" si="1885"/>
        <v>60800</v>
      </c>
      <c r="C2409" s="17" t="str">
        <f t="shared" si="1898"/>
        <v>6</v>
      </c>
      <c r="D2409" s="17">
        <f t="shared" si="1887"/>
        <v>60001</v>
      </c>
      <c r="E2409" s="17">
        <f t="shared" ref="E2409:I2409" si="1905">E2408</f>
        <v>2</v>
      </c>
      <c r="F2409" s="17">
        <f t="shared" si="1867"/>
        <v>1</v>
      </c>
      <c r="G2409" s="17" t="str">
        <f t="shared" si="1905"/>
        <v>死灵法师攻击百分比</v>
      </c>
      <c r="H2409" s="17" t="str">
        <f t="shared" si="1905"/>
        <v>moshou03_Lv3</v>
      </c>
      <c r="I2409" s="20">
        <f t="shared" si="1905"/>
        <v>2</v>
      </c>
      <c r="J2409" s="17">
        <v>2</v>
      </c>
      <c r="K2409" s="17">
        <f t="shared" si="1899"/>
        <v>60803</v>
      </c>
      <c r="L2409" s="17" t="s">
        <v>215</v>
      </c>
      <c r="M2409" s="17" t="str">
        <f t="shared" si="1902"/>
        <v>1:10500:5</v>
      </c>
      <c r="N2409" s="16" t="str">
        <f t="shared" si="1866"/>
        <v>10062:1</v>
      </c>
      <c r="O2409" s="17">
        <f t="shared" si="1868"/>
        <v>9</v>
      </c>
      <c r="P2409" s="21" t="s">
        <v>5057</v>
      </c>
      <c r="Q2409" s="21"/>
      <c r="R2409" t="str">
        <f t="shared" si="1903"/>
        <v>死灵法师</v>
      </c>
      <c r="T2409" t="str">
        <f t="shared" si="1904"/>
        <v>:1</v>
      </c>
      <c r="U2409" t="str">
        <f t="shared" si="1858"/>
        <v>法师</v>
      </c>
      <c r="V2409" t="s">
        <v>5054</v>
      </c>
      <c r="W2409">
        <f>属性类型!G2409</f>
        <v>10062</v>
      </c>
      <c r="X2409">
        <v>1</v>
      </c>
    </row>
    <row r="2410" customFormat="1" ht="16.5" spans="1:24">
      <c r="A2410" s="17">
        <f t="shared" si="1900"/>
        <v>60803</v>
      </c>
      <c r="B2410" s="17">
        <f t="shared" si="1885"/>
        <v>60800</v>
      </c>
      <c r="C2410" s="17" t="str">
        <f t="shared" si="1898"/>
        <v>6</v>
      </c>
      <c r="D2410" s="17">
        <f t="shared" si="1887"/>
        <v>60001</v>
      </c>
      <c r="E2410" s="17">
        <f t="shared" ref="E2410:I2410" si="1906">E2409</f>
        <v>2</v>
      </c>
      <c r="F2410" s="17">
        <f t="shared" si="1867"/>
        <v>1</v>
      </c>
      <c r="G2410" s="17" t="str">
        <f t="shared" si="1906"/>
        <v>死灵法师攻击百分比</v>
      </c>
      <c r="H2410" s="17" t="str">
        <f t="shared" si="1906"/>
        <v>moshou03_Lv3</v>
      </c>
      <c r="I2410" s="20">
        <f t="shared" si="1906"/>
        <v>2</v>
      </c>
      <c r="J2410" s="17">
        <v>3</v>
      </c>
      <c r="K2410" s="17">
        <f t="shared" si="1899"/>
        <v>60804</v>
      </c>
      <c r="L2410" s="17" t="s">
        <v>218</v>
      </c>
      <c r="M2410" s="17" t="str">
        <f t="shared" si="1902"/>
        <v>1:10500:5</v>
      </c>
      <c r="N2410" s="16" t="str">
        <f t="shared" si="1866"/>
        <v>10062:1</v>
      </c>
      <c r="O2410" s="17">
        <f t="shared" si="1868"/>
        <v>9</v>
      </c>
      <c r="P2410" s="21" t="s">
        <v>5058</v>
      </c>
      <c r="Q2410" s="21"/>
      <c r="R2410" t="str">
        <f t="shared" si="1903"/>
        <v>死灵法师</v>
      </c>
      <c r="T2410" t="str">
        <f t="shared" si="1904"/>
        <v>:1</v>
      </c>
      <c r="U2410" t="str">
        <f t="shared" si="1858"/>
        <v>法师</v>
      </c>
      <c r="V2410" t="s">
        <v>5054</v>
      </c>
      <c r="W2410">
        <f>属性类型!G2410</f>
        <v>10062</v>
      </c>
      <c r="X2410">
        <v>1</v>
      </c>
    </row>
    <row r="2411" customFormat="1" ht="16.5" spans="1:24">
      <c r="A2411" s="17">
        <f t="shared" si="1900"/>
        <v>60804</v>
      </c>
      <c r="B2411" s="17">
        <f t="shared" si="1885"/>
        <v>60800</v>
      </c>
      <c r="C2411" s="17" t="str">
        <f t="shared" si="1898"/>
        <v>6</v>
      </c>
      <c r="D2411" s="17">
        <f t="shared" si="1887"/>
        <v>60001</v>
      </c>
      <c r="E2411" s="17">
        <f t="shared" ref="E2411:I2411" si="1907">E2410</f>
        <v>2</v>
      </c>
      <c r="F2411" s="17">
        <f t="shared" si="1867"/>
        <v>1</v>
      </c>
      <c r="G2411" s="17" t="str">
        <f t="shared" si="1907"/>
        <v>死灵法师攻击百分比</v>
      </c>
      <c r="H2411" s="17" t="str">
        <f t="shared" si="1907"/>
        <v>moshou03_Lv3</v>
      </c>
      <c r="I2411" s="20">
        <f t="shared" si="1907"/>
        <v>2</v>
      </c>
      <c r="J2411" s="17">
        <v>4</v>
      </c>
      <c r="K2411" s="17">
        <f t="shared" si="1899"/>
        <v>60805</v>
      </c>
      <c r="L2411" s="17" t="s">
        <v>221</v>
      </c>
      <c r="M2411" s="17" t="str">
        <f t="shared" si="1902"/>
        <v>1:10500:5</v>
      </c>
      <c r="N2411" s="16" t="str">
        <f t="shared" si="1866"/>
        <v>10062:1</v>
      </c>
      <c r="O2411" s="17">
        <f t="shared" si="1868"/>
        <v>9</v>
      </c>
      <c r="P2411" s="21" t="s">
        <v>5059</v>
      </c>
      <c r="Q2411" s="21"/>
      <c r="R2411" t="str">
        <f t="shared" si="1903"/>
        <v>死灵法师</v>
      </c>
      <c r="T2411" t="str">
        <f t="shared" si="1904"/>
        <v>:1</v>
      </c>
      <c r="U2411" t="str">
        <f t="shared" si="1858"/>
        <v>法师</v>
      </c>
      <c r="V2411" t="s">
        <v>5054</v>
      </c>
      <c r="W2411">
        <f>属性类型!G2411</f>
        <v>10062</v>
      </c>
      <c r="X2411">
        <v>1</v>
      </c>
    </row>
    <row r="2412" customFormat="1" ht="16.5" spans="1:24">
      <c r="A2412" s="17">
        <f t="shared" si="1900"/>
        <v>60805</v>
      </c>
      <c r="B2412" s="17">
        <f t="shared" si="1885"/>
        <v>60800</v>
      </c>
      <c r="C2412" s="17" t="str">
        <f t="shared" si="1898"/>
        <v>6</v>
      </c>
      <c r="D2412" s="17">
        <f t="shared" si="1887"/>
        <v>60001</v>
      </c>
      <c r="E2412" s="17">
        <f t="shared" ref="E2412:I2412" si="1908">E2411</f>
        <v>2</v>
      </c>
      <c r="F2412" s="17">
        <f t="shared" si="1867"/>
        <v>1</v>
      </c>
      <c r="G2412" s="17" t="str">
        <f t="shared" si="1908"/>
        <v>死灵法师攻击百分比</v>
      </c>
      <c r="H2412" s="17" t="str">
        <f t="shared" si="1908"/>
        <v>moshou03_Lv3</v>
      </c>
      <c r="I2412" s="20">
        <f t="shared" si="1908"/>
        <v>2</v>
      </c>
      <c r="J2412" s="17">
        <v>5</v>
      </c>
      <c r="K2412" s="17">
        <f t="shared" si="1899"/>
        <v>60806</v>
      </c>
      <c r="L2412" s="17" t="s">
        <v>224</v>
      </c>
      <c r="M2412" s="17" t="str">
        <f t="shared" si="1902"/>
        <v>1:10500:5</v>
      </c>
      <c r="N2412" s="16" t="str">
        <f t="shared" si="1866"/>
        <v>10062:1</v>
      </c>
      <c r="O2412" s="17">
        <f t="shared" si="1868"/>
        <v>9</v>
      </c>
      <c r="P2412" s="21" t="s">
        <v>5060</v>
      </c>
      <c r="Q2412" s="21"/>
      <c r="R2412" t="str">
        <f t="shared" si="1903"/>
        <v>死灵法师</v>
      </c>
      <c r="T2412" t="str">
        <f t="shared" si="1904"/>
        <v>:1</v>
      </c>
      <c r="U2412" t="str">
        <f t="shared" si="1858"/>
        <v>法师</v>
      </c>
      <c r="V2412" t="s">
        <v>5054</v>
      </c>
      <c r="W2412">
        <f>属性类型!G2412</f>
        <v>10062</v>
      </c>
      <c r="X2412">
        <v>1</v>
      </c>
    </row>
    <row r="2413" customFormat="1" ht="16.5" spans="1:24">
      <c r="A2413" s="17">
        <f t="shared" si="1900"/>
        <v>60806</v>
      </c>
      <c r="B2413" s="17">
        <f t="shared" si="1885"/>
        <v>60800</v>
      </c>
      <c r="C2413" s="17" t="str">
        <f t="shared" si="1898"/>
        <v>6</v>
      </c>
      <c r="D2413" s="17">
        <f t="shared" si="1887"/>
        <v>60001</v>
      </c>
      <c r="E2413" s="17">
        <f t="shared" ref="E2413:I2413" si="1909">E2412</f>
        <v>2</v>
      </c>
      <c r="F2413" s="17">
        <f t="shared" si="1867"/>
        <v>1</v>
      </c>
      <c r="G2413" s="17" t="str">
        <f t="shared" si="1909"/>
        <v>死灵法师攻击百分比</v>
      </c>
      <c r="H2413" s="17" t="str">
        <f t="shared" si="1909"/>
        <v>moshou03_Lv3</v>
      </c>
      <c r="I2413" s="20">
        <f t="shared" si="1909"/>
        <v>2</v>
      </c>
      <c r="J2413" s="17">
        <v>6</v>
      </c>
      <c r="K2413" s="17">
        <f t="shared" si="1899"/>
        <v>60807</v>
      </c>
      <c r="L2413" s="17" t="s">
        <v>227</v>
      </c>
      <c r="M2413" s="17" t="str">
        <f t="shared" si="1902"/>
        <v>1:10500:5</v>
      </c>
      <c r="N2413" s="16" t="str">
        <f t="shared" si="1866"/>
        <v>10062:1</v>
      </c>
      <c r="O2413" s="17">
        <f t="shared" si="1868"/>
        <v>9</v>
      </c>
      <c r="P2413" s="21" t="s">
        <v>5061</v>
      </c>
      <c r="Q2413" s="21"/>
      <c r="R2413" t="str">
        <f t="shared" si="1903"/>
        <v>死灵法师</v>
      </c>
      <c r="T2413" t="str">
        <f t="shared" si="1904"/>
        <v>:1</v>
      </c>
      <c r="U2413" t="str">
        <f t="shared" si="1858"/>
        <v>法师</v>
      </c>
      <c r="V2413" t="s">
        <v>5054</v>
      </c>
      <c r="W2413">
        <f>属性类型!G2413</f>
        <v>10062</v>
      </c>
      <c r="X2413">
        <v>1</v>
      </c>
    </row>
    <row r="2414" customFormat="1" ht="16.5" spans="1:24">
      <c r="A2414" s="17">
        <f t="shared" si="1900"/>
        <v>60807</v>
      </c>
      <c r="B2414" s="17">
        <f t="shared" si="1885"/>
        <v>60800</v>
      </c>
      <c r="C2414" s="17" t="str">
        <f t="shared" si="1898"/>
        <v>6</v>
      </c>
      <c r="D2414" s="17">
        <f t="shared" si="1887"/>
        <v>60001</v>
      </c>
      <c r="E2414" s="17">
        <f t="shared" ref="E2414:I2414" si="1910">E2413</f>
        <v>2</v>
      </c>
      <c r="F2414" s="17">
        <f t="shared" si="1867"/>
        <v>1</v>
      </c>
      <c r="G2414" s="17" t="str">
        <f t="shared" si="1910"/>
        <v>死灵法师攻击百分比</v>
      </c>
      <c r="H2414" s="17" t="str">
        <f t="shared" si="1910"/>
        <v>moshou03_Lv3</v>
      </c>
      <c r="I2414" s="20">
        <f t="shared" si="1910"/>
        <v>2</v>
      </c>
      <c r="J2414" s="17">
        <v>7</v>
      </c>
      <c r="K2414" s="17">
        <f t="shared" si="1899"/>
        <v>60808</v>
      </c>
      <c r="L2414" s="17" t="s">
        <v>230</v>
      </c>
      <c r="M2414" s="17" t="str">
        <f t="shared" si="1902"/>
        <v>1:10500:5</v>
      </c>
      <c r="N2414" s="16" t="str">
        <f t="shared" si="1866"/>
        <v>10062:1</v>
      </c>
      <c r="O2414" s="17">
        <f t="shared" si="1868"/>
        <v>9</v>
      </c>
      <c r="P2414" s="21" t="s">
        <v>5062</v>
      </c>
      <c r="Q2414" s="21"/>
      <c r="R2414" t="str">
        <f t="shared" si="1903"/>
        <v>死灵法师</v>
      </c>
      <c r="T2414" t="str">
        <f t="shared" si="1904"/>
        <v>:1</v>
      </c>
      <c r="U2414" t="str">
        <f t="shared" si="1858"/>
        <v>法师</v>
      </c>
      <c r="V2414" t="s">
        <v>5054</v>
      </c>
      <c r="W2414">
        <f>属性类型!G2414</f>
        <v>10062</v>
      </c>
      <c r="X2414">
        <v>1</v>
      </c>
    </row>
    <row r="2415" customFormat="1" ht="16.5" spans="1:24">
      <c r="A2415" s="17">
        <f t="shared" si="1900"/>
        <v>60808</v>
      </c>
      <c r="B2415" s="17">
        <f t="shared" si="1885"/>
        <v>60800</v>
      </c>
      <c r="C2415" s="17" t="str">
        <f t="shared" si="1898"/>
        <v>6</v>
      </c>
      <c r="D2415" s="17">
        <f t="shared" si="1887"/>
        <v>60001</v>
      </c>
      <c r="E2415" s="17">
        <f t="shared" ref="E2415:I2415" si="1911">E2414</f>
        <v>2</v>
      </c>
      <c r="F2415" s="17">
        <f t="shared" si="1867"/>
        <v>1</v>
      </c>
      <c r="G2415" s="17" t="str">
        <f t="shared" si="1911"/>
        <v>死灵法师攻击百分比</v>
      </c>
      <c r="H2415" s="17" t="str">
        <f t="shared" si="1911"/>
        <v>moshou03_Lv3</v>
      </c>
      <c r="I2415" s="20">
        <f t="shared" si="1911"/>
        <v>2</v>
      </c>
      <c r="J2415" s="17">
        <v>8</v>
      </c>
      <c r="K2415" s="17">
        <f t="shared" si="1899"/>
        <v>60809</v>
      </c>
      <c r="L2415" s="17" t="s">
        <v>233</v>
      </c>
      <c r="M2415" s="17" t="str">
        <f t="shared" si="1902"/>
        <v>1:10500:5</v>
      </c>
      <c r="N2415" s="16" t="str">
        <f t="shared" si="1866"/>
        <v>10062:1</v>
      </c>
      <c r="O2415" s="17">
        <f t="shared" si="1868"/>
        <v>9</v>
      </c>
      <c r="P2415" s="21" t="s">
        <v>5063</v>
      </c>
      <c r="Q2415" s="21"/>
      <c r="R2415" t="str">
        <f t="shared" si="1903"/>
        <v>死灵法师</v>
      </c>
      <c r="T2415" t="str">
        <f t="shared" si="1904"/>
        <v>:1</v>
      </c>
      <c r="U2415" t="str">
        <f t="shared" si="1858"/>
        <v>法师</v>
      </c>
      <c r="V2415" t="s">
        <v>5054</v>
      </c>
      <c r="W2415">
        <f>属性类型!G2415</f>
        <v>10062</v>
      </c>
      <c r="X2415">
        <v>1</v>
      </c>
    </row>
    <row r="2416" customFormat="1" ht="16.5" spans="1:24">
      <c r="A2416" s="17">
        <f t="shared" si="1900"/>
        <v>60809</v>
      </c>
      <c r="B2416" s="17">
        <f t="shared" si="1885"/>
        <v>60800</v>
      </c>
      <c r="C2416" s="17" t="str">
        <f t="shared" si="1898"/>
        <v>6</v>
      </c>
      <c r="D2416" s="17">
        <f t="shared" si="1887"/>
        <v>60001</v>
      </c>
      <c r="E2416" s="17">
        <f t="shared" ref="E2416:I2416" si="1912">E2415</f>
        <v>2</v>
      </c>
      <c r="F2416" s="17">
        <f t="shared" si="1867"/>
        <v>1</v>
      </c>
      <c r="G2416" s="17" t="str">
        <f t="shared" si="1912"/>
        <v>死灵法师攻击百分比</v>
      </c>
      <c r="H2416" s="17" t="str">
        <f t="shared" si="1912"/>
        <v>moshou03_Lv3</v>
      </c>
      <c r="I2416" s="20">
        <f t="shared" si="1912"/>
        <v>2</v>
      </c>
      <c r="J2416" s="17">
        <v>9</v>
      </c>
      <c r="K2416" s="17">
        <f t="shared" si="1899"/>
        <v>60810</v>
      </c>
      <c r="L2416" s="17" t="s">
        <v>236</v>
      </c>
      <c r="M2416" s="17" t="str">
        <f t="shared" si="1902"/>
        <v>1:10500:5</v>
      </c>
      <c r="N2416" s="16" t="str">
        <f t="shared" si="1866"/>
        <v>10062:1</v>
      </c>
      <c r="O2416" s="17">
        <f t="shared" si="1868"/>
        <v>9</v>
      </c>
      <c r="P2416" s="21" t="s">
        <v>5064</v>
      </c>
      <c r="Q2416" s="21"/>
      <c r="R2416" t="str">
        <f t="shared" si="1903"/>
        <v>死灵法师</v>
      </c>
      <c r="T2416" t="str">
        <f t="shared" si="1904"/>
        <v>:1</v>
      </c>
      <c r="U2416" t="str">
        <f t="shared" si="1858"/>
        <v>法师</v>
      </c>
      <c r="V2416" t="s">
        <v>5054</v>
      </c>
      <c r="W2416">
        <f>属性类型!G2416</f>
        <v>10062</v>
      </c>
      <c r="X2416">
        <v>1</v>
      </c>
    </row>
    <row r="2417" customFormat="1" ht="16.5" spans="1:24">
      <c r="A2417" s="17">
        <f t="shared" si="1900"/>
        <v>60810</v>
      </c>
      <c r="B2417" s="17">
        <f t="shared" si="1885"/>
        <v>60800</v>
      </c>
      <c r="C2417" s="17" t="str">
        <f t="shared" si="1898"/>
        <v>6</v>
      </c>
      <c r="D2417" s="17">
        <f t="shared" si="1887"/>
        <v>60001</v>
      </c>
      <c r="E2417" s="17">
        <f t="shared" ref="E2417:I2417" si="1913">E2416</f>
        <v>2</v>
      </c>
      <c r="F2417" s="17">
        <f t="shared" si="1867"/>
        <v>1</v>
      </c>
      <c r="G2417" s="17" t="str">
        <f t="shared" si="1913"/>
        <v>死灵法师攻击百分比</v>
      </c>
      <c r="H2417" s="17" t="str">
        <f t="shared" si="1913"/>
        <v>moshou03_Lv3</v>
      </c>
      <c r="I2417" s="20">
        <f t="shared" si="1913"/>
        <v>2</v>
      </c>
      <c r="J2417" s="17">
        <v>10</v>
      </c>
      <c r="K2417" s="17">
        <f t="shared" si="1899"/>
        <v>60811</v>
      </c>
      <c r="L2417" s="17" t="s">
        <v>238</v>
      </c>
      <c r="M2417" s="17" t="str">
        <f t="shared" si="1902"/>
        <v>1:10500:5</v>
      </c>
      <c r="N2417" s="16" t="str">
        <f t="shared" si="1866"/>
        <v>10062:1</v>
      </c>
      <c r="O2417" s="17">
        <f t="shared" si="1868"/>
        <v>9</v>
      </c>
      <c r="P2417" s="21" t="s">
        <v>5065</v>
      </c>
      <c r="Q2417" s="21"/>
      <c r="R2417" t="str">
        <f t="shared" si="1903"/>
        <v>死灵法师</v>
      </c>
      <c r="T2417" t="str">
        <f t="shared" si="1904"/>
        <v>:1</v>
      </c>
      <c r="U2417" t="str">
        <f t="shared" si="1858"/>
        <v>法师</v>
      </c>
      <c r="V2417" t="s">
        <v>5054</v>
      </c>
      <c r="W2417">
        <f>属性类型!G2417</f>
        <v>10062</v>
      </c>
      <c r="X2417">
        <v>1</v>
      </c>
    </row>
    <row r="2418" customFormat="1" ht="16.5" spans="1:24">
      <c r="A2418" s="17">
        <f t="shared" ref="A2418:A2427" si="1914">A2417+1</f>
        <v>60811</v>
      </c>
      <c r="B2418" s="17">
        <f t="shared" ref="B2418:B2438" si="1915">ROUND(A2418,-2)</f>
        <v>60800</v>
      </c>
      <c r="C2418" s="17" t="str">
        <f t="shared" ref="C2418:C2438" si="1916">LEFT(A2418,1)</f>
        <v>6</v>
      </c>
      <c r="D2418" s="17">
        <f t="shared" ref="D2418:D2438" si="1917">$A$2329+F2418</f>
        <v>60001</v>
      </c>
      <c r="E2418" s="17">
        <f t="shared" ref="E2418:I2418" si="1918">E2417</f>
        <v>2</v>
      </c>
      <c r="F2418" s="17">
        <f t="shared" si="1867"/>
        <v>1</v>
      </c>
      <c r="G2418" s="17" t="str">
        <f t="shared" si="1918"/>
        <v>死灵法师攻击百分比</v>
      </c>
      <c r="H2418" s="17" t="str">
        <f t="shared" si="1918"/>
        <v>moshou03_Lv3</v>
      </c>
      <c r="I2418" s="20">
        <f t="shared" si="1918"/>
        <v>2</v>
      </c>
      <c r="J2418" s="17">
        <v>11</v>
      </c>
      <c r="K2418" s="17">
        <f t="shared" si="1899"/>
        <v>60812</v>
      </c>
      <c r="L2418" s="17" t="s">
        <v>529</v>
      </c>
      <c r="M2418" s="17" t="str">
        <f t="shared" si="1902"/>
        <v>1:10500:5</v>
      </c>
      <c r="N2418" s="16" t="str">
        <f t="shared" si="1866"/>
        <v>10062:1</v>
      </c>
      <c r="O2418" s="17">
        <f t="shared" si="1868"/>
        <v>9</v>
      </c>
      <c r="P2418" s="21" t="s">
        <v>5066</v>
      </c>
      <c r="Q2418" s="21"/>
      <c r="R2418" t="str">
        <f t="shared" si="1903"/>
        <v>死灵法师</v>
      </c>
      <c r="U2418" t="str">
        <f t="shared" si="1858"/>
        <v>法师</v>
      </c>
      <c r="V2418" t="s">
        <v>5054</v>
      </c>
      <c r="W2418">
        <f>属性类型!G2418</f>
        <v>10062</v>
      </c>
      <c r="X2418">
        <v>1</v>
      </c>
    </row>
    <row r="2419" customFormat="1" ht="16.5" spans="1:24">
      <c r="A2419" s="17">
        <f t="shared" si="1914"/>
        <v>60812</v>
      </c>
      <c r="B2419" s="17">
        <f t="shared" si="1915"/>
        <v>60800</v>
      </c>
      <c r="C2419" s="17" t="str">
        <f t="shared" si="1916"/>
        <v>6</v>
      </c>
      <c r="D2419" s="17">
        <f t="shared" si="1917"/>
        <v>60001</v>
      </c>
      <c r="E2419" s="17">
        <f t="shared" ref="E2419:I2419" si="1919">E2418</f>
        <v>2</v>
      </c>
      <c r="F2419" s="17">
        <f t="shared" si="1867"/>
        <v>1</v>
      </c>
      <c r="G2419" s="17" t="str">
        <f t="shared" si="1919"/>
        <v>死灵法师攻击百分比</v>
      </c>
      <c r="H2419" s="17" t="str">
        <f t="shared" si="1919"/>
        <v>moshou03_Lv3</v>
      </c>
      <c r="I2419" s="20">
        <f t="shared" si="1919"/>
        <v>2</v>
      </c>
      <c r="J2419" s="17">
        <v>12</v>
      </c>
      <c r="K2419" s="17">
        <f t="shared" si="1899"/>
        <v>60813</v>
      </c>
      <c r="L2419" s="17" t="s">
        <v>532</v>
      </c>
      <c r="M2419" s="17" t="str">
        <f t="shared" si="1902"/>
        <v>1:10500:5</v>
      </c>
      <c r="N2419" s="16" t="str">
        <f t="shared" si="1866"/>
        <v>10062:1</v>
      </c>
      <c r="O2419" s="17">
        <f t="shared" si="1868"/>
        <v>9</v>
      </c>
      <c r="P2419" s="21" t="s">
        <v>5067</v>
      </c>
      <c r="Q2419" s="21"/>
      <c r="R2419" t="str">
        <f t="shared" si="1903"/>
        <v>死灵法师</v>
      </c>
      <c r="U2419" t="str">
        <f t="shared" si="1858"/>
        <v>法师</v>
      </c>
      <c r="V2419" t="s">
        <v>5054</v>
      </c>
      <c r="W2419">
        <f>属性类型!G2419</f>
        <v>10062</v>
      </c>
      <c r="X2419">
        <v>1</v>
      </c>
    </row>
    <row r="2420" customFormat="1" ht="16.5" spans="1:24">
      <c r="A2420" s="17">
        <f t="shared" si="1914"/>
        <v>60813</v>
      </c>
      <c r="B2420" s="17">
        <f t="shared" si="1915"/>
        <v>60800</v>
      </c>
      <c r="C2420" s="17" t="str">
        <f t="shared" si="1916"/>
        <v>6</v>
      </c>
      <c r="D2420" s="17">
        <f t="shared" si="1917"/>
        <v>60001</v>
      </c>
      <c r="E2420" s="17">
        <f t="shared" ref="E2420:I2420" si="1920">E2419</f>
        <v>2</v>
      </c>
      <c r="F2420" s="17">
        <f t="shared" si="1867"/>
        <v>1</v>
      </c>
      <c r="G2420" s="17" t="str">
        <f t="shared" si="1920"/>
        <v>死灵法师攻击百分比</v>
      </c>
      <c r="H2420" s="17" t="str">
        <f t="shared" si="1920"/>
        <v>moshou03_Lv3</v>
      </c>
      <c r="I2420" s="20">
        <f t="shared" si="1920"/>
        <v>2</v>
      </c>
      <c r="J2420" s="17">
        <v>13</v>
      </c>
      <c r="K2420" s="17">
        <f t="shared" si="1899"/>
        <v>60814</v>
      </c>
      <c r="L2420" s="17" t="s">
        <v>561</v>
      </c>
      <c r="M2420" s="17" t="str">
        <f t="shared" si="1902"/>
        <v>1:10500:5</v>
      </c>
      <c r="N2420" s="16" t="str">
        <f t="shared" si="1866"/>
        <v>10062:1</v>
      </c>
      <c r="O2420" s="17">
        <f t="shared" si="1868"/>
        <v>9</v>
      </c>
      <c r="P2420" s="21" t="s">
        <v>5068</v>
      </c>
      <c r="Q2420" s="21"/>
      <c r="R2420" t="str">
        <f t="shared" si="1903"/>
        <v>死灵法师</v>
      </c>
      <c r="U2420" t="str">
        <f t="shared" si="1858"/>
        <v>法师</v>
      </c>
      <c r="V2420" t="s">
        <v>5054</v>
      </c>
      <c r="W2420">
        <f>属性类型!G2420</f>
        <v>10062</v>
      </c>
      <c r="X2420">
        <v>1</v>
      </c>
    </row>
    <row r="2421" customFormat="1" ht="16.5" spans="1:24">
      <c r="A2421" s="17">
        <f t="shared" si="1914"/>
        <v>60814</v>
      </c>
      <c r="B2421" s="17">
        <f t="shared" si="1915"/>
        <v>60800</v>
      </c>
      <c r="C2421" s="17" t="str">
        <f t="shared" si="1916"/>
        <v>6</v>
      </c>
      <c r="D2421" s="17">
        <f t="shared" si="1917"/>
        <v>60001</v>
      </c>
      <c r="E2421" s="17">
        <f t="shared" ref="E2421:I2421" si="1921">E2420</f>
        <v>2</v>
      </c>
      <c r="F2421" s="17">
        <f t="shared" si="1867"/>
        <v>1</v>
      </c>
      <c r="G2421" s="17" t="str">
        <f t="shared" si="1921"/>
        <v>死灵法师攻击百分比</v>
      </c>
      <c r="H2421" s="17" t="str">
        <f t="shared" si="1921"/>
        <v>moshou03_Lv3</v>
      </c>
      <c r="I2421" s="20">
        <f t="shared" si="1921"/>
        <v>2</v>
      </c>
      <c r="J2421" s="17">
        <v>14</v>
      </c>
      <c r="K2421" s="17">
        <f t="shared" si="1899"/>
        <v>60815</v>
      </c>
      <c r="L2421" s="17" t="s">
        <v>564</v>
      </c>
      <c r="M2421" s="17" t="str">
        <f t="shared" si="1902"/>
        <v>1:10500:5</v>
      </c>
      <c r="N2421" s="16" t="str">
        <f t="shared" si="1866"/>
        <v>10062:1</v>
      </c>
      <c r="O2421" s="17">
        <f t="shared" si="1868"/>
        <v>9</v>
      </c>
      <c r="P2421" s="21" t="s">
        <v>5069</v>
      </c>
      <c r="Q2421" s="21"/>
      <c r="R2421" t="str">
        <f t="shared" si="1903"/>
        <v>死灵法师</v>
      </c>
      <c r="U2421" t="str">
        <f t="shared" si="1858"/>
        <v>法师</v>
      </c>
      <c r="V2421" t="s">
        <v>5054</v>
      </c>
      <c r="W2421">
        <f>属性类型!G2421</f>
        <v>10062</v>
      </c>
      <c r="X2421">
        <v>1</v>
      </c>
    </row>
    <row r="2422" customFormat="1" ht="16.5" spans="1:24">
      <c r="A2422" s="17">
        <f t="shared" si="1914"/>
        <v>60815</v>
      </c>
      <c r="B2422" s="17">
        <f t="shared" si="1915"/>
        <v>60800</v>
      </c>
      <c r="C2422" s="17" t="str">
        <f t="shared" si="1916"/>
        <v>6</v>
      </c>
      <c r="D2422" s="17">
        <f t="shared" si="1917"/>
        <v>60001</v>
      </c>
      <c r="E2422" s="17">
        <f t="shared" ref="E2422:I2422" si="1922">E2421</f>
        <v>2</v>
      </c>
      <c r="F2422" s="17">
        <f t="shared" si="1867"/>
        <v>1</v>
      </c>
      <c r="G2422" s="17" t="str">
        <f t="shared" si="1922"/>
        <v>死灵法师攻击百分比</v>
      </c>
      <c r="H2422" s="17" t="str">
        <f t="shared" si="1922"/>
        <v>moshou03_Lv3</v>
      </c>
      <c r="I2422" s="20">
        <f t="shared" si="1922"/>
        <v>2</v>
      </c>
      <c r="J2422" s="17">
        <v>15</v>
      </c>
      <c r="K2422" s="17">
        <f t="shared" si="1899"/>
        <v>60816</v>
      </c>
      <c r="L2422" s="17" t="s">
        <v>630</v>
      </c>
      <c r="M2422" s="17" t="str">
        <f t="shared" si="1902"/>
        <v>1:10500:5</v>
      </c>
      <c r="N2422" s="16" t="str">
        <f t="shared" si="1866"/>
        <v>10062:1</v>
      </c>
      <c r="O2422" s="17">
        <f t="shared" si="1868"/>
        <v>9</v>
      </c>
      <c r="P2422" s="21" t="s">
        <v>5070</v>
      </c>
      <c r="Q2422" s="21"/>
      <c r="R2422" t="str">
        <f t="shared" si="1903"/>
        <v>死灵法师</v>
      </c>
      <c r="U2422" t="str">
        <f t="shared" si="1858"/>
        <v>法师</v>
      </c>
      <c r="V2422" t="s">
        <v>5054</v>
      </c>
      <c r="W2422">
        <f>属性类型!G2422</f>
        <v>10062</v>
      </c>
      <c r="X2422">
        <v>1</v>
      </c>
    </row>
    <row r="2423" customFormat="1" ht="16.5" spans="1:24">
      <c r="A2423" s="17">
        <f t="shared" si="1914"/>
        <v>60816</v>
      </c>
      <c r="B2423" s="17">
        <f t="shared" si="1915"/>
        <v>60800</v>
      </c>
      <c r="C2423" s="17" t="str">
        <f t="shared" si="1916"/>
        <v>6</v>
      </c>
      <c r="D2423" s="17">
        <f t="shared" si="1917"/>
        <v>60001</v>
      </c>
      <c r="E2423" s="17">
        <f t="shared" ref="E2423:I2423" si="1923">E2422</f>
        <v>2</v>
      </c>
      <c r="F2423" s="17">
        <f t="shared" si="1867"/>
        <v>1</v>
      </c>
      <c r="G2423" s="17" t="str">
        <f t="shared" si="1923"/>
        <v>死灵法师攻击百分比</v>
      </c>
      <c r="H2423" s="17" t="str">
        <f t="shared" si="1923"/>
        <v>moshou03_Lv3</v>
      </c>
      <c r="I2423" s="20">
        <f t="shared" si="1923"/>
        <v>2</v>
      </c>
      <c r="J2423" s="17">
        <v>16</v>
      </c>
      <c r="K2423" s="17">
        <f t="shared" si="1899"/>
        <v>60817</v>
      </c>
      <c r="L2423" s="17" t="s">
        <v>633</v>
      </c>
      <c r="M2423" s="17" t="str">
        <f t="shared" si="1902"/>
        <v>1:10500:5</v>
      </c>
      <c r="N2423" s="16" t="str">
        <f t="shared" si="1866"/>
        <v>10062:1</v>
      </c>
      <c r="O2423" s="17">
        <f t="shared" si="1868"/>
        <v>9</v>
      </c>
      <c r="P2423" s="21" t="s">
        <v>5071</v>
      </c>
      <c r="Q2423" s="21"/>
      <c r="R2423" t="str">
        <f t="shared" si="1903"/>
        <v>死灵法师</v>
      </c>
      <c r="U2423" t="str">
        <f t="shared" si="1858"/>
        <v>法师</v>
      </c>
      <c r="V2423" t="s">
        <v>5054</v>
      </c>
      <c r="W2423">
        <f>属性类型!G2423</f>
        <v>10062</v>
      </c>
      <c r="X2423">
        <v>1</v>
      </c>
    </row>
    <row r="2424" customFormat="1" ht="16.5" spans="1:24">
      <c r="A2424" s="17">
        <f t="shared" si="1914"/>
        <v>60817</v>
      </c>
      <c r="B2424" s="17">
        <f t="shared" si="1915"/>
        <v>60800</v>
      </c>
      <c r="C2424" s="17" t="str">
        <f t="shared" si="1916"/>
        <v>6</v>
      </c>
      <c r="D2424" s="17">
        <f t="shared" si="1917"/>
        <v>60001</v>
      </c>
      <c r="E2424" s="17">
        <f t="shared" ref="E2424:I2424" si="1924">E2423</f>
        <v>2</v>
      </c>
      <c r="F2424" s="17">
        <f t="shared" si="1867"/>
        <v>1</v>
      </c>
      <c r="G2424" s="17" t="str">
        <f t="shared" si="1924"/>
        <v>死灵法师攻击百分比</v>
      </c>
      <c r="H2424" s="17" t="str">
        <f t="shared" si="1924"/>
        <v>moshou03_Lv3</v>
      </c>
      <c r="I2424" s="20">
        <f t="shared" si="1924"/>
        <v>2</v>
      </c>
      <c r="J2424" s="17">
        <v>17</v>
      </c>
      <c r="K2424" s="17">
        <f t="shared" si="1899"/>
        <v>60818</v>
      </c>
      <c r="L2424" s="17" t="s">
        <v>637</v>
      </c>
      <c r="M2424" s="17" t="str">
        <f t="shared" si="1902"/>
        <v>1:10500:5</v>
      </c>
      <c r="N2424" s="16" t="str">
        <f t="shared" si="1866"/>
        <v>10062:1</v>
      </c>
      <c r="O2424" s="17">
        <f t="shared" si="1868"/>
        <v>9</v>
      </c>
      <c r="P2424" s="21" t="s">
        <v>5072</v>
      </c>
      <c r="Q2424" s="21"/>
      <c r="R2424" t="str">
        <f t="shared" si="1903"/>
        <v>死灵法师</v>
      </c>
      <c r="U2424" t="str">
        <f t="shared" si="1858"/>
        <v>法师</v>
      </c>
      <c r="V2424" t="s">
        <v>5054</v>
      </c>
      <c r="W2424">
        <f>属性类型!G2424</f>
        <v>10062</v>
      </c>
      <c r="X2424">
        <v>1</v>
      </c>
    </row>
    <row r="2425" customFormat="1" ht="16.5" spans="1:24">
      <c r="A2425" s="17">
        <f t="shared" si="1914"/>
        <v>60818</v>
      </c>
      <c r="B2425" s="17">
        <f t="shared" si="1915"/>
        <v>60800</v>
      </c>
      <c r="C2425" s="17" t="str">
        <f t="shared" si="1916"/>
        <v>6</v>
      </c>
      <c r="D2425" s="17">
        <f t="shared" si="1917"/>
        <v>60001</v>
      </c>
      <c r="E2425" s="17">
        <f t="shared" ref="E2425:I2425" si="1925">E2424</f>
        <v>2</v>
      </c>
      <c r="F2425" s="17">
        <f t="shared" si="1867"/>
        <v>1</v>
      </c>
      <c r="G2425" s="17" t="str">
        <f t="shared" si="1925"/>
        <v>死灵法师攻击百分比</v>
      </c>
      <c r="H2425" s="17" t="str">
        <f t="shared" si="1925"/>
        <v>moshou03_Lv3</v>
      </c>
      <c r="I2425" s="20">
        <f t="shared" si="1925"/>
        <v>2</v>
      </c>
      <c r="J2425" s="17">
        <v>18</v>
      </c>
      <c r="K2425" s="17">
        <f t="shared" si="1899"/>
        <v>60819</v>
      </c>
      <c r="L2425" s="17" t="s">
        <v>641</v>
      </c>
      <c r="M2425" s="17" t="str">
        <f t="shared" si="1902"/>
        <v>1:10500:5</v>
      </c>
      <c r="N2425" s="16" t="str">
        <f t="shared" si="1866"/>
        <v>10062:1</v>
      </c>
      <c r="O2425" s="17">
        <f t="shared" si="1868"/>
        <v>9</v>
      </c>
      <c r="P2425" s="21" t="s">
        <v>5073</v>
      </c>
      <c r="Q2425" s="21"/>
      <c r="R2425" t="str">
        <f t="shared" si="1903"/>
        <v>死灵法师</v>
      </c>
      <c r="U2425" t="str">
        <f t="shared" si="1858"/>
        <v>法师</v>
      </c>
      <c r="V2425" t="s">
        <v>5054</v>
      </c>
      <c r="W2425">
        <f>属性类型!G2425</f>
        <v>10062</v>
      </c>
      <c r="X2425">
        <v>1</v>
      </c>
    </row>
    <row r="2426" customFormat="1" ht="16.5" spans="1:24">
      <c r="A2426" s="17">
        <f t="shared" si="1914"/>
        <v>60819</v>
      </c>
      <c r="B2426" s="17">
        <f t="shared" si="1915"/>
        <v>60800</v>
      </c>
      <c r="C2426" s="17" t="str">
        <f t="shared" si="1916"/>
        <v>6</v>
      </c>
      <c r="D2426" s="17">
        <f t="shared" si="1917"/>
        <v>60001</v>
      </c>
      <c r="E2426" s="17">
        <f t="shared" ref="E2426:I2426" si="1926">E2425</f>
        <v>2</v>
      </c>
      <c r="F2426" s="17">
        <f t="shared" si="1867"/>
        <v>1</v>
      </c>
      <c r="G2426" s="17" t="str">
        <f t="shared" si="1926"/>
        <v>死灵法师攻击百分比</v>
      </c>
      <c r="H2426" s="17" t="str">
        <f t="shared" si="1926"/>
        <v>moshou03_Lv3</v>
      </c>
      <c r="I2426" s="20">
        <f t="shared" si="1926"/>
        <v>2</v>
      </c>
      <c r="J2426" s="17">
        <v>19</v>
      </c>
      <c r="K2426" s="17">
        <f t="shared" si="1899"/>
        <v>60820</v>
      </c>
      <c r="L2426" s="17" t="s">
        <v>645</v>
      </c>
      <c r="M2426" s="17" t="str">
        <f t="shared" si="1902"/>
        <v>1:10500:5</v>
      </c>
      <c r="N2426" s="16" t="str">
        <f t="shared" si="1866"/>
        <v>10062:1</v>
      </c>
      <c r="O2426" s="17">
        <f t="shared" si="1868"/>
        <v>9</v>
      </c>
      <c r="P2426" s="21" t="s">
        <v>5074</v>
      </c>
      <c r="Q2426" s="21"/>
      <c r="R2426" t="str">
        <f t="shared" si="1903"/>
        <v>死灵法师</v>
      </c>
      <c r="U2426" t="str">
        <f t="shared" si="1858"/>
        <v>法师</v>
      </c>
      <c r="V2426" t="s">
        <v>5054</v>
      </c>
      <c r="W2426">
        <f>属性类型!G2426</f>
        <v>10062</v>
      </c>
      <c r="X2426">
        <v>1</v>
      </c>
    </row>
    <row r="2427" customFormat="1" ht="16.5" spans="1:24">
      <c r="A2427" s="17">
        <f t="shared" si="1914"/>
        <v>60820</v>
      </c>
      <c r="B2427" s="17">
        <f t="shared" si="1915"/>
        <v>60800</v>
      </c>
      <c r="C2427" s="17" t="str">
        <f t="shared" si="1916"/>
        <v>6</v>
      </c>
      <c r="D2427" s="17">
        <f t="shared" si="1917"/>
        <v>60001</v>
      </c>
      <c r="E2427" s="17">
        <f t="shared" ref="E2427:I2427" si="1927">E2426</f>
        <v>2</v>
      </c>
      <c r="F2427" s="17">
        <f t="shared" si="1867"/>
        <v>1</v>
      </c>
      <c r="G2427" s="17" t="str">
        <f t="shared" si="1927"/>
        <v>死灵法师攻击百分比</v>
      </c>
      <c r="H2427" s="17" t="str">
        <f t="shared" si="1927"/>
        <v>moshou03_Lv3</v>
      </c>
      <c r="I2427" s="20">
        <f t="shared" si="1927"/>
        <v>2</v>
      </c>
      <c r="J2427" s="17">
        <v>20</v>
      </c>
      <c r="K2427" s="17">
        <v>0</v>
      </c>
      <c r="L2427" s="17">
        <v>0</v>
      </c>
      <c r="M2427" s="17" t="str">
        <f t="shared" si="1902"/>
        <v>1:10500:5</v>
      </c>
      <c r="N2427" s="16" t="str">
        <f t="shared" si="1866"/>
        <v>10062:1</v>
      </c>
      <c r="O2427" s="17">
        <f t="shared" si="1868"/>
        <v>9</v>
      </c>
      <c r="P2427" s="21" t="s">
        <v>5074</v>
      </c>
      <c r="Q2427" s="21"/>
      <c r="R2427" t="str">
        <f t="shared" si="1903"/>
        <v>死灵法师</v>
      </c>
      <c r="U2427" t="str">
        <f t="shared" si="1858"/>
        <v>法师</v>
      </c>
      <c r="V2427" t="s">
        <v>5054</v>
      </c>
      <c r="W2427">
        <f>属性类型!G2427</f>
        <v>10062</v>
      </c>
      <c r="X2427">
        <v>1</v>
      </c>
    </row>
    <row r="2428" customFormat="1" ht="16.5" spans="1:24">
      <c r="A2428" s="18">
        <f>A2407+100</f>
        <v>60900</v>
      </c>
      <c r="B2428" s="18">
        <f t="shared" si="1915"/>
        <v>60900</v>
      </c>
      <c r="C2428" s="18" t="str">
        <f t="shared" si="1916"/>
        <v>6</v>
      </c>
      <c r="D2428" s="17">
        <f t="shared" si="1917"/>
        <v>60001</v>
      </c>
      <c r="E2428" s="17">
        <v>2</v>
      </c>
      <c r="F2428" s="18">
        <f t="shared" si="1867"/>
        <v>1</v>
      </c>
      <c r="G2428" s="18" t="s">
        <v>5075</v>
      </c>
      <c r="H2428" s="18" t="s">
        <v>3767</v>
      </c>
      <c r="I2428" s="20">
        <v>2</v>
      </c>
      <c r="J2428" s="18">
        <v>0</v>
      </c>
      <c r="K2428" s="18">
        <f t="shared" ref="K2428:K2447" si="1928">A2429</f>
        <v>60901</v>
      </c>
      <c r="L2428" s="18" t="s">
        <v>206</v>
      </c>
      <c r="M2428" s="18" t="s">
        <v>271</v>
      </c>
      <c r="N2428" s="16" t="str">
        <f t="shared" si="1866"/>
        <v>10063:1</v>
      </c>
      <c r="O2428" s="18">
        <f t="shared" si="1868"/>
        <v>10</v>
      </c>
      <c r="P2428" s="21" t="s">
        <v>5076</v>
      </c>
      <c r="Q2428" s="21"/>
      <c r="R2428" t="s">
        <v>5034</v>
      </c>
      <c r="T2428" t="str">
        <f>RIGHT(N2428,1)</f>
        <v>1</v>
      </c>
      <c r="U2428" t="str">
        <f t="shared" si="1858"/>
        <v>法师</v>
      </c>
      <c r="V2428" t="s">
        <v>5075</v>
      </c>
      <c r="W2428">
        <f>属性类型!G2428</f>
        <v>10063</v>
      </c>
      <c r="X2428">
        <v>1</v>
      </c>
    </row>
    <row r="2429" customFormat="1" ht="16.5" spans="1:24">
      <c r="A2429" s="17">
        <f t="shared" ref="A2429:A2438" si="1929">A2428+1</f>
        <v>60901</v>
      </c>
      <c r="B2429" s="17">
        <f t="shared" si="1915"/>
        <v>60900</v>
      </c>
      <c r="C2429" s="17" t="str">
        <f t="shared" si="1916"/>
        <v>6</v>
      </c>
      <c r="D2429" s="17">
        <f t="shared" si="1917"/>
        <v>60001</v>
      </c>
      <c r="E2429" s="17">
        <f t="shared" ref="E2429:I2429" si="1930">E2428</f>
        <v>2</v>
      </c>
      <c r="F2429" s="17">
        <f t="shared" si="1867"/>
        <v>1</v>
      </c>
      <c r="G2429" s="17" t="str">
        <f t="shared" si="1930"/>
        <v>死灵法师魔防百分比</v>
      </c>
      <c r="H2429" s="17" t="str">
        <f t="shared" si="1930"/>
        <v>moshou03_Lv3</v>
      </c>
      <c r="I2429" s="20">
        <f t="shared" si="1930"/>
        <v>2</v>
      </c>
      <c r="J2429" s="17">
        <v>1</v>
      </c>
      <c r="K2429" s="17">
        <f t="shared" si="1928"/>
        <v>60902</v>
      </c>
      <c r="L2429" s="17" t="s">
        <v>211</v>
      </c>
      <c r="M2429" s="17" t="str">
        <f t="shared" ref="M2429:M2448" si="1931">M2428</f>
        <v>1:10600:5</v>
      </c>
      <c r="N2429" s="16" t="str">
        <f t="shared" si="1866"/>
        <v>10063:1</v>
      </c>
      <c r="O2429" s="17">
        <f t="shared" si="1868"/>
        <v>10</v>
      </c>
      <c r="P2429" s="21" t="s">
        <v>5077</v>
      </c>
      <c r="Q2429" s="21"/>
      <c r="R2429" t="s">
        <v>5034</v>
      </c>
      <c r="T2429" t="str">
        <f t="shared" ref="T2429:T2438" si="1932">RIGHT(N2429,2)</f>
        <v>:1</v>
      </c>
      <c r="U2429" t="str">
        <f t="shared" si="1858"/>
        <v>法师</v>
      </c>
      <c r="V2429" t="s">
        <v>5075</v>
      </c>
      <c r="W2429">
        <f>属性类型!G2429</f>
        <v>10063</v>
      </c>
      <c r="X2429">
        <v>1</v>
      </c>
    </row>
    <row r="2430" customFormat="1" ht="16.5" spans="1:24">
      <c r="A2430" s="17">
        <f t="shared" si="1929"/>
        <v>60902</v>
      </c>
      <c r="B2430" s="17">
        <f t="shared" si="1915"/>
        <v>60900</v>
      </c>
      <c r="C2430" s="17" t="str">
        <f t="shared" si="1916"/>
        <v>6</v>
      </c>
      <c r="D2430" s="17">
        <f t="shared" si="1917"/>
        <v>60001</v>
      </c>
      <c r="E2430" s="17">
        <f t="shared" ref="E2430:I2430" si="1933">E2429</f>
        <v>2</v>
      </c>
      <c r="F2430" s="17">
        <f t="shared" si="1867"/>
        <v>1</v>
      </c>
      <c r="G2430" s="17" t="str">
        <f t="shared" si="1933"/>
        <v>死灵法师魔防百分比</v>
      </c>
      <c r="H2430" s="17" t="str">
        <f t="shared" si="1933"/>
        <v>moshou03_Lv3</v>
      </c>
      <c r="I2430" s="20">
        <f t="shared" si="1933"/>
        <v>2</v>
      </c>
      <c r="J2430" s="17">
        <v>2</v>
      </c>
      <c r="K2430" s="17">
        <f t="shared" si="1928"/>
        <v>60903</v>
      </c>
      <c r="L2430" s="17" t="s">
        <v>215</v>
      </c>
      <c r="M2430" s="17" t="str">
        <f t="shared" si="1931"/>
        <v>1:10600:5</v>
      </c>
      <c r="N2430" s="16" t="str">
        <f t="shared" si="1866"/>
        <v>10063:1</v>
      </c>
      <c r="O2430" s="17">
        <f t="shared" si="1868"/>
        <v>10</v>
      </c>
      <c r="P2430" s="21" t="s">
        <v>5078</v>
      </c>
      <c r="Q2430" s="21"/>
      <c r="R2430" t="s">
        <v>5034</v>
      </c>
      <c r="T2430" t="str">
        <f t="shared" si="1932"/>
        <v>:1</v>
      </c>
      <c r="U2430" t="str">
        <f t="shared" si="1858"/>
        <v>法师</v>
      </c>
      <c r="V2430" t="s">
        <v>5075</v>
      </c>
      <c r="W2430">
        <f>属性类型!G2430</f>
        <v>10063</v>
      </c>
      <c r="X2430">
        <v>1</v>
      </c>
    </row>
    <row r="2431" customFormat="1" ht="16.5" spans="1:24">
      <c r="A2431" s="17">
        <f t="shared" si="1929"/>
        <v>60903</v>
      </c>
      <c r="B2431" s="17">
        <f t="shared" si="1915"/>
        <v>60900</v>
      </c>
      <c r="C2431" s="17" t="str">
        <f t="shared" si="1916"/>
        <v>6</v>
      </c>
      <c r="D2431" s="17">
        <f t="shared" si="1917"/>
        <v>60001</v>
      </c>
      <c r="E2431" s="17">
        <f t="shared" ref="E2431:I2431" si="1934">E2430</f>
        <v>2</v>
      </c>
      <c r="F2431" s="17">
        <f t="shared" si="1867"/>
        <v>1</v>
      </c>
      <c r="G2431" s="17" t="str">
        <f t="shared" si="1934"/>
        <v>死灵法师魔防百分比</v>
      </c>
      <c r="H2431" s="17" t="str">
        <f t="shared" si="1934"/>
        <v>moshou03_Lv3</v>
      </c>
      <c r="I2431" s="20">
        <f t="shared" si="1934"/>
        <v>2</v>
      </c>
      <c r="J2431" s="17">
        <v>3</v>
      </c>
      <c r="K2431" s="17">
        <f t="shared" si="1928"/>
        <v>60904</v>
      </c>
      <c r="L2431" s="17" t="s">
        <v>218</v>
      </c>
      <c r="M2431" s="17" t="str">
        <f t="shared" si="1931"/>
        <v>1:10600:5</v>
      </c>
      <c r="N2431" s="16" t="str">
        <f t="shared" si="1866"/>
        <v>10063:1</v>
      </c>
      <c r="O2431" s="17">
        <f t="shared" si="1868"/>
        <v>10</v>
      </c>
      <c r="P2431" s="21" t="s">
        <v>5079</v>
      </c>
      <c r="Q2431" s="21"/>
      <c r="R2431" t="s">
        <v>5034</v>
      </c>
      <c r="T2431" t="str">
        <f t="shared" si="1932"/>
        <v>:1</v>
      </c>
      <c r="U2431" t="str">
        <f t="shared" si="1858"/>
        <v>法师</v>
      </c>
      <c r="V2431" t="s">
        <v>5075</v>
      </c>
      <c r="W2431">
        <f>属性类型!G2431</f>
        <v>10063</v>
      </c>
      <c r="X2431">
        <v>1</v>
      </c>
    </row>
    <row r="2432" customFormat="1" ht="16.5" spans="1:24">
      <c r="A2432" s="17">
        <f t="shared" si="1929"/>
        <v>60904</v>
      </c>
      <c r="B2432" s="17">
        <f t="shared" si="1915"/>
        <v>60900</v>
      </c>
      <c r="C2432" s="17" t="str">
        <f t="shared" si="1916"/>
        <v>6</v>
      </c>
      <c r="D2432" s="17">
        <f t="shared" si="1917"/>
        <v>60001</v>
      </c>
      <c r="E2432" s="17">
        <f t="shared" ref="E2432:I2432" si="1935">E2431</f>
        <v>2</v>
      </c>
      <c r="F2432" s="17">
        <f t="shared" si="1867"/>
        <v>1</v>
      </c>
      <c r="G2432" s="17" t="str">
        <f t="shared" si="1935"/>
        <v>死灵法师魔防百分比</v>
      </c>
      <c r="H2432" s="17" t="str">
        <f t="shared" si="1935"/>
        <v>moshou03_Lv3</v>
      </c>
      <c r="I2432" s="20">
        <f t="shared" si="1935"/>
        <v>2</v>
      </c>
      <c r="J2432" s="17">
        <v>4</v>
      </c>
      <c r="K2432" s="17">
        <f t="shared" si="1928"/>
        <v>60905</v>
      </c>
      <c r="L2432" s="17" t="s">
        <v>221</v>
      </c>
      <c r="M2432" s="17" t="str">
        <f t="shared" si="1931"/>
        <v>1:10600:5</v>
      </c>
      <c r="N2432" s="16" t="str">
        <f t="shared" si="1866"/>
        <v>10063:1</v>
      </c>
      <c r="O2432" s="17">
        <f t="shared" si="1868"/>
        <v>10</v>
      </c>
      <c r="P2432" s="21" t="s">
        <v>5080</v>
      </c>
      <c r="Q2432" s="21"/>
      <c r="R2432" t="s">
        <v>5034</v>
      </c>
      <c r="T2432" t="str">
        <f t="shared" si="1932"/>
        <v>:1</v>
      </c>
      <c r="U2432" t="str">
        <f t="shared" si="1858"/>
        <v>法师</v>
      </c>
      <c r="V2432" t="s">
        <v>5075</v>
      </c>
      <c r="W2432">
        <f>属性类型!G2432</f>
        <v>10063</v>
      </c>
      <c r="X2432">
        <v>1</v>
      </c>
    </row>
    <row r="2433" customFormat="1" ht="16.5" spans="1:24">
      <c r="A2433" s="17">
        <f t="shared" si="1929"/>
        <v>60905</v>
      </c>
      <c r="B2433" s="17">
        <f t="shared" si="1915"/>
        <v>60900</v>
      </c>
      <c r="C2433" s="17" t="str">
        <f t="shared" si="1916"/>
        <v>6</v>
      </c>
      <c r="D2433" s="17">
        <f t="shared" si="1917"/>
        <v>60001</v>
      </c>
      <c r="E2433" s="17">
        <f t="shared" ref="E2433:I2433" si="1936">E2432</f>
        <v>2</v>
      </c>
      <c r="F2433" s="17">
        <f t="shared" si="1867"/>
        <v>1</v>
      </c>
      <c r="G2433" s="17" t="str">
        <f t="shared" si="1936"/>
        <v>死灵法师魔防百分比</v>
      </c>
      <c r="H2433" s="17" t="str">
        <f t="shared" si="1936"/>
        <v>moshou03_Lv3</v>
      </c>
      <c r="I2433" s="20">
        <f t="shared" si="1936"/>
        <v>2</v>
      </c>
      <c r="J2433" s="17">
        <v>5</v>
      </c>
      <c r="K2433" s="17">
        <f t="shared" si="1928"/>
        <v>60906</v>
      </c>
      <c r="L2433" s="17" t="s">
        <v>224</v>
      </c>
      <c r="M2433" s="17" t="str">
        <f t="shared" si="1931"/>
        <v>1:10600:5</v>
      </c>
      <c r="N2433" s="16" t="str">
        <f t="shared" si="1866"/>
        <v>10063:1</v>
      </c>
      <c r="O2433" s="17">
        <f t="shared" si="1868"/>
        <v>10</v>
      </c>
      <c r="P2433" s="21" t="s">
        <v>5081</v>
      </c>
      <c r="Q2433" s="21"/>
      <c r="R2433" t="s">
        <v>5034</v>
      </c>
      <c r="T2433" t="str">
        <f t="shared" si="1932"/>
        <v>:1</v>
      </c>
      <c r="U2433" t="str">
        <f t="shared" si="1858"/>
        <v>法师</v>
      </c>
      <c r="V2433" t="s">
        <v>5075</v>
      </c>
      <c r="W2433">
        <f>属性类型!G2433</f>
        <v>10063</v>
      </c>
      <c r="X2433">
        <v>1</v>
      </c>
    </row>
    <row r="2434" customFormat="1" ht="16.5" spans="1:24">
      <c r="A2434" s="17">
        <f t="shared" si="1929"/>
        <v>60906</v>
      </c>
      <c r="B2434" s="17">
        <f t="shared" si="1915"/>
        <v>60900</v>
      </c>
      <c r="C2434" s="17" t="str">
        <f t="shared" si="1916"/>
        <v>6</v>
      </c>
      <c r="D2434" s="17">
        <f t="shared" si="1917"/>
        <v>60001</v>
      </c>
      <c r="E2434" s="17">
        <f t="shared" ref="E2434:I2434" si="1937">E2433</f>
        <v>2</v>
      </c>
      <c r="F2434" s="17">
        <f t="shared" si="1867"/>
        <v>1</v>
      </c>
      <c r="G2434" s="17" t="str">
        <f t="shared" si="1937"/>
        <v>死灵法师魔防百分比</v>
      </c>
      <c r="H2434" s="17" t="str">
        <f t="shared" si="1937"/>
        <v>moshou03_Lv3</v>
      </c>
      <c r="I2434" s="20">
        <f t="shared" si="1937"/>
        <v>2</v>
      </c>
      <c r="J2434" s="17">
        <v>6</v>
      </c>
      <c r="K2434" s="17">
        <f t="shared" si="1928"/>
        <v>60907</v>
      </c>
      <c r="L2434" s="17" t="s">
        <v>227</v>
      </c>
      <c r="M2434" s="17" t="str">
        <f t="shared" si="1931"/>
        <v>1:10600:5</v>
      </c>
      <c r="N2434" s="16" t="str">
        <f t="shared" si="1866"/>
        <v>10063:1</v>
      </c>
      <c r="O2434" s="17">
        <f t="shared" si="1868"/>
        <v>10</v>
      </c>
      <c r="P2434" s="21" t="s">
        <v>5082</v>
      </c>
      <c r="Q2434" s="21"/>
      <c r="R2434" t="s">
        <v>5034</v>
      </c>
      <c r="T2434" t="str">
        <f t="shared" si="1932"/>
        <v>:1</v>
      </c>
      <c r="U2434" t="str">
        <f t="shared" si="1858"/>
        <v>法师</v>
      </c>
      <c r="V2434" t="s">
        <v>5075</v>
      </c>
      <c r="W2434">
        <f>属性类型!G2434</f>
        <v>10063</v>
      </c>
      <c r="X2434">
        <v>1</v>
      </c>
    </row>
    <row r="2435" customFormat="1" ht="16.5" spans="1:24">
      <c r="A2435" s="17">
        <f t="shared" si="1929"/>
        <v>60907</v>
      </c>
      <c r="B2435" s="17">
        <f t="shared" si="1915"/>
        <v>60900</v>
      </c>
      <c r="C2435" s="17" t="str">
        <f t="shared" si="1916"/>
        <v>6</v>
      </c>
      <c r="D2435" s="17">
        <f t="shared" si="1917"/>
        <v>60001</v>
      </c>
      <c r="E2435" s="17">
        <f t="shared" ref="E2435:I2435" si="1938">E2434</f>
        <v>2</v>
      </c>
      <c r="F2435" s="17">
        <f t="shared" si="1867"/>
        <v>1</v>
      </c>
      <c r="G2435" s="17" t="str">
        <f t="shared" si="1938"/>
        <v>死灵法师魔防百分比</v>
      </c>
      <c r="H2435" s="17" t="str">
        <f t="shared" si="1938"/>
        <v>moshou03_Lv3</v>
      </c>
      <c r="I2435" s="20">
        <f t="shared" si="1938"/>
        <v>2</v>
      </c>
      <c r="J2435" s="17">
        <v>7</v>
      </c>
      <c r="K2435" s="17">
        <f t="shared" si="1928"/>
        <v>60908</v>
      </c>
      <c r="L2435" s="17" t="s">
        <v>230</v>
      </c>
      <c r="M2435" s="17" t="str">
        <f t="shared" si="1931"/>
        <v>1:10600:5</v>
      </c>
      <c r="N2435" s="16" t="str">
        <f t="shared" si="1866"/>
        <v>10063:1</v>
      </c>
      <c r="O2435" s="17">
        <f t="shared" si="1868"/>
        <v>10</v>
      </c>
      <c r="P2435" s="21" t="s">
        <v>5083</v>
      </c>
      <c r="Q2435" s="21"/>
      <c r="R2435" t="s">
        <v>5034</v>
      </c>
      <c r="T2435" t="str">
        <f t="shared" si="1932"/>
        <v>:1</v>
      </c>
      <c r="U2435" t="str">
        <f t="shared" si="1858"/>
        <v>法师</v>
      </c>
      <c r="V2435" t="s">
        <v>5075</v>
      </c>
      <c r="W2435">
        <f>属性类型!G2435</f>
        <v>10063</v>
      </c>
      <c r="X2435">
        <v>1</v>
      </c>
    </row>
    <row r="2436" customFormat="1" ht="16.5" spans="1:24">
      <c r="A2436" s="17">
        <f t="shared" si="1929"/>
        <v>60908</v>
      </c>
      <c r="B2436" s="17">
        <f t="shared" si="1915"/>
        <v>60900</v>
      </c>
      <c r="C2436" s="17" t="str">
        <f t="shared" si="1916"/>
        <v>6</v>
      </c>
      <c r="D2436" s="17">
        <f t="shared" si="1917"/>
        <v>60001</v>
      </c>
      <c r="E2436" s="17">
        <f t="shared" ref="E2436:I2436" si="1939">E2435</f>
        <v>2</v>
      </c>
      <c r="F2436" s="17">
        <f t="shared" si="1867"/>
        <v>1</v>
      </c>
      <c r="G2436" s="17" t="str">
        <f t="shared" si="1939"/>
        <v>死灵法师魔防百分比</v>
      </c>
      <c r="H2436" s="17" t="str">
        <f t="shared" si="1939"/>
        <v>moshou03_Lv3</v>
      </c>
      <c r="I2436" s="20">
        <f t="shared" si="1939"/>
        <v>2</v>
      </c>
      <c r="J2436" s="17">
        <v>8</v>
      </c>
      <c r="K2436" s="17">
        <f t="shared" si="1928"/>
        <v>60909</v>
      </c>
      <c r="L2436" s="17" t="s">
        <v>233</v>
      </c>
      <c r="M2436" s="17" t="str">
        <f t="shared" si="1931"/>
        <v>1:10600:5</v>
      </c>
      <c r="N2436" s="16" t="str">
        <f t="shared" si="1866"/>
        <v>10063:1</v>
      </c>
      <c r="O2436" s="17">
        <f t="shared" si="1868"/>
        <v>10</v>
      </c>
      <c r="P2436" s="21" t="s">
        <v>5084</v>
      </c>
      <c r="Q2436" s="21"/>
      <c r="R2436" t="s">
        <v>5034</v>
      </c>
      <c r="T2436" t="str">
        <f t="shared" si="1932"/>
        <v>:1</v>
      </c>
      <c r="U2436" t="str">
        <f t="shared" si="1858"/>
        <v>法师</v>
      </c>
      <c r="V2436" t="s">
        <v>5075</v>
      </c>
      <c r="W2436">
        <f>属性类型!G2436</f>
        <v>10063</v>
      </c>
      <c r="X2436">
        <v>1</v>
      </c>
    </row>
    <row r="2437" customFormat="1" ht="16.5" spans="1:24">
      <c r="A2437" s="17">
        <f t="shared" si="1929"/>
        <v>60909</v>
      </c>
      <c r="B2437" s="17">
        <f t="shared" si="1915"/>
        <v>60900</v>
      </c>
      <c r="C2437" s="17" t="str">
        <f t="shared" si="1916"/>
        <v>6</v>
      </c>
      <c r="D2437" s="17">
        <f t="shared" si="1917"/>
        <v>60001</v>
      </c>
      <c r="E2437" s="17">
        <f t="shared" ref="E2437:I2437" si="1940">E2436</f>
        <v>2</v>
      </c>
      <c r="F2437" s="17">
        <f t="shared" si="1867"/>
        <v>1</v>
      </c>
      <c r="G2437" s="17" t="str">
        <f t="shared" si="1940"/>
        <v>死灵法师魔防百分比</v>
      </c>
      <c r="H2437" s="17" t="str">
        <f t="shared" si="1940"/>
        <v>moshou03_Lv3</v>
      </c>
      <c r="I2437" s="20">
        <f t="shared" si="1940"/>
        <v>2</v>
      </c>
      <c r="J2437" s="17">
        <v>9</v>
      </c>
      <c r="K2437" s="17">
        <f t="shared" si="1928"/>
        <v>60910</v>
      </c>
      <c r="L2437" s="17" t="s">
        <v>236</v>
      </c>
      <c r="M2437" s="17" t="str">
        <f t="shared" si="1931"/>
        <v>1:10600:5</v>
      </c>
      <c r="N2437" s="16" t="str">
        <f t="shared" si="1866"/>
        <v>10063:1</v>
      </c>
      <c r="O2437" s="17">
        <f t="shared" si="1868"/>
        <v>10</v>
      </c>
      <c r="P2437" s="21" t="s">
        <v>5085</v>
      </c>
      <c r="Q2437" s="21"/>
      <c r="R2437" t="s">
        <v>5034</v>
      </c>
      <c r="T2437" t="str">
        <f t="shared" si="1932"/>
        <v>:1</v>
      </c>
      <c r="U2437" t="str">
        <f t="shared" ref="U2437:U2500" si="1941">MID(P2437,3,2)</f>
        <v>法师</v>
      </c>
      <c r="V2437" t="s">
        <v>5075</v>
      </c>
      <c r="W2437">
        <f>属性类型!G2437</f>
        <v>10063</v>
      </c>
      <c r="X2437">
        <v>1</v>
      </c>
    </row>
    <row r="2438" customFormat="1" ht="16.5" spans="1:24">
      <c r="A2438" s="17">
        <f t="shared" si="1929"/>
        <v>60910</v>
      </c>
      <c r="B2438" s="17">
        <f t="shared" si="1915"/>
        <v>60900</v>
      </c>
      <c r="C2438" s="17" t="str">
        <f t="shared" si="1916"/>
        <v>6</v>
      </c>
      <c r="D2438" s="17">
        <f t="shared" si="1917"/>
        <v>60001</v>
      </c>
      <c r="E2438" s="17">
        <f t="shared" ref="E2438:I2438" si="1942">E2437</f>
        <v>2</v>
      </c>
      <c r="F2438" s="17">
        <f t="shared" si="1867"/>
        <v>1</v>
      </c>
      <c r="G2438" s="17" t="str">
        <f t="shared" si="1942"/>
        <v>死灵法师魔防百分比</v>
      </c>
      <c r="H2438" s="17" t="str">
        <f t="shared" si="1942"/>
        <v>moshou03_Lv3</v>
      </c>
      <c r="I2438" s="20">
        <f t="shared" si="1942"/>
        <v>2</v>
      </c>
      <c r="J2438" s="17">
        <v>10</v>
      </c>
      <c r="K2438" s="17">
        <f t="shared" si="1928"/>
        <v>60911</v>
      </c>
      <c r="L2438" s="17" t="s">
        <v>238</v>
      </c>
      <c r="M2438" s="17" t="str">
        <f t="shared" si="1931"/>
        <v>1:10600:5</v>
      </c>
      <c r="N2438" s="16" t="str">
        <f t="shared" si="1866"/>
        <v>10063:1</v>
      </c>
      <c r="O2438" s="17">
        <f t="shared" si="1868"/>
        <v>10</v>
      </c>
      <c r="P2438" s="21" t="s">
        <v>5086</v>
      </c>
      <c r="Q2438" s="21"/>
      <c r="R2438" t="s">
        <v>5034</v>
      </c>
      <c r="T2438" t="str">
        <f t="shared" si="1932"/>
        <v>:1</v>
      </c>
      <c r="U2438" t="str">
        <f t="shared" si="1941"/>
        <v>法师</v>
      </c>
      <c r="V2438" t="s">
        <v>5075</v>
      </c>
      <c r="W2438">
        <f>属性类型!G2438</f>
        <v>10063</v>
      </c>
      <c r="X2438">
        <v>1</v>
      </c>
    </row>
    <row r="2439" customFormat="1" ht="16.5" spans="1:24">
      <c r="A2439" s="17">
        <f t="shared" ref="A2439:A2448" si="1943">A2438+1</f>
        <v>60911</v>
      </c>
      <c r="B2439" s="17">
        <f t="shared" ref="B2439:B2448" si="1944">ROUND(A2439,-2)</f>
        <v>60900</v>
      </c>
      <c r="C2439" s="17" t="str">
        <f t="shared" ref="C2439:C2465" si="1945">LEFT(A2439,1)</f>
        <v>6</v>
      </c>
      <c r="D2439" s="17">
        <f t="shared" ref="D2439:D2448" si="1946">$A$2329+F2439</f>
        <v>60001</v>
      </c>
      <c r="E2439" s="17">
        <f t="shared" ref="E2439:I2439" si="1947">E2438</f>
        <v>2</v>
      </c>
      <c r="F2439" s="17">
        <f t="shared" si="1867"/>
        <v>1</v>
      </c>
      <c r="G2439" s="17" t="str">
        <f t="shared" si="1947"/>
        <v>死灵法师魔防百分比</v>
      </c>
      <c r="H2439" s="17" t="str">
        <f t="shared" si="1947"/>
        <v>moshou03_Lv3</v>
      </c>
      <c r="I2439" s="20">
        <f t="shared" si="1947"/>
        <v>2</v>
      </c>
      <c r="J2439" s="17">
        <v>11</v>
      </c>
      <c r="K2439" s="17">
        <f t="shared" si="1928"/>
        <v>60912</v>
      </c>
      <c r="L2439" s="17" t="s">
        <v>529</v>
      </c>
      <c r="M2439" s="17" t="str">
        <f t="shared" si="1931"/>
        <v>1:10600:5</v>
      </c>
      <c r="N2439" s="16" t="str">
        <f t="shared" si="1866"/>
        <v>10063:1</v>
      </c>
      <c r="O2439" s="17">
        <f t="shared" si="1868"/>
        <v>10</v>
      </c>
      <c r="P2439" s="21" t="s">
        <v>5087</v>
      </c>
      <c r="Q2439" s="21"/>
      <c r="R2439" t="s">
        <v>5034</v>
      </c>
      <c r="U2439" t="str">
        <f t="shared" si="1941"/>
        <v>法师</v>
      </c>
      <c r="V2439" t="s">
        <v>5075</v>
      </c>
      <c r="W2439">
        <f>属性类型!G2439</f>
        <v>10063</v>
      </c>
      <c r="X2439">
        <v>1</v>
      </c>
    </row>
    <row r="2440" customFormat="1" ht="16.5" spans="1:24">
      <c r="A2440" s="17">
        <f t="shared" si="1943"/>
        <v>60912</v>
      </c>
      <c r="B2440" s="17">
        <f t="shared" si="1944"/>
        <v>60900</v>
      </c>
      <c r="C2440" s="17" t="str">
        <f t="shared" si="1945"/>
        <v>6</v>
      </c>
      <c r="D2440" s="17">
        <f t="shared" si="1946"/>
        <v>60001</v>
      </c>
      <c r="E2440" s="17">
        <f t="shared" ref="E2440:I2440" si="1948">E2439</f>
        <v>2</v>
      </c>
      <c r="F2440" s="17">
        <f t="shared" si="1867"/>
        <v>1</v>
      </c>
      <c r="G2440" s="17" t="str">
        <f t="shared" si="1948"/>
        <v>死灵法师魔防百分比</v>
      </c>
      <c r="H2440" s="17" t="str">
        <f t="shared" si="1948"/>
        <v>moshou03_Lv3</v>
      </c>
      <c r="I2440" s="20">
        <f t="shared" si="1948"/>
        <v>2</v>
      </c>
      <c r="J2440" s="17">
        <v>12</v>
      </c>
      <c r="K2440" s="17">
        <f t="shared" si="1928"/>
        <v>60913</v>
      </c>
      <c r="L2440" s="17" t="s">
        <v>532</v>
      </c>
      <c r="M2440" s="17" t="str">
        <f t="shared" si="1931"/>
        <v>1:10600:5</v>
      </c>
      <c r="N2440" s="16" t="str">
        <f t="shared" si="1866"/>
        <v>10063:1</v>
      </c>
      <c r="O2440" s="17">
        <f t="shared" si="1868"/>
        <v>10</v>
      </c>
      <c r="P2440" s="21" t="s">
        <v>5088</v>
      </c>
      <c r="Q2440" s="21"/>
      <c r="R2440" t="s">
        <v>5034</v>
      </c>
      <c r="U2440" t="str">
        <f t="shared" si="1941"/>
        <v>法师</v>
      </c>
      <c r="V2440" t="s">
        <v>5075</v>
      </c>
      <c r="W2440">
        <f>属性类型!G2440</f>
        <v>10063</v>
      </c>
      <c r="X2440">
        <v>1</v>
      </c>
    </row>
    <row r="2441" customFormat="1" ht="16.5" spans="1:24">
      <c r="A2441" s="17">
        <f t="shared" si="1943"/>
        <v>60913</v>
      </c>
      <c r="B2441" s="17">
        <f t="shared" si="1944"/>
        <v>60900</v>
      </c>
      <c r="C2441" s="17" t="str">
        <f t="shared" si="1945"/>
        <v>6</v>
      </c>
      <c r="D2441" s="17">
        <f t="shared" si="1946"/>
        <v>60001</v>
      </c>
      <c r="E2441" s="17">
        <f t="shared" ref="E2441:I2441" si="1949">E2440</f>
        <v>2</v>
      </c>
      <c r="F2441" s="17">
        <f t="shared" si="1867"/>
        <v>1</v>
      </c>
      <c r="G2441" s="17" t="str">
        <f t="shared" si="1949"/>
        <v>死灵法师魔防百分比</v>
      </c>
      <c r="H2441" s="17" t="str">
        <f t="shared" si="1949"/>
        <v>moshou03_Lv3</v>
      </c>
      <c r="I2441" s="20">
        <f t="shared" si="1949"/>
        <v>2</v>
      </c>
      <c r="J2441" s="17">
        <v>13</v>
      </c>
      <c r="K2441" s="17">
        <f t="shared" si="1928"/>
        <v>60914</v>
      </c>
      <c r="L2441" s="17" t="s">
        <v>561</v>
      </c>
      <c r="M2441" s="17" t="str">
        <f t="shared" si="1931"/>
        <v>1:10600:5</v>
      </c>
      <c r="N2441" s="16" t="str">
        <f t="shared" si="1866"/>
        <v>10063:1</v>
      </c>
      <c r="O2441" s="17">
        <f t="shared" si="1868"/>
        <v>10</v>
      </c>
      <c r="P2441" s="21" t="s">
        <v>5089</v>
      </c>
      <c r="Q2441" s="21"/>
      <c r="R2441" t="s">
        <v>5034</v>
      </c>
      <c r="U2441" t="str">
        <f t="shared" si="1941"/>
        <v>法师</v>
      </c>
      <c r="V2441" t="s">
        <v>5075</v>
      </c>
      <c r="W2441">
        <f>属性类型!G2441</f>
        <v>10063</v>
      </c>
      <c r="X2441">
        <v>1</v>
      </c>
    </row>
    <row r="2442" customFormat="1" ht="16.5" spans="1:24">
      <c r="A2442" s="17">
        <f t="shared" si="1943"/>
        <v>60914</v>
      </c>
      <c r="B2442" s="17">
        <f t="shared" si="1944"/>
        <v>60900</v>
      </c>
      <c r="C2442" s="17" t="str">
        <f t="shared" si="1945"/>
        <v>6</v>
      </c>
      <c r="D2442" s="17">
        <f t="shared" si="1946"/>
        <v>60001</v>
      </c>
      <c r="E2442" s="17">
        <f t="shared" ref="E2442:I2442" si="1950">E2441</f>
        <v>2</v>
      </c>
      <c r="F2442" s="17">
        <f t="shared" si="1867"/>
        <v>1</v>
      </c>
      <c r="G2442" s="17" t="str">
        <f t="shared" si="1950"/>
        <v>死灵法师魔防百分比</v>
      </c>
      <c r="H2442" s="17" t="str">
        <f t="shared" si="1950"/>
        <v>moshou03_Lv3</v>
      </c>
      <c r="I2442" s="20">
        <f t="shared" si="1950"/>
        <v>2</v>
      </c>
      <c r="J2442" s="17">
        <v>14</v>
      </c>
      <c r="K2442" s="17">
        <f t="shared" si="1928"/>
        <v>60915</v>
      </c>
      <c r="L2442" s="17" t="s">
        <v>564</v>
      </c>
      <c r="M2442" s="17" t="str">
        <f t="shared" si="1931"/>
        <v>1:10600:5</v>
      </c>
      <c r="N2442" s="16" t="str">
        <f t="shared" si="1866"/>
        <v>10063:1</v>
      </c>
      <c r="O2442" s="17">
        <f t="shared" si="1868"/>
        <v>10</v>
      </c>
      <c r="P2442" s="21" t="s">
        <v>5090</v>
      </c>
      <c r="Q2442" s="21"/>
      <c r="R2442" t="s">
        <v>5034</v>
      </c>
      <c r="U2442" t="str">
        <f t="shared" si="1941"/>
        <v>法师</v>
      </c>
      <c r="V2442" t="s">
        <v>5075</v>
      </c>
      <c r="W2442">
        <f>属性类型!G2442</f>
        <v>10063</v>
      </c>
      <c r="X2442">
        <v>1</v>
      </c>
    </row>
    <row r="2443" customFormat="1" ht="16.5" spans="1:24">
      <c r="A2443" s="17">
        <f t="shared" si="1943"/>
        <v>60915</v>
      </c>
      <c r="B2443" s="17">
        <f t="shared" si="1944"/>
        <v>60900</v>
      </c>
      <c r="C2443" s="17" t="str">
        <f t="shared" si="1945"/>
        <v>6</v>
      </c>
      <c r="D2443" s="17">
        <f t="shared" si="1946"/>
        <v>60001</v>
      </c>
      <c r="E2443" s="17">
        <f t="shared" ref="E2443:I2443" si="1951">E2442</f>
        <v>2</v>
      </c>
      <c r="F2443" s="17">
        <f t="shared" si="1867"/>
        <v>1</v>
      </c>
      <c r="G2443" s="17" t="str">
        <f t="shared" si="1951"/>
        <v>死灵法师魔防百分比</v>
      </c>
      <c r="H2443" s="17" t="str">
        <f t="shared" si="1951"/>
        <v>moshou03_Lv3</v>
      </c>
      <c r="I2443" s="20">
        <f t="shared" si="1951"/>
        <v>2</v>
      </c>
      <c r="J2443" s="17">
        <v>15</v>
      </c>
      <c r="K2443" s="17">
        <f t="shared" si="1928"/>
        <v>60916</v>
      </c>
      <c r="L2443" s="17" t="s">
        <v>630</v>
      </c>
      <c r="M2443" s="17" t="str">
        <f t="shared" si="1931"/>
        <v>1:10600:5</v>
      </c>
      <c r="N2443" s="16" t="str">
        <f t="shared" ref="N2443:N2506" si="1952">W2443&amp;$W$2&amp;X2443</f>
        <v>10063:1</v>
      </c>
      <c r="O2443" s="17">
        <f t="shared" si="1868"/>
        <v>10</v>
      </c>
      <c r="P2443" s="21" t="s">
        <v>5091</v>
      </c>
      <c r="Q2443" s="21"/>
      <c r="R2443" t="s">
        <v>5034</v>
      </c>
      <c r="U2443" t="str">
        <f t="shared" si="1941"/>
        <v>法师</v>
      </c>
      <c r="V2443" t="s">
        <v>5075</v>
      </c>
      <c r="W2443">
        <f>属性类型!G2443</f>
        <v>10063</v>
      </c>
      <c r="X2443">
        <v>1</v>
      </c>
    </row>
    <row r="2444" customFormat="1" ht="16.5" spans="1:24">
      <c r="A2444" s="17">
        <f t="shared" si="1943"/>
        <v>60916</v>
      </c>
      <c r="B2444" s="17">
        <f t="shared" si="1944"/>
        <v>60900</v>
      </c>
      <c r="C2444" s="17" t="str">
        <f t="shared" si="1945"/>
        <v>6</v>
      </c>
      <c r="D2444" s="17">
        <f t="shared" si="1946"/>
        <v>60001</v>
      </c>
      <c r="E2444" s="17">
        <f t="shared" ref="E2444:I2444" si="1953">E2443</f>
        <v>2</v>
      </c>
      <c r="F2444" s="17">
        <f t="shared" si="1867"/>
        <v>1</v>
      </c>
      <c r="G2444" s="17" t="str">
        <f t="shared" si="1953"/>
        <v>死灵法师魔防百分比</v>
      </c>
      <c r="H2444" s="17" t="str">
        <f t="shared" si="1953"/>
        <v>moshou03_Lv3</v>
      </c>
      <c r="I2444" s="20">
        <f t="shared" si="1953"/>
        <v>2</v>
      </c>
      <c r="J2444" s="17">
        <v>16</v>
      </c>
      <c r="K2444" s="17">
        <f t="shared" si="1928"/>
        <v>60917</v>
      </c>
      <c r="L2444" s="17" t="s">
        <v>633</v>
      </c>
      <c r="M2444" s="17" t="str">
        <f t="shared" si="1931"/>
        <v>1:10600:5</v>
      </c>
      <c r="N2444" s="16" t="str">
        <f t="shared" si="1952"/>
        <v>10063:1</v>
      </c>
      <c r="O2444" s="17">
        <f t="shared" si="1868"/>
        <v>10</v>
      </c>
      <c r="P2444" s="21" t="s">
        <v>5092</v>
      </c>
      <c r="Q2444" s="21"/>
      <c r="R2444" t="s">
        <v>5034</v>
      </c>
      <c r="U2444" t="str">
        <f t="shared" si="1941"/>
        <v>法师</v>
      </c>
      <c r="V2444" t="s">
        <v>5075</v>
      </c>
      <c r="W2444">
        <f>属性类型!G2444</f>
        <v>10063</v>
      </c>
      <c r="X2444">
        <v>1</v>
      </c>
    </row>
    <row r="2445" customFormat="1" ht="16.5" spans="1:24">
      <c r="A2445" s="17">
        <f t="shared" si="1943"/>
        <v>60917</v>
      </c>
      <c r="B2445" s="17">
        <f t="shared" si="1944"/>
        <v>60900</v>
      </c>
      <c r="C2445" s="17" t="str">
        <f t="shared" si="1945"/>
        <v>6</v>
      </c>
      <c r="D2445" s="17">
        <f t="shared" si="1946"/>
        <v>60001</v>
      </c>
      <c r="E2445" s="17">
        <f t="shared" ref="E2445:I2445" si="1954">E2444</f>
        <v>2</v>
      </c>
      <c r="F2445" s="17">
        <f t="shared" si="1867"/>
        <v>1</v>
      </c>
      <c r="G2445" s="17" t="str">
        <f t="shared" si="1954"/>
        <v>死灵法师魔防百分比</v>
      </c>
      <c r="H2445" s="17" t="str">
        <f t="shared" si="1954"/>
        <v>moshou03_Lv3</v>
      </c>
      <c r="I2445" s="20">
        <f t="shared" si="1954"/>
        <v>2</v>
      </c>
      <c r="J2445" s="17">
        <v>17</v>
      </c>
      <c r="K2445" s="17">
        <f t="shared" si="1928"/>
        <v>60918</v>
      </c>
      <c r="L2445" s="17" t="s">
        <v>637</v>
      </c>
      <c r="M2445" s="17" t="str">
        <f t="shared" si="1931"/>
        <v>1:10600:5</v>
      </c>
      <c r="N2445" s="16" t="str">
        <f t="shared" si="1952"/>
        <v>10063:1</v>
      </c>
      <c r="O2445" s="17">
        <f t="shared" si="1868"/>
        <v>10</v>
      </c>
      <c r="P2445" s="21" t="s">
        <v>5093</v>
      </c>
      <c r="Q2445" s="21"/>
      <c r="R2445" t="s">
        <v>5034</v>
      </c>
      <c r="U2445" t="str">
        <f t="shared" si="1941"/>
        <v>法师</v>
      </c>
      <c r="V2445" t="s">
        <v>5075</v>
      </c>
      <c r="W2445">
        <f>属性类型!G2445</f>
        <v>10063</v>
      </c>
      <c r="X2445">
        <v>1</v>
      </c>
    </row>
    <row r="2446" customFormat="1" ht="16.5" spans="1:24">
      <c r="A2446" s="17">
        <f t="shared" si="1943"/>
        <v>60918</v>
      </c>
      <c r="B2446" s="17">
        <f t="shared" si="1944"/>
        <v>60900</v>
      </c>
      <c r="C2446" s="17" t="str">
        <f t="shared" si="1945"/>
        <v>6</v>
      </c>
      <c r="D2446" s="17">
        <f t="shared" si="1946"/>
        <v>60001</v>
      </c>
      <c r="E2446" s="17">
        <f t="shared" ref="E2446:I2446" si="1955">E2445</f>
        <v>2</v>
      </c>
      <c r="F2446" s="17">
        <f t="shared" si="1867"/>
        <v>1</v>
      </c>
      <c r="G2446" s="17" t="str">
        <f t="shared" si="1955"/>
        <v>死灵法师魔防百分比</v>
      </c>
      <c r="H2446" s="17" t="str">
        <f t="shared" si="1955"/>
        <v>moshou03_Lv3</v>
      </c>
      <c r="I2446" s="20">
        <f t="shared" si="1955"/>
        <v>2</v>
      </c>
      <c r="J2446" s="17">
        <v>18</v>
      </c>
      <c r="K2446" s="17">
        <f t="shared" si="1928"/>
        <v>60919</v>
      </c>
      <c r="L2446" s="17" t="s">
        <v>641</v>
      </c>
      <c r="M2446" s="17" t="str">
        <f t="shared" si="1931"/>
        <v>1:10600:5</v>
      </c>
      <c r="N2446" s="16" t="str">
        <f t="shared" si="1952"/>
        <v>10063:1</v>
      </c>
      <c r="O2446" s="17">
        <f t="shared" si="1868"/>
        <v>10</v>
      </c>
      <c r="P2446" s="21" t="s">
        <v>5094</v>
      </c>
      <c r="Q2446" s="21"/>
      <c r="R2446" t="s">
        <v>5034</v>
      </c>
      <c r="U2446" t="str">
        <f t="shared" si="1941"/>
        <v>法师</v>
      </c>
      <c r="V2446" t="s">
        <v>5075</v>
      </c>
      <c r="W2446">
        <f>属性类型!G2446</f>
        <v>10063</v>
      </c>
      <c r="X2446">
        <v>1</v>
      </c>
    </row>
    <row r="2447" customFormat="1" ht="16.5" spans="1:24">
      <c r="A2447" s="17">
        <f t="shared" si="1943"/>
        <v>60919</v>
      </c>
      <c r="B2447" s="17">
        <f t="shared" si="1944"/>
        <v>60900</v>
      </c>
      <c r="C2447" s="17" t="str">
        <f t="shared" si="1945"/>
        <v>6</v>
      </c>
      <c r="D2447" s="17">
        <f t="shared" si="1946"/>
        <v>60001</v>
      </c>
      <c r="E2447" s="17">
        <f t="shared" ref="E2447:I2447" si="1956">E2446</f>
        <v>2</v>
      </c>
      <c r="F2447" s="17">
        <f t="shared" si="1867"/>
        <v>1</v>
      </c>
      <c r="G2447" s="17" t="str">
        <f t="shared" si="1956"/>
        <v>死灵法师魔防百分比</v>
      </c>
      <c r="H2447" s="17" t="str">
        <f t="shared" si="1956"/>
        <v>moshou03_Lv3</v>
      </c>
      <c r="I2447" s="20">
        <f t="shared" si="1956"/>
        <v>2</v>
      </c>
      <c r="J2447" s="17">
        <v>19</v>
      </c>
      <c r="K2447" s="17">
        <f t="shared" si="1928"/>
        <v>60920</v>
      </c>
      <c r="L2447" s="17" t="s">
        <v>645</v>
      </c>
      <c r="M2447" s="17" t="str">
        <f t="shared" si="1931"/>
        <v>1:10600:5</v>
      </c>
      <c r="N2447" s="16" t="str">
        <f t="shared" si="1952"/>
        <v>10063:1</v>
      </c>
      <c r="O2447" s="17">
        <f t="shared" si="1868"/>
        <v>10</v>
      </c>
      <c r="P2447" s="21" t="s">
        <v>5095</v>
      </c>
      <c r="Q2447" s="21"/>
      <c r="R2447" t="s">
        <v>5034</v>
      </c>
      <c r="U2447" t="str">
        <f t="shared" si="1941"/>
        <v>法师</v>
      </c>
      <c r="V2447" t="s">
        <v>5075</v>
      </c>
      <c r="W2447">
        <f>属性类型!G2447</f>
        <v>10063</v>
      </c>
      <c r="X2447">
        <v>1</v>
      </c>
    </row>
    <row r="2448" customFormat="1" ht="16.5" spans="1:24">
      <c r="A2448" s="17">
        <f t="shared" si="1943"/>
        <v>60920</v>
      </c>
      <c r="B2448" s="17">
        <f t="shared" si="1944"/>
        <v>60900</v>
      </c>
      <c r="C2448" s="17" t="str">
        <f t="shared" si="1945"/>
        <v>6</v>
      </c>
      <c r="D2448" s="17">
        <f t="shared" si="1946"/>
        <v>60001</v>
      </c>
      <c r="E2448" s="17">
        <f t="shared" ref="E2448:I2448" si="1957">E2447</f>
        <v>2</v>
      </c>
      <c r="F2448" s="17">
        <f t="shared" ref="F2448:F2511" si="1958">MID(B2448,2,1)+1</f>
        <v>1</v>
      </c>
      <c r="G2448" s="17" t="str">
        <f t="shared" si="1957"/>
        <v>死灵法师魔防百分比</v>
      </c>
      <c r="H2448" s="17" t="str">
        <f t="shared" si="1957"/>
        <v>moshou03_Lv3</v>
      </c>
      <c r="I2448" s="20">
        <f t="shared" si="1957"/>
        <v>2</v>
      </c>
      <c r="J2448" s="17">
        <v>20</v>
      </c>
      <c r="K2448" s="17">
        <v>0</v>
      </c>
      <c r="L2448" s="17">
        <v>0</v>
      </c>
      <c r="M2448" s="17" t="str">
        <f t="shared" si="1931"/>
        <v>1:10600:5</v>
      </c>
      <c r="N2448" s="16" t="str">
        <f t="shared" si="1952"/>
        <v>10063:1</v>
      </c>
      <c r="O2448" s="17">
        <f t="shared" ref="O2448:O2511" si="1959">MID(A2448,3,1)+1</f>
        <v>10</v>
      </c>
      <c r="P2448" s="21" t="s">
        <v>5095</v>
      </c>
      <c r="Q2448" s="21"/>
      <c r="R2448" t="s">
        <v>5034</v>
      </c>
      <c r="U2448" t="str">
        <f t="shared" si="1941"/>
        <v>法师</v>
      </c>
      <c r="V2448" t="s">
        <v>5075</v>
      </c>
      <c r="W2448">
        <f>属性类型!G2448</f>
        <v>10063</v>
      </c>
      <c r="X2448">
        <v>1</v>
      </c>
    </row>
    <row r="2449" s="14" customFormat="1" ht="16.5" spans="1:24">
      <c r="A2449" s="18">
        <f>A2428+100</f>
        <v>61000</v>
      </c>
      <c r="B2449" s="18">
        <f t="shared" ref="B2449:B2508" si="1960">ROUND(A2449,-2)</f>
        <v>61000</v>
      </c>
      <c r="C2449" s="18" t="str">
        <f t="shared" si="1945"/>
        <v>6</v>
      </c>
      <c r="D2449" s="17">
        <f t="shared" ref="D2449:D2488" si="1961">$A$2329+F2449</f>
        <v>60002</v>
      </c>
      <c r="E2449" s="18">
        <v>1</v>
      </c>
      <c r="F2449" s="18">
        <f t="shared" si="1958"/>
        <v>2</v>
      </c>
      <c r="G2449" s="18" t="s">
        <v>295</v>
      </c>
      <c r="H2449" s="18" t="s">
        <v>38</v>
      </c>
      <c r="I2449" s="20">
        <v>0</v>
      </c>
      <c r="J2449" s="18">
        <v>0</v>
      </c>
      <c r="K2449" s="18">
        <f t="shared" ref="K2449:K2458" si="1962">A2450</f>
        <v>61001</v>
      </c>
      <c r="L2449" s="18" t="s">
        <v>297</v>
      </c>
      <c r="M2449" s="18" t="s">
        <v>298</v>
      </c>
      <c r="N2449" s="16" t="str">
        <f t="shared" si="1952"/>
        <v>171:1</v>
      </c>
      <c r="O2449" s="18">
        <f t="shared" si="1959"/>
        <v>1</v>
      </c>
      <c r="P2449" s="21" t="str">
        <f>$S$3&amp;R2449&amp;$Q$1&amp;T2449</f>
        <v>所有魔物和野兽生命增加1</v>
      </c>
      <c r="Q2449" s="22"/>
      <c r="R2449" t="s">
        <v>4270</v>
      </c>
      <c r="T2449" t="str">
        <f>RIGHT(N2449,1)</f>
        <v>1</v>
      </c>
      <c r="U2449" t="str">
        <f t="shared" si="1941"/>
        <v>魔物</v>
      </c>
      <c r="V2449" t="s">
        <v>5025</v>
      </c>
      <c r="W2449">
        <f>属性类型!G2449</f>
        <v>171</v>
      </c>
      <c r="X2449">
        <v>1</v>
      </c>
    </row>
    <row r="2450" customFormat="1" ht="16.5" spans="1:24">
      <c r="A2450" s="17">
        <f t="shared" ref="A2450:A2459" si="1963">A2449+1</f>
        <v>61001</v>
      </c>
      <c r="B2450" s="17">
        <f t="shared" si="1960"/>
        <v>61000</v>
      </c>
      <c r="C2450" s="17" t="str">
        <f t="shared" si="1945"/>
        <v>6</v>
      </c>
      <c r="D2450" s="17">
        <f t="shared" si="1961"/>
        <v>60002</v>
      </c>
      <c r="E2450" s="17">
        <v>1</v>
      </c>
      <c r="F2450" s="17">
        <f t="shared" si="1958"/>
        <v>2</v>
      </c>
      <c r="G2450" s="17" t="str">
        <f t="shared" ref="G2450:G2459" si="1964">G2449</f>
        <v>中级生命</v>
      </c>
      <c r="H2450" s="17" t="str">
        <f t="shared" ref="H2450:H2459" si="1965">H2449</f>
        <v>icon_01</v>
      </c>
      <c r="I2450" s="20">
        <v>0</v>
      </c>
      <c r="J2450" s="17">
        <v>1</v>
      </c>
      <c r="K2450" s="17">
        <f t="shared" si="1962"/>
        <v>61002</v>
      </c>
      <c r="L2450" s="17" t="s">
        <v>300</v>
      </c>
      <c r="M2450" s="17" t="str">
        <f t="shared" ref="M2450:M2459" si="1966">M2449</f>
        <v>2:10001:30</v>
      </c>
      <c r="N2450" s="16" t="str">
        <f t="shared" si="1952"/>
        <v>171:1</v>
      </c>
      <c r="O2450" s="17">
        <f t="shared" si="1959"/>
        <v>1</v>
      </c>
      <c r="P2450" s="21" t="str">
        <f>$S$3&amp;R2450&amp;$Q$1&amp;T2450</f>
        <v>所有魔物和野兽生命增加:1</v>
      </c>
      <c r="Q2450" s="21"/>
      <c r="R2450" t="str">
        <f t="shared" ref="R2450:R2459" si="1967">R2449</f>
        <v>生命</v>
      </c>
      <c r="T2450" t="str">
        <f t="shared" ref="T2450:T2459" si="1968">RIGHT(N2450,2)</f>
        <v>:1</v>
      </c>
      <c r="U2450" t="str">
        <f t="shared" si="1941"/>
        <v>魔物</v>
      </c>
      <c r="V2450" t="s">
        <v>5025</v>
      </c>
      <c r="W2450">
        <f>属性类型!G2450</f>
        <v>171</v>
      </c>
      <c r="X2450">
        <v>1</v>
      </c>
    </row>
    <row r="2451" customFormat="1" ht="16.5" spans="1:24">
      <c r="A2451" s="17">
        <f t="shared" si="1963"/>
        <v>61002</v>
      </c>
      <c r="B2451" s="17">
        <f t="shared" si="1960"/>
        <v>61000</v>
      </c>
      <c r="C2451" s="17" t="str">
        <f t="shared" si="1945"/>
        <v>6</v>
      </c>
      <c r="D2451" s="17">
        <f t="shared" si="1961"/>
        <v>60002</v>
      </c>
      <c r="E2451" s="17">
        <v>1</v>
      </c>
      <c r="F2451" s="17">
        <f t="shared" si="1958"/>
        <v>2</v>
      </c>
      <c r="G2451" s="17" t="str">
        <f t="shared" si="1964"/>
        <v>中级生命</v>
      </c>
      <c r="H2451" s="17" t="str">
        <f t="shared" si="1965"/>
        <v>icon_01</v>
      </c>
      <c r="I2451" s="20">
        <v>0</v>
      </c>
      <c r="J2451" s="17">
        <v>2</v>
      </c>
      <c r="K2451" s="17">
        <f t="shared" si="1962"/>
        <v>61003</v>
      </c>
      <c r="L2451" s="17" t="s">
        <v>304</v>
      </c>
      <c r="M2451" s="17" t="str">
        <f t="shared" si="1966"/>
        <v>2:10001:30</v>
      </c>
      <c r="N2451" s="16" t="str">
        <f t="shared" si="1952"/>
        <v>171:1</v>
      </c>
      <c r="O2451" s="17">
        <f t="shared" si="1959"/>
        <v>1</v>
      </c>
      <c r="P2451" s="21" t="str">
        <f>$S$3&amp;R2451&amp;$Q$1&amp;T2451</f>
        <v>所有魔物和野兽生命增加:1</v>
      </c>
      <c r="Q2451" s="21"/>
      <c r="R2451" t="str">
        <f t="shared" si="1967"/>
        <v>生命</v>
      </c>
      <c r="T2451" t="str">
        <f t="shared" si="1968"/>
        <v>:1</v>
      </c>
      <c r="U2451" t="str">
        <f t="shared" si="1941"/>
        <v>魔物</v>
      </c>
      <c r="V2451" t="s">
        <v>5025</v>
      </c>
      <c r="W2451">
        <f>属性类型!G2451</f>
        <v>171</v>
      </c>
      <c r="X2451">
        <v>1</v>
      </c>
    </row>
    <row r="2452" customFormat="1" ht="16.5" spans="1:24">
      <c r="A2452" s="17">
        <f t="shared" si="1963"/>
        <v>61003</v>
      </c>
      <c r="B2452" s="17">
        <f t="shared" si="1960"/>
        <v>61000</v>
      </c>
      <c r="C2452" s="17" t="str">
        <f t="shared" si="1945"/>
        <v>6</v>
      </c>
      <c r="D2452" s="17">
        <f t="shared" si="1961"/>
        <v>60002</v>
      </c>
      <c r="E2452" s="17">
        <v>1</v>
      </c>
      <c r="F2452" s="17">
        <f t="shared" si="1958"/>
        <v>2</v>
      </c>
      <c r="G2452" s="17" t="str">
        <f t="shared" si="1964"/>
        <v>中级生命</v>
      </c>
      <c r="H2452" s="17" t="str">
        <f t="shared" si="1965"/>
        <v>icon_01</v>
      </c>
      <c r="I2452" s="20">
        <v>0</v>
      </c>
      <c r="J2452" s="17">
        <v>3</v>
      </c>
      <c r="K2452" s="17">
        <f t="shared" si="1962"/>
        <v>61004</v>
      </c>
      <c r="L2452" s="17" t="s">
        <v>307</v>
      </c>
      <c r="M2452" s="17" t="str">
        <f t="shared" si="1966"/>
        <v>2:10001:30</v>
      </c>
      <c r="N2452" s="16" t="str">
        <f t="shared" si="1952"/>
        <v>171:1</v>
      </c>
      <c r="O2452" s="17">
        <f t="shared" si="1959"/>
        <v>1</v>
      </c>
      <c r="P2452" s="21" t="str">
        <f>$S$3&amp;R2452&amp;$Q$1&amp;T2452</f>
        <v>所有魔物和野兽生命增加:1</v>
      </c>
      <c r="Q2452" s="21"/>
      <c r="R2452" t="str">
        <f t="shared" si="1967"/>
        <v>生命</v>
      </c>
      <c r="T2452" t="str">
        <f t="shared" si="1968"/>
        <v>:1</v>
      </c>
      <c r="U2452" t="str">
        <f t="shared" si="1941"/>
        <v>魔物</v>
      </c>
      <c r="V2452" t="s">
        <v>5025</v>
      </c>
      <c r="W2452">
        <f>属性类型!G2452</f>
        <v>171</v>
      </c>
      <c r="X2452">
        <v>1</v>
      </c>
    </row>
    <row r="2453" customFormat="1" ht="16.5" spans="1:24">
      <c r="A2453" s="17">
        <f t="shared" si="1963"/>
        <v>61004</v>
      </c>
      <c r="B2453" s="17">
        <f t="shared" si="1960"/>
        <v>61000</v>
      </c>
      <c r="C2453" s="17" t="str">
        <f t="shared" si="1945"/>
        <v>6</v>
      </c>
      <c r="D2453" s="17">
        <f t="shared" si="1961"/>
        <v>60002</v>
      </c>
      <c r="E2453" s="17">
        <v>1</v>
      </c>
      <c r="F2453" s="17">
        <f t="shared" si="1958"/>
        <v>2</v>
      </c>
      <c r="G2453" s="17" t="str">
        <f t="shared" si="1964"/>
        <v>中级生命</v>
      </c>
      <c r="H2453" s="17" t="str">
        <f t="shared" si="1965"/>
        <v>icon_01</v>
      </c>
      <c r="I2453" s="20">
        <v>0</v>
      </c>
      <c r="J2453" s="17">
        <v>4</v>
      </c>
      <c r="K2453" s="17">
        <f t="shared" si="1962"/>
        <v>61005</v>
      </c>
      <c r="L2453" s="17" t="s">
        <v>309</v>
      </c>
      <c r="M2453" s="17" t="str">
        <f t="shared" si="1966"/>
        <v>2:10001:30</v>
      </c>
      <c r="N2453" s="16" t="str">
        <f t="shared" si="1952"/>
        <v>171:1</v>
      </c>
      <c r="O2453" s="17">
        <f t="shared" si="1959"/>
        <v>1</v>
      </c>
      <c r="P2453" s="21" t="str">
        <f>$S$3&amp;R2453&amp;$Q$1&amp;T2453</f>
        <v>所有魔物和野兽生命增加:1</v>
      </c>
      <c r="Q2453" s="21"/>
      <c r="R2453" t="str">
        <f t="shared" si="1967"/>
        <v>生命</v>
      </c>
      <c r="T2453" t="str">
        <f t="shared" si="1968"/>
        <v>:1</v>
      </c>
      <c r="U2453" t="str">
        <f t="shared" si="1941"/>
        <v>魔物</v>
      </c>
      <c r="V2453" t="s">
        <v>5025</v>
      </c>
      <c r="W2453">
        <f>属性类型!G2453</f>
        <v>171</v>
      </c>
      <c r="X2453">
        <v>1</v>
      </c>
    </row>
    <row r="2454" customFormat="1" ht="16.5" spans="1:24">
      <c r="A2454" s="17">
        <f t="shared" si="1963"/>
        <v>61005</v>
      </c>
      <c r="B2454" s="17">
        <f t="shared" si="1960"/>
        <v>61000</v>
      </c>
      <c r="C2454" s="17" t="str">
        <f t="shared" si="1945"/>
        <v>6</v>
      </c>
      <c r="D2454" s="17">
        <f t="shared" si="1961"/>
        <v>60002</v>
      </c>
      <c r="E2454" s="17">
        <v>1</v>
      </c>
      <c r="F2454" s="17">
        <f t="shared" si="1958"/>
        <v>2</v>
      </c>
      <c r="G2454" s="17" t="str">
        <f t="shared" si="1964"/>
        <v>中级生命</v>
      </c>
      <c r="H2454" s="17" t="str">
        <f t="shared" si="1965"/>
        <v>icon_01</v>
      </c>
      <c r="I2454" s="20">
        <v>0</v>
      </c>
      <c r="J2454" s="17">
        <v>5</v>
      </c>
      <c r="K2454" s="17">
        <f t="shared" si="1962"/>
        <v>61006</v>
      </c>
      <c r="L2454" s="17" t="s">
        <v>312</v>
      </c>
      <c r="M2454" s="17" t="str">
        <f t="shared" si="1966"/>
        <v>2:10001:30</v>
      </c>
      <c r="N2454" s="16" t="str">
        <f t="shared" si="1952"/>
        <v>171:1</v>
      </c>
      <c r="O2454" s="17">
        <f t="shared" si="1959"/>
        <v>1</v>
      </c>
      <c r="P2454" s="21" t="str">
        <f>$S$3&amp;R2454&amp;$Q$1&amp;T2454</f>
        <v>所有魔物和野兽生命增加:1</v>
      </c>
      <c r="Q2454" s="21"/>
      <c r="R2454" t="str">
        <f t="shared" si="1967"/>
        <v>生命</v>
      </c>
      <c r="T2454" t="str">
        <f t="shared" si="1968"/>
        <v>:1</v>
      </c>
      <c r="U2454" t="str">
        <f t="shared" si="1941"/>
        <v>魔物</v>
      </c>
      <c r="V2454" t="s">
        <v>5025</v>
      </c>
      <c r="W2454">
        <f>属性类型!G2454</f>
        <v>171</v>
      </c>
      <c r="X2454">
        <v>1</v>
      </c>
    </row>
    <row r="2455" customFormat="1" ht="16.5" spans="1:24">
      <c r="A2455" s="17">
        <f t="shared" si="1963"/>
        <v>61006</v>
      </c>
      <c r="B2455" s="17">
        <f t="shared" si="1960"/>
        <v>61000</v>
      </c>
      <c r="C2455" s="17" t="str">
        <f t="shared" si="1945"/>
        <v>6</v>
      </c>
      <c r="D2455" s="17">
        <f t="shared" si="1961"/>
        <v>60002</v>
      </c>
      <c r="E2455" s="17">
        <v>1</v>
      </c>
      <c r="F2455" s="17">
        <f t="shared" si="1958"/>
        <v>2</v>
      </c>
      <c r="G2455" s="17" t="str">
        <f t="shared" si="1964"/>
        <v>中级生命</v>
      </c>
      <c r="H2455" s="17" t="str">
        <f t="shared" si="1965"/>
        <v>icon_01</v>
      </c>
      <c r="I2455" s="20">
        <v>0</v>
      </c>
      <c r="J2455" s="17">
        <v>6</v>
      </c>
      <c r="K2455" s="17">
        <f t="shared" si="1962"/>
        <v>61007</v>
      </c>
      <c r="L2455" s="17" t="s">
        <v>315</v>
      </c>
      <c r="M2455" s="17" t="str">
        <f t="shared" si="1966"/>
        <v>2:10001:30</v>
      </c>
      <c r="N2455" s="16" t="str">
        <f t="shared" si="1952"/>
        <v>171:1</v>
      </c>
      <c r="O2455" s="17">
        <f t="shared" si="1959"/>
        <v>1</v>
      </c>
      <c r="P2455" s="21" t="str">
        <f>$S$3&amp;R2455&amp;$Q$1&amp;T2455</f>
        <v>所有魔物和野兽生命增加:1</v>
      </c>
      <c r="Q2455" s="21"/>
      <c r="R2455" t="str">
        <f t="shared" si="1967"/>
        <v>生命</v>
      </c>
      <c r="T2455" t="str">
        <f t="shared" si="1968"/>
        <v>:1</v>
      </c>
      <c r="U2455" t="str">
        <f t="shared" si="1941"/>
        <v>魔物</v>
      </c>
      <c r="V2455" t="s">
        <v>5025</v>
      </c>
      <c r="W2455">
        <f>属性类型!G2455</f>
        <v>171</v>
      </c>
      <c r="X2455">
        <v>1</v>
      </c>
    </row>
    <row r="2456" customFormat="1" ht="16.5" spans="1:24">
      <c r="A2456" s="17">
        <f t="shared" si="1963"/>
        <v>61007</v>
      </c>
      <c r="B2456" s="17">
        <f t="shared" si="1960"/>
        <v>61000</v>
      </c>
      <c r="C2456" s="17" t="str">
        <f t="shared" si="1945"/>
        <v>6</v>
      </c>
      <c r="D2456" s="17">
        <f t="shared" si="1961"/>
        <v>60002</v>
      </c>
      <c r="E2456" s="17">
        <v>1</v>
      </c>
      <c r="F2456" s="17">
        <f t="shared" si="1958"/>
        <v>2</v>
      </c>
      <c r="G2456" s="17" t="str">
        <f t="shared" si="1964"/>
        <v>中级生命</v>
      </c>
      <c r="H2456" s="17" t="str">
        <f t="shared" si="1965"/>
        <v>icon_01</v>
      </c>
      <c r="I2456" s="20">
        <v>0</v>
      </c>
      <c r="J2456" s="17">
        <v>7</v>
      </c>
      <c r="K2456" s="17">
        <f t="shared" si="1962"/>
        <v>61008</v>
      </c>
      <c r="L2456" s="17" t="s">
        <v>317</v>
      </c>
      <c r="M2456" s="17" t="str">
        <f t="shared" si="1966"/>
        <v>2:10001:30</v>
      </c>
      <c r="N2456" s="16" t="str">
        <f t="shared" si="1952"/>
        <v>171:1</v>
      </c>
      <c r="O2456" s="17">
        <f t="shared" si="1959"/>
        <v>1</v>
      </c>
      <c r="P2456" s="21" t="str">
        <f>$S$3&amp;R2456&amp;$Q$1&amp;T2456</f>
        <v>所有魔物和野兽生命增加:1</v>
      </c>
      <c r="Q2456" s="21"/>
      <c r="R2456" t="str">
        <f t="shared" si="1967"/>
        <v>生命</v>
      </c>
      <c r="T2456" t="str">
        <f t="shared" si="1968"/>
        <v>:1</v>
      </c>
      <c r="U2456" t="str">
        <f t="shared" si="1941"/>
        <v>魔物</v>
      </c>
      <c r="V2456" t="s">
        <v>5025</v>
      </c>
      <c r="W2456">
        <f>属性类型!G2456</f>
        <v>171</v>
      </c>
      <c r="X2456">
        <v>1</v>
      </c>
    </row>
    <row r="2457" customFormat="1" ht="16.5" spans="1:24">
      <c r="A2457" s="17">
        <f t="shared" si="1963"/>
        <v>61008</v>
      </c>
      <c r="B2457" s="17">
        <f t="shared" si="1960"/>
        <v>61000</v>
      </c>
      <c r="C2457" s="17" t="str">
        <f t="shared" si="1945"/>
        <v>6</v>
      </c>
      <c r="D2457" s="17">
        <f t="shared" si="1961"/>
        <v>60002</v>
      </c>
      <c r="E2457" s="17">
        <v>1</v>
      </c>
      <c r="F2457" s="17">
        <f t="shared" si="1958"/>
        <v>2</v>
      </c>
      <c r="G2457" s="17" t="str">
        <f t="shared" si="1964"/>
        <v>中级生命</v>
      </c>
      <c r="H2457" s="17" t="str">
        <f t="shared" si="1965"/>
        <v>icon_01</v>
      </c>
      <c r="I2457" s="20">
        <v>0</v>
      </c>
      <c r="J2457" s="17">
        <v>8</v>
      </c>
      <c r="K2457" s="17">
        <f t="shared" si="1962"/>
        <v>61009</v>
      </c>
      <c r="L2457" s="17" t="s">
        <v>320</v>
      </c>
      <c r="M2457" s="17" t="str">
        <f t="shared" si="1966"/>
        <v>2:10001:30</v>
      </c>
      <c r="N2457" s="16" t="str">
        <f t="shared" si="1952"/>
        <v>171:1</v>
      </c>
      <c r="O2457" s="17">
        <f t="shared" si="1959"/>
        <v>1</v>
      </c>
      <c r="P2457" s="21" t="str">
        <f>$S$3&amp;R2457&amp;$Q$1&amp;T2457</f>
        <v>所有魔物和野兽生命增加:1</v>
      </c>
      <c r="Q2457" s="21"/>
      <c r="R2457" t="str">
        <f t="shared" si="1967"/>
        <v>生命</v>
      </c>
      <c r="T2457" t="str">
        <f t="shared" si="1968"/>
        <v>:1</v>
      </c>
      <c r="U2457" t="str">
        <f t="shared" si="1941"/>
        <v>魔物</v>
      </c>
      <c r="V2457" t="s">
        <v>5025</v>
      </c>
      <c r="W2457">
        <f>属性类型!G2457</f>
        <v>171</v>
      </c>
      <c r="X2457">
        <v>1</v>
      </c>
    </row>
    <row r="2458" customFormat="1" ht="16.5" spans="1:24">
      <c r="A2458" s="17">
        <f t="shared" si="1963"/>
        <v>61009</v>
      </c>
      <c r="B2458" s="17">
        <f t="shared" si="1960"/>
        <v>61000</v>
      </c>
      <c r="C2458" s="17" t="str">
        <f t="shared" si="1945"/>
        <v>6</v>
      </c>
      <c r="D2458" s="17">
        <f t="shared" si="1961"/>
        <v>60002</v>
      </c>
      <c r="E2458" s="17">
        <v>1</v>
      </c>
      <c r="F2458" s="17">
        <f t="shared" si="1958"/>
        <v>2</v>
      </c>
      <c r="G2458" s="17" t="str">
        <f t="shared" si="1964"/>
        <v>中级生命</v>
      </c>
      <c r="H2458" s="17" t="str">
        <f t="shared" si="1965"/>
        <v>icon_01</v>
      </c>
      <c r="I2458" s="20">
        <v>0</v>
      </c>
      <c r="J2458" s="17">
        <v>9</v>
      </c>
      <c r="K2458" s="17">
        <f t="shared" si="1962"/>
        <v>61010</v>
      </c>
      <c r="L2458" s="17" t="s">
        <v>323</v>
      </c>
      <c r="M2458" s="17" t="str">
        <f t="shared" si="1966"/>
        <v>2:10001:30</v>
      </c>
      <c r="N2458" s="16" t="str">
        <f t="shared" si="1952"/>
        <v>171:1</v>
      </c>
      <c r="O2458" s="17">
        <f t="shared" si="1959"/>
        <v>1</v>
      </c>
      <c r="P2458" s="21" t="str">
        <f>$S$3&amp;R2458&amp;$Q$1&amp;T2458</f>
        <v>所有魔物和野兽生命增加:1</v>
      </c>
      <c r="Q2458" s="21"/>
      <c r="R2458" t="str">
        <f t="shared" si="1967"/>
        <v>生命</v>
      </c>
      <c r="T2458" t="str">
        <f t="shared" si="1968"/>
        <v>:1</v>
      </c>
      <c r="U2458" t="str">
        <f t="shared" si="1941"/>
        <v>魔物</v>
      </c>
      <c r="V2458" t="s">
        <v>5025</v>
      </c>
      <c r="W2458">
        <f>属性类型!G2458</f>
        <v>171</v>
      </c>
      <c r="X2458">
        <v>1</v>
      </c>
    </row>
    <row r="2459" customFormat="1" ht="16.5" spans="1:24">
      <c r="A2459" s="17">
        <f t="shared" si="1963"/>
        <v>61010</v>
      </c>
      <c r="B2459" s="17">
        <f t="shared" si="1960"/>
        <v>61000</v>
      </c>
      <c r="C2459" s="17" t="str">
        <f t="shared" si="1945"/>
        <v>6</v>
      </c>
      <c r="D2459" s="17">
        <f t="shared" si="1961"/>
        <v>60002</v>
      </c>
      <c r="E2459" s="17">
        <v>1</v>
      </c>
      <c r="F2459" s="17">
        <f t="shared" si="1958"/>
        <v>2</v>
      </c>
      <c r="G2459" s="17" t="str">
        <f t="shared" si="1964"/>
        <v>中级生命</v>
      </c>
      <c r="H2459" s="17" t="str">
        <f t="shared" si="1965"/>
        <v>icon_01</v>
      </c>
      <c r="I2459" s="20">
        <v>0</v>
      </c>
      <c r="J2459" s="17">
        <v>10</v>
      </c>
      <c r="K2459" s="17">
        <v>0</v>
      </c>
      <c r="L2459" s="17">
        <v>0</v>
      </c>
      <c r="M2459" s="17" t="str">
        <f t="shared" si="1966"/>
        <v>2:10001:30</v>
      </c>
      <c r="N2459" s="16" t="str">
        <f t="shared" si="1952"/>
        <v>171:1</v>
      </c>
      <c r="O2459" s="17">
        <f t="shared" si="1959"/>
        <v>1</v>
      </c>
      <c r="P2459" s="21" t="str">
        <f t="shared" ref="P2459:P2522" si="1969">$S$3&amp;R2459&amp;$Q$1&amp;T2459</f>
        <v>所有魔物和野兽生命增加:1</v>
      </c>
      <c r="Q2459" s="21"/>
      <c r="R2459" t="str">
        <f t="shared" si="1967"/>
        <v>生命</v>
      </c>
      <c r="T2459" t="str">
        <f t="shared" si="1968"/>
        <v>:1</v>
      </c>
      <c r="U2459" t="str">
        <f t="shared" si="1941"/>
        <v>魔物</v>
      </c>
      <c r="V2459" t="s">
        <v>5025</v>
      </c>
      <c r="W2459">
        <f>属性类型!G2459</f>
        <v>171</v>
      </c>
      <c r="X2459">
        <v>1</v>
      </c>
    </row>
    <row r="2460" customFormat="1" ht="16.5" spans="1:24">
      <c r="A2460" s="18">
        <f>A2449+100</f>
        <v>61100</v>
      </c>
      <c r="B2460" s="18">
        <f t="shared" si="1960"/>
        <v>61100</v>
      </c>
      <c r="C2460" s="18" t="str">
        <f t="shared" si="1945"/>
        <v>6</v>
      </c>
      <c r="D2460" s="17">
        <f t="shared" si="1961"/>
        <v>60002</v>
      </c>
      <c r="E2460" s="17">
        <v>1</v>
      </c>
      <c r="F2460" s="18">
        <f t="shared" si="1958"/>
        <v>2</v>
      </c>
      <c r="G2460" s="18" t="s">
        <v>327</v>
      </c>
      <c r="H2460" s="18" t="s">
        <v>63</v>
      </c>
      <c r="I2460" s="20">
        <v>0</v>
      </c>
      <c r="J2460" s="18">
        <v>0</v>
      </c>
      <c r="K2460" s="18">
        <f t="shared" ref="K2460:K2469" si="1970">A2461</f>
        <v>61101</v>
      </c>
      <c r="L2460" s="18" t="s">
        <v>297</v>
      </c>
      <c r="M2460" s="18" t="s">
        <v>329</v>
      </c>
      <c r="N2460" s="16" t="str">
        <f t="shared" si="1952"/>
        <v>173:1</v>
      </c>
      <c r="O2460" s="18">
        <f t="shared" si="1959"/>
        <v>2</v>
      </c>
      <c r="P2460" s="21" t="str">
        <f t="shared" si="1969"/>
        <v>所有魔物和野兽防御增加1</v>
      </c>
      <c r="Q2460" s="21"/>
      <c r="R2460" t="s">
        <v>4272</v>
      </c>
      <c r="T2460" t="str">
        <f>RIGHT(N2460,1)</f>
        <v>1</v>
      </c>
      <c r="U2460" t="str">
        <f t="shared" si="1941"/>
        <v>魔物</v>
      </c>
      <c r="V2460" t="s">
        <v>5026</v>
      </c>
      <c r="W2460">
        <f>属性类型!G2460</f>
        <v>173</v>
      </c>
      <c r="X2460">
        <v>1</v>
      </c>
    </row>
    <row r="2461" customFormat="1" ht="16.5" spans="1:24">
      <c r="A2461" s="17">
        <f t="shared" ref="A2461:A2470" si="1971">A2460+1</f>
        <v>61101</v>
      </c>
      <c r="B2461" s="17">
        <f t="shared" si="1960"/>
        <v>61100</v>
      </c>
      <c r="C2461" s="17" t="str">
        <f t="shared" si="1945"/>
        <v>6</v>
      </c>
      <c r="D2461" s="17">
        <f t="shared" si="1961"/>
        <v>60002</v>
      </c>
      <c r="E2461" s="17">
        <v>1</v>
      </c>
      <c r="F2461" s="17">
        <f t="shared" si="1958"/>
        <v>2</v>
      </c>
      <c r="G2461" s="17" t="str">
        <f t="shared" ref="G2461:G2470" si="1972">G2460</f>
        <v>中级防御</v>
      </c>
      <c r="H2461" s="17" t="str">
        <f t="shared" ref="H2461:H2470" si="1973">H2460</f>
        <v>icon_02</v>
      </c>
      <c r="I2461" s="20">
        <v>0</v>
      </c>
      <c r="J2461" s="17">
        <v>1</v>
      </c>
      <c r="K2461" s="17">
        <f t="shared" si="1970"/>
        <v>61102</v>
      </c>
      <c r="L2461" s="17" t="s">
        <v>300</v>
      </c>
      <c r="M2461" s="17" t="str">
        <f t="shared" ref="M2461:M2470" si="1974">M2460</f>
        <v>1:11000:5</v>
      </c>
      <c r="N2461" s="16" t="str">
        <f t="shared" si="1952"/>
        <v>173:1</v>
      </c>
      <c r="O2461" s="17">
        <f t="shared" si="1959"/>
        <v>2</v>
      </c>
      <c r="P2461" s="21" t="str">
        <f t="shared" si="1969"/>
        <v>所有魔物和野兽防御增加:1</v>
      </c>
      <c r="Q2461" s="21"/>
      <c r="R2461" t="str">
        <f t="shared" ref="R2461:R2470" si="1975">R2460</f>
        <v>防御</v>
      </c>
      <c r="T2461" t="str">
        <f t="shared" ref="T2461:T2470" si="1976">RIGHT(N2461,2)</f>
        <v>:1</v>
      </c>
      <c r="U2461" t="str">
        <f t="shared" si="1941"/>
        <v>魔物</v>
      </c>
      <c r="V2461" t="s">
        <v>5026</v>
      </c>
      <c r="W2461">
        <f>属性类型!G2461</f>
        <v>173</v>
      </c>
      <c r="X2461">
        <v>1</v>
      </c>
    </row>
    <row r="2462" customFormat="1" ht="16.5" spans="1:24">
      <c r="A2462" s="17">
        <f t="shared" si="1971"/>
        <v>61102</v>
      </c>
      <c r="B2462" s="17">
        <f t="shared" si="1960"/>
        <v>61100</v>
      </c>
      <c r="C2462" s="17" t="str">
        <f t="shared" si="1945"/>
        <v>6</v>
      </c>
      <c r="D2462" s="17">
        <f t="shared" si="1961"/>
        <v>60002</v>
      </c>
      <c r="E2462" s="17">
        <v>1</v>
      </c>
      <c r="F2462" s="17">
        <f t="shared" si="1958"/>
        <v>2</v>
      </c>
      <c r="G2462" s="17" t="str">
        <f t="shared" si="1972"/>
        <v>中级防御</v>
      </c>
      <c r="H2462" s="17" t="str">
        <f t="shared" si="1973"/>
        <v>icon_02</v>
      </c>
      <c r="I2462" s="20">
        <v>0</v>
      </c>
      <c r="J2462" s="17">
        <v>2</v>
      </c>
      <c r="K2462" s="17">
        <f t="shared" si="1970"/>
        <v>61103</v>
      </c>
      <c r="L2462" s="17" t="s">
        <v>304</v>
      </c>
      <c r="M2462" s="17" t="str">
        <f t="shared" si="1974"/>
        <v>1:11000:5</v>
      </c>
      <c r="N2462" s="16" t="str">
        <f t="shared" si="1952"/>
        <v>173:1</v>
      </c>
      <c r="O2462" s="17">
        <f t="shared" si="1959"/>
        <v>2</v>
      </c>
      <c r="P2462" s="21" t="str">
        <f t="shared" si="1969"/>
        <v>所有魔物和野兽防御增加:1</v>
      </c>
      <c r="Q2462" s="21"/>
      <c r="R2462" t="str">
        <f t="shared" si="1975"/>
        <v>防御</v>
      </c>
      <c r="T2462" t="str">
        <f t="shared" si="1976"/>
        <v>:1</v>
      </c>
      <c r="U2462" t="str">
        <f t="shared" si="1941"/>
        <v>魔物</v>
      </c>
      <c r="V2462" t="s">
        <v>5026</v>
      </c>
      <c r="W2462">
        <f>属性类型!G2462</f>
        <v>173</v>
      </c>
      <c r="X2462">
        <v>1</v>
      </c>
    </row>
    <row r="2463" customFormat="1" ht="16.5" spans="1:24">
      <c r="A2463" s="17">
        <f t="shared" si="1971"/>
        <v>61103</v>
      </c>
      <c r="B2463" s="17">
        <f t="shared" si="1960"/>
        <v>61100</v>
      </c>
      <c r="C2463" s="17" t="str">
        <f t="shared" si="1945"/>
        <v>6</v>
      </c>
      <c r="D2463" s="17">
        <f t="shared" si="1961"/>
        <v>60002</v>
      </c>
      <c r="E2463" s="17">
        <v>1</v>
      </c>
      <c r="F2463" s="17">
        <f t="shared" si="1958"/>
        <v>2</v>
      </c>
      <c r="G2463" s="17" t="str">
        <f t="shared" si="1972"/>
        <v>中级防御</v>
      </c>
      <c r="H2463" s="17" t="str">
        <f t="shared" si="1973"/>
        <v>icon_02</v>
      </c>
      <c r="I2463" s="20">
        <v>0</v>
      </c>
      <c r="J2463" s="17">
        <v>3</v>
      </c>
      <c r="K2463" s="17">
        <f t="shared" si="1970"/>
        <v>61104</v>
      </c>
      <c r="L2463" s="17" t="s">
        <v>307</v>
      </c>
      <c r="M2463" s="17" t="str">
        <f t="shared" si="1974"/>
        <v>1:11000:5</v>
      </c>
      <c r="N2463" s="16" t="str">
        <f t="shared" si="1952"/>
        <v>173:1</v>
      </c>
      <c r="O2463" s="17">
        <f t="shared" si="1959"/>
        <v>2</v>
      </c>
      <c r="P2463" s="21" t="str">
        <f t="shared" si="1969"/>
        <v>所有魔物和野兽防御增加:1</v>
      </c>
      <c r="Q2463" s="21"/>
      <c r="R2463" t="str">
        <f t="shared" si="1975"/>
        <v>防御</v>
      </c>
      <c r="T2463" t="str">
        <f t="shared" si="1976"/>
        <v>:1</v>
      </c>
      <c r="U2463" t="str">
        <f t="shared" si="1941"/>
        <v>魔物</v>
      </c>
      <c r="V2463" t="s">
        <v>5026</v>
      </c>
      <c r="W2463">
        <f>属性类型!G2463</f>
        <v>173</v>
      </c>
      <c r="X2463">
        <v>1</v>
      </c>
    </row>
    <row r="2464" customFormat="1" ht="16.5" spans="1:24">
      <c r="A2464" s="17">
        <f t="shared" si="1971"/>
        <v>61104</v>
      </c>
      <c r="B2464" s="17">
        <f t="shared" si="1960"/>
        <v>61100</v>
      </c>
      <c r="C2464" s="17" t="str">
        <f t="shared" si="1945"/>
        <v>6</v>
      </c>
      <c r="D2464" s="17">
        <f t="shared" si="1961"/>
        <v>60002</v>
      </c>
      <c r="E2464" s="17">
        <v>1</v>
      </c>
      <c r="F2464" s="17">
        <f t="shared" si="1958"/>
        <v>2</v>
      </c>
      <c r="G2464" s="17" t="str">
        <f t="shared" si="1972"/>
        <v>中级防御</v>
      </c>
      <c r="H2464" s="17" t="str">
        <f t="shared" si="1973"/>
        <v>icon_02</v>
      </c>
      <c r="I2464" s="20">
        <v>0</v>
      </c>
      <c r="J2464" s="17">
        <v>4</v>
      </c>
      <c r="K2464" s="17">
        <f t="shared" si="1970"/>
        <v>61105</v>
      </c>
      <c r="L2464" s="17" t="s">
        <v>309</v>
      </c>
      <c r="M2464" s="17" t="str">
        <f t="shared" si="1974"/>
        <v>1:11000:5</v>
      </c>
      <c r="N2464" s="16" t="str">
        <f t="shared" si="1952"/>
        <v>173:1</v>
      </c>
      <c r="O2464" s="17">
        <f t="shared" si="1959"/>
        <v>2</v>
      </c>
      <c r="P2464" s="21" t="str">
        <f t="shared" si="1969"/>
        <v>所有魔物和野兽防御增加:1</v>
      </c>
      <c r="Q2464" s="21"/>
      <c r="R2464" t="str">
        <f t="shared" si="1975"/>
        <v>防御</v>
      </c>
      <c r="T2464" t="str">
        <f t="shared" si="1976"/>
        <v>:1</v>
      </c>
      <c r="U2464" t="str">
        <f t="shared" si="1941"/>
        <v>魔物</v>
      </c>
      <c r="V2464" t="s">
        <v>5026</v>
      </c>
      <c r="W2464">
        <f>属性类型!G2464</f>
        <v>173</v>
      </c>
      <c r="X2464">
        <v>1</v>
      </c>
    </row>
    <row r="2465" customFormat="1" ht="16.5" spans="1:24">
      <c r="A2465" s="17">
        <f t="shared" si="1971"/>
        <v>61105</v>
      </c>
      <c r="B2465" s="17">
        <f t="shared" si="1960"/>
        <v>61100</v>
      </c>
      <c r="C2465" s="17" t="str">
        <f t="shared" si="1945"/>
        <v>6</v>
      </c>
      <c r="D2465" s="17">
        <f t="shared" si="1961"/>
        <v>60002</v>
      </c>
      <c r="E2465" s="17">
        <v>1</v>
      </c>
      <c r="F2465" s="17">
        <f t="shared" si="1958"/>
        <v>2</v>
      </c>
      <c r="G2465" s="17" t="str">
        <f t="shared" si="1972"/>
        <v>中级防御</v>
      </c>
      <c r="H2465" s="17" t="str">
        <f t="shared" si="1973"/>
        <v>icon_02</v>
      </c>
      <c r="I2465" s="20">
        <v>0</v>
      </c>
      <c r="J2465" s="17">
        <v>5</v>
      </c>
      <c r="K2465" s="17">
        <f t="shared" si="1970"/>
        <v>61106</v>
      </c>
      <c r="L2465" s="17" t="s">
        <v>312</v>
      </c>
      <c r="M2465" s="17" t="str">
        <f t="shared" si="1974"/>
        <v>1:11000:5</v>
      </c>
      <c r="N2465" s="16" t="str">
        <f t="shared" si="1952"/>
        <v>173:1</v>
      </c>
      <c r="O2465" s="17">
        <f t="shared" si="1959"/>
        <v>2</v>
      </c>
      <c r="P2465" s="21" t="str">
        <f t="shared" si="1969"/>
        <v>所有魔物和野兽防御增加:1</v>
      </c>
      <c r="Q2465" s="21"/>
      <c r="R2465" t="str">
        <f t="shared" si="1975"/>
        <v>防御</v>
      </c>
      <c r="T2465" t="str">
        <f t="shared" si="1976"/>
        <v>:1</v>
      </c>
      <c r="U2465" t="str">
        <f t="shared" si="1941"/>
        <v>魔物</v>
      </c>
      <c r="V2465" t="s">
        <v>5026</v>
      </c>
      <c r="W2465">
        <f>属性类型!G2465</f>
        <v>173</v>
      </c>
      <c r="X2465">
        <v>1</v>
      </c>
    </row>
    <row r="2466" customFormat="1" ht="16.5" spans="1:24">
      <c r="A2466" s="17">
        <f t="shared" si="1971"/>
        <v>61106</v>
      </c>
      <c r="B2466" s="17">
        <f t="shared" si="1960"/>
        <v>61100</v>
      </c>
      <c r="C2466" s="17" t="str">
        <f t="shared" ref="C2466:C2529" si="1977">LEFT(A2466,1)</f>
        <v>6</v>
      </c>
      <c r="D2466" s="17">
        <f t="shared" si="1961"/>
        <v>60002</v>
      </c>
      <c r="E2466" s="17">
        <v>1</v>
      </c>
      <c r="F2466" s="17">
        <f t="shared" si="1958"/>
        <v>2</v>
      </c>
      <c r="G2466" s="17" t="str">
        <f t="shared" si="1972"/>
        <v>中级防御</v>
      </c>
      <c r="H2466" s="17" t="str">
        <f t="shared" si="1973"/>
        <v>icon_02</v>
      </c>
      <c r="I2466" s="20">
        <v>0</v>
      </c>
      <c r="J2466" s="17">
        <v>6</v>
      </c>
      <c r="K2466" s="17">
        <f t="shared" si="1970"/>
        <v>61107</v>
      </c>
      <c r="L2466" s="17" t="s">
        <v>315</v>
      </c>
      <c r="M2466" s="17" t="str">
        <f t="shared" si="1974"/>
        <v>1:11000:5</v>
      </c>
      <c r="N2466" s="16" t="str">
        <f t="shared" si="1952"/>
        <v>173:1</v>
      </c>
      <c r="O2466" s="17">
        <f t="shared" si="1959"/>
        <v>2</v>
      </c>
      <c r="P2466" s="21" t="str">
        <f t="shared" si="1969"/>
        <v>所有魔物和野兽防御增加:1</v>
      </c>
      <c r="Q2466" s="21"/>
      <c r="R2466" t="str">
        <f t="shared" si="1975"/>
        <v>防御</v>
      </c>
      <c r="T2466" t="str">
        <f t="shared" si="1976"/>
        <v>:1</v>
      </c>
      <c r="U2466" t="str">
        <f t="shared" si="1941"/>
        <v>魔物</v>
      </c>
      <c r="V2466" t="s">
        <v>5026</v>
      </c>
      <c r="W2466">
        <f>属性类型!G2466</f>
        <v>173</v>
      </c>
      <c r="X2466">
        <v>1</v>
      </c>
    </row>
    <row r="2467" customFormat="1" ht="16.5" spans="1:24">
      <c r="A2467" s="17">
        <f t="shared" si="1971"/>
        <v>61107</v>
      </c>
      <c r="B2467" s="17">
        <f t="shared" si="1960"/>
        <v>61100</v>
      </c>
      <c r="C2467" s="17" t="str">
        <f t="shared" si="1977"/>
        <v>6</v>
      </c>
      <c r="D2467" s="17">
        <f t="shared" si="1961"/>
        <v>60002</v>
      </c>
      <c r="E2467" s="17">
        <v>1</v>
      </c>
      <c r="F2467" s="17">
        <f t="shared" si="1958"/>
        <v>2</v>
      </c>
      <c r="G2467" s="17" t="str">
        <f t="shared" si="1972"/>
        <v>中级防御</v>
      </c>
      <c r="H2467" s="17" t="str">
        <f t="shared" si="1973"/>
        <v>icon_02</v>
      </c>
      <c r="I2467" s="20">
        <v>0</v>
      </c>
      <c r="J2467" s="17">
        <v>7</v>
      </c>
      <c r="K2467" s="17">
        <f t="shared" si="1970"/>
        <v>61108</v>
      </c>
      <c r="L2467" s="17" t="s">
        <v>317</v>
      </c>
      <c r="M2467" s="17" t="str">
        <f t="shared" si="1974"/>
        <v>1:11000:5</v>
      </c>
      <c r="N2467" s="16" t="str">
        <f t="shared" si="1952"/>
        <v>173:1</v>
      </c>
      <c r="O2467" s="17">
        <f t="shared" si="1959"/>
        <v>2</v>
      </c>
      <c r="P2467" s="21" t="str">
        <f t="shared" si="1969"/>
        <v>所有魔物和野兽防御增加:1</v>
      </c>
      <c r="Q2467" s="21"/>
      <c r="R2467" t="str">
        <f t="shared" si="1975"/>
        <v>防御</v>
      </c>
      <c r="T2467" t="str">
        <f t="shared" si="1976"/>
        <v>:1</v>
      </c>
      <c r="U2467" t="str">
        <f t="shared" si="1941"/>
        <v>魔物</v>
      </c>
      <c r="V2467" t="s">
        <v>5026</v>
      </c>
      <c r="W2467">
        <f>属性类型!G2467</f>
        <v>173</v>
      </c>
      <c r="X2467">
        <v>1</v>
      </c>
    </row>
    <row r="2468" customFormat="1" ht="16.5" spans="1:24">
      <c r="A2468" s="17">
        <f t="shared" si="1971"/>
        <v>61108</v>
      </c>
      <c r="B2468" s="17">
        <f t="shared" si="1960"/>
        <v>61100</v>
      </c>
      <c r="C2468" s="17" t="str">
        <f t="shared" si="1977"/>
        <v>6</v>
      </c>
      <c r="D2468" s="17">
        <f t="shared" si="1961"/>
        <v>60002</v>
      </c>
      <c r="E2468" s="17">
        <v>1</v>
      </c>
      <c r="F2468" s="17">
        <f t="shared" si="1958"/>
        <v>2</v>
      </c>
      <c r="G2468" s="17" t="str">
        <f t="shared" si="1972"/>
        <v>中级防御</v>
      </c>
      <c r="H2468" s="17" t="str">
        <f t="shared" si="1973"/>
        <v>icon_02</v>
      </c>
      <c r="I2468" s="20">
        <v>0</v>
      </c>
      <c r="J2468" s="17">
        <v>8</v>
      </c>
      <c r="K2468" s="17">
        <f t="shared" si="1970"/>
        <v>61109</v>
      </c>
      <c r="L2468" s="17" t="s">
        <v>320</v>
      </c>
      <c r="M2468" s="17" t="str">
        <f t="shared" si="1974"/>
        <v>1:11000:5</v>
      </c>
      <c r="N2468" s="16" t="str">
        <f t="shared" si="1952"/>
        <v>173:1</v>
      </c>
      <c r="O2468" s="17">
        <f t="shared" si="1959"/>
        <v>2</v>
      </c>
      <c r="P2468" s="21" t="str">
        <f t="shared" si="1969"/>
        <v>所有魔物和野兽防御增加:1</v>
      </c>
      <c r="Q2468" s="21"/>
      <c r="R2468" t="str">
        <f t="shared" si="1975"/>
        <v>防御</v>
      </c>
      <c r="T2468" t="str">
        <f t="shared" si="1976"/>
        <v>:1</v>
      </c>
      <c r="U2468" t="str">
        <f t="shared" si="1941"/>
        <v>魔物</v>
      </c>
      <c r="V2468" t="s">
        <v>5026</v>
      </c>
      <c r="W2468">
        <f>属性类型!G2468</f>
        <v>173</v>
      </c>
      <c r="X2468">
        <v>1</v>
      </c>
    </row>
    <row r="2469" customFormat="1" ht="16.5" spans="1:24">
      <c r="A2469" s="17">
        <f t="shared" si="1971"/>
        <v>61109</v>
      </c>
      <c r="B2469" s="17">
        <f t="shared" si="1960"/>
        <v>61100</v>
      </c>
      <c r="C2469" s="17" t="str">
        <f t="shared" si="1977"/>
        <v>6</v>
      </c>
      <c r="D2469" s="17">
        <f t="shared" si="1961"/>
        <v>60002</v>
      </c>
      <c r="E2469" s="17">
        <v>1</v>
      </c>
      <c r="F2469" s="17">
        <f t="shared" si="1958"/>
        <v>2</v>
      </c>
      <c r="G2469" s="17" t="str">
        <f t="shared" si="1972"/>
        <v>中级防御</v>
      </c>
      <c r="H2469" s="17" t="str">
        <f t="shared" si="1973"/>
        <v>icon_02</v>
      </c>
      <c r="I2469" s="20">
        <v>0</v>
      </c>
      <c r="J2469" s="17">
        <v>9</v>
      </c>
      <c r="K2469" s="17">
        <f t="shared" si="1970"/>
        <v>61110</v>
      </c>
      <c r="L2469" s="17" t="s">
        <v>323</v>
      </c>
      <c r="M2469" s="17" t="str">
        <f t="shared" si="1974"/>
        <v>1:11000:5</v>
      </c>
      <c r="N2469" s="16" t="str">
        <f t="shared" si="1952"/>
        <v>173:1</v>
      </c>
      <c r="O2469" s="17">
        <f t="shared" si="1959"/>
        <v>2</v>
      </c>
      <c r="P2469" s="21" t="str">
        <f t="shared" si="1969"/>
        <v>所有魔物和野兽防御增加:1</v>
      </c>
      <c r="Q2469" s="21"/>
      <c r="R2469" t="str">
        <f t="shared" si="1975"/>
        <v>防御</v>
      </c>
      <c r="T2469" t="str">
        <f t="shared" si="1976"/>
        <v>:1</v>
      </c>
      <c r="U2469" t="str">
        <f t="shared" si="1941"/>
        <v>魔物</v>
      </c>
      <c r="V2469" t="s">
        <v>5026</v>
      </c>
      <c r="W2469">
        <f>属性类型!G2469</f>
        <v>173</v>
      </c>
      <c r="X2469">
        <v>1</v>
      </c>
    </row>
    <row r="2470" customFormat="1" ht="16.5" spans="1:24">
      <c r="A2470" s="17">
        <f t="shared" si="1971"/>
        <v>61110</v>
      </c>
      <c r="B2470" s="17">
        <f t="shared" si="1960"/>
        <v>61100</v>
      </c>
      <c r="C2470" s="17" t="str">
        <f t="shared" si="1977"/>
        <v>6</v>
      </c>
      <c r="D2470" s="17">
        <f t="shared" si="1961"/>
        <v>60002</v>
      </c>
      <c r="E2470" s="17">
        <v>1</v>
      </c>
      <c r="F2470" s="17">
        <f t="shared" si="1958"/>
        <v>2</v>
      </c>
      <c r="G2470" s="17" t="str">
        <f t="shared" si="1972"/>
        <v>中级防御</v>
      </c>
      <c r="H2470" s="17" t="str">
        <f t="shared" si="1973"/>
        <v>icon_02</v>
      </c>
      <c r="I2470" s="20">
        <v>0</v>
      </c>
      <c r="J2470" s="17">
        <v>10</v>
      </c>
      <c r="K2470" s="17">
        <v>0</v>
      </c>
      <c r="L2470" s="17">
        <v>0</v>
      </c>
      <c r="M2470" s="17" t="str">
        <f t="shared" si="1974"/>
        <v>1:11000:5</v>
      </c>
      <c r="N2470" s="16" t="str">
        <f t="shared" si="1952"/>
        <v>173:1</v>
      </c>
      <c r="O2470" s="17">
        <f t="shared" si="1959"/>
        <v>2</v>
      </c>
      <c r="P2470" s="21" t="str">
        <f t="shared" si="1969"/>
        <v>所有魔物和野兽防御增加:1</v>
      </c>
      <c r="Q2470" s="21"/>
      <c r="R2470" t="str">
        <f t="shared" si="1975"/>
        <v>防御</v>
      </c>
      <c r="T2470" t="str">
        <f t="shared" si="1976"/>
        <v>:1</v>
      </c>
      <c r="U2470" t="str">
        <f t="shared" si="1941"/>
        <v>魔物</v>
      </c>
      <c r="V2470" t="s">
        <v>5026</v>
      </c>
      <c r="W2470">
        <f>属性类型!G2470</f>
        <v>173</v>
      </c>
      <c r="X2470">
        <v>1</v>
      </c>
    </row>
    <row r="2471" customFormat="1" ht="16.5" spans="1:24">
      <c r="A2471" s="18">
        <f>A2460+100</f>
        <v>61200</v>
      </c>
      <c r="B2471" s="18">
        <f t="shared" si="1960"/>
        <v>61200</v>
      </c>
      <c r="C2471" s="18" t="str">
        <f t="shared" si="1977"/>
        <v>6</v>
      </c>
      <c r="D2471" s="17">
        <f t="shared" si="1961"/>
        <v>60002</v>
      </c>
      <c r="E2471" s="17">
        <v>1</v>
      </c>
      <c r="F2471" s="18">
        <f t="shared" si="1958"/>
        <v>2</v>
      </c>
      <c r="G2471" s="18" t="s">
        <v>350</v>
      </c>
      <c r="H2471" s="18" t="s">
        <v>80</v>
      </c>
      <c r="I2471" s="20">
        <v>0</v>
      </c>
      <c r="J2471" s="18">
        <v>0</v>
      </c>
      <c r="K2471" s="18">
        <f t="shared" ref="K2471:K2480" si="1978">A2472</f>
        <v>61201</v>
      </c>
      <c r="L2471" s="18" t="s">
        <v>297</v>
      </c>
      <c r="M2471" s="18" t="s">
        <v>329</v>
      </c>
      <c r="N2471" s="16" t="str">
        <f t="shared" si="1952"/>
        <v>172:1</v>
      </c>
      <c r="O2471" s="18">
        <f t="shared" si="1959"/>
        <v>3</v>
      </c>
      <c r="P2471" s="21" t="str">
        <f t="shared" si="1969"/>
        <v>所有魔物和野兽攻击增加1</v>
      </c>
      <c r="Q2471" s="21"/>
      <c r="R2471" t="s">
        <v>4274</v>
      </c>
      <c r="T2471" t="str">
        <f>RIGHT(N2471,1)</f>
        <v>1</v>
      </c>
      <c r="U2471" t="str">
        <f t="shared" si="1941"/>
        <v>魔物</v>
      </c>
      <c r="V2471" t="s">
        <v>5027</v>
      </c>
      <c r="W2471">
        <f>属性类型!G2471</f>
        <v>172</v>
      </c>
      <c r="X2471">
        <v>1</v>
      </c>
    </row>
    <row r="2472" customFormat="1" ht="16.5" spans="1:24">
      <c r="A2472" s="17">
        <f t="shared" ref="A2472:A2481" si="1979">A2471+1</f>
        <v>61201</v>
      </c>
      <c r="B2472" s="17">
        <f t="shared" si="1960"/>
        <v>61200</v>
      </c>
      <c r="C2472" s="17" t="str">
        <f t="shared" si="1977"/>
        <v>6</v>
      </c>
      <c r="D2472" s="17">
        <f t="shared" si="1961"/>
        <v>60002</v>
      </c>
      <c r="E2472" s="17">
        <v>1</v>
      </c>
      <c r="F2472" s="17">
        <f t="shared" si="1958"/>
        <v>2</v>
      </c>
      <c r="G2472" s="17" t="str">
        <f t="shared" ref="G2472:G2481" si="1980">G2471</f>
        <v>中级攻击</v>
      </c>
      <c r="H2472" s="17" t="str">
        <f t="shared" ref="H2472:H2481" si="1981">H2471</f>
        <v>icon_03</v>
      </c>
      <c r="I2472" s="20">
        <v>0</v>
      </c>
      <c r="J2472" s="17">
        <v>1</v>
      </c>
      <c r="K2472" s="17">
        <f t="shared" si="1978"/>
        <v>61202</v>
      </c>
      <c r="L2472" s="17" t="s">
        <v>300</v>
      </c>
      <c r="M2472" s="17" t="str">
        <f t="shared" ref="M2472:M2481" si="1982">M2471</f>
        <v>1:11000:5</v>
      </c>
      <c r="N2472" s="16" t="str">
        <f t="shared" si="1952"/>
        <v>172:1</v>
      </c>
      <c r="O2472" s="17">
        <f t="shared" si="1959"/>
        <v>3</v>
      </c>
      <c r="P2472" s="21" t="str">
        <f t="shared" si="1969"/>
        <v>所有魔物和野兽攻击增加:1</v>
      </c>
      <c r="Q2472" s="21"/>
      <c r="R2472" t="str">
        <f t="shared" ref="R2472:R2481" si="1983">R2471</f>
        <v>攻击</v>
      </c>
      <c r="T2472" t="str">
        <f t="shared" ref="T2472:T2481" si="1984">RIGHT(N2472,2)</f>
        <v>:1</v>
      </c>
      <c r="U2472" t="str">
        <f t="shared" si="1941"/>
        <v>魔物</v>
      </c>
      <c r="V2472" t="s">
        <v>5027</v>
      </c>
      <c r="W2472">
        <f>属性类型!G2472</f>
        <v>172</v>
      </c>
      <c r="X2472">
        <v>1</v>
      </c>
    </row>
    <row r="2473" customFormat="1" ht="16.5" spans="1:24">
      <c r="A2473" s="17">
        <f t="shared" si="1979"/>
        <v>61202</v>
      </c>
      <c r="B2473" s="17">
        <f t="shared" si="1960"/>
        <v>61200</v>
      </c>
      <c r="C2473" s="17" t="str">
        <f t="shared" si="1977"/>
        <v>6</v>
      </c>
      <c r="D2473" s="17">
        <f t="shared" si="1961"/>
        <v>60002</v>
      </c>
      <c r="E2473" s="17">
        <v>1</v>
      </c>
      <c r="F2473" s="17">
        <f t="shared" si="1958"/>
        <v>2</v>
      </c>
      <c r="G2473" s="17" t="str">
        <f t="shared" si="1980"/>
        <v>中级攻击</v>
      </c>
      <c r="H2473" s="17" t="str">
        <f t="shared" si="1981"/>
        <v>icon_03</v>
      </c>
      <c r="I2473" s="20">
        <v>0</v>
      </c>
      <c r="J2473" s="17">
        <v>2</v>
      </c>
      <c r="K2473" s="17">
        <f t="shared" si="1978"/>
        <v>61203</v>
      </c>
      <c r="L2473" s="17" t="s">
        <v>304</v>
      </c>
      <c r="M2473" s="17" t="str">
        <f t="shared" si="1982"/>
        <v>1:11000:5</v>
      </c>
      <c r="N2473" s="16" t="str">
        <f t="shared" si="1952"/>
        <v>172:1</v>
      </c>
      <c r="O2473" s="17">
        <f t="shared" si="1959"/>
        <v>3</v>
      </c>
      <c r="P2473" s="21" t="str">
        <f t="shared" si="1969"/>
        <v>所有魔物和野兽攻击增加:1</v>
      </c>
      <c r="Q2473" s="21"/>
      <c r="R2473" t="str">
        <f t="shared" si="1983"/>
        <v>攻击</v>
      </c>
      <c r="T2473" t="str">
        <f t="shared" si="1984"/>
        <v>:1</v>
      </c>
      <c r="U2473" t="str">
        <f t="shared" si="1941"/>
        <v>魔物</v>
      </c>
      <c r="V2473" t="s">
        <v>5027</v>
      </c>
      <c r="W2473">
        <f>属性类型!G2473</f>
        <v>172</v>
      </c>
      <c r="X2473">
        <v>1</v>
      </c>
    </row>
    <row r="2474" customFormat="1" ht="16.5" spans="1:24">
      <c r="A2474" s="17">
        <f t="shared" si="1979"/>
        <v>61203</v>
      </c>
      <c r="B2474" s="17">
        <f t="shared" si="1960"/>
        <v>61200</v>
      </c>
      <c r="C2474" s="17" t="str">
        <f t="shared" si="1977"/>
        <v>6</v>
      </c>
      <c r="D2474" s="17">
        <f t="shared" si="1961"/>
        <v>60002</v>
      </c>
      <c r="E2474" s="17">
        <v>1</v>
      </c>
      <c r="F2474" s="17">
        <f t="shared" si="1958"/>
        <v>2</v>
      </c>
      <c r="G2474" s="17" t="str">
        <f t="shared" si="1980"/>
        <v>中级攻击</v>
      </c>
      <c r="H2474" s="17" t="str">
        <f t="shared" si="1981"/>
        <v>icon_03</v>
      </c>
      <c r="I2474" s="20">
        <v>0</v>
      </c>
      <c r="J2474" s="17">
        <v>3</v>
      </c>
      <c r="K2474" s="17">
        <f t="shared" si="1978"/>
        <v>61204</v>
      </c>
      <c r="L2474" s="17" t="s">
        <v>307</v>
      </c>
      <c r="M2474" s="17" t="str">
        <f t="shared" si="1982"/>
        <v>1:11000:5</v>
      </c>
      <c r="N2474" s="16" t="str">
        <f t="shared" si="1952"/>
        <v>172:1</v>
      </c>
      <c r="O2474" s="17">
        <f t="shared" si="1959"/>
        <v>3</v>
      </c>
      <c r="P2474" s="21" t="str">
        <f t="shared" si="1969"/>
        <v>所有魔物和野兽攻击增加:1</v>
      </c>
      <c r="Q2474" s="21"/>
      <c r="R2474" t="str">
        <f t="shared" si="1983"/>
        <v>攻击</v>
      </c>
      <c r="T2474" t="str">
        <f t="shared" si="1984"/>
        <v>:1</v>
      </c>
      <c r="U2474" t="str">
        <f t="shared" si="1941"/>
        <v>魔物</v>
      </c>
      <c r="V2474" t="s">
        <v>5027</v>
      </c>
      <c r="W2474">
        <f>属性类型!G2474</f>
        <v>172</v>
      </c>
      <c r="X2474">
        <v>1</v>
      </c>
    </row>
    <row r="2475" customFormat="1" ht="16.5" spans="1:24">
      <c r="A2475" s="17">
        <f t="shared" si="1979"/>
        <v>61204</v>
      </c>
      <c r="B2475" s="17">
        <f t="shared" si="1960"/>
        <v>61200</v>
      </c>
      <c r="C2475" s="17" t="str">
        <f t="shared" si="1977"/>
        <v>6</v>
      </c>
      <c r="D2475" s="17">
        <f t="shared" si="1961"/>
        <v>60002</v>
      </c>
      <c r="E2475" s="17">
        <v>1</v>
      </c>
      <c r="F2475" s="17">
        <f t="shared" si="1958"/>
        <v>2</v>
      </c>
      <c r="G2475" s="17" t="str">
        <f t="shared" si="1980"/>
        <v>中级攻击</v>
      </c>
      <c r="H2475" s="17" t="str">
        <f t="shared" si="1981"/>
        <v>icon_03</v>
      </c>
      <c r="I2475" s="20">
        <v>0</v>
      </c>
      <c r="J2475" s="17">
        <v>4</v>
      </c>
      <c r="K2475" s="17">
        <f t="shared" si="1978"/>
        <v>61205</v>
      </c>
      <c r="L2475" s="17" t="s">
        <v>309</v>
      </c>
      <c r="M2475" s="17" t="str">
        <f t="shared" si="1982"/>
        <v>1:11000:5</v>
      </c>
      <c r="N2475" s="16" t="str">
        <f t="shared" si="1952"/>
        <v>172:1</v>
      </c>
      <c r="O2475" s="17">
        <f t="shared" si="1959"/>
        <v>3</v>
      </c>
      <c r="P2475" s="21" t="str">
        <f t="shared" si="1969"/>
        <v>所有魔物和野兽攻击增加:1</v>
      </c>
      <c r="Q2475" s="21"/>
      <c r="R2475" t="str">
        <f t="shared" si="1983"/>
        <v>攻击</v>
      </c>
      <c r="T2475" t="str">
        <f t="shared" si="1984"/>
        <v>:1</v>
      </c>
      <c r="U2475" t="str">
        <f t="shared" si="1941"/>
        <v>魔物</v>
      </c>
      <c r="V2475" t="s">
        <v>5027</v>
      </c>
      <c r="W2475">
        <f>属性类型!G2475</f>
        <v>172</v>
      </c>
      <c r="X2475">
        <v>1</v>
      </c>
    </row>
    <row r="2476" customFormat="1" ht="16.5" spans="1:24">
      <c r="A2476" s="17">
        <f t="shared" si="1979"/>
        <v>61205</v>
      </c>
      <c r="B2476" s="17">
        <f t="shared" si="1960"/>
        <v>61200</v>
      </c>
      <c r="C2476" s="17" t="str">
        <f t="shared" si="1977"/>
        <v>6</v>
      </c>
      <c r="D2476" s="17">
        <f t="shared" si="1961"/>
        <v>60002</v>
      </c>
      <c r="E2476" s="17">
        <v>1</v>
      </c>
      <c r="F2476" s="17">
        <f t="shared" si="1958"/>
        <v>2</v>
      </c>
      <c r="G2476" s="17" t="str">
        <f t="shared" si="1980"/>
        <v>中级攻击</v>
      </c>
      <c r="H2476" s="17" t="str">
        <f t="shared" si="1981"/>
        <v>icon_03</v>
      </c>
      <c r="I2476" s="20">
        <v>0</v>
      </c>
      <c r="J2476" s="17">
        <v>5</v>
      </c>
      <c r="K2476" s="17">
        <f t="shared" si="1978"/>
        <v>61206</v>
      </c>
      <c r="L2476" s="17" t="s">
        <v>312</v>
      </c>
      <c r="M2476" s="17" t="str">
        <f t="shared" si="1982"/>
        <v>1:11000:5</v>
      </c>
      <c r="N2476" s="16" t="str">
        <f t="shared" si="1952"/>
        <v>172:1</v>
      </c>
      <c r="O2476" s="17">
        <f t="shared" si="1959"/>
        <v>3</v>
      </c>
      <c r="P2476" s="21" t="str">
        <f t="shared" si="1969"/>
        <v>所有魔物和野兽攻击增加:1</v>
      </c>
      <c r="Q2476" s="21"/>
      <c r="R2476" t="str">
        <f t="shared" si="1983"/>
        <v>攻击</v>
      </c>
      <c r="T2476" t="str">
        <f t="shared" si="1984"/>
        <v>:1</v>
      </c>
      <c r="U2476" t="str">
        <f t="shared" si="1941"/>
        <v>魔物</v>
      </c>
      <c r="V2476" t="s">
        <v>5027</v>
      </c>
      <c r="W2476">
        <f>属性类型!G2476</f>
        <v>172</v>
      </c>
      <c r="X2476">
        <v>1</v>
      </c>
    </row>
    <row r="2477" customFormat="1" ht="16.5" spans="1:24">
      <c r="A2477" s="17">
        <f t="shared" si="1979"/>
        <v>61206</v>
      </c>
      <c r="B2477" s="17">
        <f t="shared" si="1960"/>
        <v>61200</v>
      </c>
      <c r="C2477" s="17" t="str">
        <f t="shared" si="1977"/>
        <v>6</v>
      </c>
      <c r="D2477" s="17">
        <f t="shared" si="1961"/>
        <v>60002</v>
      </c>
      <c r="E2477" s="17">
        <v>1</v>
      </c>
      <c r="F2477" s="17">
        <f t="shared" si="1958"/>
        <v>2</v>
      </c>
      <c r="G2477" s="17" t="str">
        <f t="shared" si="1980"/>
        <v>中级攻击</v>
      </c>
      <c r="H2477" s="17" t="str">
        <f t="shared" si="1981"/>
        <v>icon_03</v>
      </c>
      <c r="I2477" s="20">
        <v>0</v>
      </c>
      <c r="J2477" s="17">
        <v>6</v>
      </c>
      <c r="K2477" s="17">
        <f t="shared" si="1978"/>
        <v>61207</v>
      </c>
      <c r="L2477" s="17" t="s">
        <v>315</v>
      </c>
      <c r="M2477" s="17" t="str">
        <f t="shared" si="1982"/>
        <v>1:11000:5</v>
      </c>
      <c r="N2477" s="16" t="str">
        <f t="shared" si="1952"/>
        <v>172:1</v>
      </c>
      <c r="O2477" s="17">
        <f t="shared" si="1959"/>
        <v>3</v>
      </c>
      <c r="P2477" s="21" t="str">
        <f t="shared" si="1969"/>
        <v>所有魔物和野兽攻击增加:1</v>
      </c>
      <c r="Q2477" s="21"/>
      <c r="R2477" t="str">
        <f t="shared" si="1983"/>
        <v>攻击</v>
      </c>
      <c r="T2477" t="str">
        <f t="shared" si="1984"/>
        <v>:1</v>
      </c>
      <c r="U2477" t="str">
        <f t="shared" si="1941"/>
        <v>魔物</v>
      </c>
      <c r="V2477" t="s">
        <v>5027</v>
      </c>
      <c r="W2477">
        <f>属性类型!G2477</f>
        <v>172</v>
      </c>
      <c r="X2477">
        <v>1</v>
      </c>
    </row>
    <row r="2478" customFormat="1" ht="16.5" spans="1:24">
      <c r="A2478" s="17">
        <f t="shared" si="1979"/>
        <v>61207</v>
      </c>
      <c r="B2478" s="17">
        <f t="shared" si="1960"/>
        <v>61200</v>
      </c>
      <c r="C2478" s="17" t="str">
        <f t="shared" si="1977"/>
        <v>6</v>
      </c>
      <c r="D2478" s="17">
        <f t="shared" si="1961"/>
        <v>60002</v>
      </c>
      <c r="E2478" s="17">
        <v>1</v>
      </c>
      <c r="F2478" s="17">
        <f t="shared" si="1958"/>
        <v>2</v>
      </c>
      <c r="G2478" s="17" t="str">
        <f t="shared" si="1980"/>
        <v>中级攻击</v>
      </c>
      <c r="H2478" s="17" t="str">
        <f t="shared" si="1981"/>
        <v>icon_03</v>
      </c>
      <c r="I2478" s="20">
        <v>0</v>
      </c>
      <c r="J2478" s="17">
        <v>7</v>
      </c>
      <c r="K2478" s="17">
        <f t="shared" si="1978"/>
        <v>61208</v>
      </c>
      <c r="L2478" s="17" t="s">
        <v>317</v>
      </c>
      <c r="M2478" s="17" t="str">
        <f t="shared" si="1982"/>
        <v>1:11000:5</v>
      </c>
      <c r="N2478" s="16" t="str">
        <f t="shared" si="1952"/>
        <v>172:1</v>
      </c>
      <c r="O2478" s="17">
        <f t="shared" si="1959"/>
        <v>3</v>
      </c>
      <c r="P2478" s="21" t="str">
        <f t="shared" si="1969"/>
        <v>所有魔物和野兽攻击增加:1</v>
      </c>
      <c r="Q2478" s="21"/>
      <c r="R2478" t="str">
        <f t="shared" si="1983"/>
        <v>攻击</v>
      </c>
      <c r="T2478" t="str">
        <f t="shared" si="1984"/>
        <v>:1</v>
      </c>
      <c r="U2478" t="str">
        <f t="shared" si="1941"/>
        <v>魔物</v>
      </c>
      <c r="V2478" t="s">
        <v>5027</v>
      </c>
      <c r="W2478">
        <f>属性类型!G2478</f>
        <v>172</v>
      </c>
      <c r="X2478">
        <v>1</v>
      </c>
    </row>
    <row r="2479" customFormat="1" ht="16.5" spans="1:24">
      <c r="A2479" s="17">
        <f t="shared" si="1979"/>
        <v>61208</v>
      </c>
      <c r="B2479" s="17">
        <f t="shared" si="1960"/>
        <v>61200</v>
      </c>
      <c r="C2479" s="17" t="str">
        <f t="shared" si="1977"/>
        <v>6</v>
      </c>
      <c r="D2479" s="17">
        <f t="shared" si="1961"/>
        <v>60002</v>
      </c>
      <c r="E2479" s="17">
        <v>1</v>
      </c>
      <c r="F2479" s="17">
        <f t="shared" si="1958"/>
        <v>2</v>
      </c>
      <c r="G2479" s="17" t="str">
        <f t="shared" si="1980"/>
        <v>中级攻击</v>
      </c>
      <c r="H2479" s="17" t="str">
        <f t="shared" si="1981"/>
        <v>icon_03</v>
      </c>
      <c r="I2479" s="20">
        <v>0</v>
      </c>
      <c r="J2479" s="17">
        <v>8</v>
      </c>
      <c r="K2479" s="17">
        <f t="shared" si="1978"/>
        <v>61209</v>
      </c>
      <c r="L2479" s="17" t="s">
        <v>320</v>
      </c>
      <c r="M2479" s="17" t="str">
        <f t="shared" si="1982"/>
        <v>1:11000:5</v>
      </c>
      <c r="N2479" s="16" t="str">
        <f t="shared" si="1952"/>
        <v>172:1</v>
      </c>
      <c r="O2479" s="17">
        <f t="shared" si="1959"/>
        <v>3</v>
      </c>
      <c r="P2479" s="21" t="str">
        <f t="shared" si="1969"/>
        <v>所有魔物和野兽攻击增加:1</v>
      </c>
      <c r="Q2479" s="21"/>
      <c r="R2479" t="str">
        <f t="shared" si="1983"/>
        <v>攻击</v>
      </c>
      <c r="T2479" t="str">
        <f t="shared" si="1984"/>
        <v>:1</v>
      </c>
      <c r="U2479" t="str">
        <f t="shared" si="1941"/>
        <v>魔物</v>
      </c>
      <c r="V2479" t="s">
        <v>5027</v>
      </c>
      <c r="W2479">
        <f>属性类型!G2479</f>
        <v>172</v>
      </c>
      <c r="X2479">
        <v>1</v>
      </c>
    </row>
    <row r="2480" customFormat="1" ht="16.5" spans="1:24">
      <c r="A2480" s="17">
        <f t="shared" si="1979"/>
        <v>61209</v>
      </c>
      <c r="B2480" s="17">
        <f t="shared" si="1960"/>
        <v>61200</v>
      </c>
      <c r="C2480" s="17" t="str">
        <f t="shared" si="1977"/>
        <v>6</v>
      </c>
      <c r="D2480" s="17">
        <f t="shared" si="1961"/>
        <v>60002</v>
      </c>
      <c r="E2480" s="17">
        <v>1</v>
      </c>
      <c r="F2480" s="17">
        <f t="shared" si="1958"/>
        <v>2</v>
      </c>
      <c r="G2480" s="17" t="str">
        <f t="shared" si="1980"/>
        <v>中级攻击</v>
      </c>
      <c r="H2480" s="17" t="str">
        <f t="shared" si="1981"/>
        <v>icon_03</v>
      </c>
      <c r="I2480" s="20">
        <v>0</v>
      </c>
      <c r="J2480" s="17">
        <v>9</v>
      </c>
      <c r="K2480" s="17">
        <f t="shared" si="1978"/>
        <v>61210</v>
      </c>
      <c r="L2480" s="17" t="s">
        <v>323</v>
      </c>
      <c r="M2480" s="17" t="str">
        <f t="shared" si="1982"/>
        <v>1:11000:5</v>
      </c>
      <c r="N2480" s="16" t="str">
        <f t="shared" si="1952"/>
        <v>172:1</v>
      </c>
      <c r="O2480" s="17">
        <f t="shared" si="1959"/>
        <v>3</v>
      </c>
      <c r="P2480" s="21" t="str">
        <f t="shared" si="1969"/>
        <v>所有魔物和野兽攻击增加:1</v>
      </c>
      <c r="Q2480" s="21"/>
      <c r="R2480" t="str">
        <f t="shared" si="1983"/>
        <v>攻击</v>
      </c>
      <c r="T2480" t="str">
        <f t="shared" si="1984"/>
        <v>:1</v>
      </c>
      <c r="U2480" t="str">
        <f t="shared" si="1941"/>
        <v>魔物</v>
      </c>
      <c r="V2480" t="s">
        <v>5027</v>
      </c>
      <c r="W2480">
        <f>属性类型!G2480</f>
        <v>172</v>
      </c>
      <c r="X2480">
        <v>1</v>
      </c>
    </row>
    <row r="2481" customFormat="1" ht="16.5" spans="1:24">
      <c r="A2481" s="17">
        <f t="shared" si="1979"/>
        <v>61210</v>
      </c>
      <c r="B2481" s="17">
        <f t="shared" si="1960"/>
        <v>61200</v>
      </c>
      <c r="C2481" s="17" t="str">
        <f t="shared" si="1977"/>
        <v>6</v>
      </c>
      <c r="D2481" s="17">
        <f t="shared" si="1961"/>
        <v>60002</v>
      </c>
      <c r="E2481" s="17">
        <v>1</v>
      </c>
      <c r="F2481" s="17">
        <f t="shared" si="1958"/>
        <v>2</v>
      </c>
      <c r="G2481" s="17" t="str">
        <f t="shared" si="1980"/>
        <v>中级攻击</v>
      </c>
      <c r="H2481" s="17" t="str">
        <f t="shared" si="1981"/>
        <v>icon_03</v>
      </c>
      <c r="I2481" s="20">
        <v>0</v>
      </c>
      <c r="J2481" s="17">
        <v>10</v>
      </c>
      <c r="K2481" s="17">
        <v>0</v>
      </c>
      <c r="L2481" s="17">
        <v>0</v>
      </c>
      <c r="M2481" s="17" t="str">
        <f t="shared" si="1982"/>
        <v>1:11000:5</v>
      </c>
      <c r="N2481" s="16" t="str">
        <f t="shared" si="1952"/>
        <v>172:1</v>
      </c>
      <c r="O2481" s="17">
        <f t="shared" si="1959"/>
        <v>3</v>
      </c>
      <c r="P2481" s="21" t="str">
        <f t="shared" si="1969"/>
        <v>所有魔物和野兽攻击增加:1</v>
      </c>
      <c r="Q2481" s="21"/>
      <c r="R2481" t="str">
        <f t="shared" si="1983"/>
        <v>攻击</v>
      </c>
      <c r="T2481" t="str">
        <f t="shared" si="1984"/>
        <v>:1</v>
      </c>
      <c r="U2481" t="str">
        <f t="shared" si="1941"/>
        <v>魔物</v>
      </c>
      <c r="V2481" t="s">
        <v>5027</v>
      </c>
      <c r="W2481">
        <f>属性类型!G2481</f>
        <v>172</v>
      </c>
      <c r="X2481">
        <v>1</v>
      </c>
    </row>
    <row r="2482" customFormat="1" ht="16.5" spans="1:24">
      <c r="A2482" s="18">
        <f>A2471+100</f>
        <v>61300</v>
      </c>
      <c r="B2482" s="18">
        <f t="shared" si="1960"/>
        <v>61300</v>
      </c>
      <c r="C2482" s="18" t="str">
        <f t="shared" si="1977"/>
        <v>6</v>
      </c>
      <c r="D2482" s="17">
        <f t="shared" si="1961"/>
        <v>60002</v>
      </c>
      <c r="E2482" s="17">
        <v>1</v>
      </c>
      <c r="F2482" s="18">
        <f t="shared" si="1958"/>
        <v>2</v>
      </c>
      <c r="G2482" s="18" t="s">
        <v>372</v>
      </c>
      <c r="H2482" s="18" t="s">
        <v>96</v>
      </c>
      <c r="I2482" s="20">
        <v>0</v>
      </c>
      <c r="J2482" s="18">
        <v>0</v>
      </c>
      <c r="K2482" s="18">
        <f t="shared" ref="K2482:K2491" si="1985">A2483</f>
        <v>61301</v>
      </c>
      <c r="L2482" s="18" t="s">
        <v>297</v>
      </c>
      <c r="M2482" s="18" t="s">
        <v>329</v>
      </c>
      <c r="N2482" s="16" t="str">
        <f t="shared" si="1952"/>
        <v>174:1</v>
      </c>
      <c r="O2482" s="18">
        <f t="shared" si="1959"/>
        <v>4</v>
      </c>
      <c r="P2482" s="21" t="str">
        <f t="shared" si="1969"/>
        <v>所有魔物和野兽魔防增加1</v>
      </c>
      <c r="Q2482" s="21"/>
      <c r="R2482" t="s">
        <v>4276</v>
      </c>
      <c r="T2482" t="str">
        <f>RIGHT(N2482,1)</f>
        <v>1</v>
      </c>
      <c r="U2482" t="str">
        <f t="shared" si="1941"/>
        <v>魔物</v>
      </c>
      <c r="V2482" t="s">
        <v>5028</v>
      </c>
      <c r="W2482">
        <f>属性类型!G2482</f>
        <v>174</v>
      </c>
      <c r="X2482">
        <v>1</v>
      </c>
    </row>
    <row r="2483" customFormat="1" ht="16.5" spans="1:24">
      <c r="A2483" s="17">
        <f t="shared" ref="A2483:A2492" si="1986">A2482+1</f>
        <v>61301</v>
      </c>
      <c r="B2483" s="17">
        <f t="shared" si="1960"/>
        <v>61300</v>
      </c>
      <c r="C2483" s="17" t="str">
        <f t="shared" si="1977"/>
        <v>6</v>
      </c>
      <c r="D2483" s="17">
        <f t="shared" si="1961"/>
        <v>60002</v>
      </c>
      <c r="E2483" s="17">
        <v>1</v>
      </c>
      <c r="F2483" s="17">
        <f t="shared" si="1958"/>
        <v>2</v>
      </c>
      <c r="G2483" s="17" t="str">
        <f t="shared" ref="G2483:G2492" si="1987">G2482</f>
        <v>中级魔防</v>
      </c>
      <c r="H2483" s="17" t="str">
        <f t="shared" ref="H2483:H2492" si="1988">H2482</f>
        <v>icon_04</v>
      </c>
      <c r="I2483" s="20">
        <v>0</v>
      </c>
      <c r="J2483" s="17">
        <v>1</v>
      </c>
      <c r="K2483" s="17">
        <f t="shared" si="1985"/>
        <v>61302</v>
      </c>
      <c r="L2483" s="17" t="s">
        <v>300</v>
      </c>
      <c r="M2483" s="17" t="str">
        <f t="shared" ref="M2483:M2492" si="1989">M2482</f>
        <v>1:11000:5</v>
      </c>
      <c r="N2483" s="16" t="str">
        <f t="shared" si="1952"/>
        <v>174:1</v>
      </c>
      <c r="O2483" s="17">
        <f t="shared" si="1959"/>
        <v>4</v>
      </c>
      <c r="P2483" s="21" t="str">
        <f t="shared" si="1969"/>
        <v>所有魔物和野兽魔防增加:1</v>
      </c>
      <c r="Q2483" s="21"/>
      <c r="R2483" t="str">
        <f t="shared" ref="R2483:R2492" si="1990">R2482</f>
        <v>魔防</v>
      </c>
      <c r="T2483" t="str">
        <f t="shared" ref="T2483:T2492" si="1991">RIGHT(N2483,2)</f>
        <v>:1</v>
      </c>
      <c r="U2483" t="str">
        <f t="shared" si="1941"/>
        <v>魔物</v>
      </c>
      <c r="V2483" t="s">
        <v>5028</v>
      </c>
      <c r="W2483">
        <f>属性类型!G2483</f>
        <v>174</v>
      </c>
      <c r="X2483">
        <v>1</v>
      </c>
    </row>
    <row r="2484" customFormat="1" ht="16.5" spans="1:24">
      <c r="A2484" s="17">
        <f t="shared" si="1986"/>
        <v>61302</v>
      </c>
      <c r="B2484" s="17">
        <f t="shared" si="1960"/>
        <v>61300</v>
      </c>
      <c r="C2484" s="17" t="str">
        <f t="shared" si="1977"/>
        <v>6</v>
      </c>
      <c r="D2484" s="17">
        <f t="shared" si="1961"/>
        <v>60002</v>
      </c>
      <c r="E2484" s="17">
        <v>1</v>
      </c>
      <c r="F2484" s="17">
        <f t="shared" si="1958"/>
        <v>2</v>
      </c>
      <c r="G2484" s="17" t="str">
        <f t="shared" si="1987"/>
        <v>中级魔防</v>
      </c>
      <c r="H2484" s="17" t="str">
        <f t="shared" si="1988"/>
        <v>icon_04</v>
      </c>
      <c r="I2484" s="20">
        <v>0</v>
      </c>
      <c r="J2484" s="17">
        <v>2</v>
      </c>
      <c r="K2484" s="17">
        <f t="shared" si="1985"/>
        <v>61303</v>
      </c>
      <c r="L2484" s="17" t="s">
        <v>304</v>
      </c>
      <c r="M2484" s="17" t="str">
        <f t="shared" si="1989"/>
        <v>1:11000:5</v>
      </c>
      <c r="N2484" s="16" t="str">
        <f t="shared" si="1952"/>
        <v>174:1</v>
      </c>
      <c r="O2484" s="17">
        <f t="shared" si="1959"/>
        <v>4</v>
      </c>
      <c r="P2484" s="21" t="str">
        <f t="shared" si="1969"/>
        <v>所有魔物和野兽魔防增加:1</v>
      </c>
      <c r="Q2484" s="21"/>
      <c r="R2484" t="str">
        <f t="shared" si="1990"/>
        <v>魔防</v>
      </c>
      <c r="T2484" t="str">
        <f t="shared" si="1991"/>
        <v>:1</v>
      </c>
      <c r="U2484" t="str">
        <f t="shared" si="1941"/>
        <v>魔物</v>
      </c>
      <c r="V2484" t="s">
        <v>5028</v>
      </c>
      <c r="W2484">
        <f>属性类型!G2484</f>
        <v>174</v>
      </c>
      <c r="X2484">
        <v>1</v>
      </c>
    </row>
    <row r="2485" customFormat="1" ht="16.5" spans="1:24">
      <c r="A2485" s="17">
        <f t="shared" si="1986"/>
        <v>61303</v>
      </c>
      <c r="B2485" s="17">
        <f t="shared" si="1960"/>
        <v>61300</v>
      </c>
      <c r="C2485" s="17" t="str">
        <f t="shared" si="1977"/>
        <v>6</v>
      </c>
      <c r="D2485" s="17">
        <f t="shared" si="1961"/>
        <v>60002</v>
      </c>
      <c r="E2485" s="17">
        <v>1</v>
      </c>
      <c r="F2485" s="17">
        <f t="shared" si="1958"/>
        <v>2</v>
      </c>
      <c r="G2485" s="17" t="str">
        <f t="shared" si="1987"/>
        <v>中级魔防</v>
      </c>
      <c r="H2485" s="17" t="str">
        <f t="shared" si="1988"/>
        <v>icon_04</v>
      </c>
      <c r="I2485" s="20">
        <v>0</v>
      </c>
      <c r="J2485" s="17">
        <v>3</v>
      </c>
      <c r="K2485" s="17">
        <f t="shared" si="1985"/>
        <v>61304</v>
      </c>
      <c r="L2485" s="17" t="s">
        <v>307</v>
      </c>
      <c r="M2485" s="17" t="str">
        <f t="shared" si="1989"/>
        <v>1:11000:5</v>
      </c>
      <c r="N2485" s="16" t="str">
        <f t="shared" si="1952"/>
        <v>174:1</v>
      </c>
      <c r="O2485" s="17">
        <f t="shared" si="1959"/>
        <v>4</v>
      </c>
      <c r="P2485" s="21" t="str">
        <f t="shared" si="1969"/>
        <v>所有魔物和野兽魔防增加:1</v>
      </c>
      <c r="Q2485" s="21"/>
      <c r="R2485" t="str">
        <f t="shared" si="1990"/>
        <v>魔防</v>
      </c>
      <c r="T2485" t="str">
        <f t="shared" si="1991"/>
        <v>:1</v>
      </c>
      <c r="U2485" t="str">
        <f t="shared" si="1941"/>
        <v>魔物</v>
      </c>
      <c r="V2485" t="s">
        <v>5028</v>
      </c>
      <c r="W2485">
        <f>属性类型!G2485</f>
        <v>174</v>
      </c>
      <c r="X2485">
        <v>1</v>
      </c>
    </row>
    <row r="2486" customFormat="1" ht="16.5" spans="1:24">
      <c r="A2486" s="17">
        <f t="shared" si="1986"/>
        <v>61304</v>
      </c>
      <c r="B2486" s="17">
        <f t="shared" si="1960"/>
        <v>61300</v>
      </c>
      <c r="C2486" s="17" t="str">
        <f t="shared" si="1977"/>
        <v>6</v>
      </c>
      <c r="D2486" s="17">
        <f t="shared" si="1961"/>
        <v>60002</v>
      </c>
      <c r="E2486" s="17">
        <v>1</v>
      </c>
      <c r="F2486" s="17">
        <f t="shared" si="1958"/>
        <v>2</v>
      </c>
      <c r="G2486" s="17" t="str">
        <f t="shared" si="1987"/>
        <v>中级魔防</v>
      </c>
      <c r="H2486" s="17" t="str">
        <f t="shared" si="1988"/>
        <v>icon_04</v>
      </c>
      <c r="I2486" s="20">
        <v>0</v>
      </c>
      <c r="J2486" s="17">
        <v>4</v>
      </c>
      <c r="K2486" s="17">
        <f t="shared" si="1985"/>
        <v>61305</v>
      </c>
      <c r="L2486" s="17" t="s">
        <v>309</v>
      </c>
      <c r="M2486" s="17" t="str">
        <f t="shared" si="1989"/>
        <v>1:11000:5</v>
      </c>
      <c r="N2486" s="16" t="str">
        <f t="shared" si="1952"/>
        <v>174:1</v>
      </c>
      <c r="O2486" s="17">
        <f t="shared" si="1959"/>
        <v>4</v>
      </c>
      <c r="P2486" s="21" t="str">
        <f t="shared" si="1969"/>
        <v>所有魔物和野兽魔防增加:1</v>
      </c>
      <c r="Q2486" s="21"/>
      <c r="R2486" t="str">
        <f t="shared" si="1990"/>
        <v>魔防</v>
      </c>
      <c r="T2486" t="str">
        <f t="shared" si="1991"/>
        <v>:1</v>
      </c>
      <c r="U2486" t="str">
        <f t="shared" si="1941"/>
        <v>魔物</v>
      </c>
      <c r="V2486" t="s">
        <v>5028</v>
      </c>
      <c r="W2486">
        <f>属性类型!G2486</f>
        <v>174</v>
      </c>
      <c r="X2486">
        <v>1</v>
      </c>
    </row>
    <row r="2487" customFormat="1" ht="16.5" spans="1:24">
      <c r="A2487" s="17">
        <f t="shared" si="1986"/>
        <v>61305</v>
      </c>
      <c r="B2487" s="17">
        <f t="shared" si="1960"/>
        <v>61300</v>
      </c>
      <c r="C2487" s="17" t="str">
        <f t="shared" si="1977"/>
        <v>6</v>
      </c>
      <c r="D2487" s="17">
        <f t="shared" si="1961"/>
        <v>60002</v>
      </c>
      <c r="E2487" s="17">
        <v>1</v>
      </c>
      <c r="F2487" s="17">
        <f t="shared" si="1958"/>
        <v>2</v>
      </c>
      <c r="G2487" s="17" t="str">
        <f t="shared" si="1987"/>
        <v>中级魔防</v>
      </c>
      <c r="H2487" s="17" t="str">
        <f t="shared" si="1988"/>
        <v>icon_04</v>
      </c>
      <c r="I2487" s="20">
        <v>0</v>
      </c>
      <c r="J2487" s="17">
        <v>5</v>
      </c>
      <c r="K2487" s="17">
        <f t="shared" si="1985"/>
        <v>61306</v>
      </c>
      <c r="L2487" s="17" t="s">
        <v>312</v>
      </c>
      <c r="M2487" s="17" t="str">
        <f t="shared" si="1989"/>
        <v>1:11000:5</v>
      </c>
      <c r="N2487" s="16" t="str">
        <f t="shared" si="1952"/>
        <v>174:1</v>
      </c>
      <c r="O2487" s="17">
        <f t="shared" si="1959"/>
        <v>4</v>
      </c>
      <c r="P2487" s="21" t="str">
        <f t="shared" si="1969"/>
        <v>所有魔物和野兽魔防增加:1</v>
      </c>
      <c r="Q2487" s="21"/>
      <c r="R2487" t="str">
        <f t="shared" si="1990"/>
        <v>魔防</v>
      </c>
      <c r="T2487" t="str">
        <f t="shared" si="1991"/>
        <v>:1</v>
      </c>
      <c r="U2487" t="str">
        <f t="shared" si="1941"/>
        <v>魔物</v>
      </c>
      <c r="V2487" t="s">
        <v>5028</v>
      </c>
      <c r="W2487">
        <f>属性类型!G2487</f>
        <v>174</v>
      </c>
      <c r="X2487">
        <v>1</v>
      </c>
    </row>
    <row r="2488" customFormat="1" ht="16.5" spans="1:24">
      <c r="A2488" s="17">
        <f t="shared" si="1986"/>
        <v>61306</v>
      </c>
      <c r="B2488" s="17">
        <f t="shared" si="1960"/>
        <v>61300</v>
      </c>
      <c r="C2488" s="17" t="str">
        <f t="shared" si="1977"/>
        <v>6</v>
      </c>
      <c r="D2488" s="17">
        <f t="shared" si="1961"/>
        <v>60002</v>
      </c>
      <c r="E2488" s="17">
        <v>1</v>
      </c>
      <c r="F2488" s="17">
        <f t="shared" si="1958"/>
        <v>2</v>
      </c>
      <c r="G2488" s="17" t="str">
        <f t="shared" si="1987"/>
        <v>中级魔防</v>
      </c>
      <c r="H2488" s="17" t="str">
        <f t="shared" si="1988"/>
        <v>icon_04</v>
      </c>
      <c r="I2488" s="20">
        <v>0</v>
      </c>
      <c r="J2488" s="17">
        <v>6</v>
      </c>
      <c r="K2488" s="17">
        <f t="shared" si="1985"/>
        <v>61307</v>
      </c>
      <c r="L2488" s="17" t="s">
        <v>315</v>
      </c>
      <c r="M2488" s="17" t="str">
        <f t="shared" si="1989"/>
        <v>1:11000:5</v>
      </c>
      <c r="N2488" s="16" t="str">
        <f t="shared" si="1952"/>
        <v>174:1</v>
      </c>
      <c r="O2488" s="17">
        <f t="shared" si="1959"/>
        <v>4</v>
      </c>
      <c r="P2488" s="21" t="str">
        <f t="shared" si="1969"/>
        <v>所有魔物和野兽魔防增加:1</v>
      </c>
      <c r="Q2488" s="21"/>
      <c r="R2488" t="str">
        <f t="shared" si="1990"/>
        <v>魔防</v>
      </c>
      <c r="T2488" t="str">
        <f t="shared" si="1991"/>
        <v>:1</v>
      </c>
      <c r="U2488" t="str">
        <f t="shared" si="1941"/>
        <v>魔物</v>
      </c>
      <c r="V2488" t="s">
        <v>5028</v>
      </c>
      <c r="W2488">
        <f>属性类型!G2488</f>
        <v>174</v>
      </c>
      <c r="X2488">
        <v>1</v>
      </c>
    </row>
    <row r="2489" customFormat="1" ht="16.5" spans="1:24">
      <c r="A2489" s="17">
        <f t="shared" si="1986"/>
        <v>61307</v>
      </c>
      <c r="B2489" s="17">
        <f t="shared" si="1960"/>
        <v>61300</v>
      </c>
      <c r="C2489" s="17" t="str">
        <f t="shared" si="1977"/>
        <v>6</v>
      </c>
      <c r="D2489" s="17">
        <f t="shared" ref="D2489:D2552" si="1992">$A$2329+F2489</f>
        <v>60002</v>
      </c>
      <c r="E2489" s="17">
        <v>1</v>
      </c>
      <c r="F2489" s="17">
        <f t="shared" si="1958"/>
        <v>2</v>
      </c>
      <c r="G2489" s="17" t="str">
        <f t="shared" si="1987"/>
        <v>中级魔防</v>
      </c>
      <c r="H2489" s="17" t="str">
        <f t="shared" si="1988"/>
        <v>icon_04</v>
      </c>
      <c r="I2489" s="20">
        <v>0</v>
      </c>
      <c r="J2489" s="17">
        <v>7</v>
      </c>
      <c r="K2489" s="17">
        <f t="shared" si="1985"/>
        <v>61308</v>
      </c>
      <c r="L2489" s="17" t="s">
        <v>317</v>
      </c>
      <c r="M2489" s="17" t="str">
        <f t="shared" si="1989"/>
        <v>1:11000:5</v>
      </c>
      <c r="N2489" s="16" t="str">
        <f t="shared" si="1952"/>
        <v>174:1</v>
      </c>
      <c r="O2489" s="17">
        <f t="shared" si="1959"/>
        <v>4</v>
      </c>
      <c r="P2489" s="21" t="str">
        <f t="shared" si="1969"/>
        <v>所有魔物和野兽魔防增加:1</v>
      </c>
      <c r="Q2489" s="21"/>
      <c r="R2489" t="str">
        <f t="shared" si="1990"/>
        <v>魔防</v>
      </c>
      <c r="T2489" t="str">
        <f t="shared" si="1991"/>
        <v>:1</v>
      </c>
      <c r="U2489" t="str">
        <f t="shared" si="1941"/>
        <v>魔物</v>
      </c>
      <c r="V2489" t="s">
        <v>5028</v>
      </c>
      <c r="W2489">
        <f>属性类型!G2489</f>
        <v>174</v>
      </c>
      <c r="X2489">
        <v>1</v>
      </c>
    </row>
    <row r="2490" customFormat="1" ht="16.5" spans="1:24">
      <c r="A2490" s="17">
        <f t="shared" si="1986"/>
        <v>61308</v>
      </c>
      <c r="B2490" s="17">
        <f t="shared" si="1960"/>
        <v>61300</v>
      </c>
      <c r="C2490" s="17" t="str">
        <f t="shared" si="1977"/>
        <v>6</v>
      </c>
      <c r="D2490" s="17">
        <f t="shared" si="1992"/>
        <v>60002</v>
      </c>
      <c r="E2490" s="17">
        <v>1</v>
      </c>
      <c r="F2490" s="17">
        <f t="shared" si="1958"/>
        <v>2</v>
      </c>
      <c r="G2490" s="17" t="str">
        <f t="shared" si="1987"/>
        <v>中级魔防</v>
      </c>
      <c r="H2490" s="17" t="str">
        <f t="shared" si="1988"/>
        <v>icon_04</v>
      </c>
      <c r="I2490" s="20">
        <v>0</v>
      </c>
      <c r="J2490" s="17">
        <v>8</v>
      </c>
      <c r="K2490" s="17">
        <f t="shared" si="1985"/>
        <v>61309</v>
      </c>
      <c r="L2490" s="17" t="s">
        <v>320</v>
      </c>
      <c r="M2490" s="17" t="str">
        <f t="shared" si="1989"/>
        <v>1:11000:5</v>
      </c>
      <c r="N2490" s="16" t="str">
        <f t="shared" si="1952"/>
        <v>174:1</v>
      </c>
      <c r="O2490" s="17">
        <f t="shared" si="1959"/>
        <v>4</v>
      </c>
      <c r="P2490" s="21" t="str">
        <f t="shared" si="1969"/>
        <v>所有魔物和野兽魔防增加:1</v>
      </c>
      <c r="Q2490" s="21"/>
      <c r="R2490" t="str">
        <f t="shared" si="1990"/>
        <v>魔防</v>
      </c>
      <c r="T2490" t="str">
        <f t="shared" si="1991"/>
        <v>:1</v>
      </c>
      <c r="U2490" t="str">
        <f t="shared" si="1941"/>
        <v>魔物</v>
      </c>
      <c r="V2490" t="s">
        <v>5028</v>
      </c>
      <c r="W2490">
        <f>属性类型!G2490</f>
        <v>174</v>
      </c>
      <c r="X2490">
        <v>1</v>
      </c>
    </row>
    <row r="2491" customFormat="1" ht="16.5" spans="1:24">
      <c r="A2491" s="17">
        <f t="shared" si="1986"/>
        <v>61309</v>
      </c>
      <c r="B2491" s="17">
        <f t="shared" si="1960"/>
        <v>61300</v>
      </c>
      <c r="C2491" s="17" t="str">
        <f t="shared" si="1977"/>
        <v>6</v>
      </c>
      <c r="D2491" s="17">
        <f t="shared" si="1992"/>
        <v>60002</v>
      </c>
      <c r="E2491" s="17">
        <v>1</v>
      </c>
      <c r="F2491" s="17">
        <f t="shared" si="1958"/>
        <v>2</v>
      </c>
      <c r="G2491" s="17" t="str">
        <f t="shared" si="1987"/>
        <v>中级魔防</v>
      </c>
      <c r="H2491" s="17" t="str">
        <f t="shared" si="1988"/>
        <v>icon_04</v>
      </c>
      <c r="I2491" s="20">
        <v>0</v>
      </c>
      <c r="J2491" s="17">
        <v>9</v>
      </c>
      <c r="K2491" s="17">
        <f t="shared" si="1985"/>
        <v>61310</v>
      </c>
      <c r="L2491" s="17" t="s">
        <v>323</v>
      </c>
      <c r="M2491" s="17" t="str">
        <f t="shared" si="1989"/>
        <v>1:11000:5</v>
      </c>
      <c r="N2491" s="16" t="str">
        <f t="shared" si="1952"/>
        <v>174:1</v>
      </c>
      <c r="O2491" s="17">
        <f t="shared" si="1959"/>
        <v>4</v>
      </c>
      <c r="P2491" s="21" t="str">
        <f t="shared" si="1969"/>
        <v>所有魔物和野兽魔防增加:1</v>
      </c>
      <c r="Q2491" s="21"/>
      <c r="R2491" t="str">
        <f t="shared" si="1990"/>
        <v>魔防</v>
      </c>
      <c r="T2491" t="str">
        <f t="shared" si="1991"/>
        <v>:1</v>
      </c>
      <c r="U2491" t="str">
        <f t="shared" si="1941"/>
        <v>魔物</v>
      </c>
      <c r="V2491" t="s">
        <v>5028</v>
      </c>
      <c r="W2491">
        <f>属性类型!G2491</f>
        <v>174</v>
      </c>
      <c r="X2491">
        <v>1</v>
      </c>
    </row>
    <row r="2492" customFormat="1" ht="16.5" spans="1:24">
      <c r="A2492" s="17">
        <f t="shared" si="1986"/>
        <v>61310</v>
      </c>
      <c r="B2492" s="17">
        <f t="shared" si="1960"/>
        <v>61300</v>
      </c>
      <c r="C2492" s="17" t="str">
        <f t="shared" si="1977"/>
        <v>6</v>
      </c>
      <c r="D2492" s="17">
        <f t="shared" si="1992"/>
        <v>60002</v>
      </c>
      <c r="E2492" s="17">
        <v>1</v>
      </c>
      <c r="F2492" s="17">
        <f t="shared" si="1958"/>
        <v>2</v>
      </c>
      <c r="G2492" s="17" t="str">
        <f t="shared" si="1987"/>
        <v>中级魔防</v>
      </c>
      <c r="H2492" s="17" t="str">
        <f t="shared" si="1988"/>
        <v>icon_04</v>
      </c>
      <c r="I2492" s="20">
        <v>0</v>
      </c>
      <c r="J2492" s="17">
        <v>10</v>
      </c>
      <c r="K2492" s="17">
        <v>0</v>
      </c>
      <c r="L2492" s="17">
        <v>0</v>
      </c>
      <c r="M2492" s="17" t="str">
        <f t="shared" si="1989"/>
        <v>1:11000:5</v>
      </c>
      <c r="N2492" s="16" t="str">
        <f t="shared" si="1952"/>
        <v>174:1</v>
      </c>
      <c r="O2492" s="17">
        <f t="shared" si="1959"/>
        <v>4</v>
      </c>
      <c r="P2492" s="21" t="str">
        <f t="shared" si="1969"/>
        <v>所有魔物和野兽魔防增加:1</v>
      </c>
      <c r="Q2492" s="21"/>
      <c r="R2492" t="str">
        <f t="shared" si="1990"/>
        <v>魔防</v>
      </c>
      <c r="T2492" t="str">
        <f t="shared" si="1991"/>
        <v>:1</v>
      </c>
      <c r="U2492" t="str">
        <f t="shared" si="1941"/>
        <v>魔物</v>
      </c>
      <c r="V2492" t="s">
        <v>5028</v>
      </c>
      <c r="W2492">
        <f>属性类型!G2492</f>
        <v>174</v>
      </c>
      <c r="X2492">
        <v>1</v>
      </c>
    </row>
    <row r="2493" customFormat="1" ht="16.5" spans="1:24">
      <c r="A2493" s="18">
        <f>A2482+100</f>
        <v>61400</v>
      </c>
      <c r="B2493" s="18">
        <f t="shared" si="1960"/>
        <v>61400</v>
      </c>
      <c r="C2493" s="18" t="str">
        <f t="shared" si="1977"/>
        <v>6</v>
      </c>
      <c r="D2493" s="17">
        <f t="shared" si="1992"/>
        <v>60002</v>
      </c>
      <c r="E2493" s="17">
        <v>1</v>
      </c>
      <c r="F2493" s="18">
        <f t="shared" si="1958"/>
        <v>2</v>
      </c>
      <c r="G2493" s="18" t="s">
        <v>4348</v>
      </c>
      <c r="H2493" s="18" t="s">
        <v>112</v>
      </c>
      <c r="I2493" s="20">
        <v>0</v>
      </c>
      <c r="J2493" s="18">
        <v>0</v>
      </c>
      <c r="K2493" s="18">
        <f t="shared" ref="K2493:K2507" si="1993">A2494</f>
        <v>61401</v>
      </c>
      <c r="L2493" s="18" t="s">
        <v>297</v>
      </c>
      <c r="M2493" s="18" t="s">
        <v>396</v>
      </c>
      <c r="N2493" s="16" t="str">
        <f t="shared" si="1952"/>
        <v>178:1</v>
      </c>
      <c r="O2493" s="18">
        <f t="shared" si="1959"/>
        <v>5</v>
      </c>
      <c r="P2493" s="21" t="str">
        <f t="shared" si="1969"/>
        <v>所有魔物和野兽防御百分比增加1</v>
      </c>
      <c r="Q2493" s="21"/>
      <c r="R2493" t="s">
        <v>4278</v>
      </c>
      <c r="T2493" t="str">
        <f>RIGHT(N2493,1)</f>
        <v>1</v>
      </c>
      <c r="U2493" t="str">
        <f t="shared" si="1941"/>
        <v>魔物</v>
      </c>
      <c r="V2493" t="s">
        <v>5029</v>
      </c>
      <c r="W2493">
        <f>属性类型!G2493</f>
        <v>178</v>
      </c>
      <c r="X2493">
        <v>1</v>
      </c>
    </row>
    <row r="2494" customFormat="1" ht="16.5" spans="1:24">
      <c r="A2494" s="17">
        <f t="shared" ref="A2494:A2508" si="1994">A2493+1</f>
        <v>61401</v>
      </c>
      <c r="B2494" s="17">
        <f t="shared" si="1960"/>
        <v>61400</v>
      </c>
      <c r="C2494" s="17" t="str">
        <f t="shared" si="1977"/>
        <v>6</v>
      </c>
      <c r="D2494" s="17">
        <f t="shared" si="1992"/>
        <v>60002</v>
      </c>
      <c r="E2494" s="17">
        <v>1</v>
      </c>
      <c r="F2494" s="17">
        <f t="shared" si="1958"/>
        <v>2</v>
      </c>
      <c r="G2494" s="17" t="str">
        <f t="shared" ref="G2494:G2508" si="1995">G2493</f>
        <v>中级生命百分比</v>
      </c>
      <c r="H2494" s="17" t="str">
        <f t="shared" ref="H2494:H2508" si="1996">H2493</f>
        <v>icon_05</v>
      </c>
      <c r="I2494" s="20">
        <v>0</v>
      </c>
      <c r="J2494" s="17">
        <v>1</v>
      </c>
      <c r="K2494" s="17">
        <f t="shared" si="1993"/>
        <v>61402</v>
      </c>
      <c r="L2494" s="17" t="s">
        <v>300</v>
      </c>
      <c r="M2494" s="17" t="str">
        <f t="shared" ref="M2494:M2508" si="1997">M2493</f>
        <v>1:11100:5</v>
      </c>
      <c r="N2494" s="16" t="str">
        <f t="shared" si="1952"/>
        <v>178:1</v>
      </c>
      <c r="O2494" s="17">
        <f t="shared" si="1959"/>
        <v>5</v>
      </c>
      <c r="P2494" s="21" t="str">
        <f t="shared" si="1969"/>
        <v>所有魔物和野兽防御百分比增加:1</v>
      </c>
      <c r="Q2494" s="21"/>
      <c r="R2494" t="str">
        <f t="shared" ref="R2494:R2508" si="1998">R2493</f>
        <v>防御百分比</v>
      </c>
      <c r="T2494" t="str">
        <f t="shared" ref="T2494:T2508" si="1999">RIGHT(N2494,2)</f>
        <v>:1</v>
      </c>
      <c r="U2494" t="str">
        <f t="shared" si="1941"/>
        <v>魔物</v>
      </c>
      <c r="V2494" t="s">
        <v>5029</v>
      </c>
      <c r="W2494">
        <f>属性类型!G2494</f>
        <v>178</v>
      </c>
      <c r="X2494">
        <v>1</v>
      </c>
    </row>
    <row r="2495" customFormat="1" ht="16.5" spans="1:24">
      <c r="A2495" s="17">
        <f t="shared" si="1994"/>
        <v>61402</v>
      </c>
      <c r="B2495" s="17">
        <f t="shared" si="1960"/>
        <v>61400</v>
      </c>
      <c r="C2495" s="17" t="str">
        <f t="shared" si="1977"/>
        <v>6</v>
      </c>
      <c r="D2495" s="17">
        <f t="shared" si="1992"/>
        <v>60002</v>
      </c>
      <c r="E2495" s="17">
        <v>1</v>
      </c>
      <c r="F2495" s="17">
        <f t="shared" si="1958"/>
        <v>2</v>
      </c>
      <c r="G2495" s="17" t="str">
        <f t="shared" si="1995"/>
        <v>中级生命百分比</v>
      </c>
      <c r="H2495" s="17" t="str">
        <f t="shared" si="1996"/>
        <v>icon_05</v>
      </c>
      <c r="I2495" s="20">
        <v>0</v>
      </c>
      <c r="J2495" s="17">
        <v>2</v>
      </c>
      <c r="K2495" s="17">
        <f t="shared" si="1993"/>
        <v>61403</v>
      </c>
      <c r="L2495" s="17" t="s">
        <v>304</v>
      </c>
      <c r="M2495" s="17" t="str">
        <f t="shared" si="1997"/>
        <v>1:11100:5</v>
      </c>
      <c r="N2495" s="16" t="str">
        <f t="shared" si="1952"/>
        <v>178:1</v>
      </c>
      <c r="O2495" s="17">
        <f t="shared" si="1959"/>
        <v>5</v>
      </c>
      <c r="P2495" s="21" t="str">
        <f t="shared" si="1969"/>
        <v>所有魔物和野兽防御百分比增加:1</v>
      </c>
      <c r="Q2495" s="21"/>
      <c r="R2495" t="str">
        <f t="shared" si="1998"/>
        <v>防御百分比</v>
      </c>
      <c r="T2495" t="str">
        <f t="shared" si="1999"/>
        <v>:1</v>
      </c>
      <c r="U2495" t="str">
        <f t="shared" si="1941"/>
        <v>魔物</v>
      </c>
      <c r="V2495" t="s">
        <v>5029</v>
      </c>
      <c r="W2495">
        <f>属性类型!G2495</f>
        <v>178</v>
      </c>
      <c r="X2495">
        <v>1</v>
      </c>
    </row>
    <row r="2496" customFormat="1" ht="16.5" spans="1:24">
      <c r="A2496" s="17">
        <f t="shared" si="1994"/>
        <v>61403</v>
      </c>
      <c r="B2496" s="17">
        <f t="shared" si="1960"/>
        <v>61400</v>
      </c>
      <c r="C2496" s="17" t="str">
        <f t="shared" si="1977"/>
        <v>6</v>
      </c>
      <c r="D2496" s="17">
        <f t="shared" si="1992"/>
        <v>60002</v>
      </c>
      <c r="E2496" s="17">
        <v>1</v>
      </c>
      <c r="F2496" s="17">
        <f t="shared" si="1958"/>
        <v>2</v>
      </c>
      <c r="G2496" s="17" t="str">
        <f t="shared" si="1995"/>
        <v>中级生命百分比</v>
      </c>
      <c r="H2496" s="17" t="str">
        <f t="shared" si="1996"/>
        <v>icon_05</v>
      </c>
      <c r="I2496" s="20">
        <v>0</v>
      </c>
      <c r="J2496" s="17">
        <v>3</v>
      </c>
      <c r="K2496" s="17">
        <f t="shared" si="1993"/>
        <v>61404</v>
      </c>
      <c r="L2496" s="17" t="s">
        <v>307</v>
      </c>
      <c r="M2496" s="17" t="str">
        <f t="shared" si="1997"/>
        <v>1:11100:5</v>
      </c>
      <c r="N2496" s="16" t="str">
        <f t="shared" si="1952"/>
        <v>178:1</v>
      </c>
      <c r="O2496" s="17">
        <f t="shared" si="1959"/>
        <v>5</v>
      </c>
      <c r="P2496" s="21" t="str">
        <f t="shared" si="1969"/>
        <v>所有魔物和野兽防御百分比增加:1</v>
      </c>
      <c r="Q2496" s="21"/>
      <c r="R2496" t="str">
        <f t="shared" si="1998"/>
        <v>防御百分比</v>
      </c>
      <c r="T2496" t="str">
        <f t="shared" si="1999"/>
        <v>:1</v>
      </c>
      <c r="U2496" t="str">
        <f t="shared" si="1941"/>
        <v>魔物</v>
      </c>
      <c r="V2496" t="s">
        <v>5029</v>
      </c>
      <c r="W2496">
        <f>属性类型!G2496</f>
        <v>178</v>
      </c>
      <c r="X2496">
        <v>1</v>
      </c>
    </row>
    <row r="2497" customFormat="1" ht="16.5" spans="1:24">
      <c r="A2497" s="17">
        <f t="shared" si="1994"/>
        <v>61404</v>
      </c>
      <c r="B2497" s="17">
        <f t="shared" si="1960"/>
        <v>61400</v>
      </c>
      <c r="C2497" s="17" t="str">
        <f t="shared" si="1977"/>
        <v>6</v>
      </c>
      <c r="D2497" s="17">
        <f t="shared" si="1992"/>
        <v>60002</v>
      </c>
      <c r="E2497" s="17">
        <v>1</v>
      </c>
      <c r="F2497" s="17">
        <f t="shared" si="1958"/>
        <v>2</v>
      </c>
      <c r="G2497" s="17" t="str">
        <f t="shared" si="1995"/>
        <v>中级生命百分比</v>
      </c>
      <c r="H2497" s="17" t="str">
        <f t="shared" si="1996"/>
        <v>icon_05</v>
      </c>
      <c r="I2497" s="20">
        <v>0</v>
      </c>
      <c r="J2497" s="17">
        <v>4</v>
      </c>
      <c r="K2497" s="17">
        <f t="shared" si="1993"/>
        <v>61405</v>
      </c>
      <c r="L2497" s="17" t="s">
        <v>309</v>
      </c>
      <c r="M2497" s="17" t="str">
        <f t="shared" si="1997"/>
        <v>1:11100:5</v>
      </c>
      <c r="N2497" s="16" t="str">
        <f t="shared" si="1952"/>
        <v>178:1</v>
      </c>
      <c r="O2497" s="17">
        <f t="shared" si="1959"/>
        <v>5</v>
      </c>
      <c r="P2497" s="21" t="str">
        <f t="shared" si="1969"/>
        <v>所有魔物和野兽防御百分比增加:1</v>
      </c>
      <c r="Q2497" s="21"/>
      <c r="R2497" t="str">
        <f t="shared" si="1998"/>
        <v>防御百分比</v>
      </c>
      <c r="T2497" t="str">
        <f t="shared" si="1999"/>
        <v>:1</v>
      </c>
      <c r="U2497" t="str">
        <f t="shared" si="1941"/>
        <v>魔物</v>
      </c>
      <c r="V2497" t="s">
        <v>5029</v>
      </c>
      <c r="W2497">
        <f>属性类型!G2497</f>
        <v>178</v>
      </c>
      <c r="X2497">
        <v>1</v>
      </c>
    </row>
    <row r="2498" customFormat="1" ht="16.5" spans="1:24">
      <c r="A2498" s="17">
        <f t="shared" si="1994"/>
        <v>61405</v>
      </c>
      <c r="B2498" s="17">
        <f t="shared" si="1960"/>
        <v>61400</v>
      </c>
      <c r="C2498" s="17" t="str">
        <f t="shared" si="1977"/>
        <v>6</v>
      </c>
      <c r="D2498" s="17">
        <f t="shared" si="1992"/>
        <v>60002</v>
      </c>
      <c r="E2498" s="17">
        <v>1</v>
      </c>
      <c r="F2498" s="17">
        <f t="shared" si="1958"/>
        <v>2</v>
      </c>
      <c r="G2498" s="17" t="str">
        <f t="shared" si="1995"/>
        <v>中级生命百分比</v>
      </c>
      <c r="H2498" s="17" t="str">
        <f t="shared" si="1996"/>
        <v>icon_05</v>
      </c>
      <c r="I2498" s="20">
        <v>0</v>
      </c>
      <c r="J2498" s="17">
        <v>5</v>
      </c>
      <c r="K2498" s="17">
        <f t="shared" si="1993"/>
        <v>61406</v>
      </c>
      <c r="L2498" s="17" t="s">
        <v>312</v>
      </c>
      <c r="M2498" s="17" t="str">
        <f t="shared" si="1997"/>
        <v>1:11100:5</v>
      </c>
      <c r="N2498" s="16" t="str">
        <f t="shared" si="1952"/>
        <v>178:1</v>
      </c>
      <c r="O2498" s="17">
        <f t="shared" si="1959"/>
        <v>5</v>
      </c>
      <c r="P2498" s="21" t="str">
        <f t="shared" si="1969"/>
        <v>所有魔物和野兽防御百分比增加:1</v>
      </c>
      <c r="Q2498" s="21"/>
      <c r="R2498" t="str">
        <f t="shared" si="1998"/>
        <v>防御百分比</v>
      </c>
      <c r="T2498" t="str">
        <f t="shared" si="1999"/>
        <v>:1</v>
      </c>
      <c r="U2498" t="str">
        <f t="shared" si="1941"/>
        <v>魔物</v>
      </c>
      <c r="V2498" t="s">
        <v>5029</v>
      </c>
      <c r="W2498">
        <f>属性类型!G2498</f>
        <v>178</v>
      </c>
      <c r="X2498">
        <v>1</v>
      </c>
    </row>
    <row r="2499" customFormat="1" ht="16.5" spans="1:24">
      <c r="A2499" s="17">
        <f t="shared" si="1994"/>
        <v>61406</v>
      </c>
      <c r="B2499" s="17">
        <f t="shared" si="1960"/>
        <v>61400</v>
      </c>
      <c r="C2499" s="17" t="str">
        <f t="shared" si="1977"/>
        <v>6</v>
      </c>
      <c r="D2499" s="17">
        <f t="shared" si="1992"/>
        <v>60002</v>
      </c>
      <c r="E2499" s="17">
        <v>1</v>
      </c>
      <c r="F2499" s="17">
        <f t="shared" si="1958"/>
        <v>2</v>
      </c>
      <c r="G2499" s="17" t="str">
        <f t="shared" si="1995"/>
        <v>中级生命百分比</v>
      </c>
      <c r="H2499" s="17" t="str">
        <f t="shared" si="1996"/>
        <v>icon_05</v>
      </c>
      <c r="I2499" s="20">
        <v>0</v>
      </c>
      <c r="J2499" s="17">
        <v>6</v>
      </c>
      <c r="K2499" s="17">
        <f t="shared" si="1993"/>
        <v>61407</v>
      </c>
      <c r="L2499" s="17" t="s">
        <v>315</v>
      </c>
      <c r="M2499" s="17" t="str">
        <f t="shared" si="1997"/>
        <v>1:11100:5</v>
      </c>
      <c r="N2499" s="16" t="str">
        <f t="shared" si="1952"/>
        <v>178:1</v>
      </c>
      <c r="O2499" s="17">
        <f t="shared" si="1959"/>
        <v>5</v>
      </c>
      <c r="P2499" s="21" t="str">
        <f t="shared" si="1969"/>
        <v>所有魔物和野兽防御百分比增加:1</v>
      </c>
      <c r="Q2499" s="21"/>
      <c r="R2499" t="str">
        <f t="shared" si="1998"/>
        <v>防御百分比</v>
      </c>
      <c r="T2499" t="str">
        <f t="shared" si="1999"/>
        <v>:1</v>
      </c>
      <c r="U2499" t="str">
        <f t="shared" si="1941"/>
        <v>魔物</v>
      </c>
      <c r="V2499" t="s">
        <v>5029</v>
      </c>
      <c r="W2499">
        <f>属性类型!G2499</f>
        <v>178</v>
      </c>
      <c r="X2499">
        <v>1</v>
      </c>
    </row>
    <row r="2500" customFormat="1" ht="16.5" spans="1:24">
      <c r="A2500" s="17">
        <f t="shared" si="1994"/>
        <v>61407</v>
      </c>
      <c r="B2500" s="17">
        <f t="shared" si="1960"/>
        <v>61400</v>
      </c>
      <c r="C2500" s="17" t="str">
        <f t="shared" si="1977"/>
        <v>6</v>
      </c>
      <c r="D2500" s="17">
        <f t="shared" si="1992"/>
        <v>60002</v>
      </c>
      <c r="E2500" s="17">
        <v>1</v>
      </c>
      <c r="F2500" s="17">
        <f t="shared" si="1958"/>
        <v>2</v>
      </c>
      <c r="G2500" s="17" t="str">
        <f t="shared" si="1995"/>
        <v>中级生命百分比</v>
      </c>
      <c r="H2500" s="17" t="str">
        <f t="shared" si="1996"/>
        <v>icon_05</v>
      </c>
      <c r="I2500" s="20">
        <v>0</v>
      </c>
      <c r="J2500" s="17">
        <v>7</v>
      </c>
      <c r="K2500" s="17">
        <f t="shared" si="1993"/>
        <v>61408</v>
      </c>
      <c r="L2500" s="17" t="s">
        <v>317</v>
      </c>
      <c r="M2500" s="17" t="str">
        <f t="shared" si="1997"/>
        <v>1:11100:5</v>
      </c>
      <c r="N2500" s="16" t="str">
        <f t="shared" si="1952"/>
        <v>178:1</v>
      </c>
      <c r="O2500" s="17">
        <f t="shared" si="1959"/>
        <v>5</v>
      </c>
      <c r="P2500" s="21" t="str">
        <f t="shared" si="1969"/>
        <v>所有魔物和野兽防御百分比增加:1</v>
      </c>
      <c r="Q2500" s="21"/>
      <c r="R2500" t="str">
        <f t="shared" si="1998"/>
        <v>防御百分比</v>
      </c>
      <c r="T2500" t="str">
        <f t="shared" si="1999"/>
        <v>:1</v>
      </c>
      <c r="U2500" t="str">
        <f t="shared" si="1941"/>
        <v>魔物</v>
      </c>
      <c r="V2500" t="s">
        <v>5029</v>
      </c>
      <c r="W2500">
        <f>属性类型!G2500</f>
        <v>178</v>
      </c>
      <c r="X2500">
        <v>1</v>
      </c>
    </row>
    <row r="2501" customFormat="1" ht="16.5" spans="1:24">
      <c r="A2501" s="17">
        <f t="shared" si="1994"/>
        <v>61408</v>
      </c>
      <c r="B2501" s="17">
        <f t="shared" si="1960"/>
        <v>61400</v>
      </c>
      <c r="C2501" s="17" t="str">
        <f t="shared" si="1977"/>
        <v>6</v>
      </c>
      <c r="D2501" s="17">
        <f t="shared" si="1992"/>
        <v>60002</v>
      </c>
      <c r="E2501" s="17">
        <v>1</v>
      </c>
      <c r="F2501" s="17">
        <f t="shared" si="1958"/>
        <v>2</v>
      </c>
      <c r="G2501" s="17" t="str">
        <f t="shared" si="1995"/>
        <v>中级生命百分比</v>
      </c>
      <c r="H2501" s="17" t="str">
        <f t="shared" si="1996"/>
        <v>icon_05</v>
      </c>
      <c r="I2501" s="20">
        <v>0</v>
      </c>
      <c r="J2501" s="17">
        <v>8</v>
      </c>
      <c r="K2501" s="17">
        <f t="shared" si="1993"/>
        <v>61409</v>
      </c>
      <c r="L2501" s="17" t="s">
        <v>320</v>
      </c>
      <c r="M2501" s="17" t="str">
        <f t="shared" si="1997"/>
        <v>1:11100:5</v>
      </c>
      <c r="N2501" s="16" t="str">
        <f t="shared" si="1952"/>
        <v>178:1</v>
      </c>
      <c r="O2501" s="17">
        <f t="shared" si="1959"/>
        <v>5</v>
      </c>
      <c r="P2501" s="21" t="str">
        <f t="shared" si="1969"/>
        <v>所有魔物和野兽防御百分比增加:1</v>
      </c>
      <c r="Q2501" s="21"/>
      <c r="R2501" t="str">
        <f t="shared" si="1998"/>
        <v>防御百分比</v>
      </c>
      <c r="T2501" t="str">
        <f t="shared" si="1999"/>
        <v>:1</v>
      </c>
      <c r="U2501" t="str">
        <f t="shared" ref="U2501:U2564" si="2000">MID(P2501,3,2)</f>
        <v>魔物</v>
      </c>
      <c r="V2501" t="s">
        <v>5029</v>
      </c>
      <c r="W2501">
        <f>属性类型!G2501</f>
        <v>178</v>
      </c>
      <c r="X2501">
        <v>1</v>
      </c>
    </row>
    <row r="2502" customFormat="1" ht="16.5" spans="1:24">
      <c r="A2502" s="17">
        <f t="shared" si="1994"/>
        <v>61409</v>
      </c>
      <c r="B2502" s="17">
        <f t="shared" si="1960"/>
        <v>61400</v>
      </c>
      <c r="C2502" s="17" t="str">
        <f t="shared" si="1977"/>
        <v>6</v>
      </c>
      <c r="D2502" s="17">
        <f t="shared" si="1992"/>
        <v>60002</v>
      </c>
      <c r="E2502" s="17">
        <v>1</v>
      </c>
      <c r="F2502" s="17">
        <f t="shared" si="1958"/>
        <v>2</v>
      </c>
      <c r="G2502" s="17" t="str">
        <f t="shared" si="1995"/>
        <v>中级生命百分比</v>
      </c>
      <c r="H2502" s="17" t="str">
        <f t="shared" si="1996"/>
        <v>icon_05</v>
      </c>
      <c r="I2502" s="20">
        <v>0</v>
      </c>
      <c r="J2502" s="17">
        <v>9</v>
      </c>
      <c r="K2502" s="17">
        <f t="shared" si="1993"/>
        <v>61410</v>
      </c>
      <c r="L2502" s="17" t="s">
        <v>323</v>
      </c>
      <c r="M2502" s="17" t="str">
        <f t="shared" si="1997"/>
        <v>1:11100:5</v>
      </c>
      <c r="N2502" s="16" t="str">
        <f t="shared" si="1952"/>
        <v>178:1</v>
      </c>
      <c r="O2502" s="17">
        <f t="shared" si="1959"/>
        <v>5</v>
      </c>
      <c r="P2502" s="21" t="str">
        <f t="shared" si="1969"/>
        <v>所有魔物和野兽防御百分比增加:1</v>
      </c>
      <c r="Q2502" s="21"/>
      <c r="R2502" t="str">
        <f t="shared" si="1998"/>
        <v>防御百分比</v>
      </c>
      <c r="T2502" t="str">
        <f t="shared" si="1999"/>
        <v>:1</v>
      </c>
      <c r="U2502" t="str">
        <f t="shared" si="2000"/>
        <v>魔物</v>
      </c>
      <c r="V2502" t="s">
        <v>5029</v>
      </c>
      <c r="W2502">
        <f>属性类型!G2502</f>
        <v>178</v>
      </c>
      <c r="X2502">
        <v>1</v>
      </c>
    </row>
    <row r="2503" customFormat="1" ht="16.5" spans="1:24">
      <c r="A2503" s="17">
        <f t="shared" si="1994"/>
        <v>61410</v>
      </c>
      <c r="B2503" s="17">
        <f t="shared" si="1960"/>
        <v>61400</v>
      </c>
      <c r="C2503" s="17" t="str">
        <f t="shared" si="1977"/>
        <v>6</v>
      </c>
      <c r="D2503" s="17">
        <f t="shared" si="1992"/>
        <v>60002</v>
      </c>
      <c r="E2503" s="17">
        <v>1</v>
      </c>
      <c r="F2503" s="17">
        <f t="shared" si="1958"/>
        <v>2</v>
      </c>
      <c r="G2503" s="17" t="str">
        <f t="shared" si="1995"/>
        <v>中级生命百分比</v>
      </c>
      <c r="H2503" s="17" t="str">
        <f t="shared" si="1996"/>
        <v>icon_05</v>
      </c>
      <c r="I2503" s="20">
        <v>0</v>
      </c>
      <c r="J2503" s="17">
        <v>10</v>
      </c>
      <c r="K2503" s="17">
        <f t="shared" si="1993"/>
        <v>61411</v>
      </c>
      <c r="L2503" s="17" t="s">
        <v>407</v>
      </c>
      <c r="M2503" s="17" t="str">
        <f t="shared" si="1997"/>
        <v>1:11100:5</v>
      </c>
      <c r="N2503" s="16" t="str">
        <f t="shared" si="1952"/>
        <v>178:1</v>
      </c>
      <c r="O2503" s="17">
        <f t="shared" si="1959"/>
        <v>5</v>
      </c>
      <c r="P2503" s="21" t="str">
        <f t="shared" si="1969"/>
        <v>所有魔物和野兽防御百分比增加:1</v>
      </c>
      <c r="Q2503" s="21"/>
      <c r="R2503" t="str">
        <f t="shared" si="1998"/>
        <v>防御百分比</v>
      </c>
      <c r="T2503" t="str">
        <f t="shared" si="1999"/>
        <v>:1</v>
      </c>
      <c r="U2503" t="str">
        <f t="shared" si="2000"/>
        <v>魔物</v>
      </c>
      <c r="V2503" t="s">
        <v>5029</v>
      </c>
      <c r="W2503">
        <f>属性类型!G2503</f>
        <v>178</v>
      </c>
      <c r="X2503">
        <v>1</v>
      </c>
    </row>
    <row r="2504" customFormat="1" ht="16.5" spans="1:24">
      <c r="A2504" s="17">
        <f t="shared" si="1994"/>
        <v>61411</v>
      </c>
      <c r="B2504" s="17">
        <f t="shared" si="1960"/>
        <v>61400</v>
      </c>
      <c r="C2504" s="17" t="str">
        <f t="shared" si="1977"/>
        <v>6</v>
      </c>
      <c r="D2504" s="17">
        <f t="shared" si="1992"/>
        <v>60002</v>
      </c>
      <c r="E2504" s="17">
        <v>1</v>
      </c>
      <c r="F2504" s="17">
        <f t="shared" si="1958"/>
        <v>2</v>
      </c>
      <c r="G2504" s="17" t="str">
        <f t="shared" si="1995"/>
        <v>中级生命百分比</v>
      </c>
      <c r="H2504" s="17" t="str">
        <f t="shared" si="1996"/>
        <v>icon_05</v>
      </c>
      <c r="I2504" s="20">
        <v>0</v>
      </c>
      <c r="J2504" s="17">
        <v>11</v>
      </c>
      <c r="K2504" s="17">
        <f t="shared" si="1993"/>
        <v>61412</v>
      </c>
      <c r="L2504" s="17" t="s">
        <v>410</v>
      </c>
      <c r="M2504" s="17" t="str">
        <f t="shared" si="1997"/>
        <v>1:11100:5</v>
      </c>
      <c r="N2504" s="16" t="str">
        <f t="shared" si="1952"/>
        <v>178:1</v>
      </c>
      <c r="O2504" s="17">
        <f t="shared" si="1959"/>
        <v>5</v>
      </c>
      <c r="P2504" s="21" t="str">
        <f t="shared" si="1969"/>
        <v>所有魔物和野兽防御百分比增加:1</v>
      </c>
      <c r="Q2504" s="21"/>
      <c r="R2504" t="str">
        <f t="shared" si="1998"/>
        <v>防御百分比</v>
      </c>
      <c r="T2504" t="str">
        <f t="shared" si="1999"/>
        <v>:1</v>
      </c>
      <c r="U2504" t="str">
        <f t="shared" si="2000"/>
        <v>魔物</v>
      </c>
      <c r="V2504" t="s">
        <v>5029</v>
      </c>
      <c r="W2504">
        <f>属性类型!G2504</f>
        <v>178</v>
      </c>
      <c r="X2504">
        <v>1</v>
      </c>
    </row>
    <row r="2505" customFormat="1" ht="16.5" spans="1:24">
      <c r="A2505" s="17">
        <f t="shared" si="1994"/>
        <v>61412</v>
      </c>
      <c r="B2505" s="17">
        <f t="shared" si="1960"/>
        <v>61400</v>
      </c>
      <c r="C2505" s="17" t="str">
        <f t="shared" si="1977"/>
        <v>6</v>
      </c>
      <c r="D2505" s="17">
        <f t="shared" si="1992"/>
        <v>60002</v>
      </c>
      <c r="E2505" s="17">
        <v>1</v>
      </c>
      <c r="F2505" s="17">
        <f t="shared" si="1958"/>
        <v>2</v>
      </c>
      <c r="G2505" s="17" t="str">
        <f t="shared" si="1995"/>
        <v>中级生命百分比</v>
      </c>
      <c r="H2505" s="17" t="str">
        <f t="shared" si="1996"/>
        <v>icon_05</v>
      </c>
      <c r="I2505" s="20">
        <v>0</v>
      </c>
      <c r="J2505" s="17">
        <v>12</v>
      </c>
      <c r="K2505" s="17">
        <f t="shared" si="1993"/>
        <v>61413</v>
      </c>
      <c r="L2505" s="17" t="s">
        <v>414</v>
      </c>
      <c r="M2505" s="17" t="str">
        <f t="shared" si="1997"/>
        <v>1:11100:5</v>
      </c>
      <c r="N2505" s="16" t="str">
        <f t="shared" si="1952"/>
        <v>178:1</v>
      </c>
      <c r="O2505" s="17">
        <f t="shared" si="1959"/>
        <v>5</v>
      </c>
      <c r="P2505" s="21" t="str">
        <f t="shared" si="1969"/>
        <v>所有魔物和野兽防御百分比增加:1</v>
      </c>
      <c r="Q2505" s="21"/>
      <c r="R2505" t="str">
        <f t="shared" si="1998"/>
        <v>防御百分比</v>
      </c>
      <c r="T2505" t="str">
        <f t="shared" si="1999"/>
        <v>:1</v>
      </c>
      <c r="U2505" t="str">
        <f t="shared" si="2000"/>
        <v>魔物</v>
      </c>
      <c r="V2505" t="s">
        <v>5029</v>
      </c>
      <c r="W2505">
        <f>属性类型!G2505</f>
        <v>178</v>
      </c>
      <c r="X2505">
        <v>1</v>
      </c>
    </row>
    <row r="2506" customFormat="1" ht="16.5" spans="1:24">
      <c r="A2506" s="17">
        <f t="shared" si="1994"/>
        <v>61413</v>
      </c>
      <c r="B2506" s="17">
        <f t="shared" si="1960"/>
        <v>61400</v>
      </c>
      <c r="C2506" s="17" t="str">
        <f t="shared" si="1977"/>
        <v>6</v>
      </c>
      <c r="D2506" s="17">
        <f t="shared" si="1992"/>
        <v>60002</v>
      </c>
      <c r="E2506" s="17">
        <v>1</v>
      </c>
      <c r="F2506" s="17">
        <f t="shared" si="1958"/>
        <v>2</v>
      </c>
      <c r="G2506" s="17" t="str">
        <f t="shared" si="1995"/>
        <v>中级生命百分比</v>
      </c>
      <c r="H2506" s="17" t="str">
        <f t="shared" si="1996"/>
        <v>icon_05</v>
      </c>
      <c r="I2506" s="20">
        <v>0</v>
      </c>
      <c r="J2506" s="17">
        <v>13</v>
      </c>
      <c r="K2506" s="17">
        <f t="shared" si="1993"/>
        <v>61414</v>
      </c>
      <c r="L2506" s="17" t="s">
        <v>418</v>
      </c>
      <c r="M2506" s="17" t="str">
        <f t="shared" si="1997"/>
        <v>1:11100:5</v>
      </c>
      <c r="N2506" s="16" t="str">
        <f t="shared" si="1952"/>
        <v>178:1</v>
      </c>
      <c r="O2506" s="17">
        <f t="shared" si="1959"/>
        <v>5</v>
      </c>
      <c r="P2506" s="21" t="str">
        <f t="shared" si="1969"/>
        <v>所有魔物和野兽防御百分比增加:1</v>
      </c>
      <c r="Q2506" s="21"/>
      <c r="R2506" t="str">
        <f t="shared" si="1998"/>
        <v>防御百分比</v>
      </c>
      <c r="T2506" t="str">
        <f t="shared" si="1999"/>
        <v>:1</v>
      </c>
      <c r="U2506" t="str">
        <f t="shared" si="2000"/>
        <v>魔物</v>
      </c>
      <c r="V2506" t="s">
        <v>5029</v>
      </c>
      <c r="W2506">
        <f>属性类型!G2506</f>
        <v>178</v>
      </c>
      <c r="X2506">
        <v>1</v>
      </c>
    </row>
    <row r="2507" customFormat="1" ht="16.5" spans="1:24">
      <c r="A2507" s="17">
        <f t="shared" si="1994"/>
        <v>61414</v>
      </c>
      <c r="B2507" s="17">
        <f t="shared" si="1960"/>
        <v>61400</v>
      </c>
      <c r="C2507" s="17" t="str">
        <f t="shared" si="1977"/>
        <v>6</v>
      </c>
      <c r="D2507" s="17">
        <f t="shared" si="1992"/>
        <v>60002</v>
      </c>
      <c r="E2507" s="17">
        <v>1</v>
      </c>
      <c r="F2507" s="17">
        <f t="shared" si="1958"/>
        <v>2</v>
      </c>
      <c r="G2507" s="17" t="str">
        <f t="shared" si="1995"/>
        <v>中级生命百分比</v>
      </c>
      <c r="H2507" s="17" t="str">
        <f t="shared" si="1996"/>
        <v>icon_05</v>
      </c>
      <c r="I2507" s="20">
        <v>0</v>
      </c>
      <c r="J2507" s="17">
        <v>14</v>
      </c>
      <c r="K2507" s="17">
        <f t="shared" si="1993"/>
        <v>61415</v>
      </c>
      <c r="L2507" s="17" t="s">
        <v>422</v>
      </c>
      <c r="M2507" s="17" t="str">
        <f t="shared" si="1997"/>
        <v>1:11100:5</v>
      </c>
      <c r="N2507" s="16" t="str">
        <f t="shared" ref="N2507:N2570" si="2001">W2507&amp;$W$2&amp;X2507</f>
        <v>178:1</v>
      </c>
      <c r="O2507" s="17">
        <f t="shared" si="1959"/>
        <v>5</v>
      </c>
      <c r="P2507" s="21" t="str">
        <f t="shared" si="1969"/>
        <v>所有魔物和野兽防御百分比增加:1</v>
      </c>
      <c r="Q2507" s="21"/>
      <c r="R2507" t="str">
        <f t="shared" si="1998"/>
        <v>防御百分比</v>
      </c>
      <c r="T2507" t="str">
        <f t="shared" si="1999"/>
        <v>:1</v>
      </c>
      <c r="U2507" t="str">
        <f t="shared" si="2000"/>
        <v>魔物</v>
      </c>
      <c r="V2507" t="s">
        <v>5029</v>
      </c>
      <c r="W2507">
        <f>属性类型!G2507</f>
        <v>178</v>
      </c>
      <c r="X2507">
        <v>1</v>
      </c>
    </row>
    <row r="2508" customFormat="1" ht="16.5" spans="1:24">
      <c r="A2508" s="17">
        <f t="shared" si="1994"/>
        <v>61415</v>
      </c>
      <c r="B2508" s="17">
        <f t="shared" si="1960"/>
        <v>61400</v>
      </c>
      <c r="C2508" s="17" t="str">
        <f t="shared" si="1977"/>
        <v>6</v>
      </c>
      <c r="D2508" s="17">
        <f t="shared" si="1992"/>
        <v>60002</v>
      </c>
      <c r="E2508" s="17">
        <v>1</v>
      </c>
      <c r="F2508" s="17">
        <f t="shared" si="1958"/>
        <v>2</v>
      </c>
      <c r="G2508" s="17" t="str">
        <f t="shared" si="1995"/>
        <v>中级生命百分比</v>
      </c>
      <c r="H2508" s="17" t="str">
        <f t="shared" si="1996"/>
        <v>icon_05</v>
      </c>
      <c r="I2508" s="20">
        <v>0</v>
      </c>
      <c r="J2508" s="17">
        <v>15</v>
      </c>
      <c r="K2508" s="17">
        <v>0</v>
      </c>
      <c r="L2508" s="17">
        <v>0</v>
      </c>
      <c r="M2508" s="17" t="str">
        <f t="shared" si="1997"/>
        <v>1:11100:5</v>
      </c>
      <c r="N2508" s="16" t="str">
        <f t="shared" si="2001"/>
        <v>178:1</v>
      </c>
      <c r="O2508" s="17">
        <f t="shared" si="1959"/>
        <v>5</v>
      </c>
      <c r="P2508" s="21" t="str">
        <f t="shared" si="1969"/>
        <v>所有魔物和野兽防御百分比增加:1</v>
      </c>
      <c r="Q2508" s="21"/>
      <c r="R2508" t="str">
        <f t="shared" si="1998"/>
        <v>防御百分比</v>
      </c>
      <c r="T2508" t="str">
        <f t="shared" si="1999"/>
        <v>:1</v>
      </c>
      <c r="U2508" t="str">
        <f t="shared" si="2000"/>
        <v>魔物</v>
      </c>
      <c r="V2508" t="s">
        <v>5029</v>
      </c>
      <c r="W2508">
        <f>属性类型!G2508</f>
        <v>178</v>
      </c>
      <c r="X2508">
        <v>1</v>
      </c>
    </row>
    <row r="2509" customFormat="1" ht="16.5" spans="1:24">
      <c r="A2509" s="18">
        <f>A2493+100</f>
        <v>61500</v>
      </c>
      <c r="B2509" s="18">
        <f t="shared" ref="B2509:B2572" si="2002">ROUND(A2509,-2)</f>
        <v>61500</v>
      </c>
      <c r="C2509" s="18" t="str">
        <f t="shared" si="1977"/>
        <v>6</v>
      </c>
      <c r="D2509" s="17">
        <f t="shared" si="1992"/>
        <v>60002</v>
      </c>
      <c r="E2509" s="17">
        <v>1</v>
      </c>
      <c r="F2509" s="18">
        <f t="shared" si="1958"/>
        <v>2</v>
      </c>
      <c r="G2509" s="18" t="s">
        <v>427</v>
      </c>
      <c r="H2509" s="18" t="s">
        <v>149</v>
      </c>
      <c r="I2509" s="20">
        <v>0</v>
      </c>
      <c r="J2509" s="18">
        <v>0</v>
      </c>
      <c r="K2509" s="18">
        <f t="shared" ref="K2509:K2523" si="2003">A2510</f>
        <v>61501</v>
      </c>
      <c r="L2509" s="18" t="s">
        <v>297</v>
      </c>
      <c r="M2509" s="18" t="s">
        <v>429</v>
      </c>
      <c r="N2509" s="16" t="str">
        <f t="shared" si="2001"/>
        <v>177:1</v>
      </c>
      <c r="O2509" s="18">
        <f t="shared" si="1959"/>
        <v>6</v>
      </c>
      <c r="P2509" s="21" t="str">
        <f t="shared" si="1969"/>
        <v>所有魔物和野兽攻击百分比增加1</v>
      </c>
      <c r="Q2509" s="21"/>
      <c r="R2509" t="s">
        <v>4280</v>
      </c>
      <c r="T2509" t="str">
        <f>RIGHT(N2509,1)</f>
        <v>1</v>
      </c>
      <c r="U2509" t="str">
        <f t="shared" si="2000"/>
        <v>魔物</v>
      </c>
      <c r="V2509" t="s">
        <v>5030</v>
      </c>
      <c r="W2509">
        <f>属性类型!G2509</f>
        <v>177</v>
      </c>
      <c r="X2509">
        <v>1</v>
      </c>
    </row>
    <row r="2510" customFormat="1" ht="16.5" spans="1:24">
      <c r="A2510" s="17">
        <f t="shared" ref="A2510:A2524" si="2004">A2509+1</f>
        <v>61501</v>
      </c>
      <c r="B2510" s="17">
        <f t="shared" si="2002"/>
        <v>61500</v>
      </c>
      <c r="C2510" s="17" t="str">
        <f t="shared" si="1977"/>
        <v>6</v>
      </c>
      <c r="D2510" s="17">
        <f t="shared" si="1992"/>
        <v>60002</v>
      </c>
      <c r="E2510" s="17">
        <v>1</v>
      </c>
      <c r="F2510" s="17">
        <f t="shared" si="1958"/>
        <v>2</v>
      </c>
      <c r="G2510" s="17" t="str">
        <f t="shared" ref="G2510:G2524" si="2005">G2509</f>
        <v>中级攻击百分比</v>
      </c>
      <c r="H2510" s="17" t="str">
        <f t="shared" ref="H2510:H2524" si="2006">H2509</f>
        <v>icon_06</v>
      </c>
      <c r="I2510" s="20">
        <v>0</v>
      </c>
      <c r="J2510" s="17">
        <v>1</v>
      </c>
      <c r="K2510" s="17">
        <f t="shared" si="2003"/>
        <v>61502</v>
      </c>
      <c r="L2510" s="17" t="s">
        <v>300</v>
      </c>
      <c r="M2510" s="17" t="str">
        <f t="shared" ref="M2510:M2524" si="2007">M2509</f>
        <v>1:11200:5</v>
      </c>
      <c r="N2510" s="16" t="str">
        <f t="shared" si="2001"/>
        <v>177:1</v>
      </c>
      <c r="O2510" s="17">
        <f t="shared" si="1959"/>
        <v>6</v>
      </c>
      <c r="P2510" s="21" t="str">
        <f t="shared" si="1969"/>
        <v>所有魔物和野兽攻击百分比增加:1</v>
      </c>
      <c r="Q2510" s="21"/>
      <c r="R2510" t="str">
        <f t="shared" ref="R2510:R2524" si="2008">R2509</f>
        <v>攻击百分比</v>
      </c>
      <c r="T2510" t="str">
        <f t="shared" ref="T2510:T2524" si="2009">RIGHT(N2510,2)</f>
        <v>:1</v>
      </c>
      <c r="U2510" t="str">
        <f t="shared" si="2000"/>
        <v>魔物</v>
      </c>
      <c r="V2510" t="s">
        <v>5030</v>
      </c>
      <c r="W2510">
        <f>属性类型!G2510</f>
        <v>177</v>
      </c>
      <c r="X2510">
        <v>1</v>
      </c>
    </row>
    <row r="2511" customFormat="1" ht="16.5" spans="1:24">
      <c r="A2511" s="17">
        <f t="shared" si="2004"/>
        <v>61502</v>
      </c>
      <c r="B2511" s="17">
        <f t="shared" si="2002"/>
        <v>61500</v>
      </c>
      <c r="C2511" s="17" t="str">
        <f t="shared" si="1977"/>
        <v>6</v>
      </c>
      <c r="D2511" s="17">
        <f t="shared" si="1992"/>
        <v>60002</v>
      </c>
      <c r="E2511" s="17">
        <v>1</v>
      </c>
      <c r="F2511" s="17">
        <f t="shared" si="1958"/>
        <v>2</v>
      </c>
      <c r="G2511" s="17" t="str">
        <f t="shared" si="2005"/>
        <v>中级攻击百分比</v>
      </c>
      <c r="H2511" s="17" t="str">
        <f t="shared" si="2006"/>
        <v>icon_06</v>
      </c>
      <c r="I2511" s="20">
        <v>0</v>
      </c>
      <c r="J2511" s="17">
        <v>2</v>
      </c>
      <c r="K2511" s="17">
        <f t="shared" si="2003"/>
        <v>61503</v>
      </c>
      <c r="L2511" s="17" t="s">
        <v>304</v>
      </c>
      <c r="M2511" s="17" t="str">
        <f t="shared" si="2007"/>
        <v>1:11200:5</v>
      </c>
      <c r="N2511" s="16" t="str">
        <f t="shared" si="2001"/>
        <v>177:1</v>
      </c>
      <c r="O2511" s="17">
        <f t="shared" si="1959"/>
        <v>6</v>
      </c>
      <c r="P2511" s="21" t="str">
        <f t="shared" si="1969"/>
        <v>所有魔物和野兽攻击百分比增加:1</v>
      </c>
      <c r="Q2511" s="21"/>
      <c r="R2511" t="str">
        <f t="shared" si="2008"/>
        <v>攻击百分比</v>
      </c>
      <c r="T2511" t="str">
        <f t="shared" si="2009"/>
        <v>:1</v>
      </c>
      <c r="U2511" t="str">
        <f t="shared" si="2000"/>
        <v>魔物</v>
      </c>
      <c r="V2511" t="s">
        <v>5030</v>
      </c>
      <c r="W2511">
        <f>属性类型!G2511</f>
        <v>177</v>
      </c>
      <c r="X2511">
        <v>1</v>
      </c>
    </row>
    <row r="2512" customFormat="1" ht="16.5" spans="1:24">
      <c r="A2512" s="17">
        <f t="shared" si="2004"/>
        <v>61503</v>
      </c>
      <c r="B2512" s="17">
        <f t="shared" si="2002"/>
        <v>61500</v>
      </c>
      <c r="C2512" s="17" t="str">
        <f t="shared" si="1977"/>
        <v>6</v>
      </c>
      <c r="D2512" s="17">
        <f t="shared" si="1992"/>
        <v>60002</v>
      </c>
      <c r="E2512" s="17">
        <v>1</v>
      </c>
      <c r="F2512" s="17">
        <f t="shared" ref="F2512:F2575" si="2010">MID(B2512,2,1)+1</f>
        <v>2</v>
      </c>
      <c r="G2512" s="17" t="str">
        <f t="shared" si="2005"/>
        <v>中级攻击百分比</v>
      </c>
      <c r="H2512" s="17" t="str">
        <f t="shared" si="2006"/>
        <v>icon_06</v>
      </c>
      <c r="I2512" s="20">
        <v>0</v>
      </c>
      <c r="J2512" s="17">
        <v>3</v>
      </c>
      <c r="K2512" s="17">
        <f t="shared" si="2003"/>
        <v>61504</v>
      </c>
      <c r="L2512" s="17" t="s">
        <v>307</v>
      </c>
      <c r="M2512" s="17" t="str">
        <f t="shared" si="2007"/>
        <v>1:11200:5</v>
      </c>
      <c r="N2512" s="16" t="str">
        <f t="shared" si="2001"/>
        <v>177:1</v>
      </c>
      <c r="O2512" s="17">
        <f t="shared" ref="O2512:O2575" si="2011">MID(A2512,3,1)+1</f>
        <v>6</v>
      </c>
      <c r="P2512" s="21" t="str">
        <f t="shared" si="1969"/>
        <v>所有魔物和野兽攻击百分比增加:1</v>
      </c>
      <c r="Q2512" s="21"/>
      <c r="R2512" t="str">
        <f t="shared" si="2008"/>
        <v>攻击百分比</v>
      </c>
      <c r="T2512" t="str">
        <f t="shared" si="2009"/>
        <v>:1</v>
      </c>
      <c r="U2512" t="str">
        <f t="shared" si="2000"/>
        <v>魔物</v>
      </c>
      <c r="V2512" t="s">
        <v>5030</v>
      </c>
      <c r="W2512">
        <f>属性类型!G2512</f>
        <v>177</v>
      </c>
      <c r="X2512">
        <v>1</v>
      </c>
    </row>
    <row r="2513" customFormat="1" ht="16.5" spans="1:24">
      <c r="A2513" s="17">
        <f t="shared" si="2004"/>
        <v>61504</v>
      </c>
      <c r="B2513" s="17">
        <f t="shared" si="2002"/>
        <v>61500</v>
      </c>
      <c r="C2513" s="17" t="str">
        <f t="shared" si="1977"/>
        <v>6</v>
      </c>
      <c r="D2513" s="17">
        <f t="shared" si="1992"/>
        <v>60002</v>
      </c>
      <c r="E2513" s="17">
        <v>1</v>
      </c>
      <c r="F2513" s="17">
        <f t="shared" si="2010"/>
        <v>2</v>
      </c>
      <c r="G2513" s="17" t="str">
        <f t="shared" si="2005"/>
        <v>中级攻击百分比</v>
      </c>
      <c r="H2513" s="17" t="str">
        <f t="shared" si="2006"/>
        <v>icon_06</v>
      </c>
      <c r="I2513" s="20">
        <v>0</v>
      </c>
      <c r="J2513" s="17">
        <v>4</v>
      </c>
      <c r="K2513" s="17">
        <f t="shared" si="2003"/>
        <v>61505</v>
      </c>
      <c r="L2513" s="17" t="s">
        <v>309</v>
      </c>
      <c r="M2513" s="17" t="str">
        <f t="shared" si="2007"/>
        <v>1:11200:5</v>
      </c>
      <c r="N2513" s="16" t="str">
        <f t="shared" si="2001"/>
        <v>177:1</v>
      </c>
      <c r="O2513" s="17">
        <f t="shared" si="2011"/>
        <v>6</v>
      </c>
      <c r="P2513" s="21" t="str">
        <f t="shared" si="1969"/>
        <v>所有魔物和野兽攻击百分比增加:1</v>
      </c>
      <c r="Q2513" s="21"/>
      <c r="R2513" t="str">
        <f t="shared" si="2008"/>
        <v>攻击百分比</v>
      </c>
      <c r="T2513" t="str">
        <f t="shared" si="2009"/>
        <v>:1</v>
      </c>
      <c r="U2513" t="str">
        <f t="shared" si="2000"/>
        <v>魔物</v>
      </c>
      <c r="V2513" t="s">
        <v>5030</v>
      </c>
      <c r="W2513">
        <f>属性类型!G2513</f>
        <v>177</v>
      </c>
      <c r="X2513">
        <v>1</v>
      </c>
    </row>
    <row r="2514" customFormat="1" ht="16.5" spans="1:24">
      <c r="A2514" s="17">
        <f t="shared" si="2004"/>
        <v>61505</v>
      </c>
      <c r="B2514" s="17">
        <f t="shared" si="2002"/>
        <v>61500</v>
      </c>
      <c r="C2514" s="17" t="str">
        <f t="shared" si="1977"/>
        <v>6</v>
      </c>
      <c r="D2514" s="17">
        <f t="shared" si="1992"/>
        <v>60002</v>
      </c>
      <c r="E2514" s="17">
        <v>1</v>
      </c>
      <c r="F2514" s="17">
        <f t="shared" si="2010"/>
        <v>2</v>
      </c>
      <c r="G2514" s="17" t="str">
        <f t="shared" si="2005"/>
        <v>中级攻击百分比</v>
      </c>
      <c r="H2514" s="17" t="str">
        <f t="shared" si="2006"/>
        <v>icon_06</v>
      </c>
      <c r="I2514" s="20">
        <v>0</v>
      </c>
      <c r="J2514" s="17">
        <v>5</v>
      </c>
      <c r="K2514" s="17">
        <f t="shared" si="2003"/>
        <v>61506</v>
      </c>
      <c r="L2514" s="17" t="s">
        <v>312</v>
      </c>
      <c r="M2514" s="17" t="str">
        <f t="shared" si="2007"/>
        <v>1:11200:5</v>
      </c>
      <c r="N2514" s="16" t="str">
        <f t="shared" si="2001"/>
        <v>177:1</v>
      </c>
      <c r="O2514" s="17">
        <f t="shared" si="2011"/>
        <v>6</v>
      </c>
      <c r="P2514" s="21" t="str">
        <f t="shared" si="1969"/>
        <v>所有魔物和野兽攻击百分比增加:1</v>
      </c>
      <c r="Q2514" s="21"/>
      <c r="R2514" t="str">
        <f t="shared" si="2008"/>
        <v>攻击百分比</v>
      </c>
      <c r="T2514" t="str">
        <f t="shared" si="2009"/>
        <v>:1</v>
      </c>
      <c r="U2514" t="str">
        <f t="shared" si="2000"/>
        <v>魔物</v>
      </c>
      <c r="V2514" t="s">
        <v>5030</v>
      </c>
      <c r="W2514">
        <f>属性类型!G2514</f>
        <v>177</v>
      </c>
      <c r="X2514">
        <v>1</v>
      </c>
    </row>
    <row r="2515" customFormat="1" ht="16.5" spans="1:24">
      <c r="A2515" s="17">
        <f t="shared" si="2004"/>
        <v>61506</v>
      </c>
      <c r="B2515" s="17">
        <f t="shared" si="2002"/>
        <v>61500</v>
      </c>
      <c r="C2515" s="17" t="str">
        <f t="shared" si="1977"/>
        <v>6</v>
      </c>
      <c r="D2515" s="17">
        <f t="shared" si="1992"/>
        <v>60002</v>
      </c>
      <c r="E2515" s="17">
        <v>1</v>
      </c>
      <c r="F2515" s="17">
        <f t="shared" si="2010"/>
        <v>2</v>
      </c>
      <c r="G2515" s="17" t="str">
        <f t="shared" si="2005"/>
        <v>中级攻击百分比</v>
      </c>
      <c r="H2515" s="17" t="str">
        <f t="shared" si="2006"/>
        <v>icon_06</v>
      </c>
      <c r="I2515" s="20">
        <v>0</v>
      </c>
      <c r="J2515" s="17">
        <v>6</v>
      </c>
      <c r="K2515" s="17">
        <f t="shared" si="2003"/>
        <v>61507</v>
      </c>
      <c r="L2515" s="17" t="s">
        <v>315</v>
      </c>
      <c r="M2515" s="17" t="str">
        <f t="shared" si="2007"/>
        <v>1:11200:5</v>
      </c>
      <c r="N2515" s="16" t="str">
        <f t="shared" si="2001"/>
        <v>177:1</v>
      </c>
      <c r="O2515" s="17">
        <f t="shared" si="2011"/>
        <v>6</v>
      </c>
      <c r="P2515" s="21" t="str">
        <f t="shared" si="1969"/>
        <v>所有魔物和野兽攻击百分比增加:1</v>
      </c>
      <c r="Q2515" s="21"/>
      <c r="R2515" t="str">
        <f t="shared" si="2008"/>
        <v>攻击百分比</v>
      </c>
      <c r="T2515" t="str">
        <f t="shared" si="2009"/>
        <v>:1</v>
      </c>
      <c r="U2515" t="str">
        <f t="shared" si="2000"/>
        <v>魔物</v>
      </c>
      <c r="V2515" t="s">
        <v>5030</v>
      </c>
      <c r="W2515">
        <f>属性类型!G2515</f>
        <v>177</v>
      </c>
      <c r="X2515">
        <v>1</v>
      </c>
    </row>
    <row r="2516" customFormat="1" ht="16.5" spans="1:24">
      <c r="A2516" s="17">
        <f t="shared" si="2004"/>
        <v>61507</v>
      </c>
      <c r="B2516" s="17">
        <f t="shared" si="2002"/>
        <v>61500</v>
      </c>
      <c r="C2516" s="17" t="str">
        <f t="shared" si="1977"/>
        <v>6</v>
      </c>
      <c r="D2516" s="17">
        <f t="shared" si="1992"/>
        <v>60002</v>
      </c>
      <c r="E2516" s="17">
        <v>1</v>
      </c>
      <c r="F2516" s="17">
        <f t="shared" si="2010"/>
        <v>2</v>
      </c>
      <c r="G2516" s="17" t="str">
        <f t="shared" si="2005"/>
        <v>中级攻击百分比</v>
      </c>
      <c r="H2516" s="17" t="str">
        <f t="shared" si="2006"/>
        <v>icon_06</v>
      </c>
      <c r="I2516" s="20">
        <v>0</v>
      </c>
      <c r="J2516" s="17">
        <v>7</v>
      </c>
      <c r="K2516" s="17">
        <f t="shared" si="2003"/>
        <v>61508</v>
      </c>
      <c r="L2516" s="17" t="s">
        <v>317</v>
      </c>
      <c r="M2516" s="17" t="str">
        <f t="shared" si="2007"/>
        <v>1:11200:5</v>
      </c>
      <c r="N2516" s="16" t="str">
        <f t="shared" si="2001"/>
        <v>177:1</v>
      </c>
      <c r="O2516" s="17">
        <f t="shared" si="2011"/>
        <v>6</v>
      </c>
      <c r="P2516" s="21" t="str">
        <f t="shared" si="1969"/>
        <v>所有魔物和野兽攻击百分比增加:1</v>
      </c>
      <c r="Q2516" s="21"/>
      <c r="R2516" t="str">
        <f t="shared" si="2008"/>
        <v>攻击百分比</v>
      </c>
      <c r="T2516" t="str">
        <f t="shared" si="2009"/>
        <v>:1</v>
      </c>
      <c r="U2516" t="str">
        <f t="shared" si="2000"/>
        <v>魔物</v>
      </c>
      <c r="V2516" t="s">
        <v>5030</v>
      </c>
      <c r="W2516">
        <f>属性类型!G2516</f>
        <v>177</v>
      </c>
      <c r="X2516">
        <v>1</v>
      </c>
    </row>
    <row r="2517" customFormat="1" ht="16.5" spans="1:24">
      <c r="A2517" s="17">
        <f t="shared" si="2004"/>
        <v>61508</v>
      </c>
      <c r="B2517" s="17">
        <f t="shared" si="2002"/>
        <v>61500</v>
      </c>
      <c r="C2517" s="17" t="str">
        <f t="shared" si="1977"/>
        <v>6</v>
      </c>
      <c r="D2517" s="17">
        <f t="shared" si="1992"/>
        <v>60002</v>
      </c>
      <c r="E2517" s="17">
        <v>1</v>
      </c>
      <c r="F2517" s="17">
        <f t="shared" si="2010"/>
        <v>2</v>
      </c>
      <c r="G2517" s="17" t="str">
        <f t="shared" si="2005"/>
        <v>中级攻击百分比</v>
      </c>
      <c r="H2517" s="17" t="str">
        <f t="shared" si="2006"/>
        <v>icon_06</v>
      </c>
      <c r="I2517" s="20">
        <v>0</v>
      </c>
      <c r="J2517" s="17">
        <v>8</v>
      </c>
      <c r="K2517" s="17">
        <f t="shared" si="2003"/>
        <v>61509</v>
      </c>
      <c r="L2517" s="17" t="s">
        <v>320</v>
      </c>
      <c r="M2517" s="17" t="str">
        <f t="shared" si="2007"/>
        <v>1:11200:5</v>
      </c>
      <c r="N2517" s="16" t="str">
        <f t="shared" si="2001"/>
        <v>177:1</v>
      </c>
      <c r="O2517" s="17">
        <f t="shared" si="2011"/>
        <v>6</v>
      </c>
      <c r="P2517" s="21" t="str">
        <f t="shared" si="1969"/>
        <v>所有魔物和野兽攻击百分比增加:1</v>
      </c>
      <c r="Q2517" s="21"/>
      <c r="R2517" t="str">
        <f t="shared" si="2008"/>
        <v>攻击百分比</v>
      </c>
      <c r="T2517" t="str">
        <f t="shared" si="2009"/>
        <v>:1</v>
      </c>
      <c r="U2517" t="str">
        <f t="shared" si="2000"/>
        <v>魔物</v>
      </c>
      <c r="V2517" t="s">
        <v>5030</v>
      </c>
      <c r="W2517">
        <f>属性类型!G2517</f>
        <v>177</v>
      </c>
      <c r="X2517">
        <v>1</v>
      </c>
    </row>
    <row r="2518" customFormat="1" ht="16.5" spans="1:24">
      <c r="A2518" s="17">
        <f t="shared" si="2004"/>
        <v>61509</v>
      </c>
      <c r="B2518" s="17">
        <f t="shared" si="2002"/>
        <v>61500</v>
      </c>
      <c r="C2518" s="17" t="str">
        <f t="shared" si="1977"/>
        <v>6</v>
      </c>
      <c r="D2518" s="17">
        <f t="shared" si="1992"/>
        <v>60002</v>
      </c>
      <c r="E2518" s="17">
        <v>1</v>
      </c>
      <c r="F2518" s="17">
        <f t="shared" si="2010"/>
        <v>2</v>
      </c>
      <c r="G2518" s="17" t="str">
        <f t="shared" si="2005"/>
        <v>中级攻击百分比</v>
      </c>
      <c r="H2518" s="17" t="str">
        <f t="shared" si="2006"/>
        <v>icon_06</v>
      </c>
      <c r="I2518" s="20">
        <v>0</v>
      </c>
      <c r="J2518" s="17">
        <v>9</v>
      </c>
      <c r="K2518" s="17">
        <f t="shared" si="2003"/>
        <v>61510</v>
      </c>
      <c r="L2518" s="17" t="s">
        <v>323</v>
      </c>
      <c r="M2518" s="17" t="str">
        <f t="shared" si="2007"/>
        <v>1:11200:5</v>
      </c>
      <c r="N2518" s="16" t="str">
        <f t="shared" si="2001"/>
        <v>177:1</v>
      </c>
      <c r="O2518" s="17">
        <f t="shared" si="2011"/>
        <v>6</v>
      </c>
      <c r="P2518" s="21" t="str">
        <f t="shared" si="1969"/>
        <v>所有魔物和野兽攻击百分比增加:1</v>
      </c>
      <c r="Q2518" s="21"/>
      <c r="R2518" t="str">
        <f t="shared" si="2008"/>
        <v>攻击百分比</v>
      </c>
      <c r="T2518" t="str">
        <f t="shared" si="2009"/>
        <v>:1</v>
      </c>
      <c r="U2518" t="str">
        <f t="shared" si="2000"/>
        <v>魔物</v>
      </c>
      <c r="V2518" t="s">
        <v>5030</v>
      </c>
      <c r="W2518">
        <f>属性类型!G2518</f>
        <v>177</v>
      </c>
      <c r="X2518">
        <v>1</v>
      </c>
    </row>
    <row r="2519" customFormat="1" ht="16.5" spans="1:24">
      <c r="A2519" s="17">
        <f t="shared" si="2004"/>
        <v>61510</v>
      </c>
      <c r="B2519" s="17">
        <f t="shared" si="2002"/>
        <v>61500</v>
      </c>
      <c r="C2519" s="17" t="str">
        <f t="shared" si="1977"/>
        <v>6</v>
      </c>
      <c r="D2519" s="17">
        <f t="shared" si="1992"/>
        <v>60002</v>
      </c>
      <c r="E2519" s="17">
        <v>1</v>
      </c>
      <c r="F2519" s="17">
        <f t="shared" si="2010"/>
        <v>2</v>
      </c>
      <c r="G2519" s="17" t="str">
        <f t="shared" si="2005"/>
        <v>中级攻击百分比</v>
      </c>
      <c r="H2519" s="17" t="str">
        <f t="shared" si="2006"/>
        <v>icon_06</v>
      </c>
      <c r="I2519" s="20">
        <v>0</v>
      </c>
      <c r="J2519" s="17">
        <v>10</v>
      </c>
      <c r="K2519" s="17">
        <f t="shared" si="2003"/>
        <v>61511</v>
      </c>
      <c r="L2519" s="17" t="s">
        <v>407</v>
      </c>
      <c r="M2519" s="17" t="str">
        <f t="shared" si="2007"/>
        <v>1:11200:5</v>
      </c>
      <c r="N2519" s="16" t="str">
        <f t="shared" si="2001"/>
        <v>177:1</v>
      </c>
      <c r="O2519" s="17">
        <f t="shared" si="2011"/>
        <v>6</v>
      </c>
      <c r="P2519" s="21" t="str">
        <f t="shared" si="1969"/>
        <v>所有魔物和野兽攻击百分比增加:1</v>
      </c>
      <c r="Q2519" s="21"/>
      <c r="R2519" t="str">
        <f t="shared" si="2008"/>
        <v>攻击百分比</v>
      </c>
      <c r="T2519" t="str">
        <f t="shared" si="2009"/>
        <v>:1</v>
      </c>
      <c r="U2519" t="str">
        <f t="shared" si="2000"/>
        <v>魔物</v>
      </c>
      <c r="V2519" t="s">
        <v>5030</v>
      </c>
      <c r="W2519">
        <f>属性类型!G2519</f>
        <v>177</v>
      </c>
      <c r="X2519">
        <v>1</v>
      </c>
    </row>
    <row r="2520" customFormat="1" ht="16.5" spans="1:24">
      <c r="A2520" s="17">
        <f t="shared" si="2004"/>
        <v>61511</v>
      </c>
      <c r="B2520" s="17">
        <f t="shared" si="2002"/>
        <v>61500</v>
      </c>
      <c r="C2520" s="17" t="str">
        <f t="shared" si="1977"/>
        <v>6</v>
      </c>
      <c r="D2520" s="17">
        <f t="shared" si="1992"/>
        <v>60002</v>
      </c>
      <c r="E2520" s="17">
        <v>1</v>
      </c>
      <c r="F2520" s="17">
        <f t="shared" si="2010"/>
        <v>2</v>
      </c>
      <c r="G2520" s="17" t="str">
        <f t="shared" si="2005"/>
        <v>中级攻击百分比</v>
      </c>
      <c r="H2520" s="17" t="str">
        <f t="shared" si="2006"/>
        <v>icon_06</v>
      </c>
      <c r="I2520" s="20">
        <v>0</v>
      </c>
      <c r="J2520" s="17">
        <v>11</v>
      </c>
      <c r="K2520" s="17">
        <f t="shared" si="2003"/>
        <v>61512</v>
      </c>
      <c r="L2520" s="17" t="s">
        <v>410</v>
      </c>
      <c r="M2520" s="17" t="str">
        <f t="shared" si="2007"/>
        <v>1:11200:5</v>
      </c>
      <c r="N2520" s="16" t="str">
        <f t="shared" si="2001"/>
        <v>177:1</v>
      </c>
      <c r="O2520" s="17">
        <f t="shared" si="2011"/>
        <v>6</v>
      </c>
      <c r="P2520" s="21" t="str">
        <f t="shared" si="1969"/>
        <v>所有魔物和野兽攻击百分比增加:1</v>
      </c>
      <c r="Q2520" s="21"/>
      <c r="R2520" t="str">
        <f t="shared" si="2008"/>
        <v>攻击百分比</v>
      </c>
      <c r="T2520" t="str">
        <f t="shared" si="2009"/>
        <v>:1</v>
      </c>
      <c r="U2520" t="str">
        <f t="shared" si="2000"/>
        <v>魔物</v>
      </c>
      <c r="V2520" t="s">
        <v>5030</v>
      </c>
      <c r="W2520">
        <f>属性类型!G2520</f>
        <v>177</v>
      </c>
      <c r="X2520">
        <v>1</v>
      </c>
    </row>
    <row r="2521" customFormat="1" ht="16.5" spans="1:24">
      <c r="A2521" s="17">
        <f t="shared" si="2004"/>
        <v>61512</v>
      </c>
      <c r="B2521" s="17">
        <f t="shared" si="2002"/>
        <v>61500</v>
      </c>
      <c r="C2521" s="17" t="str">
        <f t="shared" si="1977"/>
        <v>6</v>
      </c>
      <c r="D2521" s="17">
        <f t="shared" si="1992"/>
        <v>60002</v>
      </c>
      <c r="E2521" s="17">
        <v>1</v>
      </c>
      <c r="F2521" s="17">
        <f t="shared" si="2010"/>
        <v>2</v>
      </c>
      <c r="G2521" s="17" t="str">
        <f t="shared" si="2005"/>
        <v>中级攻击百分比</v>
      </c>
      <c r="H2521" s="17" t="str">
        <f t="shared" si="2006"/>
        <v>icon_06</v>
      </c>
      <c r="I2521" s="20">
        <v>0</v>
      </c>
      <c r="J2521" s="17">
        <v>12</v>
      </c>
      <c r="K2521" s="17">
        <f t="shared" si="2003"/>
        <v>61513</v>
      </c>
      <c r="L2521" s="17" t="s">
        <v>414</v>
      </c>
      <c r="M2521" s="17" t="str">
        <f t="shared" si="2007"/>
        <v>1:11200:5</v>
      </c>
      <c r="N2521" s="16" t="str">
        <f t="shared" si="2001"/>
        <v>177:1</v>
      </c>
      <c r="O2521" s="17">
        <f t="shared" si="2011"/>
        <v>6</v>
      </c>
      <c r="P2521" s="21" t="str">
        <f t="shared" si="1969"/>
        <v>所有魔物和野兽攻击百分比增加:1</v>
      </c>
      <c r="Q2521" s="21"/>
      <c r="R2521" t="str">
        <f t="shared" si="2008"/>
        <v>攻击百分比</v>
      </c>
      <c r="T2521" t="str">
        <f t="shared" si="2009"/>
        <v>:1</v>
      </c>
      <c r="U2521" t="str">
        <f t="shared" si="2000"/>
        <v>魔物</v>
      </c>
      <c r="V2521" t="s">
        <v>5030</v>
      </c>
      <c r="W2521">
        <f>属性类型!G2521</f>
        <v>177</v>
      </c>
      <c r="X2521">
        <v>1</v>
      </c>
    </row>
    <row r="2522" customFormat="1" ht="16.5" spans="1:24">
      <c r="A2522" s="17">
        <f t="shared" si="2004"/>
        <v>61513</v>
      </c>
      <c r="B2522" s="17">
        <f t="shared" si="2002"/>
        <v>61500</v>
      </c>
      <c r="C2522" s="17" t="str">
        <f t="shared" si="1977"/>
        <v>6</v>
      </c>
      <c r="D2522" s="17">
        <f t="shared" si="1992"/>
        <v>60002</v>
      </c>
      <c r="E2522" s="17">
        <v>1</v>
      </c>
      <c r="F2522" s="17">
        <f t="shared" si="2010"/>
        <v>2</v>
      </c>
      <c r="G2522" s="17" t="str">
        <f t="shared" si="2005"/>
        <v>中级攻击百分比</v>
      </c>
      <c r="H2522" s="17" t="str">
        <f t="shared" si="2006"/>
        <v>icon_06</v>
      </c>
      <c r="I2522" s="20">
        <v>0</v>
      </c>
      <c r="J2522" s="17">
        <v>13</v>
      </c>
      <c r="K2522" s="17">
        <f t="shared" si="2003"/>
        <v>61514</v>
      </c>
      <c r="L2522" s="17" t="s">
        <v>418</v>
      </c>
      <c r="M2522" s="17" t="str">
        <f t="shared" si="2007"/>
        <v>1:11200:5</v>
      </c>
      <c r="N2522" s="16" t="str">
        <f t="shared" si="2001"/>
        <v>177:1</v>
      </c>
      <c r="O2522" s="17">
        <f t="shared" si="2011"/>
        <v>6</v>
      </c>
      <c r="P2522" s="21" t="str">
        <f t="shared" si="1969"/>
        <v>所有魔物和野兽攻击百分比增加:1</v>
      </c>
      <c r="Q2522" s="21"/>
      <c r="R2522" t="str">
        <f t="shared" si="2008"/>
        <v>攻击百分比</v>
      </c>
      <c r="T2522" t="str">
        <f t="shared" si="2009"/>
        <v>:1</v>
      </c>
      <c r="U2522" t="str">
        <f t="shared" si="2000"/>
        <v>魔物</v>
      </c>
      <c r="V2522" t="s">
        <v>5030</v>
      </c>
      <c r="W2522">
        <f>属性类型!G2522</f>
        <v>177</v>
      </c>
      <c r="X2522">
        <v>1</v>
      </c>
    </row>
    <row r="2523" customFormat="1" ht="16.5" spans="1:24">
      <c r="A2523" s="17">
        <f t="shared" si="2004"/>
        <v>61514</v>
      </c>
      <c r="B2523" s="17">
        <f t="shared" si="2002"/>
        <v>61500</v>
      </c>
      <c r="C2523" s="17" t="str">
        <f t="shared" si="1977"/>
        <v>6</v>
      </c>
      <c r="D2523" s="17">
        <f t="shared" si="1992"/>
        <v>60002</v>
      </c>
      <c r="E2523" s="17">
        <v>1</v>
      </c>
      <c r="F2523" s="17">
        <f t="shared" si="2010"/>
        <v>2</v>
      </c>
      <c r="G2523" s="17" t="str">
        <f t="shared" si="2005"/>
        <v>中级攻击百分比</v>
      </c>
      <c r="H2523" s="17" t="str">
        <f t="shared" si="2006"/>
        <v>icon_06</v>
      </c>
      <c r="I2523" s="20">
        <v>0</v>
      </c>
      <c r="J2523" s="17">
        <v>14</v>
      </c>
      <c r="K2523" s="17">
        <f t="shared" si="2003"/>
        <v>61515</v>
      </c>
      <c r="L2523" s="17" t="s">
        <v>422</v>
      </c>
      <c r="M2523" s="17" t="str">
        <f t="shared" si="2007"/>
        <v>1:11200:5</v>
      </c>
      <c r="N2523" s="16" t="str">
        <f t="shared" si="2001"/>
        <v>177:1</v>
      </c>
      <c r="O2523" s="17">
        <f t="shared" si="2011"/>
        <v>6</v>
      </c>
      <c r="P2523" s="21" t="str">
        <f>$S$3&amp;R2523&amp;$Q$1&amp;T2523</f>
        <v>所有魔物和野兽攻击百分比增加:1</v>
      </c>
      <c r="Q2523" s="21"/>
      <c r="R2523" t="str">
        <f t="shared" si="2008"/>
        <v>攻击百分比</v>
      </c>
      <c r="T2523" t="str">
        <f t="shared" si="2009"/>
        <v>:1</v>
      </c>
      <c r="U2523" t="str">
        <f t="shared" si="2000"/>
        <v>魔物</v>
      </c>
      <c r="V2523" t="s">
        <v>5030</v>
      </c>
      <c r="W2523">
        <f>属性类型!G2523</f>
        <v>177</v>
      </c>
      <c r="X2523">
        <v>1</v>
      </c>
    </row>
    <row r="2524" customFormat="1" ht="16.5" spans="1:24">
      <c r="A2524" s="17">
        <f t="shared" si="2004"/>
        <v>61515</v>
      </c>
      <c r="B2524" s="17">
        <f t="shared" si="2002"/>
        <v>61500</v>
      </c>
      <c r="C2524" s="17" t="str">
        <f t="shared" si="1977"/>
        <v>6</v>
      </c>
      <c r="D2524" s="17">
        <f t="shared" si="1992"/>
        <v>60002</v>
      </c>
      <c r="E2524" s="17">
        <v>1</v>
      </c>
      <c r="F2524" s="17">
        <f t="shared" si="2010"/>
        <v>2</v>
      </c>
      <c r="G2524" s="17" t="str">
        <f t="shared" si="2005"/>
        <v>中级攻击百分比</v>
      </c>
      <c r="H2524" s="17" t="str">
        <f t="shared" si="2006"/>
        <v>icon_06</v>
      </c>
      <c r="I2524" s="20">
        <v>0</v>
      </c>
      <c r="J2524" s="17">
        <v>15</v>
      </c>
      <c r="K2524" s="17">
        <v>0</v>
      </c>
      <c r="L2524" s="17">
        <v>0</v>
      </c>
      <c r="M2524" s="17" t="str">
        <f t="shared" si="2007"/>
        <v>1:11200:5</v>
      </c>
      <c r="N2524" s="16" t="str">
        <f t="shared" si="2001"/>
        <v>177:1</v>
      </c>
      <c r="O2524" s="17">
        <f t="shared" si="2011"/>
        <v>6</v>
      </c>
      <c r="P2524" s="21" t="str">
        <f>$S$3&amp;R2524&amp;$Q$1&amp;T2524</f>
        <v>所有魔物和野兽攻击百分比增加:1</v>
      </c>
      <c r="Q2524" s="21"/>
      <c r="R2524" t="str">
        <f t="shared" si="2008"/>
        <v>攻击百分比</v>
      </c>
      <c r="T2524" t="str">
        <f t="shared" si="2009"/>
        <v>:1</v>
      </c>
      <c r="U2524" t="str">
        <f t="shared" si="2000"/>
        <v>魔物</v>
      </c>
      <c r="V2524" t="s">
        <v>5030</v>
      </c>
      <c r="W2524">
        <f>属性类型!G2524</f>
        <v>177</v>
      </c>
      <c r="X2524">
        <v>1</v>
      </c>
    </row>
    <row r="2525" customFormat="1" ht="16.5" spans="1:24">
      <c r="A2525" s="18">
        <f>A2509+100</f>
        <v>61600</v>
      </c>
      <c r="B2525" s="18">
        <f t="shared" si="2002"/>
        <v>61600</v>
      </c>
      <c r="C2525" s="18" t="str">
        <f t="shared" si="1977"/>
        <v>6</v>
      </c>
      <c r="D2525" s="17">
        <f t="shared" si="1992"/>
        <v>60002</v>
      </c>
      <c r="E2525" s="17">
        <v>1</v>
      </c>
      <c r="F2525" s="18">
        <f t="shared" si="2010"/>
        <v>2</v>
      </c>
      <c r="G2525" s="18" t="s">
        <v>450</v>
      </c>
      <c r="H2525" s="18" t="s">
        <v>176</v>
      </c>
      <c r="I2525" s="20">
        <v>0</v>
      </c>
      <c r="J2525" s="18">
        <v>0</v>
      </c>
      <c r="K2525" s="18">
        <f t="shared" ref="K2525:K2539" si="2012">A2526</f>
        <v>61601</v>
      </c>
      <c r="L2525" s="18" t="s">
        <v>297</v>
      </c>
      <c r="M2525" s="18" t="s">
        <v>452</v>
      </c>
      <c r="N2525" s="16" t="str">
        <f t="shared" si="2001"/>
        <v>179:1</v>
      </c>
      <c r="O2525" s="18">
        <f t="shared" si="2011"/>
        <v>7</v>
      </c>
      <c r="P2525" s="21" t="str">
        <f>$S$3&amp;R2525&amp;$Q$1&amp;T2525</f>
        <v>所有魔物和野兽魔防百分比增加1</v>
      </c>
      <c r="Q2525" s="21"/>
      <c r="R2525" t="s">
        <v>4282</v>
      </c>
      <c r="T2525" t="str">
        <f>RIGHT(N2525,1)</f>
        <v>1</v>
      </c>
      <c r="U2525" t="str">
        <f t="shared" si="2000"/>
        <v>魔物</v>
      </c>
      <c r="V2525" t="s">
        <v>5031</v>
      </c>
      <c r="W2525">
        <f>属性类型!G2525</f>
        <v>179</v>
      </c>
      <c r="X2525">
        <v>1</v>
      </c>
    </row>
    <row r="2526" customFormat="1" ht="16.5" spans="1:24">
      <c r="A2526" s="17">
        <f t="shared" ref="A2526:A2540" si="2013">A2525+1</f>
        <v>61601</v>
      </c>
      <c r="B2526" s="17">
        <f t="shared" si="2002"/>
        <v>61600</v>
      </c>
      <c r="C2526" s="17" t="str">
        <f t="shared" si="1977"/>
        <v>6</v>
      </c>
      <c r="D2526" s="17">
        <f t="shared" si="1992"/>
        <v>60002</v>
      </c>
      <c r="E2526" s="17">
        <v>1</v>
      </c>
      <c r="F2526" s="17">
        <f t="shared" si="2010"/>
        <v>2</v>
      </c>
      <c r="G2526" s="17" t="str">
        <f t="shared" ref="G2526:G2540" si="2014">G2525</f>
        <v>中级魔防百分比</v>
      </c>
      <c r="H2526" s="17" t="str">
        <f t="shared" ref="H2526:H2540" si="2015">H2525</f>
        <v>icon_07</v>
      </c>
      <c r="I2526" s="20">
        <v>0</v>
      </c>
      <c r="J2526" s="17">
        <v>1</v>
      </c>
      <c r="K2526" s="17">
        <f t="shared" si="2012"/>
        <v>61602</v>
      </c>
      <c r="L2526" s="17" t="s">
        <v>300</v>
      </c>
      <c r="M2526" s="17" t="str">
        <f t="shared" ref="M2526:M2540" si="2016">M2525</f>
        <v>1:11300:5</v>
      </c>
      <c r="N2526" s="16" t="str">
        <f t="shared" si="2001"/>
        <v>179:1</v>
      </c>
      <c r="O2526" s="17">
        <f t="shared" si="2011"/>
        <v>7</v>
      </c>
      <c r="P2526" s="21" t="str">
        <f>$S$3&amp;R2526&amp;$Q$1&amp;T2526</f>
        <v>所有魔物和野兽魔防百分比增加:1</v>
      </c>
      <c r="Q2526" s="21"/>
      <c r="R2526" t="str">
        <f t="shared" ref="R2526:R2540" si="2017">R2525</f>
        <v>魔防百分比</v>
      </c>
      <c r="T2526" t="str">
        <f t="shared" ref="T2526:T2540" si="2018">RIGHT(N2526,2)</f>
        <v>:1</v>
      </c>
      <c r="U2526" t="str">
        <f t="shared" si="2000"/>
        <v>魔物</v>
      </c>
      <c r="V2526" t="s">
        <v>5031</v>
      </c>
      <c r="W2526">
        <f>属性类型!G2526</f>
        <v>179</v>
      </c>
      <c r="X2526">
        <v>1</v>
      </c>
    </row>
    <row r="2527" customFormat="1" ht="16.5" spans="1:24">
      <c r="A2527" s="17">
        <f t="shared" si="2013"/>
        <v>61602</v>
      </c>
      <c r="B2527" s="17">
        <f t="shared" si="2002"/>
        <v>61600</v>
      </c>
      <c r="C2527" s="17" t="str">
        <f t="shared" si="1977"/>
        <v>6</v>
      </c>
      <c r="D2527" s="17">
        <f t="shared" si="1992"/>
        <v>60002</v>
      </c>
      <c r="E2527" s="17">
        <v>1</v>
      </c>
      <c r="F2527" s="17">
        <f t="shared" si="2010"/>
        <v>2</v>
      </c>
      <c r="G2527" s="17" t="str">
        <f t="shared" si="2014"/>
        <v>中级魔防百分比</v>
      </c>
      <c r="H2527" s="17" t="str">
        <f t="shared" si="2015"/>
        <v>icon_07</v>
      </c>
      <c r="I2527" s="20">
        <v>0</v>
      </c>
      <c r="J2527" s="17">
        <v>2</v>
      </c>
      <c r="K2527" s="17">
        <f t="shared" si="2012"/>
        <v>61603</v>
      </c>
      <c r="L2527" s="17" t="s">
        <v>304</v>
      </c>
      <c r="M2527" s="17" t="str">
        <f t="shared" si="2016"/>
        <v>1:11300:5</v>
      </c>
      <c r="N2527" s="16" t="str">
        <f t="shared" si="2001"/>
        <v>179:1</v>
      </c>
      <c r="O2527" s="17">
        <f t="shared" si="2011"/>
        <v>7</v>
      </c>
      <c r="P2527" s="21" t="str">
        <f>$S$3&amp;R2527&amp;$Q$1&amp;T2527</f>
        <v>所有魔物和野兽魔防百分比增加:1</v>
      </c>
      <c r="Q2527" s="21"/>
      <c r="R2527" t="str">
        <f t="shared" si="2017"/>
        <v>魔防百分比</v>
      </c>
      <c r="T2527" t="str">
        <f t="shared" si="2018"/>
        <v>:1</v>
      </c>
      <c r="U2527" t="str">
        <f t="shared" si="2000"/>
        <v>魔物</v>
      </c>
      <c r="V2527" t="s">
        <v>5031</v>
      </c>
      <c r="W2527">
        <f>属性类型!G2527</f>
        <v>179</v>
      </c>
      <c r="X2527">
        <v>1</v>
      </c>
    </row>
    <row r="2528" customFormat="1" ht="16.5" spans="1:24">
      <c r="A2528" s="17">
        <f t="shared" si="2013"/>
        <v>61603</v>
      </c>
      <c r="B2528" s="17">
        <f t="shared" si="2002"/>
        <v>61600</v>
      </c>
      <c r="C2528" s="17" t="str">
        <f t="shared" si="1977"/>
        <v>6</v>
      </c>
      <c r="D2528" s="17">
        <f t="shared" si="1992"/>
        <v>60002</v>
      </c>
      <c r="E2528" s="17">
        <v>1</v>
      </c>
      <c r="F2528" s="17">
        <f t="shared" si="2010"/>
        <v>2</v>
      </c>
      <c r="G2528" s="17" t="str">
        <f t="shared" si="2014"/>
        <v>中级魔防百分比</v>
      </c>
      <c r="H2528" s="17" t="str">
        <f t="shared" si="2015"/>
        <v>icon_07</v>
      </c>
      <c r="I2528" s="20">
        <v>0</v>
      </c>
      <c r="J2528" s="17">
        <v>3</v>
      </c>
      <c r="K2528" s="17">
        <f t="shared" si="2012"/>
        <v>61604</v>
      </c>
      <c r="L2528" s="17" t="s">
        <v>307</v>
      </c>
      <c r="M2528" s="17" t="str">
        <f t="shared" si="2016"/>
        <v>1:11300:5</v>
      </c>
      <c r="N2528" s="16" t="str">
        <f t="shared" si="2001"/>
        <v>179:1</v>
      </c>
      <c r="O2528" s="17">
        <f t="shared" si="2011"/>
        <v>7</v>
      </c>
      <c r="P2528" s="21" t="str">
        <f>$S$3&amp;R2528&amp;$Q$1&amp;T2528</f>
        <v>所有魔物和野兽魔防百分比增加:1</v>
      </c>
      <c r="Q2528" s="21"/>
      <c r="R2528" t="str">
        <f t="shared" si="2017"/>
        <v>魔防百分比</v>
      </c>
      <c r="T2528" t="str">
        <f t="shared" si="2018"/>
        <v>:1</v>
      </c>
      <c r="U2528" t="str">
        <f t="shared" si="2000"/>
        <v>魔物</v>
      </c>
      <c r="V2528" t="s">
        <v>5031</v>
      </c>
      <c r="W2528">
        <f>属性类型!G2528</f>
        <v>179</v>
      </c>
      <c r="X2528">
        <v>1</v>
      </c>
    </row>
    <row r="2529" customFormat="1" ht="16.5" spans="1:24">
      <c r="A2529" s="17">
        <f t="shared" si="2013"/>
        <v>61604</v>
      </c>
      <c r="B2529" s="17">
        <f t="shared" si="2002"/>
        <v>61600</v>
      </c>
      <c r="C2529" s="17" t="str">
        <f t="shared" si="1977"/>
        <v>6</v>
      </c>
      <c r="D2529" s="17">
        <f t="shared" si="1992"/>
        <v>60002</v>
      </c>
      <c r="E2529" s="17">
        <v>1</v>
      </c>
      <c r="F2529" s="17">
        <f t="shared" si="2010"/>
        <v>2</v>
      </c>
      <c r="G2529" s="17" t="str">
        <f t="shared" si="2014"/>
        <v>中级魔防百分比</v>
      </c>
      <c r="H2529" s="17" t="str">
        <f t="shared" si="2015"/>
        <v>icon_07</v>
      </c>
      <c r="I2529" s="20">
        <v>0</v>
      </c>
      <c r="J2529" s="17">
        <v>4</v>
      </c>
      <c r="K2529" s="17">
        <f t="shared" si="2012"/>
        <v>61605</v>
      </c>
      <c r="L2529" s="17" t="s">
        <v>309</v>
      </c>
      <c r="M2529" s="17" t="str">
        <f t="shared" si="2016"/>
        <v>1:11300:5</v>
      </c>
      <c r="N2529" s="16" t="str">
        <f t="shared" si="2001"/>
        <v>179:1</v>
      </c>
      <c r="O2529" s="17">
        <f t="shared" si="2011"/>
        <v>7</v>
      </c>
      <c r="P2529" s="21" t="str">
        <f>$S$3&amp;R2529&amp;$Q$1&amp;T2529</f>
        <v>所有魔物和野兽魔防百分比增加:1</v>
      </c>
      <c r="Q2529" s="21"/>
      <c r="R2529" t="str">
        <f t="shared" si="2017"/>
        <v>魔防百分比</v>
      </c>
      <c r="T2529" t="str">
        <f t="shared" si="2018"/>
        <v>:1</v>
      </c>
      <c r="U2529" t="str">
        <f t="shared" si="2000"/>
        <v>魔物</v>
      </c>
      <c r="V2529" t="s">
        <v>5031</v>
      </c>
      <c r="W2529">
        <f>属性类型!G2529</f>
        <v>179</v>
      </c>
      <c r="X2529">
        <v>1</v>
      </c>
    </row>
    <row r="2530" customFormat="1" ht="16.5" spans="1:24">
      <c r="A2530" s="17">
        <f t="shared" si="2013"/>
        <v>61605</v>
      </c>
      <c r="B2530" s="17">
        <f t="shared" si="2002"/>
        <v>61600</v>
      </c>
      <c r="C2530" s="17" t="str">
        <f t="shared" ref="C2530:C2582" si="2019">LEFT(A2530,1)</f>
        <v>6</v>
      </c>
      <c r="D2530" s="17">
        <f t="shared" si="1992"/>
        <v>60002</v>
      </c>
      <c r="E2530" s="17">
        <v>1</v>
      </c>
      <c r="F2530" s="17">
        <f t="shared" si="2010"/>
        <v>2</v>
      </c>
      <c r="G2530" s="17" t="str">
        <f t="shared" si="2014"/>
        <v>中级魔防百分比</v>
      </c>
      <c r="H2530" s="17" t="str">
        <f t="shared" si="2015"/>
        <v>icon_07</v>
      </c>
      <c r="I2530" s="20">
        <v>0</v>
      </c>
      <c r="J2530" s="17">
        <v>5</v>
      </c>
      <c r="K2530" s="17">
        <f t="shared" si="2012"/>
        <v>61606</v>
      </c>
      <c r="L2530" s="17" t="s">
        <v>312</v>
      </c>
      <c r="M2530" s="17" t="str">
        <f t="shared" si="2016"/>
        <v>1:11300:5</v>
      </c>
      <c r="N2530" s="16" t="str">
        <f t="shared" si="2001"/>
        <v>179:1</v>
      </c>
      <c r="O2530" s="17">
        <f t="shared" si="2011"/>
        <v>7</v>
      </c>
      <c r="P2530" s="21" t="str">
        <f>$S$3&amp;R2530&amp;$Q$1&amp;T2530</f>
        <v>所有魔物和野兽魔防百分比增加:1</v>
      </c>
      <c r="Q2530" s="21"/>
      <c r="R2530" t="str">
        <f t="shared" si="2017"/>
        <v>魔防百分比</v>
      </c>
      <c r="T2530" t="str">
        <f t="shared" si="2018"/>
        <v>:1</v>
      </c>
      <c r="U2530" t="str">
        <f t="shared" si="2000"/>
        <v>魔物</v>
      </c>
      <c r="V2530" t="s">
        <v>5031</v>
      </c>
      <c r="W2530">
        <f>属性类型!G2530</f>
        <v>179</v>
      </c>
      <c r="X2530">
        <v>1</v>
      </c>
    </row>
    <row r="2531" customFormat="1" ht="16.5" spans="1:24">
      <c r="A2531" s="17">
        <f t="shared" si="2013"/>
        <v>61606</v>
      </c>
      <c r="B2531" s="17">
        <f t="shared" si="2002"/>
        <v>61600</v>
      </c>
      <c r="C2531" s="17" t="str">
        <f t="shared" si="2019"/>
        <v>6</v>
      </c>
      <c r="D2531" s="17">
        <f t="shared" si="1992"/>
        <v>60002</v>
      </c>
      <c r="E2531" s="17">
        <v>1</v>
      </c>
      <c r="F2531" s="17">
        <f t="shared" si="2010"/>
        <v>2</v>
      </c>
      <c r="G2531" s="17" t="str">
        <f t="shared" si="2014"/>
        <v>中级魔防百分比</v>
      </c>
      <c r="H2531" s="17" t="str">
        <f t="shared" si="2015"/>
        <v>icon_07</v>
      </c>
      <c r="I2531" s="20">
        <v>0</v>
      </c>
      <c r="J2531" s="17">
        <v>6</v>
      </c>
      <c r="K2531" s="17">
        <f t="shared" si="2012"/>
        <v>61607</v>
      </c>
      <c r="L2531" s="17" t="s">
        <v>315</v>
      </c>
      <c r="M2531" s="17" t="str">
        <f t="shared" si="2016"/>
        <v>1:11300:5</v>
      </c>
      <c r="N2531" s="16" t="str">
        <f t="shared" si="2001"/>
        <v>179:1</v>
      </c>
      <c r="O2531" s="17">
        <f t="shared" si="2011"/>
        <v>7</v>
      </c>
      <c r="P2531" s="21" t="str">
        <f>$S$3&amp;R2531&amp;$Q$1&amp;T2531</f>
        <v>所有魔物和野兽魔防百分比增加:1</v>
      </c>
      <c r="Q2531" s="21"/>
      <c r="R2531" t="str">
        <f t="shared" si="2017"/>
        <v>魔防百分比</v>
      </c>
      <c r="T2531" t="str">
        <f t="shared" si="2018"/>
        <v>:1</v>
      </c>
      <c r="U2531" t="str">
        <f t="shared" si="2000"/>
        <v>魔物</v>
      </c>
      <c r="V2531" t="s">
        <v>5031</v>
      </c>
      <c r="W2531">
        <f>属性类型!G2531</f>
        <v>179</v>
      </c>
      <c r="X2531">
        <v>1</v>
      </c>
    </row>
    <row r="2532" customFormat="1" ht="16.5" spans="1:24">
      <c r="A2532" s="17">
        <f t="shared" si="2013"/>
        <v>61607</v>
      </c>
      <c r="B2532" s="17">
        <f t="shared" si="2002"/>
        <v>61600</v>
      </c>
      <c r="C2532" s="17" t="str">
        <f t="shared" si="2019"/>
        <v>6</v>
      </c>
      <c r="D2532" s="17">
        <f t="shared" si="1992"/>
        <v>60002</v>
      </c>
      <c r="E2532" s="17">
        <v>1</v>
      </c>
      <c r="F2532" s="17">
        <f t="shared" si="2010"/>
        <v>2</v>
      </c>
      <c r="G2532" s="17" t="str">
        <f t="shared" si="2014"/>
        <v>中级魔防百分比</v>
      </c>
      <c r="H2532" s="17" t="str">
        <f t="shared" si="2015"/>
        <v>icon_07</v>
      </c>
      <c r="I2532" s="20">
        <v>0</v>
      </c>
      <c r="J2532" s="17">
        <v>7</v>
      </c>
      <c r="K2532" s="17">
        <f t="shared" si="2012"/>
        <v>61608</v>
      </c>
      <c r="L2532" s="17" t="s">
        <v>317</v>
      </c>
      <c r="M2532" s="17" t="str">
        <f t="shared" si="2016"/>
        <v>1:11300:5</v>
      </c>
      <c r="N2532" s="16" t="str">
        <f t="shared" si="2001"/>
        <v>179:1</v>
      </c>
      <c r="O2532" s="17">
        <f t="shared" si="2011"/>
        <v>7</v>
      </c>
      <c r="P2532" s="21" t="str">
        <f>$S$3&amp;R2532&amp;$Q$1&amp;T2532</f>
        <v>所有魔物和野兽魔防百分比增加:1</v>
      </c>
      <c r="Q2532" s="21"/>
      <c r="R2532" t="str">
        <f t="shared" si="2017"/>
        <v>魔防百分比</v>
      </c>
      <c r="T2532" t="str">
        <f t="shared" si="2018"/>
        <v>:1</v>
      </c>
      <c r="U2532" t="str">
        <f t="shared" si="2000"/>
        <v>魔物</v>
      </c>
      <c r="V2532" t="s">
        <v>5031</v>
      </c>
      <c r="W2532">
        <f>属性类型!G2532</f>
        <v>179</v>
      </c>
      <c r="X2532">
        <v>1</v>
      </c>
    </row>
    <row r="2533" customFormat="1" ht="16.5" spans="1:24">
      <c r="A2533" s="17">
        <f t="shared" si="2013"/>
        <v>61608</v>
      </c>
      <c r="B2533" s="17">
        <f t="shared" si="2002"/>
        <v>61600</v>
      </c>
      <c r="C2533" s="17" t="str">
        <f t="shared" si="2019"/>
        <v>6</v>
      </c>
      <c r="D2533" s="17">
        <f t="shared" si="1992"/>
        <v>60002</v>
      </c>
      <c r="E2533" s="17">
        <v>1</v>
      </c>
      <c r="F2533" s="17">
        <f t="shared" si="2010"/>
        <v>2</v>
      </c>
      <c r="G2533" s="17" t="str">
        <f t="shared" si="2014"/>
        <v>中级魔防百分比</v>
      </c>
      <c r="H2533" s="17" t="str">
        <f t="shared" si="2015"/>
        <v>icon_07</v>
      </c>
      <c r="I2533" s="20">
        <v>0</v>
      </c>
      <c r="J2533" s="17">
        <v>8</v>
      </c>
      <c r="K2533" s="17">
        <f t="shared" si="2012"/>
        <v>61609</v>
      </c>
      <c r="L2533" s="17" t="s">
        <v>320</v>
      </c>
      <c r="M2533" s="17" t="str">
        <f t="shared" si="2016"/>
        <v>1:11300:5</v>
      </c>
      <c r="N2533" s="16" t="str">
        <f t="shared" si="2001"/>
        <v>179:1</v>
      </c>
      <c r="O2533" s="17">
        <f t="shared" si="2011"/>
        <v>7</v>
      </c>
      <c r="P2533" s="21" t="str">
        <f>$S$3&amp;R2533&amp;$Q$1&amp;T2533</f>
        <v>所有魔物和野兽魔防百分比增加:1</v>
      </c>
      <c r="Q2533" s="21"/>
      <c r="R2533" t="str">
        <f t="shared" si="2017"/>
        <v>魔防百分比</v>
      </c>
      <c r="T2533" t="str">
        <f t="shared" si="2018"/>
        <v>:1</v>
      </c>
      <c r="U2533" t="str">
        <f t="shared" si="2000"/>
        <v>魔物</v>
      </c>
      <c r="V2533" t="s">
        <v>5031</v>
      </c>
      <c r="W2533">
        <f>属性类型!G2533</f>
        <v>179</v>
      </c>
      <c r="X2533">
        <v>1</v>
      </c>
    </row>
    <row r="2534" customFormat="1" ht="16.5" spans="1:24">
      <c r="A2534" s="17">
        <f t="shared" si="2013"/>
        <v>61609</v>
      </c>
      <c r="B2534" s="17">
        <f t="shared" si="2002"/>
        <v>61600</v>
      </c>
      <c r="C2534" s="17" t="str">
        <f t="shared" si="2019"/>
        <v>6</v>
      </c>
      <c r="D2534" s="17">
        <f t="shared" si="1992"/>
        <v>60002</v>
      </c>
      <c r="E2534" s="17">
        <v>1</v>
      </c>
      <c r="F2534" s="17">
        <f t="shared" si="2010"/>
        <v>2</v>
      </c>
      <c r="G2534" s="17" t="str">
        <f t="shared" si="2014"/>
        <v>中级魔防百分比</v>
      </c>
      <c r="H2534" s="17" t="str">
        <f t="shared" si="2015"/>
        <v>icon_07</v>
      </c>
      <c r="I2534" s="20">
        <v>0</v>
      </c>
      <c r="J2534" s="17">
        <v>9</v>
      </c>
      <c r="K2534" s="17">
        <f t="shared" si="2012"/>
        <v>61610</v>
      </c>
      <c r="L2534" s="17" t="s">
        <v>323</v>
      </c>
      <c r="M2534" s="17" t="str">
        <f t="shared" si="2016"/>
        <v>1:11300:5</v>
      </c>
      <c r="N2534" s="16" t="str">
        <f t="shared" si="2001"/>
        <v>179:1</v>
      </c>
      <c r="O2534" s="17">
        <f t="shared" si="2011"/>
        <v>7</v>
      </c>
      <c r="P2534" s="21" t="str">
        <f>$S$3&amp;R2534&amp;$Q$1&amp;T2534</f>
        <v>所有魔物和野兽魔防百分比增加:1</v>
      </c>
      <c r="Q2534" s="21"/>
      <c r="R2534" t="str">
        <f t="shared" si="2017"/>
        <v>魔防百分比</v>
      </c>
      <c r="T2534" t="str">
        <f t="shared" si="2018"/>
        <v>:1</v>
      </c>
      <c r="U2534" t="str">
        <f t="shared" si="2000"/>
        <v>魔物</v>
      </c>
      <c r="V2534" t="s">
        <v>5031</v>
      </c>
      <c r="W2534">
        <f>属性类型!G2534</f>
        <v>179</v>
      </c>
      <c r="X2534">
        <v>1</v>
      </c>
    </row>
    <row r="2535" customFormat="1" ht="16.5" spans="1:24">
      <c r="A2535" s="17">
        <f t="shared" si="2013"/>
        <v>61610</v>
      </c>
      <c r="B2535" s="17">
        <f t="shared" si="2002"/>
        <v>61600</v>
      </c>
      <c r="C2535" s="17" t="str">
        <f t="shared" si="2019"/>
        <v>6</v>
      </c>
      <c r="D2535" s="17">
        <f t="shared" si="1992"/>
        <v>60002</v>
      </c>
      <c r="E2535" s="17">
        <v>1</v>
      </c>
      <c r="F2535" s="17">
        <f t="shared" si="2010"/>
        <v>2</v>
      </c>
      <c r="G2535" s="17" t="str">
        <f t="shared" si="2014"/>
        <v>中级魔防百分比</v>
      </c>
      <c r="H2535" s="17" t="str">
        <f t="shared" si="2015"/>
        <v>icon_07</v>
      </c>
      <c r="I2535" s="20">
        <v>0</v>
      </c>
      <c r="J2535" s="17">
        <v>10</v>
      </c>
      <c r="K2535" s="17">
        <f t="shared" si="2012"/>
        <v>61611</v>
      </c>
      <c r="L2535" s="17" t="s">
        <v>407</v>
      </c>
      <c r="M2535" s="17" t="str">
        <f t="shared" si="2016"/>
        <v>1:11300:5</v>
      </c>
      <c r="N2535" s="16" t="str">
        <f t="shared" si="2001"/>
        <v>179:1</v>
      </c>
      <c r="O2535" s="17">
        <f t="shared" si="2011"/>
        <v>7</v>
      </c>
      <c r="P2535" s="21" t="str">
        <f>$S$3&amp;R2535&amp;$Q$1&amp;T2535</f>
        <v>所有魔物和野兽魔防百分比增加:1</v>
      </c>
      <c r="Q2535" s="21"/>
      <c r="R2535" t="str">
        <f t="shared" si="2017"/>
        <v>魔防百分比</v>
      </c>
      <c r="T2535" t="str">
        <f t="shared" si="2018"/>
        <v>:1</v>
      </c>
      <c r="U2535" t="str">
        <f t="shared" si="2000"/>
        <v>魔物</v>
      </c>
      <c r="V2535" t="s">
        <v>5031</v>
      </c>
      <c r="W2535">
        <f>属性类型!G2535</f>
        <v>179</v>
      </c>
      <c r="X2535">
        <v>1</v>
      </c>
    </row>
    <row r="2536" customFormat="1" ht="16.5" spans="1:24">
      <c r="A2536" s="17">
        <f t="shared" si="2013"/>
        <v>61611</v>
      </c>
      <c r="B2536" s="17">
        <f t="shared" si="2002"/>
        <v>61600</v>
      </c>
      <c r="C2536" s="17" t="str">
        <f t="shared" si="2019"/>
        <v>6</v>
      </c>
      <c r="D2536" s="17">
        <f t="shared" si="1992"/>
        <v>60002</v>
      </c>
      <c r="E2536" s="17">
        <v>1</v>
      </c>
      <c r="F2536" s="17">
        <f t="shared" si="2010"/>
        <v>2</v>
      </c>
      <c r="G2536" s="17" t="str">
        <f t="shared" si="2014"/>
        <v>中级魔防百分比</v>
      </c>
      <c r="H2536" s="17" t="str">
        <f t="shared" si="2015"/>
        <v>icon_07</v>
      </c>
      <c r="I2536" s="20">
        <v>0</v>
      </c>
      <c r="J2536" s="17">
        <v>11</v>
      </c>
      <c r="K2536" s="17">
        <f t="shared" si="2012"/>
        <v>61612</v>
      </c>
      <c r="L2536" s="17" t="s">
        <v>410</v>
      </c>
      <c r="M2536" s="17" t="str">
        <f t="shared" si="2016"/>
        <v>1:11300:5</v>
      </c>
      <c r="N2536" s="16" t="str">
        <f t="shared" si="2001"/>
        <v>179:1</v>
      </c>
      <c r="O2536" s="17">
        <f t="shared" si="2011"/>
        <v>7</v>
      </c>
      <c r="P2536" s="21" t="str">
        <f>$S$3&amp;R2536&amp;$Q$1&amp;T2536</f>
        <v>所有魔物和野兽魔防百分比增加:1</v>
      </c>
      <c r="Q2536" s="21"/>
      <c r="R2536" t="str">
        <f t="shared" si="2017"/>
        <v>魔防百分比</v>
      </c>
      <c r="T2536" t="str">
        <f t="shared" si="2018"/>
        <v>:1</v>
      </c>
      <c r="U2536" t="str">
        <f t="shared" si="2000"/>
        <v>魔物</v>
      </c>
      <c r="V2536" t="s">
        <v>5031</v>
      </c>
      <c r="W2536">
        <f>属性类型!G2536</f>
        <v>179</v>
      </c>
      <c r="X2536">
        <v>1</v>
      </c>
    </row>
    <row r="2537" customFormat="1" ht="16.5" spans="1:24">
      <c r="A2537" s="17">
        <f t="shared" si="2013"/>
        <v>61612</v>
      </c>
      <c r="B2537" s="17">
        <f t="shared" si="2002"/>
        <v>61600</v>
      </c>
      <c r="C2537" s="17" t="str">
        <f t="shared" si="2019"/>
        <v>6</v>
      </c>
      <c r="D2537" s="17">
        <f t="shared" si="1992"/>
        <v>60002</v>
      </c>
      <c r="E2537" s="17">
        <v>1</v>
      </c>
      <c r="F2537" s="17">
        <f t="shared" si="2010"/>
        <v>2</v>
      </c>
      <c r="G2537" s="17" t="str">
        <f t="shared" si="2014"/>
        <v>中级魔防百分比</v>
      </c>
      <c r="H2537" s="17" t="str">
        <f t="shared" si="2015"/>
        <v>icon_07</v>
      </c>
      <c r="I2537" s="20">
        <v>0</v>
      </c>
      <c r="J2537" s="17">
        <v>12</v>
      </c>
      <c r="K2537" s="17">
        <f t="shared" si="2012"/>
        <v>61613</v>
      </c>
      <c r="L2537" s="17" t="s">
        <v>414</v>
      </c>
      <c r="M2537" s="17" t="str">
        <f t="shared" si="2016"/>
        <v>1:11300:5</v>
      </c>
      <c r="N2537" s="16" t="str">
        <f t="shared" si="2001"/>
        <v>179:1</v>
      </c>
      <c r="O2537" s="17">
        <f t="shared" si="2011"/>
        <v>7</v>
      </c>
      <c r="P2537" s="21" t="str">
        <f>$S$3&amp;R2537&amp;$Q$1&amp;T2537</f>
        <v>所有魔物和野兽魔防百分比增加:1</v>
      </c>
      <c r="Q2537" s="21"/>
      <c r="R2537" t="str">
        <f t="shared" si="2017"/>
        <v>魔防百分比</v>
      </c>
      <c r="T2537" t="str">
        <f t="shared" si="2018"/>
        <v>:1</v>
      </c>
      <c r="U2537" t="str">
        <f t="shared" si="2000"/>
        <v>魔物</v>
      </c>
      <c r="V2537" t="s">
        <v>5031</v>
      </c>
      <c r="W2537">
        <f>属性类型!G2537</f>
        <v>179</v>
      </c>
      <c r="X2537">
        <v>1</v>
      </c>
    </row>
    <row r="2538" customFormat="1" ht="16.5" spans="1:24">
      <c r="A2538" s="17">
        <f t="shared" si="2013"/>
        <v>61613</v>
      </c>
      <c r="B2538" s="17">
        <f t="shared" si="2002"/>
        <v>61600</v>
      </c>
      <c r="C2538" s="17" t="str">
        <f t="shared" si="2019"/>
        <v>6</v>
      </c>
      <c r="D2538" s="17">
        <f t="shared" si="1992"/>
        <v>60002</v>
      </c>
      <c r="E2538" s="17">
        <v>1</v>
      </c>
      <c r="F2538" s="17">
        <f t="shared" si="2010"/>
        <v>2</v>
      </c>
      <c r="G2538" s="17" t="str">
        <f t="shared" si="2014"/>
        <v>中级魔防百分比</v>
      </c>
      <c r="H2538" s="17" t="str">
        <f t="shared" si="2015"/>
        <v>icon_07</v>
      </c>
      <c r="I2538" s="20">
        <v>0</v>
      </c>
      <c r="J2538" s="17">
        <v>13</v>
      </c>
      <c r="K2538" s="17">
        <f t="shared" si="2012"/>
        <v>61614</v>
      </c>
      <c r="L2538" s="17" t="s">
        <v>418</v>
      </c>
      <c r="M2538" s="17" t="str">
        <f t="shared" si="2016"/>
        <v>1:11300:5</v>
      </c>
      <c r="N2538" s="16" t="str">
        <f t="shared" si="2001"/>
        <v>179:1</v>
      </c>
      <c r="O2538" s="17">
        <f t="shared" si="2011"/>
        <v>7</v>
      </c>
      <c r="P2538" s="21" t="str">
        <f>$S$3&amp;R2538&amp;$Q$1&amp;T2538</f>
        <v>所有魔物和野兽魔防百分比增加:1</v>
      </c>
      <c r="Q2538" s="21"/>
      <c r="R2538" t="str">
        <f t="shared" si="2017"/>
        <v>魔防百分比</v>
      </c>
      <c r="T2538" t="str">
        <f t="shared" si="2018"/>
        <v>:1</v>
      </c>
      <c r="U2538" t="str">
        <f t="shared" si="2000"/>
        <v>魔物</v>
      </c>
      <c r="V2538" t="s">
        <v>5031</v>
      </c>
      <c r="W2538">
        <f>属性类型!G2538</f>
        <v>179</v>
      </c>
      <c r="X2538">
        <v>1</v>
      </c>
    </row>
    <row r="2539" customFormat="1" ht="16.5" spans="1:24">
      <c r="A2539" s="17">
        <f t="shared" si="2013"/>
        <v>61614</v>
      </c>
      <c r="B2539" s="17">
        <f t="shared" si="2002"/>
        <v>61600</v>
      </c>
      <c r="C2539" s="17" t="str">
        <f t="shared" si="2019"/>
        <v>6</v>
      </c>
      <c r="D2539" s="17">
        <f t="shared" si="1992"/>
        <v>60002</v>
      </c>
      <c r="E2539" s="17">
        <v>1</v>
      </c>
      <c r="F2539" s="17">
        <f t="shared" si="2010"/>
        <v>2</v>
      </c>
      <c r="G2539" s="17" t="str">
        <f t="shared" si="2014"/>
        <v>中级魔防百分比</v>
      </c>
      <c r="H2539" s="17" t="str">
        <f t="shared" si="2015"/>
        <v>icon_07</v>
      </c>
      <c r="I2539" s="20">
        <v>0</v>
      </c>
      <c r="J2539" s="17">
        <v>14</v>
      </c>
      <c r="K2539" s="17">
        <f t="shared" si="2012"/>
        <v>61615</v>
      </c>
      <c r="L2539" s="17" t="s">
        <v>422</v>
      </c>
      <c r="M2539" s="17" t="str">
        <f t="shared" si="2016"/>
        <v>1:11300:5</v>
      </c>
      <c r="N2539" s="16" t="str">
        <f t="shared" si="2001"/>
        <v>179:1</v>
      </c>
      <c r="O2539" s="17">
        <f t="shared" si="2011"/>
        <v>7</v>
      </c>
      <c r="P2539" s="21" t="str">
        <f>$S$3&amp;R2539&amp;$Q$1&amp;T2539</f>
        <v>所有魔物和野兽魔防百分比增加:1</v>
      </c>
      <c r="Q2539" s="21"/>
      <c r="R2539" t="str">
        <f t="shared" si="2017"/>
        <v>魔防百分比</v>
      </c>
      <c r="T2539" t="str">
        <f t="shared" si="2018"/>
        <v>:1</v>
      </c>
      <c r="U2539" t="str">
        <f t="shared" si="2000"/>
        <v>魔物</v>
      </c>
      <c r="V2539" t="s">
        <v>5031</v>
      </c>
      <c r="W2539">
        <f>属性类型!G2539</f>
        <v>179</v>
      </c>
      <c r="X2539">
        <v>1</v>
      </c>
    </row>
    <row r="2540" customFormat="1" ht="16.5" spans="1:24">
      <c r="A2540" s="17">
        <f t="shared" si="2013"/>
        <v>61615</v>
      </c>
      <c r="B2540" s="17">
        <f t="shared" si="2002"/>
        <v>61600</v>
      </c>
      <c r="C2540" s="17" t="str">
        <f t="shared" si="2019"/>
        <v>6</v>
      </c>
      <c r="D2540" s="17">
        <f t="shared" si="1992"/>
        <v>60002</v>
      </c>
      <c r="E2540" s="17">
        <v>1</v>
      </c>
      <c r="F2540" s="17">
        <f t="shared" si="2010"/>
        <v>2</v>
      </c>
      <c r="G2540" s="17" t="str">
        <f t="shared" si="2014"/>
        <v>中级魔防百分比</v>
      </c>
      <c r="H2540" s="17" t="str">
        <f t="shared" si="2015"/>
        <v>icon_07</v>
      </c>
      <c r="I2540" s="20">
        <v>0</v>
      </c>
      <c r="J2540" s="17">
        <v>15</v>
      </c>
      <c r="K2540" s="17">
        <v>0</v>
      </c>
      <c r="L2540" s="17">
        <v>0</v>
      </c>
      <c r="M2540" s="17" t="str">
        <f t="shared" si="2016"/>
        <v>1:11300:5</v>
      </c>
      <c r="N2540" s="16" t="str">
        <f t="shared" si="2001"/>
        <v>179:1</v>
      </c>
      <c r="O2540" s="17">
        <f t="shared" si="2011"/>
        <v>7</v>
      </c>
      <c r="P2540" s="21" t="str">
        <f>$S$3&amp;R2540&amp;$Q$1&amp;T2540</f>
        <v>所有魔物和野兽魔防百分比增加:1</v>
      </c>
      <c r="Q2540" s="21"/>
      <c r="R2540" t="str">
        <f t="shared" si="2017"/>
        <v>魔防百分比</v>
      </c>
      <c r="T2540" t="str">
        <f t="shared" si="2018"/>
        <v>:1</v>
      </c>
      <c r="U2540" t="str">
        <f t="shared" si="2000"/>
        <v>魔物</v>
      </c>
      <c r="V2540" t="s">
        <v>5031</v>
      </c>
      <c r="W2540">
        <f>属性类型!G2540</f>
        <v>179</v>
      </c>
      <c r="X2540">
        <v>1</v>
      </c>
    </row>
    <row r="2541" customFormat="1" ht="16.5" spans="1:24">
      <c r="A2541" s="18">
        <f>A2525+100</f>
        <v>61700</v>
      </c>
      <c r="B2541" s="18">
        <f t="shared" si="2002"/>
        <v>61700</v>
      </c>
      <c r="C2541" s="18" t="str">
        <f t="shared" si="2019"/>
        <v>6</v>
      </c>
      <c r="D2541" s="17">
        <f t="shared" si="1992"/>
        <v>60002</v>
      </c>
      <c r="E2541" s="17">
        <v>2</v>
      </c>
      <c r="F2541" s="18">
        <f t="shared" si="2010"/>
        <v>2</v>
      </c>
      <c r="G2541" s="18" t="s">
        <v>5096</v>
      </c>
      <c r="H2541" s="18" t="s">
        <v>3741</v>
      </c>
      <c r="I2541" s="20">
        <v>1.5</v>
      </c>
      <c r="J2541" s="18">
        <v>0</v>
      </c>
      <c r="K2541" s="18">
        <f t="shared" ref="K2541:K2560" si="2020">A2542</f>
        <v>61701</v>
      </c>
      <c r="L2541" s="18" t="s">
        <v>206</v>
      </c>
      <c r="M2541" s="18" t="s">
        <v>474</v>
      </c>
      <c r="N2541" s="16" t="str">
        <f t="shared" si="2001"/>
        <v>10058:1</v>
      </c>
      <c r="O2541" s="18">
        <f t="shared" si="2011"/>
        <v>8</v>
      </c>
      <c r="P2541" s="21" t="s">
        <v>5097</v>
      </c>
      <c r="Q2541" s="21"/>
      <c r="R2541" t="s">
        <v>5098</v>
      </c>
      <c r="T2541" t="str">
        <f>RIGHT(N2541,1)</f>
        <v>1</v>
      </c>
      <c r="U2541" t="str">
        <f t="shared" si="2000"/>
        <v>防御</v>
      </c>
      <c r="V2541" t="s">
        <v>5096</v>
      </c>
      <c r="W2541">
        <f>属性类型!G2541</f>
        <v>10058</v>
      </c>
      <c r="X2541">
        <v>1</v>
      </c>
    </row>
    <row r="2542" customFormat="1" ht="16.5" spans="1:24">
      <c r="A2542" s="17">
        <f t="shared" ref="A2542:A2561" si="2021">A2541+1</f>
        <v>61701</v>
      </c>
      <c r="B2542" s="17">
        <f t="shared" si="2002"/>
        <v>61700</v>
      </c>
      <c r="C2542" s="17" t="str">
        <f t="shared" si="2019"/>
        <v>6</v>
      </c>
      <c r="D2542" s="17">
        <f t="shared" si="1992"/>
        <v>60002</v>
      </c>
      <c r="E2542" s="17">
        <v>2</v>
      </c>
      <c r="F2542" s="17">
        <f t="shared" si="2010"/>
        <v>2</v>
      </c>
      <c r="G2542" s="17" t="str">
        <f t="shared" ref="G2542:G2561" si="2022">G2541</f>
        <v>伯爵防御百分比</v>
      </c>
      <c r="H2542" s="17" t="str">
        <f t="shared" ref="H2542:H2561" si="2023">H2541</f>
        <v>moshou02_Lv3</v>
      </c>
      <c r="I2542" s="20">
        <v>1.5</v>
      </c>
      <c r="J2542" s="17">
        <v>1</v>
      </c>
      <c r="K2542" s="17">
        <f t="shared" si="2020"/>
        <v>61702</v>
      </c>
      <c r="L2542" s="17" t="s">
        <v>211</v>
      </c>
      <c r="M2542" s="17" t="str">
        <f t="shared" ref="M2542:M2561" si="2024">M2541</f>
        <v>1:11400:5</v>
      </c>
      <c r="N2542" s="16" t="str">
        <f t="shared" si="2001"/>
        <v>10058:1</v>
      </c>
      <c r="O2542" s="17">
        <f t="shared" si="2011"/>
        <v>8</v>
      </c>
      <c r="P2542" s="21" t="s">
        <v>5099</v>
      </c>
      <c r="Q2542" s="21"/>
      <c r="R2542" t="s">
        <v>5098</v>
      </c>
      <c r="T2542" t="str">
        <f t="shared" ref="T2542:T2561" si="2025">RIGHT(N2542,2)</f>
        <v>:1</v>
      </c>
      <c r="U2542" t="str">
        <f t="shared" si="2000"/>
        <v>防御</v>
      </c>
      <c r="V2542" t="s">
        <v>5096</v>
      </c>
      <c r="W2542">
        <f>属性类型!G2542</f>
        <v>10058</v>
      </c>
      <c r="X2542">
        <v>1</v>
      </c>
    </row>
    <row r="2543" customFormat="1" ht="16.5" spans="1:24">
      <c r="A2543" s="17">
        <f t="shared" si="2021"/>
        <v>61702</v>
      </c>
      <c r="B2543" s="17">
        <f t="shared" si="2002"/>
        <v>61700</v>
      </c>
      <c r="C2543" s="17" t="str">
        <f t="shared" si="2019"/>
        <v>6</v>
      </c>
      <c r="D2543" s="17">
        <f t="shared" si="1992"/>
        <v>60002</v>
      </c>
      <c r="E2543" s="17">
        <v>2</v>
      </c>
      <c r="F2543" s="17">
        <f t="shared" si="2010"/>
        <v>2</v>
      </c>
      <c r="G2543" s="17" t="str">
        <f t="shared" si="2022"/>
        <v>伯爵防御百分比</v>
      </c>
      <c r="H2543" s="17" t="str">
        <f t="shared" si="2023"/>
        <v>moshou02_Lv3</v>
      </c>
      <c r="I2543" s="20">
        <v>1.5</v>
      </c>
      <c r="J2543" s="17">
        <v>2</v>
      </c>
      <c r="K2543" s="17">
        <f t="shared" si="2020"/>
        <v>61703</v>
      </c>
      <c r="L2543" s="17" t="s">
        <v>215</v>
      </c>
      <c r="M2543" s="17" t="str">
        <f t="shared" si="2024"/>
        <v>1:11400:5</v>
      </c>
      <c r="N2543" s="16" t="str">
        <f t="shared" si="2001"/>
        <v>10058:1</v>
      </c>
      <c r="O2543" s="17">
        <f t="shared" si="2011"/>
        <v>8</v>
      </c>
      <c r="P2543" s="21" t="s">
        <v>5100</v>
      </c>
      <c r="Q2543" s="21"/>
      <c r="R2543" t="s">
        <v>5098</v>
      </c>
      <c r="T2543" t="str">
        <f t="shared" si="2025"/>
        <v>:1</v>
      </c>
      <c r="U2543" t="str">
        <f t="shared" si="2000"/>
        <v>防御</v>
      </c>
      <c r="V2543" t="s">
        <v>5096</v>
      </c>
      <c r="W2543">
        <f>属性类型!G2543</f>
        <v>10058</v>
      </c>
      <c r="X2543">
        <v>1</v>
      </c>
    </row>
    <row r="2544" customFormat="1" ht="16.5" spans="1:24">
      <c r="A2544" s="17">
        <f t="shared" si="2021"/>
        <v>61703</v>
      </c>
      <c r="B2544" s="17">
        <f t="shared" si="2002"/>
        <v>61700</v>
      </c>
      <c r="C2544" s="17" t="str">
        <f t="shared" si="2019"/>
        <v>6</v>
      </c>
      <c r="D2544" s="17">
        <f t="shared" si="1992"/>
        <v>60002</v>
      </c>
      <c r="E2544" s="17">
        <v>2</v>
      </c>
      <c r="F2544" s="17">
        <f t="shared" si="2010"/>
        <v>2</v>
      </c>
      <c r="G2544" s="17" t="str">
        <f t="shared" si="2022"/>
        <v>伯爵防御百分比</v>
      </c>
      <c r="H2544" s="17" t="str">
        <f t="shared" si="2023"/>
        <v>moshou02_Lv3</v>
      </c>
      <c r="I2544" s="20">
        <v>1.5</v>
      </c>
      <c r="J2544" s="17">
        <v>3</v>
      </c>
      <c r="K2544" s="17">
        <f t="shared" si="2020"/>
        <v>61704</v>
      </c>
      <c r="L2544" s="17" t="s">
        <v>218</v>
      </c>
      <c r="M2544" s="17" t="str">
        <f t="shared" si="2024"/>
        <v>1:11400:5</v>
      </c>
      <c r="N2544" s="16" t="str">
        <f t="shared" si="2001"/>
        <v>10058:1</v>
      </c>
      <c r="O2544" s="17">
        <f t="shared" si="2011"/>
        <v>8</v>
      </c>
      <c r="P2544" s="21" t="s">
        <v>5101</v>
      </c>
      <c r="Q2544" s="21"/>
      <c r="R2544" t="s">
        <v>5098</v>
      </c>
      <c r="T2544" t="str">
        <f t="shared" si="2025"/>
        <v>:1</v>
      </c>
      <c r="U2544" t="str">
        <f t="shared" si="2000"/>
        <v>防御</v>
      </c>
      <c r="V2544" t="s">
        <v>5096</v>
      </c>
      <c r="W2544">
        <f>属性类型!G2544</f>
        <v>10058</v>
      </c>
      <c r="X2544">
        <v>1</v>
      </c>
    </row>
    <row r="2545" customFormat="1" ht="16.5" spans="1:24">
      <c r="A2545" s="17">
        <f t="shared" si="2021"/>
        <v>61704</v>
      </c>
      <c r="B2545" s="17">
        <f t="shared" si="2002"/>
        <v>61700</v>
      </c>
      <c r="C2545" s="17" t="str">
        <f t="shared" si="2019"/>
        <v>6</v>
      </c>
      <c r="D2545" s="17">
        <f t="shared" si="1992"/>
        <v>60002</v>
      </c>
      <c r="E2545" s="17">
        <v>2</v>
      </c>
      <c r="F2545" s="17">
        <f t="shared" si="2010"/>
        <v>2</v>
      </c>
      <c r="G2545" s="17" t="str">
        <f t="shared" si="2022"/>
        <v>伯爵防御百分比</v>
      </c>
      <c r="H2545" s="17" t="str">
        <f t="shared" si="2023"/>
        <v>moshou02_Lv3</v>
      </c>
      <c r="I2545" s="20">
        <v>1.5</v>
      </c>
      <c r="J2545" s="17">
        <v>4</v>
      </c>
      <c r="K2545" s="17">
        <f t="shared" si="2020"/>
        <v>61705</v>
      </c>
      <c r="L2545" s="17" t="s">
        <v>221</v>
      </c>
      <c r="M2545" s="17" t="str">
        <f t="shared" si="2024"/>
        <v>1:11400:5</v>
      </c>
      <c r="N2545" s="16" t="str">
        <f t="shared" si="2001"/>
        <v>10058:1</v>
      </c>
      <c r="O2545" s="17">
        <f t="shared" si="2011"/>
        <v>8</v>
      </c>
      <c r="P2545" s="21" t="s">
        <v>5102</v>
      </c>
      <c r="Q2545" s="21"/>
      <c r="R2545" t="s">
        <v>5098</v>
      </c>
      <c r="T2545" t="str">
        <f t="shared" si="2025"/>
        <v>:1</v>
      </c>
      <c r="U2545" t="str">
        <f t="shared" si="2000"/>
        <v>防御</v>
      </c>
      <c r="V2545" t="s">
        <v>5096</v>
      </c>
      <c r="W2545">
        <f>属性类型!G2545</f>
        <v>10058</v>
      </c>
      <c r="X2545">
        <v>1</v>
      </c>
    </row>
    <row r="2546" customFormat="1" ht="16.5" spans="1:24">
      <c r="A2546" s="17">
        <f t="shared" si="2021"/>
        <v>61705</v>
      </c>
      <c r="B2546" s="17">
        <f t="shared" si="2002"/>
        <v>61700</v>
      </c>
      <c r="C2546" s="17" t="str">
        <f t="shared" si="2019"/>
        <v>6</v>
      </c>
      <c r="D2546" s="17">
        <f t="shared" si="1992"/>
        <v>60002</v>
      </c>
      <c r="E2546" s="17">
        <v>2</v>
      </c>
      <c r="F2546" s="17">
        <f t="shared" si="2010"/>
        <v>2</v>
      </c>
      <c r="G2546" s="17" t="str">
        <f t="shared" si="2022"/>
        <v>伯爵防御百分比</v>
      </c>
      <c r="H2546" s="17" t="str">
        <f t="shared" si="2023"/>
        <v>moshou02_Lv3</v>
      </c>
      <c r="I2546" s="20">
        <v>1.5</v>
      </c>
      <c r="J2546" s="17">
        <v>5</v>
      </c>
      <c r="K2546" s="17">
        <f t="shared" si="2020"/>
        <v>61706</v>
      </c>
      <c r="L2546" s="17" t="s">
        <v>224</v>
      </c>
      <c r="M2546" s="17" t="str">
        <f t="shared" si="2024"/>
        <v>1:11400:5</v>
      </c>
      <c r="N2546" s="16" t="str">
        <f t="shared" si="2001"/>
        <v>10058:1</v>
      </c>
      <c r="O2546" s="17">
        <f t="shared" si="2011"/>
        <v>8</v>
      </c>
      <c r="P2546" s="21" t="s">
        <v>5103</v>
      </c>
      <c r="Q2546" s="21"/>
      <c r="R2546" t="s">
        <v>5098</v>
      </c>
      <c r="T2546" t="str">
        <f t="shared" si="2025"/>
        <v>:1</v>
      </c>
      <c r="U2546" t="str">
        <f t="shared" si="2000"/>
        <v>防御</v>
      </c>
      <c r="V2546" t="s">
        <v>5096</v>
      </c>
      <c r="W2546">
        <f>属性类型!G2546</f>
        <v>10058</v>
      </c>
      <c r="X2546">
        <v>1</v>
      </c>
    </row>
    <row r="2547" customFormat="1" ht="16.5" spans="1:24">
      <c r="A2547" s="17">
        <f t="shared" si="2021"/>
        <v>61706</v>
      </c>
      <c r="B2547" s="17">
        <f t="shared" si="2002"/>
        <v>61700</v>
      </c>
      <c r="C2547" s="17" t="str">
        <f t="shared" si="2019"/>
        <v>6</v>
      </c>
      <c r="D2547" s="17">
        <f t="shared" si="1992"/>
        <v>60002</v>
      </c>
      <c r="E2547" s="17">
        <v>2</v>
      </c>
      <c r="F2547" s="17">
        <f t="shared" si="2010"/>
        <v>2</v>
      </c>
      <c r="G2547" s="17" t="str">
        <f t="shared" si="2022"/>
        <v>伯爵防御百分比</v>
      </c>
      <c r="H2547" s="17" t="str">
        <f t="shared" si="2023"/>
        <v>moshou02_Lv3</v>
      </c>
      <c r="I2547" s="20">
        <v>1.5</v>
      </c>
      <c r="J2547" s="17">
        <v>6</v>
      </c>
      <c r="K2547" s="17">
        <f t="shared" si="2020"/>
        <v>61707</v>
      </c>
      <c r="L2547" s="17" t="s">
        <v>227</v>
      </c>
      <c r="M2547" s="17" t="str">
        <f t="shared" si="2024"/>
        <v>1:11400:5</v>
      </c>
      <c r="N2547" s="16" t="str">
        <f t="shared" si="2001"/>
        <v>10058:1</v>
      </c>
      <c r="O2547" s="17">
        <f t="shared" si="2011"/>
        <v>8</v>
      </c>
      <c r="P2547" s="21" t="s">
        <v>5104</v>
      </c>
      <c r="Q2547" s="21"/>
      <c r="R2547" t="s">
        <v>5098</v>
      </c>
      <c r="T2547" t="str">
        <f t="shared" si="2025"/>
        <v>:1</v>
      </c>
      <c r="U2547" t="str">
        <f t="shared" si="2000"/>
        <v>防御</v>
      </c>
      <c r="V2547" t="s">
        <v>5096</v>
      </c>
      <c r="W2547">
        <f>属性类型!G2547</f>
        <v>10058</v>
      </c>
      <c r="X2547">
        <v>1</v>
      </c>
    </row>
    <row r="2548" customFormat="1" ht="16.5" spans="1:24">
      <c r="A2548" s="17">
        <f t="shared" si="2021"/>
        <v>61707</v>
      </c>
      <c r="B2548" s="17">
        <f t="shared" si="2002"/>
        <v>61700</v>
      </c>
      <c r="C2548" s="17" t="str">
        <f t="shared" si="2019"/>
        <v>6</v>
      </c>
      <c r="D2548" s="17">
        <f t="shared" si="1992"/>
        <v>60002</v>
      </c>
      <c r="E2548" s="17">
        <v>2</v>
      </c>
      <c r="F2548" s="17">
        <f t="shared" si="2010"/>
        <v>2</v>
      </c>
      <c r="G2548" s="17" t="str">
        <f t="shared" si="2022"/>
        <v>伯爵防御百分比</v>
      </c>
      <c r="H2548" s="17" t="str">
        <f t="shared" si="2023"/>
        <v>moshou02_Lv3</v>
      </c>
      <c r="I2548" s="20">
        <v>1.5</v>
      </c>
      <c r="J2548" s="17">
        <v>7</v>
      </c>
      <c r="K2548" s="17">
        <f t="shared" si="2020"/>
        <v>61708</v>
      </c>
      <c r="L2548" s="17" t="s">
        <v>230</v>
      </c>
      <c r="M2548" s="17" t="str">
        <f t="shared" si="2024"/>
        <v>1:11400:5</v>
      </c>
      <c r="N2548" s="16" t="str">
        <f t="shared" si="2001"/>
        <v>10058:1</v>
      </c>
      <c r="O2548" s="17">
        <f t="shared" si="2011"/>
        <v>8</v>
      </c>
      <c r="P2548" s="21" t="s">
        <v>5105</v>
      </c>
      <c r="Q2548" s="21"/>
      <c r="R2548" t="s">
        <v>5098</v>
      </c>
      <c r="T2548" t="str">
        <f t="shared" si="2025"/>
        <v>:1</v>
      </c>
      <c r="U2548" t="str">
        <f t="shared" si="2000"/>
        <v>防御</v>
      </c>
      <c r="V2548" t="s">
        <v>5096</v>
      </c>
      <c r="W2548">
        <f>属性类型!G2548</f>
        <v>10058</v>
      </c>
      <c r="X2548">
        <v>1</v>
      </c>
    </row>
    <row r="2549" customFormat="1" ht="16.5" spans="1:24">
      <c r="A2549" s="17">
        <f t="shared" si="2021"/>
        <v>61708</v>
      </c>
      <c r="B2549" s="17">
        <f t="shared" si="2002"/>
        <v>61700</v>
      </c>
      <c r="C2549" s="17" t="str">
        <f t="shared" si="2019"/>
        <v>6</v>
      </c>
      <c r="D2549" s="17">
        <f t="shared" si="1992"/>
        <v>60002</v>
      </c>
      <c r="E2549" s="17">
        <v>2</v>
      </c>
      <c r="F2549" s="17">
        <f t="shared" si="2010"/>
        <v>2</v>
      </c>
      <c r="G2549" s="17" t="str">
        <f t="shared" si="2022"/>
        <v>伯爵防御百分比</v>
      </c>
      <c r="H2549" s="17" t="str">
        <f t="shared" si="2023"/>
        <v>moshou02_Lv3</v>
      </c>
      <c r="I2549" s="20">
        <v>1.5</v>
      </c>
      <c r="J2549" s="17">
        <v>8</v>
      </c>
      <c r="K2549" s="17">
        <f t="shared" si="2020"/>
        <v>61709</v>
      </c>
      <c r="L2549" s="17" t="s">
        <v>233</v>
      </c>
      <c r="M2549" s="17" t="str">
        <f t="shared" si="2024"/>
        <v>1:11400:5</v>
      </c>
      <c r="N2549" s="16" t="str">
        <f t="shared" si="2001"/>
        <v>10058:1</v>
      </c>
      <c r="O2549" s="17">
        <f t="shared" si="2011"/>
        <v>8</v>
      </c>
      <c r="P2549" s="21" t="s">
        <v>5106</v>
      </c>
      <c r="Q2549" s="21"/>
      <c r="R2549" t="s">
        <v>5098</v>
      </c>
      <c r="T2549" t="str">
        <f t="shared" si="2025"/>
        <v>:1</v>
      </c>
      <c r="U2549" t="str">
        <f t="shared" si="2000"/>
        <v>防御</v>
      </c>
      <c r="V2549" t="s">
        <v>5096</v>
      </c>
      <c r="W2549">
        <f>属性类型!G2549</f>
        <v>10058</v>
      </c>
      <c r="X2549">
        <v>1</v>
      </c>
    </row>
    <row r="2550" customFormat="1" ht="16.5" spans="1:24">
      <c r="A2550" s="17">
        <f t="shared" si="2021"/>
        <v>61709</v>
      </c>
      <c r="B2550" s="17">
        <f t="shared" si="2002"/>
        <v>61700</v>
      </c>
      <c r="C2550" s="17" t="str">
        <f t="shared" si="2019"/>
        <v>6</v>
      </c>
      <c r="D2550" s="17">
        <f t="shared" si="1992"/>
        <v>60002</v>
      </c>
      <c r="E2550" s="17">
        <v>2</v>
      </c>
      <c r="F2550" s="17">
        <f t="shared" si="2010"/>
        <v>2</v>
      </c>
      <c r="G2550" s="17" t="str">
        <f t="shared" si="2022"/>
        <v>伯爵防御百分比</v>
      </c>
      <c r="H2550" s="17" t="str">
        <f t="shared" si="2023"/>
        <v>moshou02_Lv3</v>
      </c>
      <c r="I2550" s="20">
        <v>1.5</v>
      </c>
      <c r="J2550" s="17">
        <v>9</v>
      </c>
      <c r="K2550" s="17">
        <f t="shared" si="2020"/>
        <v>61710</v>
      </c>
      <c r="L2550" s="17" t="s">
        <v>236</v>
      </c>
      <c r="M2550" s="17" t="str">
        <f t="shared" si="2024"/>
        <v>1:11400:5</v>
      </c>
      <c r="N2550" s="16" t="str">
        <f t="shared" si="2001"/>
        <v>10058:1</v>
      </c>
      <c r="O2550" s="17">
        <f t="shared" si="2011"/>
        <v>8</v>
      </c>
      <c r="P2550" s="21" t="s">
        <v>5107</v>
      </c>
      <c r="Q2550" s="21"/>
      <c r="R2550" t="s">
        <v>5098</v>
      </c>
      <c r="T2550" t="str">
        <f t="shared" si="2025"/>
        <v>:1</v>
      </c>
      <c r="U2550" t="str">
        <f t="shared" si="2000"/>
        <v>防御</v>
      </c>
      <c r="V2550" t="s">
        <v>5096</v>
      </c>
      <c r="W2550">
        <f>属性类型!G2550</f>
        <v>10058</v>
      </c>
      <c r="X2550">
        <v>1</v>
      </c>
    </row>
    <row r="2551" customFormat="1" ht="16.5" spans="1:24">
      <c r="A2551" s="17">
        <f t="shared" si="2021"/>
        <v>61710</v>
      </c>
      <c r="B2551" s="17">
        <f t="shared" si="2002"/>
        <v>61700</v>
      </c>
      <c r="C2551" s="17" t="str">
        <f t="shared" si="2019"/>
        <v>6</v>
      </c>
      <c r="D2551" s="17">
        <f t="shared" si="1992"/>
        <v>60002</v>
      </c>
      <c r="E2551" s="17">
        <v>2</v>
      </c>
      <c r="F2551" s="17">
        <f t="shared" si="2010"/>
        <v>2</v>
      </c>
      <c r="G2551" s="17" t="str">
        <f t="shared" si="2022"/>
        <v>伯爵防御百分比</v>
      </c>
      <c r="H2551" s="17" t="str">
        <f t="shared" si="2023"/>
        <v>moshou02_Lv3</v>
      </c>
      <c r="I2551" s="20">
        <v>1.5</v>
      </c>
      <c r="J2551" s="17">
        <v>10</v>
      </c>
      <c r="K2551" s="17">
        <f t="shared" si="2020"/>
        <v>61711</v>
      </c>
      <c r="L2551" s="17" t="s">
        <v>238</v>
      </c>
      <c r="M2551" s="17" t="str">
        <f t="shared" si="2024"/>
        <v>1:11400:5</v>
      </c>
      <c r="N2551" s="16" t="str">
        <f t="shared" si="2001"/>
        <v>10058:1</v>
      </c>
      <c r="O2551" s="17">
        <f t="shared" si="2011"/>
        <v>8</v>
      </c>
      <c r="P2551" s="21" t="s">
        <v>5108</v>
      </c>
      <c r="Q2551" s="21"/>
      <c r="R2551" t="s">
        <v>5098</v>
      </c>
      <c r="T2551" t="str">
        <f t="shared" si="2025"/>
        <v>:1</v>
      </c>
      <c r="U2551" t="str">
        <f t="shared" si="2000"/>
        <v>防御</v>
      </c>
      <c r="V2551" t="s">
        <v>5096</v>
      </c>
      <c r="W2551">
        <f>属性类型!G2551</f>
        <v>10058</v>
      </c>
      <c r="X2551">
        <v>1</v>
      </c>
    </row>
    <row r="2552" customFormat="1" ht="16.5" spans="1:24">
      <c r="A2552" s="17">
        <f t="shared" si="2021"/>
        <v>61711</v>
      </c>
      <c r="B2552" s="17">
        <f t="shared" si="2002"/>
        <v>61700</v>
      </c>
      <c r="C2552" s="17" t="str">
        <f t="shared" si="2019"/>
        <v>6</v>
      </c>
      <c r="D2552" s="17">
        <f t="shared" si="1992"/>
        <v>60002</v>
      </c>
      <c r="E2552" s="17">
        <v>2</v>
      </c>
      <c r="F2552" s="17">
        <f t="shared" si="2010"/>
        <v>2</v>
      </c>
      <c r="G2552" s="17" t="str">
        <f t="shared" si="2022"/>
        <v>伯爵防御百分比</v>
      </c>
      <c r="H2552" s="17" t="str">
        <f t="shared" si="2023"/>
        <v>moshou02_Lv3</v>
      </c>
      <c r="I2552" s="20">
        <v>1.5</v>
      </c>
      <c r="J2552" s="17">
        <v>11</v>
      </c>
      <c r="K2552" s="17">
        <f t="shared" si="2020"/>
        <v>61712</v>
      </c>
      <c r="L2552" s="17" t="s">
        <v>529</v>
      </c>
      <c r="M2552" s="17" t="str">
        <f t="shared" si="2024"/>
        <v>1:11400:5</v>
      </c>
      <c r="N2552" s="16" t="str">
        <f t="shared" si="2001"/>
        <v>10058:1</v>
      </c>
      <c r="O2552" s="17">
        <f t="shared" si="2011"/>
        <v>8</v>
      </c>
      <c r="P2552" s="21" t="s">
        <v>5109</v>
      </c>
      <c r="Q2552" s="21"/>
      <c r="R2552" t="s">
        <v>5098</v>
      </c>
      <c r="T2552" t="str">
        <f t="shared" si="2025"/>
        <v>:1</v>
      </c>
      <c r="U2552" t="str">
        <f t="shared" si="2000"/>
        <v>防御</v>
      </c>
      <c r="V2552" t="s">
        <v>5096</v>
      </c>
      <c r="W2552">
        <f>属性类型!G2552</f>
        <v>10058</v>
      </c>
      <c r="X2552">
        <v>1</v>
      </c>
    </row>
    <row r="2553" customFormat="1" ht="16.5" spans="1:24">
      <c r="A2553" s="17">
        <f t="shared" si="2021"/>
        <v>61712</v>
      </c>
      <c r="B2553" s="17">
        <f t="shared" si="2002"/>
        <v>61700</v>
      </c>
      <c r="C2553" s="17" t="str">
        <f t="shared" si="2019"/>
        <v>6</v>
      </c>
      <c r="D2553" s="17">
        <f t="shared" ref="D2553:D2603" si="2026">$A$2329+F2553</f>
        <v>60002</v>
      </c>
      <c r="E2553" s="17">
        <v>2</v>
      </c>
      <c r="F2553" s="17">
        <f t="shared" si="2010"/>
        <v>2</v>
      </c>
      <c r="G2553" s="17" t="str">
        <f t="shared" si="2022"/>
        <v>伯爵防御百分比</v>
      </c>
      <c r="H2553" s="17" t="str">
        <f t="shared" si="2023"/>
        <v>moshou02_Lv3</v>
      </c>
      <c r="I2553" s="20">
        <v>1.5</v>
      </c>
      <c r="J2553" s="17">
        <v>12</v>
      </c>
      <c r="K2553" s="17">
        <f t="shared" si="2020"/>
        <v>61713</v>
      </c>
      <c r="L2553" s="17" t="s">
        <v>532</v>
      </c>
      <c r="M2553" s="17" t="str">
        <f t="shared" si="2024"/>
        <v>1:11400:5</v>
      </c>
      <c r="N2553" s="16" t="str">
        <f t="shared" si="2001"/>
        <v>10058:1</v>
      </c>
      <c r="O2553" s="17">
        <f t="shared" si="2011"/>
        <v>8</v>
      </c>
      <c r="P2553" s="21" t="s">
        <v>5110</v>
      </c>
      <c r="Q2553" s="21"/>
      <c r="R2553" t="s">
        <v>5098</v>
      </c>
      <c r="T2553" t="str">
        <f t="shared" si="2025"/>
        <v>:1</v>
      </c>
      <c r="U2553" t="str">
        <f t="shared" si="2000"/>
        <v>防御</v>
      </c>
      <c r="V2553" t="s">
        <v>5096</v>
      </c>
      <c r="W2553">
        <f>属性类型!G2553</f>
        <v>10058</v>
      </c>
      <c r="X2553">
        <v>1</v>
      </c>
    </row>
    <row r="2554" customFormat="1" ht="16.5" spans="1:24">
      <c r="A2554" s="17">
        <f t="shared" si="2021"/>
        <v>61713</v>
      </c>
      <c r="B2554" s="17">
        <f t="shared" si="2002"/>
        <v>61700</v>
      </c>
      <c r="C2554" s="17" t="str">
        <f t="shared" si="2019"/>
        <v>6</v>
      </c>
      <c r="D2554" s="17">
        <f t="shared" si="2026"/>
        <v>60002</v>
      </c>
      <c r="E2554" s="17">
        <v>2</v>
      </c>
      <c r="F2554" s="17">
        <f t="shared" si="2010"/>
        <v>2</v>
      </c>
      <c r="G2554" s="17" t="str">
        <f t="shared" si="2022"/>
        <v>伯爵防御百分比</v>
      </c>
      <c r="H2554" s="17" t="str">
        <f t="shared" si="2023"/>
        <v>moshou02_Lv3</v>
      </c>
      <c r="I2554" s="20">
        <v>1.5</v>
      </c>
      <c r="J2554" s="17">
        <v>13</v>
      </c>
      <c r="K2554" s="17">
        <f t="shared" si="2020"/>
        <v>61714</v>
      </c>
      <c r="L2554" s="17" t="s">
        <v>561</v>
      </c>
      <c r="M2554" s="17" t="str">
        <f t="shared" si="2024"/>
        <v>1:11400:5</v>
      </c>
      <c r="N2554" s="16" t="str">
        <f t="shared" si="2001"/>
        <v>10058:1</v>
      </c>
      <c r="O2554" s="17">
        <f t="shared" si="2011"/>
        <v>8</v>
      </c>
      <c r="P2554" s="21" t="s">
        <v>5111</v>
      </c>
      <c r="Q2554" s="21"/>
      <c r="R2554" t="s">
        <v>5098</v>
      </c>
      <c r="T2554" t="str">
        <f t="shared" si="2025"/>
        <v>:1</v>
      </c>
      <c r="U2554" t="str">
        <f t="shared" si="2000"/>
        <v>防御</v>
      </c>
      <c r="V2554" t="s">
        <v>5096</v>
      </c>
      <c r="W2554">
        <f>属性类型!G2554</f>
        <v>10058</v>
      </c>
      <c r="X2554">
        <v>1</v>
      </c>
    </row>
    <row r="2555" customFormat="1" ht="16.5" spans="1:24">
      <c r="A2555" s="17">
        <f t="shared" si="2021"/>
        <v>61714</v>
      </c>
      <c r="B2555" s="17">
        <f t="shared" si="2002"/>
        <v>61700</v>
      </c>
      <c r="C2555" s="17" t="str">
        <f t="shared" si="2019"/>
        <v>6</v>
      </c>
      <c r="D2555" s="17">
        <f t="shared" si="2026"/>
        <v>60002</v>
      </c>
      <c r="E2555" s="17">
        <v>2</v>
      </c>
      <c r="F2555" s="17">
        <f t="shared" si="2010"/>
        <v>2</v>
      </c>
      <c r="G2555" s="17" t="str">
        <f t="shared" si="2022"/>
        <v>伯爵防御百分比</v>
      </c>
      <c r="H2555" s="17" t="str">
        <f t="shared" si="2023"/>
        <v>moshou02_Lv3</v>
      </c>
      <c r="I2555" s="20">
        <v>1.5</v>
      </c>
      <c r="J2555" s="17">
        <v>14</v>
      </c>
      <c r="K2555" s="17">
        <f t="shared" si="2020"/>
        <v>61715</v>
      </c>
      <c r="L2555" s="17" t="s">
        <v>564</v>
      </c>
      <c r="M2555" s="17" t="str">
        <f t="shared" si="2024"/>
        <v>1:11400:5</v>
      </c>
      <c r="N2555" s="16" t="str">
        <f t="shared" si="2001"/>
        <v>10058:1</v>
      </c>
      <c r="O2555" s="17">
        <f t="shared" si="2011"/>
        <v>8</v>
      </c>
      <c r="P2555" s="21" t="s">
        <v>5112</v>
      </c>
      <c r="Q2555" s="21"/>
      <c r="R2555" t="s">
        <v>5098</v>
      </c>
      <c r="T2555" t="str">
        <f t="shared" si="2025"/>
        <v>:1</v>
      </c>
      <c r="U2555" t="str">
        <f t="shared" si="2000"/>
        <v>防御</v>
      </c>
      <c r="V2555" t="s">
        <v>5096</v>
      </c>
      <c r="W2555">
        <f>属性类型!G2555</f>
        <v>10058</v>
      </c>
      <c r="X2555">
        <v>1</v>
      </c>
    </row>
    <row r="2556" customFormat="1" ht="16.5" spans="1:24">
      <c r="A2556" s="17">
        <f t="shared" si="2021"/>
        <v>61715</v>
      </c>
      <c r="B2556" s="17">
        <f t="shared" si="2002"/>
        <v>61700</v>
      </c>
      <c r="C2556" s="17" t="str">
        <f t="shared" si="2019"/>
        <v>6</v>
      </c>
      <c r="D2556" s="17">
        <f t="shared" si="2026"/>
        <v>60002</v>
      </c>
      <c r="E2556" s="17">
        <v>2</v>
      </c>
      <c r="F2556" s="17">
        <f t="shared" si="2010"/>
        <v>2</v>
      </c>
      <c r="G2556" s="17" t="str">
        <f t="shared" si="2022"/>
        <v>伯爵防御百分比</v>
      </c>
      <c r="H2556" s="17" t="str">
        <f t="shared" si="2023"/>
        <v>moshou02_Lv3</v>
      </c>
      <c r="I2556" s="20">
        <v>1.5</v>
      </c>
      <c r="J2556" s="17">
        <v>15</v>
      </c>
      <c r="K2556" s="17">
        <f t="shared" si="2020"/>
        <v>61716</v>
      </c>
      <c r="L2556" s="17" t="s">
        <v>630</v>
      </c>
      <c r="M2556" s="17" t="str">
        <f t="shared" si="2024"/>
        <v>1:11400:5</v>
      </c>
      <c r="N2556" s="16" t="str">
        <f t="shared" si="2001"/>
        <v>10058:1</v>
      </c>
      <c r="O2556" s="17">
        <f t="shared" si="2011"/>
        <v>8</v>
      </c>
      <c r="P2556" s="21" t="s">
        <v>5113</v>
      </c>
      <c r="Q2556" s="21"/>
      <c r="R2556" t="s">
        <v>5098</v>
      </c>
      <c r="T2556" t="str">
        <f t="shared" si="2025"/>
        <v>:1</v>
      </c>
      <c r="U2556" t="str">
        <f t="shared" si="2000"/>
        <v>防御</v>
      </c>
      <c r="V2556" t="s">
        <v>5096</v>
      </c>
      <c r="W2556">
        <f>属性类型!G2556</f>
        <v>10058</v>
      </c>
      <c r="X2556">
        <v>1</v>
      </c>
    </row>
    <row r="2557" customFormat="1" ht="16.5" spans="1:24">
      <c r="A2557" s="17">
        <f t="shared" si="2021"/>
        <v>61716</v>
      </c>
      <c r="B2557" s="17">
        <f t="shared" si="2002"/>
        <v>61700</v>
      </c>
      <c r="C2557" s="17" t="str">
        <f t="shared" si="2019"/>
        <v>6</v>
      </c>
      <c r="D2557" s="17">
        <f t="shared" si="2026"/>
        <v>60002</v>
      </c>
      <c r="E2557" s="17">
        <v>2</v>
      </c>
      <c r="F2557" s="17">
        <f t="shared" si="2010"/>
        <v>2</v>
      </c>
      <c r="G2557" s="17" t="str">
        <f t="shared" si="2022"/>
        <v>伯爵防御百分比</v>
      </c>
      <c r="H2557" s="17" t="str">
        <f t="shared" si="2023"/>
        <v>moshou02_Lv3</v>
      </c>
      <c r="I2557" s="20">
        <v>1.5</v>
      </c>
      <c r="J2557" s="17">
        <v>16</v>
      </c>
      <c r="K2557" s="17">
        <f t="shared" si="2020"/>
        <v>61717</v>
      </c>
      <c r="L2557" s="17" t="s">
        <v>633</v>
      </c>
      <c r="M2557" s="17" t="str">
        <f t="shared" si="2024"/>
        <v>1:11400:5</v>
      </c>
      <c r="N2557" s="16" t="str">
        <f t="shared" si="2001"/>
        <v>10058:1</v>
      </c>
      <c r="O2557" s="17">
        <f t="shared" si="2011"/>
        <v>8</v>
      </c>
      <c r="P2557" s="21" t="s">
        <v>5114</v>
      </c>
      <c r="Q2557" s="21"/>
      <c r="R2557" t="s">
        <v>5098</v>
      </c>
      <c r="T2557" t="str">
        <f t="shared" si="2025"/>
        <v>:1</v>
      </c>
      <c r="U2557" t="str">
        <f t="shared" si="2000"/>
        <v>防御</v>
      </c>
      <c r="V2557" t="s">
        <v>5096</v>
      </c>
      <c r="W2557">
        <f>属性类型!G2557</f>
        <v>10058</v>
      </c>
      <c r="X2557">
        <v>1</v>
      </c>
    </row>
    <row r="2558" customFormat="1" ht="16.5" spans="1:24">
      <c r="A2558" s="17">
        <f t="shared" si="2021"/>
        <v>61717</v>
      </c>
      <c r="B2558" s="17">
        <f t="shared" si="2002"/>
        <v>61700</v>
      </c>
      <c r="C2558" s="17" t="str">
        <f t="shared" si="2019"/>
        <v>6</v>
      </c>
      <c r="D2558" s="17">
        <f t="shared" si="2026"/>
        <v>60002</v>
      </c>
      <c r="E2558" s="17">
        <v>2</v>
      </c>
      <c r="F2558" s="17">
        <f t="shared" si="2010"/>
        <v>2</v>
      </c>
      <c r="G2558" s="17" t="str">
        <f t="shared" si="2022"/>
        <v>伯爵防御百分比</v>
      </c>
      <c r="H2558" s="17" t="str">
        <f t="shared" si="2023"/>
        <v>moshou02_Lv3</v>
      </c>
      <c r="I2558" s="20">
        <v>1.5</v>
      </c>
      <c r="J2558" s="17">
        <v>17</v>
      </c>
      <c r="K2558" s="17">
        <f t="shared" si="2020"/>
        <v>61718</v>
      </c>
      <c r="L2558" s="17" t="s">
        <v>637</v>
      </c>
      <c r="M2558" s="17" t="str">
        <f t="shared" si="2024"/>
        <v>1:11400:5</v>
      </c>
      <c r="N2558" s="16" t="str">
        <f t="shared" si="2001"/>
        <v>10058:1</v>
      </c>
      <c r="O2558" s="17">
        <f t="shared" si="2011"/>
        <v>8</v>
      </c>
      <c r="P2558" s="21" t="s">
        <v>5115</v>
      </c>
      <c r="Q2558" s="21"/>
      <c r="R2558" t="s">
        <v>5098</v>
      </c>
      <c r="T2558" t="str">
        <f t="shared" si="2025"/>
        <v>:1</v>
      </c>
      <c r="U2558" t="str">
        <f t="shared" si="2000"/>
        <v>防御</v>
      </c>
      <c r="V2558" t="s">
        <v>5096</v>
      </c>
      <c r="W2558">
        <f>属性类型!G2558</f>
        <v>10058</v>
      </c>
      <c r="X2558">
        <v>1</v>
      </c>
    </row>
    <row r="2559" customFormat="1" ht="16.5" spans="1:24">
      <c r="A2559" s="17">
        <f t="shared" si="2021"/>
        <v>61718</v>
      </c>
      <c r="B2559" s="17">
        <f t="shared" si="2002"/>
        <v>61700</v>
      </c>
      <c r="C2559" s="17" t="str">
        <f t="shared" si="2019"/>
        <v>6</v>
      </c>
      <c r="D2559" s="17">
        <f t="shared" si="2026"/>
        <v>60002</v>
      </c>
      <c r="E2559" s="17">
        <v>2</v>
      </c>
      <c r="F2559" s="17">
        <f t="shared" si="2010"/>
        <v>2</v>
      </c>
      <c r="G2559" s="17" t="str">
        <f t="shared" si="2022"/>
        <v>伯爵防御百分比</v>
      </c>
      <c r="H2559" s="17" t="str">
        <f t="shared" si="2023"/>
        <v>moshou02_Lv3</v>
      </c>
      <c r="I2559" s="20">
        <v>1.5</v>
      </c>
      <c r="J2559" s="17">
        <v>18</v>
      </c>
      <c r="K2559" s="17">
        <f t="shared" si="2020"/>
        <v>61719</v>
      </c>
      <c r="L2559" s="17" t="s">
        <v>641</v>
      </c>
      <c r="M2559" s="17" t="str">
        <f t="shared" si="2024"/>
        <v>1:11400:5</v>
      </c>
      <c r="N2559" s="16" t="str">
        <f t="shared" si="2001"/>
        <v>10058:1</v>
      </c>
      <c r="O2559" s="17">
        <f t="shared" si="2011"/>
        <v>8</v>
      </c>
      <c r="P2559" s="21" t="s">
        <v>5116</v>
      </c>
      <c r="Q2559" s="21"/>
      <c r="R2559" t="s">
        <v>5098</v>
      </c>
      <c r="T2559" t="str">
        <f t="shared" si="2025"/>
        <v>:1</v>
      </c>
      <c r="U2559" t="str">
        <f t="shared" si="2000"/>
        <v>防御</v>
      </c>
      <c r="V2559" t="s">
        <v>5096</v>
      </c>
      <c r="W2559">
        <f>属性类型!G2559</f>
        <v>10058</v>
      </c>
      <c r="X2559">
        <v>1</v>
      </c>
    </row>
    <row r="2560" customFormat="1" ht="16.5" spans="1:24">
      <c r="A2560" s="17">
        <f t="shared" si="2021"/>
        <v>61719</v>
      </c>
      <c r="B2560" s="17">
        <f t="shared" si="2002"/>
        <v>61700</v>
      </c>
      <c r="C2560" s="17" t="str">
        <f t="shared" si="2019"/>
        <v>6</v>
      </c>
      <c r="D2560" s="17">
        <f t="shared" si="2026"/>
        <v>60002</v>
      </c>
      <c r="E2560" s="17">
        <v>2</v>
      </c>
      <c r="F2560" s="17">
        <f t="shared" si="2010"/>
        <v>2</v>
      </c>
      <c r="G2560" s="17" t="str">
        <f t="shared" si="2022"/>
        <v>伯爵防御百分比</v>
      </c>
      <c r="H2560" s="17" t="str">
        <f t="shared" si="2023"/>
        <v>moshou02_Lv3</v>
      </c>
      <c r="I2560" s="20">
        <v>1.5</v>
      </c>
      <c r="J2560" s="17">
        <v>19</v>
      </c>
      <c r="K2560" s="17">
        <f t="shared" si="2020"/>
        <v>61720</v>
      </c>
      <c r="L2560" s="17" t="s">
        <v>645</v>
      </c>
      <c r="M2560" s="17" t="str">
        <f t="shared" si="2024"/>
        <v>1:11400:5</v>
      </c>
      <c r="N2560" s="16" t="str">
        <f t="shared" si="2001"/>
        <v>10058:1</v>
      </c>
      <c r="O2560" s="17">
        <f t="shared" si="2011"/>
        <v>8</v>
      </c>
      <c r="P2560" s="21" t="s">
        <v>5117</v>
      </c>
      <c r="Q2560" s="21"/>
      <c r="R2560" t="s">
        <v>5098</v>
      </c>
      <c r="T2560" t="str">
        <f t="shared" si="2025"/>
        <v>:1</v>
      </c>
      <c r="U2560" t="str">
        <f t="shared" si="2000"/>
        <v>防御</v>
      </c>
      <c r="V2560" t="s">
        <v>5096</v>
      </c>
      <c r="W2560">
        <f>属性类型!G2560</f>
        <v>10058</v>
      </c>
      <c r="X2560">
        <v>1</v>
      </c>
    </row>
    <row r="2561" customFormat="1" ht="16.5" spans="1:24">
      <c r="A2561" s="17">
        <f t="shared" si="2021"/>
        <v>61720</v>
      </c>
      <c r="B2561" s="17">
        <f t="shared" si="2002"/>
        <v>61700</v>
      </c>
      <c r="C2561" s="17" t="str">
        <f t="shared" si="2019"/>
        <v>6</v>
      </c>
      <c r="D2561" s="17">
        <f t="shared" si="2026"/>
        <v>60002</v>
      </c>
      <c r="E2561" s="17">
        <v>2</v>
      </c>
      <c r="F2561" s="17">
        <f t="shared" si="2010"/>
        <v>2</v>
      </c>
      <c r="G2561" s="17" t="str">
        <f t="shared" si="2022"/>
        <v>伯爵防御百分比</v>
      </c>
      <c r="H2561" s="17" t="str">
        <f t="shared" si="2023"/>
        <v>moshou02_Lv3</v>
      </c>
      <c r="I2561" s="20">
        <v>1.5</v>
      </c>
      <c r="J2561" s="17">
        <v>20</v>
      </c>
      <c r="K2561" s="17">
        <v>0</v>
      </c>
      <c r="L2561" s="17">
        <v>0</v>
      </c>
      <c r="M2561" s="17" t="str">
        <f t="shared" si="2024"/>
        <v>1:11400:5</v>
      </c>
      <c r="N2561" s="16" t="str">
        <f t="shared" si="2001"/>
        <v>10058:1</v>
      </c>
      <c r="O2561" s="17">
        <f t="shared" si="2011"/>
        <v>8</v>
      </c>
      <c r="P2561" s="21" t="s">
        <v>5117</v>
      </c>
      <c r="Q2561" s="21"/>
      <c r="R2561" t="s">
        <v>5098</v>
      </c>
      <c r="T2561" t="str">
        <f t="shared" si="2025"/>
        <v>:1</v>
      </c>
      <c r="U2561" t="str">
        <f t="shared" si="2000"/>
        <v>防御</v>
      </c>
      <c r="V2561" t="s">
        <v>5096</v>
      </c>
      <c r="W2561">
        <f>属性类型!G2561</f>
        <v>10058</v>
      </c>
      <c r="X2561">
        <v>1</v>
      </c>
    </row>
    <row r="2562" customFormat="1" ht="16.5" spans="1:24">
      <c r="A2562" s="18">
        <f>A2541+100</f>
        <v>61800</v>
      </c>
      <c r="B2562" s="18">
        <f t="shared" si="2002"/>
        <v>61800</v>
      </c>
      <c r="C2562" s="18" t="str">
        <f t="shared" si="2019"/>
        <v>6</v>
      </c>
      <c r="D2562" s="17">
        <f t="shared" si="2026"/>
        <v>60002</v>
      </c>
      <c r="E2562" s="17">
        <v>2</v>
      </c>
      <c r="F2562" s="18">
        <f t="shared" si="2010"/>
        <v>2</v>
      </c>
      <c r="G2562" s="18" t="s">
        <v>5118</v>
      </c>
      <c r="H2562" s="18" t="s">
        <v>3741</v>
      </c>
      <c r="I2562" s="20">
        <v>1.5</v>
      </c>
      <c r="J2562" s="18">
        <v>0</v>
      </c>
      <c r="K2562" s="18">
        <f t="shared" ref="K2562:K2581" si="2027">A2563</f>
        <v>61801</v>
      </c>
      <c r="L2562" s="18" t="s">
        <v>206</v>
      </c>
      <c r="M2562" s="18" t="s">
        <v>488</v>
      </c>
      <c r="N2562" s="16" t="str">
        <f t="shared" si="2001"/>
        <v>10059:1</v>
      </c>
      <c r="O2562" s="18">
        <f t="shared" si="2011"/>
        <v>9</v>
      </c>
      <c r="P2562" s="21" t="s">
        <v>5119</v>
      </c>
      <c r="Q2562" s="21"/>
      <c r="R2562" t="s">
        <v>5098</v>
      </c>
      <c r="T2562" t="str">
        <f>RIGHT(N2562,1)</f>
        <v>1</v>
      </c>
      <c r="U2562" t="str">
        <f t="shared" si="2000"/>
        <v>攻击</v>
      </c>
      <c r="V2562" t="s">
        <v>5118</v>
      </c>
      <c r="W2562">
        <f>属性类型!G2562</f>
        <v>10059</v>
      </c>
      <c r="X2562">
        <v>1</v>
      </c>
    </row>
    <row r="2563" customFormat="1" ht="16.5" spans="1:24">
      <c r="A2563" s="17">
        <f t="shared" ref="A2563:A2582" si="2028">A2562+1</f>
        <v>61801</v>
      </c>
      <c r="B2563" s="17">
        <f t="shared" si="2002"/>
        <v>61800</v>
      </c>
      <c r="C2563" s="17" t="str">
        <f t="shared" si="2019"/>
        <v>6</v>
      </c>
      <c r="D2563" s="17">
        <f t="shared" si="2026"/>
        <v>60002</v>
      </c>
      <c r="E2563" s="17">
        <f t="shared" ref="E2563:H2563" si="2029">E2562</f>
        <v>2</v>
      </c>
      <c r="F2563" s="17">
        <f t="shared" si="2010"/>
        <v>2</v>
      </c>
      <c r="G2563" s="17" t="str">
        <f t="shared" si="2029"/>
        <v>伯爵攻击百分比</v>
      </c>
      <c r="H2563" s="17" t="str">
        <f t="shared" si="2029"/>
        <v>moshou02_Lv3</v>
      </c>
      <c r="I2563" s="20">
        <v>1.5</v>
      </c>
      <c r="J2563" s="17">
        <v>1</v>
      </c>
      <c r="K2563" s="17">
        <f t="shared" si="2027"/>
        <v>61802</v>
      </c>
      <c r="L2563" s="17" t="s">
        <v>211</v>
      </c>
      <c r="M2563" s="17" t="str">
        <f t="shared" ref="M2563:M2582" si="2030">M2562</f>
        <v>1:11500:5</v>
      </c>
      <c r="N2563" s="16" t="str">
        <f t="shared" si="2001"/>
        <v>10059:1</v>
      </c>
      <c r="O2563" s="17">
        <f t="shared" si="2011"/>
        <v>9</v>
      </c>
      <c r="P2563" s="21" t="s">
        <v>5120</v>
      </c>
      <c r="Q2563" s="21"/>
      <c r="R2563" t="str">
        <f t="shared" ref="R2563:R2582" si="2031">R2562</f>
        <v>伯爵</v>
      </c>
      <c r="T2563" t="str">
        <f t="shared" ref="T2563:T2582" si="2032">RIGHT(N2563,2)</f>
        <v>:1</v>
      </c>
      <c r="U2563" t="str">
        <f t="shared" si="2000"/>
        <v>攻击</v>
      </c>
      <c r="V2563" t="s">
        <v>5118</v>
      </c>
      <c r="W2563">
        <f>属性类型!G2563</f>
        <v>10059</v>
      </c>
      <c r="X2563">
        <v>1</v>
      </c>
    </row>
    <row r="2564" customFormat="1" ht="16.5" spans="1:24">
      <c r="A2564" s="17">
        <f t="shared" si="2028"/>
        <v>61802</v>
      </c>
      <c r="B2564" s="17">
        <f t="shared" si="2002"/>
        <v>61800</v>
      </c>
      <c r="C2564" s="17" t="str">
        <f t="shared" si="2019"/>
        <v>6</v>
      </c>
      <c r="D2564" s="17">
        <f t="shared" si="2026"/>
        <v>60002</v>
      </c>
      <c r="E2564" s="17">
        <f t="shared" ref="E2564:H2564" si="2033">E2563</f>
        <v>2</v>
      </c>
      <c r="F2564" s="17">
        <f t="shared" si="2010"/>
        <v>2</v>
      </c>
      <c r="G2564" s="17" t="str">
        <f t="shared" si="2033"/>
        <v>伯爵攻击百分比</v>
      </c>
      <c r="H2564" s="17" t="str">
        <f t="shared" si="2033"/>
        <v>moshou02_Lv3</v>
      </c>
      <c r="I2564" s="20">
        <v>1.5</v>
      </c>
      <c r="J2564" s="17">
        <v>2</v>
      </c>
      <c r="K2564" s="17">
        <f t="shared" si="2027"/>
        <v>61803</v>
      </c>
      <c r="L2564" s="17" t="s">
        <v>215</v>
      </c>
      <c r="M2564" s="17" t="str">
        <f t="shared" si="2030"/>
        <v>1:11500:5</v>
      </c>
      <c r="N2564" s="16" t="str">
        <f t="shared" si="2001"/>
        <v>10059:1</v>
      </c>
      <c r="O2564" s="17">
        <f t="shared" si="2011"/>
        <v>9</v>
      </c>
      <c r="P2564" s="21" t="s">
        <v>5121</v>
      </c>
      <c r="Q2564" s="21"/>
      <c r="R2564" t="str">
        <f t="shared" si="2031"/>
        <v>伯爵</v>
      </c>
      <c r="T2564" t="str">
        <f t="shared" si="2032"/>
        <v>:1</v>
      </c>
      <c r="U2564" t="str">
        <f t="shared" si="2000"/>
        <v>攻击</v>
      </c>
      <c r="V2564" t="s">
        <v>5118</v>
      </c>
      <c r="W2564">
        <f>属性类型!G2564</f>
        <v>10059</v>
      </c>
      <c r="X2564">
        <v>1</v>
      </c>
    </row>
    <row r="2565" customFormat="1" ht="16.5" spans="1:24">
      <c r="A2565" s="17">
        <f t="shared" si="2028"/>
        <v>61803</v>
      </c>
      <c r="B2565" s="17">
        <f t="shared" si="2002"/>
        <v>61800</v>
      </c>
      <c r="C2565" s="17" t="str">
        <f t="shared" si="2019"/>
        <v>6</v>
      </c>
      <c r="D2565" s="17">
        <f t="shared" si="2026"/>
        <v>60002</v>
      </c>
      <c r="E2565" s="17">
        <f t="shared" ref="E2565:H2565" si="2034">E2564</f>
        <v>2</v>
      </c>
      <c r="F2565" s="17">
        <f t="shared" si="2010"/>
        <v>2</v>
      </c>
      <c r="G2565" s="17" t="str">
        <f t="shared" si="2034"/>
        <v>伯爵攻击百分比</v>
      </c>
      <c r="H2565" s="17" t="str">
        <f t="shared" si="2034"/>
        <v>moshou02_Lv3</v>
      </c>
      <c r="I2565" s="20">
        <v>1.5</v>
      </c>
      <c r="J2565" s="17">
        <v>3</v>
      </c>
      <c r="K2565" s="17">
        <f t="shared" si="2027"/>
        <v>61804</v>
      </c>
      <c r="L2565" s="17" t="s">
        <v>218</v>
      </c>
      <c r="M2565" s="17" t="str">
        <f t="shared" si="2030"/>
        <v>1:11500:5</v>
      </c>
      <c r="N2565" s="16" t="str">
        <f t="shared" si="2001"/>
        <v>10059:1</v>
      </c>
      <c r="O2565" s="17">
        <f t="shared" si="2011"/>
        <v>9</v>
      </c>
      <c r="P2565" s="21" t="s">
        <v>5122</v>
      </c>
      <c r="Q2565" s="21"/>
      <c r="R2565" t="str">
        <f t="shared" si="2031"/>
        <v>伯爵</v>
      </c>
      <c r="T2565" t="str">
        <f t="shared" si="2032"/>
        <v>:1</v>
      </c>
      <c r="U2565" t="str">
        <f t="shared" ref="U2565:U2628" si="2035">MID(P2565,3,2)</f>
        <v>攻击</v>
      </c>
      <c r="V2565" t="s">
        <v>5118</v>
      </c>
      <c r="W2565">
        <f>属性类型!G2565</f>
        <v>10059</v>
      </c>
      <c r="X2565">
        <v>1</v>
      </c>
    </row>
    <row r="2566" customFormat="1" ht="16.5" spans="1:24">
      <c r="A2566" s="17">
        <f t="shared" si="2028"/>
        <v>61804</v>
      </c>
      <c r="B2566" s="17">
        <f t="shared" si="2002"/>
        <v>61800</v>
      </c>
      <c r="C2566" s="17" t="str">
        <f t="shared" si="2019"/>
        <v>6</v>
      </c>
      <c r="D2566" s="17">
        <f t="shared" si="2026"/>
        <v>60002</v>
      </c>
      <c r="E2566" s="17">
        <f t="shared" ref="E2566:H2566" si="2036">E2565</f>
        <v>2</v>
      </c>
      <c r="F2566" s="17">
        <f t="shared" si="2010"/>
        <v>2</v>
      </c>
      <c r="G2566" s="17" t="str">
        <f t="shared" si="2036"/>
        <v>伯爵攻击百分比</v>
      </c>
      <c r="H2566" s="17" t="str">
        <f t="shared" si="2036"/>
        <v>moshou02_Lv3</v>
      </c>
      <c r="I2566" s="20">
        <v>1.5</v>
      </c>
      <c r="J2566" s="17">
        <v>4</v>
      </c>
      <c r="K2566" s="17">
        <f t="shared" si="2027"/>
        <v>61805</v>
      </c>
      <c r="L2566" s="17" t="s">
        <v>221</v>
      </c>
      <c r="M2566" s="17" t="str">
        <f t="shared" si="2030"/>
        <v>1:11500:5</v>
      </c>
      <c r="N2566" s="16" t="str">
        <f t="shared" si="2001"/>
        <v>10059:1</v>
      </c>
      <c r="O2566" s="17">
        <f t="shared" si="2011"/>
        <v>9</v>
      </c>
      <c r="P2566" s="21" t="s">
        <v>5123</v>
      </c>
      <c r="Q2566" s="21"/>
      <c r="R2566" t="str">
        <f t="shared" si="2031"/>
        <v>伯爵</v>
      </c>
      <c r="T2566" t="str">
        <f t="shared" si="2032"/>
        <v>:1</v>
      </c>
      <c r="U2566" t="str">
        <f t="shared" si="2035"/>
        <v>攻击</v>
      </c>
      <c r="V2566" t="s">
        <v>5118</v>
      </c>
      <c r="W2566">
        <f>属性类型!G2566</f>
        <v>10059</v>
      </c>
      <c r="X2566">
        <v>1</v>
      </c>
    </row>
    <row r="2567" customFormat="1" ht="16.5" spans="1:24">
      <c r="A2567" s="17">
        <f t="shared" si="2028"/>
        <v>61805</v>
      </c>
      <c r="B2567" s="17">
        <f t="shared" si="2002"/>
        <v>61800</v>
      </c>
      <c r="C2567" s="17" t="str">
        <f t="shared" si="2019"/>
        <v>6</v>
      </c>
      <c r="D2567" s="17">
        <f t="shared" si="2026"/>
        <v>60002</v>
      </c>
      <c r="E2567" s="17">
        <f t="shared" ref="E2567:H2567" si="2037">E2566</f>
        <v>2</v>
      </c>
      <c r="F2567" s="17">
        <f t="shared" si="2010"/>
        <v>2</v>
      </c>
      <c r="G2567" s="17" t="str">
        <f t="shared" si="2037"/>
        <v>伯爵攻击百分比</v>
      </c>
      <c r="H2567" s="17" t="str">
        <f t="shared" si="2037"/>
        <v>moshou02_Lv3</v>
      </c>
      <c r="I2567" s="20">
        <v>1.5</v>
      </c>
      <c r="J2567" s="17">
        <v>5</v>
      </c>
      <c r="K2567" s="17">
        <f t="shared" si="2027"/>
        <v>61806</v>
      </c>
      <c r="L2567" s="17" t="s">
        <v>224</v>
      </c>
      <c r="M2567" s="17" t="str">
        <f t="shared" si="2030"/>
        <v>1:11500:5</v>
      </c>
      <c r="N2567" s="16" t="str">
        <f t="shared" si="2001"/>
        <v>10059:1</v>
      </c>
      <c r="O2567" s="17">
        <f t="shared" si="2011"/>
        <v>9</v>
      </c>
      <c r="P2567" s="21" t="s">
        <v>5124</v>
      </c>
      <c r="Q2567" s="21"/>
      <c r="R2567" t="str">
        <f t="shared" si="2031"/>
        <v>伯爵</v>
      </c>
      <c r="T2567" t="str">
        <f t="shared" si="2032"/>
        <v>:1</v>
      </c>
      <c r="U2567" t="str">
        <f t="shared" si="2035"/>
        <v>攻击</v>
      </c>
      <c r="V2567" t="s">
        <v>5118</v>
      </c>
      <c r="W2567">
        <f>属性类型!G2567</f>
        <v>10059</v>
      </c>
      <c r="X2567">
        <v>1</v>
      </c>
    </row>
    <row r="2568" customFormat="1" ht="16.5" spans="1:24">
      <c r="A2568" s="17">
        <f t="shared" si="2028"/>
        <v>61806</v>
      </c>
      <c r="B2568" s="17">
        <f t="shared" si="2002"/>
        <v>61800</v>
      </c>
      <c r="C2568" s="17" t="str">
        <f t="shared" si="2019"/>
        <v>6</v>
      </c>
      <c r="D2568" s="17">
        <f t="shared" si="2026"/>
        <v>60002</v>
      </c>
      <c r="E2568" s="17">
        <f t="shared" ref="E2568:H2568" si="2038">E2567</f>
        <v>2</v>
      </c>
      <c r="F2568" s="17">
        <f t="shared" si="2010"/>
        <v>2</v>
      </c>
      <c r="G2568" s="17" t="str">
        <f t="shared" si="2038"/>
        <v>伯爵攻击百分比</v>
      </c>
      <c r="H2568" s="17" t="str">
        <f t="shared" si="2038"/>
        <v>moshou02_Lv3</v>
      </c>
      <c r="I2568" s="20">
        <v>1.5</v>
      </c>
      <c r="J2568" s="17">
        <v>6</v>
      </c>
      <c r="K2568" s="17">
        <f t="shared" si="2027"/>
        <v>61807</v>
      </c>
      <c r="L2568" s="17" t="s">
        <v>227</v>
      </c>
      <c r="M2568" s="17" t="str">
        <f t="shared" si="2030"/>
        <v>1:11500:5</v>
      </c>
      <c r="N2568" s="16" t="str">
        <f t="shared" si="2001"/>
        <v>10059:1</v>
      </c>
      <c r="O2568" s="17">
        <f t="shared" si="2011"/>
        <v>9</v>
      </c>
      <c r="P2568" s="21" t="s">
        <v>5125</v>
      </c>
      <c r="Q2568" s="21"/>
      <c r="R2568" t="str">
        <f t="shared" si="2031"/>
        <v>伯爵</v>
      </c>
      <c r="T2568" t="str">
        <f t="shared" si="2032"/>
        <v>:1</v>
      </c>
      <c r="U2568" t="str">
        <f t="shared" si="2035"/>
        <v>攻击</v>
      </c>
      <c r="V2568" t="s">
        <v>5118</v>
      </c>
      <c r="W2568">
        <f>属性类型!G2568</f>
        <v>10059</v>
      </c>
      <c r="X2568">
        <v>1</v>
      </c>
    </row>
    <row r="2569" customFormat="1" ht="16.5" spans="1:24">
      <c r="A2569" s="17">
        <f t="shared" si="2028"/>
        <v>61807</v>
      </c>
      <c r="B2569" s="17">
        <f t="shared" si="2002"/>
        <v>61800</v>
      </c>
      <c r="C2569" s="17" t="str">
        <f t="shared" si="2019"/>
        <v>6</v>
      </c>
      <c r="D2569" s="17">
        <f t="shared" si="2026"/>
        <v>60002</v>
      </c>
      <c r="E2569" s="17">
        <f t="shared" ref="E2569:H2569" si="2039">E2568</f>
        <v>2</v>
      </c>
      <c r="F2569" s="17">
        <f t="shared" si="2010"/>
        <v>2</v>
      </c>
      <c r="G2569" s="17" t="str">
        <f t="shared" si="2039"/>
        <v>伯爵攻击百分比</v>
      </c>
      <c r="H2569" s="17" t="str">
        <f t="shared" si="2039"/>
        <v>moshou02_Lv3</v>
      </c>
      <c r="I2569" s="20">
        <v>1.5</v>
      </c>
      <c r="J2569" s="17">
        <v>7</v>
      </c>
      <c r="K2569" s="17">
        <f t="shared" si="2027"/>
        <v>61808</v>
      </c>
      <c r="L2569" s="17" t="s">
        <v>230</v>
      </c>
      <c r="M2569" s="17" t="str">
        <f t="shared" si="2030"/>
        <v>1:11500:5</v>
      </c>
      <c r="N2569" s="16" t="str">
        <f t="shared" si="2001"/>
        <v>10059:1</v>
      </c>
      <c r="O2569" s="17">
        <f t="shared" si="2011"/>
        <v>9</v>
      </c>
      <c r="P2569" s="21" t="s">
        <v>5126</v>
      </c>
      <c r="Q2569" s="21"/>
      <c r="R2569" t="str">
        <f t="shared" si="2031"/>
        <v>伯爵</v>
      </c>
      <c r="T2569" t="str">
        <f t="shared" si="2032"/>
        <v>:1</v>
      </c>
      <c r="U2569" t="str">
        <f t="shared" si="2035"/>
        <v>攻击</v>
      </c>
      <c r="V2569" t="s">
        <v>5118</v>
      </c>
      <c r="W2569">
        <f>属性类型!G2569</f>
        <v>10059</v>
      </c>
      <c r="X2569">
        <v>1</v>
      </c>
    </row>
    <row r="2570" customFormat="1" ht="16.5" spans="1:24">
      <c r="A2570" s="17">
        <f t="shared" si="2028"/>
        <v>61808</v>
      </c>
      <c r="B2570" s="17">
        <f t="shared" si="2002"/>
        <v>61800</v>
      </c>
      <c r="C2570" s="17" t="str">
        <f t="shared" si="2019"/>
        <v>6</v>
      </c>
      <c r="D2570" s="17">
        <f t="shared" si="2026"/>
        <v>60002</v>
      </c>
      <c r="E2570" s="17">
        <f t="shared" ref="E2570:H2570" si="2040">E2569</f>
        <v>2</v>
      </c>
      <c r="F2570" s="17">
        <f t="shared" si="2010"/>
        <v>2</v>
      </c>
      <c r="G2570" s="17" t="str">
        <f t="shared" si="2040"/>
        <v>伯爵攻击百分比</v>
      </c>
      <c r="H2570" s="17" t="str">
        <f t="shared" si="2040"/>
        <v>moshou02_Lv3</v>
      </c>
      <c r="I2570" s="20">
        <v>1.5</v>
      </c>
      <c r="J2570" s="17">
        <v>8</v>
      </c>
      <c r="K2570" s="17">
        <f t="shared" si="2027"/>
        <v>61809</v>
      </c>
      <c r="L2570" s="17" t="s">
        <v>233</v>
      </c>
      <c r="M2570" s="17" t="str">
        <f t="shared" si="2030"/>
        <v>1:11500:5</v>
      </c>
      <c r="N2570" s="16" t="str">
        <f t="shared" si="2001"/>
        <v>10059:1</v>
      </c>
      <c r="O2570" s="17">
        <f t="shared" si="2011"/>
        <v>9</v>
      </c>
      <c r="P2570" s="21" t="s">
        <v>5127</v>
      </c>
      <c r="Q2570" s="21"/>
      <c r="R2570" t="str">
        <f t="shared" si="2031"/>
        <v>伯爵</v>
      </c>
      <c r="T2570" t="str">
        <f t="shared" si="2032"/>
        <v>:1</v>
      </c>
      <c r="U2570" t="str">
        <f t="shared" si="2035"/>
        <v>攻击</v>
      </c>
      <c r="V2570" t="s">
        <v>5118</v>
      </c>
      <c r="W2570">
        <f>属性类型!G2570</f>
        <v>10059</v>
      </c>
      <c r="X2570">
        <v>1</v>
      </c>
    </row>
    <row r="2571" customFormat="1" ht="16.5" spans="1:24">
      <c r="A2571" s="17">
        <f t="shared" si="2028"/>
        <v>61809</v>
      </c>
      <c r="B2571" s="17">
        <f t="shared" si="2002"/>
        <v>61800</v>
      </c>
      <c r="C2571" s="17" t="str">
        <f t="shared" si="2019"/>
        <v>6</v>
      </c>
      <c r="D2571" s="17">
        <f t="shared" si="2026"/>
        <v>60002</v>
      </c>
      <c r="E2571" s="17">
        <f t="shared" ref="E2571:H2571" si="2041">E2570</f>
        <v>2</v>
      </c>
      <c r="F2571" s="17">
        <f t="shared" si="2010"/>
        <v>2</v>
      </c>
      <c r="G2571" s="17" t="str">
        <f t="shared" si="2041"/>
        <v>伯爵攻击百分比</v>
      </c>
      <c r="H2571" s="17" t="str">
        <f t="shared" si="2041"/>
        <v>moshou02_Lv3</v>
      </c>
      <c r="I2571" s="20">
        <v>1.5</v>
      </c>
      <c r="J2571" s="17">
        <v>9</v>
      </c>
      <c r="K2571" s="17">
        <f t="shared" si="2027"/>
        <v>61810</v>
      </c>
      <c r="L2571" s="17" t="s">
        <v>236</v>
      </c>
      <c r="M2571" s="17" t="str">
        <f t="shared" si="2030"/>
        <v>1:11500:5</v>
      </c>
      <c r="N2571" s="16" t="str">
        <f t="shared" ref="N2571:N2634" si="2042">W2571&amp;$W$2&amp;X2571</f>
        <v>10059:1</v>
      </c>
      <c r="O2571" s="17">
        <f t="shared" si="2011"/>
        <v>9</v>
      </c>
      <c r="P2571" s="21" t="s">
        <v>5128</v>
      </c>
      <c r="Q2571" s="21"/>
      <c r="R2571" t="str">
        <f t="shared" si="2031"/>
        <v>伯爵</v>
      </c>
      <c r="T2571" t="str">
        <f t="shared" si="2032"/>
        <v>:1</v>
      </c>
      <c r="U2571" t="str">
        <f t="shared" si="2035"/>
        <v>攻击</v>
      </c>
      <c r="V2571" t="s">
        <v>5118</v>
      </c>
      <c r="W2571">
        <f>属性类型!G2571</f>
        <v>10059</v>
      </c>
      <c r="X2571">
        <v>1</v>
      </c>
    </row>
    <row r="2572" customFormat="1" ht="16.5" spans="1:24">
      <c r="A2572" s="17">
        <f t="shared" si="2028"/>
        <v>61810</v>
      </c>
      <c r="B2572" s="17">
        <f t="shared" si="2002"/>
        <v>61800</v>
      </c>
      <c r="C2572" s="17" t="str">
        <f t="shared" si="2019"/>
        <v>6</v>
      </c>
      <c r="D2572" s="17">
        <f t="shared" si="2026"/>
        <v>60002</v>
      </c>
      <c r="E2572" s="17">
        <f t="shared" ref="E2572:H2572" si="2043">E2571</f>
        <v>2</v>
      </c>
      <c r="F2572" s="17">
        <f t="shared" si="2010"/>
        <v>2</v>
      </c>
      <c r="G2572" s="17" t="str">
        <f t="shared" si="2043"/>
        <v>伯爵攻击百分比</v>
      </c>
      <c r="H2572" s="17" t="str">
        <f t="shared" si="2043"/>
        <v>moshou02_Lv3</v>
      </c>
      <c r="I2572" s="20">
        <v>1.5</v>
      </c>
      <c r="J2572" s="17">
        <v>10</v>
      </c>
      <c r="K2572" s="17">
        <f t="shared" si="2027"/>
        <v>61811</v>
      </c>
      <c r="L2572" s="17" t="s">
        <v>238</v>
      </c>
      <c r="M2572" s="17" t="str">
        <f t="shared" si="2030"/>
        <v>1:11500:5</v>
      </c>
      <c r="N2572" s="16" t="str">
        <f t="shared" si="2042"/>
        <v>10059:1</v>
      </c>
      <c r="O2572" s="17">
        <f t="shared" si="2011"/>
        <v>9</v>
      </c>
      <c r="P2572" s="21" t="s">
        <v>5129</v>
      </c>
      <c r="Q2572" s="21"/>
      <c r="R2572" t="str">
        <f t="shared" si="2031"/>
        <v>伯爵</v>
      </c>
      <c r="T2572" t="str">
        <f t="shared" si="2032"/>
        <v>:1</v>
      </c>
      <c r="U2572" t="str">
        <f t="shared" si="2035"/>
        <v>攻击</v>
      </c>
      <c r="V2572" t="s">
        <v>5118</v>
      </c>
      <c r="W2572">
        <f>属性类型!G2572</f>
        <v>10059</v>
      </c>
      <c r="X2572">
        <v>1</v>
      </c>
    </row>
    <row r="2573" customFormat="1" ht="16.5" spans="1:24">
      <c r="A2573" s="17">
        <f t="shared" si="2028"/>
        <v>61811</v>
      </c>
      <c r="B2573" s="17">
        <f t="shared" ref="B2573:B2603" si="2044">ROUND(A2573,-2)</f>
        <v>61800</v>
      </c>
      <c r="C2573" s="17" t="str">
        <f t="shared" si="2019"/>
        <v>6</v>
      </c>
      <c r="D2573" s="17">
        <f t="shared" si="2026"/>
        <v>60002</v>
      </c>
      <c r="E2573" s="17">
        <f t="shared" ref="E2573:H2573" si="2045">E2572</f>
        <v>2</v>
      </c>
      <c r="F2573" s="17">
        <f t="shared" si="2010"/>
        <v>2</v>
      </c>
      <c r="G2573" s="17" t="str">
        <f t="shared" si="2045"/>
        <v>伯爵攻击百分比</v>
      </c>
      <c r="H2573" s="17" t="str">
        <f t="shared" si="2045"/>
        <v>moshou02_Lv3</v>
      </c>
      <c r="I2573" s="20">
        <v>1.5</v>
      </c>
      <c r="J2573" s="17">
        <v>11</v>
      </c>
      <c r="K2573" s="17">
        <f t="shared" si="2027"/>
        <v>61812</v>
      </c>
      <c r="L2573" s="17" t="s">
        <v>529</v>
      </c>
      <c r="M2573" s="17" t="str">
        <f t="shared" si="2030"/>
        <v>1:11500:5</v>
      </c>
      <c r="N2573" s="16" t="str">
        <f t="shared" si="2042"/>
        <v>10059:1</v>
      </c>
      <c r="O2573" s="17">
        <f t="shared" si="2011"/>
        <v>9</v>
      </c>
      <c r="P2573" s="21" t="s">
        <v>5130</v>
      </c>
      <c r="Q2573" s="21"/>
      <c r="R2573" t="str">
        <f t="shared" si="2031"/>
        <v>伯爵</v>
      </c>
      <c r="T2573" t="str">
        <f t="shared" si="2032"/>
        <v>:1</v>
      </c>
      <c r="U2573" t="str">
        <f t="shared" si="2035"/>
        <v>攻击</v>
      </c>
      <c r="V2573" t="s">
        <v>5118</v>
      </c>
      <c r="W2573">
        <f>属性类型!G2573</f>
        <v>10059</v>
      </c>
      <c r="X2573">
        <v>1</v>
      </c>
    </row>
    <row r="2574" customFormat="1" ht="16.5" spans="1:24">
      <c r="A2574" s="17">
        <f t="shared" si="2028"/>
        <v>61812</v>
      </c>
      <c r="B2574" s="17">
        <f t="shared" si="2044"/>
        <v>61800</v>
      </c>
      <c r="C2574" s="17" t="str">
        <f t="shared" si="2019"/>
        <v>6</v>
      </c>
      <c r="D2574" s="17">
        <f t="shared" si="2026"/>
        <v>60002</v>
      </c>
      <c r="E2574" s="17">
        <f t="shared" ref="E2574:H2574" si="2046">E2573</f>
        <v>2</v>
      </c>
      <c r="F2574" s="17">
        <f t="shared" si="2010"/>
        <v>2</v>
      </c>
      <c r="G2574" s="17" t="str">
        <f t="shared" si="2046"/>
        <v>伯爵攻击百分比</v>
      </c>
      <c r="H2574" s="17" t="str">
        <f t="shared" si="2046"/>
        <v>moshou02_Lv3</v>
      </c>
      <c r="I2574" s="20">
        <v>1.5</v>
      </c>
      <c r="J2574" s="17">
        <v>12</v>
      </c>
      <c r="K2574" s="17">
        <f t="shared" si="2027"/>
        <v>61813</v>
      </c>
      <c r="L2574" s="17" t="s">
        <v>532</v>
      </c>
      <c r="M2574" s="17" t="str">
        <f t="shared" si="2030"/>
        <v>1:11500:5</v>
      </c>
      <c r="N2574" s="16" t="str">
        <f t="shared" si="2042"/>
        <v>10059:1</v>
      </c>
      <c r="O2574" s="17">
        <f t="shared" si="2011"/>
        <v>9</v>
      </c>
      <c r="P2574" s="21" t="s">
        <v>5131</v>
      </c>
      <c r="Q2574" s="21"/>
      <c r="R2574" t="str">
        <f t="shared" si="2031"/>
        <v>伯爵</v>
      </c>
      <c r="T2574" t="str">
        <f t="shared" si="2032"/>
        <v>:1</v>
      </c>
      <c r="U2574" t="str">
        <f t="shared" si="2035"/>
        <v>攻击</v>
      </c>
      <c r="V2574" t="s">
        <v>5118</v>
      </c>
      <c r="W2574">
        <f>属性类型!G2574</f>
        <v>10059</v>
      </c>
      <c r="X2574">
        <v>1</v>
      </c>
    </row>
    <row r="2575" customFormat="1" ht="16.5" spans="1:24">
      <c r="A2575" s="17">
        <f t="shared" si="2028"/>
        <v>61813</v>
      </c>
      <c r="B2575" s="17">
        <f t="shared" si="2044"/>
        <v>61800</v>
      </c>
      <c r="C2575" s="17" t="str">
        <f t="shared" si="2019"/>
        <v>6</v>
      </c>
      <c r="D2575" s="17">
        <f t="shared" si="2026"/>
        <v>60002</v>
      </c>
      <c r="E2575" s="17">
        <f t="shared" ref="E2575:H2575" si="2047">E2574</f>
        <v>2</v>
      </c>
      <c r="F2575" s="17">
        <f t="shared" si="2010"/>
        <v>2</v>
      </c>
      <c r="G2575" s="17" t="str">
        <f t="shared" si="2047"/>
        <v>伯爵攻击百分比</v>
      </c>
      <c r="H2575" s="17" t="str">
        <f t="shared" si="2047"/>
        <v>moshou02_Lv3</v>
      </c>
      <c r="I2575" s="20">
        <v>1.5</v>
      </c>
      <c r="J2575" s="17">
        <v>13</v>
      </c>
      <c r="K2575" s="17">
        <f t="shared" si="2027"/>
        <v>61814</v>
      </c>
      <c r="L2575" s="17" t="s">
        <v>561</v>
      </c>
      <c r="M2575" s="17" t="str">
        <f t="shared" si="2030"/>
        <v>1:11500:5</v>
      </c>
      <c r="N2575" s="16" t="str">
        <f t="shared" si="2042"/>
        <v>10059:1</v>
      </c>
      <c r="O2575" s="17">
        <f t="shared" si="2011"/>
        <v>9</v>
      </c>
      <c r="P2575" s="21" t="s">
        <v>5132</v>
      </c>
      <c r="Q2575" s="21"/>
      <c r="R2575" t="str">
        <f t="shared" si="2031"/>
        <v>伯爵</v>
      </c>
      <c r="T2575" t="str">
        <f t="shared" si="2032"/>
        <v>:1</v>
      </c>
      <c r="U2575" t="str">
        <f t="shared" si="2035"/>
        <v>攻击</v>
      </c>
      <c r="V2575" t="s">
        <v>5118</v>
      </c>
      <c r="W2575">
        <f>属性类型!G2575</f>
        <v>10059</v>
      </c>
      <c r="X2575">
        <v>1</v>
      </c>
    </row>
    <row r="2576" customFormat="1" ht="16.5" spans="1:24">
      <c r="A2576" s="17">
        <f t="shared" si="2028"/>
        <v>61814</v>
      </c>
      <c r="B2576" s="17">
        <f t="shared" si="2044"/>
        <v>61800</v>
      </c>
      <c r="C2576" s="17" t="str">
        <f t="shared" si="2019"/>
        <v>6</v>
      </c>
      <c r="D2576" s="17">
        <f t="shared" si="2026"/>
        <v>60002</v>
      </c>
      <c r="E2576" s="17">
        <f t="shared" ref="E2576:H2576" si="2048">E2575</f>
        <v>2</v>
      </c>
      <c r="F2576" s="17">
        <f t="shared" ref="F2576:F2639" si="2049">MID(B2576,2,1)+1</f>
        <v>2</v>
      </c>
      <c r="G2576" s="17" t="str">
        <f t="shared" si="2048"/>
        <v>伯爵攻击百分比</v>
      </c>
      <c r="H2576" s="17" t="str">
        <f t="shared" si="2048"/>
        <v>moshou02_Lv3</v>
      </c>
      <c r="I2576" s="20">
        <v>1.5</v>
      </c>
      <c r="J2576" s="17">
        <v>14</v>
      </c>
      <c r="K2576" s="17">
        <f t="shared" si="2027"/>
        <v>61815</v>
      </c>
      <c r="L2576" s="17" t="s">
        <v>564</v>
      </c>
      <c r="M2576" s="17" t="str">
        <f t="shared" si="2030"/>
        <v>1:11500:5</v>
      </c>
      <c r="N2576" s="16" t="str">
        <f t="shared" si="2042"/>
        <v>10059:1</v>
      </c>
      <c r="O2576" s="17">
        <f t="shared" ref="O2576:O2639" si="2050">MID(A2576,3,1)+1</f>
        <v>9</v>
      </c>
      <c r="P2576" s="21" t="s">
        <v>5133</v>
      </c>
      <c r="Q2576" s="21"/>
      <c r="R2576" t="str">
        <f t="shared" si="2031"/>
        <v>伯爵</v>
      </c>
      <c r="T2576" t="str">
        <f t="shared" si="2032"/>
        <v>:1</v>
      </c>
      <c r="U2576" t="str">
        <f t="shared" si="2035"/>
        <v>攻击</v>
      </c>
      <c r="V2576" t="s">
        <v>5118</v>
      </c>
      <c r="W2576">
        <f>属性类型!G2576</f>
        <v>10059</v>
      </c>
      <c r="X2576">
        <v>1</v>
      </c>
    </row>
    <row r="2577" customFormat="1" ht="16.5" spans="1:24">
      <c r="A2577" s="17">
        <f t="shared" si="2028"/>
        <v>61815</v>
      </c>
      <c r="B2577" s="17">
        <f t="shared" si="2044"/>
        <v>61800</v>
      </c>
      <c r="C2577" s="17" t="str">
        <f t="shared" si="2019"/>
        <v>6</v>
      </c>
      <c r="D2577" s="17">
        <f t="shared" si="2026"/>
        <v>60002</v>
      </c>
      <c r="E2577" s="17">
        <f t="shared" ref="E2577:H2577" si="2051">E2576</f>
        <v>2</v>
      </c>
      <c r="F2577" s="17">
        <f t="shared" si="2049"/>
        <v>2</v>
      </c>
      <c r="G2577" s="17" t="str">
        <f t="shared" si="2051"/>
        <v>伯爵攻击百分比</v>
      </c>
      <c r="H2577" s="17" t="str">
        <f t="shared" si="2051"/>
        <v>moshou02_Lv3</v>
      </c>
      <c r="I2577" s="20">
        <v>1.5</v>
      </c>
      <c r="J2577" s="17">
        <v>15</v>
      </c>
      <c r="K2577" s="17">
        <f t="shared" si="2027"/>
        <v>61816</v>
      </c>
      <c r="L2577" s="17" t="s">
        <v>630</v>
      </c>
      <c r="M2577" s="17" t="str">
        <f t="shared" si="2030"/>
        <v>1:11500:5</v>
      </c>
      <c r="N2577" s="16" t="str">
        <f t="shared" si="2042"/>
        <v>10059:1</v>
      </c>
      <c r="O2577" s="17">
        <f t="shared" si="2050"/>
        <v>9</v>
      </c>
      <c r="P2577" s="21" t="s">
        <v>5134</v>
      </c>
      <c r="Q2577" s="21"/>
      <c r="R2577" t="str">
        <f t="shared" si="2031"/>
        <v>伯爵</v>
      </c>
      <c r="T2577" t="str">
        <f t="shared" si="2032"/>
        <v>:1</v>
      </c>
      <c r="U2577" t="str">
        <f t="shared" si="2035"/>
        <v>攻击</v>
      </c>
      <c r="V2577" t="s">
        <v>5118</v>
      </c>
      <c r="W2577">
        <f>属性类型!G2577</f>
        <v>10059</v>
      </c>
      <c r="X2577">
        <v>1</v>
      </c>
    </row>
    <row r="2578" customFormat="1" ht="16.5" spans="1:24">
      <c r="A2578" s="17">
        <f t="shared" si="2028"/>
        <v>61816</v>
      </c>
      <c r="B2578" s="17">
        <f t="shared" si="2044"/>
        <v>61800</v>
      </c>
      <c r="C2578" s="17" t="str">
        <f t="shared" si="2019"/>
        <v>6</v>
      </c>
      <c r="D2578" s="17">
        <f t="shared" si="2026"/>
        <v>60002</v>
      </c>
      <c r="E2578" s="17">
        <f t="shared" ref="E2578:H2578" si="2052">E2577</f>
        <v>2</v>
      </c>
      <c r="F2578" s="17">
        <f t="shared" si="2049"/>
        <v>2</v>
      </c>
      <c r="G2578" s="17" t="str">
        <f t="shared" si="2052"/>
        <v>伯爵攻击百分比</v>
      </c>
      <c r="H2578" s="17" t="str">
        <f t="shared" si="2052"/>
        <v>moshou02_Lv3</v>
      </c>
      <c r="I2578" s="20">
        <v>1.5</v>
      </c>
      <c r="J2578" s="17">
        <v>16</v>
      </c>
      <c r="K2578" s="17">
        <f t="shared" si="2027"/>
        <v>61817</v>
      </c>
      <c r="L2578" s="17" t="s">
        <v>633</v>
      </c>
      <c r="M2578" s="17" t="str">
        <f t="shared" si="2030"/>
        <v>1:11500:5</v>
      </c>
      <c r="N2578" s="16" t="str">
        <f t="shared" si="2042"/>
        <v>10059:1</v>
      </c>
      <c r="O2578" s="17">
        <f t="shared" si="2050"/>
        <v>9</v>
      </c>
      <c r="P2578" s="21" t="s">
        <v>5135</v>
      </c>
      <c r="Q2578" s="21"/>
      <c r="R2578" t="str">
        <f t="shared" si="2031"/>
        <v>伯爵</v>
      </c>
      <c r="T2578" t="str">
        <f t="shared" si="2032"/>
        <v>:1</v>
      </c>
      <c r="U2578" t="str">
        <f t="shared" si="2035"/>
        <v>攻击</v>
      </c>
      <c r="V2578" t="s">
        <v>5118</v>
      </c>
      <c r="W2578">
        <f>属性类型!G2578</f>
        <v>10059</v>
      </c>
      <c r="X2578">
        <v>1</v>
      </c>
    </row>
    <row r="2579" customFormat="1" ht="16.5" spans="1:24">
      <c r="A2579" s="17">
        <f t="shared" si="2028"/>
        <v>61817</v>
      </c>
      <c r="B2579" s="17">
        <f t="shared" si="2044"/>
        <v>61800</v>
      </c>
      <c r="C2579" s="17" t="str">
        <f t="shared" si="2019"/>
        <v>6</v>
      </c>
      <c r="D2579" s="17">
        <f t="shared" si="2026"/>
        <v>60002</v>
      </c>
      <c r="E2579" s="17">
        <f t="shared" ref="E2579:H2579" si="2053">E2578</f>
        <v>2</v>
      </c>
      <c r="F2579" s="17">
        <f t="shared" si="2049"/>
        <v>2</v>
      </c>
      <c r="G2579" s="17" t="str">
        <f t="shared" si="2053"/>
        <v>伯爵攻击百分比</v>
      </c>
      <c r="H2579" s="17" t="str">
        <f t="shared" si="2053"/>
        <v>moshou02_Lv3</v>
      </c>
      <c r="I2579" s="20">
        <v>1.5</v>
      </c>
      <c r="J2579" s="17">
        <v>17</v>
      </c>
      <c r="K2579" s="17">
        <f t="shared" si="2027"/>
        <v>61818</v>
      </c>
      <c r="L2579" s="17" t="s">
        <v>637</v>
      </c>
      <c r="M2579" s="17" t="str">
        <f t="shared" si="2030"/>
        <v>1:11500:5</v>
      </c>
      <c r="N2579" s="16" t="str">
        <f t="shared" si="2042"/>
        <v>10059:1</v>
      </c>
      <c r="O2579" s="17">
        <f t="shared" si="2050"/>
        <v>9</v>
      </c>
      <c r="P2579" s="21" t="s">
        <v>5136</v>
      </c>
      <c r="Q2579" s="21"/>
      <c r="R2579" t="str">
        <f t="shared" si="2031"/>
        <v>伯爵</v>
      </c>
      <c r="T2579" t="str">
        <f t="shared" si="2032"/>
        <v>:1</v>
      </c>
      <c r="U2579" t="str">
        <f t="shared" si="2035"/>
        <v>攻击</v>
      </c>
      <c r="V2579" t="s">
        <v>5118</v>
      </c>
      <c r="W2579">
        <f>属性类型!G2579</f>
        <v>10059</v>
      </c>
      <c r="X2579">
        <v>1</v>
      </c>
    </row>
    <row r="2580" customFormat="1" ht="16.5" spans="1:24">
      <c r="A2580" s="17">
        <f t="shared" si="2028"/>
        <v>61818</v>
      </c>
      <c r="B2580" s="17">
        <f t="shared" si="2044"/>
        <v>61800</v>
      </c>
      <c r="C2580" s="17" t="str">
        <f t="shared" si="2019"/>
        <v>6</v>
      </c>
      <c r="D2580" s="17">
        <f t="shared" si="2026"/>
        <v>60002</v>
      </c>
      <c r="E2580" s="17">
        <f t="shared" ref="E2580:H2580" si="2054">E2579</f>
        <v>2</v>
      </c>
      <c r="F2580" s="17">
        <f t="shared" si="2049"/>
        <v>2</v>
      </c>
      <c r="G2580" s="17" t="str">
        <f t="shared" si="2054"/>
        <v>伯爵攻击百分比</v>
      </c>
      <c r="H2580" s="17" t="str">
        <f t="shared" si="2054"/>
        <v>moshou02_Lv3</v>
      </c>
      <c r="I2580" s="20">
        <v>1.5</v>
      </c>
      <c r="J2580" s="17">
        <v>18</v>
      </c>
      <c r="K2580" s="17">
        <f t="shared" si="2027"/>
        <v>61819</v>
      </c>
      <c r="L2580" s="17" t="s">
        <v>641</v>
      </c>
      <c r="M2580" s="17" t="str">
        <f t="shared" si="2030"/>
        <v>1:11500:5</v>
      </c>
      <c r="N2580" s="16" t="str">
        <f t="shared" si="2042"/>
        <v>10059:1</v>
      </c>
      <c r="O2580" s="17">
        <f t="shared" si="2050"/>
        <v>9</v>
      </c>
      <c r="P2580" s="21" t="s">
        <v>5137</v>
      </c>
      <c r="Q2580" s="21"/>
      <c r="R2580" t="str">
        <f t="shared" si="2031"/>
        <v>伯爵</v>
      </c>
      <c r="T2580" t="str">
        <f t="shared" si="2032"/>
        <v>:1</v>
      </c>
      <c r="U2580" t="str">
        <f t="shared" si="2035"/>
        <v>攻击</v>
      </c>
      <c r="V2580" t="s">
        <v>5118</v>
      </c>
      <c r="W2580">
        <f>属性类型!G2580</f>
        <v>10059</v>
      </c>
      <c r="X2580">
        <v>1</v>
      </c>
    </row>
    <row r="2581" customFormat="1" ht="16.5" spans="1:24">
      <c r="A2581" s="17">
        <f t="shared" si="2028"/>
        <v>61819</v>
      </c>
      <c r="B2581" s="17">
        <f t="shared" si="2044"/>
        <v>61800</v>
      </c>
      <c r="C2581" s="17" t="str">
        <f t="shared" si="2019"/>
        <v>6</v>
      </c>
      <c r="D2581" s="17">
        <f t="shared" si="2026"/>
        <v>60002</v>
      </c>
      <c r="E2581" s="17">
        <f t="shared" ref="E2581:H2581" si="2055">E2580</f>
        <v>2</v>
      </c>
      <c r="F2581" s="17">
        <f t="shared" si="2049"/>
        <v>2</v>
      </c>
      <c r="G2581" s="17" t="str">
        <f t="shared" si="2055"/>
        <v>伯爵攻击百分比</v>
      </c>
      <c r="H2581" s="17" t="str">
        <f t="shared" si="2055"/>
        <v>moshou02_Lv3</v>
      </c>
      <c r="I2581" s="20">
        <v>1.5</v>
      </c>
      <c r="J2581" s="17">
        <v>19</v>
      </c>
      <c r="K2581" s="17">
        <f t="shared" si="2027"/>
        <v>61820</v>
      </c>
      <c r="L2581" s="17" t="s">
        <v>645</v>
      </c>
      <c r="M2581" s="17" t="str">
        <f t="shared" si="2030"/>
        <v>1:11500:5</v>
      </c>
      <c r="N2581" s="16" t="str">
        <f t="shared" si="2042"/>
        <v>10059:1</v>
      </c>
      <c r="O2581" s="17">
        <f t="shared" si="2050"/>
        <v>9</v>
      </c>
      <c r="P2581" s="21" t="s">
        <v>5138</v>
      </c>
      <c r="Q2581" s="21"/>
      <c r="R2581" t="str">
        <f t="shared" si="2031"/>
        <v>伯爵</v>
      </c>
      <c r="T2581" t="str">
        <f t="shared" si="2032"/>
        <v>:1</v>
      </c>
      <c r="U2581" t="str">
        <f t="shared" si="2035"/>
        <v>攻击</v>
      </c>
      <c r="V2581" t="s">
        <v>5118</v>
      </c>
      <c r="W2581">
        <f>属性类型!G2581</f>
        <v>10059</v>
      </c>
      <c r="X2581">
        <v>1</v>
      </c>
    </row>
    <row r="2582" customFormat="1" ht="16.5" spans="1:24">
      <c r="A2582" s="17">
        <f t="shared" si="2028"/>
        <v>61820</v>
      </c>
      <c r="B2582" s="17">
        <f t="shared" si="2044"/>
        <v>61800</v>
      </c>
      <c r="C2582" s="17" t="str">
        <f t="shared" si="2019"/>
        <v>6</v>
      </c>
      <c r="D2582" s="17">
        <f t="shared" si="2026"/>
        <v>60002</v>
      </c>
      <c r="E2582" s="17">
        <f t="shared" ref="E2582:H2582" si="2056">E2581</f>
        <v>2</v>
      </c>
      <c r="F2582" s="17">
        <f t="shared" si="2049"/>
        <v>2</v>
      </c>
      <c r="G2582" s="17" t="str">
        <f t="shared" si="2056"/>
        <v>伯爵攻击百分比</v>
      </c>
      <c r="H2582" s="17" t="str">
        <f t="shared" si="2056"/>
        <v>moshou02_Lv3</v>
      </c>
      <c r="I2582" s="20">
        <v>1.5</v>
      </c>
      <c r="J2582" s="17">
        <v>20</v>
      </c>
      <c r="K2582" s="17">
        <v>0</v>
      </c>
      <c r="L2582" s="17">
        <v>0</v>
      </c>
      <c r="M2582" s="17" t="str">
        <f t="shared" si="2030"/>
        <v>1:11500:5</v>
      </c>
      <c r="N2582" s="16" t="str">
        <f t="shared" si="2042"/>
        <v>10059:1</v>
      </c>
      <c r="O2582" s="17">
        <f t="shared" si="2050"/>
        <v>9</v>
      </c>
      <c r="P2582" s="21" t="s">
        <v>5138</v>
      </c>
      <c r="Q2582" s="21"/>
      <c r="R2582" t="str">
        <f t="shared" si="2031"/>
        <v>伯爵</v>
      </c>
      <c r="T2582" t="str">
        <f t="shared" si="2032"/>
        <v>:1</v>
      </c>
      <c r="U2582" t="str">
        <f t="shared" si="2035"/>
        <v>攻击</v>
      </c>
      <c r="V2582" t="s">
        <v>5118</v>
      </c>
      <c r="W2582">
        <f>属性类型!G2582</f>
        <v>10059</v>
      </c>
      <c r="X2582">
        <v>1</v>
      </c>
    </row>
    <row r="2583" customFormat="1" ht="16.5" spans="1:24">
      <c r="A2583" s="18">
        <f>A2562+100</f>
        <v>61900</v>
      </c>
      <c r="B2583" s="18">
        <f t="shared" si="2044"/>
        <v>61900</v>
      </c>
      <c r="C2583" s="18" t="str">
        <f t="shared" ref="C2583:C2608" si="2057">LEFT(A2583,1)</f>
        <v>6</v>
      </c>
      <c r="D2583" s="17">
        <f t="shared" si="2026"/>
        <v>60002</v>
      </c>
      <c r="E2583" s="17">
        <f>E2582</f>
        <v>2</v>
      </c>
      <c r="F2583" s="18">
        <f t="shared" si="2049"/>
        <v>2</v>
      </c>
      <c r="G2583" s="18" t="s">
        <v>5139</v>
      </c>
      <c r="H2583" s="18" t="s">
        <v>3741</v>
      </c>
      <c r="I2583" s="20">
        <v>1.5</v>
      </c>
      <c r="J2583" s="18">
        <v>0</v>
      </c>
      <c r="K2583" s="18">
        <f t="shared" ref="K2583:K2602" si="2058">A2584</f>
        <v>61901</v>
      </c>
      <c r="L2583" s="18" t="s">
        <v>206</v>
      </c>
      <c r="M2583" s="18" t="s">
        <v>502</v>
      </c>
      <c r="N2583" s="16" t="str">
        <f t="shared" si="2042"/>
        <v>10060:1</v>
      </c>
      <c r="O2583" s="18">
        <f t="shared" si="2050"/>
        <v>10</v>
      </c>
      <c r="P2583" s="21" t="s">
        <v>5140</v>
      </c>
      <c r="Q2583" s="21"/>
      <c r="R2583" t="s">
        <v>5098</v>
      </c>
      <c r="T2583" t="str">
        <f>RIGHT(N2583,1)</f>
        <v>1</v>
      </c>
      <c r="U2583" t="str">
        <f t="shared" si="2035"/>
        <v>魔防</v>
      </c>
      <c r="V2583" t="s">
        <v>5139</v>
      </c>
      <c r="W2583">
        <f>属性类型!G2583</f>
        <v>10060</v>
      </c>
      <c r="X2583">
        <v>1</v>
      </c>
    </row>
    <row r="2584" customFormat="1" ht="16.5" spans="1:24">
      <c r="A2584" s="17">
        <f t="shared" ref="A2584:A2603" si="2059">A2583+1</f>
        <v>61901</v>
      </c>
      <c r="B2584" s="17">
        <f t="shared" si="2044"/>
        <v>61900</v>
      </c>
      <c r="C2584" s="17" t="str">
        <f t="shared" si="2057"/>
        <v>6</v>
      </c>
      <c r="D2584" s="17">
        <f t="shared" si="2026"/>
        <v>60002</v>
      </c>
      <c r="E2584" s="17">
        <f t="shared" ref="E2584:H2584" si="2060">E2583</f>
        <v>2</v>
      </c>
      <c r="F2584" s="17">
        <f t="shared" si="2049"/>
        <v>2</v>
      </c>
      <c r="G2584" s="17" t="str">
        <f t="shared" si="2060"/>
        <v>伯爵魔防百分比</v>
      </c>
      <c r="H2584" s="17" t="str">
        <f t="shared" si="2060"/>
        <v>moshou02_Lv3</v>
      </c>
      <c r="I2584" s="20">
        <v>1.5</v>
      </c>
      <c r="J2584" s="17">
        <v>1</v>
      </c>
      <c r="K2584" s="17">
        <f t="shared" si="2058"/>
        <v>61902</v>
      </c>
      <c r="L2584" s="17" t="s">
        <v>211</v>
      </c>
      <c r="M2584" s="17" t="str">
        <f t="shared" ref="M2584:M2603" si="2061">M2583</f>
        <v>1:11600:5</v>
      </c>
      <c r="N2584" s="16" t="str">
        <f t="shared" si="2042"/>
        <v>10060:1</v>
      </c>
      <c r="O2584" s="17">
        <f t="shared" si="2050"/>
        <v>10</v>
      </c>
      <c r="P2584" s="21" t="s">
        <v>5141</v>
      </c>
      <c r="Q2584" s="21"/>
      <c r="R2584" t="s">
        <v>5098</v>
      </c>
      <c r="T2584" t="str">
        <f t="shared" ref="T2584:T2603" si="2062">RIGHT(N2584,2)</f>
        <v>:1</v>
      </c>
      <c r="U2584" t="str">
        <f t="shared" si="2035"/>
        <v>魔防</v>
      </c>
      <c r="V2584" t="s">
        <v>5139</v>
      </c>
      <c r="W2584">
        <f>属性类型!G2584</f>
        <v>10060</v>
      </c>
      <c r="X2584">
        <v>1</v>
      </c>
    </row>
    <row r="2585" customFormat="1" ht="16.5" spans="1:24">
      <c r="A2585" s="17">
        <f t="shared" si="2059"/>
        <v>61902</v>
      </c>
      <c r="B2585" s="17">
        <f t="shared" si="2044"/>
        <v>61900</v>
      </c>
      <c r="C2585" s="17" t="str">
        <f t="shared" si="2057"/>
        <v>6</v>
      </c>
      <c r="D2585" s="17">
        <f t="shared" si="2026"/>
        <v>60002</v>
      </c>
      <c r="E2585" s="17">
        <f t="shared" ref="E2585:H2585" si="2063">E2584</f>
        <v>2</v>
      </c>
      <c r="F2585" s="17">
        <f t="shared" si="2049"/>
        <v>2</v>
      </c>
      <c r="G2585" s="17" t="str">
        <f t="shared" si="2063"/>
        <v>伯爵魔防百分比</v>
      </c>
      <c r="H2585" s="17" t="str">
        <f t="shared" si="2063"/>
        <v>moshou02_Lv3</v>
      </c>
      <c r="I2585" s="20">
        <v>1.5</v>
      </c>
      <c r="J2585" s="17">
        <v>2</v>
      </c>
      <c r="K2585" s="17">
        <f t="shared" si="2058"/>
        <v>61903</v>
      </c>
      <c r="L2585" s="17" t="s">
        <v>215</v>
      </c>
      <c r="M2585" s="17" t="str">
        <f t="shared" si="2061"/>
        <v>1:11600:5</v>
      </c>
      <c r="N2585" s="16" t="str">
        <f t="shared" si="2042"/>
        <v>10060:1</v>
      </c>
      <c r="O2585" s="17">
        <f t="shared" si="2050"/>
        <v>10</v>
      </c>
      <c r="P2585" s="21" t="s">
        <v>5142</v>
      </c>
      <c r="Q2585" s="21"/>
      <c r="R2585" t="s">
        <v>5098</v>
      </c>
      <c r="T2585" t="str">
        <f t="shared" si="2062"/>
        <v>:1</v>
      </c>
      <c r="U2585" t="str">
        <f t="shared" si="2035"/>
        <v>魔防</v>
      </c>
      <c r="V2585" t="s">
        <v>5139</v>
      </c>
      <c r="W2585">
        <f>属性类型!G2585</f>
        <v>10060</v>
      </c>
      <c r="X2585">
        <v>1</v>
      </c>
    </row>
    <row r="2586" customFormat="1" ht="16.5" spans="1:24">
      <c r="A2586" s="17">
        <f t="shared" si="2059"/>
        <v>61903</v>
      </c>
      <c r="B2586" s="17">
        <f t="shared" si="2044"/>
        <v>61900</v>
      </c>
      <c r="C2586" s="17" t="str">
        <f t="shared" si="2057"/>
        <v>6</v>
      </c>
      <c r="D2586" s="17">
        <f t="shared" si="2026"/>
        <v>60002</v>
      </c>
      <c r="E2586" s="17">
        <f t="shared" ref="E2586:H2586" si="2064">E2585</f>
        <v>2</v>
      </c>
      <c r="F2586" s="17">
        <f t="shared" si="2049"/>
        <v>2</v>
      </c>
      <c r="G2586" s="17" t="str">
        <f t="shared" si="2064"/>
        <v>伯爵魔防百分比</v>
      </c>
      <c r="H2586" s="17" t="str">
        <f t="shared" si="2064"/>
        <v>moshou02_Lv3</v>
      </c>
      <c r="I2586" s="20">
        <v>1.5</v>
      </c>
      <c r="J2586" s="17">
        <v>3</v>
      </c>
      <c r="K2586" s="17">
        <f t="shared" si="2058"/>
        <v>61904</v>
      </c>
      <c r="L2586" s="17" t="s">
        <v>218</v>
      </c>
      <c r="M2586" s="17" t="str">
        <f t="shared" si="2061"/>
        <v>1:11600:5</v>
      </c>
      <c r="N2586" s="16" t="str">
        <f t="shared" si="2042"/>
        <v>10060:1</v>
      </c>
      <c r="O2586" s="17">
        <f t="shared" si="2050"/>
        <v>10</v>
      </c>
      <c r="P2586" s="21" t="s">
        <v>5143</v>
      </c>
      <c r="Q2586" s="21"/>
      <c r="R2586" t="s">
        <v>5098</v>
      </c>
      <c r="T2586" t="str">
        <f t="shared" si="2062"/>
        <v>:1</v>
      </c>
      <c r="U2586" t="str">
        <f t="shared" si="2035"/>
        <v>魔防</v>
      </c>
      <c r="V2586" t="s">
        <v>5139</v>
      </c>
      <c r="W2586">
        <f>属性类型!G2586</f>
        <v>10060</v>
      </c>
      <c r="X2586">
        <v>1</v>
      </c>
    </row>
    <row r="2587" customFormat="1" ht="16.5" spans="1:24">
      <c r="A2587" s="17">
        <f t="shared" si="2059"/>
        <v>61904</v>
      </c>
      <c r="B2587" s="17">
        <f t="shared" si="2044"/>
        <v>61900</v>
      </c>
      <c r="C2587" s="17" t="str">
        <f t="shared" si="2057"/>
        <v>6</v>
      </c>
      <c r="D2587" s="17">
        <f t="shared" si="2026"/>
        <v>60002</v>
      </c>
      <c r="E2587" s="17">
        <f t="shared" ref="E2587:H2587" si="2065">E2586</f>
        <v>2</v>
      </c>
      <c r="F2587" s="17">
        <f t="shared" si="2049"/>
        <v>2</v>
      </c>
      <c r="G2587" s="17" t="str">
        <f t="shared" si="2065"/>
        <v>伯爵魔防百分比</v>
      </c>
      <c r="H2587" s="17" t="str">
        <f t="shared" si="2065"/>
        <v>moshou02_Lv3</v>
      </c>
      <c r="I2587" s="20">
        <v>1.5</v>
      </c>
      <c r="J2587" s="17">
        <v>4</v>
      </c>
      <c r="K2587" s="17">
        <f t="shared" si="2058"/>
        <v>61905</v>
      </c>
      <c r="L2587" s="17" t="s">
        <v>221</v>
      </c>
      <c r="M2587" s="17" t="str">
        <f t="shared" si="2061"/>
        <v>1:11600:5</v>
      </c>
      <c r="N2587" s="16" t="str">
        <f t="shared" si="2042"/>
        <v>10060:1</v>
      </c>
      <c r="O2587" s="17">
        <f t="shared" si="2050"/>
        <v>10</v>
      </c>
      <c r="P2587" s="21" t="s">
        <v>5144</v>
      </c>
      <c r="Q2587" s="21"/>
      <c r="R2587" t="s">
        <v>5098</v>
      </c>
      <c r="T2587" t="str">
        <f t="shared" si="2062"/>
        <v>:1</v>
      </c>
      <c r="U2587" t="str">
        <f t="shared" si="2035"/>
        <v>魔防</v>
      </c>
      <c r="V2587" t="s">
        <v>5139</v>
      </c>
      <c r="W2587">
        <f>属性类型!G2587</f>
        <v>10060</v>
      </c>
      <c r="X2587">
        <v>1</v>
      </c>
    </row>
    <row r="2588" customFormat="1" ht="16.5" spans="1:24">
      <c r="A2588" s="17">
        <f t="shared" si="2059"/>
        <v>61905</v>
      </c>
      <c r="B2588" s="17">
        <f t="shared" si="2044"/>
        <v>61900</v>
      </c>
      <c r="C2588" s="17" t="str">
        <f t="shared" si="2057"/>
        <v>6</v>
      </c>
      <c r="D2588" s="17">
        <f t="shared" si="2026"/>
        <v>60002</v>
      </c>
      <c r="E2588" s="17">
        <f t="shared" ref="E2588:H2588" si="2066">E2587</f>
        <v>2</v>
      </c>
      <c r="F2588" s="17">
        <f t="shared" si="2049"/>
        <v>2</v>
      </c>
      <c r="G2588" s="17" t="str">
        <f t="shared" si="2066"/>
        <v>伯爵魔防百分比</v>
      </c>
      <c r="H2588" s="17" t="str">
        <f t="shared" si="2066"/>
        <v>moshou02_Lv3</v>
      </c>
      <c r="I2588" s="20">
        <v>1.5</v>
      </c>
      <c r="J2588" s="17">
        <v>5</v>
      </c>
      <c r="K2588" s="17">
        <f t="shared" si="2058"/>
        <v>61906</v>
      </c>
      <c r="L2588" s="17" t="s">
        <v>224</v>
      </c>
      <c r="M2588" s="17" t="str">
        <f t="shared" si="2061"/>
        <v>1:11600:5</v>
      </c>
      <c r="N2588" s="16" t="str">
        <f t="shared" si="2042"/>
        <v>10060:1</v>
      </c>
      <c r="O2588" s="17">
        <f t="shared" si="2050"/>
        <v>10</v>
      </c>
      <c r="P2588" s="21" t="s">
        <v>5145</v>
      </c>
      <c r="Q2588" s="21"/>
      <c r="R2588" t="s">
        <v>5098</v>
      </c>
      <c r="T2588" t="str">
        <f t="shared" si="2062"/>
        <v>:1</v>
      </c>
      <c r="U2588" t="str">
        <f t="shared" si="2035"/>
        <v>魔防</v>
      </c>
      <c r="V2588" t="s">
        <v>5139</v>
      </c>
      <c r="W2588">
        <f>属性类型!G2588</f>
        <v>10060</v>
      </c>
      <c r="X2588">
        <v>1</v>
      </c>
    </row>
    <row r="2589" customFormat="1" ht="16.5" spans="1:24">
      <c r="A2589" s="17">
        <f t="shared" si="2059"/>
        <v>61906</v>
      </c>
      <c r="B2589" s="17">
        <f t="shared" si="2044"/>
        <v>61900</v>
      </c>
      <c r="C2589" s="17" t="str">
        <f t="shared" si="2057"/>
        <v>6</v>
      </c>
      <c r="D2589" s="17">
        <f t="shared" si="2026"/>
        <v>60002</v>
      </c>
      <c r="E2589" s="17">
        <f t="shared" ref="E2589:H2589" si="2067">E2588</f>
        <v>2</v>
      </c>
      <c r="F2589" s="17">
        <f t="shared" si="2049"/>
        <v>2</v>
      </c>
      <c r="G2589" s="17" t="str">
        <f t="shared" si="2067"/>
        <v>伯爵魔防百分比</v>
      </c>
      <c r="H2589" s="17" t="str">
        <f t="shared" si="2067"/>
        <v>moshou02_Lv3</v>
      </c>
      <c r="I2589" s="20">
        <v>1.5</v>
      </c>
      <c r="J2589" s="17">
        <v>6</v>
      </c>
      <c r="K2589" s="17">
        <f t="shared" si="2058"/>
        <v>61907</v>
      </c>
      <c r="L2589" s="17" t="s">
        <v>227</v>
      </c>
      <c r="M2589" s="17" t="str">
        <f t="shared" si="2061"/>
        <v>1:11600:5</v>
      </c>
      <c r="N2589" s="16" t="str">
        <f t="shared" si="2042"/>
        <v>10060:1</v>
      </c>
      <c r="O2589" s="17">
        <f t="shared" si="2050"/>
        <v>10</v>
      </c>
      <c r="P2589" s="21" t="s">
        <v>5146</v>
      </c>
      <c r="Q2589" s="21"/>
      <c r="R2589" t="s">
        <v>5098</v>
      </c>
      <c r="T2589" t="str">
        <f t="shared" si="2062"/>
        <v>:1</v>
      </c>
      <c r="U2589" t="str">
        <f t="shared" si="2035"/>
        <v>魔防</v>
      </c>
      <c r="V2589" t="s">
        <v>5139</v>
      </c>
      <c r="W2589">
        <f>属性类型!G2589</f>
        <v>10060</v>
      </c>
      <c r="X2589">
        <v>1</v>
      </c>
    </row>
    <row r="2590" customFormat="1" ht="16.5" spans="1:24">
      <c r="A2590" s="17">
        <f t="shared" si="2059"/>
        <v>61907</v>
      </c>
      <c r="B2590" s="17">
        <f t="shared" si="2044"/>
        <v>61900</v>
      </c>
      <c r="C2590" s="17" t="str">
        <f t="shared" si="2057"/>
        <v>6</v>
      </c>
      <c r="D2590" s="17">
        <f t="shared" si="2026"/>
        <v>60002</v>
      </c>
      <c r="E2590" s="17">
        <f t="shared" ref="E2590:H2590" si="2068">E2589</f>
        <v>2</v>
      </c>
      <c r="F2590" s="17">
        <f t="shared" si="2049"/>
        <v>2</v>
      </c>
      <c r="G2590" s="17" t="str">
        <f t="shared" si="2068"/>
        <v>伯爵魔防百分比</v>
      </c>
      <c r="H2590" s="17" t="str">
        <f t="shared" si="2068"/>
        <v>moshou02_Lv3</v>
      </c>
      <c r="I2590" s="20">
        <v>1.5</v>
      </c>
      <c r="J2590" s="17">
        <v>7</v>
      </c>
      <c r="K2590" s="17">
        <f t="shared" si="2058"/>
        <v>61908</v>
      </c>
      <c r="L2590" s="17" t="s">
        <v>230</v>
      </c>
      <c r="M2590" s="17" t="str">
        <f t="shared" si="2061"/>
        <v>1:11600:5</v>
      </c>
      <c r="N2590" s="16" t="str">
        <f t="shared" si="2042"/>
        <v>10060:1</v>
      </c>
      <c r="O2590" s="17">
        <f t="shared" si="2050"/>
        <v>10</v>
      </c>
      <c r="P2590" s="21" t="s">
        <v>5147</v>
      </c>
      <c r="Q2590" s="21"/>
      <c r="R2590" t="s">
        <v>5098</v>
      </c>
      <c r="T2590" t="str">
        <f t="shared" si="2062"/>
        <v>:1</v>
      </c>
      <c r="U2590" t="str">
        <f t="shared" si="2035"/>
        <v>魔防</v>
      </c>
      <c r="V2590" t="s">
        <v>5139</v>
      </c>
      <c r="W2590">
        <f>属性类型!G2590</f>
        <v>10060</v>
      </c>
      <c r="X2590">
        <v>1</v>
      </c>
    </row>
    <row r="2591" customFormat="1" ht="16.5" spans="1:24">
      <c r="A2591" s="17">
        <f t="shared" si="2059"/>
        <v>61908</v>
      </c>
      <c r="B2591" s="17">
        <f t="shared" si="2044"/>
        <v>61900</v>
      </c>
      <c r="C2591" s="17" t="str">
        <f t="shared" si="2057"/>
        <v>6</v>
      </c>
      <c r="D2591" s="17">
        <f t="shared" si="2026"/>
        <v>60002</v>
      </c>
      <c r="E2591" s="17">
        <f t="shared" ref="E2591:H2591" si="2069">E2590</f>
        <v>2</v>
      </c>
      <c r="F2591" s="17">
        <f t="shared" si="2049"/>
        <v>2</v>
      </c>
      <c r="G2591" s="17" t="str">
        <f t="shared" si="2069"/>
        <v>伯爵魔防百分比</v>
      </c>
      <c r="H2591" s="17" t="str">
        <f t="shared" si="2069"/>
        <v>moshou02_Lv3</v>
      </c>
      <c r="I2591" s="20">
        <v>1.5</v>
      </c>
      <c r="J2591" s="17">
        <v>8</v>
      </c>
      <c r="K2591" s="17">
        <f t="shared" si="2058"/>
        <v>61909</v>
      </c>
      <c r="L2591" s="17" t="s">
        <v>233</v>
      </c>
      <c r="M2591" s="17" t="str">
        <f t="shared" si="2061"/>
        <v>1:11600:5</v>
      </c>
      <c r="N2591" s="16" t="str">
        <f t="shared" si="2042"/>
        <v>10060:1</v>
      </c>
      <c r="O2591" s="17">
        <f t="shared" si="2050"/>
        <v>10</v>
      </c>
      <c r="P2591" s="21" t="s">
        <v>5148</v>
      </c>
      <c r="Q2591" s="21"/>
      <c r="R2591" t="s">
        <v>5098</v>
      </c>
      <c r="T2591" t="str">
        <f t="shared" si="2062"/>
        <v>:1</v>
      </c>
      <c r="U2591" t="str">
        <f t="shared" si="2035"/>
        <v>魔防</v>
      </c>
      <c r="V2591" t="s">
        <v>5139</v>
      </c>
      <c r="W2591">
        <f>属性类型!G2591</f>
        <v>10060</v>
      </c>
      <c r="X2591">
        <v>1</v>
      </c>
    </row>
    <row r="2592" customFormat="1" ht="16.5" spans="1:24">
      <c r="A2592" s="17">
        <f t="shared" si="2059"/>
        <v>61909</v>
      </c>
      <c r="B2592" s="17">
        <f t="shared" si="2044"/>
        <v>61900</v>
      </c>
      <c r="C2592" s="17" t="str">
        <f t="shared" si="2057"/>
        <v>6</v>
      </c>
      <c r="D2592" s="17">
        <f t="shared" si="2026"/>
        <v>60002</v>
      </c>
      <c r="E2592" s="17">
        <f t="shared" ref="E2592:H2592" si="2070">E2591</f>
        <v>2</v>
      </c>
      <c r="F2592" s="17">
        <f t="shared" si="2049"/>
        <v>2</v>
      </c>
      <c r="G2592" s="17" t="str">
        <f t="shared" si="2070"/>
        <v>伯爵魔防百分比</v>
      </c>
      <c r="H2592" s="17" t="str">
        <f t="shared" si="2070"/>
        <v>moshou02_Lv3</v>
      </c>
      <c r="I2592" s="20">
        <v>1.5</v>
      </c>
      <c r="J2592" s="17">
        <v>9</v>
      </c>
      <c r="K2592" s="17">
        <f t="shared" si="2058"/>
        <v>61910</v>
      </c>
      <c r="L2592" s="17" t="s">
        <v>236</v>
      </c>
      <c r="M2592" s="17" t="str">
        <f t="shared" si="2061"/>
        <v>1:11600:5</v>
      </c>
      <c r="N2592" s="16" t="str">
        <f t="shared" si="2042"/>
        <v>10060:1</v>
      </c>
      <c r="O2592" s="17">
        <f t="shared" si="2050"/>
        <v>10</v>
      </c>
      <c r="P2592" s="21" t="s">
        <v>5149</v>
      </c>
      <c r="Q2592" s="21"/>
      <c r="R2592" t="s">
        <v>5098</v>
      </c>
      <c r="T2592" t="str">
        <f t="shared" si="2062"/>
        <v>:1</v>
      </c>
      <c r="U2592" t="str">
        <f t="shared" si="2035"/>
        <v>魔防</v>
      </c>
      <c r="V2592" t="s">
        <v>5139</v>
      </c>
      <c r="W2592">
        <f>属性类型!G2592</f>
        <v>10060</v>
      </c>
      <c r="X2592">
        <v>1</v>
      </c>
    </row>
    <row r="2593" customFormat="1" ht="16.5" spans="1:24">
      <c r="A2593" s="17">
        <f t="shared" si="2059"/>
        <v>61910</v>
      </c>
      <c r="B2593" s="17">
        <f t="shared" si="2044"/>
        <v>61900</v>
      </c>
      <c r="C2593" s="17" t="str">
        <f t="shared" si="2057"/>
        <v>6</v>
      </c>
      <c r="D2593" s="17">
        <f t="shared" si="2026"/>
        <v>60002</v>
      </c>
      <c r="E2593" s="17">
        <f t="shared" ref="E2593:H2593" si="2071">E2592</f>
        <v>2</v>
      </c>
      <c r="F2593" s="17">
        <f t="shared" si="2049"/>
        <v>2</v>
      </c>
      <c r="G2593" s="17" t="str">
        <f t="shared" si="2071"/>
        <v>伯爵魔防百分比</v>
      </c>
      <c r="H2593" s="17" t="str">
        <f t="shared" si="2071"/>
        <v>moshou02_Lv3</v>
      </c>
      <c r="I2593" s="20">
        <v>1.5</v>
      </c>
      <c r="J2593" s="17">
        <v>10</v>
      </c>
      <c r="K2593" s="17">
        <f t="shared" si="2058"/>
        <v>61911</v>
      </c>
      <c r="L2593" s="17" t="s">
        <v>238</v>
      </c>
      <c r="M2593" s="17" t="str">
        <f t="shared" si="2061"/>
        <v>1:11600:5</v>
      </c>
      <c r="N2593" s="16" t="str">
        <f t="shared" si="2042"/>
        <v>10060:1</v>
      </c>
      <c r="O2593" s="17">
        <f t="shared" si="2050"/>
        <v>10</v>
      </c>
      <c r="P2593" s="21" t="s">
        <v>5150</v>
      </c>
      <c r="Q2593" s="21"/>
      <c r="R2593" t="s">
        <v>5098</v>
      </c>
      <c r="T2593" t="str">
        <f t="shared" si="2062"/>
        <v>:1</v>
      </c>
      <c r="U2593" t="str">
        <f t="shared" si="2035"/>
        <v>魔防</v>
      </c>
      <c r="V2593" t="s">
        <v>5139</v>
      </c>
      <c r="W2593">
        <f>属性类型!G2593</f>
        <v>10060</v>
      </c>
      <c r="X2593">
        <v>1</v>
      </c>
    </row>
    <row r="2594" customFormat="1" ht="16.5" spans="1:24">
      <c r="A2594" s="17">
        <f t="shared" si="2059"/>
        <v>61911</v>
      </c>
      <c r="B2594" s="17">
        <f t="shared" si="2044"/>
        <v>61900</v>
      </c>
      <c r="C2594" s="17" t="str">
        <f t="shared" si="2057"/>
        <v>6</v>
      </c>
      <c r="D2594" s="17">
        <f t="shared" si="2026"/>
        <v>60002</v>
      </c>
      <c r="E2594" s="17">
        <f t="shared" ref="E2594:H2594" si="2072">E2593</f>
        <v>2</v>
      </c>
      <c r="F2594" s="17">
        <f t="shared" si="2049"/>
        <v>2</v>
      </c>
      <c r="G2594" s="17" t="str">
        <f t="shared" si="2072"/>
        <v>伯爵魔防百分比</v>
      </c>
      <c r="H2594" s="17" t="str">
        <f t="shared" si="2072"/>
        <v>moshou02_Lv3</v>
      </c>
      <c r="I2594" s="20">
        <v>1.5</v>
      </c>
      <c r="J2594" s="17">
        <v>11</v>
      </c>
      <c r="K2594" s="17">
        <f t="shared" si="2058"/>
        <v>61912</v>
      </c>
      <c r="L2594" s="17" t="s">
        <v>529</v>
      </c>
      <c r="M2594" s="17" t="str">
        <f t="shared" si="2061"/>
        <v>1:11600:5</v>
      </c>
      <c r="N2594" s="16" t="str">
        <f t="shared" si="2042"/>
        <v>10060:1</v>
      </c>
      <c r="O2594" s="17">
        <f t="shared" si="2050"/>
        <v>10</v>
      </c>
      <c r="P2594" s="21" t="s">
        <v>5151</v>
      </c>
      <c r="Q2594" s="21"/>
      <c r="R2594" t="s">
        <v>5098</v>
      </c>
      <c r="T2594" t="str">
        <f t="shared" si="2062"/>
        <v>:1</v>
      </c>
      <c r="U2594" t="str">
        <f t="shared" si="2035"/>
        <v>魔防</v>
      </c>
      <c r="V2594" t="s">
        <v>5139</v>
      </c>
      <c r="W2594">
        <f>属性类型!G2594</f>
        <v>10060</v>
      </c>
      <c r="X2594">
        <v>1</v>
      </c>
    </row>
    <row r="2595" customFormat="1" ht="16.5" spans="1:24">
      <c r="A2595" s="17">
        <f t="shared" si="2059"/>
        <v>61912</v>
      </c>
      <c r="B2595" s="17">
        <f t="shared" si="2044"/>
        <v>61900</v>
      </c>
      <c r="C2595" s="17" t="str">
        <f t="shared" si="2057"/>
        <v>6</v>
      </c>
      <c r="D2595" s="17">
        <f t="shared" si="2026"/>
        <v>60002</v>
      </c>
      <c r="E2595" s="17">
        <f t="shared" ref="E2595:H2595" si="2073">E2594</f>
        <v>2</v>
      </c>
      <c r="F2595" s="17">
        <f t="shared" si="2049"/>
        <v>2</v>
      </c>
      <c r="G2595" s="17" t="str">
        <f t="shared" si="2073"/>
        <v>伯爵魔防百分比</v>
      </c>
      <c r="H2595" s="17" t="str">
        <f t="shared" si="2073"/>
        <v>moshou02_Lv3</v>
      </c>
      <c r="I2595" s="20">
        <v>1.5</v>
      </c>
      <c r="J2595" s="17">
        <v>12</v>
      </c>
      <c r="K2595" s="17">
        <f t="shared" si="2058"/>
        <v>61913</v>
      </c>
      <c r="L2595" s="17" t="s">
        <v>532</v>
      </c>
      <c r="M2595" s="17" t="str">
        <f t="shared" si="2061"/>
        <v>1:11600:5</v>
      </c>
      <c r="N2595" s="16" t="str">
        <f t="shared" si="2042"/>
        <v>10060:1</v>
      </c>
      <c r="O2595" s="17">
        <f t="shared" si="2050"/>
        <v>10</v>
      </c>
      <c r="P2595" s="21" t="s">
        <v>5152</v>
      </c>
      <c r="Q2595" s="21"/>
      <c r="R2595" t="s">
        <v>5098</v>
      </c>
      <c r="T2595" t="str">
        <f t="shared" si="2062"/>
        <v>:1</v>
      </c>
      <c r="U2595" t="str">
        <f t="shared" si="2035"/>
        <v>魔防</v>
      </c>
      <c r="V2595" t="s">
        <v>5139</v>
      </c>
      <c r="W2595">
        <f>属性类型!G2595</f>
        <v>10060</v>
      </c>
      <c r="X2595">
        <v>1</v>
      </c>
    </row>
    <row r="2596" customFormat="1" ht="16.5" spans="1:24">
      <c r="A2596" s="17">
        <f t="shared" si="2059"/>
        <v>61913</v>
      </c>
      <c r="B2596" s="17">
        <f t="shared" si="2044"/>
        <v>61900</v>
      </c>
      <c r="C2596" s="17" t="str">
        <f t="shared" si="2057"/>
        <v>6</v>
      </c>
      <c r="D2596" s="17">
        <f t="shared" si="2026"/>
        <v>60002</v>
      </c>
      <c r="E2596" s="17">
        <f t="shared" ref="E2596:H2596" si="2074">E2595</f>
        <v>2</v>
      </c>
      <c r="F2596" s="17">
        <f t="shared" si="2049"/>
        <v>2</v>
      </c>
      <c r="G2596" s="17" t="str">
        <f t="shared" si="2074"/>
        <v>伯爵魔防百分比</v>
      </c>
      <c r="H2596" s="17" t="str">
        <f t="shared" si="2074"/>
        <v>moshou02_Lv3</v>
      </c>
      <c r="I2596" s="20">
        <v>1.5</v>
      </c>
      <c r="J2596" s="17">
        <v>13</v>
      </c>
      <c r="K2596" s="17">
        <f t="shared" si="2058"/>
        <v>61914</v>
      </c>
      <c r="L2596" s="17" t="s">
        <v>561</v>
      </c>
      <c r="M2596" s="17" t="str">
        <f t="shared" si="2061"/>
        <v>1:11600:5</v>
      </c>
      <c r="N2596" s="16" t="str">
        <f t="shared" si="2042"/>
        <v>10060:1</v>
      </c>
      <c r="O2596" s="17">
        <f t="shared" si="2050"/>
        <v>10</v>
      </c>
      <c r="P2596" s="21" t="s">
        <v>5153</v>
      </c>
      <c r="Q2596" s="21"/>
      <c r="R2596" t="s">
        <v>5098</v>
      </c>
      <c r="T2596" t="str">
        <f t="shared" si="2062"/>
        <v>:1</v>
      </c>
      <c r="U2596" t="str">
        <f t="shared" si="2035"/>
        <v>魔防</v>
      </c>
      <c r="V2596" t="s">
        <v>5139</v>
      </c>
      <c r="W2596">
        <f>属性类型!G2596</f>
        <v>10060</v>
      </c>
      <c r="X2596">
        <v>1</v>
      </c>
    </row>
    <row r="2597" customFormat="1" ht="16.5" spans="1:24">
      <c r="A2597" s="17">
        <f t="shared" si="2059"/>
        <v>61914</v>
      </c>
      <c r="B2597" s="17">
        <f t="shared" si="2044"/>
        <v>61900</v>
      </c>
      <c r="C2597" s="17" t="str">
        <f t="shared" si="2057"/>
        <v>6</v>
      </c>
      <c r="D2597" s="17">
        <f t="shared" si="2026"/>
        <v>60002</v>
      </c>
      <c r="E2597" s="17">
        <f t="shared" ref="E2597:H2597" si="2075">E2596</f>
        <v>2</v>
      </c>
      <c r="F2597" s="17">
        <f t="shared" si="2049"/>
        <v>2</v>
      </c>
      <c r="G2597" s="17" t="str">
        <f t="shared" si="2075"/>
        <v>伯爵魔防百分比</v>
      </c>
      <c r="H2597" s="17" t="str">
        <f t="shared" si="2075"/>
        <v>moshou02_Lv3</v>
      </c>
      <c r="I2597" s="20">
        <v>1.5</v>
      </c>
      <c r="J2597" s="17">
        <v>14</v>
      </c>
      <c r="K2597" s="17">
        <f t="shared" si="2058"/>
        <v>61915</v>
      </c>
      <c r="L2597" s="17" t="s">
        <v>564</v>
      </c>
      <c r="M2597" s="17" t="str">
        <f t="shared" si="2061"/>
        <v>1:11600:5</v>
      </c>
      <c r="N2597" s="16" t="str">
        <f t="shared" si="2042"/>
        <v>10060:1</v>
      </c>
      <c r="O2597" s="17">
        <f t="shared" si="2050"/>
        <v>10</v>
      </c>
      <c r="P2597" s="21" t="s">
        <v>5154</v>
      </c>
      <c r="Q2597" s="21"/>
      <c r="R2597" t="s">
        <v>5098</v>
      </c>
      <c r="T2597" t="str">
        <f t="shared" si="2062"/>
        <v>:1</v>
      </c>
      <c r="U2597" t="str">
        <f t="shared" si="2035"/>
        <v>魔防</v>
      </c>
      <c r="V2597" t="s">
        <v>5139</v>
      </c>
      <c r="W2597">
        <f>属性类型!G2597</f>
        <v>10060</v>
      </c>
      <c r="X2597">
        <v>1</v>
      </c>
    </row>
    <row r="2598" customFormat="1" ht="16.5" spans="1:24">
      <c r="A2598" s="17">
        <f t="shared" si="2059"/>
        <v>61915</v>
      </c>
      <c r="B2598" s="17">
        <f t="shared" si="2044"/>
        <v>61900</v>
      </c>
      <c r="C2598" s="17" t="str">
        <f t="shared" si="2057"/>
        <v>6</v>
      </c>
      <c r="D2598" s="17">
        <f t="shared" si="2026"/>
        <v>60002</v>
      </c>
      <c r="E2598" s="17">
        <f t="shared" ref="E2598:H2598" si="2076">E2597</f>
        <v>2</v>
      </c>
      <c r="F2598" s="17">
        <f t="shared" si="2049"/>
        <v>2</v>
      </c>
      <c r="G2598" s="17" t="str">
        <f t="shared" si="2076"/>
        <v>伯爵魔防百分比</v>
      </c>
      <c r="H2598" s="17" t="str">
        <f t="shared" si="2076"/>
        <v>moshou02_Lv3</v>
      </c>
      <c r="I2598" s="20">
        <v>1.5</v>
      </c>
      <c r="J2598" s="17">
        <v>15</v>
      </c>
      <c r="K2598" s="17">
        <f t="shared" si="2058"/>
        <v>61916</v>
      </c>
      <c r="L2598" s="17" t="s">
        <v>630</v>
      </c>
      <c r="M2598" s="17" t="str">
        <f t="shared" si="2061"/>
        <v>1:11600:5</v>
      </c>
      <c r="N2598" s="16" t="str">
        <f t="shared" si="2042"/>
        <v>10060:1</v>
      </c>
      <c r="O2598" s="17">
        <f t="shared" si="2050"/>
        <v>10</v>
      </c>
      <c r="P2598" s="21" t="s">
        <v>5155</v>
      </c>
      <c r="Q2598" s="21"/>
      <c r="R2598" t="s">
        <v>5098</v>
      </c>
      <c r="T2598" t="str">
        <f t="shared" si="2062"/>
        <v>:1</v>
      </c>
      <c r="U2598" t="str">
        <f t="shared" si="2035"/>
        <v>魔防</v>
      </c>
      <c r="V2598" t="s">
        <v>5139</v>
      </c>
      <c r="W2598">
        <f>属性类型!G2598</f>
        <v>10060</v>
      </c>
      <c r="X2598">
        <v>1</v>
      </c>
    </row>
    <row r="2599" customFormat="1" ht="16.5" spans="1:24">
      <c r="A2599" s="17">
        <f t="shared" si="2059"/>
        <v>61916</v>
      </c>
      <c r="B2599" s="17">
        <f t="shared" si="2044"/>
        <v>61900</v>
      </c>
      <c r="C2599" s="17" t="str">
        <f t="shared" si="2057"/>
        <v>6</v>
      </c>
      <c r="D2599" s="17">
        <f t="shared" si="2026"/>
        <v>60002</v>
      </c>
      <c r="E2599" s="17">
        <f t="shared" ref="E2599:H2599" si="2077">E2598</f>
        <v>2</v>
      </c>
      <c r="F2599" s="17">
        <f t="shared" si="2049"/>
        <v>2</v>
      </c>
      <c r="G2599" s="17" t="str">
        <f t="shared" si="2077"/>
        <v>伯爵魔防百分比</v>
      </c>
      <c r="H2599" s="17" t="str">
        <f t="shared" si="2077"/>
        <v>moshou02_Lv3</v>
      </c>
      <c r="I2599" s="20">
        <v>1.5</v>
      </c>
      <c r="J2599" s="17">
        <v>16</v>
      </c>
      <c r="K2599" s="17">
        <f t="shared" si="2058"/>
        <v>61917</v>
      </c>
      <c r="L2599" s="17" t="s">
        <v>633</v>
      </c>
      <c r="M2599" s="17" t="str">
        <f t="shared" si="2061"/>
        <v>1:11600:5</v>
      </c>
      <c r="N2599" s="16" t="str">
        <f t="shared" si="2042"/>
        <v>10060:1</v>
      </c>
      <c r="O2599" s="17">
        <f t="shared" si="2050"/>
        <v>10</v>
      </c>
      <c r="P2599" s="21" t="s">
        <v>5156</v>
      </c>
      <c r="Q2599" s="21"/>
      <c r="R2599" t="s">
        <v>5098</v>
      </c>
      <c r="T2599" t="str">
        <f t="shared" si="2062"/>
        <v>:1</v>
      </c>
      <c r="U2599" t="str">
        <f t="shared" si="2035"/>
        <v>魔防</v>
      </c>
      <c r="V2599" t="s">
        <v>5139</v>
      </c>
      <c r="W2599">
        <f>属性类型!G2599</f>
        <v>10060</v>
      </c>
      <c r="X2599">
        <v>1</v>
      </c>
    </row>
    <row r="2600" customFormat="1" ht="16.5" spans="1:24">
      <c r="A2600" s="17">
        <f t="shared" si="2059"/>
        <v>61917</v>
      </c>
      <c r="B2600" s="17">
        <f t="shared" si="2044"/>
        <v>61900</v>
      </c>
      <c r="C2600" s="17" t="str">
        <f t="shared" si="2057"/>
        <v>6</v>
      </c>
      <c r="D2600" s="17">
        <f t="shared" si="2026"/>
        <v>60002</v>
      </c>
      <c r="E2600" s="17">
        <f t="shared" ref="E2600:H2600" si="2078">E2599</f>
        <v>2</v>
      </c>
      <c r="F2600" s="17">
        <f t="shared" si="2049"/>
        <v>2</v>
      </c>
      <c r="G2600" s="17" t="str">
        <f t="shared" si="2078"/>
        <v>伯爵魔防百分比</v>
      </c>
      <c r="H2600" s="17" t="str">
        <f t="shared" si="2078"/>
        <v>moshou02_Lv3</v>
      </c>
      <c r="I2600" s="20">
        <v>1.5</v>
      </c>
      <c r="J2600" s="17">
        <v>17</v>
      </c>
      <c r="K2600" s="17">
        <f t="shared" si="2058"/>
        <v>61918</v>
      </c>
      <c r="L2600" s="17" t="s">
        <v>637</v>
      </c>
      <c r="M2600" s="17" t="str">
        <f t="shared" si="2061"/>
        <v>1:11600:5</v>
      </c>
      <c r="N2600" s="16" t="str">
        <f t="shared" si="2042"/>
        <v>10060:1</v>
      </c>
      <c r="O2600" s="17">
        <f t="shared" si="2050"/>
        <v>10</v>
      </c>
      <c r="P2600" s="21" t="s">
        <v>5157</v>
      </c>
      <c r="Q2600" s="21"/>
      <c r="R2600" t="s">
        <v>5098</v>
      </c>
      <c r="T2600" t="str">
        <f t="shared" si="2062"/>
        <v>:1</v>
      </c>
      <c r="U2600" t="str">
        <f t="shared" si="2035"/>
        <v>魔防</v>
      </c>
      <c r="V2600" t="s">
        <v>5139</v>
      </c>
      <c r="W2600">
        <f>属性类型!G2600</f>
        <v>10060</v>
      </c>
      <c r="X2600">
        <v>1</v>
      </c>
    </row>
    <row r="2601" customFormat="1" ht="16.5" spans="1:24">
      <c r="A2601" s="17">
        <f t="shared" si="2059"/>
        <v>61918</v>
      </c>
      <c r="B2601" s="17">
        <f t="shared" si="2044"/>
        <v>61900</v>
      </c>
      <c r="C2601" s="17" t="str">
        <f t="shared" si="2057"/>
        <v>6</v>
      </c>
      <c r="D2601" s="17">
        <f t="shared" si="2026"/>
        <v>60002</v>
      </c>
      <c r="E2601" s="17">
        <f t="shared" ref="E2601:H2601" si="2079">E2600</f>
        <v>2</v>
      </c>
      <c r="F2601" s="17">
        <f t="shared" si="2049"/>
        <v>2</v>
      </c>
      <c r="G2601" s="17" t="str">
        <f t="shared" si="2079"/>
        <v>伯爵魔防百分比</v>
      </c>
      <c r="H2601" s="17" t="str">
        <f t="shared" si="2079"/>
        <v>moshou02_Lv3</v>
      </c>
      <c r="I2601" s="20">
        <v>1.5</v>
      </c>
      <c r="J2601" s="17">
        <v>18</v>
      </c>
      <c r="K2601" s="17">
        <f t="shared" si="2058"/>
        <v>61919</v>
      </c>
      <c r="L2601" s="17" t="s">
        <v>641</v>
      </c>
      <c r="M2601" s="17" t="str">
        <f t="shared" si="2061"/>
        <v>1:11600:5</v>
      </c>
      <c r="N2601" s="16" t="str">
        <f t="shared" si="2042"/>
        <v>10060:1</v>
      </c>
      <c r="O2601" s="17">
        <f t="shared" si="2050"/>
        <v>10</v>
      </c>
      <c r="P2601" s="21" t="s">
        <v>5158</v>
      </c>
      <c r="Q2601" s="21"/>
      <c r="R2601" t="s">
        <v>5098</v>
      </c>
      <c r="T2601" t="str">
        <f t="shared" si="2062"/>
        <v>:1</v>
      </c>
      <c r="U2601" t="str">
        <f t="shared" si="2035"/>
        <v>魔防</v>
      </c>
      <c r="V2601" t="s">
        <v>5139</v>
      </c>
      <c r="W2601">
        <f>属性类型!G2601</f>
        <v>10060</v>
      </c>
      <c r="X2601">
        <v>1</v>
      </c>
    </row>
    <row r="2602" customFormat="1" ht="16.5" spans="1:24">
      <c r="A2602" s="17">
        <f t="shared" si="2059"/>
        <v>61919</v>
      </c>
      <c r="B2602" s="17">
        <f t="shared" si="2044"/>
        <v>61900</v>
      </c>
      <c r="C2602" s="17" t="str">
        <f t="shared" si="2057"/>
        <v>6</v>
      </c>
      <c r="D2602" s="17">
        <f t="shared" si="2026"/>
        <v>60002</v>
      </c>
      <c r="E2602" s="17">
        <f t="shared" ref="E2602:H2602" si="2080">E2601</f>
        <v>2</v>
      </c>
      <c r="F2602" s="17">
        <f t="shared" si="2049"/>
        <v>2</v>
      </c>
      <c r="G2602" s="17" t="str">
        <f t="shared" si="2080"/>
        <v>伯爵魔防百分比</v>
      </c>
      <c r="H2602" s="17" t="str">
        <f t="shared" si="2080"/>
        <v>moshou02_Lv3</v>
      </c>
      <c r="I2602" s="20">
        <v>1.5</v>
      </c>
      <c r="J2602" s="17">
        <v>19</v>
      </c>
      <c r="K2602" s="17">
        <f t="shared" si="2058"/>
        <v>61920</v>
      </c>
      <c r="L2602" s="17" t="s">
        <v>645</v>
      </c>
      <c r="M2602" s="17" t="str">
        <f t="shared" si="2061"/>
        <v>1:11600:5</v>
      </c>
      <c r="N2602" s="16" t="str">
        <f t="shared" si="2042"/>
        <v>10060:1</v>
      </c>
      <c r="O2602" s="17">
        <f t="shared" si="2050"/>
        <v>10</v>
      </c>
      <c r="P2602" s="21" t="s">
        <v>5159</v>
      </c>
      <c r="Q2602" s="21"/>
      <c r="R2602" t="s">
        <v>5098</v>
      </c>
      <c r="T2602" t="str">
        <f t="shared" si="2062"/>
        <v>:1</v>
      </c>
      <c r="U2602" t="str">
        <f t="shared" si="2035"/>
        <v>魔防</v>
      </c>
      <c r="V2602" t="s">
        <v>5139</v>
      </c>
      <c r="W2602">
        <f>属性类型!G2602</f>
        <v>10060</v>
      </c>
      <c r="X2602">
        <v>1</v>
      </c>
    </row>
    <row r="2603" customFormat="1" ht="16.5" spans="1:24">
      <c r="A2603" s="17">
        <f t="shared" si="2059"/>
        <v>61920</v>
      </c>
      <c r="B2603" s="17">
        <f t="shared" si="2044"/>
        <v>61900</v>
      </c>
      <c r="C2603" s="17" t="str">
        <f t="shared" si="2057"/>
        <v>6</v>
      </c>
      <c r="D2603" s="17">
        <f t="shared" si="2026"/>
        <v>60002</v>
      </c>
      <c r="E2603" s="17">
        <f t="shared" ref="E2603:H2603" si="2081">E2602</f>
        <v>2</v>
      </c>
      <c r="F2603" s="17">
        <f t="shared" si="2049"/>
        <v>2</v>
      </c>
      <c r="G2603" s="17" t="str">
        <f t="shared" si="2081"/>
        <v>伯爵魔防百分比</v>
      </c>
      <c r="H2603" s="17" t="str">
        <f t="shared" si="2081"/>
        <v>moshou02_Lv3</v>
      </c>
      <c r="I2603" s="20">
        <v>1.5</v>
      </c>
      <c r="J2603" s="17">
        <v>20</v>
      </c>
      <c r="K2603" s="17">
        <v>0</v>
      </c>
      <c r="L2603" s="17">
        <v>0</v>
      </c>
      <c r="M2603" s="17" t="str">
        <f t="shared" si="2061"/>
        <v>1:11600:5</v>
      </c>
      <c r="N2603" s="16" t="str">
        <f t="shared" si="2042"/>
        <v>10060:1</v>
      </c>
      <c r="O2603" s="17">
        <f t="shared" si="2050"/>
        <v>10</v>
      </c>
      <c r="P2603" s="21" t="s">
        <v>5159</v>
      </c>
      <c r="Q2603" s="21"/>
      <c r="R2603" t="s">
        <v>5098</v>
      </c>
      <c r="T2603" t="str">
        <f t="shared" si="2062"/>
        <v>:1</v>
      </c>
      <c r="U2603" t="str">
        <f t="shared" si="2035"/>
        <v>魔防</v>
      </c>
      <c r="V2603" t="s">
        <v>5139</v>
      </c>
      <c r="W2603">
        <f>属性类型!G2603</f>
        <v>10060</v>
      </c>
      <c r="X2603">
        <v>1</v>
      </c>
    </row>
    <row r="2604" customFormat="1" ht="16.5" spans="1:24">
      <c r="A2604" s="18">
        <f>A2583+100</f>
        <v>62000</v>
      </c>
      <c r="B2604" s="18">
        <f t="shared" ref="B2604:B2651" si="2082">ROUND(A2604,-2)</f>
        <v>62000</v>
      </c>
      <c r="C2604" s="18" t="str">
        <f t="shared" si="2057"/>
        <v>6</v>
      </c>
      <c r="D2604" s="17">
        <f t="shared" ref="D2604:D2631" si="2083">$A$2329+F2604</f>
        <v>60003</v>
      </c>
      <c r="E2604" s="17">
        <v>1</v>
      </c>
      <c r="F2604" s="18">
        <f t="shared" si="2049"/>
        <v>3</v>
      </c>
      <c r="G2604" s="18" t="s">
        <v>515</v>
      </c>
      <c r="H2604" s="18" t="s">
        <v>38</v>
      </c>
      <c r="I2604" s="20">
        <v>0</v>
      </c>
      <c r="J2604" s="18">
        <v>0</v>
      </c>
      <c r="K2604" s="18">
        <f t="shared" ref="K2604:K2618" si="2084">A2605</f>
        <v>62001</v>
      </c>
      <c r="L2604" s="18" t="s">
        <v>206</v>
      </c>
      <c r="M2604" s="18" t="s">
        <v>517</v>
      </c>
      <c r="N2604" s="16" t="str">
        <f t="shared" si="2042"/>
        <v>171:1</v>
      </c>
      <c r="O2604" s="18">
        <f t="shared" si="2050"/>
        <v>1</v>
      </c>
      <c r="P2604" s="21" t="str">
        <f t="shared" ref="P2587:P2650" si="2085">$S$3&amp;R2604&amp;$Q$1&amp;T2604</f>
        <v>所有魔物和野兽生命增加1</v>
      </c>
      <c r="Q2604" s="21"/>
      <c r="R2604" t="s">
        <v>4270</v>
      </c>
      <c r="T2604" t="str">
        <f>RIGHT(N2604,1)</f>
        <v>1</v>
      </c>
      <c r="U2604" t="str">
        <f t="shared" si="2035"/>
        <v>魔物</v>
      </c>
      <c r="V2604" t="s">
        <v>5025</v>
      </c>
      <c r="W2604">
        <f>属性类型!G2604</f>
        <v>171</v>
      </c>
      <c r="X2604">
        <v>1</v>
      </c>
    </row>
    <row r="2605" customFormat="1" ht="16.5" spans="1:24">
      <c r="A2605" s="17">
        <f t="shared" ref="A2605:A2619" si="2086">A2604+1</f>
        <v>62001</v>
      </c>
      <c r="B2605" s="17">
        <f t="shared" si="2082"/>
        <v>62000</v>
      </c>
      <c r="C2605" s="17" t="str">
        <f t="shared" si="2057"/>
        <v>6</v>
      </c>
      <c r="D2605" s="17">
        <f t="shared" si="2083"/>
        <v>60003</v>
      </c>
      <c r="E2605" s="17">
        <v>1</v>
      </c>
      <c r="F2605" s="17">
        <f t="shared" si="2049"/>
        <v>3</v>
      </c>
      <c r="G2605" s="17" t="str">
        <f t="shared" ref="G2605:G2619" si="2087">G2604</f>
        <v>高级生命</v>
      </c>
      <c r="H2605" s="17" t="str">
        <f t="shared" ref="H2605:H2619" si="2088">H2604</f>
        <v>icon_01</v>
      </c>
      <c r="I2605" s="20">
        <v>0</v>
      </c>
      <c r="J2605" s="17">
        <v>1</v>
      </c>
      <c r="K2605" s="17">
        <f t="shared" si="2084"/>
        <v>62002</v>
      </c>
      <c r="L2605" s="17" t="s">
        <v>211</v>
      </c>
      <c r="M2605" s="17" t="str">
        <f t="shared" ref="M2605:M2619" si="2089">M2604</f>
        <v>2:10001:50</v>
      </c>
      <c r="N2605" s="16" t="str">
        <f t="shared" si="2042"/>
        <v>171:1</v>
      </c>
      <c r="O2605" s="17">
        <f t="shared" si="2050"/>
        <v>1</v>
      </c>
      <c r="P2605" s="21" t="str">
        <f t="shared" si="2085"/>
        <v>所有魔物和野兽生命增加:1</v>
      </c>
      <c r="Q2605" s="21"/>
      <c r="R2605" t="str">
        <f t="shared" ref="R2605:R2619" si="2090">R2604</f>
        <v>生命</v>
      </c>
      <c r="T2605" t="str">
        <f t="shared" ref="T2605:T2619" si="2091">RIGHT(N2605,2)</f>
        <v>:1</v>
      </c>
      <c r="U2605" t="str">
        <f t="shared" si="2035"/>
        <v>魔物</v>
      </c>
      <c r="V2605" t="s">
        <v>5025</v>
      </c>
      <c r="W2605">
        <f>属性类型!G2605</f>
        <v>171</v>
      </c>
      <c r="X2605">
        <v>1</v>
      </c>
    </row>
    <row r="2606" customFormat="1" ht="16.5" spans="1:24">
      <c r="A2606" s="17">
        <f t="shared" si="2086"/>
        <v>62002</v>
      </c>
      <c r="B2606" s="17">
        <f t="shared" si="2082"/>
        <v>62000</v>
      </c>
      <c r="C2606" s="17" t="str">
        <f t="shared" si="2057"/>
        <v>6</v>
      </c>
      <c r="D2606" s="17">
        <f t="shared" si="2083"/>
        <v>60003</v>
      </c>
      <c r="E2606" s="17">
        <v>1</v>
      </c>
      <c r="F2606" s="17">
        <f t="shared" si="2049"/>
        <v>3</v>
      </c>
      <c r="G2606" s="17" t="str">
        <f t="shared" si="2087"/>
        <v>高级生命</v>
      </c>
      <c r="H2606" s="17" t="str">
        <f t="shared" si="2088"/>
        <v>icon_01</v>
      </c>
      <c r="I2606" s="20">
        <v>0</v>
      </c>
      <c r="J2606" s="17">
        <v>2</v>
      </c>
      <c r="K2606" s="17">
        <f t="shared" si="2084"/>
        <v>62003</v>
      </c>
      <c r="L2606" s="17" t="s">
        <v>215</v>
      </c>
      <c r="M2606" s="17" t="str">
        <f t="shared" si="2089"/>
        <v>2:10001:50</v>
      </c>
      <c r="N2606" s="16" t="str">
        <f t="shared" si="2042"/>
        <v>171:1</v>
      </c>
      <c r="O2606" s="17">
        <f t="shared" si="2050"/>
        <v>1</v>
      </c>
      <c r="P2606" s="21" t="str">
        <f t="shared" si="2085"/>
        <v>所有魔物和野兽生命增加:1</v>
      </c>
      <c r="Q2606" s="21"/>
      <c r="R2606" t="str">
        <f t="shared" si="2090"/>
        <v>生命</v>
      </c>
      <c r="T2606" t="str">
        <f t="shared" si="2091"/>
        <v>:1</v>
      </c>
      <c r="U2606" t="str">
        <f t="shared" si="2035"/>
        <v>魔物</v>
      </c>
      <c r="V2606" t="s">
        <v>5025</v>
      </c>
      <c r="W2606">
        <f>属性类型!G2606</f>
        <v>171</v>
      </c>
      <c r="X2606">
        <v>1</v>
      </c>
    </row>
    <row r="2607" customFormat="1" ht="16.5" spans="1:24">
      <c r="A2607" s="17">
        <f t="shared" si="2086"/>
        <v>62003</v>
      </c>
      <c r="B2607" s="17">
        <f t="shared" si="2082"/>
        <v>62000</v>
      </c>
      <c r="C2607" s="17" t="str">
        <f t="shared" si="2057"/>
        <v>6</v>
      </c>
      <c r="D2607" s="17">
        <f t="shared" si="2083"/>
        <v>60003</v>
      </c>
      <c r="E2607" s="17">
        <v>1</v>
      </c>
      <c r="F2607" s="17">
        <f t="shared" si="2049"/>
        <v>3</v>
      </c>
      <c r="G2607" s="17" t="str">
        <f t="shared" si="2087"/>
        <v>高级生命</v>
      </c>
      <c r="H2607" s="17" t="str">
        <f t="shared" si="2088"/>
        <v>icon_01</v>
      </c>
      <c r="I2607" s="20">
        <v>0</v>
      </c>
      <c r="J2607" s="17">
        <v>3</v>
      </c>
      <c r="K2607" s="17">
        <f t="shared" si="2084"/>
        <v>62004</v>
      </c>
      <c r="L2607" s="17" t="s">
        <v>218</v>
      </c>
      <c r="M2607" s="17" t="str">
        <f t="shared" si="2089"/>
        <v>2:10001:50</v>
      </c>
      <c r="N2607" s="16" t="str">
        <f t="shared" si="2042"/>
        <v>171:1</v>
      </c>
      <c r="O2607" s="17">
        <f t="shared" si="2050"/>
        <v>1</v>
      </c>
      <c r="P2607" s="21" t="str">
        <f t="shared" si="2085"/>
        <v>所有魔物和野兽生命增加:1</v>
      </c>
      <c r="Q2607" s="21"/>
      <c r="R2607" t="str">
        <f t="shared" si="2090"/>
        <v>生命</v>
      </c>
      <c r="T2607" t="str">
        <f t="shared" si="2091"/>
        <v>:1</v>
      </c>
      <c r="U2607" t="str">
        <f t="shared" si="2035"/>
        <v>魔物</v>
      </c>
      <c r="V2607" t="s">
        <v>5025</v>
      </c>
      <c r="W2607">
        <f>属性类型!G2607</f>
        <v>171</v>
      </c>
      <c r="X2607">
        <v>1</v>
      </c>
    </row>
    <row r="2608" customFormat="1" ht="16.5" spans="1:24">
      <c r="A2608" s="17">
        <f t="shared" si="2086"/>
        <v>62004</v>
      </c>
      <c r="B2608" s="17">
        <f t="shared" si="2082"/>
        <v>62000</v>
      </c>
      <c r="C2608" s="17" t="str">
        <f t="shared" si="2057"/>
        <v>6</v>
      </c>
      <c r="D2608" s="17">
        <f t="shared" si="2083"/>
        <v>60003</v>
      </c>
      <c r="E2608" s="17">
        <v>1</v>
      </c>
      <c r="F2608" s="17">
        <f t="shared" si="2049"/>
        <v>3</v>
      </c>
      <c r="G2608" s="17" t="str">
        <f t="shared" si="2087"/>
        <v>高级生命</v>
      </c>
      <c r="H2608" s="17" t="str">
        <f t="shared" si="2088"/>
        <v>icon_01</v>
      </c>
      <c r="I2608" s="20">
        <v>0</v>
      </c>
      <c r="J2608" s="17">
        <v>4</v>
      </c>
      <c r="K2608" s="17">
        <f t="shared" si="2084"/>
        <v>62005</v>
      </c>
      <c r="L2608" s="17" t="s">
        <v>221</v>
      </c>
      <c r="M2608" s="17" t="str">
        <f t="shared" si="2089"/>
        <v>2:10001:50</v>
      </c>
      <c r="N2608" s="16" t="str">
        <f t="shared" si="2042"/>
        <v>171:1</v>
      </c>
      <c r="O2608" s="17">
        <f t="shared" si="2050"/>
        <v>1</v>
      </c>
      <c r="P2608" s="21" t="str">
        <f t="shared" si="2085"/>
        <v>所有魔物和野兽生命增加:1</v>
      </c>
      <c r="Q2608" s="21"/>
      <c r="R2608" t="str">
        <f t="shared" si="2090"/>
        <v>生命</v>
      </c>
      <c r="T2608" t="str">
        <f t="shared" si="2091"/>
        <v>:1</v>
      </c>
      <c r="U2608" t="str">
        <f t="shared" si="2035"/>
        <v>魔物</v>
      </c>
      <c r="V2608" t="s">
        <v>5025</v>
      </c>
      <c r="W2608">
        <f>属性类型!G2608</f>
        <v>171</v>
      </c>
      <c r="X2608">
        <v>1</v>
      </c>
    </row>
    <row r="2609" customFormat="1" ht="16.5" spans="1:24">
      <c r="A2609" s="17">
        <f t="shared" si="2086"/>
        <v>62005</v>
      </c>
      <c r="B2609" s="17">
        <f t="shared" si="2082"/>
        <v>62000</v>
      </c>
      <c r="C2609" s="17" t="str">
        <f t="shared" ref="C2609:C2672" si="2092">LEFT(A2609,1)</f>
        <v>6</v>
      </c>
      <c r="D2609" s="17">
        <f t="shared" si="2083"/>
        <v>60003</v>
      </c>
      <c r="E2609" s="17">
        <v>1</v>
      </c>
      <c r="F2609" s="17">
        <f t="shared" si="2049"/>
        <v>3</v>
      </c>
      <c r="G2609" s="17" t="str">
        <f t="shared" si="2087"/>
        <v>高级生命</v>
      </c>
      <c r="H2609" s="17" t="str">
        <f t="shared" si="2088"/>
        <v>icon_01</v>
      </c>
      <c r="I2609" s="20">
        <v>0</v>
      </c>
      <c r="J2609" s="17">
        <v>5</v>
      </c>
      <c r="K2609" s="17">
        <f t="shared" si="2084"/>
        <v>62006</v>
      </c>
      <c r="L2609" s="17" t="s">
        <v>224</v>
      </c>
      <c r="M2609" s="17" t="str">
        <f t="shared" si="2089"/>
        <v>2:10001:50</v>
      </c>
      <c r="N2609" s="16" t="str">
        <f t="shared" si="2042"/>
        <v>171:1</v>
      </c>
      <c r="O2609" s="17">
        <f t="shared" si="2050"/>
        <v>1</v>
      </c>
      <c r="P2609" s="21" t="str">
        <f t="shared" si="2085"/>
        <v>所有魔物和野兽生命增加:1</v>
      </c>
      <c r="Q2609" s="21"/>
      <c r="R2609" t="str">
        <f t="shared" si="2090"/>
        <v>生命</v>
      </c>
      <c r="T2609" t="str">
        <f t="shared" si="2091"/>
        <v>:1</v>
      </c>
      <c r="U2609" t="str">
        <f t="shared" si="2035"/>
        <v>魔物</v>
      </c>
      <c r="V2609" t="s">
        <v>5025</v>
      </c>
      <c r="W2609">
        <f>属性类型!G2609</f>
        <v>171</v>
      </c>
      <c r="X2609">
        <v>1</v>
      </c>
    </row>
    <row r="2610" customFormat="1" ht="16.5" spans="1:24">
      <c r="A2610" s="17">
        <f t="shared" si="2086"/>
        <v>62006</v>
      </c>
      <c r="B2610" s="17">
        <f t="shared" si="2082"/>
        <v>62000</v>
      </c>
      <c r="C2610" s="17" t="str">
        <f t="shared" si="2092"/>
        <v>6</v>
      </c>
      <c r="D2610" s="17">
        <f t="shared" si="2083"/>
        <v>60003</v>
      </c>
      <c r="E2610" s="17">
        <v>1</v>
      </c>
      <c r="F2610" s="17">
        <f t="shared" si="2049"/>
        <v>3</v>
      </c>
      <c r="G2610" s="17" t="str">
        <f t="shared" si="2087"/>
        <v>高级生命</v>
      </c>
      <c r="H2610" s="17" t="str">
        <f t="shared" si="2088"/>
        <v>icon_01</v>
      </c>
      <c r="I2610" s="20">
        <v>0</v>
      </c>
      <c r="J2610" s="17">
        <v>6</v>
      </c>
      <c r="K2610" s="17">
        <f t="shared" si="2084"/>
        <v>62007</v>
      </c>
      <c r="L2610" s="17" t="s">
        <v>227</v>
      </c>
      <c r="M2610" s="17" t="str">
        <f t="shared" si="2089"/>
        <v>2:10001:50</v>
      </c>
      <c r="N2610" s="16" t="str">
        <f t="shared" si="2042"/>
        <v>171:1</v>
      </c>
      <c r="O2610" s="17">
        <f t="shared" si="2050"/>
        <v>1</v>
      </c>
      <c r="P2610" s="21" t="str">
        <f t="shared" si="2085"/>
        <v>所有魔物和野兽生命增加:1</v>
      </c>
      <c r="Q2610" s="21"/>
      <c r="R2610" t="str">
        <f t="shared" si="2090"/>
        <v>生命</v>
      </c>
      <c r="T2610" t="str">
        <f t="shared" si="2091"/>
        <v>:1</v>
      </c>
      <c r="U2610" t="str">
        <f t="shared" si="2035"/>
        <v>魔物</v>
      </c>
      <c r="V2610" t="s">
        <v>5025</v>
      </c>
      <c r="W2610">
        <f>属性类型!G2610</f>
        <v>171</v>
      </c>
      <c r="X2610">
        <v>1</v>
      </c>
    </row>
    <row r="2611" customFormat="1" ht="16.5" spans="1:24">
      <c r="A2611" s="17">
        <f t="shared" si="2086"/>
        <v>62007</v>
      </c>
      <c r="B2611" s="17">
        <f t="shared" si="2082"/>
        <v>62000</v>
      </c>
      <c r="C2611" s="17" t="str">
        <f t="shared" si="2092"/>
        <v>6</v>
      </c>
      <c r="D2611" s="17">
        <f t="shared" si="2083"/>
        <v>60003</v>
      </c>
      <c r="E2611" s="17">
        <v>1</v>
      </c>
      <c r="F2611" s="17">
        <f t="shared" si="2049"/>
        <v>3</v>
      </c>
      <c r="G2611" s="17" t="str">
        <f t="shared" si="2087"/>
        <v>高级生命</v>
      </c>
      <c r="H2611" s="17" t="str">
        <f t="shared" si="2088"/>
        <v>icon_01</v>
      </c>
      <c r="I2611" s="20">
        <v>0</v>
      </c>
      <c r="J2611" s="17">
        <v>7</v>
      </c>
      <c r="K2611" s="17">
        <f t="shared" si="2084"/>
        <v>62008</v>
      </c>
      <c r="L2611" s="17" t="s">
        <v>230</v>
      </c>
      <c r="M2611" s="17" t="str">
        <f t="shared" si="2089"/>
        <v>2:10001:50</v>
      </c>
      <c r="N2611" s="16" t="str">
        <f t="shared" si="2042"/>
        <v>171:1</v>
      </c>
      <c r="O2611" s="17">
        <f t="shared" si="2050"/>
        <v>1</v>
      </c>
      <c r="P2611" s="21" t="str">
        <f t="shared" si="2085"/>
        <v>所有魔物和野兽生命增加:1</v>
      </c>
      <c r="Q2611" s="21"/>
      <c r="R2611" t="str">
        <f t="shared" si="2090"/>
        <v>生命</v>
      </c>
      <c r="T2611" t="str">
        <f t="shared" si="2091"/>
        <v>:1</v>
      </c>
      <c r="U2611" t="str">
        <f t="shared" si="2035"/>
        <v>魔物</v>
      </c>
      <c r="V2611" t="s">
        <v>5025</v>
      </c>
      <c r="W2611">
        <f>属性类型!G2611</f>
        <v>171</v>
      </c>
      <c r="X2611">
        <v>1</v>
      </c>
    </row>
    <row r="2612" customFormat="1" ht="16.5" spans="1:24">
      <c r="A2612" s="17">
        <f t="shared" si="2086"/>
        <v>62008</v>
      </c>
      <c r="B2612" s="17">
        <f t="shared" si="2082"/>
        <v>62000</v>
      </c>
      <c r="C2612" s="17" t="str">
        <f t="shared" si="2092"/>
        <v>6</v>
      </c>
      <c r="D2612" s="17">
        <f t="shared" si="2083"/>
        <v>60003</v>
      </c>
      <c r="E2612" s="17">
        <v>1</v>
      </c>
      <c r="F2612" s="17">
        <f t="shared" si="2049"/>
        <v>3</v>
      </c>
      <c r="G2612" s="17" t="str">
        <f t="shared" si="2087"/>
        <v>高级生命</v>
      </c>
      <c r="H2612" s="17" t="str">
        <f t="shared" si="2088"/>
        <v>icon_01</v>
      </c>
      <c r="I2612" s="20">
        <v>0</v>
      </c>
      <c r="J2612" s="17">
        <v>8</v>
      </c>
      <c r="K2612" s="17">
        <f t="shared" si="2084"/>
        <v>62009</v>
      </c>
      <c r="L2612" s="17" t="s">
        <v>233</v>
      </c>
      <c r="M2612" s="17" t="str">
        <f t="shared" si="2089"/>
        <v>2:10001:50</v>
      </c>
      <c r="N2612" s="16" t="str">
        <f t="shared" si="2042"/>
        <v>171:1</v>
      </c>
      <c r="O2612" s="17">
        <f t="shared" si="2050"/>
        <v>1</v>
      </c>
      <c r="P2612" s="21" t="str">
        <f t="shared" si="2085"/>
        <v>所有魔物和野兽生命增加:1</v>
      </c>
      <c r="Q2612" s="21"/>
      <c r="R2612" t="str">
        <f t="shared" si="2090"/>
        <v>生命</v>
      </c>
      <c r="T2612" t="str">
        <f t="shared" si="2091"/>
        <v>:1</v>
      </c>
      <c r="U2612" t="str">
        <f t="shared" si="2035"/>
        <v>魔物</v>
      </c>
      <c r="V2612" t="s">
        <v>5025</v>
      </c>
      <c r="W2612">
        <f>属性类型!G2612</f>
        <v>171</v>
      </c>
      <c r="X2612">
        <v>1</v>
      </c>
    </row>
    <row r="2613" customFormat="1" ht="16.5" spans="1:24">
      <c r="A2613" s="17">
        <f t="shared" si="2086"/>
        <v>62009</v>
      </c>
      <c r="B2613" s="17">
        <f t="shared" si="2082"/>
        <v>62000</v>
      </c>
      <c r="C2613" s="17" t="str">
        <f t="shared" si="2092"/>
        <v>6</v>
      </c>
      <c r="D2613" s="17">
        <f t="shared" si="2083"/>
        <v>60003</v>
      </c>
      <c r="E2613" s="17">
        <v>1</v>
      </c>
      <c r="F2613" s="17">
        <f t="shared" si="2049"/>
        <v>3</v>
      </c>
      <c r="G2613" s="17" t="str">
        <f t="shared" si="2087"/>
        <v>高级生命</v>
      </c>
      <c r="H2613" s="17" t="str">
        <f t="shared" si="2088"/>
        <v>icon_01</v>
      </c>
      <c r="I2613" s="20">
        <v>0</v>
      </c>
      <c r="J2613" s="17">
        <v>9</v>
      </c>
      <c r="K2613" s="17">
        <f t="shared" si="2084"/>
        <v>62010</v>
      </c>
      <c r="L2613" s="17" t="s">
        <v>236</v>
      </c>
      <c r="M2613" s="17" t="str">
        <f t="shared" si="2089"/>
        <v>2:10001:50</v>
      </c>
      <c r="N2613" s="16" t="str">
        <f t="shared" si="2042"/>
        <v>171:1</v>
      </c>
      <c r="O2613" s="17">
        <f t="shared" si="2050"/>
        <v>1</v>
      </c>
      <c r="P2613" s="21" t="str">
        <f t="shared" si="2085"/>
        <v>所有魔物和野兽生命增加:1</v>
      </c>
      <c r="Q2613" s="21"/>
      <c r="R2613" t="str">
        <f t="shared" si="2090"/>
        <v>生命</v>
      </c>
      <c r="T2613" t="str">
        <f t="shared" si="2091"/>
        <v>:1</v>
      </c>
      <c r="U2613" t="str">
        <f t="shared" si="2035"/>
        <v>魔物</v>
      </c>
      <c r="V2613" t="s">
        <v>5025</v>
      </c>
      <c r="W2613">
        <f>属性类型!G2613</f>
        <v>171</v>
      </c>
      <c r="X2613">
        <v>1</v>
      </c>
    </row>
    <row r="2614" customFormat="1" ht="16.5" spans="1:24">
      <c r="A2614" s="17">
        <f t="shared" si="2086"/>
        <v>62010</v>
      </c>
      <c r="B2614" s="17">
        <f t="shared" si="2082"/>
        <v>62000</v>
      </c>
      <c r="C2614" s="17" t="str">
        <f t="shared" si="2092"/>
        <v>6</v>
      </c>
      <c r="D2614" s="17">
        <f t="shared" si="2083"/>
        <v>60003</v>
      </c>
      <c r="E2614" s="17">
        <v>1</v>
      </c>
      <c r="F2614" s="17">
        <f t="shared" si="2049"/>
        <v>3</v>
      </c>
      <c r="G2614" s="17" t="str">
        <f t="shared" si="2087"/>
        <v>高级生命</v>
      </c>
      <c r="H2614" s="17" t="str">
        <f t="shared" si="2088"/>
        <v>icon_01</v>
      </c>
      <c r="I2614" s="20">
        <v>0</v>
      </c>
      <c r="J2614" s="17">
        <v>10</v>
      </c>
      <c r="K2614" s="17">
        <f t="shared" si="2084"/>
        <v>62011</v>
      </c>
      <c r="L2614" s="17" t="s">
        <v>238</v>
      </c>
      <c r="M2614" s="17" t="str">
        <f t="shared" si="2089"/>
        <v>2:10001:50</v>
      </c>
      <c r="N2614" s="16" t="str">
        <f t="shared" si="2042"/>
        <v>171:1</v>
      </c>
      <c r="O2614" s="17">
        <f t="shared" si="2050"/>
        <v>1</v>
      </c>
      <c r="P2614" s="21" t="str">
        <f t="shared" si="2085"/>
        <v>所有魔物和野兽生命增加:1</v>
      </c>
      <c r="Q2614" s="21"/>
      <c r="R2614" t="str">
        <f t="shared" si="2090"/>
        <v>生命</v>
      </c>
      <c r="T2614" t="str">
        <f t="shared" si="2091"/>
        <v>:1</v>
      </c>
      <c r="U2614" t="str">
        <f t="shared" si="2035"/>
        <v>魔物</v>
      </c>
      <c r="V2614" t="s">
        <v>5025</v>
      </c>
      <c r="W2614">
        <f>属性类型!G2614</f>
        <v>171</v>
      </c>
      <c r="X2614">
        <v>1</v>
      </c>
    </row>
    <row r="2615" customFormat="1" ht="16.5" spans="1:24">
      <c r="A2615" s="17">
        <f t="shared" si="2086"/>
        <v>62011</v>
      </c>
      <c r="B2615" s="17">
        <f t="shared" si="2082"/>
        <v>62000</v>
      </c>
      <c r="C2615" s="17" t="str">
        <f t="shared" si="2092"/>
        <v>6</v>
      </c>
      <c r="D2615" s="17">
        <f t="shared" si="2083"/>
        <v>60003</v>
      </c>
      <c r="E2615" s="17">
        <v>1</v>
      </c>
      <c r="F2615" s="17">
        <f t="shared" si="2049"/>
        <v>3</v>
      </c>
      <c r="G2615" s="17" t="str">
        <f t="shared" si="2087"/>
        <v>高级生命</v>
      </c>
      <c r="H2615" s="17" t="str">
        <f t="shared" si="2088"/>
        <v>icon_01</v>
      </c>
      <c r="I2615" s="20">
        <v>0</v>
      </c>
      <c r="J2615" s="17">
        <v>11</v>
      </c>
      <c r="K2615" s="17">
        <f t="shared" si="2084"/>
        <v>62012</v>
      </c>
      <c r="L2615" s="17" t="s">
        <v>529</v>
      </c>
      <c r="M2615" s="17" t="str">
        <f t="shared" si="2089"/>
        <v>2:10001:50</v>
      </c>
      <c r="N2615" s="16" t="str">
        <f t="shared" si="2042"/>
        <v>171:1</v>
      </c>
      <c r="O2615" s="17">
        <f t="shared" si="2050"/>
        <v>1</v>
      </c>
      <c r="P2615" s="21" t="str">
        <f t="shared" si="2085"/>
        <v>所有魔物和野兽生命增加:1</v>
      </c>
      <c r="Q2615" s="21"/>
      <c r="R2615" t="str">
        <f t="shared" si="2090"/>
        <v>生命</v>
      </c>
      <c r="T2615" t="str">
        <f t="shared" si="2091"/>
        <v>:1</v>
      </c>
      <c r="U2615" t="str">
        <f t="shared" si="2035"/>
        <v>魔物</v>
      </c>
      <c r="V2615" t="s">
        <v>5025</v>
      </c>
      <c r="W2615">
        <f>属性类型!G2615</f>
        <v>171</v>
      </c>
      <c r="X2615">
        <v>1</v>
      </c>
    </row>
    <row r="2616" customFormat="1" ht="16.5" spans="1:24">
      <c r="A2616" s="17">
        <f t="shared" si="2086"/>
        <v>62012</v>
      </c>
      <c r="B2616" s="17">
        <f t="shared" si="2082"/>
        <v>62000</v>
      </c>
      <c r="C2616" s="17" t="str">
        <f t="shared" si="2092"/>
        <v>6</v>
      </c>
      <c r="D2616" s="17">
        <f t="shared" si="2083"/>
        <v>60003</v>
      </c>
      <c r="E2616" s="17">
        <v>1</v>
      </c>
      <c r="F2616" s="17">
        <f t="shared" si="2049"/>
        <v>3</v>
      </c>
      <c r="G2616" s="17" t="str">
        <f t="shared" si="2087"/>
        <v>高级生命</v>
      </c>
      <c r="H2616" s="17" t="str">
        <f t="shared" si="2088"/>
        <v>icon_01</v>
      </c>
      <c r="I2616" s="20">
        <v>0</v>
      </c>
      <c r="J2616" s="17">
        <v>12</v>
      </c>
      <c r="K2616" s="17">
        <f t="shared" si="2084"/>
        <v>62013</v>
      </c>
      <c r="L2616" s="17" t="s">
        <v>532</v>
      </c>
      <c r="M2616" s="17" t="str">
        <f t="shared" si="2089"/>
        <v>2:10001:50</v>
      </c>
      <c r="N2616" s="16" t="str">
        <f t="shared" si="2042"/>
        <v>171:1</v>
      </c>
      <c r="O2616" s="17">
        <f t="shared" si="2050"/>
        <v>1</v>
      </c>
      <c r="P2616" s="21" t="str">
        <f t="shared" si="2085"/>
        <v>所有魔物和野兽生命增加:1</v>
      </c>
      <c r="Q2616" s="21"/>
      <c r="R2616" t="str">
        <f t="shared" si="2090"/>
        <v>生命</v>
      </c>
      <c r="T2616" t="str">
        <f t="shared" si="2091"/>
        <v>:1</v>
      </c>
      <c r="U2616" t="str">
        <f t="shared" si="2035"/>
        <v>魔物</v>
      </c>
      <c r="V2616" t="s">
        <v>5025</v>
      </c>
      <c r="W2616">
        <f>属性类型!G2616</f>
        <v>171</v>
      </c>
      <c r="X2616">
        <v>1</v>
      </c>
    </row>
    <row r="2617" customFormat="1" ht="16.5" spans="1:24">
      <c r="A2617" s="17">
        <f t="shared" si="2086"/>
        <v>62013</v>
      </c>
      <c r="B2617" s="17">
        <f t="shared" si="2082"/>
        <v>62000</v>
      </c>
      <c r="C2617" s="17" t="str">
        <f t="shared" si="2092"/>
        <v>6</v>
      </c>
      <c r="D2617" s="17">
        <f t="shared" si="2083"/>
        <v>60003</v>
      </c>
      <c r="E2617" s="17">
        <v>1</v>
      </c>
      <c r="F2617" s="17">
        <f t="shared" si="2049"/>
        <v>3</v>
      </c>
      <c r="G2617" s="17" t="str">
        <f t="shared" si="2087"/>
        <v>高级生命</v>
      </c>
      <c r="H2617" s="17" t="str">
        <f t="shared" si="2088"/>
        <v>icon_01</v>
      </c>
      <c r="I2617" s="20">
        <v>0</v>
      </c>
      <c r="J2617" s="17">
        <v>13</v>
      </c>
      <c r="K2617" s="17">
        <f t="shared" si="2084"/>
        <v>62014</v>
      </c>
      <c r="L2617" s="17" t="s">
        <v>535</v>
      </c>
      <c r="M2617" s="17" t="str">
        <f t="shared" si="2089"/>
        <v>2:10001:50</v>
      </c>
      <c r="N2617" s="16" t="str">
        <f t="shared" si="2042"/>
        <v>171:1</v>
      </c>
      <c r="O2617" s="17">
        <f t="shared" si="2050"/>
        <v>1</v>
      </c>
      <c r="P2617" s="21" t="str">
        <f t="shared" si="2085"/>
        <v>所有魔物和野兽生命增加:1</v>
      </c>
      <c r="Q2617" s="21"/>
      <c r="R2617" t="str">
        <f t="shared" si="2090"/>
        <v>生命</v>
      </c>
      <c r="T2617" t="str">
        <f t="shared" si="2091"/>
        <v>:1</v>
      </c>
      <c r="U2617" t="str">
        <f t="shared" si="2035"/>
        <v>魔物</v>
      </c>
      <c r="V2617" t="s">
        <v>5025</v>
      </c>
      <c r="W2617">
        <f>属性类型!G2617</f>
        <v>171</v>
      </c>
      <c r="X2617">
        <v>1</v>
      </c>
    </row>
    <row r="2618" customFormat="1" ht="16.5" spans="1:24">
      <c r="A2618" s="17">
        <f t="shared" si="2086"/>
        <v>62014</v>
      </c>
      <c r="B2618" s="17">
        <f t="shared" si="2082"/>
        <v>62000</v>
      </c>
      <c r="C2618" s="17" t="str">
        <f t="shared" si="2092"/>
        <v>6</v>
      </c>
      <c r="D2618" s="17">
        <f t="shared" si="2083"/>
        <v>60003</v>
      </c>
      <c r="E2618" s="17">
        <v>1</v>
      </c>
      <c r="F2618" s="17">
        <f t="shared" si="2049"/>
        <v>3</v>
      </c>
      <c r="G2618" s="17" t="str">
        <f t="shared" si="2087"/>
        <v>高级生命</v>
      </c>
      <c r="H2618" s="17" t="str">
        <f t="shared" si="2088"/>
        <v>icon_01</v>
      </c>
      <c r="I2618" s="20">
        <v>0</v>
      </c>
      <c r="J2618" s="17">
        <v>14</v>
      </c>
      <c r="K2618" s="17">
        <f t="shared" si="2084"/>
        <v>62015</v>
      </c>
      <c r="L2618" s="17" t="s">
        <v>538</v>
      </c>
      <c r="M2618" s="17" t="str">
        <f t="shared" si="2089"/>
        <v>2:10001:50</v>
      </c>
      <c r="N2618" s="16" t="str">
        <f t="shared" si="2042"/>
        <v>171:1</v>
      </c>
      <c r="O2618" s="17">
        <f t="shared" si="2050"/>
        <v>1</v>
      </c>
      <c r="P2618" s="21" t="str">
        <f t="shared" si="2085"/>
        <v>所有魔物和野兽生命增加:1</v>
      </c>
      <c r="Q2618" s="21"/>
      <c r="R2618" t="str">
        <f t="shared" si="2090"/>
        <v>生命</v>
      </c>
      <c r="T2618" t="str">
        <f t="shared" si="2091"/>
        <v>:1</v>
      </c>
      <c r="U2618" t="str">
        <f t="shared" si="2035"/>
        <v>魔物</v>
      </c>
      <c r="V2618" t="s">
        <v>5025</v>
      </c>
      <c r="W2618">
        <f>属性类型!G2618</f>
        <v>171</v>
      </c>
      <c r="X2618">
        <v>1</v>
      </c>
    </row>
    <row r="2619" customFormat="1" ht="16.5" spans="1:24">
      <c r="A2619" s="17">
        <f t="shared" si="2086"/>
        <v>62015</v>
      </c>
      <c r="B2619" s="17">
        <f t="shared" si="2082"/>
        <v>62000</v>
      </c>
      <c r="C2619" s="17" t="str">
        <f t="shared" si="2092"/>
        <v>6</v>
      </c>
      <c r="D2619" s="17">
        <f t="shared" si="2083"/>
        <v>60003</v>
      </c>
      <c r="E2619" s="17">
        <v>1</v>
      </c>
      <c r="F2619" s="17">
        <f t="shared" si="2049"/>
        <v>3</v>
      </c>
      <c r="G2619" s="17" t="str">
        <f t="shared" si="2087"/>
        <v>高级生命</v>
      </c>
      <c r="H2619" s="17" t="str">
        <f t="shared" si="2088"/>
        <v>icon_01</v>
      </c>
      <c r="I2619" s="20">
        <v>0</v>
      </c>
      <c r="J2619" s="17">
        <v>15</v>
      </c>
      <c r="K2619" s="17">
        <v>0</v>
      </c>
      <c r="L2619" s="17" t="s">
        <v>540</v>
      </c>
      <c r="M2619" s="17" t="str">
        <f t="shared" si="2089"/>
        <v>2:10001:50</v>
      </c>
      <c r="N2619" s="16" t="str">
        <f t="shared" si="2042"/>
        <v>171:1</v>
      </c>
      <c r="O2619" s="17">
        <f t="shared" si="2050"/>
        <v>1</v>
      </c>
      <c r="P2619" s="21" t="str">
        <f t="shared" si="2085"/>
        <v>所有魔物和野兽生命增加:1</v>
      </c>
      <c r="Q2619" s="21"/>
      <c r="R2619" t="str">
        <f t="shared" si="2090"/>
        <v>生命</v>
      </c>
      <c r="T2619" t="str">
        <f t="shared" si="2091"/>
        <v>:1</v>
      </c>
      <c r="U2619" t="str">
        <f t="shared" si="2035"/>
        <v>魔物</v>
      </c>
      <c r="V2619" t="s">
        <v>5025</v>
      </c>
      <c r="W2619">
        <f>属性类型!G2619</f>
        <v>171</v>
      </c>
      <c r="X2619">
        <v>1</v>
      </c>
    </row>
    <row r="2620" customFormat="1" ht="16.5" spans="1:24">
      <c r="A2620" s="18">
        <f>A2604+100</f>
        <v>62100</v>
      </c>
      <c r="B2620" s="18">
        <f t="shared" si="2082"/>
        <v>62100</v>
      </c>
      <c r="C2620" s="18" t="str">
        <f t="shared" si="2092"/>
        <v>6</v>
      </c>
      <c r="D2620" s="17">
        <f t="shared" si="2083"/>
        <v>60003</v>
      </c>
      <c r="E2620" s="17">
        <v>1</v>
      </c>
      <c r="F2620" s="18">
        <f t="shared" si="2049"/>
        <v>3</v>
      </c>
      <c r="G2620" s="18" t="s">
        <v>543</v>
      </c>
      <c r="H2620" s="18" t="s">
        <v>63</v>
      </c>
      <c r="I2620" s="20">
        <v>0</v>
      </c>
      <c r="J2620" s="18">
        <v>0</v>
      </c>
      <c r="K2620" s="18">
        <f t="shared" ref="K2620:K2634" si="2093">A2621</f>
        <v>62101</v>
      </c>
      <c r="L2620" s="18" t="s">
        <v>206</v>
      </c>
      <c r="M2620" s="18" t="s">
        <v>545</v>
      </c>
      <c r="N2620" s="16" t="str">
        <f t="shared" si="2042"/>
        <v>173:1</v>
      </c>
      <c r="O2620" s="18">
        <f t="shared" si="2050"/>
        <v>2</v>
      </c>
      <c r="P2620" s="21" t="str">
        <f t="shared" si="2085"/>
        <v>所有魔物和野兽防御增加1</v>
      </c>
      <c r="Q2620" s="21"/>
      <c r="R2620" t="s">
        <v>4272</v>
      </c>
      <c r="T2620" t="str">
        <f>RIGHT(N2620,1)</f>
        <v>1</v>
      </c>
      <c r="U2620" t="str">
        <f t="shared" si="2035"/>
        <v>魔物</v>
      </c>
      <c r="V2620" t="s">
        <v>5026</v>
      </c>
      <c r="W2620">
        <f>属性类型!G2620</f>
        <v>173</v>
      </c>
      <c r="X2620">
        <v>1</v>
      </c>
    </row>
    <row r="2621" customFormat="1" ht="16.5" spans="1:24">
      <c r="A2621" s="17">
        <f t="shared" ref="A2621:A2635" si="2094">A2620+1</f>
        <v>62101</v>
      </c>
      <c r="B2621" s="17">
        <f t="shared" si="2082"/>
        <v>62100</v>
      </c>
      <c r="C2621" s="17" t="str">
        <f t="shared" si="2092"/>
        <v>6</v>
      </c>
      <c r="D2621" s="17">
        <f t="shared" si="2083"/>
        <v>60003</v>
      </c>
      <c r="E2621" s="17">
        <v>1</v>
      </c>
      <c r="F2621" s="17">
        <f t="shared" si="2049"/>
        <v>3</v>
      </c>
      <c r="G2621" s="17" t="str">
        <f t="shared" ref="G2621:G2635" si="2095">G2620</f>
        <v>高级防御</v>
      </c>
      <c r="H2621" s="17" t="str">
        <f t="shared" ref="H2621:H2635" si="2096">H2620</f>
        <v>icon_02</v>
      </c>
      <c r="I2621" s="20">
        <v>0</v>
      </c>
      <c r="J2621" s="17">
        <v>1</v>
      </c>
      <c r="K2621" s="17">
        <f t="shared" si="2093"/>
        <v>62102</v>
      </c>
      <c r="L2621" s="17" t="s">
        <v>211</v>
      </c>
      <c r="M2621" s="17" t="str">
        <f t="shared" ref="M2621:M2635" si="2097">M2620</f>
        <v>1:12000:5</v>
      </c>
      <c r="N2621" s="16" t="str">
        <f t="shared" si="2042"/>
        <v>173:1</v>
      </c>
      <c r="O2621" s="17">
        <f t="shared" si="2050"/>
        <v>2</v>
      </c>
      <c r="P2621" s="21" t="str">
        <f t="shared" si="2085"/>
        <v>所有魔物和野兽防御增加:1</v>
      </c>
      <c r="Q2621" s="21"/>
      <c r="R2621" t="str">
        <f t="shared" ref="R2621:R2635" si="2098">R2620</f>
        <v>防御</v>
      </c>
      <c r="T2621" t="str">
        <f t="shared" ref="T2621:T2635" si="2099">RIGHT(N2621,2)</f>
        <v>:1</v>
      </c>
      <c r="U2621" t="str">
        <f t="shared" si="2035"/>
        <v>魔物</v>
      </c>
      <c r="V2621" t="s">
        <v>5026</v>
      </c>
      <c r="W2621">
        <f>属性类型!G2621</f>
        <v>173</v>
      </c>
      <c r="X2621">
        <v>1</v>
      </c>
    </row>
    <row r="2622" customFormat="1" ht="16.5" spans="1:24">
      <c r="A2622" s="17">
        <f t="shared" si="2094"/>
        <v>62102</v>
      </c>
      <c r="B2622" s="17">
        <f t="shared" si="2082"/>
        <v>62100</v>
      </c>
      <c r="C2622" s="17" t="str">
        <f t="shared" si="2092"/>
        <v>6</v>
      </c>
      <c r="D2622" s="17">
        <f t="shared" si="2083"/>
        <v>60003</v>
      </c>
      <c r="E2622" s="17">
        <v>1</v>
      </c>
      <c r="F2622" s="17">
        <f t="shared" si="2049"/>
        <v>3</v>
      </c>
      <c r="G2622" s="17" t="str">
        <f t="shared" si="2095"/>
        <v>高级防御</v>
      </c>
      <c r="H2622" s="17" t="str">
        <f t="shared" si="2096"/>
        <v>icon_02</v>
      </c>
      <c r="I2622" s="20">
        <v>0</v>
      </c>
      <c r="J2622" s="17">
        <v>2</v>
      </c>
      <c r="K2622" s="17">
        <f t="shared" si="2093"/>
        <v>62103</v>
      </c>
      <c r="L2622" s="17" t="s">
        <v>215</v>
      </c>
      <c r="M2622" s="17" t="str">
        <f t="shared" si="2097"/>
        <v>1:12000:5</v>
      </c>
      <c r="N2622" s="16" t="str">
        <f t="shared" si="2042"/>
        <v>173:1</v>
      </c>
      <c r="O2622" s="17">
        <f t="shared" si="2050"/>
        <v>2</v>
      </c>
      <c r="P2622" s="21" t="str">
        <f t="shared" si="2085"/>
        <v>所有魔物和野兽防御增加:1</v>
      </c>
      <c r="Q2622" s="21"/>
      <c r="R2622" t="str">
        <f t="shared" si="2098"/>
        <v>防御</v>
      </c>
      <c r="T2622" t="str">
        <f t="shared" si="2099"/>
        <v>:1</v>
      </c>
      <c r="U2622" t="str">
        <f t="shared" si="2035"/>
        <v>魔物</v>
      </c>
      <c r="V2622" t="s">
        <v>5026</v>
      </c>
      <c r="W2622">
        <f>属性类型!G2622</f>
        <v>173</v>
      </c>
      <c r="X2622">
        <v>1</v>
      </c>
    </row>
    <row r="2623" customFormat="1" ht="16.5" spans="1:24">
      <c r="A2623" s="17">
        <f t="shared" si="2094"/>
        <v>62103</v>
      </c>
      <c r="B2623" s="17">
        <f t="shared" si="2082"/>
        <v>62100</v>
      </c>
      <c r="C2623" s="17" t="str">
        <f t="shared" si="2092"/>
        <v>6</v>
      </c>
      <c r="D2623" s="17">
        <f t="shared" si="2083"/>
        <v>60003</v>
      </c>
      <c r="E2623" s="17">
        <v>1</v>
      </c>
      <c r="F2623" s="17">
        <f t="shared" si="2049"/>
        <v>3</v>
      </c>
      <c r="G2623" s="17" t="str">
        <f t="shared" si="2095"/>
        <v>高级防御</v>
      </c>
      <c r="H2623" s="17" t="str">
        <f t="shared" si="2096"/>
        <v>icon_02</v>
      </c>
      <c r="I2623" s="20">
        <v>0</v>
      </c>
      <c r="J2623" s="17">
        <v>3</v>
      </c>
      <c r="K2623" s="17">
        <f t="shared" si="2093"/>
        <v>62104</v>
      </c>
      <c r="L2623" s="17" t="s">
        <v>218</v>
      </c>
      <c r="M2623" s="17" t="str">
        <f t="shared" si="2097"/>
        <v>1:12000:5</v>
      </c>
      <c r="N2623" s="16" t="str">
        <f t="shared" si="2042"/>
        <v>173:1</v>
      </c>
      <c r="O2623" s="17">
        <f t="shared" si="2050"/>
        <v>2</v>
      </c>
      <c r="P2623" s="21" t="str">
        <f t="shared" si="2085"/>
        <v>所有魔物和野兽防御增加:1</v>
      </c>
      <c r="Q2623" s="21"/>
      <c r="R2623" t="str">
        <f t="shared" si="2098"/>
        <v>防御</v>
      </c>
      <c r="T2623" t="str">
        <f t="shared" si="2099"/>
        <v>:1</v>
      </c>
      <c r="U2623" t="str">
        <f t="shared" si="2035"/>
        <v>魔物</v>
      </c>
      <c r="V2623" t="s">
        <v>5026</v>
      </c>
      <c r="W2623">
        <f>属性类型!G2623</f>
        <v>173</v>
      </c>
      <c r="X2623">
        <v>1</v>
      </c>
    </row>
    <row r="2624" customFormat="1" ht="16.5" spans="1:24">
      <c r="A2624" s="17">
        <f t="shared" si="2094"/>
        <v>62104</v>
      </c>
      <c r="B2624" s="17">
        <f t="shared" si="2082"/>
        <v>62100</v>
      </c>
      <c r="C2624" s="17" t="str">
        <f t="shared" si="2092"/>
        <v>6</v>
      </c>
      <c r="D2624" s="17">
        <f t="shared" si="2083"/>
        <v>60003</v>
      </c>
      <c r="E2624" s="17">
        <v>1</v>
      </c>
      <c r="F2624" s="17">
        <f t="shared" si="2049"/>
        <v>3</v>
      </c>
      <c r="G2624" s="17" t="str">
        <f t="shared" si="2095"/>
        <v>高级防御</v>
      </c>
      <c r="H2624" s="17" t="str">
        <f t="shared" si="2096"/>
        <v>icon_02</v>
      </c>
      <c r="I2624" s="20">
        <v>0</v>
      </c>
      <c r="J2624" s="17">
        <v>4</v>
      </c>
      <c r="K2624" s="17">
        <f t="shared" si="2093"/>
        <v>62105</v>
      </c>
      <c r="L2624" s="17" t="s">
        <v>221</v>
      </c>
      <c r="M2624" s="17" t="str">
        <f t="shared" si="2097"/>
        <v>1:12000:5</v>
      </c>
      <c r="N2624" s="16" t="str">
        <f t="shared" si="2042"/>
        <v>173:1</v>
      </c>
      <c r="O2624" s="17">
        <f t="shared" si="2050"/>
        <v>2</v>
      </c>
      <c r="P2624" s="21" t="str">
        <f t="shared" si="2085"/>
        <v>所有魔物和野兽防御增加:1</v>
      </c>
      <c r="Q2624" s="21"/>
      <c r="R2624" t="str">
        <f t="shared" si="2098"/>
        <v>防御</v>
      </c>
      <c r="T2624" t="str">
        <f t="shared" si="2099"/>
        <v>:1</v>
      </c>
      <c r="U2624" t="str">
        <f t="shared" si="2035"/>
        <v>魔物</v>
      </c>
      <c r="V2624" t="s">
        <v>5026</v>
      </c>
      <c r="W2624">
        <f>属性类型!G2624</f>
        <v>173</v>
      </c>
      <c r="X2624">
        <v>1</v>
      </c>
    </row>
    <row r="2625" customFormat="1" ht="16.5" spans="1:24">
      <c r="A2625" s="17">
        <f t="shared" si="2094"/>
        <v>62105</v>
      </c>
      <c r="B2625" s="17">
        <f t="shared" si="2082"/>
        <v>62100</v>
      </c>
      <c r="C2625" s="17" t="str">
        <f t="shared" si="2092"/>
        <v>6</v>
      </c>
      <c r="D2625" s="17">
        <f t="shared" si="2083"/>
        <v>60003</v>
      </c>
      <c r="E2625" s="17">
        <v>1</v>
      </c>
      <c r="F2625" s="17">
        <f t="shared" si="2049"/>
        <v>3</v>
      </c>
      <c r="G2625" s="17" t="str">
        <f t="shared" si="2095"/>
        <v>高级防御</v>
      </c>
      <c r="H2625" s="17" t="str">
        <f t="shared" si="2096"/>
        <v>icon_02</v>
      </c>
      <c r="I2625" s="20">
        <v>0</v>
      </c>
      <c r="J2625" s="17">
        <v>5</v>
      </c>
      <c r="K2625" s="17">
        <f t="shared" si="2093"/>
        <v>62106</v>
      </c>
      <c r="L2625" s="17" t="s">
        <v>224</v>
      </c>
      <c r="M2625" s="17" t="str">
        <f t="shared" si="2097"/>
        <v>1:12000:5</v>
      </c>
      <c r="N2625" s="16" t="str">
        <f t="shared" si="2042"/>
        <v>173:1</v>
      </c>
      <c r="O2625" s="17">
        <f t="shared" si="2050"/>
        <v>2</v>
      </c>
      <c r="P2625" s="21" t="str">
        <f t="shared" si="2085"/>
        <v>所有魔物和野兽防御增加:1</v>
      </c>
      <c r="Q2625" s="21"/>
      <c r="R2625" t="str">
        <f t="shared" si="2098"/>
        <v>防御</v>
      </c>
      <c r="T2625" t="str">
        <f t="shared" si="2099"/>
        <v>:1</v>
      </c>
      <c r="U2625" t="str">
        <f t="shared" si="2035"/>
        <v>魔物</v>
      </c>
      <c r="V2625" t="s">
        <v>5026</v>
      </c>
      <c r="W2625">
        <f>属性类型!G2625</f>
        <v>173</v>
      </c>
      <c r="X2625">
        <v>1</v>
      </c>
    </row>
    <row r="2626" customFormat="1" ht="16.5" spans="1:24">
      <c r="A2626" s="17">
        <f t="shared" si="2094"/>
        <v>62106</v>
      </c>
      <c r="B2626" s="17">
        <f t="shared" si="2082"/>
        <v>62100</v>
      </c>
      <c r="C2626" s="17" t="str">
        <f t="shared" si="2092"/>
        <v>6</v>
      </c>
      <c r="D2626" s="17">
        <f t="shared" si="2083"/>
        <v>60003</v>
      </c>
      <c r="E2626" s="17">
        <v>1</v>
      </c>
      <c r="F2626" s="17">
        <f t="shared" si="2049"/>
        <v>3</v>
      </c>
      <c r="G2626" s="17" t="str">
        <f t="shared" si="2095"/>
        <v>高级防御</v>
      </c>
      <c r="H2626" s="17" t="str">
        <f t="shared" si="2096"/>
        <v>icon_02</v>
      </c>
      <c r="I2626" s="20">
        <v>0</v>
      </c>
      <c r="J2626" s="17">
        <v>6</v>
      </c>
      <c r="K2626" s="17">
        <f t="shared" si="2093"/>
        <v>62107</v>
      </c>
      <c r="L2626" s="17" t="s">
        <v>227</v>
      </c>
      <c r="M2626" s="17" t="str">
        <f t="shared" si="2097"/>
        <v>1:12000:5</v>
      </c>
      <c r="N2626" s="16" t="str">
        <f t="shared" si="2042"/>
        <v>173:1</v>
      </c>
      <c r="O2626" s="17">
        <f t="shared" si="2050"/>
        <v>2</v>
      </c>
      <c r="P2626" s="21" t="str">
        <f t="shared" si="2085"/>
        <v>所有魔物和野兽防御增加:1</v>
      </c>
      <c r="Q2626" s="21"/>
      <c r="R2626" t="str">
        <f t="shared" si="2098"/>
        <v>防御</v>
      </c>
      <c r="T2626" t="str">
        <f t="shared" si="2099"/>
        <v>:1</v>
      </c>
      <c r="U2626" t="str">
        <f t="shared" si="2035"/>
        <v>魔物</v>
      </c>
      <c r="V2626" t="s">
        <v>5026</v>
      </c>
      <c r="W2626">
        <f>属性类型!G2626</f>
        <v>173</v>
      </c>
      <c r="X2626">
        <v>1</v>
      </c>
    </row>
    <row r="2627" customFormat="1" ht="16.5" spans="1:24">
      <c r="A2627" s="17">
        <f t="shared" si="2094"/>
        <v>62107</v>
      </c>
      <c r="B2627" s="17">
        <f t="shared" si="2082"/>
        <v>62100</v>
      </c>
      <c r="C2627" s="17" t="str">
        <f t="shared" si="2092"/>
        <v>6</v>
      </c>
      <c r="D2627" s="17">
        <f t="shared" si="2083"/>
        <v>60003</v>
      </c>
      <c r="E2627" s="17">
        <v>1</v>
      </c>
      <c r="F2627" s="17">
        <f t="shared" si="2049"/>
        <v>3</v>
      </c>
      <c r="G2627" s="17" t="str">
        <f t="shared" si="2095"/>
        <v>高级防御</v>
      </c>
      <c r="H2627" s="17" t="str">
        <f t="shared" si="2096"/>
        <v>icon_02</v>
      </c>
      <c r="I2627" s="20">
        <v>0</v>
      </c>
      <c r="J2627" s="17">
        <v>7</v>
      </c>
      <c r="K2627" s="17">
        <f t="shared" si="2093"/>
        <v>62108</v>
      </c>
      <c r="L2627" s="17" t="s">
        <v>230</v>
      </c>
      <c r="M2627" s="17" t="str">
        <f t="shared" si="2097"/>
        <v>1:12000:5</v>
      </c>
      <c r="N2627" s="16" t="str">
        <f t="shared" si="2042"/>
        <v>173:1</v>
      </c>
      <c r="O2627" s="17">
        <f t="shared" si="2050"/>
        <v>2</v>
      </c>
      <c r="P2627" s="21" t="str">
        <f t="shared" si="2085"/>
        <v>所有魔物和野兽防御增加:1</v>
      </c>
      <c r="Q2627" s="21"/>
      <c r="R2627" t="str">
        <f t="shared" si="2098"/>
        <v>防御</v>
      </c>
      <c r="T2627" t="str">
        <f t="shared" si="2099"/>
        <v>:1</v>
      </c>
      <c r="U2627" t="str">
        <f t="shared" si="2035"/>
        <v>魔物</v>
      </c>
      <c r="V2627" t="s">
        <v>5026</v>
      </c>
      <c r="W2627">
        <f>属性类型!G2627</f>
        <v>173</v>
      </c>
      <c r="X2627">
        <v>1</v>
      </c>
    </row>
    <row r="2628" customFormat="1" ht="16.5" spans="1:24">
      <c r="A2628" s="17">
        <f t="shared" si="2094"/>
        <v>62108</v>
      </c>
      <c r="B2628" s="17">
        <f t="shared" si="2082"/>
        <v>62100</v>
      </c>
      <c r="C2628" s="17" t="str">
        <f t="shared" si="2092"/>
        <v>6</v>
      </c>
      <c r="D2628" s="17">
        <f t="shared" si="2083"/>
        <v>60003</v>
      </c>
      <c r="E2628" s="17">
        <v>1</v>
      </c>
      <c r="F2628" s="17">
        <f t="shared" si="2049"/>
        <v>3</v>
      </c>
      <c r="G2628" s="17" t="str">
        <f t="shared" si="2095"/>
        <v>高级防御</v>
      </c>
      <c r="H2628" s="17" t="str">
        <f t="shared" si="2096"/>
        <v>icon_02</v>
      </c>
      <c r="I2628" s="20">
        <v>0</v>
      </c>
      <c r="J2628" s="17">
        <v>8</v>
      </c>
      <c r="K2628" s="17">
        <f t="shared" si="2093"/>
        <v>62109</v>
      </c>
      <c r="L2628" s="17" t="s">
        <v>233</v>
      </c>
      <c r="M2628" s="17" t="str">
        <f t="shared" si="2097"/>
        <v>1:12000:5</v>
      </c>
      <c r="N2628" s="16" t="str">
        <f t="shared" si="2042"/>
        <v>173:1</v>
      </c>
      <c r="O2628" s="17">
        <f t="shared" si="2050"/>
        <v>2</v>
      </c>
      <c r="P2628" s="21" t="str">
        <f t="shared" si="2085"/>
        <v>所有魔物和野兽防御增加:1</v>
      </c>
      <c r="Q2628" s="21"/>
      <c r="R2628" t="str">
        <f t="shared" si="2098"/>
        <v>防御</v>
      </c>
      <c r="T2628" t="str">
        <f t="shared" si="2099"/>
        <v>:1</v>
      </c>
      <c r="U2628" t="str">
        <f t="shared" si="2035"/>
        <v>魔物</v>
      </c>
      <c r="V2628" t="s">
        <v>5026</v>
      </c>
      <c r="W2628">
        <f>属性类型!G2628</f>
        <v>173</v>
      </c>
      <c r="X2628">
        <v>1</v>
      </c>
    </row>
    <row r="2629" customFormat="1" ht="16.5" spans="1:24">
      <c r="A2629" s="17">
        <f t="shared" si="2094"/>
        <v>62109</v>
      </c>
      <c r="B2629" s="17">
        <f t="shared" si="2082"/>
        <v>62100</v>
      </c>
      <c r="C2629" s="17" t="str">
        <f t="shared" si="2092"/>
        <v>6</v>
      </c>
      <c r="D2629" s="17">
        <f t="shared" si="2083"/>
        <v>60003</v>
      </c>
      <c r="E2629" s="17">
        <v>1</v>
      </c>
      <c r="F2629" s="17">
        <f t="shared" si="2049"/>
        <v>3</v>
      </c>
      <c r="G2629" s="17" t="str">
        <f t="shared" si="2095"/>
        <v>高级防御</v>
      </c>
      <c r="H2629" s="17" t="str">
        <f t="shared" si="2096"/>
        <v>icon_02</v>
      </c>
      <c r="I2629" s="20">
        <v>0</v>
      </c>
      <c r="J2629" s="17">
        <v>9</v>
      </c>
      <c r="K2629" s="17">
        <f t="shared" si="2093"/>
        <v>62110</v>
      </c>
      <c r="L2629" s="17" t="s">
        <v>236</v>
      </c>
      <c r="M2629" s="17" t="str">
        <f t="shared" si="2097"/>
        <v>1:12000:5</v>
      </c>
      <c r="N2629" s="16" t="str">
        <f t="shared" si="2042"/>
        <v>173:1</v>
      </c>
      <c r="O2629" s="17">
        <f t="shared" si="2050"/>
        <v>2</v>
      </c>
      <c r="P2629" s="21" t="str">
        <f t="shared" si="2085"/>
        <v>所有魔物和野兽防御增加:1</v>
      </c>
      <c r="Q2629" s="21"/>
      <c r="R2629" t="str">
        <f t="shared" si="2098"/>
        <v>防御</v>
      </c>
      <c r="T2629" t="str">
        <f t="shared" si="2099"/>
        <v>:1</v>
      </c>
      <c r="U2629" t="str">
        <f t="shared" ref="U2629:U2692" si="2100">MID(P2629,3,2)</f>
        <v>魔物</v>
      </c>
      <c r="V2629" t="s">
        <v>5026</v>
      </c>
      <c r="W2629">
        <f>属性类型!G2629</f>
        <v>173</v>
      </c>
      <c r="X2629">
        <v>1</v>
      </c>
    </row>
    <row r="2630" customFormat="1" ht="16.5" spans="1:24">
      <c r="A2630" s="17">
        <f t="shared" si="2094"/>
        <v>62110</v>
      </c>
      <c r="B2630" s="17">
        <f t="shared" si="2082"/>
        <v>62100</v>
      </c>
      <c r="C2630" s="17" t="str">
        <f t="shared" si="2092"/>
        <v>6</v>
      </c>
      <c r="D2630" s="17">
        <f t="shared" si="2083"/>
        <v>60003</v>
      </c>
      <c r="E2630" s="17">
        <v>1</v>
      </c>
      <c r="F2630" s="17">
        <f t="shared" si="2049"/>
        <v>3</v>
      </c>
      <c r="G2630" s="17" t="str">
        <f t="shared" si="2095"/>
        <v>高级防御</v>
      </c>
      <c r="H2630" s="17" t="str">
        <f t="shared" si="2096"/>
        <v>icon_02</v>
      </c>
      <c r="I2630" s="20">
        <v>0</v>
      </c>
      <c r="J2630" s="17">
        <v>10</v>
      </c>
      <c r="K2630" s="17">
        <f t="shared" si="2093"/>
        <v>62111</v>
      </c>
      <c r="L2630" s="17" t="s">
        <v>238</v>
      </c>
      <c r="M2630" s="17" t="str">
        <f t="shared" si="2097"/>
        <v>1:12000:5</v>
      </c>
      <c r="N2630" s="16" t="str">
        <f t="shared" si="2042"/>
        <v>173:1</v>
      </c>
      <c r="O2630" s="17">
        <f t="shared" si="2050"/>
        <v>2</v>
      </c>
      <c r="P2630" s="21" t="str">
        <f t="shared" si="2085"/>
        <v>所有魔物和野兽防御增加:1</v>
      </c>
      <c r="Q2630" s="21"/>
      <c r="R2630" t="str">
        <f t="shared" si="2098"/>
        <v>防御</v>
      </c>
      <c r="T2630" t="str">
        <f t="shared" si="2099"/>
        <v>:1</v>
      </c>
      <c r="U2630" t="str">
        <f t="shared" si="2100"/>
        <v>魔物</v>
      </c>
      <c r="V2630" t="s">
        <v>5026</v>
      </c>
      <c r="W2630">
        <f>属性类型!G2630</f>
        <v>173</v>
      </c>
      <c r="X2630">
        <v>1</v>
      </c>
    </row>
    <row r="2631" customFormat="1" ht="16.5" spans="1:24">
      <c r="A2631" s="17">
        <f t="shared" si="2094"/>
        <v>62111</v>
      </c>
      <c r="B2631" s="17">
        <f t="shared" si="2082"/>
        <v>62100</v>
      </c>
      <c r="C2631" s="17" t="str">
        <f t="shared" si="2092"/>
        <v>6</v>
      </c>
      <c r="D2631" s="17">
        <f t="shared" si="2083"/>
        <v>60003</v>
      </c>
      <c r="E2631" s="17">
        <v>1</v>
      </c>
      <c r="F2631" s="17">
        <f t="shared" si="2049"/>
        <v>3</v>
      </c>
      <c r="G2631" s="17" t="str">
        <f t="shared" si="2095"/>
        <v>高级防御</v>
      </c>
      <c r="H2631" s="17" t="str">
        <f t="shared" si="2096"/>
        <v>icon_02</v>
      </c>
      <c r="I2631" s="20">
        <v>0</v>
      </c>
      <c r="J2631" s="17">
        <v>11</v>
      </c>
      <c r="K2631" s="17">
        <f t="shared" si="2093"/>
        <v>62112</v>
      </c>
      <c r="L2631" s="17" t="s">
        <v>529</v>
      </c>
      <c r="M2631" s="17" t="str">
        <f t="shared" si="2097"/>
        <v>1:12000:5</v>
      </c>
      <c r="N2631" s="16" t="str">
        <f t="shared" si="2042"/>
        <v>173:1</v>
      </c>
      <c r="O2631" s="17">
        <f t="shared" si="2050"/>
        <v>2</v>
      </c>
      <c r="P2631" s="21" t="str">
        <f t="shared" si="2085"/>
        <v>所有魔物和野兽防御增加:1</v>
      </c>
      <c r="Q2631" s="21"/>
      <c r="R2631" t="str">
        <f t="shared" si="2098"/>
        <v>防御</v>
      </c>
      <c r="T2631" t="str">
        <f t="shared" si="2099"/>
        <v>:1</v>
      </c>
      <c r="U2631" t="str">
        <f t="shared" si="2100"/>
        <v>魔物</v>
      </c>
      <c r="V2631" t="s">
        <v>5026</v>
      </c>
      <c r="W2631">
        <f>属性类型!G2631</f>
        <v>173</v>
      </c>
      <c r="X2631">
        <v>1</v>
      </c>
    </row>
    <row r="2632" customFormat="1" ht="16.5" spans="1:24">
      <c r="A2632" s="17">
        <f t="shared" si="2094"/>
        <v>62112</v>
      </c>
      <c r="B2632" s="17">
        <f t="shared" si="2082"/>
        <v>62100</v>
      </c>
      <c r="C2632" s="17" t="str">
        <f t="shared" si="2092"/>
        <v>6</v>
      </c>
      <c r="D2632" s="17">
        <f t="shared" ref="D2632:D2695" si="2101">$A$2329+F2632</f>
        <v>60003</v>
      </c>
      <c r="E2632" s="17">
        <v>1</v>
      </c>
      <c r="F2632" s="17">
        <f t="shared" si="2049"/>
        <v>3</v>
      </c>
      <c r="G2632" s="17" t="str">
        <f t="shared" si="2095"/>
        <v>高级防御</v>
      </c>
      <c r="H2632" s="17" t="str">
        <f t="shared" si="2096"/>
        <v>icon_02</v>
      </c>
      <c r="I2632" s="20">
        <v>0</v>
      </c>
      <c r="J2632" s="17">
        <v>12</v>
      </c>
      <c r="K2632" s="17">
        <f t="shared" si="2093"/>
        <v>62113</v>
      </c>
      <c r="L2632" s="17" t="s">
        <v>532</v>
      </c>
      <c r="M2632" s="17" t="str">
        <f t="shared" si="2097"/>
        <v>1:12000:5</v>
      </c>
      <c r="N2632" s="16" t="str">
        <f t="shared" si="2042"/>
        <v>173:1</v>
      </c>
      <c r="O2632" s="17">
        <f t="shared" si="2050"/>
        <v>2</v>
      </c>
      <c r="P2632" s="21" t="str">
        <f t="shared" si="2085"/>
        <v>所有魔物和野兽防御增加:1</v>
      </c>
      <c r="Q2632" s="21"/>
      <c r="R2632" t="str">
        <f t="shared" si="2098"/>
        <v>防御</v>
      </c>
      <c r="T2632" t="str">
        <f t="shared" si="2099"/>
        <v>:1</v>
      </c>
      <c r="U2632" t="str">
        <f t="shared" si="2100"/>
        <v>魔物</v>
      </c>
      <c r="V2632" t="s">
        <v>5026</v>
      </c>
      <c r="W2632">
        <f>属性类型!G2632</f>
        <v>173</v>
      </c>
      <c r="X2632">
        <v>1</v>
      </c>
    </row>
    <row r="2633" customFormat="1" ht="16.5" spans="1:24">
      <c r="A2633" s="17">
        <f t="shared" si="2094"/>
        <v>62113</v>
      </c>
      <c r="B2633" s="17">
        <f t="shared" si="2082"/>
        <v>62100</v>
      </c>
      <c r="C2633" s="17" t="str">
        <f t="shared" si="2092"/>
        <v>6</v>
      </c>
      <c r="D2633" s="17">
        <f t="shared" si="2101"/>
        <v>60003</v>
      </c>
      <c r="E2633" s="17">
        <v>1</v>
      </c>
      <c r="F2633" s="17">
        <f t="shared" si="2049"/>
        <v>3</v>
      </c>
      <c r="G2633" s="17" t="str">
        <f t="shared" si="2095"/>
        <v>高级防御</v>
      </c>
      <c r="H2633" s="17" t="str">
        <f t="shared" si="2096"/>
        <v>icon_02</v>
      </c>
      <c r="I2633" s="20">
        <v>0</v>
      </c>
      <c r="J2633" s="17">
        <v>13</v>
      </c>
      <c r="K2633" s="17">
        <f t="shared" si="2093"/>
        <v>62114</v>
      </c>
      <c r="L2633" s="17" t="s">
        <v>561</v>
      </c>
      <c r="M2633" s="17" t="str">
        <f t="shared" si="2097"/>
        <v>1:12000:5</v>
      </c>
      <c r="N2633" s="16" t="str">
        <f t="shared" si="2042"/>
        <v>173:1</v>
      </c>
      <c r="O2633" s="17">
        <f t="shared" si="2050"/>
        <v>2</v>
      </c>
      <c r="P2633" s="21" t="str">
        <f t="shared" si="2085"/>
        <v>所有魔物和野兽防御增加:1</v>
      </c>
      <c r="Q2633" s="21"/>
      <c r="R2633" t="str">
        <f t="shared" si="2098"/>
        <v>防御</v>
      </c>
      <c r="T2633" t="str">
        <f t="shared" si="2099"/>
        <v>:1</v>
      </c>
      <c r="U2633" t="str">
        <f t="shared" si="2100"/>
        <v>魔物</v>
      </c>
      <c r="V2633" t="s">
        <v>5026</v>
      </c>
      <c r="W2633">
        <f>属性类型!G2633</f>
        <v>173</v>
      </c>
      <c r="X2633">
        <v>1</v>
      </c>
    </row>
    <row r="2634" customFormat="1" ht="16.5" spans="1:24">
      <c r="A2634" s="17">
        <f t="shared" si="2094"/>
        <v>62114</v>
      </c>
      <c r="B2634" s="17">
        <f t="shared" si="2082"/>
        <v>62100</v>
      </c>
      <c r="C2634" s="17" t="str">
        <f t="shared" si="2092"/>
        <v>6</v>
      </c>
      <c r="D2634" s="17">
        <f t="shared" si="2101"/>
        <v>60003</v>
      </c>
      <c r="E2634" s="17">
        <v>1</v>
      </c>
      <c r="F2634" s="17">
        <f t="shared" si="2049"/>
        <v>3</v>
      </c>
      <c r="G2634" s="17" t="str">
        <f t="shared" si="2095"/>
        <v>高级防御</v>
      </c>
      <c r="H2634" s="17" t="str">
        <f t="shared" si="2096"/>
        <v>icon_02</v>
      </c>
      <c r="I2634" s="20">
        <v>0</v>
      </c>
      <c r="J2634" s="17">
        <v>14</v>
      </c>
      <c r="K2634" s="17">
        <f t="shared" si="2093"/>
        <v>62115</v>
      </c>
      <c r="L2634" s="17" t="s">
        <v>564</v>
      </c>
      <c r="M2634" s="17" t="str">
        <f t="shared" si="2097"/>
        <v>1:12000:5</v>
      </c>
      <c r="N2634" s="16" t="str">
        <f t="shared" si="2042"/>
        <v>173:1</v>
      </c>
      <c r="O2634" s="17">
        <f t="shared" si="2050"/>
        <v>2</v>
      </c>
      <c r="P2634" s="21" t="str">
        <f t="shared" si="2085"/>
        <v>所有魔物和野兽防御增加:1</v>
      </c>
      <c r="Q2634" s="21"/>
      <c r="R2634" t="str">
        <f t="shared" si="2098"/>
        <v>防御</v>
      </c>
      <c r="T2634" t="str">
        <f t="shared" si="2099"/>
        <v>:1</v>
      </c>
      <c r="U2634" t="str">
        <f t="shared" si="2100"/>
        <v>魔物</v>
      </c>
      <c r="V2634" t="s">
        <v>5026</v>
      </c>
      <c r="W2634">
        <f>属性类型!G2634</f>
        <v>173</v>
      </c>
      <c r="X2634">
        <v>1</v>
      </c>
    </row>
    <row r="2635" customFormat="1" ht="16.5" spans="1:24">
      <c r="A2635" s="17">
        <f t="shared" si="2094"/>
        <v>62115</v>
      </c>
      <c r="B2635" s="17">
        <f t="shared" si="2082"/>
        <v>62100</v>
      </c>
      <c r="C2635" s="17" t="str">
        <f t="shared" si="2092"/>
        <v>6</v>
      </c>
      <c r="D2635" s="17">
        <f t="shared" si="2101"/>
        <v>60003</v>
      </c>
      <c r="E2635" s="17">
        <v>1</v>
      </c>
      <c r="F2635" s="17">
        <f t="shared" si="2049"/>
        <v>3</v>
      </c>
      <c r="G2635" s="17" t="str">
        <f t="shared" si="2095"/>
        <v>高级防御</v>
      </c>
      <c r="H2635" s="17" t="str">
        <f t="shared" si="2096"/>
        <v>icon_02</v>
      </c>
      <c r="I2635" s="20">
        <v>0</v>
      </c>
      <c r="J2635" s="17">
        <v>15</v>
      </c>
      <c r="K2635" s="17">
        <v>0</v>
      </c>
      <c r="L2635" s="17">
        <v>0</v>
      </c>
      <c r="M2635" s="17" t="str">
        <f t="shared" si="2097"/>
        <v>1:12000:5</v>
      </c>
      <c r="N2635" s="16" t="str">
        <f t="shared" ref="N2635:N2698" si="2102">W2635&amp;$W$2&amp;X2635</f>
        <v>173:1</v>
      </c>
      <c r="O2635" s="17">
        <f t="shared" si="2050"/>
        <v>2</v>
      </c>
      <c r="P2635" s="21" t="str">
        <f t="shared" si="2085"/>
        <v>所有魔物和野兽防御增加:1</v>
      </c>
      <c r="Q2635" s="21"/>
      <c r="R2635" t="str">
        <f t="shared" si="2098"/>
        <v>防御</v>
      </c>
      <c r="T2635" t="str">
        <f t="shared" si="2099"/>
        <v>:1</v>
      </c>
      <c r="U2635" t="str">
        <f t="shared" si="2100"/>
        <v>魔物</v>
      </c>
      <c r="V2635" t="s">
        <v>5026</v>
      </c>
      <c r="W2635">
        <f>属性类型!G2635</f>
        <v>173</v>
      </c>
      <c r="X2635">
        <v>1</v>
      </c>
    </row>
    <row r="2636" customFormat="1" ht="16.5" spans="1:24">
      <c r="A2636" s="18">
        <f>A2620+100</f>
        <v>62200</v>
      </c>
      <c r="B2636" s="18">
        <f t="shared" si="2082"/>
        <v>62200</v>
      </c>
      <c r="C2636" s="18" t="str">
        <f t="shared" si="2092"/>
        <v>6</v>
      </c>
      <c r="D2636" s="17">
        <f t="shared" si="2101"/>
        <v>60003</v>
      </c>
      <c r="E2636" s="17">
        <v>1</v>
      </c>
      <c r="F2636" s="18">
        <f t="shared" si="2049"/>
        <v>3</v>
      </c>
      <c r="G2636" s="18" t="s">
        <v>568</v>
      </c>
      <c r="H2636" s="18" t="s">
        <v>80</v>
      </c>
      <c r="I2636" s="20">
        <v>0</v>
      </c>
      <c r="J2636" s="18">
        <v>0</v>
      </c>
      <c r="K2636" s="18">
        <f t="shared" ref="K2636:K2650" si="2103">A2637</f>
        <v>62201</v>
      </c>
      <c r="L2636" s="18" t="s">
        <v>206</v>
      </c>
      <c r="M2636" s="18" t="s">
        <v>545</v>
      </c>
      <c r="N2636" s="16" t="str">
        <f t="shared" si="2102"/>
        <v>172:1</v>
      </c>
      <c r="O2636" s="18">
        <f t="shared" si="2050"/>
        <v>3</v>
      </c>
      <c r="P2636" s="21" t="str">
        <f t="shared" si="2085"/>
        <v>所有魔物和野兽攻击增加1</v>
      </c>
      <c r="Q2636" s="21"/>
      <c r="R2636" t="s">
        <v>4274</v>
      </c>
      <c r="T2636" t="str">
        <f>RIGHT(N2636,1)</f>
        <v>1</v>
      </c>
      <c r="U2636" t="str">
        <f t="shared" si="2100"/>
        <v>魔物</v>
      </c>
      <c r="V2636" t="s">
        <v>5027</v>
      </c>
      <c r="W2636">
        <f>属性类型!G2636</f>
        <v>172</v>
      </c>
      <c r="X2636">
        <v>1</v>
      </c>
    </row>
    <row r="2637" customFormat="1" ht="16.5" spans="1:24">
      <c r="A2637" s="17">
        <f t="shared" ref="A2637:A2651" si="2104">A2636+1</f>
        <v>62201</v>
      </c>
      <c r="B2637" s="17">
        <f t="shared" si="2082"/>
        <v>62200</v>
      </c>
      <c r="C2637" s="17" t="str">
        <f t="shared" si="2092"/>
        <v>6</v>
      </c>
      <c r="D2637" s="17">
        <f t="shared" si="2101"/>
        <v>60003</v>
      </c>
      <c r="E2637" s="17">
        <v>1</v>
      </c>
      <c r="F2637" s="17">
        <f t="shared" si="2049"/>
        <v>3</v>
      </c>
      <c r="G2637" s="17" t="str">
        <f t="shared" ref="G2637:G2651" si="2105">G2636</f>
        <v>高级攻击</v>
      </c>
      <c r="H2637" s="17" t="str">
        <f t="shared" ref="H2637:H2651" si="2106">H2636</f>
        <v>icon_03</v>
      </c>
      <c r="I2637" s="20">
        <v>0</v>
      </c>
      <c r="J2637" s="17">
        <v>1</v>
      </c>
      <c r="K2637" s="17">
        <f t="shared" si="2103"/>
        <v>62202</v>
      </c>
      <c r="L2637" s="17" t="s">
        <v>211</v>
      </c>
      <c r="M2637" s="17" t="str">
        <f t="shared" ref="M2637:M2651" si="2107">M2636</f>
        <v>1:12000:5</v>
      </c>
      <c r="N2637" s="16" t="str">
        <f t="shared" si="2102"/>
        <v>172:1</v>
      </c>
      <c r="O2637" s="17">
        <f t="shared" si="2050"/>
        <v>3</v>
      </c>
      <c r="P2637" s="21" t="str">
        <f t="shared" si="2085"/>
        <v>所有魔物和野兽攻击增加:1</v>
      </c>
      <c r="Q2637" s="21"/>
      <c r="R2637" t="str">
        <f t="shared" ref="R2637:R2651" si="2108">R2636</f>
        <v>攻击</v>
      </c>
      <c r="T2637" t="str">
        <f t="shared" ref="T2637:T2651" si="2109">RIGHT(N2637,2)</f>
        <v>:1</v>
      </c>
      <c r="U2637" t="str">
        <f t="shared" si="2100"/>
        <v>魔物</v>
      </c>
      <c r="V2637" t="s">
        <v>5027</v>
      </c>
      <c r="W2637">
        <f>属性类型!G2637</f>
        <v>172</v>
      </c>
      <c r="X2637">
        <v>1</v>
      </c>
    </row>
    <row r="2638" customFormat="1" ht="16.5" spans="1:24">
      <c r="A2638" s="17">
        <f t="shared" si="2104"/>
        <v>62202</v>
      </c>
      <c r="B2638" s="17">
        <f t="shared" si="2082"/>
        <v>62200</v>
      </c>
      <c r="C2638" s="17" t="str">
        <f t="shared" si="2092"/>
        <v>6</v>
      </c>
      <c r="D2638" s="17">
        <f t="shared" si="2101"/>
        <v>60003</v>
      </c>
      <c r="E2638" s="17">
        <v>1</v>
      </c>
      <c r="F2638" s="17">
        <f t="shared" si="2049"/>
        <v>3</v>
      </c>
      <c r="G2638" s="17" t="str">
        <f t="shared" si="2105"/>
        <v>高级攻击</v>
      </c>
      <c r="H2638" s="17" t="str">
        <f t="shared" si="2106"/>
        <v>icon_03</v>
      </c>
      <c r="I2638" s="20">
        <v>0</v>
      </c>
      <c r="J2638" s="17">
        <v>2</v>
      </c>
      <c r="K2638" s="17">
        <f t="shared" si="2103"/>
        <v>62203</v>
      </c>
      <c r="L2638" s="17" t="s">
        <v>215</v>
      </c>
      <c r="M2638" s="17" t="str">
        <f t="shared" si="2107"/>
        <v>1:12000:5</v>
      </c>
      <c r="N2638" s="16" t="str">
        <f t="shared" si="2102"/>
        <v>172:1</v>
      </c>
      <c r="O2638" s="17">
        <f t="shared" si="2050"/>
        <v>3</v>
      </c>
      <c r="P2638" s="21" t="str">
        <f t="shared" si="2085"/>
        <v>所有魔物和野兽攻击增加:1</v>
      </c>
      <c r="Q2638" s="21"/>
      <c r="R2638" t="str">
        <f t="shared" si="2108"/>
        <v>攻击</v>
      </c>
      <c r="T2638" t="str">
        <f t="shared" si="2109"/>
        <v>:1</v>
      </c>
      <c r="U2638" t="str">
        <f t="shared" si="2100"/>
        <v>魔物</v>
      </c>
      <c r="V2638" t="s">
        <v>5027</v>
      </c>
      <c r="W2638">
        <f>属性类型!G2638</f>
        <v>172</v>
      </c>
      <c r="X2638">
        <v>1</v>
      </c>
    </row>
    <row r="2639" customFormat="1" ht="16.5" spans="1:24">
      <c r="A2639" s="17">
        <f t="shared" si="2104"/>
        <v>62203</v>
      </c>
      <c r="B2639" s="17">
        <f t="shared" si="2082"/>
        <v>62200</v>
      </c>
      <c r="C2639" s="17" t="str">
        <f t="shared" si="2092"/>
        <v>6</v>
      </c>
      <c r="D2639" s="17">
        <f t="shared" si="2101"/>
        <v>60003</v>
      </c>
      <c r="E2639" s="17">
        <v>1</v>
      </c>
      <c r="F2639" s="17">
        <f t="shared" si="2049"/>
        <v>3</v>
      </c>
      <c r="G2639" s="17" t="str">
        <f t="shared" si="2105"/>
        <v>高级攻击</v>
      </c>
      <c r="H2639" s="17" t="str">
        <f t="shared" si="2106"/>
        <v>icon_03</v>
      </c>
      <c r="I2639" s="20">
        <v>0</v>
      </c>
      <c r="J2639" s="17">
        <v>3</v>
      </c>
      <c r="K2639" s="17">
        <f t="shared" si="2103"/>
        <v>62204</v>
      </c>
      <c r="L2639" s="17" t="s">
        <v>218</v>
      </c>
      <c r="M2639" s="17" t="str">
        <f t="shared" si="2107"/>
        <v>1:12000:5</v>
      </c>
      <c r="N2639" s="16" t="str">
        <f t="shared" si="2102"/>
        <v>172:1</v>
      </c>
      <c r="O2639" s="17">
        <f t="shared" si="2050"/>
        <v>3</v>
      </c>
      <c r="P2639" s="21" t="str">
        <f t="shared" si="2085"/>
        <v>所有魔物和野兽攻击增加:1</v>
      </c>
      <c r="Q2639" s="21"/>
      <c r="R2639" t="str">
        <f t="shared" si="2108"/>
        <v>攻击</v>
      </c>
      <c r="T2639" t="str">
        <f t="shared" si="2109"/>
        <v>:1</v>
      </c>
      <c r="U2639" t="str">
        <f t="shared" si="2100"/>
        <v>魔物</v>
      </c>
      <c r="V2639" t="s">
        <v>5027</v>
      </c>
      <c r="W2639">
        <f>属性类型!G2639</f>
        <v>172</v>
      </c>
      <c r="X2639">
        <v>1</v>
      </c>
    </row>
    <row r="2640" customFormat="1" ht="16.5" spans="1:24">
      <c r="A2640" s="17">
        <f t="shared" si="2104"/>
        <v>62204</v>
      </c>
      <c r="B2640" s="17">
        <f t="shared" si="2082"/>
        <v>62200</v>
      </c>
      <c r="C2640" s="17" t="str">
        <f t="shared" si="2092"/>
        <v>6</v>
      </c>
      <c r="D2640" s="17">
        <f t="shared" si="2101"/>
        <v>60003</v>
      </c>
      <c r="E2640" s="17">
        <v>1</v>
      </c>
      <c r="F2640" s="17">
        <f t="shared" ref="F2640:F2703" si="2110">MID(B2640,2,1)+1</f>
        <v>3</v>
      </c>
      <c r="G2640" s="17" t="str">
        <f t="shared" si="2105"/>
        <v>高级攻击</v>
      </c>
      <c r="H2640" s="17" t="str">
        <f t="shared" si="2106"/>
        <v>icon_03</v>
      </c>
      <c r="I2640" s="20">
        <v>0</v>
      </c>
      <c r="J2640" s="17">
        <v>4</v>
      </c>
      <c r="K2640" s="17">
        <f t="shared" si="2103"/>
        <v>62205</v>
      </c>
      <c r="L2640" s="17" t="s">
        <v>221</v>
      </c>
      <c r="M2640" s="17" t="str">
        <f t="shared" si="2107"/>
        <v>1:12000:5</v>
      </c>
      <c r="N2640" s="16" t="str">
        <f t="shared" si="2102"/>
        <v>172:1</v>
      </c>
      <c r="O2640" s="17">
        <f t="shared" ref="O2640:O2703" si="2111">MID(A2640,3,1)+1</f>
        <v>3</v>
      </c>
      <c r="P2640" s="21" t="str">
        <f t="shared" si="2085"/>
        <v>所有魔物和野兽攻击增加:1</v>
      </c>
      <c r="Q2640" s="21"/>
      <c r="R2640" t="str">
        <f t="shared" si="2108"/>
        <v>攻击</v>
      </c>
      <c r="T2640" t="str">
        <f t="shared" si="2109"/>
        <v>:1</v>
      </c>
      <c r="U2640" t="str">
        <f t="shared" si="2100"/>
        <v>魔物</v>
      </c>
      <c r="V2640" t="s">
        <v>5027</v>
      </c>
      <c r="W2640">
        <f>属性类型!G2640</f>
        <v>172</v>
      </c>
      <c r="X2640">
        <v>1</v>
      </c>
    </row>
    <row r="2641" customFormat="1" ht="16.5" spans="1:24">
      <c r="A2641" s="17">
        <f t="shared" si="2104"/>
        <v>62205</v>
      </c>
      <c r="B2641" s="17">
        <f t="shared" si="2082"/>
        <v>62200</v>
      </c>
      <c r="C2641" s="17" t="str">
        <f t="shared" si="2092"/>
        <v>6</v>
      </c>
      <c r="D2641" s="17">
        <f t="shared" si="2101"/>
        <v>60003</v>
      </c>
      <c r="E2641" s="17">
        <v>1</v>
      </c>
      <c r="F2641" s="17">
        <f t="shared" si="2110"/>
        <v>3</v>
      </c>
      <c r="G2641" s="17" t="str">
        <f t="shared" si="2105"/>
        <v>高级攻击</v>
      </c>
      <c r="H2641" s="17" t="str">
        <f t="shared" si="2106"/>
        <v>icon_03</v>
      </c>
      <c r="I2641" s="20">
        <v>0</v>
      </c>
      <c r="J2641" s="17">
        <v>5</v>
      </c>
      <c r="K2641" s="17">
        <f t="shared" si="2103"/>
        <v>62206</v>
      </c>
      <c r="L2641" s="17" t="s">
        <v>224</v>
      </c>
      <c r="M2641" s="17" t="str">
        <f t="shared" si="2107"/>
        <v>1:12000:5</v>
      </c>
      <c r="N2641" s="16" t="str">
        <f t="shared" si="2102"/>
        <v>172:1</v>
      </c>
      <c r="O2641" s="17">
        <f t="shared" si="2111"/>
        <v>3</v>
      </c>
      <c r="P2641" s="21" t="str">
        <f t="shared" si="2085"/>
        <v>所有魔物和野兽攻击增加:1</v>
      </c>
      <c r="Q2641" s="21"/>
      <c r="R2641" t="str">
        <f t="shared" si="2108"/>
        <v>攻击</v>
      </c>
      <c r="T2641" t="str">
        <f t="shared" si="2109"/>
        <v>:1</v>
      </c>
      <c r="U2641" t="str">
        <f t="shared" si="2100"/>
        <v>魔物</v>
      </c>
      <c r="V2641" t="s">
        <v>5027</v>
      </c>
      <c r="W2641">
        <f>属性类型!G2641</f>
        <v>172</v>
      </c>
      <c r="X2641">
        <v>1</v>
      </c>
    </row>
    <row r="2642" customFormat="1" ht="16.5" spans="1:24">
      <c r="A2642" s="17">
        <f t="shared" si="2104"/>
        <v>62206</v>
      </c>
      <c r="B2642" s="17">
        <f t="shared" si="2082"/>
        <v>62200</v>
      </c>
      <c r="C2642" s="17" t="str">
        <f t="shared" si="2092"/>
        <v>6</v>
      </c>
      <c r="D2642" s="17">
        <f t="shared" si="2101"/>
        <v>60003</v>
      </c>
      <c r="E2642" s="17">
        <v>1</v>
      </c>
      <c r="F2642" s="17">
        <f t="shared" si="2110"/>
        <v>3</v>
      </c>
      <c r="G2642" s="17" t="str">
        <f t="shared" si="2105"/>
        <v>高级攻击</v>
      </c>
      <c r="H2642" s="17" t="str">
        <f t="shared" si="2106"/>
        <v>icon_03</v>
      </c>
      <c r="I2642" s="20">
        <v>0</v>
      </c>
      <c r="J2642" s="17">
        <v>6</v>
      </c>
      <c r="K2642" s="17">
        <f t="shared" si="2103"/>
        <v>62207</v>
      </c>
      <c r="L2642" s="17" t="s">
        <v>227</v>
      </c>
      <c r="M2642" s="17" t="str">
        <f t="shared" si="2107"/>
        <v>1:12000:5</v>
      </c>
      <c r="N2642" s="16" t="str">
        <f t="shared" si="2102"/>
        <v>172:1</v>
      </c>
      <c r="O2642" s="17">
        <f t="shared" si="2111"/>
        <v>3</v>
      </c>
      <c r="P2642" s="21" t="str">
        <f t="shared" si="2085"/>
        <v>所有魔物和野兽攻击增加:1</v>
      </c>
      <c r="Q2642" s="21"/>
      <c r="R2642" t="str">
        <f t="shared" si="2108"/>
        <v>攻击</v>
      </c>
      <c r="T2642" t="str">
        <f t="shared" si="2109"/>
        <v>:1</v>
      </c>
      <c r="U2642" t="str">
        <f t="shared" si="2100"/>
        <v>魔物</v>
      </c>
      <c r="V2642" t="s">
        <v>5027</v>
      </c>
      <c r="W2642">
        <f>属性类型!G2642</f>
        <v>172</v>
      </c>
      <c r="X2642">
        <v>1</v>
      </c>
    </row>
    <row r="2643" customFormat="1" ht="16.5" spans="1:24">
      <c r="A2643" s="17">
        <f t="shared" si="2104"/>
        <v>62207</v>
      </c>
      <c r="B2643" s="17">
        <f t="shared" si="2082"/>
        <v>62200</v>
      </c>
      <c r="C2643" s="17" t="str">
        <f t="shared" si="2092"/>
        <v>6</v>
      </c>
      <c r="D2643" s="17">
        <f t="shared" si="2101"/>
        <v>60003</v>
      </c>
      <c r="E2643" s="17">
        <v>1</v>
      </c>
      <c r="F2643" s="17">
        <f t="shared" si="2110"/>
        <v>3</v>
      </c>
      <c r="G2643" s="17" t="str">
        <f t="shared" si="2105"/>
        <v>高级攻击</v>
      </c>
      <c r="H2643" s="17" t="str">
        <f t="shared" si="2106"/>
        <v>icon_03</v>
      </c>
      <c r="I2643" s="20">
        <v>0</v>
      </c>
      <c r="J2643" s="17">
        <v>7</v>
      </c>
      <c r="K2643" s="17">
        <f t="shared" si="2103"/>
        <v>62208</v>
      </c>
      <c r="L2643" s="17" t="s">
        <v>230</v>
      </c>
      <c r="M2643" s="17" t="str">
        <f t="shared" si="2107"/>
        <v>1:12000:5</v>
      </c>
      <c r="N2643" s="16" t="str">
        <f t="shared" si="2102"/>
        <v>172:1</v>
      </c>
      <c r="O2643" s="17">
        <f t="shared" si="2111"/>
        <v>3</v>
      </c>
      <c r="P2643" s="21" t="str">
        <f t="shared" si="2085"/>
        <v>所有魔物和野兽攻击增加:1</v>
      </c>
      <c r="Q2643" s="21"/>
      <c r="R2643" t="str">
        <f t="shared" si="2108"/>
        <v>攻击</v>
      </c>
      <c r="T2643" t="str">
        <f t="shared" si="2109"/>
        <v>:1</v>
      </c>
      <c r="U2643" t="str">
        <f t="shared" si="2100"/>
        <v>魔物</v>
      </c>
      <c r="V2643" t="s">
        <v>5027</v>
      </c>
      <c r="W2643">
        <f>属性类型!G2643</f>
        <v>172</v>
      </c>
      <c r="X2643">
        <v>1</v>
      </c>
    </row>
    <row r="2644" customFormat="1" ht="16.5" spans="1:24">
      <c r="A2644" s="17">
        <f t="shared" si="2104"/>
        <v>62208</v>
      </c>
      <c r="B2644" s="17">
        <f t="shared" si="2082"/>
        <v>62200</v>
      </c>
      <c r="C2644" s="17" t="str">
        <f t="shared" si="2092"/>
        <v>6</v>
      </c>
      <c r="D2644" s="17">
        <f t="shared" si="2101"/>
        <v>60003</v>
      </c>
      <c r="E2644" s="17">
        <v>1</v>
      </c>
      <c r="F2644" s="17">
        <f t="shared" si="2110"/>
        <v>3</v>
      </c>
      <c r="G2644" s="17" t="str">
        <f t="shared" si="2105"/>
        <v>高级攻击</v>
      </c>
      <c r="H2644" s="17" t="str">
        <f t="shared" si="2106"/>
        <v>icon_03</v>
      </c>
      <c r="I2644" s="20">
        <v>0</v>
      </c>
      <c r="J2644" s="17">
        <v>8</v>
      </c>
      <c r="K2644" s="17">
        <f t="shared" si="2103"/>
        <v>62209</v>
      </c>
      <c r="L2644" s="17" t="s">
        <v>233</v>
      </c>
      <c r="M2644" s="17" t="str">
        <f t="shared" si="2107"/>
        <v>1:12000:5</v>
      </c>
      <c r="N2644" s="16" t="str">
        <f t="shared" si="2102"/>
        <v>172:1</v>
      </c>
      <c r="O2644" s="17">
        <f t="shared" si="2111"/>
        <v>3</v>
      </c>
      <c r="P2644" s="21" t="str">
        <f t="shared" si="2085"/>
        <v>所有魔物和野兽攻击增加:1</v>
      </c>
      <c r="Q2644" s="21"/>
      <c r="R2644" t="str">
        <f t="shared" si="2108"/>
        <v>攻击</v>
      </c>
      <c r="T2644" t="str">
        <f t="shared" si="2109"/>
        <v>:1</v>
      </c>
      <c r="U2644" t="str">
        <f t="shared" si="2100"/>
        <v>魔物</v>
      </c>
      <c r="V2644" t="s">
        <v>5027</v>
      </c>
      <c r="W2644">
        <f>属性类型!G2644</f>
        <v>172</v>
      </c>
      <c r="X2644">
        <v>1</v>
      </c>
    </row>
    <row r="2645" customFormat="1" ht="16.5" spans="1:24">
      <c r="A2645" s="17">
        <f t="shared" si="2104"/>
        <v>62209</v>
      </c>
      <c r="B2645" s="17">
        <f t="shared" si="2082"/>
        <v>62200</v>
      </c>
      <c r="C2645" s="17" t="str">
        <f t="shared" si="2092"/>
        <v>6</v>
      </c>
      <c r="D2645" s="17">
        <f t="shared" si="2101"/>
        <v>60003</v>
      </c>
      <c r="E2645" s="17">
        <v>1</v>
      </c>
      <c r="F2645" s="17">
        <f t="shared" si="2110"/>
        <v>3</v>
      </c>
      <c r="G2645" s="17" t="str">
        <f t="shared" si="2105"/>
        <v>高级攻击</v>
      </c>
      <c r="H2645" s="17" t="str">
        <f t="shared" si="2106"/>
        <v>icon_03</v>
      </c>
      <c r="I2645" s="20">
        <v>0</v>
      </c>
      <c r="J2645" s="17">
        <v>9</v>
      </c>
      <c r="K2645" s="17">
        <f t="shared" si="2103"/>
        <v>62210</v>
      </c>
      <c r="L2645" s="17" t="s">
        <v>236</v>
      </c>
      <c r="M2645" s="17" t="str">
        <f t="shared" si="2107"/>
        <v>1:12000:5</v>
      </c>
      <c r="N2645" s="16" t="str">
        <f t="shared" si="2102"/>
        <v>172:1</v>
      </c>
      <c r="O2645" s="17">
        <f t="shared" si="2111"/>
        <v>3</v>
      </c>
      <c r="P2645" s="21" t="str">
        <f t="shared" si="2085"/>
        <v>所有魔物和野兽攻击增加:1</v>
      </c>
      <c r="Q2645" s="21"/>
      <c r="R2645" t="str">
        <f t="shared" si="2108"/>
        <v>攻击</v>
      </c>
      <c r="T2645" t="str">
        <f t="shared" si="2109"/>
        <v>:1</v>
      </c>
      <c r="U2645" t="str">
        <f t="shared" si="2100"/>
        <v>魔物</v>
      </c>
      <c r="V2645" t="s">
        <v>5027</v>
      </c>
      <c r="W2645">
        <f>属性类型!G2645</f>
        <v>172</v>
      </c>
      <c r="X2645">
        <v>1</v>
      </c>
    </row>
    <row r="2646" customFormat="1" ht="16.5" spans="1:24">
      <c r="A2646" s="17">
        <f t="shared" si="2104"/>
        <v>62210</v>
      </c>
      <c r="B2646" s="17">
        <f t="shared" si="2082"/>
        <v>62200</v>
      </c>
      <c r="C2646" s="17" t="str">
        <f t="shared" si="2092"/>
        <v>6</v>
      </c>
      <c r="D2646" s="17">
        <f t="shared" si="2101"/>
        <v>60003</v>
      </c>
      <c r="E2646" s="17">
        <v>1</v>
      </c>
      <c r="F2646" s="17">
        <f t="shared" si="2110"/>
        <v>3</v>
      </c>
      <c r="G2646" s="17" t="str">
        <f t="shared" si="2105"/>
        <v>高级攻击</v>
      </c>
      <c r="H2646" s="17" t="str">
        <f t="shared" si="2106"/>
        <v>icon_03</v>
      </c>
      <c r="I2646" s="20">
        <v>0</v>
      </c>
      <c r="J2646" s="17">
        <v>10</v>
      </c>
      <c r="K2646" s="17">
        <f t="shared" si="2103"/>
        <v>62211</v>
      </c>
      <c r="L2646" s="17" t="s">
        <v>238</v>
      </c>
      <c r="M2646" s="17" t="str">
        <f t="shared" si="2107"/>
        <v>1:12000:5</v>
      </c>
      <c r="N2646" s="16" t="str">
        <f t="shared" si="2102"/>
        <v>172:1</v>
      </c>
      <c r="O2646" s="17">
        <f t="shared" si="2111"/>
        <v>3</v>
      </c>
      <c r="P2646" s="21" t="str">
        <f t="shared" si="2085"/>
        <v>所有魔物和野兽攻击增加:1</v>
      </c>
      <c r="Q2646" s="21"/>
      <c r="R2646" t="str">
        <f t="shared" si="2108"/>
        <v>攻击</v>
      </c>
      <c r="T2646" t="str">
        <f t="shared" si="2109"/>
        <v>:1</v>
      </c>
      <c r="U2646" t="str">
        <f t="shared" si="2100"/>
        <v>魔物</v>
      </c>
      <c r="V2646" t="s">
        <v>5027</v>
      </c>
      <c r="W2646">
        <f>属性类型!G2646</f>
        <v>172</v>
      </c>
      <c r="X2646">
        <v>1</v>
      </c>
    </row>
    <row r="2647" customFormat="1" ht="16.5" spans="1:24">
      <c r="A2647" s="17">
        <f t="shared" si="2104"/>
        <v>62211</v>
      </c>
      <c r="B2647" s="17">
        <f t="shared" si="2082"/>
        <v>62200</v>
      </c>
      <c r="C2647" s="17" t="str">
        <f t="shared" si="2092"/>
        <v>6</v>
      </c>
      <c r="D2647" s="17">
        <f t="shared" si="2101"/>
        <v>60003</v>
      </c>
      <c r="E2647" s="17">
        <v>1</v>
      </c>
      <c r="F2647" s="17">
        <f t="shared" si="2110"/>
        <v>3</v>
      </c>
      <c r="G2647" s="17" t="str">
        <f t="shared" si="2105"/>
        <v>高级攻击</v>
      </c>
      <c r="H2647" s="17" t="str">
        <f t="shared" si="2106"/>
        <v>icon_03</v>
      </c>
      <c r="I2647" s="20">
        <v>0</v>
      </c>
      <c r="J2647" s="17">
        <v>11</v>
      </c>
      <c r="K2647" s="17">
        <f t="shared" si="2103"/>
        <v>62212</v>
      </c>
      <c r="L2647" s="17" t="s">
        <v>529</v>
      </c>
      <c r="M2647" s="17" t="str">
        <f t="shared" si="2107"/>
        <v>1:12000:5</v>
      </c>
      <c r="N2647" s="16" t="str">
        <f t="shared" si="2102"/>
        <v>172:1</v>
      </c>
      <c r="O2647" s="17">
        <f t="shared" si="2111"/>
        <v>3</v>
      </c>
      <c r="P2647" s="21" t="str">
        <f t="shared" si="2085"/>
        <v>所有魔物和野兽攻击增加:1</v>
      </c>
      <c r="Q2647" s="21"/>
      <c r="R2647" t="str">
        <f t="shared" si="2108"/>
        <v>攻击</v>
      </c>
      <c r="T2647" t="str">
        <f t="shared" si="2109"/>
        <v>:1</v>
      </c>
      <c r="U2647" t="str">
        <f t="shared" si="2100"/>
        <v>魔物</v>
      </c>
      <c r="V2647" t="s">
        <v>5027</v>
      </c>
      <c r="W2647">
        <f>属性类型!G2647</f>
        <v>172</v>
      </c>
      <c r="X2647">
        <v>1</v>
      </c>
    </row>
    <row r="2648" customFormat="1" ht="16.5" spans="1:24">
      <c r="A2648" s="17">
        <f t="shared" si="2104"/>
        <v>62212</v>
      </c>
      <c r="B2648" s="17">
        <f t="shared" si="2082"/>
        <v>62200</v>
      </c>
      <c r="C2648" s="17" t="str">
        <f t="shared" si="2092"/>
        <v>6</v>
      </c>
      <c r="D2648" s="17">
        <f t="shared" si="2101"/>
        <v>60003</v>
      </c>
      <c r="E2648" s="17">
        <v>1</v>
      </c>
      <c r="F2648" s="17">
        <f t="shared" si="2110"/>
        <v>3</v>
      </c>
      <c r="G2648" s="17" t="str">
        <f t="shared" si="2105"/>
        <v>高级攻击</v>
      </c>
      <c r="H2648" s="17" t="str">
        <f t="shared" si="2106"/>
        <v>icon_03</v>
      </c>
      <c r="I2648" s="20">
        <v>0</v>
      </c>
      <c r="J2648" s="17">
        <v>12</v>
      </c>
      <c r="K2648" s="17">
        <f t="shared" si="2103"/>
        <v>62213</v>
      </c>
      <c r="L2648" s="17" t="s">
        <v>532</v>
      </c>
      <c r="M2648" s="17" t="str">
        <f t="shared" si="2107"/>
        <v>1:12000:5</v>
      </c>
      <c r="N2648" s="16" t="str">
        <f t="shared" si="2102"/>
        <v>172:1</v>
      </c>
      <c r="O2648" s="17">
        <f t="shared" si="2111"/>
        <v>3</v>
      </c>
      <c r="P2648" s="21" t="str">
        <f t="shared" si="2085"/>
        <v>所有魔物和野兽攻击增加:1</v>
      </c>
      <c r="Q2648" s="21"/>
      <c r="R2648" t="str">
        <f t="shared" si="2108"/>
        <v>攻击</v>
      </c>
      <c r="T2648" t="str">
        <f t="shared" si="2109"/>
        <v>:1</v>
      </c>
      <c r="U2648" t="str">
        <f t="shared" si="2100"/>
        <v>魔物</v>
      </c>
      <c r="V2648" t="s">
        <v>5027</v>
      </c>
      <c r="W2648">
        <f>属性类型!G2648</f>
        <v>172</v>
      </c>
      <c r="X2648">
        <v>1</v>
      </c>
    </row>
    <row r="2649" customFormat="1" ht="16.5" spans="1:24">
      <c r="A2649" s="17">
        <f t="shared" si="2104"/>
        <v>62213</v>
      </c>
      <c r="B2649" s="17">
        <f t="shared" si="2082"/>
        <v>62200</v>
      </c>
      <c r="C2649" s="17" t="str">
        <f t="shared" si="2092"/>
        <v>6</v>
      </c>
      <c r="D2649" s="17">
        <f t="shared" si="2101"/>
        <v>60003</v>
      </c>
      <c r="E2649" s="17">
        <v>1</v>
      </c>
      <c r="F2649" s="17">
        <f t="shared" si="2110"/>
        <v>3</v>
      </c>
      <c r="G2649" s="17" t="str">
        <f t="shared" si="2105"/>
        <v>高级攻击</v>
      </c>
      <c r="H2649" s="17" t="str">
        <f t="shared" si="2106"/>
        <v>icon_03</v>
      </c>
      <c r="I2649" s="20">
        <v>0</v>
      </c>
      <c r="J2649" s="17">
        <v>13</v>
      </c>
      <c r="K2649" s="17">
        <f t="shared" si="2103"/>
        <v>62214</v>
      </c>
      <c r="L2649" s="17" t="s">
        <v>561</v>
      </c>
      <c r="M2649" s="17" t="str">
        <f t="shared" si="2107"/>
        <v>1:12000:5</v>
      </c>
      <c r="N2649" s="16" t="str">
        <f t="shared" si="2102"/>
        <v>172:1</v>
      </c>
      <c r="O2649" s="17">
        <f t="shared" si="2111"/>
        <v>3</v>
      </c>
      <c r="P2649" s="21" t="str">
        <f t="shared" si="2085"/>
        <v>所有魔物和野兽攻击增加:1</v>
      </c>
      <c r="Q2649" s="21"/>
      <c r="R2649" t="str">
        <f t="shared" si="2108"/>
        <v>攻击</v>
      </c>
      <c r="T2649" t="str">
        <f t="shared" si="2109"/>
        <v>:1</v>
      </c>
      <c r="U2649" t="str">
        <f t="shared" si="2100"/>
        <v>魔物</v>
      </c>
      <c r="V2649" t="s">
        <v>5027</v>
      </c>
      <c r="W2649">
        <f>属性类型!G2649</f>
        <v>172</v>
      </c>
      <c r="X2649">
        <v>1</v>
      </c>
    </row>
    <row r="2650" customFormat="1" ht="16.5" spans="1:24">
      <c r="A2650" s="17">
        <f t="shared" si="2104"/>
        <v>62214</v>
      </c>
      <c r="B2650" s="17">
        <f t="shared" si="2082"/>
        <v>62200</v>
      </c>
      <c r="C2650" s="17" t="str">
        <f t="shared" si="2092"/>
        <v>6</v>
      </c>
      <c r="D2650" s="17">
        <f t="shared" si="2101"/>
        <v>60003</v>
      </c>
      <c r="E2650" s="17">
        <v>1</v>
      </c>
      <c r="F2650" s="17">
        <f t="shared" si="2110"/>
        <v>3</v>
      </c>
      <c r="G2650" s="17" t="str">
        <f t="shared" si="2105"/>
        <v>高级攻击</v>
      </c>
      <c r="H2650" s="17" t="str">
        <f t="shared" si="2106"/>
        <v>icon_03</v>
      </c>
      <c r="I2650" s="20">
        <v>0</v>
      </c>
      <c r="J2650" s="17">
        <v>14</v>
      </c>
      <c r="K2650" s="17">
        <f t="shared" si="2103"/>
        <v>62215</v>
      </c>
      <c r="L2650" s="17" t="s">
        <v>564</v>
      </c>
      <c r="M2650" s="17" t="str">
        <f t="shared" si="2107"/>
        <v>1:12000:5</v>
      </c>
      <c r="N2650" s="16" t="str">
        <f t="shared" si="2102"/>
        <v>172:1</v>
      </c>
      <c r="O2650" s="17">
        <f t="shared" si="2111"/>
        <v>3</v>
      </c>
      <c r="P2650" s="21" t="str">
        <f t="shared" si="2085"/>
        <v>所有魔物和野兽攻击增加:1</v>
      </c>
      <c r="Q2650" s="21"/>
      <c r="R2650" t="str">
        <f t="shared" si="2108"/>
        <v>攻击</v>
      </c>
      <c r="T2650" t="str">
        <f t="shared" si="2109"/>
        <v>:1</v>
      </c>
      <c r="U2650" t="str">
        <f t="shared" si="2100"/>
        <v>魔物</v>
      </c>
      <c r="V2650" t="s">
        <v>5027</v>
      </c>
      <c r="W2650">
        <f>属性类型!G2650</f>
        <v>172</v>
      </c>
      <c r="X2650">
        <v>1</v>
      </c>
    </row>
    <row r="2651" customFormat="1" ht="16.5" spans="1:24">
      <c r="A2651" s="17">
        <f t="shared" si="2104"/>
        <v>62215</v>
      </c>
      <c r="B2651" s="17">
        <f t="shared" si="2082"/>
        <v>62200</v>
      </c>
      <c r="C2651" s="17" t="str">
        <f t="shared" si="2092"/>
        <v>6</v>
      </c>
      <c r="D2651" s="17">
        <f t="shared" si="2101"/>
        <v>60003</v>
      </c>
      <c r="E2651" s="17">
        <v>1</v>
      </c>
      <c r="F2651" s="17">
        <f t="shared" si="2110"/>
        <v>3</v>
      </c>
      <c r="G2651" s="17" t="str">
        <f t="shared" si="2105"/>
        <v>高级攻击</v>
      </c>
      <c r="H2651" s="17" t="str">
        <f t="shared" si="2106"/>
        <v>icon_03</v>
      </c>
      <c r="I2651" s="20">
        <v>0</v>
      </c>
      <c r="J2651" s="17">
        <v>15</v>
      </c>
      <c r="K2651" s="17">
        <v>0</v>
      </c>
      <c r="L2651" s="17">
        <v>0</v>
      </c>
      <c r="M2651" s="17" t="str">
        <f t="shared" si="2107"/>
        <v>1:12000:5</v>
      </c>
      <c r="N2651" s="16" t="str">
        <f t="shared" si="2102"/>
        <v>172:1</v>
      </c>
      <c r="O2651" s="17">
        <f t="shared" si="2111"/>
        <v>3</v>
      </c>
      <c r="P2651" s="21" t="str">
        <f>$S$3&amp;R2651&amp;$Q$1&amp;T2651</f>
        <v>所有魔物和野兽攻击增加:1</v>
      </c>
      <c r="Q2651" s="21"/>
      <c r="R2651" t="str">
        <f t="shared" si="2108"/>
        <v>攻击</v>
      </c>
      <c r="T2651" t="str">
        <f t="shared" si="2109"/>
        <v>:1</v>
      </c>
      <c r="U2651" t="str">
        <f t="shared" si="2100"/>
        <v>魔物</v>
      </c>
      <c r="V2651" t="s">
        <v>5027</v>
      </c>
      <c r="W2651">
        <f>属性类型!G2651</f>
        <v>172</v>
      </c>
      <c r="X2651">
        <v>1</v>
      </c>
    </row>
    <row r="2652" customFormat="1" ht="16.5" spans="1:24">
      <c r="A2652" s="18">
        <f>A2636+100</f>
        <v>62300</v>
      </c>
      <c r="B2652" s="18">
        <f t="shared" ref="B2652:B2715" si="2112">ROUND(A2652,-2)</f>
        <v>62300</v>
      </c>
      <c r="C2652" s="18" t="str">
        <f t="shared" si="2092"/>
        <v>6</v>
      </c>
      <c r="D2652" s="17">
        <f t="shared" si="2101"/>
        <v>60003</v>
      </c>
      <c r="E2652" s="17">
        <v>1</v>
      </c>
      <c r="F2652" s="18">
        <f t="shared" si="2110"/>
        <v>3</v>
      </c>
      <c r="G2652" s="18" t="s">
        <v>590</v>
      </c>
      <c r="H2652" s="18" t="s">
        <v>96</v>
      </c>
      <c r="I2652" s="20">
        <v>0</v>
      </c>
      <c r="J2652" s="18">
        <v>0</v>
      </c>
      <c r="K2652" s="18">
        <f t="shared" ref="K2652:K2666" si="2113">A2653</f>
        <v>62301</v>
      </c>
      <c r="L2652" s="18" t="s">
        <v>206</v>
      </c>
      <c r="M2652" s="18" t="s">
        <v>545</v>
      </c>
      <c r="N2652" s="16" t="str">
        <f t="shared" si="2102"/>
        <v>174:1</v>
      </c>
      <c r="O2652" s="18">
        <f t="shared" si="2111"/>
        <v>4</v>
      </c>
      <c r="P2652" s="21" t="str">
        <f>$S$3&amp;R2652&amp;$Q$1&amp;T2652</f>
        <v>所有魔物和野兽魔防增加1</v>
      </c>
      <c r="Q2652" s="21"/>
      <c r="R2652" t="s">
        <v>4276</v>
      </c>
      <c r="T2652" t="str">
        <f>RIGHT(N2652,1)</f>
        <v>1</v>
      </c>
      <c r="U2652" t="str">
        <f t="shared" si="2100"/>
        <v>魔物</v>
      </c>
      <c r="V2652" t="s">
        <v>5028</v>
      </c>
      <c r="W2652">
        <f>属性类型!G2652</f>
        <v>174</v>
      </c>
      <c r="X2652">
        <v>1</v>
      </c>
    </row>
    <row r="2653" customFormat="1" ht="16.5" spans="1:24">
      <c r="A2653" s="17">
        <f t="shared" ref="A2653:A2667" si="2114">A2652+1</f>
        <v>62301</v>
      </c>
      <c r="B2653" s="17">
        <f t="shared" si="2112"/>
        <v>62300</v>
      </c>
      <c r="C2653" s="17" t="str">
        <f t="shared" si="2092"/>
        <v>6</v>
      </c>
      <c r="D2653" s="17">
        <f t="shared" si="2101"/>
        <v>60003</v>
      </c>
      <c r="E2653" s="17">
        <v>1</v>
      </c>
      <c r="F2653" s="17">
        <f t="shared" si="2110"/>
        <v>3</v>
      </c>
      <c r="G2653" s="17" t="str">
        <f t="shared" ref="G2653:G2667" si="2115">G2652</f>
        <v>高级魔防</v>
      </c>
      <c r="H2653" s="17" t="str">
        <f t="shared" ref="H2653:H2667" si="2116">H2652</f>
        <v>icon_04</v>
      </c>
      <c r="I2653" s="20">
        <v>0</v>
      </c>
      <c r="J2653" s="17">
        <v>1</v>
      </c>
      <c r="K2653" s="17">
        <f t="shared" si="2113"/>
        <v>62302</v>
      </c>
      <c r="L2653" s="17" t="s">
        <v>211</v>
      </c>
      <c r="M2653" s="17" t="str">
        <f t="shared" ref="M2653:M2667" si="2117">M2652</f>
        <v>1:12000:5</v>
      </c>
      <c r="N2653" s="16" t="str">
        <f t="shared" si="2102"/>
        <v>174:1</v>
      </c>
      <c r="O2653" s="17">
        <f t="shared" si="2111"/>
        <v>4</v>
      </c>
      <c r="P2653" s="21" t="str">
        <f>$S$3&amp;R2653&amp;$Q$1&amp;T2653</f>
        <v>所有魔物和野兽魔防增加:1</v>
      </c>
      <c r="Q2653" s="21"/>
      <c r="R2653" t="str">
        <f t="shared" ref="R2653:R2667" si="2118">R2652</f>
        <v>魔防</v>
      </c>
      <c r="T2653" t="str">
        <f t="shared" ref="T2653:T2667" si="2119">RIGHT(N2653,2)</f>
        <v>:1</v>
      </c>
      <c r="U2653" t="str">
        <f t="shared" si="2100"/>
        <v>魔物</v>
      </c>
      <c r="V2653" t="s">
        <v>5028</v>
      </c>
      <c r="W2653">
        <f>属性类型!G2653</f>
        <v>174</v>
      </c>
      <c r="X2653">
        <v>1</v>
      </c>
    </row>
    <row r="2654" customFormat="1" ht="16.5" spans="1:24">
      <c r="A2654" s="17">
        <f t="shared" si="2114"/>
        <v>62302</v>
      </c>
      <c r="B2654" s="17">
        <f t="shared" si="2112"/>
        <v>62300</v>
      </c>
      <c r="C2654" s="17" t="str">
        <f t="shared" si="2092"/>
        <v>6</v>
      </c>
      <c r="D2654" s="17">
        <f t="shared" si="2101"/>
        <v>60003</v>
      </c>
      <c r="E2654" s="17">
        <v>1</v>
      </c>
      <c r="F2654" s="17">
        <f t="shared" si="2110"/>
        <v>3</v>
      </c>
      <c r="G2654" s="17" t="str">
        <f t="shared" si="2115"/>
        <v>高级魔防</v>
      </c>
      <c r="H2654" s="17" t="str">
        <f t="shared" si="2116"/>
        <v>icon_04</v>
      </c>
      <c r="I2654" s="20">
        <v>0</v>
      </c>
      <c r="J2654" s="17">
        <v>2</v>
      </c>
      <c r="K2654" s="17">
        <f t="shared" si="2113"/>
        <v>62303</v>
      </c>
      <c r="L2654" s="17" t="s">
        <v>215</v>
      </c>
      <c r="M2654" s="17" t="str">
        <f t="shared" si="2117"/>
        <v>1:12000:5</v>
      </c>
      <c r="N2654" s="16" t="str">
        <f t="shared" si="2102"/>
        <v>174:1</v>
      </c>
      <c r="O2654" s="17">
        <f t="shared" si="2111"/>
        <v>4</v>
      </c>
      <c r="P2654" s="21" t="str">
        <f>$S$3&amp;R2654&amp;$Q$1&amp;T2654</f>
        <v>所有魔物和野兽魔防增加:1</v>
      </c>
      <c r="Q2654" s="21"/>
      <c r="R2654" t="str">
        <f t="shared" si="2118"/>
        <v>魔防</v>
      </c>
      <c r="T2654" t="str">
        <f t="shared" si="2119"/>
        <v>:1</v>
      </c>
      <c r="U2654" t="str">
        <f t="shared" si="2100"/>
        <v>魔物</v>
      </c>
      <c r="V2654" t="s">
        <v>5028</v>
      </c>
      <c r="W2654">
        <f>属性类型!G2654</f>
        <v>174</v>
      </c>
      <c r="X2654">
        <v>1</v>
      </c>
    </row>
    <row r="2655" customFormat="1" ht="16.5" spans="1:24">
      <c r="A2655" s="17">
        <f t="shared" si="2114"/>
        <v>62303</v>
      </c>
      <c r="B2655" s="17">
        <f t="shared" si="2112"/>
        <v>62300</v>
      </c>
      <c r="C2655" s="17" t="str">
        <f t="shared" si="2092"/>
        <v>6</v>
      </c>
      <c r="D2655" s="17">
        <f t="shared" si="2101"/>
        <v>60003</v>
      </c>
      <c r="E2655" s="17">
        <v>1</v>
      </c>
      <c r="F2655" s="17">
        <f t="shared" si="2110"/>
        <v>3</v>
      </c>
      <c r="G2655" s="17" t="str">
        <f t="shared" si="2115"/>
        <v>高级魔防</v>
      </c>
      <c r="H2655" s="17" t="str">
        <f t="shared" si="2116"/>
        <v>icon_04</v>
      </c>
      <c r="I2655" s="20">
        <v>0</v>
      </c>
      <c r="J2655" s="17">
        <v>3</v>
      </c>
      <c r="K2655" s="17">
        <f t="shared" si="2113"/>
        <v>62304</v>
      </c>
      <c r="L2655" s="17" t="s">
        <v>218</v>
      </c>
      <c r="M2655" s="17" t="str">
        <f t="shared" si="2117"/>
        <v>1:12000:5</v>
      </c>
      <c r="N2655" s="16" t="str">
        <f t="shared" si="2102"/>
        <v>174:1</v>
      </c>
      <c r="O2655" s="17">
        <f t="shared" si="2111"/>
        <v>4</v>
      </c>
      <c r="P2655" s="21" t="str">
        <f>$S$3&amp;R2655&amp;$Q$1&amp;T2655</f>
        <v>所有魔物和野兽魔防增加:1</v>
      </c>
      <c r="Q2655" s="21"/>
      <c r="R2655" t="str">
        <f t="shared" si="2118"/>
        <v>魔防</v>
      </c>
      <c r="T2655" t="str">
        <f t="shared" si="2119"/>
        <v>:1</v>
      </c>
      <c r="U2655" t="str">
        <f t="shared" si="2100"/>
        <v>魔物</v>
      </c>
      <c r="V2655" t="s">
        <v>5028</v>
      </c>
      <c r="W2655">
        <f>属性类型!G2655</f>
        <v>174</v>
      </c>
      <c r="X2655">
        <v>1</v>
      </c>
    </row>
    <row r="2656" customFormat="1" ht="16.5" spans="1:24">
      <c r="A2656" s="17">
        <f t="shared" si="2114"/>
        <v>62304</v>
      </c>
      <c r="B2656" s="17">
        <f t="shared" si="2112"/>
        <v>62300</v>
      </c>
      <c r="C2656" s="17" t="str">
        <f t="shared" si="2092"/>
        <v>6</v>
      </c>
      <c r="D2656" s="17">
        <f t="shared" si="2101"/>
        <v>60003</v>
      </c>
      <c r="E2656" s="17">
        <v>1</v>
      </c>
      <c r="F2656" s="17">
        <f t="shared" si="2110"/>
        <v>3</v>
      </c>
      <c r="G2656" s="17" t="str">
        <f t="shared" si="2115"/>
        <v>高级魔防</v>
      </c>
      <c r="H2656" s="17" t="str">
        <f t="shared" si="2116"/>
        <v>icon_04</v>
      </c>
      <c r="I2656" s="20">
        <v>0</v>
      </c>
      <c r="J2656" s="17">
        <v>4</v>
      </c>
      <c r="K2656" s="17">
        <f t="shared" si="2113"/>
        <v>62305</v>
      </c>
      <c r="L2656" s="17" t="s">
        <v>221</v>
      </c>
      <c r="M2656" s="17" t="str">
        <f t="shared" si="2117"/>
        <v>1:12000:5</v>
      </c>
      <c r="N2656" s="16" t="str">
        <f t="shared" si="2102"/>
        <v>174:1</v>
      </c>
      <c r="O2656" s="17">
        <f t="shared" si="2111"/>
        <v>4</v>
      </c>
      <c r="P2656" s="21" t="str">
        <f>$S$3&amp;R2656&amp;$Q$1&amp;T2656</f>
        <v>所有魔物和野兽魔防增加:1</v>
      </c>
      <c r="Q2656" s="21"/>
      <c r="R2656" t="str">
        <f t="shared" si="2118"/>
        <v>魔防</v>
      </c>
      <c r="T2656" t="str">
        <f t="shared" si="2119"/>
        <v>:1</v>
      </c>
      <c r="U2656" t="str">
        <f t="shared" si="2100"/>
        <v>魔物</v>
      </c>
      <c r="V2656" t="s">
        <v>5028</v>
      </c>
      <c r="W2656">
        <f>属性类型!G2656</f>
        <v>174</v>
      </c>
      <c r="X2656">
        <v>1</v>
      </c>
    </row>
    <row r="2657" customFormat="1" ht="16.5" spans="1:24">
      <c r="A2657" s="17">
        <f t="shared" si="2114"/>
        <v>62305</v>
      </c>
      <c r="B2657" s="17">
        <f t="shared" si="2112"/>
        <v>62300</v>
      </c>
      <c r="C2657" s="17" t="str">
        <f t="shared" si="2092"/>
        <v>6</v>
      </c>
      <c r="D2657" s="17">
        <f t="shared" si="2101"/>
        <v>60003</v>
      </c>
      <c r="E2657" s="17">
        <v>1</v>
      </c>
      <c r="F2657" s="17">
        <f t="shared" si="2110"/>
        <v>3</v>
      </c>
      <c r="G2657" s="17" t="str">
        <f t="shared" si="2115"/>
        <v>高级魔防</v>
      </c>
      <c r="H2657" s="17" t="str">
        <f t="shared" si="2116"/>
        <v>icon_04</v>
      </c>
      <c r="I2657" s="20">
        <v>0</v>
      </c>
      <c r="J2657" s="17">
        <v>5</v>
      </c>
      <c r="K2657" s="17">
        <f t="shared" si="2113"/>
        <v>62306</v>
      </c>
      <c r="L2657" s="17" t="s">
        <v>224</v>
      </c>
      <c r="M2657" s="17" t="str">
        <f t="shared" si="2117"/>
        <v>1:12000:5</v>
      </c>
      <c r="N2657" s="16" t="str">
        <f t="shared" si="2102"/>
        <v>174:1</v>
      </c>
      <c r="O2657" s="17">
        <f t="shared" si="2111"/>
        <v>4</v>
      </c>
      <c r="P2657" s="21" t="str">
        <f>$S$3&amp;R2657&amp;$Q$1&amp;T2657</f>
        <v>所有魔物和野兽魔防增加:1</v>
      </c>
      <c r="Q2657" s="21"/>
      <c r="R2657" t="str">
        <f t="shared" si="2118"/>
        <v>魔防</v>
      </c>
      <c r="T2657" t="str">
        <f t="shared" si="2119"/>
        <v>:1</v>
      </c>
      <c r="U2657" t="str">
        <f t="shared" si="2100"/>
        <v>魔物</v>
      </c>
      <c r="V2657" t="s">
        <v>5028</v>
      </c>
      <c r="W2657">
        <f>属性类型!G2657</f>
        <v>174</v>
      </c>
      <c r="X2657">
        <v>1</v>
      </c>
    </row>
    <row r="2658" customFormat="1" ht="16.5" spans="1:24">
      <c r="A2658" s="17">
        <f t="shared" si="2114"/>
        <v>62306</v>
      </c>
      <c r="B2658" s="17">
        <f t="shared" si="2112"/>
        <v>62300</v>
      </c>
      <c r="C2658" s="17" t="str">
        <f t="shared" si="2092"/>
        <v>6</v>
      </c>
      <c r="D2658" s="17">
        <f t="shared" si="2101"/>
        <v>60003</v>
      </c>
      <c r="E2658" s="17">
        <v>1</v>
      </c>
      <c r="F2658" s="17">
        <f t="shared" si="2110"/>
        <v>3</v>
      </c>
      <c r="G2658" s="17" t="str">
        <f t="shared" si="2115"/>
        <v>高级魔防</v>
      </c>
      <c r="H2658" s="17" t="str">
        <f t="shared" si="2116"/>
        <v>icon_04</v>
      </c>
      <c r="I2658" s="20">
        <v>0</v>
      </c>
      <c r="J2658" s="17">
        <v>6</v>
      </c>
      <c r="K2658" s="17">
        <f t="shared" si="2113"/>
        <v>62307</v>
      </c>
      <c r="L2658" s="17" t="s">
        <v>227</v>
      </c>
      <c r="M2658" s="17" t="str">
        <f t="shared" si="2117"/>
        <v>1:12000:5</v>
      </c>
      <c r="N2658" s="16" t="str">
        <f t="shared" si="2102"/>
        <v>174:1</v>
      </c>
      <c r="O2658" s="17">
        <f t="shared" si="2111"/>
        <v>4</v>
      </c>
      <c r="P2658" s="21" t="str">
        <f>$S$3&amp;R2658&amp;$Q$1&amp;T2658</f>
        <v>所有魔物和野兽魔防增加:1</v>
      </c>
      <c r="Q2658" s="21"/>
      <c r="R2658" t="str">
        <f t="shared" si="2118"/>
        <v>魔防</v>
      </c>
      <c r="T2658" t="str">
        <f t="shared" si="2119"/>
        <v>:1</v>
      </c>
      <c r="U2658" t="str">
        <f t="shared" si="2100"/>
        <v>魔物</v>
      </c>
      <c r="V2658" t="s">
        <v>5028</v>
      </c>
      <c r="W2658">
        <f>属性类型!G2658</f>
        <v>174</v>
      </c>
      <c r="X2658">
        <v>1</v>
      </c>
    </row>
    <row r="2659" customFormat="1" ht="16.5" spans="1:24">
      <c r="A2659" s="17">
        <f t="shared" si="2114"/>
        <v>62307</v>
      </c>
      <c r="B2659" s="17">
        <f t="shared" si="2112"/>
        <v>62300</v>
      </c>
      <c r="C2659" s="17" t="str">
        <f t="shared" si="2092"/>
        <v>6</v>
      </c>
      <c r="D2659" s="17">
        <f t="shared" si="2101"/>
        <v>60003</v>
      </c>
      <c r="E2659" s="17">
        <v>1</v>
      </c>
      <c r="F2659" s="17">
        <f t="shared" si="2110"/>
        <v>3</v>
      </c>
      <c r="G2659" s="17" t="str">
        <f t="shared" si="2115"/>
        <v>高级魔防</v>
      </c>
      <c r="H2659" s="17" t="str">
        <f t="shared" si="2116"/>
        <v>icon_04</v>
      </c>
      <c r="I2659" s="20">
        <v>0</v>
      </c>
      <c r="J2659" s="17">
        <v>7</v>
      </c>
      <c r="K2659" s="17">
        <f t="shared" si="2113"/>
        <v>62308</v>
      </c>
      <c r="L2659" s="17" t="s">
        <v>230</v>
      </c>
      <c r="M2659" s="17" t="str">
        <f t="shared" si="2117"/>
        <v>1:12000:5</v>
      </c>
      <c r="N2659" s="16" t="str">
        <f t="shared" si="2102"/>
        <v>174:1</v>
      </c>
      <c r="O2659" s="17">
        <f t="shared" si="2111"/>
        <v>4</v>
      </c>
      <c r="P2659" s="21" t="str">
        <f>$S$3&amp;R2659&amp;$Q$1&amp;T2659</f>
        <v>所有魔物和野兽魔防增加:1</v>
      </c>
      <c r="Q2659" s="21"/>
      <c r="R2659" t="str">
        <f t="shared" si="2118"/>
        <v>魔防</v>
      </c>
      <c r="T2659" t="str">
        <f t="shared" si="2119"/>
        <v>:1</v>
      </c>
      <c r="U2659" t="str">
        <f t="shared" si="2100"/>
        <v>魔物</v>
      </c>
      <c r="V2659" t="s">
        <v>5028</v>
      </c>
      <c r="W2659">
        <f>属性类型!G2659</f>
        <v>174</v>
      </c>
      <c r="X2659">
        <v>1</v>
      </c>
    </row>
    <row r="2660" customFormat="1" ht="16.5" spans="1:24">
      <c r="A2660" s="17">
        <f t="shared" si="2114"/>
        <v>62308</v>
      </c>
      <c r="B2660" s="17">
        <f t="shared" si="2112"/>
        <v>62300</v>
      </c>
      <c r="C2660" s="17" t="str">
        <f t="shared" si="2092"/>
        <v>6</v>
      </c>
      <c r="D2660" s="17">
        <f t="shared" si="2101"/>
        <v>60003</v>
      </c>
      <c r="E2660" s="17">
        <v>1</v>
      </c>
      <c r="F2660" s="17">
        <f t="shared" si="2110"/>
        <v>3</v>
      </c>
      <c r="G2660" s="17" t="str">
        <f t="shared" si="2115"/>
        <v>高级魔防</v>
      </c>
      <c r="H2660" s="17" t="str">
        <f t="shared" si="2116"/>
        <v>icon_04</v>
      </c>
      <c r="I2660" s="20">
        <v>0</v>
      </c>
      <c r="J2660" s="17">
        <v>8</v>
      </c>
      <c r="K2660" s="17">
        <f t="shared" si="2113"/>
        <v>62309</v>
      </c>
      <c r="L2660" s="17" t="s">
        <v>233</v>
      </c>
      <c r="M2660" s="17" t="str">
        <f t="shared" si="2117"/>
        <v>1:12000:5</v>
      </c>
      <c r="N2660" s="16" t="str">
        <f t="shared" si="2102"/>
        <v>174:1</v>
      </c>
      <c r="O2660" s="17">
        <f t="shared" si="2111"/>
        <v>4</v>
      </c>
      <c r="P2660" s="21" t="str">
        <f>$S$3&amp;R2660&amp;$Q$1&amp;T2660</f>
        <v>所有魔物和野兽魔防增加:1</v>
      </c>
      <c r="Q2660" s="21"/>
      <c r="R2660" t="str">
        <f t="shared" si="2118"/>
        <v>魔防</v>
      </c>
      <c r="T2660" t="str">
        <f t="shared" si="2119"/>
        <v>:1</v>
      </c>
      <c r="U2660" t="str">
        <f t="shared" si="2100"/>
        <v>魔物</v>
      </c>
      <c r="V2660" t="s">
        <v>5028</v>
      </c>
      <c r="W2660">
        <f>属性类型!G2660</f>
        <v>174</v>
      </c>
      <c r="X2660">
        <v>1</v>
      </c>
    </row>
    <row r="2661" customFormat="1" ht="16.5" spans="1:24">
      <c r="A2661" s="17">
        <f t="shared" si="2114"/>
        <v>62309</v>
      </c>
      <c r="B2661" s="17">
        <f t="shared" si="2112"/>
        <v>62300</v>
      </c>
      <c r="C2661" s="17" t="str">
        <f t="shared" si="2092"/>
        <v>6</v>
      </c>
      <c r="D2661" s="17">
        <f t="shared" si="2101"/>
        <v>60003</v>
      </c>
      <c r="E2661" s="17">
        <v>1</v>
      </c>
      <c r="F2661" s="17">
        <f t="shared" si="2110"/>
        <v>3</v>
      </c>
      <c r="G2661" s="17" t="str">
        <f t="shared" si="2115"/>
        <v>高级魔防</v>
      </c>
      <c r="H2661" s="17" t="str">
        <f t="shared" si="2116"/>
        <v>icon_04</v>
      </c>
      <c r="I2661" s="20">
        <v>0</v>
      </c>
      <c r="J2661" s="17">
        <v>9</v>
      </c>
      <c r="K2661" s="17">
        <f t="shared" si="2113"/>
        <v>62310</v>
      </c>
      <c r="L2661" s="17" t="s">
        <v>236</v>
      </c>
      <c r="M2661" s="17" t="str">
        <f t="shared" si="2117"/>
        <v>1:12000:5</v>
      </c>
      <c r="N2661" s="16" t="str">
        <f t="shared" si="2102"/>
        <v>174:1</v>
      </c>
      <c r="O2661" s="17">
        <f t="shared" si="2111"/>
        <v>4</v>
      </c>
      <c r="P2661" s="21" t="str">
        <f>$S$3&amp;R2661&amp;$Q$1&amp;T2661</f>
        <v>所有魔物和野兽魔防增加:1</v>
      </c>
      <c r="Q2661" s="21"/>
      <c r="R2661" t="str">
        <f t="shared" si="2118"/>
        <v>魔防</v>
      </c>
      <c r="T2661" t="str">
        <f t="shared" si="2119"/>
        <v>:1</v>
      </c>
      <c r="U2661" t="str">
        <f t="shared" si="2100"/>
        <v>魔物</v>
      </c>
      <c r="V2661" t="s">
        <v>5028</v>
      </c>
      <c r="W2661">
        <f>属性类型!G2661</f>
        <v>174</v>
      </c>
      <c r="X2661">
        <v>1</v>
      </c>
    </row>
    <row r="2662" customFormat="1" ht="16.5" spans="1:24">
      <c r="A2662" s="17">
        <f t="shared" si="2114"/>
        <v>62310</v>
      </c>
      <c r="B2662" s="17">
        <f t="shared" si="2112"/>
        <v>62300</v>
      </c>
      <c r="C2662" s="17" t="str">
        <f t="shared" si="2092"/>
        <v>6</v>
      </c>
      <c r="D2662" s="17">
        <f t="shared" si="2101"/>
        <v>60003</v>
      </c>
      <c r="E2662" s="17">
        <v>1</v>
      </c>
      <c r="F2662" s="17">
        <f t="shared" si="2110"/>
        <v>3</v>
      </c>
      <c r="G2662" s="17" t="str">
        <f t="shared" si="2115"/>
        <v>高级魔防</v>
      </c>
      <c r="H2662" s="17" t="str">
        <f t="shared" si="2116"/>
        <v>icon_04</v>
      </c>
      <c r="I2662" s="20">
        <v>0</v>
      </c>
      <c r="J2662" s="17">
        <v>10</v>
      </c>
      <c r="K2662" s="17">
        <f t="shared" si="2113"/>
        <v>62311</v>
      </c>
      <c r="L2662" s="17" t="s">
        <v>238</v>
      </c>
      <c r="M2662" s="17" t="str">
        <f t="shared" si="2117"/>
        <v>1:12000:5</v>
      </c>
      <c r="N2662" s="16" t="str">
        <f t="shared" si="2102"/>
        <v>174:1</v>
      </c>
      <c r="O2662" s="17">
        <f t="shared" si="2111"/>
        <v>4</v>
      </c>
      <c r="P2662" s="21" t="str">
        <f>$S$3&amp;R2662&amp;$Q$1&amp;T2662</f>
        <v>所有魔物和野兽魔防增加:1</v>
      </c>
      <c r="Q2662" s="21"/>
      <c r="R2662" t="str">
        <f t="shared" si="2118"/>
        <v>魔防</v>
      </c>
      <c r="T2662" t="str">
        <f t="shared" si="2119"/>
        <v>:1</v>
      </c>
      <c r="U2662" t="str">
        <f t="shared" si="2100"/>
        <v>魔物</v>
      </c>
      <c r="V2662" t="s">
        <v>5028</v>
      </c>
      <c r="W2662">
        <f>属性类型!G2662</f>
        <v>174</v>
      </c>
      <c r="X2662">
        <v>1</v>
      </c>
    </row>
    <row r="2663" customFormat="1" ht="16.5" spans="1:24">
      <c r="A2663" s="17">
        <f t="shared" si="2114"/>
        <v>62311</v>
      </c>
      <c r="B2663" s="17">
        <f t="shared" si="2112"/>
        <v>62300</v>
      </c>
      <c r="C2663" s="17" t="str">
        <f t="shared" si="2092"/>
        <v>6</v>
      </c>
      <c r="D2663" s="17">
        <f t="shared" si="2101"/>
        <v>60003</v>
      </c>
      <c r="E2663" s="17">
        <v>1</v>
      </c>
      <c r="F2663" s="17">
        <f t="shared" si="2110"/>
        <v>3</v>
      </c>
      <c r="G2663" s="17" t="str">
        <f t="shared" si="2115"/>
        <v>高级魔防</v>
      </c>
      <c r="H2663" s="17" t="str">
        <f t="shared" si="2116"/>
        <v>icon_04</v>
      </c>
      <c r="I2663" s="20">
        <v>0</v>
      </c>
      <c r="J2663" s="17">
        <v>11</v>
      </c>
      <c r="K2663" s="17">
        <f t="shared" si="2113"/>
        <v>62312</v>
      </c>
      <c r="L2663" s="17" t="s">
        <v>529</v>
      </c>
      <c r="M2663" s="17" t="str">
        <f t="shared" si="2117"/>
        <v>1:12000:5</v>
      </c>
      <c r="N2663" s="16" t="str">
        <f t="shared" si="2102"/>
        <v>174:1</v>
      </c>
      <c r="O2663" s="17">
        <f t="shared" si="2111"/>
        <v>4</v>
      </c>
      <c r="P2663" s="21" t="str">
        <f t="shared" ref="P2663:P2694" si="2120">$S$3&amp;R2663&amp;$Q$1&amp;T2663</f>
        <v>所有魔物和野兽魔防增加:1</v>
      </c>
      <c r="Q2663" s="21"/>
      <c r="R2663" t="str">
        <f t="shared" ref="R2663:R2694" si="2121">R2662</f>
        <v>魔防</v>
      </c>
      <c r="T2663" t="str">
        <f t="shared" si="2119"/>
        <v>:1</v>
      </c>
      <c r="U2663" t="str">
        <f t="shared" si="2100"/>
        <v>魔物</v>
      </c>
      <c r="V2663" t="s">
        <v>5028</v>
      </c>
      <c r="W2663">
        <f>属性类型!G2663</f>
        <v>174</v>
      </c>
      <c r="X2663">
        <v>1</v>
      </c>
    </row>
    <row r="2664" customFormat="1" ht="16.5" spans="1:24">
      <c r="A2664" s="17">
        <f t="shared" si="2114"/>
        <v>62312</v>
      </c>
      <c r="B2664" s="17">
        <f t="shared" si="2112"/>
        <v>62300</v>
      </c>
      <c r="C2664" s="17" t="str">
        <f t="shared" si="2092"/>
        <v>6</v>
      </c>
      <c r="D2664" s="17">
        <f t="shared" si="2101"/>
        <v>60003</v>
      </c>
      <c r="E2664" s="17">
        <v>1</v>
      </c>
      <c r="F2664" s="17">
        <f t="shared" si="2110"/>
        <v>3</v>
      </c>
      <c r="G2664" s="17" t="str">
        <f t="shared" si="2115"/>
        <v>高级魔防</v>
      </c>
      <c r="H2664" s="17" t="str">
        <f t="shared" si="2116"/>
        <v>icon_04</v>
      </c>
      <c r="I2664" s="20">
        <v>0</v>
      </c>
      <c r="J2664" s="17">
        <v>12</v>
      </c>
      <c r="K2664" s="17">
        <f t="shared" si="2113"/>
        <v>62313</v>
      </c>
      <c r="L2664" s="17" t="s">
        <v>532</v>
      </c>
      <c r="M2664" s="17" t="str">
        <f t="shared" si="2117"/>
        <v>1:12000:5</v>
      </c>
      <c r="N2664" s="16" t="str">
        <f t="shared" si="2102"/>
        <v>174:1</v>
      </c>
      <c r="O2664" s="17">
        <f t="shared" si="2111"/>
        <v>4</v>
      </c>
      <c r="P2664" s="21" t="str">
        <f t="shared" si="2120"/>
        <v>所有魔物和野兽魔防增加:1</v>
      </c>
      <c r="Q2664" s="21"/>
      <c r="R2664" t="str">
        <f t="shared" si="2121"/>
        <v>魔防</v>
      </c>
      <c r="T2664" t="str">
        <f t="shared" si="2119"/>
        <v>:1</v>
      </c>
      <c r="U2664" t="str">
        <f t="shared" si="2100"/>
        <v>魔物</v>
      </c>
      <c r="V2664" t="s">
        <v>5028</v>
      </c>
      <c r="W2664">
        <f>属性类型!G2664</f>
        <v>174</v>
      </c>
      <c r="X2664">
        <v>1</v>
      </c>
    </row>
    <row r="2665" customFormat="1" ht="16.5" spans="1:24">
      <c r="A2665" s="17">
        <f t="shared" si="2114"/>
        <v>62313</v>
      </c>
      <c r="B2665" s="17">
        <f t="shared" si="2112"/>
        <v>62300</v>
      </c>
      <c r="C2665" s="17" t="str">
        <f t="shared" si="2092"/>
        <v>6</v>
      </c>
      <c r="D2665" s="17">
        <f t="shared" si="2101"/>
        <v>60003</v>
      </c>
      <c r="E2665" s="17">
        <v>1</v>
      </c>
      <c r="F2665" s="17">
        <f t="shared" si="2110"/>
        <v>3</v>
      </c>
      <c r="G2665" s="17" t="str">
        <f t="shared" si="2115"/>
        <v>高级魔防</v>
      </c>
      <c r="H2665" s="17" t="str">
        <f t="shared" si="2116"/>
        <v>icon_04</v>
      </c>
      <c r="I2665" s="20">
        <v>0</v>
      </c>
      <c r="J2665" s="17">
        <v>13</v>
      </c>
      <c r="K2665" s="17">
        <f t="shared" si="2113"/>
        <v>62314</v>
      </c>
      <c r="L2665" s="17" t="s">
        <v>561</v>
      </c>
      <c r="M2665" s="17" t="str">
        <f t="shared" si="2117"/>
        <v>1:12000:5</v>
      </c>
      <c r="N2665" s="16" t="str">
        <f t="shared" si="2102"/>
        <v>174:1</v>
      </c>
      <c r="O2665" s="17">
        <f t="shared" si="2111"/>
        <v>4</v>
      </c>
      <c r="P2665" s="21" t="str">
        <f t="shared" si="2120"/>
        <v>所有魔物和野兽魔防增加:1</v>
      </c>
      <c r="Q2665" s="21"/>
      <c r="R2665" t="str">
        <f t="shared" si="2121"/>
        <v>魔防</v>
      </c>
      <c r="T2665" t="str">
        <f t="shared" si="2119"/>
        <v>:1</v>
      </c>
      <c r="U2665" t="str">
        <f t="shared" si="2100"/>
        <v>魔物</v>
      </c>
      <c r="V2665" t="s">
        <v>5028</v>
      </c>
      <c r="W2665">
        <f>属性类型!G2665</f>
        <v>174</v>
      </c>
      <c r="X2665">
        <v>1</v>
      </c>
    </row>
    <row r="2666" customFormat="1" ht="16.5" spans="1:24">
      <c r="A2666" s="17">
        <f t="shared" si="2114"/>
        <v>62314</v>
      </c>
      <c r="B2666" s="17">
        <f t="shared" si="2112"/>
        <v>62300</v>
      </c>
      <c r="C2666" s="17" t="str">
        <f t="shared" si="2092"/>
        <v>6</v>
      </c>
      <c r="D2666" s="17">
        <f t="shared" si="2101"/>
        <v>60003</v>
      </c>
      <c r="E2666" s="17">
        <v>1</v>
      </c>
      <c r="F2666" s="17">
        <f t="shared" si="2110"/>
        <v>3</v>
      </c>
      <c r="G2666" s="17" t="str">
        <f t="shared" si="2115"/>
        <v>高级魔防</v>
      </c>
      <c r="H2666" s="17" t="str">
        <f t="shared" si="2116"/>
        <v>icon_04</v>
      </c>
      <c r="I2666" s="20">
        <v>0</v>
      </c>
      <c r="J2666" s="17">
        <v>14</v>
      </c>
      <c r="K2666" s="17">
        <f t="shared" si="2113"/>
        <v>62315</v>
      </c>
      <c r="L2666" s="17" t="s">
        <v>564</v>
      </c>
      <c r="M2666" s="17" t="str">
        <f t="shared" si="2117"/>
        <v>1:12000:5</v>
      </c>
      <c r="N2666" s="16" t="str">
        <f t="shared" si="2102"/>
        <v>174:1</v>
      </c>
      <c r="O2666" s="17">
        <f t="shared" si="2111"/>
        <v>4</v>
      </c>
      <c r="P2666" s="21" t="str">
        <f t="shared" si="2120"/>
        <v>所有魔物和野兽魔防增加:1</v>
      </c>
      <c r="Q2666" s="21"/>
      <c r="R2666" t="str">
        <f t="shared" si="2121"/>
        <v>魔防</v>
      </c>
      <c r="T2666" t="str">
        <f t="shared" si="2119"/>
        <v>:1</v>
      </c>
      <c r="U2666" t="str">
        <f t="shared" si="2100"/>
        <v>魔物</v>
      </c>
      <c r="V2666" t="s">
        <v>5028</v>
      </c>
      <c r="W2666">
        <f>属性类型!G2666</f>
        <v>174</v>
      </c>
      <c r="X2666">
        <v>1</v>
      </c>
    </row>
    <row r="2667" customFormat="1" ht="16.5" spans="1:24">
      <c r="A2667" s="17">
        <f t="shared" si="2114"/>
        <v>62315</v>
      </c>
      <c r="B2667" s="17">
        <f t="shared" si="2112"/>
        <v>62300</v>
      </c>
      <c r="C2667" s="17" t="str">
        <f t="shared" si="2092"/>
        <v>6</v>
      </c>
      <c r="D2667" s="17">
        <f t="shared" si="2101"/>
        <v>60003</v>
      </c>
      <c r="E2667" s="17">
        <v>1</v>
      </c>
      <c r="F2667" s="17">
        <f t="shared" si="2110"/>
        <v>3</v>
      </c>
      <c r="G2667" s="17" t="str">
        <f t="shared" si="2115"/>
        <v>高级魔防</v>
      </c>
      <c r="H2667" s="17" t="str">
        <f t="shared" si="2116"/>
        <v>icon_04</v>
      </c>
      <c r="I2667" s="20">
        <v>0</v>
      </c>
      <c r="J2667" s="17">
        <v>15</v>
      </c>
      <c r="K2667" s="17">
        <v>0</v>
      </c>
      <c r="L2667" s="17">
        <v>0</v>
      </c>
      <c r="M2667" s="17" t="str">
        <f t="shared" si="2117"/>
        <v>1:12000:5</v>
      </c>
      <c r="N2667" s="16" t="str">
        <f t="shared" si="2102"/>
        <v>174:1</v>
      </c>
      <c r="O2667" s="17">
        <f t="shared" si="2111"/>
        <v>4</v>
      </c>
      <c r="P2667" s="21" t="str">
        <f t="shared" si="2120"/>
        <v>所有魔物和野兽魔防增加:1</v>
      </c>
      <c r="Q2667" s="21"/>
      <c r="R2667" t="str">
        <f t="shared" si="2121"/>
        <v>魔防</v>
      </c>
      <c r="T2667" t="str">
        <f t="shared" si="2119"/>
        <v>:1</v>
      </c>
      <c r="U2667" t="str">
        <f t="shared" si="2100"/>
        <v>魔物</v>
      </c>
      <c r="V2667" t="s">
        <v>5028</v>
      </c>
      <c r="W2667">
        <f>属性类型!G2667</f>
        <v>174</v>
      </c>
      <c r="X2667">
        <v>1</v>
      </c>
    </row>
    <row r="2668" customFormat="1" ht="16.5" spans="1:24">
      <c r="A2668" s="18">
        <f>A2652+100</f>
        <v>62400</v>
      </c>
      <c r="B2668" s="18">
        <f t="shared" si="2112"/>
        <v>62400</v>
      </c>
      <c r="C2668" s="18" t="str">
        <f t="shared" si="2092"/>
        <v>6</v>
      </c>
      <c r="D2668" s="17">
        <f t="shared" si="2101"/>
        <v>60003</v>
      </c>
      <c r="E2668" s="17">
        <v>1</v>
      </c>
      <c r="F2668" s="18">
        <f t="shared" si="2110"/>
        <v>3</v>
      </c>
      <c r="G2668" s="18" t="s">
        <v>612</v>
      </c>
      <c r="H2668" s="18" t="s">
        <v>112</v>
      </c>
      <c r="I2668" s="20">
        <v>0</v>
      </c>
      <c r="J2668" s="18">
        <v>0</v>
      </c>
      <c r="K2668" s="18">
        <f t="shared" ref="K2668:K2687" si="2122">A2669</f>
        <v>62401</v>
      </c>
      <c r="L2668" s="18" t="s">
        <v>206</v>
      </c>
      <c r="M2668" s="18" t="s">
        <v>614</v>
      </c>
      <c r="N2668" s="16" t="str">
        <f t="shared" si="2102"/>
        <v>174:1</v>
      </c>
      <c r="O2668" s="18">
        <f t="shared" si="2111"/>
        <v>5</v>
      </c>
      <c r="P2668" s="21" t="str">
        <f t="shared" si="2120"/>
        <v>所有魔物和野兽魔防增加1</v>
      </c>
      <c r="Q2668" s="21"/>
      <c r="R2668" t="str">
        <f t="shared" si="2121"/>
        <v>魔防</v>
      </c>
      <c r="T2668" t="str">
        <f>RIGHT(N2668,1)</f>
        <v>1</v>
      </c>
      <c r="U2668" t="str">
        <f t="shared" si="2100"/>
        <v>魔物</v>
      </c>
      <c r="V2668" t="s">
        <v>5028</v>
      </c>
      <c r="W2668">
        <f>属性类型!G2668</f>
        <v>174</v>
      </c>
      <c r="X2668">
        <v>1</v>
      </c>
    </row>
    <row r="2669" customFormat="1" ht="16.5" spans="1:24">
      <c r="A2669" s="17">
        <f t="shared" ref="A2669:A2688" si="2123">A2668+1</f>
        <v>62401</v>
      </c>
      <c r="B2669" s="17">
        <f t="shared" si="2112"/>
        <v>62400</v>
      </c>
      <c r="C2669" s="17" t="str">
        <f t="shared" si="2092"/>
        <v>6</v>
      </c>
      <c r="D2669" s="17">
        <f t="shared" si="2101"/>
        <v>60003</v>
      </c>
      <c r="E2669" s="17">
        <v>1</v>
      </c>
      <c r="F2669" s="17">
        <f t="shared" si="2110"/>
        <v>3</v>
      </c>
      <c r="G2669" s="17" t="str">
        <f t="shared" ref="G2669:G2688" si="2124">G2668</f>
        <v>高级防御百分比</v>
      </c>
      <c r="H2669" s="17" t="str">
        <f t="shared" ref="H2669:H2688" si="2125">H2668</f>
        <v>icon_05</v>
      </c>
      <c r="I2669" s="20">
        <v>0</v>
      </c>
      <c r="J2669" s="17">
        <v>1</v>
      </c>
      <c r="K2669" s="17">
        <f t="shared" si="2122"/>
        <v>62402</v>
      </c>
      <c r="L2669" s="17" t="s">
        <v>211</v>
      </c>
      <c r="M2669" s="17" t="str">
        <f t="shared" ref="M2669:M2688" si="2126">M2668</f>
        <v>1:12100:10</v>
      </c>
      <c r="N2669" s="16" t="str">
        <f t="shared" si="2102"/>
        <v>174:1</v>
      </c>
      <c r="O2669" s="17">
        <f t="shared" si="2111"/>
        <v>5</v>
      </c>
      <c r="P2669" s="21" t="str">
        <f t="shared" si="2120"/>
        <v>所有魔物和野兽魔防增加:1</v>
      </c>
      <c r="Q2669" s="21"/>
      <c r="R2669" t="str">
        <f t="shared" si="2121"/>
        <v>魔防</v>
      </c>
      <c r="T2669" t="str">
        <f t="shared" ref="T2669:T2688" si="2127">RIGHT(N2669,2)</f>
        <v>:1</v>
      </c>
      <c r="U2669" t="str">
        <f t="shared" si="2100"/>
        <v>魔物</v>
      </c>
      <c r="V2669" t="s">
        <v>5028</v>
      </c>
      <c r="W2669">
        <f>属性类型!G2669</f>
        <v>174</v>
      </c>
      <c r="X2669">
        <v>1</v>
      </c>
    </row>
    <row r="2670" customFormat="1" ht="16.5" spans="1:24">
      <c r="A2670" s="17">
        <f t="shared" si="2123"/>
        <v>62402</v>
      </c>
      <c r="B2670" s="17">
        <f t="shared" si="2112"/>
        <v>62400</v>
      </c>
      <c r="C2670" s="17" t="str">
        <f t="shared" si="2092"/>
        <v>6</v>
      </c>
      <c r="D2670" s="17">
        <f t="shared" si="2101"/>
        <v>60003</v>
      </c>
      <c r="E2670" s="17">
        <v>1</v>
      </c>
      <c r="F2670" s="17">
        <f t="shared" si="2110"/>
        <v>3</v>
      </c>
      <c r="G2670" s="17" t="str">
        <f t="shared" si="2124"/>
        <v>高级防御百分比</v>
      </c>
      <c r="H2670" s="17" t="str">
        <f t="shared" si="2125"/>
        <v>icon_05</v>
      </c>
      <c r="I2670" s="20">
        <v>0</v>
      </c>
      <c r="J2670" s="17">
        <v>2</v>
      </c>
      <c r="K2670" s="17">
        <f t="shared" si="2122"/>
        <v>62403</v>
      </c>
      <c r="L2670" s="17" t="s">
        <v>215</v>
      </c>
      <c r="M2670" s="17" t="str">
        <f t="shared" si="2126"/>
        <v>1:12100:10</v>
      </c>
      <c r="N2670" s="16" t="str">
        <f t="shared" si="2102"/>
        <v>174:1</v>
      </c>
      <c r="O2670" s="17">
        <f t="shared" si="2111"/>
        <v>5</v>
      </c>
      <c r="P2670" s="21" t="str">
        <f t="shared" si="2120"/>
        <v>所有魔物和野兽魔防增加:1</v>
      </c>
      <c r="Q2670" s="21"/>
      <c r="R2670" t="str">
        <f t="shared" si="2121"/>
        <v>魔防</v>
      </c>
      <c r="T2670" t="str">
        <f t="shared" si="2127"/>
        <v>:1</v>
      </c>
      <c r="U2670" t="str">
        <f t="shared" si="2100"/>
        <v>魔物</v>
      </c>
      <c r="V2670" t="s">
        <v>5028</v>
      </c>
      <c r="W2670">
        <f>属性类型!G2670</f>
        <v>174</v>
      </c>
      <c r="X2670">
        <v>1</v>
      </c>
    </row>
    <row r="2671" customFormat="1" ht="16.5" spans="1:24">
      <c r="A2671" s="17">
        <f t="shared" si="2123"/>
        <v>62403</v>
      </c>
      <c r="B2671" s="17">
        <f t="shared" si="2112"/>
        <v>62400</v>
      </c>
      <c r="C2671" s="17" t="str">
        <f t="shared" si="2092"/>
        <v>6</v>
      </c>
      <c r="D2671" s="17">
        <f t="shared" si="2101"/>
        <v>60003</v>
      </c>
      <c r="E2671" s="17">
        <v>1</v>
      </c>
      <c r="F2671" s="17">
        <f t="shared" si="2110"/>
        <v>3</v>
      </c>
      <c r="G2671" s="17" t="str">
        <f t="shared" si="2124"/>
        <v>高级防御百分比</v>
      </c>
      <c r="H2671" s="17" t="str">
        <f t="shared" si="2125"/>
        <v>icon_05</v>
      </c>
      <c r="I2671" s="20">
        <v>0</v>
      </c>
      <c r="J2671" s="17">
        <v>3</v>
      </c>
      <c r="K2671" s="17">
        <f t="shared" si="2122"/>
        <v>62404</v>
      </c>
      <c r="L2671" s="17" t="s">
        <v>218</v>
      </c>
      <c r="M2671" s="17" t="str">
        <f t="shared" si="2126"/>
        <v>1:12100:10</v>
      </c>
      <c r="N2671" s="16" t="str">
        <f t="shared" si="2102"/>
        <v>174:1</v>
      </c>
      <c r="O2671" s="17">
        <f t="shared" si="2111"/>
        <v>5</v>
      </c>
      <c r="P2671" s="21" t="str">
        <f t="shared" si="2120"/>
        <v>所有魔物和野兽魔防增加:1</v>
      </c>
      <c r="Q2671" s="21"/>
      <c r="R2671" t="str">
        <f t="shared" si="2121"/>
        <v>魔防</v>
      </c>
      <c r="T2671" t="str">
        <f t="shared" si="2127"/>
        <v>:1</v>
      </c>
      <c r="U2671" t="str">
        <f t="shared" si="2100"/>
        <v>魔物</v>
      </c>
      <c r="V2671" t="s">
        <v>5028</v>
      </c>
      <c r="W2671">
        <f>属性类型!G2671</f>
        <v>174</v>
      </c>
      <c r="X2671">
        <v>1</v>
      </c>
    </row>
    <row r="2672" customFormat="1" ht="16.5" spans="1:24">
      <c r="A2672" s="17">
        <f t="shared" si="2123"/>
        <v>62404</v>
      </c>
      <c r="B2672" s="17">
        <f t="shared" si="2112"/>
        <v>62400</v>
      </c>
      <c r="C2672" s="17" t="str">
        <f t="shared" si="2092"/>
        <v>6</v>
      </c>
      <c r="D2672" s="17">
        <f t="shared" si="2101"/>
        <v>60003</v>
      </c>
      <c r="E2672" s="17">
        <v>1</v>
      </c>
      <c r="F2672" s="17">
        <f t="shared" si="2110"/>
        <v>3</v>
      </c>
      <c r="G2672" s="17" t="str">
        <f t="shared" si="2124"/>
        <v>高级防御百分比</v>
      </c>
      <c r="H2672" s="17" t="str">
        <f t="shared" si="2125"/>
        <v>icon_05</v>
      </c>
      <c r="I2672" s="20">
        <v>0</v>
      </c>
      <c r="J2672" s="17">
        <v>4</v>
      </c>
      <c r="K2672" s="17">
        <f t="shared" si="2122"/>
        <v>62405</v>
      </c>
      <c r="L2672" s="17" t="s">
        <v>221</v>
      </c>
      <c r="M2672" s="17" t="str">
        <f t="shared" si="2126"/>
        <v>1:12100:10</v>
      </c>
      <c r="N2672" s="16" t="str">
        <f t="shared" si="2102"/>
        <v>174:1</v>
      </c>
      <c r="O2672" s="17">
        <f t="shared" si="2111"/>
        <v>5</v>
      </c>
      <c r="P2672" s="21" t="str">
        <f t="shared" si="2120"/>
        <v>所有魔物和野兽魔防增加:1</v>
      </c>
      <c r="Q2672" s="21"/>
      <c r="R2672" t="str">
        <f t="shared" si="2121"/>
        <v>魔防</v>
      </c>
      <c r="T2672" t="str">
        <f t="shared" si="2127"/>
        <v>:1</v>
      </c>
      <c r="U2672" t="str">
        <f t="shared" si="2100"/>
        <v>魔物</v>
      </c>
      <c r="V2672" t="s">
        <v>5028</v>
      </c>
      <c r="W2672">
        <f>属性类型!G2672</f>
        <v>174</v>
      </c>
      <c r="X2672">
        <v>1</v>
      </c>
    </row>
    <row r="2673" customFormat="1" ht="16.5" spans="1:24">
      <c r="A2673" s="17">
        <f t="shared" si="2123"/>
        <v>62405</v>
      </c>
      <c r="B2673" s="17">
        <f t="shared" si="2112"/>
        <v>62400</v>
      </c>
      <c r="C2673" s="17" t="str">
        <f t="shared" ref="C2673:C2736" si="2128">LEFT(A2673,1)</f>
        <v>6</v>
      </c>
      <c r="D2673" s="17">
        <f t="shared" si="2101"/>
        <v>60003</v>
      </c>
      <c r="E2673" s="17">
        <v>1</v>
      </c>
      <c r="F2673" s="17">
        <f t="shared" si="2110"/>
        <v>3</v>
      </c>
      <c r="G2673" s="17" t="str">
        <f t="shared" si="2124"/>
        <v>高级防御百分比</v>
      </c>
      <c r="H2673" s="17" t="str">
        <f t="shared" si="2125"/>
        <v>icon_05</v>
      </c>
      <c r="I2673" s="20">
        <v>0</v>
      </c>
      <c r="J2673" s="17">
        <v>5</v>
      </c>
      <c r="K2673" s="17">
        <f t="shared" si="2122"/>
        <v>62406</v>
      </c>
      <c r="L2673" s="17" t="s">
        <v>224</v>
      </c>
      <c r="M2673" s="17" t="str">
        <f t="shared" si="2126"/>
        <v>1:12100:10</v>
      </c>
      <c r="N2673" s="16" t="str">
        <f t="shared" si="2102"/>
        <v>174:1</v>
      </c>
      <c r="O2673" s="17">
        <f t="shared" si="2111"/>
        <v>5</v>
      </c>
      <c r="P2673" s="21" t="str">
        <f t="shared" si="2120"/>
        <v>所有魔物和野兽魔防增加:1</v>
      </c>
      <c r="Q2673" s="21"/>
      <c r="R2673" t="str">
        <f t="shared" si="2121"/>
        <v>魔防</v>
      </c>
      <c r="T2673" t="str">
        <f t="shared" si="2127"/>
        <v>:1</v>
      </c>
      <c r="U2673" t="str">
        <f t="shared" si="2100"/>
        <v>魔物</v>
      </c>
      <c r="V2673" t="s">
        <v>5028</v>
      </c>
      <c r="W2673">
        <f>属性类型!G2673</f>
        <v>174</v>
      </c>
      <c r="X2673">
        <v>1</v>
      </c>
    </row>
    <row r="2674" customFormat="1" ht="16.5" spans="1:24">
      <c r="A2674" s="17">
        <f t="shared" si="2123"/>
        <v>62406</v>
      </c>
      <c r="B2674" s="17">
        <f t="shared" si="2112"/>
        <v>62400</v>
      </c>
      <c r="C2674" s="17" t="str">
        <f t="shared" si="2128"/>
        <v>6</v>
      </c>
      <c r="D2674" s="17">
        <f t="shared" si="2101"/>
        <v>60003</v>
      </c>
      <c r="E2674" s="17">
        <v>1</v>
      </c>
      <c r="F2674" s="17">
        <f t="shared" si="2110"/>
        <v>3</v>
      </c>
      <c r="G2674" s="17" t="str">
        <f t="shared" si="2124"/>
        <v>高级防御百分比</v>
      </c>
      <c r="H2674" s="17" t="str">
        <f t="shared" si="2125"/>
        <v>icon_05</v>
      </c>
      <c r="I2674" s="20">
        <v>0</v>
      </c>
      <c r="J2674" s="17">
        <v>6</v>
      </c>
      <c r="K2674" s="17">
        <f t="shared" si="2122"/>
        <v>62407</v>
      </c>
      <c r="L2674" s="17" t="s">
        <v>227</v>
      </c>
      <c r="M2674" s="17" t="str">
        <f t="shared" si="2126"/>
        <v>1:12100:10</v>
      </c>
      <c r="N2674" s="16" t="str">
        <f t="shared" si="2102"/>
        <v>174:1</v>
      </c>
      <c r="O2674" s="17">
        <f t="shared" si="2111"/>
        <v>5</v>
      </c>
      <c r="P2674" s="21" t="str">
        <f t="shared" si="2120"/>
        <v>所有魔物和野兽魔防增加:1</v>
      </c>
      <c r="Q2674" s="21"/>
      <c r="R2674" t="str">
        <f t="shared" si="2121"/>
        <v>魔防</v>
      </c>
      <c r="T2674" t="str">
        <f t="shared" si="2127"/>
        <v>:1</v>
      </c>
      <c r="U2674" t="str">
        <f t="shared" si="2100"/>
        <v>魔物</v>
      </c>
      <c r="V2674" t="s">
        <v>5028</v>
      </c>
      <c r="W2674">
        <f>属性类型!G2674</f>
        <v>174</v>
      </c>
      <c r="X2674">
        <v>1</v>
      </c>
    </row>
    <row r="2675" customFormat="1" ht="16.5" spans="1:24">
      <c r="A2675" s="17">
        <f t="shared" si="2123"/>
        <v>62407</v>
      </c>
      <c r="B2675" s="17">
        <f t="shared" si="2112"/>
        <v>62400</v>
      </c>
      <c r="C2675" s="17" t="str">
        <f t="shared" si="2128"/>
        <v>6</v>
      </c>
      <c r="D2675" s="17">
        <f t="shared" si="2101"/>
        <v>60003</v>
      </c>
      <c r="E2675" s="17">
        <v>1</v>
      </c>
      <c r="F2675" s="17">
        <f t="shared" si="2110"/>
        <v>3</v>
      </c>
      <c r="G2675" s="17" t="str">
        <f t="shared" si="2124"/>
        <v>高级防御百分比</v>
      </c>
      <c r="H2675" s="17" t="str">
        <f t="shared" si="2125"/>
        <v>icon_05</v>
      </c>
      <c r="I2675" s="20">
        <v>0</v>
      </c>
      <c r="J2675" s="17">
        <v>7</v>
      </c>
      <c r="K2675" s="17">
        <f t="shared" si="2122"/>
        <v>62408</v>
      </c>
      <c r="L2675" s="17" t="s">
        <v>230</v>
      </c>
      <c r="M2675" s="17" t="str">
        <f t="shared" si="2126"/>
        <v>1:12100:10</v>
      </c>
      <c r="N2675" s="16" t="str">
        <f t="shared" si="2102"/>
        <v>174:1</v>
      </c>
      <c r="O2675" s="17">
        <f t="shared" si="2111"/>
        <v>5</v>
      </c>
      <c r="P2675" s="21" t="str">
        <f t="shared" si="2120"/>
        <v>所有魔物和野兽魔防增加:1</v>
      </c>
      <c r="Q2675" s="21"/>
      <c r="R2675" t="str">
        <f t="shared" si="2121"/>
        <v>魔防</v>
      </c>
      <c r="T2675" t="str">
        <f t="shared" si="2127"/>
        <v>:1</v>
      </c>
      <c r="U2675" t="str">
        <f t="shared" si="2100"/>
        <v>魔物</v>
      </c>
      <c r="V2675" t="s">
        <v>5028</v>
      </c>
      <c r="W2675">
        <f>属性类型!G2675</f>
        <v>174</v>
      </c>
      <c r="X2675">
        <v>1</v>
      </c>
    </row>
    <row r="2676" customFormat="1" ht="16.5" spans="1:24">
      <c r="A2676" s="17">
        <f t="shared" si="2123"/>
        <v>62408</v>
      </c>
      <c r="B2676" s="17">
        <f t="shared" si="2112"/>
        <v>62400</v>
      </c>
      <c r="C2676" s="17" t="str">
        <f t="shared" si="2128"/>
        <v>6</v>
      </c>
      <c r="D2676" s="17">
        <f t="shared" si="2101"/>
        <v>60003</v>
      </c>
      <c r="E2676" s="17">
        <v>1</v>
      </c>
      <c r="F2676" s="17">
        <f t="shared" si="2110"/>
        <v>3</v>
      </c>
      <c r="G2676" s="17" t="str">
        <f t="shared" si="2124"/>
        <v>高级防御百分比</v>
      </c>
      <c r="H2676" s="17" t="str">
        <f t="shared" si="2125"/>
        <v>icon_05</v>
      </c>
      <c r="I2676" s="20">
        <v>0</v>
      </c>
      <c r="J2676" s="17">
        <v>8</v>
      </c>
      <c r="K2676" s="17">
        <f t="shared" si="2122"/>
        <v>62409</v>
      </c>
      <c r="L2676" s="17" t="s">
        <v>233</v>
      </c>
      <c r="M2676" s="17" t="str">
        <f t="shared" si="2126"/>
        <v>1:12100:10</v>
      </c>
      <c r="N2676" s="16" t="str">
        <f t="shared" si="2102"/>
        <v>174:1</v>
      </c>
      <c r="O2676" s="17">
        <f t="shared" si="2111"/>
        <v>5</v>
      </c>
      <c r="P2676" s="21" t="str">
        <f t="shared" si="2120"/>
        <v>所有魔物和野兽魔防增加:1</v>
      </c>
      <c r="Q2676" s="21"/>
      <c r="R2676" t="str">
        <f t="shared" si="2121"/>
        <v>魔防</v>
      </c>
      <c r="T2676" t="str">
        <f t="shared" si="2127"/>
        <v>:1</v>
      </c>
      <c r="U2676" t="str">
        <f t="shared" si="2100"/>
        <v>魔物</v>
      </c>
      <c r="V2676" t="s">
        <v>5028</v>
      </c>
      <c r="W2676">
        <f>属性类型!G2676</f>
        <v>174</v>
      </c>
      <c r="X2676">
        <v>1</v>
      </c>
    </row>
    <row r="2677" customFormat="1" ht="16.5" spans="1:24">
      <c r="A2677" s="17">
        <f t="shared" si="2123"/>
        <v>62409</v>
      </c>
      <c r="B2677" s="17">
        <f t="shared" si="2112"/>
        <v>62400</v>
      </c>
      <c r="C2677" s="17" t="str">
        <f t="shared" si="2128"/>
        <v>6</v>
      </c>
      <c r="D2677" s="17">
        <f t="shared" si="2101"/>
        <v>60003</v>
      </c>
      <c r="E2677" s="17">
        <v>1</v>
      </c>
      <c r="F2677" s="17">
        <f t="shared" si="2110"/>
        <v>3</v>
      </c>
      <c r="G2677" s="17" t="str">
        <f t="shared" si="2124"/>
        <v>高级防御百分比</v>
      </c>
      <c r="H2677" s="17" t="str">
        <f t="shared" si="2125"/>
        <v>icon_05</v>
      </c>
      <c r="I2677" s="20">
        <v>0</v>
      </c>
      <c r="J2677" s="17">
        <v>9</v>
      </c>
      <c r="K2677" s="17">
        <f t="shared" si="2122"/>
        <v>62410</v>
      </c>
      <c r="L2677" s="17" t="s">
        <v>236</v>
      </c>
      <c r="M2677" s="17" t="str">
        <f t="shared" si="2126"/>
        <v>1:12100:10</v>
      </c>
      <c r="N2677" s="16" t="str">
        <f t="shared" si="2102"/>
        <v>174:1</v>
      </c>
      <c r="O2677" s="17">
        <f t="shared" si="2111"/>
        <v>5</v>
      </c>
      <c r="P2677" s="21" t="str">
        <f t="shared" si="2120"/>
        <v>所有魔物和野兽魔防增加:1</v>
      </c>
      <c r="Q2677" s="21"/>
      <c r="R2677" t="str">
        <f t="shared" si="2121"/>
        <v>魔防</v>
      </c>
      <c r="T2677" t="str">
        <f t="shared" si="2127"/>
        <v>:1</v>
      </c>
      <c r="U2677" t="str">
        <f t="shared" si="2100"/>
        <v>魔物</v>
      </c>
      <c r="V2677" t="s">
        <v>5028</v>
      </c>
      <c r="W2677">
        <f>属性类型!G2677</f>
        <v>174</v>
      </c>
      <c r="X2677">
        <v>1</v>
      </c>
    </row>
    <row r="2678" customFormat="1" ht="16.5" spans="1:24">
      <c r="A2678" s="17">
        <f t="shared" si="2123"/>
        <v>62410</v>
      </c>
      <c r="B2678" s="17">
        <f t="shared" si="2112"/>
        <v>62400</v>
      </c>
      <c r="C2678" s="17" t="str">
        <f t="shared" si="2128"/>
        <v>6</v>
      </c>
      <c r="D2678" s="17">
        <f t="shared" si="2101"/>
        <v>60003</v>
      </c>
      <c r="E2678" s="17">
        <v>1</v>
      </c>
      <c r="F2678" s="17">
        <f t="shared" si="2110"/>
        <v>3</v>
      </c>
      <c r="G2678" s="17" t="str">
        <f t="shared" si="2124"/>
        <v>高级防御百分比</v>
      </c>
      <c r="H2678" s="17" t="str">
        <f t="shared" si="2125"/>
        <v>icon_05</v>
      </c>
      <c r="I2678" s="20">
        <v>0</v>
      </c>
      <c r="J2678" s="17">
        <v>10</v>
      </c>
      <c r="K2678" s="17">
        <f t="shared" si="2122"/>
        <v>62411</v>
      </c>
      <c r="L2678" s="17" t="s">
        <v>238</v>
      </c>
      <c r="M2678" s="17" t="str">
        <f t="shared" si="2126"/>
        <v>1:12100:10</v>
      </c>
      <c r="N2678" s="16" t="str">
        <f t="shared" si="2102"/>
        <v>174:1</v>
      </c>
      <c r="O2678" s="17">
        <f t="shared" si="2111"/>
        <v>5</v>
      </c>
      <c r="P2678" s="21" t="str">
        <f t="shared" si="2120"/>
        <v>所有魔物和野兽魔防增加:1</v>
      </c>
      <c r="Q2678" s="21"/>
      <c r="R2678" t="str">
        <f t="shared" si="2121"/>
        <v>魔防</v>
      </c>
      <c r="T2678" t="str">
        <f t="shared" si="2127"/>
        <v>:1</v>
      </c>
      <c r="U2678" t="str">
        <f t="shared" si="2100"/>
        <v>魔物</v>
      </c>
      <c r="V2678" t="s">
        <v>5028</v>
      </c>
      <c r="W2678">
        <f>属性类型!G2678</f>
        <v>174</v>
      </c>
      <c r="X2678">
        <v>1</v>
      </c>
    </row>
    <row r="2679" customFormat="1" ht="16.5" spans="1:24">
      <c r="A2679" s="17">
        <f t="shared" si="2123"/>
        <v>62411</v>
      </c>
      <c r="B2679" s="17">
        <f t="shared" si="2112"/>
        <v>62400</v>
      </c>
      <c r="C2679" s="17" t="str">
        <f t="shared" si="2128"/>
        <v>6</v>
      </c>
      <c r="D2679" s="17">
        <f t="shared" si="2101"/>
        <v>60003</v>
      </c>
      <c r="E2679" s="17">
        <v>1</v>
      </c>
      <c r="F2679" s="17">
        <f t="shared" si="2110"/>
        <v>3</v>
      </c>
      <c r="G2679" s="17" t="str">
        <f t="shared" si="2124"/>
        <v>高级防御百分比</v>
      </c>
      <c r="H2679" s="17" t="str">
        <f t="shared" si="2125"/>
        <v>icon_05</v>
      </c>
      <c r="I2679" s="20">
        <v>0</v>
      </c>
      <c r="J2679" s="17">
        <v>11</v>
      </c>
      <c r="K2679" s="17">
        <f t="shared" si="2122"/>
        <v>62412</v>
      </c>
      <c r="L2679" s="17" t="s">
        <v>529</v>
      </c>
      <c r="M2679" s="17" t="str">
        <f t="shared" si="2126"/>
        <v>1:12100:10</v>
      </c>
      <c r="N2679" s="16" t="str">
        <f t="shared" si="2102"/>
        <v>174:1</v>
      </c>
      <c r="O2679" s="17">
        <f t="shared" si="2111"/>
        <v>5</v>
      </c>
      <c r="P2679" s="21" t="str">
        <f t="shared" si="2120"/>
        <v>所有魔物和野兽魔防增加:1</v>
      </c>
      <c r="Q2679" s="21"/>
      <c r="R2679" t="str">
        <f t="shared" si="2121"/>
        <v>魔防</v>
      </c>
      <c r="T2679" t="str">
        <f t="shared" si="2127"/>
        <v>:1</v>
      </c>
      <c r="U2679" t="str">
        <f t="shared" si="2100"/>
        <v>魔物</v>
      </c>
      <c r="V2679" t="s">
        <v>5028</v>
      </c>
      <c r="W2679">
        <f>属性类型!G2679</f>
        <v>174</v>
      </c>
      <c r="X2679">
        <v>1</v>
      </c>
    </row>
    <row r="2680" customFormat="1" ht="16.5" spans="1:24">
      <c r="A2680" s="17">
        <f t="shared" si="2123"/>
        <v>62412</v>
      </c>
      <c r="B2680" s="17">
        <f t="shared" si="2112"/>
        <v>62400</v>
      </c>
      <c r="C2680" s="17" t="str">
        <f t="shared" si="2128"/>
        <v>6</v>
      </c>
      <c r="D2680" s="17">
        <f t="shared" si="2101"/>
        <v>60003</v>
      </c>
      <c r="E2680" s="17">
        <v>1</v>
      </c>
      <c r="F2680" s="17">
        <f t="shared" si="2110"/>
        <v>3</v>
      </c>
      <c r="G2680" s="17" t="str">
        <f t="shared" si="2124"/>
        <v>高级防御百分比</v>
      </c>
      <c r="H2680" s="17" t="str">
        <f t="shared" si="2125"/>
        <v>icon_05</v>
      </c>
      <c r="I2680" s="20">
        <v>0</v>
      </c>
      <c r="J2680" s="17">
        <v>12</v>
      </c>
      <c r="K2680" s="17">
        <f t="shared" si="2122"/>
        <v>62413</v>
      </c>
      <c r="L2680" s="17" t="s">
        <v>532</v>
      </c>
      <c r="M2680" s="17" t="str">
        <f t="shared" si="2126"/>
        <v>1:12100:10</v>
      </c>
      <c r="N2680" s="16" t="str">
        <f t="shared" si="2102"/>
        <v>174:1</v>
      </c>
      <c r="O2680" s="17">
        <f t="shared" si="2111"/>
        <v>5</v>
      </c>
      <c r="P2680" s="21" t="str">
        <f t="shared" si="2120"/>
        <v>所有魔物和野兽魔防增加:1</v>
      </c>
      <c r="Q2680" s="21"/>
      <c r="R2680" t="str">
        <f t="shared" si="2121"/>
        <v>魔防</v>
      </c>
      <c r="T2680" t="str">
        <f t="shared" si="2127"/>
        <v>:1</v>
      </c>
      <c r="U2680" t="str">
        <f t="shared" si="2100"/>
        <v>魔物</v>
      </c>
      <c r="V2680" t="s">
        <v>5028</v>
      </c>
      <c r="W2680">
        <f>属性类型!G2680</f>
        <v>174</v>
      </c>
      <c r="X2680">
        <v>1</v>
      </c>
    </row>
    <row r="2681" customFormat="1" ht="16.5" spans="1:24">
      <c r="A2681" s="17">
        <f t="shared" si="2123"/>
        <v>62413</v>
      </c>
      <c r="B2681" s="17">
        <f t="shared" si="2112"/>
        <v>62400</v>
      </c>
      <c r="C2681" s="17" t="str">
        <f t="shared" si="2128"/>
        <v>6</v>
      </c>
      <c r="D2681" s="17">
        <f t="shared" si="2101"/>
        <v>60003</v>
      </c>
      <c r="E2681" s="17">
        <v>1</v>
      </c>
      <c r="F2681" s="17">
        <f t="shared" si="2110"/>
        <v>3</v>
      </c>
      <c r="G2681" s="17" t="str">
        <f t="shared" si="2124"/>
        <v>高级防御百分比</v>
      </c>
      <c r="H2681" s="17" t="str">
        <f t="shared" si="2125"/>
        <v>icon_05</v>
      </c>
      <c r="I2681" s="20">
        <v>0</v>
      </c>
      <c r="J2681" s="17">
        <v>13</v>
      </c>
      <c r="K2681" s="17">
        <f t="shared" si="2122"/>
        <v>62414</v>
      </c>
      <c r="L2681" s="17" t="s">
        <v>561</v>
      </c>
      <c r="M2681" s="17" t="str">
        <f t="shared" si="2126"/>
        <v>1:12100:10</v>
      </c>
      <c r="N2681" s="16" t="str">
        <f t="shared" si="2102"/>
        <v>174:1</v>
      </c>
      <c r="O2681" s="17">
        <f t="shared" si="2111"/>
        <v>5</v>
      </c>
      <c r="P2681" s="21" t="str">
        <f t="shared" si="2120"/>
        <v>所有魔物和野兽魔防增加:1</v>
      </c>
      <c r="Q2681" s="21"/>
      <c r="R2681" t="str">
        <f t="shared" si="2121"/>
        <v>魔防</v>
      </c>
      <c r="T2681" t="str">
        <f t="shared" si="2127"/>
        <v>:1</v>
      </c>
      <c r="U2681" t="str">
        <f t="shared" si="2100"/>
        <v>魔物</v>
      </c>
      <c r="V2681" t="s">
        <v>5028</v>
      </c>
      <c r="W2681">
        <f>属性类型!G2681</f>
        <v>174</v>
      </c>
      <c r="X2681">
        <v>1</v>
      </c>
    </row>
    <row r="2682" customFormat="1" ht="16.5" spans="1:24">
      <c r="A2682" s="17">
        <f t="shared" si="2123"/>
        <v>62414</v>
      </c>
      <c r="B2682" s="17">
        <f t="shared" si="2112"/>
        <v>62400</v>
      </c>
      <c r="C2682" s="17" t="str">
        <f t="shared" si="2128"/>
        <v>6</v>
      </c>
      <c r="D2682" s="17">
        <f t="shared" si="2101"/>
        <v>60003</v>
      </c>
      <c r="E2682" s="17">
        <v>1</v>
      </c>
      <c r="F2682" s="17">
        <f t="shared" si="2110"/>
        <v>3</v>
      </c>
      <c r="G2682" s="17" t="str">
        <f t="shared" si="2124"/>
        <v>高级防御百分比</v>
      </c>
      <c r="H2682" s="17" t="str">
        <f t="shared" si="2125"/>
        <v>icon_05</v>
      </c>
      <c r="I2682" s="20">
        <v>0</v>
      </c>
      <c r="J2682" s="17">
        <v>14</v>
      </c>
      <c r="K2682" s="17">
        <f t="shared" si="2122"/>
        <v>62415</v>
      </c>
      <c r="L2682" s="17" t="s">
        <v>564</v>
      </c>
      <c r="M2682" s="17" t="str">
        <f t="shared" si="2126"/>
        <v>1:12100:10</v>
      </c>
      <c r="N2682" s="16" t="str">
        <f t="shared" si="2102"/>
        <v>174:1</v>
      </c>
      <c r="O2682" s="17">
        <f t="shared" si="2111"/>
        <v>5</v>
      </c>
      <c r="P2682" s="21" t="str">
        <f t="shared" si="2120"/>
        <v>所有魔物和野兽魔防增加:1</v>
      </c>
      <c r="Q2682" s="21"/>
      <c r="R2682" t="str">
        <f t="shared" si="2121"/>
        <v>魔防</v>
      </c>
      <c r="T2682" t="str">
        <f t="shared" si="2127"/>
        <v>:1</v>
      </c>
      <c r="U2682" t="str">
        <f t="shared" si="2100"/>
        <v>魔物</v>
      </c>
      <c r="V2682" t="s">
        <v>5028</v>
      </c>
      <c r="W2682">
        <f>属性类型!G2682</f>
        <v>174</v>
      </c>
      <c r="X2682">
        <v>1</v>
      </c>
    </row>
    <row r="2683" customFormat="1" ht="16.5" spans="1:24">
      <c r="A2683" s="17">
        <f t="shared" si="2123"/>
        <v>62415</v>
      </c>
      <c r="B2683" s="17">
        <f t="shared" si="2112"/>
        <v>62400</v>
      </c>
      <c r="C2683" s="17" t="str">
        <f t="shared" si="2128"/>
        <v>6</v>
      </c>
      <c r="D2683" s="17">
        <f t="shared" si="2101"/>
        <v>60003</v>
      </c>
      <c r="E2683" s="17">
        <v>1</v>
      </c>
      <c r="F2683" s="17">
        <f t="shared" si="2110"/>
        <v>3</v>
      </c>
      <c r="G2683" s="17" t="str">
        <f t="shared" si="2124"/>
        <v>高级防御百分比</v>
      </c>
      <c r="H2683" s="17" t="str">
        <f t="shared" si="2125"/>
        <v>icon_05</v>
      </c>
      <c r="I2683" s="20">
        <v>0</v>
      </c>
      <c r="J2683" s="17">
        <v>15</v>
      </c>
      <c r="K2683" s="17">
        <f t="shared" si="2122"/>
        <v>62416</v>
      </c>
      <c r="L2683" s="17" t="s">
        <v>630</v>
      </c>
      <c r="M2683" s="17" t="str">
        <f t="shared" si="2126"/>
        <v>1:12100:10</v>
      </c>
      <c r="N2683" s="16" t="str">
        <f t="shared" si="2102"/>
        <v>174:1</v>
      </c>
      <c r="O2683" s="17">
        <f t="shared" si="2111"/>
        <v>5</v>
      </c>
      <c r="P2683" s="21" t="str">
        <f t="shared" si="2120"/>
        <v>所有魔物和野兽魔防增加:1</v>
      </c>
      <c r="Q2683" s="21"/>
      <c r="R2683" t="str">
        <f t="shared" si="2121"/>
        <v>魔防</v>
      </c>
      <c r="T2683" t="str">
        <f t="shared" si="2127"/>
        <v>:1</v>
      </c>
      <c r="U2683" t="str">
        <f t="shared" si="2100"/>
        <v>魔物</v>
      </c>
      <c r="V2683" t="s">
        <v>5028</v>
      </c>
      <c r="W2683">
        <f>属性类型!G2683</f>
        <v>174</v>
      </c>
      <c r="X2683">
        <v>1</v>
      </c>
    </row>
    <row r="2684" customFormat="1" ht="16.5" spans="1:24">
      <c r="A2684" s="17">
        <f t="shared" si="2123"/>
        <v>62416</v>
      </c>
      <c r="B2684" s="17">
        <f t="shared" si="2112"/>
        <v>62400</v>
      </c>
      <c r="C2684" s="17" t="str">
        <f t="shared" si="2128"/>
        <v>6</v>
      </c>
      <c r="D2684" s="17">
        <f t="shared" si="2101"/>
        <v>60003</v>
      </c>
      <c r="E2684" s="17">
        <v>1</v>
      </c>
      <c r="F2684" s="17">
        <f t="shared" si="2110"/>
        <v>3</v>
      </c>
      <c r="G2684" s="17" t="str">
        <f t="shared" si="2124"/>
        <v>高级防御百分比</v>
      </c>
      <c r="H2684" s="17" t="str">
        <f t="shared" si="2125"/>
        <v>icon_05</v>
      </c>
      <c r="I2684" s="20">
        <v>0</v>
      </c>
      <c r="J2684" s="17">
        <v>16</v>
      </c>
      <c r="K2684" s="17">
        <f t="shared" si="2122"/>
        <v>62417</v>
      </c>
      <c r="L2684" s="17" t="s">
        <v>633</v>
      </c>
      <c r="M2684" s="17" t="str">
        <f t="shared" si="2126"/>
        <v>1:12100:10</v>
      </c>
      <c r="N2684" s="16" t="str">
        <f t="shared" si="2102"/>
        <v>174:1</v>
      </c>
      <c r="O2684" s="17">
        <f t="shared" si="2111"/>
        <v>5</v>
      </c>
      <c r="P2684" s="21" t="str">
        <f t="shared" si="2120"/>
        <v>所有魔物和野兽魔防增加:1</v>
      </c>
      <c r="Q2684" s="21"/>
      <c r="R2684" t="str">
        <f t="shared" si="2121"/>
        <v>魔防</v>
      </c>
      <c r="T2684" t="str">
        <f t="shared" si="2127"/>
        <v>:1</v>
      </c>
      <c r="U2684" t="str">
        <f t="shared" si="2100"/>
        <v>魔物</v>
      </c>
      <c r="V2684" t="s">
        <v>5028</v>
      </c>
      <c r="W2684">
        <f>属性类型!G2684</f>
        <v>174</v>
      </c>
      <c r="X2684">
        <v>1</v>
      </c>
    </row>
    <row r="2685" customFormat="1" ht="16.5" spans="1:24">
      <c r="A2685" s="17">
        <f t="shared" si="2123"/>
        <v>62417</v>
      </c>
      <c r="B2685" s="17">
        <f t="shared" si="2112"/>
        <v>62400</v>
      </c>
      <c r="C2685" s="17" t="str">
        <f t="shared" si="2128"/>
        <v>6</v>
      </c>
      <c r="D2685" s="17">
        <f t="shared" si="2101"/>
        <v>60003</v>
      </c>
      <c r="E2685" s="17">
        <v>1</v>
      </c>
      <c r="F2685" s="17">
        <f t="shared" si="2110"/>
        <v>3</v>
      </c>
      <c r="G2685" s="17" t="str">
        <f t="shared" si="2124"/>
        <v>高级防御百分比</v>
      </c>
      <c r="H2685" s="17" t="str">
        <f t="shared" si="2125"/>
        <v>icon_05</v>
      </c>
      <c r="I2685" s="20">
        <v>0</v>
      </c>
      <c r="J2685" s="17">
        <v>17</v>
      </c>
      <c r="K2685" s="17">
        <f t="shared" si="2122"/>
        <v>62418</v>
      </c>
      <c r="L2685" s="17" t="s">
        <v>637</v>
      </c>
      <c r="M2685" s="17" t="str">
        <f t="shared" si="2126"/>
        <v>1:12100:10</v>
      </c>
      <c r="N2685" s="16" t="str">
        <f t="shared" si="2102"/>
        <v>174:1</v>
      </c>
      <c r="O2685" s="17">
        <f t="shared" si="2111"/>
        <v>5</v>
      </c>
      <c r="P2685" s="21" t="str">
        <f t="shared" si="2120"/>
        <v>所有魔物和野兽魔防增加:1</v>
      </c>
      <c r="Q2685" s="21"/>
      <c r="R2685" t="str">
        <f t="shared" si="2121"/>
        <v>魔防</v>
      </c>
      <c r="T2685" t="str">
        <f t="shared" si="2127"/>
        <v>:1</v>
      </c>
      <c r="U2685" t="str">
        <f t="shared" si="2100"/>
        <v>魔物</v>
      </c>
      <c r="V2685" t="s">
        <v>5028</v>
      </c>
      <c r="W2685">
        <f>属性类型!G2685</f>
        <v>174</v>
      </c>
      <c r="X2685">
        <v>1</v>
      </c>
    </row>
    <row r="2686" customFormat="1" ht="16.5" spans="1:24">
      <c r="A2686" s="17">
        <f t="shared" si="2123"/>
        <v>62418</v>
      </c>
      <c r="B2686" s="17">
        <f t="shared" si="2112"/>
        <v>62400</v>
      </c>
      <c r="C2686" s="17" t="str">
        <f t="shared" si="2128"/>
        <v>6</v>
      </c>
      <c r="D2686" s="17">
        <f t="shared" si="2101"/>
        <v>60003</v>
      </c>
      <c r="E2686" s="17">
        <v>1</v>
      </c>
      <c r="F2686" s="17">
        <f t="shared" si="2110"/>
        <v>3</v>
      </c>
      <c r="G2686" s="17" t="str">
        <f t="shared" si="2124"/>
        <v>高级防御百分比</v>
      </c>
      <c r="H2686" s="17" t="str">
        <f t="shared" si="2125"/>
        <v>icon_05</v>
      </c>
      <c r="I2686" s="20">
        <v>0</v>
      </c>
      <c r="J2686" s="17">
        <v>18</v>
      </c>
      <c r="K2686" s="17">
        <f t="shared" si="2122"/>
        <v>62419</v>
      </c>
      <c r="L2686" s="17" t="s">
        <v>641</v>
      </c>
      <c r="M2686" s="17" t="str">
        <f t="shared" si="2126"/>
        <v>1:12100:10</v>
      </c>
      <c r="N2686" s="16" t="str">
        <f t="shared" si="2102"/>
        <v>174:1</v>
      </c>
      <c r="O2686" s="17">
        <f t="shared" si="2111"/>
        <v>5</v>
      </c>
      <c r="P2686" s="21" t="str">
        <f t="shared" si="2120"/>
        <v>所有魔物和野兽魔防增加:1</v>
      </c>
      <c r="Q2686" s="21"/>
      <c r="R2686" t="str">
        <f t="shared" si="2121"/>
        <v>魔防</v>
      </c>
      <c r="T2686" t="str">
        <f t="shared" si="2127"/>
        <v>:1</v>
      </c>
      <c r="U2686" t="str">
        <f t="shared" si="2100"/>
        <v>魔物</v>
      </c>
      <c r="V2686" t="s">
        <v>5028</v>
      </c>
      <c r="W2686">
        <f>属性类型!G2686</f>
        <v>174</v>
      </c>
      <c r="X2686">
        <v>1</v>
      </c>
    </row>
    <row r="2687" customFormat="1" ht="16.5" spans="1:24">
      <c r="A2687" s="17">
        <f t="shared" si="2123"/>
        <v>62419</v>
      </c>
      <c r="B2687" s="17">
        <f t="shared" si="2112"/>
        <v>62400</v>
      </c>
      <c r="C2687" s="17" t="str">
        <f t="shared" si="2128"/>
        <v>6</v>
      </c>
      <c r="D2687" s="17">
        <f t="shared" si="2101"/>
        <v>60003</v>
      </c>
      <c r="E2687" s="17">
        <v>1</v>
      </c>
      <c r="F2687" s="17">
        <f t="shared" si="2110"/>
        <v>3</v>
      </c>
      <c r="G2687" s="17" t="str">
        <f t="shared" si="2124"/>
        <v>高级防御百分比</v>
      </c>
      <c r="H2687" s="17" t="str">
        <f t="shared" si="2125"/>
        <v>icon_05</v>
      </c>
      <c r="I2687" s="20">
        <v>0</v>
      </c>
      <c r="J2687" s="17">
        <v>19</v>
      </c>
      <c r="K2687" s="17">
        <f t="shared" si="2122"/>
        <v>62420</v>
      </c>
      <c r="L2687" s="17" t="s">
        <v>645</v>
      </c>
      <c r="M2687" s="17" t="str">
        <f t="shared" si="2126"/>
        <v>1:12100:10</v>
      </c>
      <c r="N2687" s="16" t="str">
        <f t="shared" si="2102"/>
        <v>174:1</v>
      </c>
      <c r="O2687" s="17">
        <f t="shared" si="2111"/>
        <v>5</v>
      </c>
      <c r="P2687" s="21" t="str">
        <f t="shared" si="2120"/>
        <v>所有魔物和野兽魔防增加:1</v>
      </c>
      <c r="Q2687" s="21"/>
      <c r="R2687" t="str">
        <f t="shared" si="2121"/>
        <v>魔防</v>
      </c>
      <c r="T2687" t="str">
        <f t="shared" si="2127"/>
        <v>:1</v>
      </c>
      <c r="U2687" t="str">
        <f t="shared" si="2100"/>
        <v>魔物</v>
      </c>
      <c r="V2687" t="s">
        <v>5028</v>
      </c>
      <c r="W2687">
        <f>属性类型!G2687</f>
        <v>174</v>
      </c>
      <c r="X2687">
        <v>1</v>
      </c>
    </row>
    <row r="2688" customFormat="1" ht="16.5" spans="1:24">
      <c r="A2688" s="17">
        <f t="shared" si="2123"/>
        <v>62420</v>
      </c>
      <c r="B2688" s="17">
        <f t="shared" si="2112"/>
        <v>62400</v>
      </c>
      <c r="C2688" s="17" t="str">
        <f t="shared" si="2128"/>
        <v>6</v>
      </c>
      <c r="D2688" s="17">
        <f t="shared" si="2101"/>
        <v>60003</v>
      </c>
      <c r="E2688" s="17">
        <v>1</v>
      </c>
      <c r="F2688" s="17">
        <f t="shared" si="2110"/>
        <v>3</v>
      </c>
      <c r="G2688" s="17" t="str">
        <f t="shared" si="2124"/>
        <v>高级防御百分比</v>
      </c>
      <c r="H2688" s="17" t="str">
        <f t="shared" si="2125"/>
        <v>icon_05</v>
      </c>
      <c r="I2688" s="20">
        <v>0</v>
      </c>
      <c r="J2688" s="17">
        <v>20</v>
      </c>
      <c r="K2688" s="17">
        <v>0</v>
      </c>
      <c r="L2688" s="17">
        <v>0</v>
      </c>
      <c r="M2688" s="17" t="str">
        <f t="shared" si="2126"/>
        <v>1:12100:10</v>
      </c>
      <c r="N2688" s="16" t="str">
        <f t="shared" si="2102"/>
        <v>174:1</v>
      </c>
      <c r="O2688" s="17">
        <f t="shared" si="2111"/>
        <v>5</v>
      </c>
      <c r="P2688" s="21" t="str">
        <f t="shared" si="2120"/>
        <v>所有魔物和野兽魔防增加:1</v>
      </c>
      <c r="Q2688" s="21"/>
      <c r="R2688" t="str">
        <f t="shared" si="2121"/>
        <v>魔防</v>
      </c>
      <c r="T2688" t="str">
        <f t="shared" si="2127"/>
        <v>:1</v>
      </c>
      <c r="U2688" t="str">
        <f t="shared" si="2100"/>
        <v>魔物</v>
      </c>
      <c r="V2688" t="s">
        <v>5028</v>
      </c>
      <c r="W2688">
        <f>属性类型!G2688</f>
        <v>174</v>
      </c>
      <c r="X2688">
        <v>1</v>
      </c>
    </row>
    <row r="2689" customFormat="1" ht="16.5" spans="1:24">
      <c r="A2689" s="18">
        <f>A2668+100</f>
        <v>62500</v>
      </c>
      <c r="B2689" s="18">
        <f t="shared" si="2112"/>
        <v>62500</v>
      </c>
      <c r="C2689" s="18" t="str">
        <f t="shared" si="2128"/>
        <v>6</v>
      </c>
      <c r="D2689" s="17">
        <f t="shared" si="2101"/>
        <v>60003</v>
      </c>
      <c r="E2689" s="17">
        <v>1</v>
      </c>
      <c r="F2689" s="18">
        <f t="shared" si="2110"/>
        <v>3</v>
      </c>
      <c r="G2689" s="18" t="s">
        <v>650</v>
      </c>
      <c r="H2689" s="18" t="s">
        <v>149</v>
      </c>
      <c r="I2689" s="20">
        <v>0</v>
      </c>
      <c r="J2689" s="18">
        <v>0</v>
      </c>
      <c r="K2689" s="18">
        <f t="shared" ref="K2689:K2708" si="2129">A2690</f>
        <v>62501</v>
      </c>
      <c r="L2689" s="18" t="s">
        <v>206</v>
      </c>
      <c r="M2689" s="18" t="s">
        <v>652</v>
      </c>
      <c r="N2689" s="16" t="str">
        <f t="shared" si="2102"/>
        <v>174:1</v>
      </c>
      <c r="O2689" s="18">
        <f t="shared" si="2111"/>
        <v>6</v>
      </c>
      <c r="P2689" s="21" t="str">
        <f t="shared" si="2120"/>
        <v>所有魔物和野兽魔防增加1</v>
      </c>
      <c r="Q2689" s="21"/>
      <c r="R2689" t="str">
        <f t="shared" si="2121"/>
        <v>魔防</v>
      </c>
      <c r="T2689" t="str">
        <f>RIGHT(N2689,1)</f>
        <v>1</v>
      </c>
      <c r="U2689" t="str">
        <f t="shared" si="2100"/>
        <v>魔物</v>
      </c>
      <c r="V2689" t="s">
        <v>5028</v>
      </c>
      <c r="W2689">
        <f>属性类型!G2689</f>
        <v>174</v>
      </c>
      <c r="X2689">
        <v>1</v>
      </c>
    </row>
    <row r="2690" customFormat="1" ht="16.5" spans="1:24">
      <c r="A2690" s="17">
        <f t="shared" ref="A2690:A2709" si="2130">A2689+1</f>
        <v>62501</v>
      </c>
      <c r="B2690" s="17">
        <f t="shared" si="2112"/>
        <v>62500</v>
      </c>
      <c r="C2690" s="17" t="str">
        <f t="shared" si="2128"/>
        <v>6</v>
      </c>
      <c r="D2690" s="17">
        <f t="shared" si="2101"/>
        <v>60003</v>
      </c>
      <c r="E2690" s="17">
        <v>1</v>
      </c>
      <c r="F2690" s="17">
        <f t="shared" si="2110"/>
        <v>3</v>
      </c>
      <c r="G2690" s="17" t="str">
        <f t="shared" ref="G2690:G2709" si="2131">G2689</f>
        <v>高级攻击百分比</v>
      </c>
      <c r="H2690" s="17" t="str">
        <f t="shared" ref="H2690:H2709" si="2132">H2689</f>
        <v>icon_06</v>
      </c>
      <c r="I2690" s="20">
        <v>0</v>
      </c>
      <c r="J2690" s="17">
        <v>1</v>
      </c>
      <c r="K2690" s="17">
        <f t="shared" si="2129"/>
        <v>62502</v>
      </c>
      <c r="L2690" s="17" t="s">
        <v>211</v>
      </c>
      <c r="M2690" s="17" t="str">
        <f t="shared" ref="M2690:M2709" si="2133">M2689</f>
        <v>1:12200:10</v>
      </c>
      <c r="N2690" s="16" t="str">
        <f t="shared" si="2102"/>
        <v>174:1</v>
      </c>
      <c r="O2690" s="17">
        <f t="shared" si="2111"/>
        <v>6</v>
      </c>
      <c r="P2690" s="21" t="str">
        <f t="shared" si="2120"/>
        <v>所有魔物和野兽魔防增加:1</v>
      </c>
      <c r="Q2690" s="21"/>
      <c r="R2690" t="str">
        <f t="shared" si="2121"/>
        <v>魔防</v>
      </c>
      <c r="T2690" t="str">
        <f t="shared" ref="T2690:T2709" si="2134">RIGHT(N2690,2)</f>
        <v>:1</v>
      </c>
      <c r="U2690" t="str">
        <f t="shared" si="2100"/>
        <v>魔物</v>
      </c>
      <c r="V2690" t="s">
        <v>5028</v>
      </c>
      <c r="W2690">
        <f>属性类型!G2690</f>
        <v>174</v>
      </c>
      <c r="X2690">
        <v>1</v>
      </c>
    </row>
    <row r="2691" customFormat="1" ht="16.5" spans="1:24">
      <c r="A2691" s="17">
        <f t="shared" si="2130"/>
        <v>62502</v>
      </c>
      <c r="B2691" s="17">
        <f t="shared" si="2112"/>
        <v>62500</v>
      </c>
      <c r="C2691" s="17" t="str">
        <f t="shared" si="2128"/>
        <v>6</v>
      </c>
      <c r="D2691" s="17">
        <f t="shared" si="2101"/>
        <v>60003</v>
      </c>
      <c r="E2691" s="17">
        <v>1</v>
      </c>
      <c r="F2691" s="17">
        <f t="shared" si="2110"/>
        <v>3</v>
      </c>
      <c r="G2691" s="17" t="str">
        <f t="shared" si="2131"/>
        <v>高级攻击百分比</v>
      </c>
      <c r="H2691" s="17" t="str">
        <f t="shared" si="2132"/>
        <v>icon_06</v>
      </c>
      <c r="I2691" s="20">
        <v>0</v>
      </c>
      <c r="J2691" s="17">
        <v>2</v>
      </c>
      <c r="K2691" s="17">
        <f t="shared" si="2129"/>
        <v>62503</v>
      </c>
      <c r="L2691" s="17" t="s">
        <v>215</v>
      </c>
      <c r="M2691" s="17" t="str">
        <f t="shared" si="2133"/>
        <v>1:12200:10</v>
      </c>
      <c r="N2691" s="16" t="str">
        <f t="shared" si="2102"/>
        <v>174:1</v>
      </c>
      <c r="O2691" s="17">
        <f t="shared" si="2111"/>
        <v>6</v>
      </c>
      <c r="P2691" s="21" t="str">
        <f t="shared" si="2120"/>
        <v>所有魔物和野兽魔防增加:1</v>
      </c>
      <c r="Q2691" s="21"/>
      <c r="R2691" t="str">
        <f t="shared" si="2121"/>
        <v>魔防</v>
      </c>
      <c r="T2691" t="str">
        <f t="shared" si="2134"/>
        <v>:1</v>
      </c>
      <c r="U2691" t="str">
        <f t="shared" si="2100"/>
        <v>魔物</v>
      </c>
      <c r="V2691" t="s">
        <v>5028</v>
      </c>
      <c r="W2691">
        <f>属性类型!G2691</f>
        <v>174</v>
      </c>
      <c r="X2691">
        <v>1</v>
      </c>
    </row>
    <row r="2692" customFormat="1" ht="16.5" spans="1:24">
      <c r="A2692" s="17">
        <f t="shared" si="2130"/>
        <v>62503</v>
      </c>
      <c r="B2692" s="17">
        <f t="shared" si="2112"/>
        <v>62500</v>
      </c>
      <c r="C2692" s="17" t="str">
        <f t="shared" si="2128"/>
        <v>6</v>
      </c>
      <c r="D2692" s="17">
        <f t="shared" si="2101"/>
        <v>60003</v>
      </c>
      <c r="E2692" s="17">
        <v>1</v>
      </c>
      <c r="F2692" s="17">
        <f t="shared" si="2110"/>
        <v>3</v>
      </c>
      <c r="G2692" s="17" t="str">
        <f t="shared" si="2131"/>
        <v>高级攻击百分比</v>
      </c>
      <c r="H2692" s="17" t="str">
        <f t="shared" si="2132"/>
        <v>icon_06</v>
      </c>
      <c r="I2692" s="20">
        <v>0</v>
      </c>
      <c r="J2692" s="17">
        <v>3</v>
      </c>
      <c r="K2692" s="17">
        <f t="shared" si="2129"/>
        <v>62504</v>
      </c>
      <c r="L2692" s="17" t="s">
        <v>218</v>
      </c>
      <c r="M2692" s="17" t="str">
        <f t="shared" si="2133"/>
        <v>1:12200:10</v>
      </c>
      <c r="N2692" s="16" t="str">
        <f t="shared" si="2102"/>
        <v>174:1</v>
      </c>
      <c r="O2692" s="17">
        <f t="shared" si="2111"/>
        <v>6</v>
      </c>
      <c r="P2692" s="21" t="str">
        <f t="shared" si="2120"/>
        <v>所有魔物和野兽魔防增加:1</v>
      </c>
      <c r="Q2692" s="21"/>
      <c r="R2692" t="str">
        <f t="shared" si="2121"/>
        <v>魔防</v>
      </c>
      <c r="T2692" t="str">
        <f t="shared" si="2134"/>
        <v>:1</v>
      </c>
      <c r="U2692" t="str">
        <f t="shared" si="2100"/>
        <v>魔物</v>
      </c>
      <c r="V2692" t="s">
        <v>5028</v>
      </c>
      <c r="W2692">
        <f>属性类型!G2692</f>
        <v>174</v>
      </c>
      <c r="X2692">
        <v>1</v>
      </c>
    </row>
    <row r="2693" customFormat="1" ht="16.5" spans="1:24">
      <c r="A2693" s="17">
        <f t="shared" si="2130"/>
        <v>62504</v>
      </c>
      <c r="B2693" s="17">
        <f t="shared" si="2112"/>
        <v>62500</v>
      </c>
      <c r="C2693" s="17" t="str">
        <f t="shared" si="2128"/>
        <v>6</v>
      </c>
      <c r="D2693" s="17">
        <f t="shared" si="2101"/>
        <v>60003</v>
      </c>
      <c r="E2693" s="17">
        <v>1</v>
      </c>
      <c r="F2693" s="17">
        <f t="shared" si="2110"/>
        <v>3</v>
      </c>
      <c r="G2693" s="17" t="str">
        <f t="shared" si="2131"/>
        <v>高级攻击百分比</v>
      </c>
      <c r="H2693" s="17" t="str">
        <f t="shared" si="2132"/>
        <v>icon_06</v>
      </c>
      <c r="I2693" s="20">
        <v>0</v>
      </c>
      <c r="J2693" s="17">
        <v>4</v>
      </c>
      <c r="K2693" s="17">
        <f t="shared" si="2129"/>
        <v>62505</v>
      </c>
      <c r="L2693" s="17" t="s">
        <v>221</v>
      </c>
      <c r="M2693" s="17" t="str">
        <f t="shared" si="2133"/>
        <v>1:12200:10</v>
      </c>
      <c r="N2693" s="16" t="str">
        <f t="shared" si="2102"/>
        <v>174:1</v>
      </c>
      <c r="O2693" s="17">
        <f t="shared" si="2111"/>
        <v>6</v>
      </c>
      <c r="P2693" s="21" t="str">
        <f t="shared" si="2120"/>
        <v>所有魔物和野兽魔防增加:1</v>
      </c>
      <c r="Q2693" s="21"/>
      <c r="R2693" t="str">
        <f t="shared" si="2121"/>
        <v>魔防</v>
      </c>
      <c r="T2693" t="str">
        <f t="shared" si="2134"/>
        <v>:1</v>
      </c>
      <c r="U2693" t="str">
        <f t="shared" ref="U2693:U2756" si="2135">MID(P2693,3,2)</f>
        <v>魔物</v>
      </c>
      <c r="V2693" t="s">
        <v>5028</v>
      </c>
      <c r="W2693">
        <f>属性类型!G2693</f>
        <v>174</v>
      </c>
      <c r="X2693">
        <v>1</v>
      </c>
    </row>
    <row r="2694" customFormat="1" ht="16.5" spans="1:24">
      <c r="A2694" s="17">
        <f t="shared" si="2130"/>
        <v>62505</v>
      </c>
      <c r="B2694" s="17">
        <f t="shared" si="2112"/>
        <v>62500</v>
      </c>
      <c r="C2694" s="17" t="str">
        <f t="shared" si="2128"/>
        <v>6</v>
      </c>
      <c r="D2694" s="17">
        <f t="shared" si="2101"/>
        <v>60003</v>
      </c>
      <c r="E2694" s="17">
        <v>1</v>
      </c>
      <c r="F2694" s="17">
        <f t="shared" si="2110"/>
        <v>3</v>
      </c>
      <c r="G2694" s="17" t="str">
        <f t="shared" si="2131"/>
        <v>高级攻击百分比</v>
      </c>
      <c r="H2694" s="17" t="str">
        <f t="shared" si="2132"/>
        <v>icon_06</v>
      </c>
      <c r="I2694" s="20">
        <v>0</v>
      </c>
      <c r="J2694" s="17">
        <v>5</v>
      </c>
      <c r="K2694" s="17">
        <f t="shared" si="2129"/>
        <v>62506</v>
      </c>
      <c r="L2694" s="17" t="s">
        <v>224</v>
      </c>
      <c r="M2694" s="17" t="str">
        <f t="shared" si="2133"/>
        <v>1:12200:10</v>
      </c>
      <c r="N2694" s="16" t="str">
        <f t="shared" si="2102"/>
        <v>174:1</v>
      </c>
      <c r="O2694" s="17">
        <f t="shared" si="2111"/>
        <v>6</v>
      </c>
      <c r="P2694" s="21" t="str">
        <f t="shared" si="2120"/>
        <v>所有魔物和野兽魔防增加:1</v>
      </c>
      <c r="Q2694" s="21"/>
      <c r="R2694" t="str">
        <f t="shared" si="2121"/>
        <v>魔防</v>
      </c>
      <c r="T2694" t="str">
        <f t="shared" si="2134"/>
        <v>:1</v>
      </c>
      <c r="U2694" t="str">
        <f t="shared" si="2135"/>
        <v>魔物</v>
      </c>
      <c r="V2694" t="s">
        <v>5028</v>
      </c>
      <c r="W2694">
        <f>属性类型!G2694</f>
        <v>174</v>
      </c>
      <c r="X2694">
        <v>1</v>
      </c>
    </row>
    <row r="2695" customFormat="1" ht="16.5" spans="1:24">
      <c r="A2695" s="17">
        <f t="shared" si="2130"/>
        <v>62506</v>
      </c>
      <c r="B2695" s="17">
        <f t="shared" si="2112"/>
        <v>62500</v>
      </c>
      <c r="C2695" s="17" t="str">
        <f t="shared" si="2128"/>
        <v>6</v>
      </c>
      <c r="D2695" s="17">
        <f t="shared" si="2101"/>
        <v>60003</v>
      </c>
      <c r="E2695" s="17">
        <v>1</v>
      </c>
      <c r="F2695" s="17">
        <f t="shared" si="2110"/>
        <v>3</v>
      </c>
      <c r="G2695" s="17" t="str">
        <f t="shared" si="2131"/>
        <v>高级攻击百分比</v>
      </c>
      <c r="H2695" s="17" t="str">
        <f t="shared" si="2132"/>
        <v>icon_06</v>
      </c>
      <c r="I2695" s="20">
        <v>0</v>
      </c>
      <c r="J2695" s="17">
        <v>6</v>
      </c>
      <c r="K2695" s="17">
        <f t="shared" si="2129"/>
        <v>62507</v>
      </c>
      <c r="L2695" s="17" t="s">
        <v>227</v>
      </c>
      <c r="M2695" s="17" t="str">
        <f t="shared" si="2133"/>
        <v>1:12200:10</v>
      </c>
      <c r="N2695" s="16" t="str">
        <f t="shared" si="2102"/>
        <v>174:1</v>
      </c>
      <c r="O2695" s="17">
        <f t="shared" si="2111"/>
        <v>6</v>
      </c>
      <c r="P2695" s="21" t="str">
        <f t="shared" ref="P2695:P2726" si="2136">$S$3&amp;R2695&amp;$Q$1&amp;T2695</f>
        <v>所有魔物和野兽魔防增加:1</v>
      </c>
      <c r="Q2695" s="21"/>
      <c r="R2695" t="str">
        <f t="shared" ref="R2695:R2730" si="2137">R2694</f>
        <v>魔防</v>
      </c>
      <c r="T2695" t="str">
        <f t="shared" si="2134"/>
        <v>:1</v>
      </c>
      <c r="U2695" t="str">
        <f t="shared" si="2135"/>
        <v>魔物</v>
      </c>
      <c r="V2695" t="s">
        <v>5028</v>
      </c>
      <c r="W2695">
        <f>属性类型!G2695</f>
        <v>174</v>
      </c>
      <c r="X2695">
        <v>1</v>
      </c>
    </row>
    <row r="2696" customFormat="1" ht="16.5" spans="1:24">
      <c r="A2696" s="17">
        <f t="shared" si="2130"/>
        <v>62507</v>
      </c>
      <c r="B2696" s="17">
        <f t="shared" si="2112"/>
        <v>62500</v>
      </c>
      <c r="C2696" s="17" t="str">
        <f t="shared" si="2128"/>
        <v>6</v>
      </c>
      <c r="D2696" s="17">
        <f t="shared" ref="D2696:D2759" si="2138">$A$2329+F2696</f>
        <v>60003</v>
      </c>
      <c r="E2696" s="17">
        <v>1</v>
      </c>
      <c r="F2696" s="17">
        <f t="shared" si="2110"/>
        <v>3</v>
      </c>
      <c r="G2696" s="17" t="str">
        <f t="shared" si="2131"/>
        <v>高级攻击百分比</v>
      </c>
      <c r="H2696" s="17" t="str">
        <f t="shared" si="2132"/>
        <v>icon_06</v>
      </c>
      <c r="I2696" s="20">
        <v>0</v>
      </c>
      <c r="J2696" s="17">
        <v>7</v>
      </c>
      <c r="K2696" s="17">
        <f t="shared" si="2129"/>
        <v>62508</v>
      </c>
      <c r="L2696" s="17" t="s">
        <v>230</v>
      </c>
      <c r="M2696" s="17" t="str">
        <f t="shared" si="2133"/>
        <v>1:12200:10</v>
      </c>
      <c r="N2696" s="16" t="str">
        <f t="shared" si="2102"/>
        <v>174:1</v>
      </c>
      <c r="O2696" s="17">
        <f t="shared" si="2111"/>
        <v>6</v>
      </c>
      <c r="P2696" s="21" t="str">
        <f t="shared" si="2136"/>
        <v>所有魔物和野兽魔防增加:1</v>
      </c>
      <c r="Q2696" s="21"/>
      <c r="R2696" t="str">
        <f t="shared" si="2137"/>
        <v>魔防</v>
      </c>
      <c r="T2696" t="str">
        <f t="shared" si="2134"/>
        <v>:1</v>
      </c>
      <c r="U2696" t="str">
        <f t="shared" si="2135"/>
        <v>魔物</v>
      </c>
      <c r="V2696" t="s">
        <v>5028</v>
      </c>
      <c r="W2696">
        <f>属性类型!G2696</f>
        <v>174</v>
      </c>
      <c r="X2696">
        <v>1</v>
      </c>
    </row>
    <row r="2697" customFormat="1" ht="16.5" spans="1:24">
      <c r="A2697" s="17">
        <f t="shared" si="2130"/>
        <v>62508</v>
      </c>
      <c r="B2697" s="17">
        <f t="shared" si="2112"/>
        <v>62500</v>
      </c>
      <c r="C2697" s="17" t="str">
        <f t="shared" si="2128"/>
        <v>6</v>
      </c>
      <c r="D2697" s="17">
        <f t="shared" si="2138"/>
        <v>60003</v>
      </c>
      <c r="E2697" s="17">
        <v>1</v>
      </c>
      <c r="F2697" s="17">
        <f t="shared" si="2110"/>
        <v>3</v>
      </c>
      <c r="G2697" s="17" t="str">
        <f t="shared" si="2131"/>
        <v>高级攻击百分比</v>
      </c>
      <c r="H2697" s="17" t="str">
        <f t="shared" si="2132"/>
        <v>icon_06</v>
      </c>
      <c r="I2697" s="20">
        <v>0</v>
      </c>
      <c r="J2697" s="17">
        <v>8</v>
      </c>
      <c r="K2697" s="17">
        <f t="shared" si="2129"/>
        <v>62509</v>
      </c>
      <c r="L2697" s="17" t="s">
        <v>233</v>
      </c>
      <c r="M2697" s="17" t="str">
        <f t="shared" si="2133"/>
        <v>1:12200:10</v>
      </c>
      <c r="N2697" s="16" t="str">
        <f t="shared" si="2102"/>
        <v>174:1</v>
      </c>
      <c r="O2697" s="17">
        <f t="shared" si="2111"/>
        <v>6</v>
      </c>
      <c r="P2697" s="21" t="str">
        <f t="shared" si="2136"/>
        <v>所有魔物和野兽魔防增加:1</v>
      </c>
      <c r="Q2697" s="21"/>
      <c r="R2697" t="str">
        <f t="shared" si="2137"/>
        <v>魔防</v>
      </c>
      <c r="T2697" t="str">
        <f t="shared" si="2134"/>
        <v>:1</v>
      </c>
      <c r="U2697" t="str">
        <f t="shared" si="2135"/>
        <v>魔物</v>
      </c>
      <c r="V2697" t="s">
        <v>5028</v>
      </c>
      <c r="W2697">
        <f>属性类型!G2697</f>
        <v>174</v>
      </c>
      <c r="X2697">
        <v>1</v>
      </c>
    </row>
    <row r="2698" customFormat="1" ht="16.5" spans="1:24">
      <c r="A2698" s="17">
        <f t="shared" si="2130"/>
        <v>62509</v>
      </c>
      <c r="B2698" s="17">
        <f t="shared" si="2112"/>
        <v>62500</v>
      </c>
      <c r="C2698" s="17" t="str">
        <f t="shared" si="2128"/>
        <v>6</v>
      </c>
      <c r="D2698" s="17">
        <f t="shared" si="2138"/>
        <v>60003</v>
      </c>
      <c r="E2698" s="17">
        <v>1</v>
      </c>
      <c r="F2698" s="17">
        <f t="shared" si="2110"/>
        <v>3</v>
      </c>
      <c r="G2698" s="17" t="str">
        <f t="shared" si="2131"/>
        <v>高级攻击百分比</v>
      </c>
      <c r="H2698" s="17" t="str">
        <f t="shared" si="2132"/>
        <v>icon_06</v>
      </c>
      <c r="I2698" s="20">
        <v>0</v>
      </c>
      <c r="J2698" s="17">
        <v>9</v>
      </c>
      <c r="K2698" s="17">
        <f t="shared" si="2129"/>
        <v>62510</v>
      </c>
      <c r="L2698" s="17" t="s">
        <v>236</v>
      </c>
      <c r="M2698" s="17" t="str">
        <f t="shared" si="2133"/>
        <v>1:12200:10</v>
      </c>
      <c r="N2698" s="16" t="str">
        <f t="shared" si="2102"/>
        <v>174:1</v>
      </c>
      <c r="O2698" s="17">
        <f t="shared" si="2111"/>
        <v>6</v>
      </c>
      <c r="P2698" s="21" t="str">
        <f t="shared" si="2136"/>
        <v>所有魔物和野兽魔防增加:1</v>
      </c>
      <c r="Q2698" s="21"/>
      <c r="R2698" t="str">
        <f t="shared" si="2137"/>
        <v>魔防</v>
      </c>
      <c r="T2698" t="str">
        <f t="shared" si="2134"/>
        <v>:1</v>
      </c>
      <c r="U2698" t="str">
        <f t="shared" si="2135"/>
        <v>魔物</v>
      </c>
      <c r="V2698" t="s">
        <v>5028</v>
      </c>
      <c r="W2698">
        <f>属性类型!G2698</f>
        <v>174</v>
      </c>
      <c r="X2698">
        <v>1</v>
      </c>
    </row>
    <row r="2699" customFormat="1" ht="16.5" spans="1:24">
      <c r="A2699" s="17">
        <f t="shared" si="2130"/>
        <v>62510</v>
      </c>
      <c r="B2699" s="17">
        <f t="shared" si="2112"/>
        <v>62500</v>
      </c>
      <c r="C2699" s="17" t="str">
        <f t="shared" si="2128"/>
        <v>6</v>
      </c>
      <c r="D2699" s="17">
        <f t="shared" si="2138"/>
        <v>60003</v>
      </c>
      <c r="E2699" s="17">
        <v>1</v>
      </c>
      <c r="F2699" s="17">
        <f t="shared" si="2110"/>
        <v>3</v>
      </c>
      <c r="G2699" s="17" t="str">
        <f t="shared" si="2131"/>
        <v>高级攻击百分比</v>
      </c>
      <c r="H2699" s="17" t="str">
        <f t="shared" si="2132"/>
        <v>icon_06</v>
      </c>
      <c r="I2699" s="20">
        <v>0</v>
      </c>
      <c r="J2699" s="17">
        <v>10</v>
      </c>
      <c r="K2699" s="17">
        <f t="shared" si="2129"/>
        <v>62511</v>
      </c>
      <c r="L2699" s="17" t="s">
        <v>238</v>
      </c>
      <c r="M2699" s="17" t="str">
        <f t="shared" si="2133"/>
        <v>1:12200:10</v>
      </c>
      <c r="N2699" s="16" t="str">
        <f t="shared" ref="N2699:N2762" si="2139">W2699&amp;$W$2&amp;X2699</f>
        <v>174:1</v>
      </c>
      <c r="O2699" s="17">
        <f t="shared" si="2111"/>
        <v>6</v>
      </c>
      <c r="P2699" s="21" t="str">
        <f t="shared" si="2136"/>
        <v>所有魔物和野兽魔防增加:1</v>
      </c>
      <c r="Q2699" s="21"/>
      <c r="R2699" t="str">
        <f t="shared" si="2137"/>
        <v>魔防</v>
      </c>
      <c r="T2699" t="str">
        <f t="shared" si="2134"/>
        <v>:1</v>
      </c>
      <c r="U2699" t="str">
        <f t="shared" si="2135"/>
        <v>魔物</v>
      </c>
      <c r="V2699" t="s">
        <v>5028</v>
      </c>
      <c r="W2699">
        <f>属性类型!G2699</f>
        <v>174</v>
      </c>
      <c r="X2699">
        <v>1</v>
      </c>
    </row>
    <row r="2700" customFormat="1" ht="16.5" spans="1:24">
      <c r="A2700" s="17">
        <f t="shared" si="2130"/>
        <v>62511</v>
      </c>
      <c r="B2700" s="17">
        <f t="shared" si="2112"/>
        <v>62500</v>
      </c>
      <c r="C2700" s="17" t="str">
        <f t="shared" si="2128"/>
        <v>6</v>
      </c>
      <c r="D2700" s="17">
        <f t="shared" si="2138"/>
        <v>60003</v>
      </c>
      <c r="E2700" s="17">
        <v>1</v>
      </c>
      <c r="F2700" s="17">
        <f t="shared" si="2110"/>
        <v>3</v>
      </c>
      <c r="G2700" s="17" t="str">
        <f t="shared" si="2131"/>
        <v>高级攻击百分比</v>
      </c>
      <c r="H2700" s="17" t="str">
        <f t="shared" si="2132"/>
        <v>icon_06</v>
      </c>
      <c r="I2700" s="20">
        <v>0</v>
      </c>
      <c r="J2700" s="17">
        <v>11</v>
      </c>
      <c r="K2700" s="17">
        <f t="shared" si="2129"/>
        <v>62512</v>
      </c>
      <c r="L2700" s="17" t="s">
        <v>529</v>
      </c>
      <c r="M2700" s="17" t="str">
        <f t="shared" si="2133"/>
        <v>1:12200:10</v>
      </c>
      <c r="N2700" s="16" t="str">
        <f t="shared" si="2139"/>
        <v>174:1</v>
      </c>
      <c r="O2700" s="17">
        <f t="shared" si="2111"/>
        <v>6</v>
      </c>
      <c r="P2700" s="21" t="str">
        <f t="shared" si="2136"/>
        <v>所有魔物和野兽魔防增加:1</v>
      </c>
      <c r="Q2700" s="21"/>
      <c r="R2700" t="str">
        <f t="shared" si="2137"/>
        <v>魔防</v>
      </c>
      <c r="T2700" t="str">
        <f t="shared" si="2134"/>
        <v>:1</v>
      </c>
      <c r="U2700" t="str">
        <f t="shared" si="2135"/>
        <v>魔物</v>
      </c>
      <c r="V2700" t="s">
        <v>5028</v>
      </c>
      <c r="W2700">
        <f>属性类型!G2700</f>
        <v>174</v>
      </c>
      <c r="X2700">
        <v>1</v>
      </c>
    </row>
    <row r="2701" customFormat="1" ht="16.5" spans="1:24">
      <c r="A2701" s="17">
        <f t="shared" si="2130"/>
        <v>62512</v>
      </c>
      <c r="B2701" s="17">
        <f t="shared" si="2112"/>
        <v>62500</v>
      </c>
      <c r="C2701" s="17" t="str">
        <f t="shared" si="2128"/>
        <v>6</v>
      </c>
      <c r="D2701" s="17">
        <f t="shared" si="2138"/>
        <v>60003</v>
      </c>
      <c r="E2701" s="17">
        <v>1</v>
      </c>
      <c r="F2701" s="17">
        <f t="shared" si="2110"/>
        <v>3</v>
      </c>
      <c r="G2701" s="17" t="str">
        <f t="shared" si="2131"/>
        <v>高级攻击百分比</v>
      </c>
      <c r="H2701" s="17" t="str">
        <f t="shared" si="2132"/>
        <v>icon_06</v>
      </c>
      <c r="I2701" s="20">
        <v>0</v>
      </c>
      <c r="J2701" s="17">
        <v>12</v>
      </c>
      <c r="K2701" s="17">
        <f t="shared" si="2129"/>
        <v>62513</v>
      </c>
      <c r="L2701" s="17" t="s">
        <v>532</v>
      </c>
      <c r="M2701" s="17" t="str">
        <f t="shared" si="2133"/>
        <v>1:12200:10</v>
      </c>
      <c r="N2701" s="16" t="str">
        <f t="shared" si="2139"/>
        <v>174:1</v>
      </c>
      <c r="O2701" s="17">
        <f t="shared" si="2111"/>
        <v>6</v>
      </c>
      <c r="P2701" s="21" t="str">
        <f t="shared" si="2136"/>
        <v>所有魔物和野兽魔防增加:1</v>
      </c>
      <c r="Q2701" s="21"/>
      <c r="R2701" t="str">
        <f t="shared" si="2137"/>
        <v>魔防</v>
      </c>
      <c r="T2701" t="str">
        <f t="shared" si="2134"/>
        <v>:1</v>
      </c>
      <c r="U2701" t="str">
        <f t="shared" si="2135"/>
        <v>魔物</v>
      </c>
      <c r="V2701" t="s">
        <v>5028</v>
      </c>
      <c r="W2701">
        <f>属性类型!G2701</f>
        <v>174</v>
      </c>
      <c r="X2701">
        <v>1</v>
      </c>
    </row>
    <row r="2702" customFormat="1" ht="16.5" spans="1:24">
      <c r="A2702" s="17">
        <f t="shared" si="2130"/>
        <v>62513</v>
      </c>
      <c r="B2702" s="17">
        <f t="shared" si="2112"/>
        <v>62500</v>
      </c>
      <c r="C2702" s="17" t="str">
        <f t="shared" si="2128"/>
        <v>6</v>
      </c>
      <c r="D2702" s="17">
        <f t="shared" si="2138"/>
        <v>60003</v>
      </c>
      <c r="E2702" s="17">
        <v>1</v>
      </c>
      <c r="F2702" s="17">
        <f t="shared" si="2110"/>
        <v>3</v>
      </c>
      <c r="G2702" s="17" t="str">
        <f t="shared" si="2131"/>
        <v>高级攻击百分比</v>
      </c>
      <c r="H2702" s="17" t="str">
        <f t="shared" si="2132"/>
        <v>icon_06</v>
      </c>
      <c r="I2702" s="20">
        <v>0</v>
      </c>
      <c r="J2702" s="17">
        <v>13</v>
      </c>
      <c r="K2702" s="17">
        <f t="shared" si="2129"/>
        <v>62514</v>
      </c>
      <c r="L2702" s="17" t="s">
        <v>561</v>
      </c>
      <c r="M2702" s="17" t="str">
        <f t="shared" si="2133"/>
        <v>1:12200:10</v>
      </c>
      <c r="N2702" s="16" t="str">
        <f t="shared" si="2139"/>
        <v>174:1</v>
      </c>
      <c r="O2702" s="17">
        <f t="shared" si="2111"/>
        <v>6</v>
      </c>
      <c r="P2702" s="21" t="str">
        <f t="shared" si="2136"/>
        <v>所有魔物和野兽魔防增加:1</v>
      </c>
      <c r="Q2702" s="21"/>
      <c r="R2702" t="str">
        <f t="shared" si="2137"/>
        <v>魔防</v>
      </c>
      <c r="T2702" t="str">
        <f t="shared" si="2134"/>
        <v>:1</v>
      </c>
      <c r="U2702" t="str">
        <f t="shared" si="2135"/>
        <v>魔物</v>
      </c>
      <c r="V2702" t="s">
        <v>5028</v>
      </c>
      <c r="W2702">
        <f>属性类型!G2702</f>
        <v>174</v>
      </c>
      <c r="X2702">
        <v>1</v>
      </c>
    </row>
    <row r="2703" customFormat="1" ht="16.5" spans="1:24">
      <c r="A2703" s="17">
        <f t="shared" si="2130"/>
        <v>62514</v>
      </c>
      <c r="B2703" s="17">
        <f t="shared" si="2112"/>
        <v>62500</v>
      </c>
      <c r="C2703" s="17" t="str">
        <f t="shared" si="2128"/>
        <v>6</v>
      </c>
      <c r="D2703" s="17">
        <f t="shared" si="2138"/>
        <v>60003</v>
      </c>
      <c r="E2703" s="17">
        <v>1</v>
      </c>
      <c r="F2703" s="17">
        <f t="shared" si="2110"/>
        <v>3</v>
      </c>
      <c r="G2703" s="17" t="str">
        <f t="shared" si="2131"/>
        <v>高级攻击百分比</v>
      </c>
      <c r="H2703" s="17" t="str">
        <f t="shared" si="2132"/>
        <v>icon_06</v>
      </c>
      <c r="I2703" s="20">
        <v>0</v>
      </c>
      <c r="J2703" s="17">
        <v>14</v>
      </c>
      <c r="K2703" s="17">
        <f t="shared" si="2129"/>
        <v>62515</v>
      </c>
      <c r="L2703" s="17" t="s">
        <v>564</v>
      </c>
      <c r="M2703" s="17" t="str">
        <f t="shared" si="2133"/>
        <v>1:12200:10</v>
      </c>
      <c r="N2703" s="16" t="str">
        <f t="shared" si="2139"/>
        <v>174:1</v>
      </c>
      <c r="O2703" s="17">
        <f t="shared" si="2111"/>
        <v>6</v>
      </c>
      <c r="P2703" s="21" t="str">
        <f t="shared" si="2136"/>
        <v>所有魔物和野兽魔防增加:1</v>
      </c>
      <c r="Q2703" s="21"/>
      <c r="R2703" t="str">
        <f t="shared" si="2137"/>
        <v>魔防</v>
      </c>
      <c r="T2703" t="str">
        <f t="shared" si="2134"/>
        <v>:1</v>
      </c>
      <c r="U2703" t="str">
        <f t="shared" si="2135"/>
        <v>魔物</v>
      </c>
      <c r="V2703" t="s">
        <v>5028</v>
      </c>
      <c r="W2703">
        <f>属性类型!G2703</f>
        <v>174</v>
      </c>
      <c r="X2703">
        <v>1</v>
      </c>
    </row>
    <row r="2704" customFormat="1" ht="16.5" spans="1:24">
      <c r="A2704" s="17">
        <f t="shared" si="2130"/>
        <v>62515</v>
      </c>
      <c r="B2704" s="17">
        <f t="shared" si="2112"/>
        <v>62500</v>
      </c>
      <c r="C2704" s="17" t="str">
        <f t="shared" si="2128"/>
        <v>6</v>
      </c>
      <c r="D2704" s="17">
        <f t="shared" si="2138"/>
        <v>60003</v>
      </c>
      <c r="E2704" s="17">
        <v>1</v>
      </c>
      <c r="F2704" s="17">
        <f t="shared" ref="F2704:F2767" si="2140">MID(B2704,2,1)+1</f>
        <v>3</v>
      </c>
      <c r="G2704" s="17" t="str">
        <f t="shared" si="2131"/>
        <v>高级攻击百分比</v>
      </c>
      <c r="H2704" s="17" t="str">
        <f t="shared" si="2132"/>
        <v>icon_06</v>
      </c>
      <c r="I2704" s="20">
        <v>0</v>
      </c>
      <c r="J2704" s="17">
        <v>15</v>
      </c>
      <c r="K2704" s="17">
        <f t="shared" si="2129"/>
        <v>62516</v>
      </c>
      <c r="L2704" s="17" t="s">
        <v>630</v>
      </c>
      <c r="M2704" s="17" t="str">
        <f t="shared" si="2133"/>
        <v>1:12200:10</v>
      </c>
      <c r="N2704" s="16" t="str">
        <f t="shared" si="2139"/>
        <v>174:1</v>
      </c>
      <c r="O2704" s="17">
        <f t="shared" ref="O2704:O2767" si="2141">MID(A2704,3,1)+1</f>
        <v>6</v>
      </c>
      <c r="P2704" s="21" t="str">
        <f t="shared" si="2136"/>
        <v>所有魔物和野兽魔防增加:1</v>
      </c>
      <c r="Q2704" s="21"/>
      <c r="R2704" t="str">
        <f t="shared" si="2137"/>
        <v>魔防</v>
      </c>
      <c r="T2704" t="str">
        <f t="shared" si="2134"/>
        <v>:1</v>
      </c>
      <c r="U2704" t="str">
        <f t="shared" si="2135"/>
        <v>魔物</v>
      </c>
      <c r="V2704" t="s">
        <v>5028</v>
      </c>
      <c r="W2704">
        <f>属性类型!G2704</f>
        <v>174</v>
      </c>
      <c r="X2704">
        <v>1</v>
      </c>
    </row>
    <row r="2705" customFormat="1" ht="16.5" spans="1:24">
      <c r="A2705" s="17">
        <f t="shared" si="2130"/>
        <v>62516</v>
      </c>
      <c r="B2705" s="17">
        <f t="shared" si="2112"/>
        <v>62500</v>
      </c>
      <c r="C2705" s="17" t="str">
        <f t="shared" si="2128"/>
        <v>6</v>
      </c>
      <c r="D2705" s="17">
        <f t="shared" si="2138"/>
        <v>60003</v>
      </c>
      <c r="E2705" s="17">
        <v>1</v>
      </c>
      <c r="F2705" s="17">
        <f t="shared" si="2140"/>
        <v>3</v>
      </c>
      <c r="G2705" s="17" t="str">
        <f t="shared" si="2131"/>
        <v>高级攻击百分比</v>
      </c>
      <c r="H2705" s="17" t="str">
        <f t="shared" si="2132"/>
        <v>icon_06</v>
      </c>
      <c r="I2705" s="20">
        <v>0</v>
      </c>
      <c r="J2705" s="17">
        <v>16</v>
      </c>
      <c r="K2705" s="17">
        <f t="shared" si="2129"/>
        <v>62517</v>
      </c>
      <c r="L2705" s="17" t="s">
        <v>633</v>
      </c>
      <c r="M2705" s="17" t="str">
        <f t="shared" si="2133"/>
        <v>1:12200:10</v>
      </c>
      <c r="N2705" s="16" t="str">
        <f t="shared" si="2139"/>
        <v>174:1</v>
      </c>
      <c r="O2705" s="17">
        <f t="shared" si="2141"/>
        <v>6</v>
      </c>
      <c r="P2705" s="21" t="str">
        <f t="shared" si="2136"/>
        <v>所有魔物和野兽魔防增加:1</v>
      </c>
      <c r="Q2705" s="21"/>
      <c r="R2705" t="str">
        <f t="shared" si="2137"/>
        <v>魔防</v>
      </c>
      <c r="T2705" t="str">
        <f t="shared" si="2134"/>
        <v>:1</v>
      </c>
      <c r="U2705" t="str">
        <f t="shared" si="2135"/>
        <v>魔物</v>
      </c>
      <c r="V2705" t="s">
        <v>5028</v>
      </c>
      <c r="W2705">
        <f>属性类型!G2705</f>
        <v>174</v>
      </c>
      <c r="X2705">
        <v>1</v>
      </c>
    </row>
    <row r="2706" customFormat="1" ht="16.5" spans="1:24">
      <c r="A2706" s="17">
        <f t="shared" si="2130"/>
        <v>62517</v>
      </c>
      <c r="B2706" s="17">
        <f t="shared" si="2112"/>
        <v>62500</v>
      </c>
      <c r="C2706" s="17" t="str">
        <f t="shared" si="2128"/>
        <v>6</v>
      </c>
      <c r="D2706" s="17">
        <f t="shared" si="2138"/>
        <v>60003</v>
      </c>
      <c r="E2706" s="17">
        <v>1</v>
      </c>
      <c r="F2706" s="17">
        <f t="shared" si="2140"/>
        <v>3</v>
      </c>
      <c r="G2706" s="17" t="str">
        <f t="shared" si="2131"/>
        <v>高级攻击百分比</v>
      </c>
      <c r="H2706" s="17" t="str">
        <f t="shared" si="2132"/>
        <v>icon_06</v>
      </c>
      <c r="I2706" s="20">
        <v>0</v>
      </c>
      <c r="J2706" s="17">
        <v>17</v>
      </c>
      <c r="K2706" s="17">
        <f t="shared" si="2129"/>
        <v>62518</v>
      </c>
      <c r="L2706" s="17" t="s">
        <v>637</v>
      </c>
      <c r="M2706" s="17" t="str">
        <f t="shared" si="2133"/>
        <v>1:12200:10</v>
      </c>
      <c r="N2706" s="16" t="str">
        <f t="shared" si="2139"/>
        <v>174:1</v>
      </c>
      <c r="O2706" s="17">
        <f t="shared" si="2141"/>
        <v>6</v>
      </c>
      <c r="P2706" s="21" t="str">
        <f t="shared" si="2136"/>
        <v>所有魔物和野兽魔防增加:1</v>
      </c>
      <c r="Q2706" s="21"/>
      <c r="R2706" t="str">
        <f t="shared" si="2137"/>
        <v>魔防</v>
      </c>
      <c r="T2706" t="str">
        <f t="shared" si="2134"/>
        <v>:1</v>
      </c>
      <c r="U2706" t="str">
        <f t="shared" si="2135"/>
        <v>魔物</v>
      </c>
      <c r="V2706" t="s">
        <v>5028</v>
      </c>
      <c r="W2706">
        <f>属性类型!G2706</f>
        <v>174</v>
      </c>
      <c r="X2706">
        <v>1</v>
      </c>
    </row>
    <row r="2707" customFormat="1" ht="16.5" spans="1:24">
      <c r="A2707" s="17">
        <f t="shared" si="2130"/>
        <v>62518</v>
      </c>
      <c r="B2707" s="17">
        <f t="shared" si="2112"/>
        <v>62500</v>
      </c>
      <c r="C2707" s="17" t="str">
        <f t="shared" si="2128"/>
        <v>6</v>
      </c>
      <c r="D2707" s="17">
        <f t="shared" si="2138"/>
        <v>60003</v>
      </c>
      <c r="E2707" s="17">
        <v>1</v>
      </c>
      <c r="F2707" s="17">
        <f t="shared" si="2140"/>
        <v>3</v>
      </c>
      <c r="G2707" s="17" t="str">
        <f t="shared" si="2131"/>
        <v>高级攻击百分比</v>
      </c>
      <c r="H2707" s="17" t="str">
        <f t="shared" si="2132"/>
        <v>icon_06</v>
      </c>
      <c r="I2707" s="20">
        <v>0</v>
      </c>
      <c r="J2707" s="17">
        <v>18</v>
      </c>
      <c r="K2707" s="17">
        <f t="shared" si="2129"/>
        <v>62519</v>
      </c>
      <c r="L2707" s="17" t="s">
        <v>641</v>
      </c>
      <c r="M2707" s="17" t="str">
        <f t="shared" si="2133"/>
        <v>1:12200:10</v>
      </c>
      <c r="N2707" s="16" t="str">
        <f t="shared" si="2139"/>
        <v>174:1</v>
      </c>
      <c r="O2707" s="17">
        <f t="shared" si="2141"/>
        <v>6</v>
      </c>
      <c r="P2707" s="21" t="str">
        <f t="shared" si="2136"/>
        <v>所有魔物和野兽魔防增加:1</v>
      </c>
      <c r="Q2707" s="21"/>
      <c r="R2707" t="str">
        <f t="shared" si="2137"/>
        <v>魔防</v>
      </c>
      <c r="T2707" t="str">
        <f t="shared" si="2134"/>
        <v>:1</v>
      </c>
      <c r="U2707" t="str">
        <f t="shared" si="2135"/>
        <v>魔物</v>
      </c>
      <c r="V2707" t="s">
        <v>5028</v>
      </c>
      <c r="W2707">
        <f>属性类型!G2707</f>
        <v>174</v>
      </c>
      <c r="X2707">
        <v>1</v>
      </c>
    </row>
    <row r="2708" customFormat="1" ht="16.5" spans="1:24">
      <c r="A2708" s="17">
        <f t="shared" si="2130"/>
        <v>62519</v>
      </c>
      <c r="B2708" s="17">
        <f t="shared" si="2112"/>
        <v>62500</v>
      </c>
      <c r="C2708" s="17" t="str">
        <f t="shared" si="2128"/>
        <v>6</v>
      </c>
      <c r="D2708" s="17">
        <f t="shared" si="2138"/>
        <v>60003</v>
      </c>
      <c r="E2708" s="17">
        <v>1</v>
      </c>
      <c r="F2708" s="17">
        <f t="shared" si="2140"/>
        <v>3</v>
      </c>
      <c r="G2708" s="17" t="str">
        <f t="shared" si="2131"/>
        <v>高级攻击百分比</v>
      </c>
      <c r="H2708" s="17" t="str">
        <f t="shared" si="2132"/>
        <v>icon_06</v>
      </c>
      <c r="I2708" s="20">
        <v>0</v>
      </c>
      <c r="J2708" s="17">
        <v>19</v>
      </c>
      <c r="K2708" s="17">
        <f t="shared" si="2129"/>
        <v>62520</v>
      </c>
      <c r="L2708" s="17" t="s">
        <v>645</v>
      </c>
      <c r="M2708" s="17" t="str">
        <f t="shared" si="2133"/>
        <v>1:12200:10</v>
      </c>
      <c r="N2708" s="16" t="str">
        <f t="shared" si="2139"/>
        <v>174:1</v>
      </c>
      <c r="O2708" s="17">
        <f t="shared" si="2141"/>
        <v>6</v>
      </c>
      <c r="P2708" s="21" t="str">
        <f t="shared" si="2136"/>
        <v>所有魔物和野兽魔防增加:1</v>
      </c>
      <c r="Q2708" s="21"/>
      <c r="R2708" t="str">
        <f t="shared" si="2137"/>
        <v>魔防</v>
      </c>
      <c r="T2708" t="str">
        <f t="shared" si="2134"/>
        <v>:1</v>
      </c>
      <c r="U2708" t="str">
        <f t="shared" si="2135"/>
        <v>魔物</v>
      </c>
      <c r="V2708" t="s">
        <v>5028</v>
      </c>
      <c r="W2708">
        <f>属性类型!G2708</f>
        <v>174</v>
      </c>
      <c r="X2708">
        <v>1</v>
      </c>
    </row>
    <row r="2709" customFormat="1" ht="16.5" spans="1:24">
      <c r="A2709" s="17">
        <f t="shared" si="2130"/>
        <v>62520</v>
      </c>
      <c r="B2709" s="17">
        <f t="shared" si="2112"/>
        <v>62500</v>
      </c>
      <c r="C2709" s="17" t="str">
        <f t="shared" si="2128"/>
        <v>6</v>
      </c>
      <c r="D2709" s="17">
        <f t="shared" si="2138"/>
        <v>60003</v>
      </c>
      <c r="E2709" s="17">
        <v>1</v>
      </c>
      <c r="F2709" s="17">
        <f t="shared" si="2140"/>
        <v>3</v>
      </c>
      <c r="G2709" s="17" t="str">
        <f t="shared" si="2131"/>
        <v>高级攻击百分比</v>
      </c>
      <c r="H2709" s="17" t="str">
        <f t="shared" si="2132"/>
        <v>icon_06</v>
      </c>
      <c r="I2709" s="20">
        <v>0</v>
      </c>
      <c r="J2709" s="17">
        <v>20</v>
      </c>
      <c r="K2709" s="17">
        <v>0</v>
      </c>
      <c r="L2709" s="17">
        <v>0</v>
      </c>
      <c r="M2709" s="17" t="str">
        <f t="shared" si="2133"/>
        <v>1:12200:10</v>
      </c>
      <c r="N2709" s="16" t="str">
        <f t="shared" si="2139"/>
        <v>174:1</v>
      </c>
      <c r="O2709" s="17">
        <f t="shared" si="2141"/>
        <v>6</v>
      </c>
      <c r="P2709" s="21" t="str">
        <f t="shared" si="2136"/>
        <v>所有魔物和野兽魔防增加:1</v>
      </c>
      <c r="Q2709" s="21"/>
      <c r="R2709" t="str">
        <f t="shared" si="2137"/>
        <v>魔防</v>
      </c>
      <c r="T2709" t="str">
        <f t="shared" si="2134"/>
        <v>:1</v>
      </c>
      <c r="U2709" t="str">
        <f t="shared" si="2135"/>
        <v>魔物</v>
      </c>
      <c r="V2709" t="s">
        <v>5028</v>
      </c>
      <c r="W2709">
        <f>属性类型!G2709</f>
        <v>174</v>
      </c>
      <c r="X2709">
        <v>1</v>
      </c>
    </row>
    <row r="2710" customFormat="1" ht="16.5" spans="1:24">
      <c r="A2710" s="18">
        <f>A2689+100</f>
        <v>62600</v>
      </c>
      <c r="B2710" s="18">
        <f t="shared" si="2112"/>
        <v>62600</v>
      </c>
      <c r="C2710" s="18" t="str">
        <f t="shared" si="2128"/>
        <v>6</v>
      </c>
      <c r="D2710" s="17">
        <f t="shared" si="2138"/>
        <v>60003</v>
      </c>
      <c r="E2710" s="17">
        <v>1</v>
      </c>
      <c r="F2710" s="18">
        <f t="shared" si="2140"/>
        <v>3</v>
      </c>
      <c r="G2710" s="18" t="s">
        <v>4413</v>
      </c>
      <c r="H2710" s="18" t="s">
        <v>176</v>
      </c>
      <c r="I2710" s="20">
        <v>0</v>
      </c>
      <c r="J2710" s="18">
        <v>0</v>
      </c>
      <c r="K2710" s="18">
        <f t="shared" ref="K2710:K2729" si="2142">A2711</f>
        <v>62601</v>
      </c>
      <c r="L2710" s="18" t="s">
        <v>206</v>
      </c>
      <c r="M2710" s="18" t="s">
        <v>680</v>
      </c>
      <c r="N2710" s="16" t="str">
        <f t="shared" si="2139"/>
        <v>174:1</v>
      </c>
      <c r="O2710" s="18">
        <f t="shared" si="2141"/>
        <v>7</v>
      </c>
      <c r="P2710" s="21" t="str">
        <f t="shared" si="2136"/>
        <v>所有魔物和野兽魔防增加1</v>
      </c>
      <c r="Q2710" s="21"/>
      <c r="R2710" t="str">
        <f t="shared" si="2137"/>
        <v>魔防</v>
      </c>
      <c r="T2710" t="str">
        <f>RIGHT(N2710,1)</f>
        <v>1</v>
      </c>
      <c r="U2710" t="str">
        <f t="shared" si="2135"/>
        <v>魔物</v>
      </c>
      <c r="V2710" t="s">
        <v>5028</v>
      </c>
      <c r="W2710">
        <f>属性类型!G2710</f>
        <v>174</v>
      </c>
      <c r="X2710">
        <v>1</v>
      </c>
    </row>
    <row r="2711" customFormat="1" ht="16.5" spans="1:24">
      <c r="A2711" s="17">
        <f t="shared" ref="A2711:A2730" si="2143">A2710+1</f>
        <v>62601</v>
      </c>
      <c r="B2711" s="17">
        <f t="shared" si="2112"/>
        <v>62600</v>
      </c>
      <c r="C2711" s="17" t="str">
        <f t="shared" si="2128"/>
        <v>6</v>
      </c>
      <c r="D2711" s="17">
        <f t="shared" si="2138"/>
        <v>60003</v>
      </c>
      <c r="E2711" s="17">
        <v>1</v>
      </c>
      <c r="F2711" s="17">
        <f t="shared" si="2140"/>
        <v>3</v>
      </c>
      <c r="G2711" s="17" t="str">
        <f t="shared" ref="G2711:G2730" si="2144">G2710</f>
        <v>高级生命百分比</v>
      </c>
      <c r="H2711" s="17" t="str">
        <f t="shared" ref="H2711:H2730" si="2145">H2710</f>
        <v>icon_07</v>
      </c>
      <c r="I2711" s="20">
        <v>0</v>
      </c>
      <c r="J2711" s="17">
        <v>1</v>
      </c>
      <c r="K2711" s="17">
        <f t="shared" si="2142"/>
        <v>62602</v>
      </c>
      <c r="L2711" s="17" t="s">
        <v>211</v>
      </c>
      <c r="M2711" s="17" t="str">
        <f t="shared" ref="M2711:M2730" si="2146">M2710</f>
        <v>1:12300:10</v>
      </c>
      <c r="N2711" s="16" t="str">
        <f t="shared" si="2139"/>
        <v>174:1</v>
      </c>
      <c r="O2711" s="17">
        <f t="shared" si="2141"/>
        <v>7</v>
      </c>
      <c r="P2711" s="21" t="str">
        <f t="shared" si="2136"/>
        <v>所有魔物和野兽魔防增加:1</v>
      </c>
      <c r="Q2711" s="21"/>
      <c r="R2711" t="str">
        <f t="shared" si="2137"/>
        <v>魔防</v>
      </c>
      <c r="T2711" t="str">
        <f t="shared" ref="T2711:T2730" si="2147">RIGHT(N2711,2)</f>
        <v>:1</v>
      </c>
      <c r="U2711" t="str">
        <f t="shared" si="2135"/>
        <v>魔物</v>
      </c>
      <c r="V2711" t="s">
        <v>5028</v>
      </c>
      <c r="W2711">
        <f>属性类型!G2711</f>
        <v>174</v>
      </c>
      <c r="X2711">
        <v>1</v>
      </c>
    </row>
    <row r="2712" customFormat="1" ht="16.5" spans="1:24">
      <c r="A2712" s="17">
        <f t="shared" si="2143"/>
        <v>62602</v>
      </c>
      <c r="B2712" s="17">
        <f t="shared" si="2112"/>
        <v>62600</v>
      </c>
      <c r="C2712" s="17" t="str">
        <f t="shared" si="2128"/>
        <v>6</v>
      </c>
      <c r="D2712" s="17">
        <f t="shared" si="2138"/>
        <v>60003</v>
      </c>
      <c r="E2712" s="17">
        <v>1</v>
      </c>
      <c r="F2712" s="17">
        <f t="shared" si="2140"/>
        <v>3</v>
      </c>
      <c r="G2712" s="17" t="str">
        <f t="shared" si="2144"/>
        <v>高级生命百分比</v>
      </c>
      <c r="H2712" s="17" t="str">
        <f t="shared" si="2145"/>
        <v>icon_07</v>
      </c>
      <c r="I2712" s="20">
        <v>0</v>
      </c>
      <c r="J2712" s="17">
        <v>2</v>
      </c>
      <c r="K2712" s="17">
        <f t="shared" si="2142"/>
        <v>62603</v>
      </c>
      <c r="L2712" s="17" t="s">
        <v>215</v>
      </c>
      <c r="M2712" s="17" t="str">
        <f t="shared" si="2146"/>
        <v>1:12300:10</v>
      </c>
      <c r="N2712" s="16" t="str">
        <f t="shared" si="2139"/>
        <v>174:1</v>
      </c>
      <c r="O2712" s="17">
        <f t="shared" si="2141"/>
        <v>7</v>
      </c>
      <c r="P2712" s="21" t="str">
        <f t="shared" si="2136"/>
        <v>所有魔物和野兽魔防增加:1</v>
      </c>
      <c r="Q2712" s="21"/>
      <c r="R2712" t="str">
        <f t="shared" si="2137"/>
        <v>魔防</v>
      </c>
      <c r="T2712" t="str">
        <f t="shared" si="2147"/>
        <v>:1</v>
      </c>
      <c r="U2712" t="str">
        <f t="shared" si="2135"/>
        <v>魔物</v>
      </c>
      <c r="V2712" t="s">
        <v>5028</v>
      </c>
      <c r="W2712">
        <f>属性类型!G2712</f>
        <v>174</v>
      </c>
      <c r="X2712">
        <v>1</v>
      </c>
    </row>
    <row r="2713" customFormat="1" ht="16.5" spans="1:24">
      <c r="A2713" s="17">
        <f t="shared" si="2143"/>
        <v>62603</v>
      </c>
      <c r="B2713" s="17">
        <f t="shared" si="2112"/>
        <v>62600</v>
      </c>
      <c r="C2713" s="17" t="str">
        <f t="shared" si="2128"/>
        <v>6</v>
      </c>
      <c r="D2713" s="17">
        <f t="shared" si="2138"/>
        <v>60003</v>
      </c>
      <c r="E2713" s="17">
        <v>1</v>
      </c>
      <c r="F2713" s="17">
        <f t="shared" si="2140"/>
        <v>3</v>
      </c>
      <c r="G2713" s="17" t="str">
        <f t="shared" si="2144"/>
        <v>高级生命百分比</v>
      </c>
      <c r="H2713" s="17" t="str">
        <f t="shared" si="2145"/>
        <v>icon_07</v>
      </c>
      <c r="I2713" s="20">
        <v>0</v>
      </c>
      <c r="J2713" s="17">
        <v>3</v>
      </c>
      <c r="K2713" s="17">
        <f t="shared" si="2142"/>
        <v>62604</v>
      </c>
      <c r="L2713" s="17" t="s">
        <v>218</v>
      </c>
      <c r="M2713" s="17" t="str">
        <f t="shared" si="2146"/>
        <v>1:12300:10</v>
      </c>
      <c r="N2713" s="16" t="str">
        <f t="shared" si="2139"/>
        <v>174:1</v>
      </c>
      <c r="O2713" s="17">
        <f t="shared" si="2141"/>
        <v>7</v>
      </c>
      <c r="P2713" s="21" t="str">
        <f t="shared" si="2136"/>
        <v>所有魔物和野兽魔防增加:1</v>
      </c>
      <c r="Q2713" s="21"/>
      <c r="R2713" t="str">
        <f t="shared" si="2137"/>
        <v>魔防</v>
      </c>
      <c r="T2713" t="str">
        <f t="shared" si="2147"/>
        <v>:1</v>
      </c>
      <c r="U2713" t="str">
        <f t="shared" si="2135"/>
        <v>魔物</v>
      </c>
      <c r="V2713" t="s">
        <v>5028</v>
      </c>
      <c r="W2713">
        <f>属性类型!G2713</f>
        <v>174</v>
      </c>
      <c r="X2713">
        <v>1</v>
      </c>
    </row>
    <row r="2714" customFormat="1" ht="16.5" spans="1:24">
      <c r="A2714" s="17">
        <f t="shared" si="2143"/>
        <v>62604</v>
      </c>
      <c r="B2714" s="17">
        <f t="shared" si="2112"/>
        <v>62600</v>
      </c>
      <c r="C2714" s="17" t="str">
        <f t="shared" si="2128"/>
        <v>6</v>
      </c>
      <c r="D2714" s="17">
        <f t="shared" si="2138"/>
        <v>60003</v>
      </c>
      <c r="E2714" s="17">
        <v>1</v>
      </c>
      <c r="F2714" s="17">
        <f t="shared" si="2140"/>
        <v>3</v>
      </c>
      <c r="G2714" s="17" t="str">
        <f t="shared" si="2144"/>
        <v>高级生命百分比</v>
      </c>
      <c r="H2714" s="17" t="str">
        <f t="shared" si="2145"/>
        <v>icon_07</v>
      </c>
      <c r="I2714" s="20">
        <v>0</v>
      </c>
      <c r="J2714" s="17">
        <v>4</v>
      </c>
      <c r="K2714" s="17">
        <f t="shared" si="2142"/>
        <v>62605</v>
      </c>
      <c r="L2714" s="17" t="s">
        <v>221</v>
      </c>
      <c r="M2714" s="17" t="str">
        <f t="shared" si="2146"/>
        <v>1:12300:10</v>
      </c>
      <c r="N2714" s="16" t="str">
        <f t="shared" si="2139"/>
        <v>174:1</v>
      </c>
      <c r="O2714" s="17">
        <f t="shared" si="2141"/>
        <v>7</v>
      </c>
      <c r="P2714" s="21" t="str">
        <f t="shared" si="2136"/>
        <v>所有魔物和野兽魔防增加:1</v>
      </c>
      <c r="Q2714" s="21"/>
      <c r="R2714" t="str">
        <f t="shared" si="2137"/>
        <v>魔防</v>
      </c>
      <c r="T2714" t="str">
        <f t="shared" si="2147"/>
        <v>:1</v>
      </c>
      <c r="U2714" t="str">
        <f t="shared" si="2135"/>
        <v>魔物</v>
      </c>
      <c r="V2714" t="s">
        <v>5028</v>
      </c>
      <c r="W2714">
        <f>属性类型!G2714</f>
        <v>174</v>
      </c>
      <c r="X2714">
        <v>1</v>
      </c>
    </row>
    <row r="2715" customFormat="1" ht="16.5" spans="1:24">
      <c r="A2715" s="17">
        <f t="shared" si="2143"/>
        <v>62605</v>
      </c>
      <c r="B2715" s="17">
        <f t="shared" si="2112"/>
        <v>62600</v>
      </c>
      <c r="C2715" s="17" t="str">
        <f t="shared" si="2128"/>
        <v>6</v>
      </c>
      <c r="D2715" s="17">
        <f t="shared" si="2138"/>
        <v>60003</v>
      </c>
      <c r="E2715" s="17">
        <v>1</v>
      </c>
      <c r="F2715" s="17">
        <f t="shared" si="2140"/>
        <v>3</v>
      </c>
      <c r="G2715" s="17" t="str">
        <f t="shared" si="2144"/>
        <v>高级生命百分比</v>
      </c>
      <c r="H2715" s="17" t="str">
        <f t="shared" si="2145"/>
        <v>icon_07</v>
      </c>
      <c r="I2715" s="20">
        <v>0</v>
      </c>
      <c r="J2715" s="17">
        <v>5</v>
      </c>
      <c r="K2715" s="17">
        <f t="shared" si="2142"/>
        <v>62606</v>
      </c>
      <c r="L2715" s="17" t="s">
        <v>224</v>
      </c>
      <c r="M2715" s="17" t="str">
        <f t="shared" si="2146"/>
        <v>1:12300:10</v>
      </c>
      <c r="N2715" s="16" t="str">
        <f t="shared" si="2139"/>
        <v>174:1</v>
      </c>
      <c r="O2715" s="17">
        <f t="shared" si="2141"/>
        <v>7</v>
      </c>
      <c r="P2715" s="21" t="str">
        <f t="shared" si="2136"/>
        <v>所有魔物和野兽魔防增加:1</v>
      </c>
      <c r="Q2715" s="21"/>
      <c r="R2715" t="str">
        <f t="shared" si="2137"/>
        <v>魔防</v>
      </c>
      <c r="T2715" t="str">
        <f t="shared" si="2147"/>
        <v>:1</v>
      </c>
      <c r="U2715" t="str">
        <f t="shared" si="2135"/>
        <v>魔物</v>
      </c>
      <c r="V2715" t="s">
        <v>5028</v>
      </c>
      <c r="W2715">
        <f>属性类型!G2715</f>
        <v>174</v>
      </c>
      <c r="X2715">
        <v>1</v>
      </c>
    </row>
    <row r="2716" customFormat="1" ht="16.5" spans="1:24">
      <c r="A2716" s="17">
        <f t="shared" si="2143"/>
        <v>62606</v>
      </c>
      <c r="B2716" s="17">
        <f t="shared" ref="B2716:B2779" si="2148">ROUND(A2716,-2)</f>
        <v>62600</v>
      </c>
      <c r="C2716" s="17" t="str">
        <f t="shared" si="2128"/>
        <v>6</v>
      </c>
      <c r="D2716" s="17">
        <f t="shared" si="2138"/>
        <v>60003</v>
      </c>
      <c r="E2716" s="17">
        <v>1</v>
      </c>
      <c r="F2716" s="17">
        <f t="shared" si="2140"/>
        <v>3</v>
      </c>
      <c r="G2716" s="17" t="str">
        <f t="shared" si="2144"/>
        <v>高级生命百分比</v>
      </c>
      <c r="H2716" s="17" t="str">
        <f t="shared" si="2145"/>
        <v>icon_07</v>
      </c>
      <c r="I2716" s="20">
        <v>0</v>
      </c>
      <c r="J2716" s="17">
        <v>6</v>
      </c>
      <c r="K2716" s="17">
        <f t="shared" si="2142"/>
        <v>62607</v>
      </c>
      <c r="L2716" s="17" t="s">
        <v>227</v>
      </c>
      <c r="M2716" s="17" t="str">
        <f t="shared" si="2146"/>
        <v>1:12300:10</v>
      </c>
      <c r="N2716" s="16" t="str">
        <f t="shared" si="2139"/>
        <v>174:1</v>
      </c>
      <c r="O2716" s="17">
        <f t="shared" si="2141"/>
        <v>7</v>
      </c>
      <c r="P2716" s="21" t="str">
        <f t="shared" si="2136"/>
        <v>所有魔物和野兽魔防增加:1</v>
      </c>
      <c r="Q2716" s="21"/>
      <c r="R2716" t="str">
        <f t="shared" si="2137"/>
        <v>魔防</v>
      </c>
      <c r="T2716" t="str">
        <f t="shared" si="2147"/>
        <v>:1</v>
      </c>
      <c r="U2716" t="str">
        <f t="shared" si="2135"/>
        <v>魔物</v>
      </c>
      <c r="V2716" t="s">
        <v>5028</v>
      </c>
      <c r="W2716">
        <f>属性类型!G2716</f>
        <v>174</v>
      </c>
      <c r="X2716">
        <v>1</v>
      </c>
    </row>
    <row r="2717" customFormat="1" ht="16.5" spans="1:24">
      <c r="A2717" s="17">
        <f t="shared" si="2143"/>
        <v>62607</v>
      </c>
      <c r="B2717" s="17">
        <f t="shared" si="2148"/>
        <v>62600</v>
      </c>
      <c r="C2717" s="17" t="str">
        <f t="shared" si="2128"/>
        <v>6</v>
      </c>
      <c r="D2717" s="17">
        <f t="shared" si="2138"/>
        <v>60003</v>
      </c>
      <c r="E2717" s="17">
        <v>1</v>
      </c>
      <c r="F2717" s="17">
        <f t="shared" si="2140"/>
        <v>3</v>
      </c>
      <c r="G2717" s="17" t="str">
        <f t="shared" si="2144"/>
        <v>高级生命百分比</v>
      </c>
      <c r="H2717" s="17" t="str">
        <f t="shared" si="2145"/>
        <v>icon_07</v>
      </c>
      <c r="I2717" s="20">
        <v>0</v>
      </c>
      <c r="J2717" s="17">
        <v>7</v>
      </c>
      <c r="K2717" s="17">
        <f t="shared" si="2142"/>
        <v>62608</v>
      </c>
      <c r="L2717" s="17" t="s">
        <v>230</v>
      </c>
      <c r="M2717" s="17" t="str">
        <f t="shared" si="2146"/>
        <v>1:12300:10</v>
      </c>
      <c r="N2717" s="16" t="str">
        <f t="shared" si="2139"/>
        <v>174:1</v>
      </c>
      <c r="O2717" s="17">
        <f t="shared" si="2141"/>
        <v>7</v>
      </c>
      <c r="P2717" s="21" t="str">
        <f t="shared" si="2136"/>
        <v>所有魔物和野兽魔防增加:1</v>
      </c>
      <c r="Q2717" s="21"/>
      <c r="R2717" t="str">
        <f t="shared" si="2137"/>
        <v>魔防</v>
      </c>
      <c r="T2717" t="str">
        <f t="shared" si="2147"/>
        <v>:1</v>
      </c>
      <c r="U2717" t="str">
        <f t="shared" si="2135"/>
        <v>魔物</v>
      </c>
      <c r="V2717" t="s">
        <v>5028</v>
      </c>
      <c r="W2717">
        <f>属性类型!G2717</f>
        <v>174</v>
      </c>
      <c r="X2717">
        <v>1</v>
      </c>
    </row>
    <row r="2718" customFormat="1" ht="16.5" spans="1:24">
      <c r="A2718" s="17">
        <f t="shared" si="2143"/>
        <v>62608</v>
      </c>
      <c r="B2718" s="17">
        <f t="shared" si="2148"/>
        <v>62600</v>
      </c>
      <c r="C2718" s="17" t="str">
        <f t="shared" si="2128"/>
        <v>6</v>
      </c>
      <c r="D2718" s="17">
        <f t="shared" si="2138"/>
        <v>60003</v>
      </c>
      <c r="E2718" s="17">
        <v>1</v>
      </c>
      <c r="F2718" s="17">
        <f t="shared" si="2140"/>
        <v>3</v>
      </c>
      <c r="G2718" s="17" t="str">
        <f t="shared" si="2144"/>
        <v>高级生命百分比</v>
      </c>
      <c r="H2718" s="17" t="str">
        <f t="shared" si="2145"/>
        <v>icon_07</v>
      </c>
      <c r="I2718" s="20">
        <v>0</v>
      </c>
      <c r="J2718" s="17">
        <v>8</v>
      </c>
      <c r="K2718" s="17">
        <f t="shared" si="2142"/>
        <v>62609</v>
      </c>
      <c r="L2718" s="17" t="s">
        <v>233</v>
      </c>
      <c r="M2718" s="17" t="str">
        <f t="shared" si="2146"/>
        <v>1:12300:10</v>
      </c>
      <c r="N2718" s="16" t="str">
        <f t="shared" si="2139"/>
        <v>174:1</v>
      </c>
      <c r="O2718" s="17">
        <f t="shared" si="2141"/>
        <v>7</v>
      </c>
      <c r="P2718" s="21" t="str">
        <f t="shared" si="2136"/>
        <v>所有魔物和野兽魔防增加:1</v>
      </c>
      <c r="Q2718" s="21"/>
      <c r="R2718" t="str">
        <f t="shared" si="2137"/>
        <v>魔防</v>
      </c>
      <c r="T2718" t="str">
        <f t="shared" si="2147"/>
        <v>:1</v>
      </c>
      <c r="U2718" t="str">
        <f t="shared" si="2135"/>
        <v>魔物</v>
      </c>
      <c r="V2718" t="s">
        <v>5028</v>
      </c>
      <c r="W2718">
        <f>属性类型!G2718</f>
        <v>174</v>
      </c>
      <c r="X2718">
        <v>1</v>
      </c>
    </row>
    <row r="2719" customFormat="1" ht="16.5" spans="1:24">
      <c r="A2719" s="17">
        <f t="shared" si="2143"/>
        <v>62609</v>
      </c>
      <c r="B2719" s="17">
        <f t="shared" si="2148"/>
        <v>62600</v>
      </c>
      <c r="C2719" s="17" t="str">
        <f t="shared" si="2128"/>
        <v>6</v>
      </c>
      <c r="D2719" s="17">
        <f t="shared" si="2138"/>
        <v>60003</v>
      </c>
      <c r="E2719" s="17">
        <v>1</v>
      </c>
      <c r="F2719" s="17">
        <f t="shared" si="2140"/>
        <v>3</v>
      </c>
      <c r="G2719" s="17" t="str">
        <f t="shared" si="2144"/>
        <v>高级生命百分比</v>
      </c>
      <c r="H2719" s="17" t="str">
        <f t="shared" si="2145"/>
        <v>icon_07</v>
      </c>
      <c r="I2719" s="20">
        <v>0</v>
      </c>
      <c r="J2719" s="17">
        <v>9</v>
      </c>
      <c r="K2719" s="17">
        <f t="shared" si="2142"/>
        <v>62610</v>
      </c>
      <c r="L2719" s="17" t="s">
        <v>236</v>
      </c>
      <c r="M2719" s="17" t="str">
        <f t="shared" si="2146"/>
        <v>1:12300:10</v>
      </c>
      <c r="N2719" s="16" t="str">
        <f t="shared" si="2139"/>
        <v>174:1</v>
      </c>
      <c r="O2719" s="17">
        <f t="shared" si="2141"/>
        <v>7</v>
      </c>
      <c r="P2719" s="21" t="str">
        <f t="shared" si="2136"/>
        <v>所有魔物和野兽魔防增加:1</v>
      </c>
      <c r="Q2719" s="21"/>
      <c r="R2719" t="str">
        <f t="shared" si="2137"/>
        <v>魔防</v>
      </c>
      <c r="T2719" t="str">
        <f t="shared" si="2147"/>
        <v>:1</v>
      </c>
      <c r="U2719" t="str">
        <f t="shared" si="2135"/>
        <v>魔物</v>
      </c>
      <c r="V2719" t="s">
        <v>5028</v>
      </c>
      <c r="W2719">
        <f>属性类型!G2719</f>
        <v>174</v>
      </c>
      <c r="X2719">
        <v>1</v>
      </c>
    </row>
    <row r="2720" customFormat="1" ht="16.5" spans="1:24">
      <c r="A2720" s="17">
        <f t="shared" si="2143"/>
        <v>62610</v>
      </c>
      <c r="B2720" s="17">
        <f t="shared" si="2148"/>
        <v>62600</v>
      </c>
      <c r="C2720" s="17" t="str">
        <f t="shared" si="2128"/>
        <v>6</v>
      </c>
      <c r="D2720" s="17">
        <f t="shared" si="2138"/>
        <v>60003</v>
      </c>
      <c r="E2720" s="17">
        <v>1</v>
      </c>
      <c r="F2720" s="17">
        <f t="shared" si="2140"/>
        <v>3</v>
      </c>
      <c r="G2720" s="17" t="str">
        <f t="shared" si="2144"/>
        <v>高级生命百分比</v>
      </c>
      <c r="H2720" s="17" t="str">
        <f t="shared" si="2145"/>
        <v>icon_07</v>
      </c>
      <c r="I2720" s="20">
        <v>0</v>
      </c>
      <c r="J2720" s="17">
        <v>10</v>
      </c>
      <c r="K2720" s="17">
        <f t="shared" si="2142"/>
        <v>62611</v>
      </c>
      <c r="L2720" s="17" t="s">
        <v>238</v>
      </c>
      <c r="M2720" s="17" t="str">
        <f t="shared" si="2146"/>
        <v>1:12300:10</v>
      </c>
      <c r="N2720" s="16" t="str">
        <f t="shared" si="2139"/>
        <v>174:1</v>
      </c>
      <c r="O2720" s="17">
        <f t="shared" si="2141"/>
        <v>7</v>
      </c>
      <c r="P2720" s="21" t="str">
        <f t="shared" si="2136"/>
        <v>所有魔物和野兽魔防增加:1</v>
      </c>
      <c r="Q2720" s="21"/>
      <c r="R2720" t="str">
        <f t="shared" si="2137"/>
        <v>魔防</v>
      </c>
      <c r="T2720" t="str">
        <f t="shared" si="2147"/>
        <v>:1</v>
      </c>
      <c r="U2720" t="str">
        <f t="shared" si="2135"/>
        <v>魔物</v>
      </c>
      <c r="V2720" t="s">
        <v>5028</v>
      </c>
      <c r="W2720">
        <f>属性类型!G2720</f>
        <v>174</v>
      </c>
      <c r="X2720">
        <v>1</v>
      </c>
    </row>
    <row r="2721" customFormat="1" ht="16.5" spans="1:24">
      <c r="A2721" s="17">
        <f t="shared" si="2143"/>
        <v>62611</v>
      </c>
      <c r="B2721" s="17">
        <f t="shared" si="2148"/>
        <v>62600</v>
      </c>
      <c r="C2721" s="17" t="str">
        <f t="shared" si="2128"/>
        <v>6</v>
      </c>
      <c r="D2721" s="17">
        <f t="shared" si="2138"/>
        <v>60003</v>
      </c>
      <c r="E2721" s="17">
        <v>1</v>
      </c>
      <c r="F2721" s="17">
        <f t="shared" si="2140"/>
        <v>3</v>
      </c>
      <c r="G2721" s="17" t="str">
        <f t="shared" si="2144"/>
        <v>高级生命百分比</v>
      </c>
      <c r="H2721" s="17" t="str">
        <f t="shared" si="2145"/>
        <v>icon_07</v>
      </c>
      <c r="I2721" s="20">
        <v>0</v>
      </c>
      <c r="J2721" s="17">
        <v>11</v>
      </c>
      <c r="K2721" s="17">
        <f t="shared" si="2142"/>
        <v>62612</v>
      </c>
      <c r="L2721" s="17" t="s">
        <v>529</v>
      </c>
      <c r="M2721" s="17" t="str">
        <f t="shared" si="2146"/>
        <v>1:12300:10</v>
      </c>
      <c r="N2721" s="16" t="str">
        <f t="shared" si="2139"/>
        <v>174:1</v>
      </c>
      <c r="O2721" s="17">
        <f t="shared" si="2141"/>
        <v>7</v>
      </c>
      <c r="P2721" s="21" t="str">
        <f t="shared" si="2136"/>
        <v>所有魔物和野兽魔防增加:1</v>
      </c>
      <c r="Q2721" s="21"/>
      <c r="R2721" t="str">
        <f t="shared" si="2137"/>
        <v>魔防</v>
      </c>
      <c r="T2721" t="str">
        <f t="shared" si="2147"/>
        <v>:1</v>
      </c>
      <c r="U2721" t="str">
        <f t="shared" si="2135"/>
        <v>魔物</v>
      </c>
      <c r="V2721" t="s">
        <v>5028</v>
      </c>
      <c r="W2721">
        <f>属性类型!G2721</f>
        <v>174</v>
      </c>
      <c r="X2721">
        <v>1</v>
      </c>
    </row>
    <row r="2722" customFormat="1" ht="16.5" spans="1:24">
      <c r="A2722" s="17">
        <f t="shared" si="2143"/>
        <v>62612</v>
      </c>
      <c r="B2722" s="17">
        <f t="shared" si="2148"/>
        <v>62600</v>
      </c>
      <c r="C2722" s="17" t="str">
        <f t="shared" si="2128"/>
        <v>6</v>
      </c>
      <c r="D2722" s="17">
        <f t="shared" si="2138"/>
        <v>60003</v>
      </c>
      <c r="E2722" s="17">
        <v>1</v>
      </c>
      <c r="F2722" s="17">
        <f t="shared" si="2140"/>
        <v>3</v>
      </c>
      <c r="G2722" s="17" t="str">
        <f t="shared" si="2144"/>
        <v>高级生命百分比</v>
      </c>
      <c r="H2722" s="17" t="str">
        <f t="shared" si="2145"/>
        <v>icon_07</v>
      </c>
      <c r="I2722" s="20">
        <v>0</v>
      </c>
      <c r="J2722" s="17">
        <v>12</v>
      </c>
      <c r="K2722" s="17">
        <f t="shared" si="2142"/>
        <v>62613</v>
      </c>
      <c r="L2722" s="17" t="s">
        <v>532</v>
      </c>
      <c r="M2722" s="17" t="str">
        <f t="shared" si="2146"/>
        <v>1:12300:10</v>
      </c>
      <c r="N2722" s="16" t="str">
        <f t="shared" si="2139"/>
        <v>174:1</v>
      </c>
      <c r="O2722" s="17">
        <f t="shared" si="2141"/>
        <v>7</v>
      </c>
      <c r="P2722" s="21" t="str">
        <f t="shared" si="2136"/>
        <v>所有魔物和野兽魔防增加:1</v>
      </c>
      <c r="Q2722" s="21"/>
      <c r="R2722" t="str">
        <f t="shared" si="2137"/>
        <v>魔防</v>
      </c>
      <c r="T2722" t="str">
        <f t="shared" si="2147"/>
        <v>:1</v>
      </c>
      <c r="U2722" t="str">
        <f t="shared" si="2135"/>
        <v>魔物</v>
      </c>
      <c r="V2722" t="s">
        <v>5028</v>
      </c>
      <c r="W2722">
        <f>属性类型!G2722</f>
        <v>174</v>
      </c>
      <c r="X2722">
        <v>1</v>
      </c>
    </row>
    <row r="2723" customFormat="1" ht="16.5" spans="1:24">
      <c r="A2723" s="17">
        <f t="shared" si="2143"/>
        <v>62613</v>
      </c>
      <c r="B2723" s="17">
        <f t="shared" si="2148"/>
        <v>62600</v>
      </c>
      <c r="C2723" s="17" t="str">
        <f t="shared" si="2128"/>
        <v>6</v>
      </c>
      <c r="D2723" s="17">
        <f t="shared" si="2138"/>
        <v>60003</v>
      </c>
      <c r="E2723" s="17">
        <v>1</v>
      </c>
      <c r="F2723" s="17">
        <f t="shared" si="2140"/>
        <v>3</v>
      </c>
      <c r="G2723" s="17" t="str">
        <f t="shared" si="2144"/>
        <v>高级生命百分比</v>
      </c>
      <c r="H2723" s="17" t="str">
        <f t="shared" si="2145"/>
        <v>icon_07</v>
      </c>
      <c r="I2723" s="20">
        <v>0</v>
      </c>
      <c r="J2723" s="17">
        <v>13</v>
      </c>
      <c r="K2723" s="17">
        <f t="shared" si="2142"/>
        <v>62614</v>
      </c>
      <c r="L2723" s="17" t="s">
        <v>561</v>
      </c>
      <c r="M2723" s="17" t="str">
        <f t="shared" si="2146"/>
        <v>1:12300:10</v>
      </c>
      <c r="N2723" s="16" t="str">
        <f t="shared" si="2139"/>
        <v>174:1</v>
      </c>
      <c r="O2723" s="17">
        <f t="shared" si="2141"/>
        <v>7</v>
      </c>
      <c r="P2723" s="21" t="str">
        <f t="shared" si="2136"/>
        <v>所有魔物和野兽魔防增加:1</v>
      </c>
      <c r="Q2723" s="21"/>
      <c r="R2723" t="str">
        <f t="shared" si="2137"/>
        <v>魔防</v>
      </c>
      <c r="T2723" t="str">
        <f t="shared" si="2147"/>
        <v>:1</v>
      </c>
      <c r="U2723" t="str">
        <f t="shared" si="2135"/>
        <v>魔物</v>
      </c>
      <c r="V2723" t="s">
        <v>5028</v>
      </c>
      <c r="W2723">
        <f>属性类型!G2723</f>
        <v>174</v>
      </c>
      <c r="X2723">
        <v>1</v>
      </c>
    </row>
    <row r="2724" customFormat="1" ht="16.5" spans="1:24">
      <c r="A2724" s="17">
        <f t="shared" si="2143"/>
        <v>62614</v>
      </c>
      <c r="B2724" s="17">
        <f t="shared" si="2148"/>
        <v>62600</v>
      </c>
      <c r="C2724" s="17" t="str">
        <f t="shared" si="2128"/>
        <v>6</v>
      </c>
      <c r="D2724" s="17">
        <f t="shared" si="2138"/>
        <v>60003</v>
      </c>
      <c r="E2724" s="17">
        <v>1</v>
      </c>
      <c r="F2724" s="17">
        <f t="shared" si="2140"/>
        <v>3</v>
      </c>
      <c r="G2724" s="17" t="str">
        <f t="shared" si="2144"/>
        <v>高级生命百分比</v>
      </c>
      <c r="H2724" s="17" t="str">
        <f t="shared" si="2145"/>
        <v>icon_07</v>
      </c>
      <c r="I2724" s="20">
        <v>0</v>
      </c>
      <c r="J2724" s="17">
        <v>14</v>
      </c>
      <c r="K2724" s="17">
        <f t="shared" si="2142"/>
        <v>62615</v>
      </c>
      <c r="L2724" s="17" t="s">
        <v>564</v>
      </c>
      <c r="M2724" s="17" t="str">
        <f t="shared" si="2146"/>
        <v>1:12300:10</v>
      </c>
      <c r="N2724" s="16" t="str">
        <f t="shared" si="2139"/>
        <v>174:1</v>
      </c>
      <c r="O2724" s="17">
        <f t="shared" si="2141"/>
        <v>7</v>
      </c>
      <c r="P2724" s="21" t="str">
        <f t="shared" si="2136"/>
        <v>所有魔物和野兽魔防增加:1</v>
      </c>
      <c r="Q2724" s="21"/>
      <c r="R2724" t="str">
        <f t="shared" si="2137"/>
        <v>魔防</v>
      </c>
      <c r="T2724" t="str">
        <f t="shared" si="2147"/>
        <v>:1</v>
      </c>
      <c r="U2724" t="str">
        <f t="shared" si="2135"/>
        <v>魔物</v>
      </c>
      <c r="V2724" t="s">
        <v>5028</v>
      </c>
      <c r="W2724">
        <f>属性类型!G2724</f>
        <v>174</v>
      </c>
      <c r="X2724">
        <v>1</v>
      </c>
    </row>
    <row r="2725" customFormat="1" ht="16.5" spans="1:24">
      <c r="A2725" s="17">
        <f t="shared" si="2143"/>
        <v>62615</v>
      </c>
      <c r="B2725" s="17">
        <f t="shared" si="2148"/>
        <v>62600</v>
      </c>
      <c r="C2725" s="17" t="str">
        <f t="shared" si="2128"/>
        <v>6</v>
      </c>
      <c r="D2725" s="17">
        <f t="shared" si="2138"/>
        <v>60003</v>
      </c>
      <c r="E2725" s="17">
        <v>1</v>
      </c>
      <c r="F2725" s="17">
        <f t="shared" si="2140"/>
        <v>3</v>
      </c>
      <c r="G2725" s="17" t="str">
        <f t="shared" si="2144"/>
        <v>高级生命百分比</v>
      </c>
      <c r="H2725" s="17" t="str">
        <f t="shared" si="2145"/>
        <v>icon_07</v>
      </c>
      <c r="I2725" s="20">
        <v>0</v>
      </c>
      <c r="J2725" s="17">
        <v>15</v>
      </c>
      <c r="K2725" s="17">
        <f t="shared" si="2142"/>
        <v>62616</v>
      </c>
      <c r="L2725" s="17" t="s">
        <v>630</v>
      </c>
      <c r="M2725" s="17" t="str">
        <f t="shared" si="2146"/>
        <v>1:12300:10</v>
      </c>
      <c r="N2725" s="16" t="str">
        <f t="shared" si="2139"/>
        <v>174:1</v>
      </c>
      <c r="O2725" s="17">
        <f t="shared" si="2141"/>
        <v>7</v>
      </c>
      <c r="P2725" s="21" t="str">
        <f t="shared" si="2136"/>
        <v>所有魔物和野兽魔防增加:1</v>
      </c>
      <c r="Q2725" s="21"/>
      <c r="R2725" t="str">
        <f t="shared" si="2137"/>
        <v>魔防</v>
      </c>
      <c r="T2725" t="str">
        <f t="shared" si="2147"/>
        <v>:1</v>
      </c>
      <c r="U2725" t="str">
        <f t="shared" si="2135"/>
        <v>魔物</v>
      </c>
      <c r="V2725" t="s">
        <v>5028</v>
      </c>
      <c r="W2725">
        <f>属性类型!G2725</f>
        <v>174</v>
      </c>
      <c r="X2725">
        <v>1</v>
      </c>
    </row>
    <row r="2726" customFormat="1" ht="16.5" spans="1:24">
      <c r="A2726" s="17">
        <f t="shared" si="2143"/>
        <v>62616</v>
      </c>
      <c r="B2726" s="17">
        <f t="shared" si="2148"/>
        <v>62600</v>
      </c>
      <c r="C2726" s="17" t="str">
        <f t="shared" si="2128"/>
        <v>6</v>
      </c>
      <c r="D2726" s="17">
        <f t="shared" si="2138"/>
        <v>60003</v>
      </c>
      <c r="E2726" s="17">
        <v>1</v>
      </c>
      <c r="F2726" s="17">
        <f t="shared" si="2140"/>
        <v>3</v>
      </c>
      <c r="G2726" s="17" t="str">
        <f t="shared" si="2144"/>
        <v>高级生命百分比</v>
      </c>
      <c r="H2726" s="17" t="str">
        <f t="shared" si="2145"/>
        <v>icon_07</v>
      </c>
      <c r="I2726" s="20">
        <v>0</v>
      </c>
      <c r="J2726" s="17">
        <v>16</v>
      </c>
      <c r="K2726" s="17">
        <f t="shared" si="2142"/>
        <v>62617</v>
      </c>
      <c r="L2726" s="17" t="s">
        <v>633</v>
      </c>
      <c r="M2726" s="17" t="str">
        <f t="shared" si="2146"/>
        <v>1:12300:10</v>
      </c>
      <c r="N2726" s="16" t="str">
        <f t="shared" si="2139"/>
        <v>174:1</v>
      </c>
      <c r="O2726" s="17">
        <f t="shared" si="2141"/>
        <v>7</v>
      </c>
      <c r="P2726" s="21" t="str">
        <f t="shared" si="2136"/>
        <v>所有魔物和野兽魔防增加:1</v>
      </c>
      <c r="Q2726" s="21"/>
      <c r="R2726" t="str">
        <f t="shared" si="2137"/>
        <v>魔防</v>
      </c>
      <c r="T2726" t="str">
        <f t="shared" si="2147"/>
        <v>:1</v>
      </c>
      <c r="U2726" t="str">
        <f t="shared" si="2135"/>
        <v>魔物</v>
      </c>
      <c r="V2726" t="s">
        <v>5028</v>
      </c>
      <c r="W2726">
        <f>属性类型!G2726</f>
        <v>174</v>
      </c>
      <c r="X2726">
        <v>1</v>
      </c>
    </row>
    <row r="2727" customFormat="1" ht="16.5" spans="1:24">
      <c r="A2727" s="17">
        <f t="shared" si="2143"/>
        <v>62617</v>
      </c>
      <c r="B2727" s="17">
        <f t="shared" si="2148"/>
        <v>62600</v>
      </c>
      <c r="C2727" s="17" t="str">
        <f t="shared" si="2128"/>
        <v>6</v>
      </c>
      <c r="D2727" s="17">
        <f t="shared" si="2138"/>
        <v>60003</v>
      </c>
      <c r="E2727" s="17">
        <v>1</v>
      </c>
      <c r="F2727" s="17">
        <f t="shared" si="2140"/>
        <v>3</v>
      </c>
      <c r="G2727" s="17" t="str">
        <f t="shared" si="2144"/>
        <v>高级生命百分比</v>
      </c>
      <c r="H2727" s="17" t="str">
        <f t="shared" si="2145"/>
        <v>icon_07</v>
      </c>
      <c r="I2727" s="20">
        <v>0</v>
      </c>
      <c r="J2727" s="17">
        <v>17</v>
      </c>
      <c r="K2727" s="17">
        <f t="shared" si="2142"/>
        <v>62618</v>
      </c>
      <c r="L2727" s="17" t="s">
        <v>637</v>
      </c>
      <c r="M2727" s="17" t="str">
        <f t="shared" si="2146"/>
        <v>1:12300:10</v>
      </c>
      <c r="N2727" s="16" t="str">
        <f t="shared" si="2139"/>
        <v>174:1</v>
      </c>
      <c r="O2727" s="17">
        <f t="shared" si="2141"/>
        <v>7</v>
      </c>
      <c r="P2727" s="21" t="str">
        <f>$S$3&amp;R2727&amp;$Q$1&amp;T2727</f>
        <v>所有魔物和野兽魔防增加:1</v>
      </c>
      <c r="Q2727" s="21"/>
      <c r="R2727" t="str">
        <f t="shared" si="2137"/>
        <v>魔防</v>
      </c>
      <c r="T2727" t="str">
        <f t="shared" si="2147"/>
        <v>:1</v>
      </c>
      <c r="U2727" t="str">
        <f t="shared" si="2135"/>
        <v>魔物</v>
      </c>
      <c r="V2727" t="s">
        <v>5028</v>
      </c>
      <c r="W2727">
        <f>属性类型!G2727</f>
        <v>174</v>
      </c>
      <c r="X2727">
        <v>1</v>
      </c>
    </row>
    <row r="2728" customFormat="1" ht="16.5" spans="1:24">
      <c r="A2728" s="17">
        <f t="shared" si="2143"/>
        <v>62618</v>
      </c>
      <c r="B2728" s="17">
        <f t="shared" si="2148"/>
        <v>62600</v>
      </c>
      <c r="C2728" s="17" t="str">
        <f t="shared" si="2128"/>
        <v>6</v>
      </c>
      <c r="D2728" s="17">
        <f t="shared" si="2138"/>
        <v>60003</v>
      </c>
      <c r="E2728" s="17">
        <v>1</v>
      </c>
      <c r="F2728" s="17">
        <f t="shared" si="2140"/>
        <v>3</v>
      </c>
      <c r="G2728" s="17" t="str">
        <f t="shared" si="2144"/>
        <v>高级生命百分比</v>
      </c>
      <c r="H2728" s="17" t="str">
        <f t="shared" si="2145"/>
        <v>icon_07</v>
      </c>
      <c r="I2728" s="20">
        <v>0</v>
      </c>
      <c r="J2728" s="17">
        <v>18</v>
      </c>
      <c r="K2728" s="17">
        <f t="shared" si="2142"/>
        <v>62619</v>
      </c>
      <c r="L2728" s="17" t="s">
        <v>641</v>
      </c>
      <c r="M2728" s="17" t="str">
        <f t="shared" si="2146"/>
        <v>1:12300:10</v>
      </c>
      <c r="N2728" s="16" t="str">
        <f t="shared" si="2139"/>
        <v>174:1</v>
      </c>
      <c r="O2728" s="17">
        <f t="shared" si="2141"/>
        <v>7</v>
      </c>
      <c r="P2728" s="21" t="str">
        <f>$S$3&amp;R2728&amp;$Q$1&amp;T2728</f>
        <v>所有魔物和野兽魔防增加:1</v>
      </c>
      <c r="Q2728" s="21"/>
      <c r="R2728" t="str">
        <f t="shared" si="2137"/>
        <v>魔防</v>
      </c>
      <c r="T2728" t="str">
        <f t="shared" si="2147"/>
        <v>:1</v>
      </c>
      <c r="U2728" t="str">
        <f t="shared" si="2135"/>
        <v>魔物</v>
      </c>
      <c r="V2728" t="s">
        <v>5028</v>
      </c>
      <c r="W2728">
        <f>属性类型!G2728</f>
        <v>174</v>
      </c>
      <c r="X2728">
        <v>1</v>
      </c>
    </row>
    <row r="2729" customFormat="1" ht="16.5" spans="1:24">
      <c r="A2729" s="17">
        <f t="shared" si="2143"/>
        <v>62619</v>
      </c>
      <c r="B2729" s="17">
        <f t="shared" si="2148"/>
        <v>62600</v>
      </c>
      <c r="C2729" s="17" t="str">
        <f t="shared" si="2128"/>
        <v>6</v>
      </c>
      <c r="D2729" s="17">
        <f t="shared" si="2138"/>
        <v>60003</v>
      </c>
      <c r="E2729" s="17">
        <v>1</v>
      </c>
      <c r="F2729" s="17">
        <f t="shared" si="2140"/>
        <v>3</v>
      </c>
      <c r="G2729" s="17" t="str">
        <f t="shared" si="2144"/>
        <v>高级生命百分比</v>
      </c>
      <c r="H2729" s="17" t="str">
        <f t="shared" si="2145"/>
        <v>icon_07</v>
      </c>
      <c r="I2729" s="20">
        <v>0</v>
      </c>
      <c r="J2729" s="17">
        <v>19</v>
      </c>
      <c r="K2729" s="17">
        <f t="shared" si="2142"/>
        <v>62620</v>
      </c>
      <c r="L2729" s="17" t="s">
        <v>645</v>
      </c>
      <c r="M2729" s="17" t="str">
        <f t="shared" si="2146"/>
        <v>1:12300:10</v>
      </c>
      <c r="N2729" s="16" t="str">
        <f t="shared" si="2139"/>
        <v>174:1</v>
      </c>
      <c r="O2729" s="17">
        <f t="shared" si="2141"/>
        <v>7</v>
      </c>
      <c r="P2729" s="21" t="str">
        <f>$S$3&amp;R2729&amp;$Q$1&amp;T2729</f>
        <v>所有魔物和野兽魔防增加:1</v>
      </c>
      <c r="Q2729" s="21"/>
      <c r="R2729" t="str">
        <f t="shared" si="2137"/>
        <v>魔防</v>
      </c>
      <c r="T2729" t="str">
        <f t="shared" si="2147"/>
        <v>:1</v>
      </c>
      <c r="U2729" t="str">
        <f t="shared" si="2135"/>
        <v>魔物</v>
      </c>
      <c r="V2729" t="s">
        <v>5028</v>
      </c>
      <c r="W2729">
        <f>属性类型!G2729</f>
        <v>174</v>
      </c>
      <c r="X2729">
        <v>1</v>
      </c>
    </row>
    <row r="2730" customFormat="1" ht="16.5" spans="1:24">
      <c r="A2730" s="17">
        <f t="shared" si="2143"/>
        <v>62620</v>
      </c>
      <c r="B2730" s="17">
        <f t="shared" si="2148"/>
        <v>62600</v>
      </c>
      <c r="C2730" s="17" t="str">
        <f t="shared" si="2128"/>
        <v>6</v>
      </c>
      <c r="D2730" s="17">
        <f t="shared" si="2138"/>
        <v>60003</v>
      </c>
      <c r="E2730" s="17">
        <v>1</v>
      </c>
      <c r="F2730" s="17">
        <f t="shared" si="2140"/>
        <v>3</v>
      </c>
      <c r="G2730" s="17" t="str">
        <f t="shared" si="2144"/>
        <v>高级生命百分比</v>
      </c>
      <c r="H2730" s="17" t="str">
        <f t="shared" si="2145"/>
        <v>icon_07</v>
      </c>
      <c r="I2730" s="20">
        <v>0</v>
      </c>
      <c r="J2730" s="17">
        <v>20</v>
      </c>
      <c r="K2730" s="17">
        <v>0</v>
      </c>
      <c r="L2730" s="17">
        <v>0</v>
      </c>
      <c r="M2730" s="17" t="str">
        <f t="shared" si="2146"/>
        <v>1:12300:10</v>
      </c>
      <c r="N2730" s="16" t="str">
        <f t="shared" si="2139"/>
        <v>174:1</v>
      </c>
      <c r="O2730" s="17">
        <f t="shared" si="2141"/>
        <v>7</v>
      </c>
      <c r="P2730" s="21" t="str">
        <f>$S$3&amp;R2730&amp;$Q$1&amp;T2730</f>
        <v>所有魔物和野兽魔防增加:1</v>
      </c>
      <c r="Q2730" s="21"/>
      <c r="R2730" t="str">
        <f t="shared" si="2137"/>
        <v>魔防</v>
      </c>
      <c r="T2730" t="str">
        <f t="shared" si="2147"/>
        <v>:1</v>
      </c>
      <c r="U2730" t="str">
        <f t="shared" si="2135"/>
        <v>魔物</v>
      </c>
      <c r="V2730" t="s">
        <v>5028</v>
      </c>
      <c r="W2730">
        <f>属性类型!G2730</f>
        <v>174</v>
      </c>
      <c r="X2730">
        <v>1</v>
      </c>
    </row>
    <row r="2731" customFormat="1" ht="16.5" spans="1:24">
      <c r="A2731" s="18">
        <f>A2710+100</f>
        <v>62700</v>
      </c>
      <c r="B2731" s="18">
        <f t="shared" si="2148"/>
        <v>62700</v>
      </c>
      <c r="C2731" s="18" t="str">
        <f t="shared" si="2128"/>
        <v>6</v>
      </c>
      <c r="D2731" s="17">
        <f t="shared" si="2138"/>
        <v>60003</v>
      </c>
      <c r="E2731" s="17">
        <v>2</v>
      </c>
      <c r="F2731" s="18">
        <f t="shared" si="2140"/>
        <v>3</v>
      </c>
      <c r="G2731" s="18" t="s">
        <v>5160</v>
      </c>
      <c r="H2731" s="18" t="s">
        <v>5161</v>
      </c>
      <c r="I2731" s="20">
        <v>1.5</v>
      </c>
      <c r="J2731" s="18">
        <v>0</v>
      </c>
      <c r="K2731" s="18">
        <f t="shared" ref="K2731:K2750" si="2149">A2732</f>
        <v>62701</v>
      </c>
      <c r="L2731" s="18" t="s">
        <v>206</v>
      </c>
      <c r="M2731" s="18" t="s">
        <v>709</v>
      </c>
      <c r="N2731" s="16" t="str">
        <f t="shared" si="2139"/>
        <v>10070:1</v>
      </c>
      <c r="O2731" s="18">
        <f t="shared" si="2141"/>
        <v>8</v>
      </c>
      <c r="P2731" s="21" t="s">
        <v>5162</v>
      </c>
      <c r="Q2731" s="21"/>
      <c r="R2731" t="s">
        <v>5163</v>
      </c>
      <c r="T2731" t="str">
        <f>RIGHT(N2731,1)</f>
        <v>1</v>
      </c>
      <c r="U2731" t="str">
        <f t="shared" si="2135"/>
        <v>巨人</v>
      </c>
      <c r="V2731" t="s">
        <v>5160</v>
      </c>
      <c r="W2731">
        <f>属性类型!G2731</f>
        <v>10070</v>
      </c>
      <c r="X2731">
        <v>1</v>
      </c>
    </row>
    <row r="2732" customFormat="1" ht="16.5" spans="1:24">
      <c r="A2732" s="17">
        <f t="shared" ref="A2732:A2751" si="2150">A2731+1</f>
        <v>62701</v>
      </c>
      <c r="B2732" s="17">
        <f t="shared" si="2148"/>
        <v>62700</v>
      </c>
      <c r="C2732" s="17" t="str">
        <f t="shared" si="2128"/>
        <v>6</v>
      </c>
      <c r="D2732" s="17">
        <f t="shared" si="2138"/>
        <v>60003</v>
      </c>
      <c r="E2732" s="17">
        <f t="shared" ref="E2732:H2732" si="2151">E2731</f>
        <v>2</v>
      </c>
      <c r="F2732" s="17">
        <f t="shared" si="2140"/>
        <v>3</v>
      </c>
      <c r="G2732" s="17" t="str">
        <f t="shared" si="2151"/>
        <v>雪原巨人防御百分比</v>
      </c>
      <c r="H2732" s="17" t="str">
        <f t="shared" si="2151"/>
        <v>yeshou03_lv3</v>
      </c>
      <c r="I2732" s="20">
        <v>1.5</v>
      </c>
      <c r="J2732" s="17">
        <v>1</v>
      </c>
      <c r="K2732" s="17">
        <f t="shared" si="2149"/>
        <v>62702</v>
      </c>
      <c r="L2732" s="17" t="s">
        <v>211</v>
      </c>
      <c r="M2732" s="17" t="str">
        <f t="shared" ref="M2732:M2751" si="2152">M2731</f>
        <v>1:12400:10</v>
      </c>
      <c r="N2732" s="16" t="str">
        <f t="shared" si="2139"/>
        <v>10070:1</v>
      </c>
      <c r="O2732" s="17">
        <f t="shared" si="2141"/>
        <v>8</v>
      </c>
      <c r="P2732" s="21" t="s">
        <v>5164</v>
      </c>
      <c r="Q2732" s="21"/>
      <c r="R2732" t="s">
        <v>5163</v>
      </c>
      <c r="T2732" t="str">
        <f t="shared" ref="T2732:T2751" si="2153">RIGHT(N2732,2)</f>
        <v>:1</v>
      </c>
      <c r="U2732" t="str">
        <f t="shared" si="2135"/>
        <v>巨人</v>
      </c>
      <c r="V2732" t="s">
        <v>5160</v>
      </c>
      <c r="W2732">
        <f>属性类型!G2732</f>
        <v>10070</v>
      </c>
      <c r="X2732">
        <v>1</v>
      </c>
    </row>
    <row r="2733" customFormat="1" ht="16.5" spans="1:24">
      <c r="A2733" s="17">
        <f t="shared" si="2150"/>
        <v>62702</v>
      </c>
      <c r="B2733" s="17">
        <f t="shared" si="2148"/>
        <v>62700</v>
      </c>
      <c r="C2733" s="17" t="str">
        <f t="shared" si="2128"/>
        <v>6</v>
      </c>
      <c r="D2733" s="17">
        <f t="shared" si="2138"/>
        <v>60003</v>
      </c>
      <c r="E2733" s="17">
        <f t="shared" ref="E2733:H2733" si="2154">E2732</f>
        <v>2</v>
      </c>
      <c r="F2733" s="17">
        <f t="shared" si="2140"/>
        <v>3</v>
      </c>
      <c r="G2733" s="17" t="str">
        <f t="shared" si="2154"/>
        <v>雪原巨人防御百分比</v>
      </c>
      <c r="H2733" s="17" t="str">
        <f t="shared" si="2154"/>
        <v>yeshou03_lv3</v>
      </c>
      <c r="I2733" s="20">
        <v>1.5</v>
      </c>
      <c r="J2733" s="17">
        <v>2</v>
      </c>
      <c r="K2733" s="17">
        <f t="shared" si="2149"/>
        <v>62703</v>
      </c>
      <c r="L2733" s="17" t="s">
        <v>215</v>
      </c>
      <c r="M2733" s="17" t="str">
        <f t="shared" si="2152"/>
        <v>1:12400:10</v>
      </c>
      <c r="N2733" s="16" t="str">
        <f t="shared" si="2139"/>
        <v>10070:1</v>
      </c>
      <c r="O2733" s="17">
        <f t="shared" si="2141"/>
        <v>8</v>
      </c>
      <c r="P2733" s="21" t="s">
        <v>5165</v>
      </c>
      <c r="Q2733" s="21"/>
      <c r="R2733" t="s">
        <v>5163</v>
      </c>
      <c r="T2733" t="str">
        <f t="shared" si="2153"/>
        <v>:1</v>
      </c>
      <c r="U2733" t="str">
        <f t="shared" si="2135"/>
        <v>巨人</v>
      </c>
      <c r="V2733" t="s">
        <v>5160</v>
      </c>
      <c r="W2733">
        <f>属性类型!G2733</f>
        <v>10070</v>
      </c>
      <c r="X2733">
        <v>1</v>
      </c>
    </row>
    <row r="2734" customFormat="1" ht="16.5" spans="1:24">
      <c r="A2734" s="17">
        <f t="shared" si="2150"/>
        <v>62703</v>
      </c>
      <c r="B2734" s="17">
        <f t="shared" si="2148"/>
        <v>62700</v>
      </c>
      <c r="C2734" s="17" t="str">
        <f t="shared" si="2128"/>
        <v>6</v>
      </c>
      <c r="D2734" s="17">
        <f t="shared" si="2138"/>
        <v>60003</v>
      </c>
      <c r="E2734" s="17">
        <f t="shared" ref="E2734:H2734" si="2155">E2733</f>
        <v>2</v>
      </c>
      <c r="F2734" s="17">
        <f t="shared" si="2140"/>
        <v>3</v>
      </c>
      <c r="G2734" s="17" t="str">
        <f t="shared" si="2155"/>
        <v>雪原巨人防御百分比</v>
      </c>
      <c r="H2734" s="17" t="str">
        <f t="shared" si="2155"/>
        <v>yeshou03_lv3</v>
      </c>
      <c r="I2734" s="20">
        <v>1.5</v>
      </c>
      <c r="J2734" s="17">
        <v>3</v>
      </c>
      <c r="K2734" s="17">
        <f t="shared" si="2149"/>
        <v>62704</v>
      </c>
      <c r="L2734" s="17" t="s">
        <v>218</v>
      </c>
      <c r="M2734" s="17" t="str">
        <f t="shared" si="2152"/>
        <v>1:12400:10</v>
      </c>
      <c r="N2734" s="16" t="str">
        <f t="shared" si="2139"/>
        <v>10070:1</v>
      </c>
      <c r="O2734" s="17">
        <f t="shared" si="2141"/>
        <v>8</v>
      </c>
      <c r="P2734" s="21" t="s">
        <v>5166</v>
      </c>
      <c r="Q2734" s="21"/>
      <c r="R2734" t="s">
        <v>5163</v>
      </c>
      <c r="T2734" t="str">
        <f t="shared" si="2153"/>
        <v>:1</v>
      </c>
      <c r="U2734" t="str">
        <f t="shared" si="2135"/>
        <v>巨人</v>
      </c>
      <c r="V2734" t="s">
        <v>5160</v>
      </c>
      <c r="W2734">
        <f>属性类型!G2734</f>
        <v>10070</v>
      </c>
      <c r="X2734">
        <v>1</v>
      </c>
    </row>
    <row r="2735" customFormat="1" ht="16.5" spans="1:24">
      <c r="A2735" s="17">
        <f t="shared" si="2150"/>
        <v>62704</v>
      </c>
      <c r="B2735" s="17">
        <f t="shared" si="2148"/>
        <v>62700</v>
      </c>
      <c r="C2735" s="17" t="str">
        <f t="shared" si="2128"/>
        <v>6</v>
      </c>
      <c r="D2735" s="17">
        <f t="shared" si="2138"/>
        <v>60003</v>
      </c>
      <c r="E2735" s="17">
        <f t="shared" ref="E2735:H2735" si="2156">E2734</f>
        <v>2</v>
      </c>
      <c r="F2735" s="17">
        <f t="shared" si="2140"/>
        <v>3</v>
      </c>
      <c r="G2735" s="17" t="str">
        <f t="shared" si="2156"/>
        <v>雪原巨人防御百分比</v>
      </c>
      <c r="H2735" s="17" t="str">
        <f t="shared" si="2156"/>
        <v>yeshou03_lv3</v>
      </c>
      <c r="I2735" s="20">
        <v>1.5</v>
      </c>
      <c r="J2735" s="17">
        <v>4</v>
      </c>
      <c r="K2735" s="17">
        <f t="shared" si="2149"/>
        <v>62705</v>
      </c>
      <c r="L2735" s="17" t="s">
        <v>221</v>
      </c>
      <c r="M2735" s="17" t="str">
        <f t="shared" si="2152"/>
        <v>1:12400:10</v>
      </c>
      <c r="N2735" s="16" t="str">
        <f t="shared" si="2139"/>
        <v>10070:1</v>
      </c>
      <c r="O2735" s="17">
        <f t="shared" si="2141"/>
        <v>8</v>
      </c>
      <c r="P2735" s="21" t="s">
        <v>5167</v>
      </c>
      <c r="Q2735" s="21"/>
      <c r="R2735" t="s">
        <v>5163</v>
      </c>
      <c r="T2735" t="str">
        <f t="shared" si="2153"/>
        <v>:1</v>
      </c>
      <c r="U2735" t="str">
        <f t="shared" si="2135"/>
        <v>巨人</v>
      </c>
      <c r="V2735" t="s">
        <v>5160</v>
      </c>
      <c r="W2735">
        <f>属性类型!G2735</f>
        <v>10070</v>
      </c>
      <c r="X2735">
        <v>1</v>
      </c>
    </row>
    <row r="2736" customFormat="1" ht="16.5" spans="1:24">
      <c r="A2736" s="17">
        <f t="shared" si="2150"/>
        <v>62705</v>
      </c>
      <c r="B2736" s="17">
        <f t="shared" si="2148"/>
        <v>62700</v>
      </c>
      <c r="C2736" s="17" t="str">
        <f t="shared" si="2128"/>
        <v>6</v>
      </c>
      <c r="D2736" s="17">
        <f t="shared" si="2138"/>
        <v>60003</v>
      </c>
      <c r="E2736" s="17">
        <f t="shared" ref="E2736:H2736" si="2157">E2735</f>
        <v>2</v>
      </c>
      <c r="F2736" s="17">
        <f t="shared" si="2140"/>
        <v>3</v>
      </c>
      <c r="G2736" s="17" t="str">
        <f t="shared" si="2157"/>
        <v>雪原巨人防御百分比</v>
      </c>
      <c r="H2736" s="17" t="str">
        <f t="shared" si="2157"/>
        <v>yeshou03_lv3</v>
      </c>
      <c r="I2736" s="20">
        <v>1.5</v>
      </c>
      <c r="J2736" s="17">
        <v>5</v>
      </c>
      <c r="K2736" s="17">
        <f t="shared" si="2149"/>
        <v>62706</v>
      </c>
      <c r="L2736" s="17" t="s">
        <v>224</v>
      </c>
      <c r="M2736" s="17" t="str">
        <f t="shared" si="2152"/>
        <v>1:12400:10</v>
      </c>
      <c r="N2736" s="16" t="str">
        <f t="shared" si="2139"/>
        <v>10070:1</v>
      </c>
      <c r="O2736" s="17">
        <f t="shared" si="2141"/>
        <v>8</v>
      </c>
      <c r="P2736" s="21" t="s">
        <v>5168</v>
      </c>
      <c r="Q2736" s="21"/>
      <c r="R2736" t="s">
        <v>5163</v>
      </c>
      <c r="T2736" t="str">
        <f t="shared" si="2153"/>
        <v>:1</v>
      </c>
      <c r="U2736" t="str">
        <f t="shared" si="2135"/>
        <v>巨人</v>
      </c>
      <c r="V2736" t="s">
        <v>5160</v>
      </c>
      <c r="W2736">
        <f>属性类型!G2736</f>
        <v>10070</v>
      </c>
      <c r="X2736">
        <v>1</v>
      </c>
    </row>
    <row r="2737" customFormat="1" ht="16.5" spans="1:24">
      <c r="A2737" s="17">
        <f t="shared" si="2150"/>
        <v>62706</v>
      </c>
      <c r="B2737" s="17">
        <f t="shared" si="2148"/>
        <v>62700</v>
      </c>
      <c r="C2737" s="17" t="str">
        <f t="shared" ref="C2737:C2793" si="2158">LEFT(A2737,1)</f>
        <v>6</v>
      </c>
      <c r="D2737" s="17">
        <f t="shared" si="2138"/>
        <v>60003</v>
      </c>
      <c r="E2737" s="17">
        <f t="shared" ref="E2737:H2737" si="2159">E2736</f>
        <v>2</v>
      </c>
      <c r="F2737" s="17">
        <f t="shared" si="2140"/>
        <v>3</v>
      </c>
      <c r="G2737" s="17" t="str">
        <f t="shared" si="2159"/>
        <v>雪原巨人防御百分比</v>
      </c>
      <c r="H2737" s="17" t="str">
        <f t="shared" si="2159"/>
        <v>yeshou03_lv3</v>
      </c>
      <c r="I2737" s="20">
        <v>1.5</v>
      </c>
      <c r="J2737" s="17">
        <v>6</v>
      </c>
      <c r="K2737" s="17">
        <f t="shared" si="2149"/>
        <v>62707</v>
      </c>
      <c r="L2737" s="17" t="s">
        <v>227</v>
      </c>
      <c r="M2737" s="17" t="str">
        <f t="shared" si="2152"/>
        <v>1:12400:10</v>
      </c>
      <c r="N2737" s="16" t="str">
        <f t="shared" si="2139"/>
        <v>10070:1</v>
      </c>
      <c r="O2737" s="17">
        <f t="shared" si="2141"/>
        <v>8</v>
      </c>
      <c r="P2737" s="21" t="s">
        <v>5169</v>
      </c>
      <c r="Q2737" s="21"/>
      <c r="R2737" t="s">
        <v>5163</v>
      </c>
      <c r="T2737" t="str">
        <f t="shared" si="2153"/>
        <v>:1</v>
      </c>
      <c r="U2737" t="str">
        <f t="shared" si="2135"/>
        <v>巨人</v>
      </c>
      <c r="V2737" t="s">
        <v>5160</v>
      </c>
      <c r="W2737">
        <f>属性类型!G2737</f>
        <v>10070</v>
      </c>
      <c r="X2737">
        <v>1</v>
      </c>
    </row>
    <row r="2738" customFormat="1" ht="16.5" spans="1:24">
      <c r="A2738" s="17">
        <f t="shared" si="2150"/>
        <v>62707</v>
      </c>
      <c r="B2738" s="17">
        <f t="shared" si="2148"/>
        <v>62700</v>
      </c>
      <c r="C2738" s="17" t="str">
        <f t="shared" si="2158"/>
        <v>6</v>
      </c>
      <c r="D2738" s="17">
        <f t="shared" si="2138"/>
        <v>60003</v>
      </c>
      <c r="E2738" s="17">
        <f t="shared" ref="E2738:H2738" si="2160">E2737</f>
        <v>2</v>
      </c>
      <c r="F2738" s="17">
        <f t="shared" si="2140"/>
        <v>3</v>
      </c>
      <c r="G2738" s="17" t="str">
        <f t="shared" si="2160"/>
        <v>雪原巨人防御百分比</v>
      </c>
      <c r="H2738" s="17" t="str">
        <f t="shared" si="2160"/>
        <v>yeshou03_lv3</v>
      </c>
      <c r="I2738" s="20">
        <v>1.5</v>
      </c>
      <c r="J2738" s="17">
        <v>7</v>
      </c>
      <c r="K2738" s="17">
        <f t="shared" si="2149"/>
        <v>62708</v>
      </c>
      <c r="L2738" s="17" t="s">
        <v>230</v>
      </c>
      <c r="M2738" s="17" t="str">
        <f t="shared" si="2152"/>
        <v>1:12400:10</v>
      </c>
      <c r="N2738" s="16" t="str">
        <f t="shared" si="2139"/>
        <v>10070:1</v>
      </c>
      <c r="O2738" s="17">
        <f t="shared" si="2141"/>
        <v>8</v>
      </c>
      <c r="P2738" s="21" t="s">
        <v>5170</v>
      </c>
      <c r="Q2738" s="21"/>
      <c r="R2738" t="s">
        <v>5163</v>
      </c>
      <c r="T2738" t="str">
        <f t="shared" si="2153"/>
        <v>:1</v>
      </c>
      <c r="U2738" t="str">
        <f t="shared" si="2135"/>
        <v>巨人</v>
      </c>
      <c r="V2738" t="s">
        <v>5160</v>
      </c>
      <c r="W2738">
        <f>属性类型!G2738</f>
        <v>10070</v>
      </c>
      <c r="X2738">
        <v>1</v>
      </c>
    </row>
    <row r="2739" customFormat="1" ht="16.5" spans="1:24">
      <c r="A2739" s="17">
        <f t="shared" si="2150"/>
        <v>62708</v>
      </c>
      <c r="B2739" s="17">
        <f t="shared" si="2148"/>
        <v>62700</v>
      </c>
      <c r="C2739" s="17" t="str">
        <f t="shared" si="2158"/>
        <v>6</v>
      </c>
      <c r="D2739" s="17">
        <f t="shared" si="2138"/>
        <v>60003</v>
      </c>
      <c r="E2739" s="17">
        <f t="shared" ref="E2739:H2739" si="2161">E2738</f>
        <v>2</v>
      </c>
      <c r="F2739" s="17">
        <f t="shared" si="2140"/>
        <v>3</v>
      </c>
      <c r="G2739" s="17" t="str">
        <f t="shared" si="2161"/>
        <v>雪原巨人防御百分比</v>
      </c>
      <c r="H2739" s="17" t="str">
        <f t="shared" si="2161"/>
        <v>yeshou03_lv3</v>
      </c>
      <c r="I2739" s="20">
        <v>1.5</v>
      </c>
      <c r="J2739" s="17">
        <v>8</v>
      </c>
      <c r="K2739" s="17">
        <f t="shared" si="2149"/>
        <v>62709</v>
      </c>
      <c r="L2739" s="17" t="s">
        <v>233</v>
      </c>
      <c r="M2739" s="17" t="str">
        <f t="shared" si="2152"/>
        <v>1:12400:10</v>
      </c>
      <c r="N2739" s="16" t="str">
        <f t="shared" si="2139"/>
        <v>10070:1</v>
      </c>
      <c r="O2739" s="17">
        <f t="shared" si="2141"/>
        <v>8</v>
      </c>
      <c r="P2739" s="21" t="s">
        <v>5171</v>
      </c>
      <c r="Q2739" s="21"/>
      <c r="R2739" t="s">
        <v>5163</v>
      </c>
      <c r="T2739" t="str">
        <f t="shared" si="2153"/>
        <v>:1</v>
      </c>
      <c r="U2739" t="str">
        <f t="shared" si="2135"/>
        <v>巨人</v>
      </c>
      <c r="V2739" t="s">
        <v>5160</v>
      </c>
      <c r="W2739">
        <f>属性类型!G2739</f>
        <v>10070</v>
      </c>
      <c r="X2739">
        <v>1</v>
      </c>
    </row>
    <row r="2740" customFormat="1" ht="16.5" spans="1:24">
      <c r="A2740" s="17">
        <f t="shared" si="2150"/>
        <v>62709</v>
      </c>
      <c r="B2740" s="17">
        <f t="shared" si="2148"/>
        <v>62700</v>
      </c>
      <c r="C2740" s="17" t="str">
        <f t="shared" si="2158"/>
        <v>6</v>
      </c>
      <c r="D2740" s="17">
        <f t="shared" si="2138"/>
        <v>60003</v>
      </c>
      <c r="E2740" s="17">
        <f t="shared" ref="E2740:H2740" si="2162">E2739</f>
        <v>2</v>
      </c>
      <c r="F2740" s="17">
        <f t="shared" si="2140"/>
        <v>3</v>
      </c>
      <c r="G2740" s="17" t="str">
        <f t="shared" si="2162"/>
        <v>雪原巨人防御百分比</v>
      </c>
      <c r="H2740" s="17" t="str">
        <f t="shared" si="2162"/>
        <v>yeshou03_lv3</v>
      </c>
      <c r="I2740" s="20">
        <v>1.5</v>
      </c>
      <c r="J2740" s="17">
        <v>9</v>
      </c>
      <c r="K2740" s="17">
        <f t="shared" si="2149"/>
        <v>62710</v>
      </c>
      <c r="L2740" s="17" t="s">
        <v>236</v>
      </c>
      <c r="M2740" s="17" t="str">
        <f t="shared" si="2152"/>
        <v>1:12400:10</v>
      </c>
      <c r="N2740" s="16" t="str">
        <f t="shared" si="2139"/>
        <v>10070:1</v>
      </c>
      <c r="O2740" s="17">
        <f t="shared" si="2141"/>
        <v>8</v>
      </c>
      <c r="P2740" s="21" t="s">
        <v>5172</v>
      </c>
      <c r="Q2740" s="21"/>
      <c r="R2740" t="s">
        <v>5163</v>
      </c>
      <c r="T2740" t="str">
        <f t="shared" si="2153"/>
        <v>:1</v>
      </c>
      <c r="U2740" t="str">
        <f t="shared" si="2135"/>
        <v>巨人</v>
      </c>
      <c r="V2740" t="s">
        <v>5160</v>
      </c>
      <c r="W2740">
        <f>属性类型!G2740</f>
        <v>10070</v>
      </c>
      <c r="X2740">
        <v>1</v>
      </c>
    </row>
    <row r="2741" customFormat="1" ht="16.5" spans="1:24">
      <c r="A2741" s="17">
        <f t="shared" si="2150"/>
        <v>62710</v>
      </c>
      <c r="B2741" s="17">
        <f t="shared" si="2148"/>
        <v>62700</v>
      </c>
      <c r="C2741" s="17" t="str">
        <f t="shared" si="2158"/>
        <v>6</v>
      </c>
      <c r="D2741" s="17">
        <f t="shared" si="2138"/>
        <v>60003</v>
      </c>
      <c r="E2741" s="17">
        <f t="shared" ref="E2741:H2741" si="2163">E2740</f>
        <v>2</v>
      </c>
      <c r="F2741" s="17">
        <f t="shared" si="2140"/>
        <v>3</v>
      </c>
      <c r="G2741" s="17" t="str">
        <f t="shared" si="2163"/>
        <v>雪原巨人防御百分比</v>
      </c>
      <c r="H2741" s="17" t="str">
        <f t="shared" si="2163"/>
        <v>yeshou03_lv3</v>
      </c>
      <c r="I2741" s="20">
        <v>1.5</v>
      </c>
      <c r="J2741" s="17">
        <v>10</v>
      </c>
      <c r="K2741" s="17">
        <f t="shared" si="2149"/>
        <v>62711</v>
      </c>
      <c r="L2741" s="17" t="s">
        <v>238</v>
      </c>
      <c r="M2741" s="17" t="str">
        <f t="shared" si="2152"/>
        <v>1:12400:10</v>
      </c>
      <c r="N2741" s="16" t="str">
        <f t="shared" si="2139"/>
        <v>10070:1</v>
      </c>
      <c r="O2741" s="17">
        <f t="shared" si="2141"/>
        <v>8</v>
      </c>
      <c r="P2741" s="21" t="s">
        <v>5173</v>
      </c>
      <c r="Q2741" s="21"/>
      <c r="R2741" t="s">
        <v>5163</v>
      </c>
      <c r="T2741" t="str">
        <f t="shared" si="2153"/>
        <v>:1</v>
      </c>
      <c r="U2741" t="str">
        <f t="shared" si="2135"/>
        <v>巨人</v>
      </c>
      <c r="V2741" t="s">
        <v>5160</v>
      </c>
      <c r="W2741">
        <f>属性类型!G2741</f>
        <v>10070</v>
      </c>
      <c r="X2741">
        <v>1</v>
      </c>
    </row>
    <row r="2742" customFormat="1" ht="16.5" spans="1:24">
      <c r="A2742" s="17">
        <f t="shared" si="2150"/>
        <v>62711</v>
      </c>
      <c r="B2742" s="17">
        <f t="shared" si="2148"/>
        <v>62700</v>
      </c>
      <c r="C2742" s="17" t="str">
        <f t="shared" si="2158"/>
        <v>6</v>
      </c>
      <c r="D2742" s="17">
        <f t="shared" si="2138"/>
        <v>60003</v>
      </c>
      <c r="E2742" s="17">
        <f t="shared" ref="E2742:H2742" si="2164">E2741</f>
        <v>2</v>
      </c>
      <c r="F2742" s="17">
        <f t="shared" si="2140"/>
        <v>3</v>
      </c>
      <c r="G2742" s="17" t="str">
        <f t="shared" si="2164"/>
        <v>雪原巨人防御百分比</v>
      </c>
      <c r="H2742" s="17" t="str">
        <f t="shared" si="2164"/>
        <v>yeshou03_lv3</v>
      </c>
      <c r="I2742" s="20">
        <v>1.5</v>
      </c>
      <c r="J2742" s="17">
        <v>11</v>
      </c>
      <c r="K2742" s="17">
        <f t="shared" si="2149"/>
        <v>62712</v>
      </c>
      <c r="L2742" s="17" t="s">
        <v>529</v>
      </c>
      <c r="M2742" s="17" t="str">
        <f t="shared" si="2152"/>
        <v>1:12400:10</v>
      </c>
      <c r="N2742" s="16" t="str">
        <f t="shared" si="2139"/>
        <v>10070:1</v>
      </c>
      <c r="O2742" s="17">
        <f t="shared" si="2141"/>
        <v>8</v>
      </c>
      <c r="P2742" s="21" t="s">
        <v>5174</v>
      </c>
      <c r="Q2742" s="21"/>
      <c r="R2742" t="s">
        <v>5163</v>
      </c>
      <c r="T2742" t="str">
        <f t="shared" si="2153"/>
        <v>:1</v>
      </c>
      <c r="U2742" t="str">
        <f t="shared" si="2135"/>
        <v>巨人</v>
      </c>
      <c r="V2742" t="s">
        <v>5160</v>
      </c>
      <c r="W2742">
        <f>属性类型!G2742</f>
        <v>10070</v>
      </c>
      <c r="X2742">
        <v>1</v>
      </c>
    </row>
    <row r="2743" customFormat="1" ht="16.5" spans="1:24">
      <c r="A2743" s="17">
        <f t="shared" si="2150"/>
        <v>62712</v>
      </c>
      <c r="B2743" s="17">
        <f t="shared" si="2148"/>
        <v>62700</v>
      </c>
      <c r="C2743" s="17" t="str">
        <f t="shared" si="2158"/>
        <v>6</v>
      </c>
      <c r="D2743" s="17">
        <f t="shared" si="2138"/>
        <v>60003</v>
      </c>
      <c r="E2743" s="17">
        <f t="shared" ref="E2743:H2743" si="2165">E2742</f>
        <v>2</v>
      </c>
      <c r="F2743" s="17">
        <f t="shared" si="2140"/>
        <v>3</v>
      </c>
      <c r="G2743" s="17" t="str">
        <f t="shared" si="2165"/>
        <v>雪原巨人防御百分比</v>
      </c>
      <c r="H2743" s="17" t="str">
        <f t="shared" si="2165"/>
        <v>yeshou03_lv3</v>
      </c>
      <c r="I2743" s="20">
        <v>1.5</v>
      </c>
      <c r="J2743" s="17">
        <v>12</v>
      </c>
      <c r="K2743" s="17">
        <f t="shared" si="2149"/>
        <v>62713</v>
      </c>
      <c r="L2743" s="17" t="s">
        <v>532</v>
      </c>
      <c r="M2743" s="17" t="str">
        <f t="shared" si="2152"/>
        <v>1:12400:10</v>
      </c>
      <c r="N2743" s="16" t="str">
        <f t="shared" si="2139"/>
        <v>10070:1</v>
      </c>
      <c r="O2743" s="17">
        <f t="shared" si="2141"/>
        <v>8</v>
      </c>
      <c r="P2743" s="21" t="s">
        <v>5175</v>
      </c>
      <c r="Q2743" s="21"/>
      <c r="R2743" t="s">
        <v>5163</v>
      </c>
      <c r="T2743" t="str">
        <f t="shared" si="2153"/>
        <v>:1</v>
      </c>
      <c r="U2743" t="str">
        <f t="shared" si="2135"/>
        <v>巨人</v>
      </c>
      <c r="V2743" t="s">
        <v>5160</v>
      </c>
      <c r="W2743">
        <f>属性类型!G2743</f>
        <v>10070</v>
      </c>
      <c r="X2743">
        <v>1</v>
      </c>
    </row>
    <row r="2744" customFormat="1" ht="16.5" spans="1:24">
      <c r="A2744" s="17">
        <f t="shared" si="2150"/>
        <v>62713</v>
      </c>
      <c r="B2744" s="17">
        <f t="shared" si="2148"/>
        <v>62700</v>
      </c>
      <c r="C2744" s="17" t="str">
        <f t="shared" si="2158"/>
        <v>6</v>
      </c>
      <c r="D2744" s="17">
        <f t="shared" si="2138"/>
        <v>60003</v>
      </c>
      <c r="E2744" s="17">
        <f t="shared" ref="E2744:H2744" si="2166">E2743</f>
        <v>2</v>
      </c>
      <c r="F2744" s="17">
        <f t="shared" si="2140"/>
        <v>3</v>
      </c>
      <c r="G2744" s="17" t="str">
        <f t="shared" si="2166"/>
        <v>雪原巨人防御百分比</v>
      </c>
      <c r="H2744" s="17" t="str">
        <f t="shared" si="2166"/>
        <v>yeshou03_lv3</v>
      </c>
      <c r="I2744" s="20">
        <v>1.5</v>
      </c>
      <c r="J2744" s="17">
        <v>13</v>
      </c>
      <c r="K2744" s="17">
        <f t="shared" si="2149"/>
        <v>62714</v>
      </c>
      <c r="L2744" s="17" t="s">
        <v>561</v>
      </c>
      <c r="M2744" s="17" t="str">
        <f t="shared" si="2152"/>
        <v>1:12400:10</v>
      </c>
      <c r="N2744" s="16" t="str">
        <f t="shared" si="2139"/>
        <v>10070:1</v>
      </c>
      <c r="O2744" s="17">
        <f t="shared" si="2141"/>
        <v>8</v>
      </c>
      <c r="P2744" s="21" t="s">
        <v>5176</v>
      </c>
      <c r="Q2744" s="21"/>
      <c r="R2744" t="s">
        <v>5163</v>
      </c>
      <c r="T2744" t="str">
        <f t="shared" si="2153"/>
        <v>:1</v>
      </c>
      <c r="U2744" t="str">
        <f t="shared" si="2135"/>
        <v>巨人</v>
      </c>
      <c r="V2744" t="s">
        <v>5160</v>
      </c>
      <c r="W2744">
        <f>属性类型!G2744</f>
        <v>10070</v>
      </c>
      <c r="X2744">
        <v>1</v>
      </c>
    </row>
    <row r="2745" customFormat="1" ht="16.5" spans="1:24">
      <c r="A2745" s="17">
        <f t="shared" si="2150"/>
        <v>62714</v>
      </c>
      <c r="B2745" s="17">
        <f t="shared" si="2148"/>
        <v>62700</v>
      </c>
      <c r="C2745" s="17" t="str">
        <f t="shared" si="2158"/>
        <v>6</v>
      </c>
      <c r="D2745" s="17">
        <f t="shared" si="2138"/>
        <v>60003</v>
      </c>
      <c r="E2745" s="17">
        <f t="shared" ref="E2745:H2745" si="2167">E2744</f>
        <v>2</v>
      </c>
      <c r="F2745" s="17">
        <f t="shared" si="2140"/>
        <v>3</v>
      </c>
      <c r="G2745" s="17" t="str">
        <f t="shared" si="2167"/>
        <v>雪原巨人防御百分比</v>
      </c>
      <c r="H2745" s="17" t="str">
        <f t="shared" si="2167"/>
        <v>yeshou03_lv3</v>
      </c>
      <c r="I2745" s="20">
        <v>1.5</v>
      </c>
      <c r="J2745" s="17">
        <v>14</v>
      </c>
      <c r="K2745" s="17">
        <f t="shared" si="2149"/>
        <v>62715</v>
      </c>
      <c r="L2745" s="17" t="s">
        <v>564</v>
      </c>
      <c r="M2745" s="17" t="str">
        <f t="shared" si="2152"/>
        <v>1:12400:10</v>
      </c>
      <c r="N2745" s="16" t="str">
        <f t="shared" si="2139"/>
        <v>10070:1</v>
      </c>
      <c r="O2745" s="17">
        <f t="shared" si="2141"/>
        <v>8</v>
      </c>
      <c r="P2745" s="21" t="s">
        <v>5177</v>
      </c>
      <c r="Q2745" s="21"/>
      <c r="R2745" t="s">
        <v>5163</v>
      </c>
      <c r="T2745" t="str">
        <f t="shared" si="2153"/>
        <v>:1</v>
      </c>
      <c r="U2745" t="str">
        <f t="shared" si="2135"/>
        <v>巨人</v>
      </c>
      <c r="V2745" t="s">
        <v>5160</v>
      </c>
      <c r="W2745">
        <f>属性类型!G2745</f>
        <v>10070</v>
      </c>
      <c r="X2745">
        <v>1</v>
      </c>
    </row>
    <row r="2746" customFormat="1" ht="16.5" spans="1:24">
      <c r="A2746" s="17">
        <f t="shared" si="2150"/>
        <v>62715</v>
      </c>
      <c r="B2746" s="17">
        <f t="shared" si="2148"/>
        <v>62700</v>
      </c>
      <c r="C2746" s="17" t="str">
        <f t="shared" si="2158"/>
        <v>6</v>
      </c>
      <c r="D2746" s="17">
        <f t="shared" si="2138"/>
        <v>60003</v>
      </c>
      <c r="E2746" s="17">
        <f t="shared" ref="E2746:H2746" si="2168">E2745</f>
        <v>2</v>
      </c>
      <c r="F2746" s="17">
        <f t="shared" si="2140"/>
        <v>3</v>
      </c>
      <c r="G2746" s="17" t="str">
        <f t="shared" si="2168"/>
        <v>雪原巨人防御百分比</v>
      </c>
      <c r="H2746" s="17" t="str">
        <f t="shared" si="2168"/>
        <v>yeshou03_lv3</v>
      </c>
      <c r="I2746" s="20">
        <v>1.5</v>
      </c>
      <c r="J2746" s="17">
        <v>15</v>
      </c>
      <c r="K2746" s="17">
        <f t="shared" si="2149"/>
        <v>62716</v>
      </c>
      <c r="L2746" s="17" t="s">
        <v>630</v>
      </c>
      <c r="M2746" s="17" t="str">
        <f t="shared" si="2152"/>
        <v>1:12400:10</v>
      </c>
      <c r="N2746" s="16" t="str">
        <f t="shared" si="2139"/>
        <v>10070:1</v>
      </c>
      <c r="O2746" s="17">
        <f t="shared" si="2141"/>
        <v>8</v>
      </c>
      <c r="P2746" s="21" t="s">
        <v>5178</v>
      </c>
      <c r="Q2746" s="21"/>
      <c r="R2746" t="s">
        <v>5163</v>
      </c>
      <c r="T2746" t="str">
        <f t="shared" si="2153"/>
        <v>:1</v>
      </c>
      <c r="U2746" t="str">
        <f t="shared" si="2135"/>
        <v>巨人</v>
      </c>
      <c r="V2746" t="s">
        <v>5160</v>
      </c>
      <c r="W2746">
        <f>属性类型!G2746</f>
        <v>10070</v>
      </c>
      <c r="X2746">
        <v>1</v>
      </c>
    </row>
    <row r="2747" customFormat="1" ht="16.5" spans="1:24">
      <c r="A2747" s="17">
        <f t="shared" si="2150"/>
        <v>62716</v>
      </c>
      <c r="B2747" s="17">
        <f t="shared" si="2148"/>
        <v>62700</v>
      </c>
      <c r="C2747" s="17" t="str">
        <f t="shared" si="2158"/>
        <v>6</v>
      </c>
      <c r="D2747" s="17">
        <f t="shared" si="2138"/>
        <v>60003</v>
      </c>
      <c r="E2747" s="17">
        <f t="shared" ref="E2747:H2747" si="2169">E2746</f>
        <v>2</v>
      </c>
      <c r="F2747" s="17">
        <f t="shared" si="2140"/>
        <v>3</v>
      </c>
      <c r="G2747" s="17" t="str">
        <f t="shared" si="2169"/>
        <v>雪原巨人防御百分比</v>
      </c>
      <c r="H2747" s="17" t="str">
        <f t="shared" si="2169"/>
        <v>yeshou03_lv3</v>
      </c>
      <c r="I2747" s="20">
        <v>1.5</v>
      </c>
      <c r="J2747" s="17">
        <v>16</v>
      </c>
      <c r="K2747" s="17">
        <f t="shared" si="2149"/>
        <v>62717</v>
      </c>
      <c r="L2747" s="17" t="s">
        <v>633</v>
      </c>
      <c r="M2747" s="17" t="str">
        <f t="shared" si="2152"/>
        <v>1:12400:10</v>
      </c>
      <c r="N2747" s="16" t="str">
        <f t="shared" si="2139"/>
        <v>10070:1</v>
      </c>
      <c r="O2747" s="17">
        <f t="shared" si="2141"/>
        <v>8</v>
      </c>
      <c r="P2747" s="21" t="s">
        <v>5179</v>
      </c>
      <c r="Q2747" s="21"/>
      <c r="R2747" t="s">
        <v>5163</v>
      </c>
      <c r="T2747" t="str">
        <f t="shared" si="2153"/>
        <v>:1</v>
      </c>
      <c r="U2747" t="str">
        <f t="shared" si="2135"/>
        <v>巨人</v>
      </c>
      <c r="V2747" t="s">
        <v>5160</v>
      </c>
      <c r="W2747">
        <f>属性类型!G2747</f>
        <v>10070</v>
      </c>
      <c r="X2747">
        <v>1</v>
      </c>
    </row>
    <row r="2748" customFormat="1" ht="16.5" spans="1:24">
      <c r="A2748" s="17">
        <f t="shared" si="2150"/>
        <v>62717</v>
      </c>
      <c r="B2748" s="17">
        <f t="shared" si="2148"/>
        <v>62700</v>
      </c>
      <c r="C2748" s="17" t="str">
        <f t="shared" si="2158"/>
        <v>6</v>
      </c>
      <c r="D2748" s="17">
        <f t="shared" si="2138"/>
        <v>60003</v>
      </c>
      <c r="E2748" s="17">
        <f t="shared" ref="E2748:H2748" si="2170">E2747</f>
        <v>2</v>
      </c>
      <c r="F2748" s="17">
        <f t="shared" si="2140"/>
        <v>3</v>
      </c>
      <c r="G2748" s="17" t="str">
        <f t="shared" si="2170"/>
        <v>雪原巨人防御百分比</v>
      </c>
      <c r="H2748" s="17" t="str">
        <f t="shared" si="2170"/>
        <v>yeshou03_lv3</v>
      </c>
      <c r="I2748" s="20">
        <v>1.5</v>
      </c>
      <c r="J2748" s="17">
        <v>17</v>
      </c>
      <c r="K2748" s="17">
        <f t="shared" si="2149"/>
        <v>62718</v>
      </c>
      <c r="L2748" s="17" t="s">
        <v>637</v>
      </c>
      <c r="M2748" s="17" t="str">
        <f t="shared" si="2152"/>
        <v>1:12400:10</v>
      </c>
      <c r="N2748" s="16" t="str">
        <f t="shared" si="2139"/>
        <v>10070:1</v>
      </c>
      <c r="O2748" s="17">
        <f t="shared" si="2141"/>
        <v>8</v>
      </c>
      <c r="P2748" s="21" t="s">
        <v>5180</v>
      </c>
      <c r="Q2748" s="21"/>
      <c r="R2748" t="s">
        <v>5163</v>
      </c>
      <c r="T2748" t="str">
        <f t="shared" si="2153"/>
        <v>:1</v>
      </c>
      <c r="U2748" t="str">
        <f t="shared" si="2135"/>
        <v>巨人</v>
      </c>
      <c r="V2748" t="s">
        <v>5160</v>
      </c>
      <c r="W2748">
        <f>属性类型!G2748</f>
        <v>10070</v>
      </c>
      <c r="X2748">
        <v>1</v>
      </c>
    </row>
    <row r="2749" customFormat="1" ht="16.5" spans="1:24">
      <c r="A2749" s="17">
        <f t="shared" si="2150"/>
        <v>62718</v>
      </c>
      <c r="B2749" s="17">
        <f t="shared" si="2148"/>
        <v>62700</v>
      </c>
      <c r="C2749" s="17" t="str">
        <f t="shared" si="2158"/>
        <v>6</v>
      </c>
      <c r="D2749" s="17">
        <f t="shared" si="2138"/>
        <v>60003</v>
      </c>
      <c r="E2749" s="17">
        <f t="shared" ref="E2749:H2749" si="2171">E2748</f>
        <v>2</v>
      </c>
      <c r="F2749" s="17">
        <f t="shared" si="2140"/>
        <v>3</v>
      </c>
      <c r="G2749" s="17" t="str">
        <f t="shared" si="2171"/>
        <v>雪原巨人防御百分比</v>
      </c>
      <c r="H2749" s="17" t="str">
        <f t="shared" si="2171"/>
        <v>yeshou03_lv3</v>
      </c>
      <c r="I2749" s="20">
        <v>1.5</v>
      </c>
      <c r="J2749" s="17">
        <v>18</v>
      </c>
      <c r="K2749" s="17">
        <f t="shared" si="2149"/>
        <v>62719</v>
      </c>
      <c r="L2749" s="17" t="s">
        <v>641</v>
      </c>
      <c r="M2749" s="17" t="str">
        <f t="shared" si="2152"/>
        <v>1:12400:10</v>
      </c>
      <c r="N2749" s="16" t="str">
        <f t="shared" si="2139"/>
        <v>10070:1</v>
      </c>
      <c r="O2749" s="17">
        <f t="shared" si="2141"/>
        <v>8</v>
      </c>
      <c r="P2749" s="21" t="s">
        <v>5181</v>
      </c>
      <c r="Q2749" s="21"/>
      <c r="R2749" t="s">
        <v>5163</v>
      </c>
      <c r="T2749" t="str">
        <f t="shared" si="2153"/>
        <v>:1</v>
      </c>
      <c r="U2749" t="str">
        <f t="shared" si="2135"/>
        <v>巨人</v>
      </c>
      <c r="V2749" t="s">
        <v>5160</v>
      </c>
      <c r="W2749">
        <f>属性类型!G2749</f>
        <v>10070</v>
      </c>
      <c r="X2749">
        <v>1</v>
      </c>
    </row>
    <row r="2750" customFormat="1" ht="16.5" spans="1:24">
      <c r="A2750" s="17">
        <f t="shared" si="2150"/>
        <v>62719</v>
      </c>
      <c r="B2750" s="17">
        <f t="shared" si="2148"/>
        <v>62700</v>
      </c>
      <c r="C2750" s="17" t="str">
        <f t="shared" si="2158"/>
        <v>6</v>
      </c>
      <c r="D2750" s="17">
        <f t="shared" si="2138"/>
        <v>60003</v>
      </c>
      <c r="E2750" s="17">
        <f t="shared" ref="E2750:H2750" si="2172">E2749</f>
        <v>2</v>
      </c>
      <c r="F2750" s="17">
        <f t="shared" si="2140"/>
        <v>3</v>
      </c>
      <c r="G2750" s="17" t="str">
        <f t="shared" si="2172"/>
        <v>雪原巨人防御百分比</v>
      </c>
      <c r="H2750" s="17" t="str">
        <f t="shared" si="2172"/>
        <v>yeshou03_lv3</v>
      </c>
      <c r="I2750" s="20">
        <v>1.5</v>
      </c>
      <c r="J2750" s="17">
        <v>19</v>
      </c>
      <c r="K2750" s="17">
        <f t="shared" si="2149"/>
        <v>62720</v>
      </c>
      <c r="L2750" s="17" t="s">
        <v>645</v>
      </c>
      <c r="M2750" s="17" t="str">
        <f t="shared" si="2152"/>
        <v>1:12400:10</v>
      </c>
      <c r="N2750" s="16" t="str">
        <f t="shared" si="2139"/>
        <v>10070:1</v>
      </c>
      <c r="O2750" s="17">
        <f t="shared" si="2141"/>
        <v>8</v>
      </c>
      <c r="P2750" s="21" t="s">
        <v>5182</v>
      </c>
      <c r="Q2750" s="21"/>
      <c r="R2750" t="s">
        <v>5163</v>
      </c>
      <c r="T2750" t="str">
        <f t="shared" si="2153"/>
        <v>:1</v>
      </c>
      <c r="U2750" t="str">
        <f t="shared" si="2135"/>
        <v>巨人</v>
      </c>
      <c r="V2750" t="s">
        <v>5160</v>
      </c>
      <c r="W2750">
        <f>属性类型!G2750</f>
        <v>10070</v>
      </c>
      <c r="X2750">
        <v>1</v>
      </c>
    </row>
    <row r="2751" customFormat="1" ht="16.5" spans="1:24">
      <c r="A2751" s="17">
        <f t="shared" si="2150"/>
        <v>62720</v>
      </c>
      <c r="B2751" s="17">
        <f t="shared" si="2148"/>
        <v>62700</v>
      </c>
      <c r="C2751" s="17" t="str">
        <f t="shared" si="2158"/>
        <v>6</v>
      </c>
      <c r="D2751" s="17">
        <f t="shared" si="2138"/>
        <v>60003</v>
      </c>
      <c r="E2751" s="17">
        <f t="shared" ref="E2751:H2751" si="2173">E2750</f>
        <v>2</v>
      </c>
      <c r="F2751" s="17">
        <f t="shared" si="2140"/>
        <v>3</v>
      </c>
      <c r="G2751" s="17" t="str">
        <f t="shared" si="2173"/>
        <v>雪原巨人防御百分比</v>
      </c>
      <c r="H2751" s="17" t="str">
        <f t="shared" si="2173"/>
        <v>yeshou03_lv3</v>
      </c>
      <c r="I2751" s="20">
        <v>1.5</v>
      </c>
      <c r="J2751" s="17">
        <v>20</v>
      </c>
      <c r="K2751" s="17">
        <v>0</v>
      </c>
      <c r="L2751" s="17">
        <v>0</v>
      </c>
      <c r="M2751" s="17" t="str">
        <f t="shared" si="2152"/>
        <v>1:12400:10</v>
      </c>
      <c r="N2751" s="16" t="str">
        <f t="shared" si="2139"/>
        <v>10070:1</v>
      </c>
      <c r="O2751" s="17">
        <f t="shared" si="2141"/>
        <v>8</v>
      </c>
      <c r="P2751" s="21" t="s">
        <v>5182</v>
      </c>
      <c r="Q2751" s="21"/>
      <c r="R2751" t="s">
        <v>5163</v>
      </c>
      <c r="T2751" t="str">
        <f t="shared" si="2153"/>
        <v>:1</v>
      </c>
      <c r="U2751" t="str">
        <f t="shared" si="2135"/>
        <v>巨人</v>
      </c>
      <c r="V2751" t="s">
        <v>5160</v>
      </c>
      <c r="W2751">
        <f>属性类型!G2751</f>
        <v>10070</v>
      </c>
      <c r="X2751">
        <v>1</v>
      </c>
    </row>
    <row r="2752" customFormat="1" ht="16.5" spans="1:24">
      <c r="A2752" s="18">
        <f>A2731+100</f>
        <v>62800</v>
      </c>
      <c r="B2752" s="18">
        <f t="shared" si="2148"/>
        <v>62800</v>
      </c>
      <c r="C2752" s="18" t="str">
        <f t="shared" si="2158"/>
        <v>6</v>
      </c>
      <c r="D2752" s="17">
        <f t="shared" si="2138"/>
        <v>60003</v>
      </c>
      <c r="E2752" s="17">
        <v>2</v>
      </c>
      <c r="F2752" s="18">
        <f t="shared" si="2140"/>
        <v>3</v>
      </c>
      <c r="G2752" s="18" t="s">
        <v>5183</v>
      </c>
      <c r="H2752" s="18" t="s">
        <v>5161</v>
      </c>
      <c r="I2752" s="20">
        <v>1.5</v>
      </c>
      <c r="J2752" s="18">
        <v>0</v>
      </c>
      <c r="K2752" s="18">
        <f t="shared" ref="K2752:K2771" si="2174">A2753</f>
        <v>62801</v>
      </c>
      <c r="L2752" s="18" t="s">
        <v>206</v>
      </c>
      <c r="M2752" s="18" t="s">
        <v>741</v>
      </c>
      <c r="N2752" s="16" t="str">
        <f t="shared" si="2139"/>
        <v>10071:1</v>
      </c>
      <c r="O2752" s="18">
        <f t="shared" si="2141"/>
        <v>9</v>
      </c>
      <c r="P2752" s="21" t="s">
        <v>5184</v>
      </c>
      <c r="Q2752" s="21"/>
      <c r="R2752" t="s">
        <v>5163</v>
      </c>
      <c r="T2752" t="str">
        <f>RIGHT(N2752,1)</f>
        <v>1</v>
      </c>
      <c r="U2752" t="str">
        <f t="shared" si="2135"/>
        <v>巨人</v>
      </c>
      <c r="V2752" t="s">
        <v>5183</v>
      </c>
      <c r="W2752">
        <f>属性类型!G2752</f>
        <v>10071</v>
      </c>
      <c r="X2752">
        <v>1</v>
      </c>
    </row>
    <row r="2753" customFormat="1" ht="16.5" spans="1:24">
      <c r="A2753" s="17">
        <f t="shared" ref="A2753:A2772" si="2175">A2752+1</f>
        <v>62801</v>
      </c>
      <c r="B2753" s="17">
        <f t="shared" si="2148"/>
        <v>62800</v>
      </c>
      <c r="C2753" s="17" t="str">
        <f t="shared" si="2158"/>
        <v>6</v>
      </c>
      <c r="D2753" s="17">
        <f t="shared" si="2138"/>
        <v>60003</v>
      </c>
      <c r="E2753" s="17">
        <f t="shared" ref="E2753:H2753" si="2176">E2752</f>
        <v>2</v>
      </c>
      <c r="F2753" s="17">
        <f t="shared" si="2140"/>
        <v>3</v>
      </c>
      <c r="G2753" s="17" t="str">
        <f t="shared" si="2176"/>
        <v>雪原巨人攻击百分比</v>
      </c>
      <c r="H2753" s="17" t="str">
        <f t="shared" si="2176"/>
        <v>yeshou03_lv3</v>
      </c>
      <c r="I2753" s="20">
        <v>1.5</v>
      </c>
      <c r="J2753" s="17">
        <v>1</v>
      </c>
      <c r="K2753" s="17">
        <f t="shared" si="2174"/>
        <v>62802</v>
      </c>
      <c r="L2753" s="17" t="s">
        <v>211</v>
      </c>
      <c r="M2753" s="17" t="str">
        <f t="shared" ref="M2753:M2772" si="2177">M2752</f>
        <v>1:12500:10</v>
      </c>
      <c r="N2753" s="16" t="str">
        <f t="shared" si="2139"/>
        <v>10071:1</v>
      </c>
      <c r="O2753" s="17">
        <f t="shared" si="2141"/>
        <v>9</v>
      </c>
      <c r="P2753" s="21" t="s">
        <v>5185</v>
      </c>
      <c r="Q2753" s="21"/>
      <c r="R2753" t="str">
        <f t="shared" ref="R2753:R2772" si="2178">R2752</f>
        <v>雪原巨人</v>
      </c>
      <c r="T2753" t="str">
        <f t="shared" ref="T2753:T2772" si="2179">RIGHT(N2753,2)</f>
        <v>:1</v>
      </c>
      <c r="U2753" t="str">
        <f t="shared" si="2135"/>
        <v>巨人</v>
      </c>
      <c r="V2753" t="s">
        <v>5183</v>
      </c>
      <c r="W2753">
        <f>属性类型!G2753</f>
        <v>10071</v>
      </c>
      <c r="X2753">
        <v>1</v>
      </c>
    </row>
    <row r="2754" customFormat="1" ht="16.5" spans="1:24">
      <c r="A2754" s="17">
        <f t="shared" si="2175"/>
        <v>62802</v>
      </c>
      <c r="B2754" s="17">
        <f t="shared" si="2148"/>
        <v>62800</v>
      </c>
      <c r="C2754" s="17" t="str">
        <f t="shared" si="2158"/>
        <v>6</v>
      </c>
      <c r="D2754" s="17">
        <f t="shared" si="2138"/>
        <v>60003</v>
      </c>
      <c r="E2754" s="17">
        <f t="shared" ref="E2754:H2754" si="2180">E2753</f>
        <v>2</v>
      </c>
      <c r="F2754" s="17">
        <f t="shared" si="2140"/>
        <v>3</v>
      </c>
      <c r="G2754" s="17" t="str">
        <f t="shared" si="2180"/>
        <v>雪原巨人攻击百分比</v>
      </c>
      <c r="H2754" s="17" t="str">
        <f t="shared" si="2180"/>
        <v>yeshou03_lv3</v>
      </c>
      <c r="I2754" s="20">
        <v>1.5</v>
      </c>
      <c r="J2754" s="17">
        <v>2</v>
      </c>
      <c r="K2754" s="17">
        <f t="shared" si="2174"/>
        <v>62803</v>
      </c>
      <c r="L2754" s="17" t="s">
        <v>215</v>
      </c>
      <c r="M2754" s="17" t="str">
        <f t="shared" si="2177"/>
        <v>1:12500:10</v>
      </c>
      <c r="N2754" s="16" t="str">
        <f t="shared" si="2139"/>
        <v>10071:1</v>
      </c>
      <c r="O2754" s="17">
        <f t="shared" si="2141"/>
        <v>9</v>
      </c>
      <c r="P2754" s="21" t="s">
        <v>5186</v>
      </c>
      <c r="Q2754" s="21"/>
      <c r="R2754" t="str">
        <f t="shared" si="2178"/>
        <v>雪原巨人</v>
      </c>
      <c r="T2754" t="str">
        <f t="shared" si="2179"/>
        <v>:1</v>
      </c>
      <c r="U2754" t="str">
        <f t="shared" si="2135"/>
        <v>巨人</v>
      </c>
      <c r="V2754" t="s">
        <v>5183</v>
      </c>
      <c r="W2754">
        <f>属性类型!G2754</f>
        <v>10071</v>
      </c>
      <c r="X2754">
        <v>1</v>
      </c>
    </row>
    <row r="2755" customFormat="1" ht="16.5" spans="1:24">
      <c r="A2755" s="17">
        <f t="shared" si="2175"/>
        <v>62803</v>
      </c>
      <c r="B2755" s="17">
        <f t="shared" si="2148"/>
        <v>62800</v>
      </c>
      <c r="C2755" s="17" t="str">
        <f t="shared" si="2158"/>
        <v>6</v>
      </c>
      <c r="D2755" s="17">
        <f t="shared" si="2138"/>
        <v>60003</v>
      </c>
      <c r="E2755" s="17">
        <f t="shared" ref="E2755:H2755" si="2181">E2754</f>
        <v>2</v>
      </c>
      <c r="F2755" s="17">
        <f t="shared" si="2140"/>
        <v>3</v>
      </c>
      <c r="G2755" s="17" t="str">
        <f t="shared" si="2181"/>
        <v>雪原巨人攻击百分比</v>
      </c>
      <c r="H2755" s="17" t="str">
        <f t="shared" si="2181"/>
        <v>yeshou03_lv3</v>
      </c>
      <c r="I2755" s="20">
        <v>1.5</v>
      </c>
      <c r="J2755" s="17">
        <v>3</v>
      </c>
      <c r="K2755" s="17">
        <f t="shared" si="2174"/>
        <v>62804</v>
      </c>
      <c r="L2755" s="17" t="s">
        <v>218</v>
      </c>
      <c r="M2755" s="17" t="str">
        <f t="shared" si="2177"/>
        <v>1:12500:10</v>
      </c>
      <c r="N2755" s="16" t="str">
        <f t="shared" si="2139"/>
        <v>10071:1</v>
      </c>
      <c r="O2755" s="17">
        <f t="shared" si="2141"/>
        <v>9</v>
      </c>
      <c r="P2755" s="21" t="s">
        <v>5187</v>
      </c>
      <c r="Q2755" s="21"/>
      <c r="R2755" t="str">
        <f t="shared" si="2178"/>
        <v>雪原巨人</v>
      </c>
      <c r="T2755" t="str">
        <f t="shared" si="2179"/>
        <v>:1</v>
      </c>
      <c r="U2755" t="str">
        <f t="shared" si="2135"/>
        <v>巨人</v>
      </c>
      <c r="V2755" t="s">
        <v>5183</v>
      </c>
      <c r="W2755">
        <f>属性类型!G2755</f>
        <v>10071</v>
      </c>
      <c r="X2755">
        <v>1</v>
      </c>
    </row>
    <row r="2756" customFormat="1" ht="16.5" spans="1:24">
      <c r="A2756" s="17">
        <f t="shared" si="2175"/>
        <v>62804</v>
      </c>
      <c r="B2756" s="17">
        <f t="shared" si="2148"/>
        <v>62800</v>
      </c>
      <c r="C2756" s="17" t="str">
        <f t="shared" si="2158"/>
        <v>6</v>
      </c>
      <c r="D2756" s="17">
        <f t="shared" si="2138"/>
        <v>60003</v>
      </c>
      <c r="E2756" s="17">
        <f t="shared" ref="E2756:H2756" si="2182">E2755</f>
        <v>2</v>
      </c>
      <c r="F2756" s="17">
        <f t="shared" si="2140"/>
        <v>3</v>
      </c>
      <c r="G2756" s="17" t="str">
        <f t="shared" si="2182"/>
        <v>雪原巨人攻击百分比</v>
      </c>
      <c r="H2756" s="17" t="str">
        <f t="shared" si="2182"/>
        <v>yeshou03_lv3</v>
      </c>
      <c r="I2756" s="20">
        <v>1.5</v>
      </c>
      <c r="J2756" s="17">
        <v>4</v>
      </c>
      <c r="K2756" s="17">
        <f t="shared" si="2174"/>
        <v>62805</v>
      </c>
      <c r="L2756" s="17" t="s">
        <v>221</v>
      </c>
      <c r="M2756" s="17" t="str">
        <f t="shared" si="2177"/>
        <v>1:12500:10</v>
      </c>
      <c r="N2756" s="16" t="str">
        <f t="shared" si="2139"/>
        <v>10071:1</v>
      </c>
      <c r="O2756" s="17">
        <f t="shared" si="2141"/>
        <v>9</v>
      </c>
      <c r="P2756" s="21" t="s">
        <v>5188</v>
      </c>
      <c r="Q2756" s="21"/>
      <c r="R2756" t="str">
        <f t="shared" si="2178"/>
        <v>雪原巨人</v>
      </c>
      <c r="T2756" t="str">
        <f t="shared" si="2179"/>
        <v>:1</v>
      </c>
      <c r="U2756" t="str">
        <f t="shared" si="2135"/>
        <v>巨人</v>
      </c>
      <c r="V2756" t="s">
        <v>5183</v>
      </c>
      <c r="W2756">
        <f>属性类型!G2756</f>
        <v>10071</v>
      </c>
      <c r="X2756">
        <v>1</v>
      </c>
    </row>
    <row r="2757" customFormat="1" ht="16.5" spans="1:24">
      <c r="A2757" s="17">
        <f t="shared" si="2175"/>
        <v>62805</v>
      </c>
      <c r="B2757" s="17">
        <f t="shared" si="2148"/>
        <v>62800</v>
      </c>
      <c r="C2757" s="17" t="str">
        <f t="shared" si="2158"/>
        <v>6</v>
      </c>
      <c r="D2757" s="17">
        <f t="shared" si="2138"/>
        <v>60003</v>
      </c>
      <c r="E2757" s="17">
        <f t="shared" ref="E2757:H2757" si="2183">E2756</f>
        <v>2</v>
      </c>
      <c r="F2757" s="17">
        <f t="shared" si="2140"/>
        <v>3</v>
      </c>
      <c r="G2757" s="17" t="str">
        <f t="shared" si="2183"/>
        <v>雪原巨人攻击百分比</v>
      </c>
      <c r="H2757" s="17" t="str">
        <f t="shared" si="2183"/>
        <v>yeshou03_lv3</v>
      </c>
      <c r="I2757" s="20">
        <v>1.5</v>
      </c>
      <c r="J2757" s="17">
        <v>5</v>
      </c>
      <c r="K2757" s="17">
        <f t="shared" si="2174"/>
        <v>62806</v>
      </c>
      <c r="L2757" s="17" t="s">
        <v>224</v>
      </c>
      <c r="M2757" s="17" t="str">
        <f t="shared" si="2177"/>
        <v>1:12500:10</v>
      </c>
      <c r="N2757" s="16" t="str">
        <f t="shared" si="2139"/>
        <v>10071:1</v>
      </c>
      <c r="O2757" s="17">
        <f t="shared" si="2141"/>
        <v>9</v>
      </c>
      <c r="P2757" s="21" t="s">
        <v>5189</v>
      </c>
      <c r="Q2757" s="21"/>
      <c r="R2757" t="str">
        <f t="shared" si="2178"/>
        <v>雪原巨人</v>
      </c>
      <c r="T2757" t="str">
        <f t="shared" si="2179"/>
        <v>:1</v>
      </c>
      <c r="U2757" t="str">
        <f t="shared" ref="U2757:U2793" si="2184">MID(P2757,3,2)</f>
        <v>巨人</v>
      </c>
      <c r="V2757" t="s">
        <v>5183</v>
      </c>
      <c r="W2757">
        <f>属性类型!G2757</f>
        <v>10071</v>
      </c>
      <c r="X2757">
        <v>1</v>
      </c>
    </row>
    <row r="2758" customFormat="1" ht="16.5" spans="1:24">
      <c r="A2758" s="17">
        <f t="shared" si="2175"/>
        <v>62806</v>
      </c>
      <c r="B2758" s="17">
        <f t="shared" si="2148"/>
        <v>62800</v>
      </c>
      <c r="C2758" s="17" t="str">
        <f t="shared" si="2158"/>
        <v>6</v>
      </c>
      <c r="D2758" s="17">
        <f t="shared" si="2138"/>
        <v>60003</v>
      </c>
      <c r="E2758" s="17">
        <f t="shared" ref="E2758:H2758" si="2185">E2757</f>
        <v>2</v>
      </c>
      <c r="F2758" s="17">
        <f t="shared" si="2140"/>
        <v>3</v>
      </c>
      <c r="G2758" s="17" t="str">
        <f t="shared" si="2185"/>
        <v>雪原巨人攻击百分比</v>
      </c>
      <c r="H2758" s="17" t="str">
        <f t="shared" si="2185"/>
        <v>yeshou03_lv3</v>
      </c>
      <c r="I2758" s="20">
        <v>1.5</v>
      </c>
      <c r="J2758" s="17">
        <v>6</v>
      </c>
      <c r="K2758" s="17">
        <f t="shared" si="2174"/>
        <v>62807</v>
      </c>
      <c r="L2758" s="17" t="s">
        <v>227</v>
      </c>
      <c r="M2758" s="17" t="str">
        <f t="shared" si="2177"/>
        <v>1:12500:10</v>
      </c>
      <c r="N2758" s="16" t="str">
        <f t="shared" si="2139"/>
        <v>10071:1</v>
      </c>
      <c r="O2758" s="17">
        <f t="shared" si="2141"/>
        <v>9</v>
      </c>
      <c r="P2758" s="21" t="s">
        <v>5190</v>
      </c>
      <c r="Q2758" s="21"/>
      <c r="R2758" t="str">
        <f t="shared" si="2178"/>
        <v>雪原巨人</v>
      </c>
      <c r="T2758" t="str">
        <f t="shared" si="2179"/>
        <v>:1</v>
      </c>
      <c r="U2758" t="str">
        <f t="shared" si="2184"/>
        <v>巨人</v>
      </c>
      <c r="V2758" t="s">
        <v>5183</v>
      </c>
      <c r="W2758">
        <f>属性类型!G2758</f>
        <v>10071</v>
      </c>
      <c r="X2758">
        <v>1</v>
      </c>
    </row>
    <row r="2759" customFormat="1" ht="16.5" spans="1:24">
      <c r="A2759" s="17">
        <f t="shared" si="2175"/>
        <v>62807</v>
      </c>
      <c r="B2759" s="17">
        <f t="shared" si="2148"/>
        <v>62800</v>
      </c>
      <c r="C2759" s="17" t="str">
        <f t="shared" si="2158"/>
        <v>6</v>
      </c>
      <c r="D2759" s="17">
        <f t="shared" si="2138"/>
        <v>60003</v>
      </c>
      <c r="E2759" s="17">
        <f t="shared" ref="E2759:H2759" si="2186">E2758</f>
        <v>2</v>
      </c>
      <c r="F2759" s="17">
        <f t="shared" si="2140"/>
        <v>3</v>
      </c>
      <c r="G2759" s="17" t="str">
        <f t="shared" si="2186"/>
        <v>雪原巨人攻击百分比</v>
      </c>
      <c r="H2759" s="17" t="str">
        <f t="shared" si="2186"/>
        <v>yeshou03_lv3</v>
      </c>
      <c r="I2759" s="20">
        <v>1.5</v>
      </c>
      <c r="J2759" s="17">
        <v>7</v>
      </c>
      <c r="K2759" s="17">
        <f t="shared" si="2174"/>
        <v>62808</v>
      </c>
      <c r="L2759" s="17" t="s">
        <v>230</v>
      </c>
      <c r="M2759" s="17" t="str">
        <f t="shared" si="2177"/>
        <v>1:12500:10</v>
      </c>
      <c r="N2759" s="16" t="str">
        <f t="shared" si="2139"/>
        <v>10071:1</v>
      </c>
      <c r="O2759" s="17">
        <f t="shared" si="2141"/>
        <v>9</v>
      </c>
      <c r="P2759" s="21" t="s">
        <v>5191</v>
      </c>
      <c r="Q2759" s="21"/>
      <c r="R2759" t="str">
        <f t="shared" si="2178"/>
        <v>雪原巨人</v>
      </c>
      <c r="T2759" t="str">
        <f t="shared" si="2179"/>
        <v>:1</v>
      </c>
      <c r="U2759" t="str">
        <f t="shared" si="2184"/>
        <v>巨人</v>
      </c>
      <c r="V2759" t="s">
        <v>5183</v>
      </c>
      <c r="W2759">
        <f>属性类型!G2759</f>
        <v>10071</v>
      </c>
      <c r="X2759">
        <v>1</v>
      </c>
    </row>
    <row r="2760" customFormat="1" ht="16.5" spans="1:24">
      <c r="A2760" s="17">
        <f t="shared" si="2175"/>
        <v>62808</v>
      </c>
      <c r="B2760" s="17">
        <f t="shared" si="2148"/>
        <v>62800</v>
      </c>
      <c r="C2760" s="17" t="str">
        <f t="shared" si="2158"/>
        <v>6</v>
      </c>
      <c r="D2760" s="17">
        <f t="shared" ref="D2760:D2793" si="2187">$A$2329+F2760</f>
        <v>60003</v>
      </c>
      <c r="E2760" s="17">
        <f t="shared" ref="E2760:H2760" si="2188">E2759</f>
        <v>2</v>
      </c>
      <c r="F2760" s="17">
        <f t="shared" si="2140"/>
        <v>3</v>
      </c>
      <c r="G2760" s="17" t="str">
        <f t="shared" si="2188"/>
        <v>雪原巨人攻击百分比</v>
      </c>
      <c r="H2760" s="17" t="str">
        <f t="shared" si="2188"/>
        <v>yeshou03_lv3</v>
      </c>
      <c r="I2760" s="20">
        <v>1.5</v>
      </c>
      <c r="J2760" s="17">
        <v>8</v>
      </c>
      <c r="K2760" s="17">
        <f t="shared" si="2174"/>
        <v>62809</v>
      </c>
      <c r="L2760" s="17" t="s">
        <v>233</v>
      </c>
      <c r="M2760" s="17" t="str">
        <f t="shared" si="2177"/>
        <v>1:12500:10</v>
      </c>
      <c r="N2760" s="16" t="str">
        <f t="shared" si="2139"/>
        <v>10071:1</v>
      </c>
      <c r="O2760" s="17">
        <f t="shared" si="2141"/>
        <v>9</v>
      </c>
      <c r="P2760" s="21" t="s">
        <v>5192</v>
      </c>
      <c r="Q2760" s="21"/>
      <c r="R2760" t="str">
        <f t="shared" si="2178"/>
        <v>雪原巨人</v>
      </c>
      <c r="T2760" t="str">
        <f t="shared" si="2179"/>
        <v>:1</v>
      </c>
      <c r="U2760" t="str">
        <f t="shared" si="2184"/>
        <v>巨人</v>
      </c>
      <c r="V2760" t="s">
        <v>5183</v>
      </c>
      <c r="W2760">
        <f>属性类型!G2760</f>
        <v>10071</v>
      </c>
      <c r="X2760">
        <v>1</v>
      </c>
    </row>
    <row r="2761" customFormat="1" ht="16.5" spans="1:24">
      <c r="A2761" s="17">
        <f t="shared" si="2175"/>
        <v>62809</v>
      </c>
      <c r="B2761" s="17">
        <f t="shared" si="2148"/>
        <v>62800</v>
      </c>
      <c r="C2761" s="17" t="str">
        <f t="shared" si="2158"/>
        <v>6</v>
      </c>
      <c r="D2761" s="17">
        <f t="shared" si="2187"/>
        <v>60003</v>
      </c>
      <c r="E2761" s="17">
        <f t="shared" ref="E2761:H2761" si="2189">E2760</f>
        <v>2</v>
      </c>
      <c r="F2761" s="17">
        <f t="shared" si="2140"/>
        <v>3</v>
      </c>
      <c r="G2761" s="17" t="str">
        <f t="shared" si="2189"/>
        <v>雪原巨人攻击百分比</v>
      </c>
      <c r="H2761" s="17" t="str">
        <f t="shared" si="2189"/>
        <v>yeshou03_lv3</v>
      </c>
      <c r="I2761" s="20">
        <v>1.5</v>
      </c>
      <c r="J2761" s="17">
        <v>9</v>
      </c>
      <c r="K2761" s="17">
        <f t="shared" si="2174"/>
        <v>62810</v>
      </c>
      <c r="L2761" s="17" t="s">
        <v>236</v>
      </c>
      <c r="M2761" s="17" t="str">
        <f t="shared" si="2177"/>
        <v>1:12500:10</v>
      </c>
      <c r="N2761" s="16" t="str">
        <f t="shared" si="2139"/>
        <v>10071:1</v>
      </c>
      <c r="O2761" s="17">
        <f t="shared" si="2141"/>
        <v>9</v>
      </c>
      <c r="P2761" s="21" t="s">
        <v>5193</v>
      </c>
      <c r="Q2761" s="21"/>
      <c r="R2761" t="str">
        <f t="shared" si="2178"/>
        <v>雪原巨人</v>
      </c>
      <c r="T2761" t="str">
        <f t="shared" si="2179"/>
        <v>:1</v>
      </c>
      <c r="U2761" t="str">
        <f t="shared" si="2184"/>
        <v>巨人</v>
      </c>
      <c r="V2761" t="s">
        <v>5183</v>
      </c>
      <c r="W2761">
        <f>属性类型!G2761</f>
        <v>10071</v>
      </c>
      <c r="X2761">
        <v>1</v>
      </c>
    </row>
    <row r="2762" customFormat="1" ht="16.5" spans="1:24">
      <c r="A2762" s="17">
        <f t="shared" si="2175"/>
        <v>62810</v>
      </c>
      <c r="B2762" s="17">
        <f t="shared" si="2148"/>
        <v>62800</v>
      </c>
      <c r="C2762" s="17" t="str">
        <f t="shared" si="2158"/>
        <v>6</v>
      </c>
      <c r="D2762" s="17">
        <f t="shared" si="2187"/>
        <v>60003</v>
      </c>
      <c r="E2762" s="17">
        <f t="shared" ref="E2762:H2762" si="2190">E2761</f>
        <v>2</v>
      </c>
      <c r="F2762" s="17">
        <f t="shared" si="2140"/>
        <v>3</v>
      </c>
      <c r="G2762" s="17" t="str">
        <f t="shared" si="2190"/>
        <v>雪原巨人攻击百分比</v>
      </c>
      <c r="H2762" s="17" t="str">
        <f t="shared" si="2190"/>
        <v>yeshou03_lv3</v>
      </c>
      <c r="I2762" s="20">
        <v>1.5</v>
      </c>
      <c r="J2762" s="17">
        <v>10</v>
      </c>
      <c r="K2762" s="17">
        <f t="shared" si="2174"/>
        <v>62811</v>
      </c>
      <c r="L2762" s="17" t="s">
        <v>238</v>
      </c>
      <c r="M2762" s="17" t="str">
        <f t="shared" si="2177"/>
        <v>1:12500:10</v>
      </c>
      <c r="N2762" s="16" t="str">
        <f t="shared" si="2139"/>
        <v>10071:1</v>
      </c>
      <c r="O2762" s="17">
        <f t="shared" si="2141"/>
        <v>9</v>
      </c>
      <c r="P2762" s="21" t="s">
        <v>5194</v>
      </c>
      <c r="Q2762" s="21"/>
      <c r="R2762" t="str">
        <f t="shared" si="2178"/>
        <v>雪原巨人</v>
      </c>
      <c r="T2762" t="str">
        <f t="shared" si="2179"/>
        <v>:1</v>
      </c>
      <c r="U2762" t="str">
        <f t="shared" si="2184"/>
        <v>巨人</v>
      </c>
      <c r="V2762" t="s">
        <v>5183</v>
      </c>
      <c r="W2762">
        <f>属性类型!G2762</f>
        <v>10071</v>
      </c>
      <c r="X2762">
        <v>1</v>
      </c>
    </row>
    <row r="2763" customFormat="1" ht="16.5" spans="1:24">
      <c r="A2763" s="17">
        <f t="shared" si="2175"/>
        <v>62811</v>
      </c>
      <c r="B2763" s="17">
        <f t="shared" si="2148"/>
        <v>62800</v>
      </c>
      <c r="C2763" s="17" t="str">
        <f t="shared" si="2158"/>
        <v>6</v>
      </c>
      <c r="D2763" s="17">
        <f t="shared" si="2187"/>
        <v>60003</v>
      </c>
      <c r="E2763" s="17">
        <f t="shared" ref="E2763:H2763" si="2191">E2762</f>
        <v>2</v>
      </c>
      <c r="F2763" s="17">
        <f t="shared" si="2140"/>
        <v>3</v>
      </c>
      <c r="G2763" s="17" t="str">
        <f t="shared" si="2191"/>
        <v>雪原巨人攻击百分比</v>
      </c>
      <c r="H2763" s="17" t="str">
        <f t="shared" si="2191"/>
        <v>yeshou03_lv3</v>
      </c>
      <c r="I2763" s="20">
        <v>1.5</v>
      </c>
      <c r="J2763" s="17">
        <v>11</v>
      </c>
      <c r="K2763" s="17">
        <f t="shared" si="2174"/>
        <v>62812</v>
      </c>
      <c r="L2763" s="17" t="s">
        <v>529</v>
      </c>
      <c r="M2763" s="17" t="str">
        <f t="shared" si="2177"/>
        <v>1:12500:10</v>
      </c>
      <c r="N2763" s="16" t="str">
        <f>W2763&amp;$W$2&amp;X2763</f>
        <v>10071:1</v>
      </c>
      <c r="O2763" s="17">
        <f t="shared" si="2141"/>
        <v>9</v>
      </c>
      <c r="P2763" s="21" t="s">
        <v>5195</v>
      </c>
      <c r="Q2763" s="21"/>
      <c r="R2763" t="str">
        <f t="shared" si="2178"/>
        <v>雪原巨人</v>
      </c>
      <c r="T2763" t="str">
        <f t="shared" si="2179"/>
        <v>:1</v>
      </c>
      <c r="U2763" t="str">
        <f t="shared" si="2184"/>
        <v>巨人</v>
      </c>
      <c r="V2763" t="s">
        <v>5183</v>
      </c>
      <c r="W2763">
        <f>属性类型!G2763</f>
        <v>10071</v>
      </c>
      <c r="X2763">
        <v>1</v>
      </c>
    </row>
    <row r="2764" customFormat="1" ht="16.5" spans="1:24">
      <c r="A2764" s="17">
        <f t="shared" si="2175"/>
        <v>62812</v>
      </c>
      <c r="B2764" s="17">
        <f t="shared" si="2148"/>
        <v>62800</v>
      </c>
      <c r="C2764" s="17" t="str">
        <f t="shared" si="2158"/>
        <v>6</v>
      </c>
      <c r="D2764" s="17">
        <f t="shared" si="2187"/>
        <v>60003</v>
      </c>
      <c r="E2764" s="17">
        <f t="shared" ref="E2764:H2764" si="2192">E2763</f>
        <v>2</v>
      </c>
      <c r="F2764" s="17">
        <f t="shared" si="2140"/>
        <v>3</v>
      </c>
      <c r="G2764" s="17" t="str">
        <f t="shared" si="2192"/>
        <v>雪原巨人攻击百分比</v>
      </c>
      <c r="H2764" s="17" t="str">
        <f t="shared" si="2192"/>
        <v>yeshou03_lv3</v>
      </c>
      <c r="I2764" s="20">
        <v>1.5</v>
      </c>
      <c r="J2764" s="17">
        <v>12</v>
      </c>
      <c r="K2764" s="17">
        <f t="shared" si="2174"/>
        <v>62813</v>
      </c>
      <c r="L2764" s="17" t="s">
        <v>532</v>
      </c>
      <c r="M2764" s="17" t="str">
        <f t="shared" si="2177"/>
        <v>1:12500:10</v>
      </c>
      <c r="N2764" s="16" t="str">
        <f>W2764&amp;$W$2&amp;X2764</f>
        <v>10071:1</v>
      </c>
      <c r="O2764" s="17">
        <f t="shared" si="2141"/>
        <v>9</v>
      </c>
      <c r="P2764" s="21" t="s">
        <v>5196</v>
      </c>
      <c r="Q2764" s="21"/>
      <c r="R2764" t="str">
        <f t="shared" si="2178"/>
        <v>雪原巨人</v>
      </c>
      <c r="T2764" t="str">
        <f t="shared" si="2179"/>
        <v>:1</v>
      </c>
      <c r="U2764" t="str">
        <f t="shared" si="2184"/>
        <v>巨人</v>
      </c>
      <c r="V2764" t="s">
        <v>5183</v>
      </c>
      <c r="W2764">
        <f>属性类型!G2764</f>
        <v>10071</v>
      </c>
      <c r="X2764">
        <v>1</v>
      </c>
    </row>
    <row r="2765" customFormat="1" ht="16.5" spans="1:24">
      <c r="A2765" s="17">
        <f t="shared" si="2175"/>
        <v>62813</v>
      </c>
      <c r="B2765" s="17">
        <f t="shared" si="2148"/>
        <v>62800</v>
      </c>
      <c r="C2765" s="17" t="str">
        <f t="shared" si="2158"/>
        <v>6</v>
      </c>
      <c r="D2765" s="17">
        <f t="shared" si="2187"/>
        <v>60003</v>
      </c>
      <c r="E2765" s="17">
        <f t="shared" ref="E2765:H2765" si="2193">E2764</f>
        <v>2</v>
      </c>
      <c r="F2765" s="17">
        <f t="shared" si="2140"/>
        <v>3</v>
      </c>
      <c r="G2765" s="17" t="str">
        <f t="shared" si="2193"/>
        <v>雪原巨人攻击百分比</v>
      </c>
      <c r="H2765" s="17" t="str">
        <f t="shared" si="2193"/>
        <v>yeshou03_lv3</v>
      </c>
      <c r="I2765" s="20">
        <v>1.5</v>
      </c>
      <c r="J2765" s="17">
        <v>13</v>
      </c>
      <c r="K2765" s="17">
        <f t="shared" si="2174"/>
        <v>62814</v>
      </c>
      <c r="L2765" s="17" t="s">
        <v>561</v>
      </c>
      <c r="M2765" s="17" t="str">
        <f t="shared" si="2177"/>
        <v>1:12500:10</v>
      </c>
      <c r="N2765" s="16" t="str">
        <f>W2765&amp;$W$2&amp;X2765</f>
        <v>10071:1</v>
      </c>
      <c r="O2765" s="17">
        <f t="shared" si="2141"/>
        <v>9</v>
      </c>
      <c r="P2765" s="21" t="s">
        <v>5197</v>
      </c>
      <c r="Q2765" s="21"/>
      <c r="R2765" t="str">
        <f t="shared" si="2178"/>
        <v>雪原巨人</v>
      </c>
      <c r="T2765" t="str">
        <f t="shared" si="2179"/>
        <v>:1</v>
      </c>
      <c r="U2765" t="str">
        <f t="shared" si="2184"/>
        <v>巨人</v>
      </c>
      <c r="V2765" t="s">
        <v>5183</v>
      </c>
      <c r="W2765">
        <f>属性类型!G2765</f>
        <v>10071</v>
      </c>
      <c r="X2765">
        <v>1</v>
      </c>
    </row>
    <row r="2766" customFormat="1" ht="16.5" spans="1:24">
      <c r="A2766" s="17">
        <f t="shared" si="2175"/>
        <v>62814</v>
      </c>
      <c r="B2766" s="17">
        <f t="shared" si="2148"/>
        <v>62800</v>
      </c>
      <c r="C2766" s="17" t="str">
        <f t="shared" si="2158"/>
        <v>6</v>
      </c>
      <c r="D2766" s="17">
        <f t="shared" si="2187"/>
        <v>60003</v>
      </c>
      <c r="E2766" s="17">
        <f t="shared" ref="E2766:H2766" si="2194">E2765</f>
        <v>2</v>
      </c>
      <c r="F2766" s="17">
        <f t="shared" si="2140"/>
        <v>3</v>
      </c>
      <c r="G2766" s="17" t="str">
        <f t="shared" si="2194"/>
        <v>雪原巨人攻击百分比</v>
      </c>
      <c r="H2766" s="17" t="str">
        <f t="shared" si="2194"/>
        <v>yeshou03_lv3</v>
      </c>
      <c r="I2766" s="20">
        <v>1.5</v>
      </c>
      <c r="J2766" s="17">
        <v>14</v>
      </c>
      <c r="K2766" s="17">
        <f t="shared" si="2174"/>
        <v>62815</v>
      </c>
      <c r="L2766" s="17" t="s">
        <v>564</v>
      </c>
      <c r="M2766" s="17" t="str">
        <f t="shared" si="2177"/>
        <v>1:12500:10</v>
      </c>
      <c r="N2766" s="16" t="str">
        <f>W2766&amp;$W$2&amp;X2766</f>
        <v>10071:1</v>
      </c>
      <c r="O2766" s="17">
        <f t="shared" si="2141"/>
        <v>9</v>
      </c>
      <c r="P2766" s="21" t="s">
        <v>5198</v>
      </c>
      <c r="Q2766" s="21"/>
      <c r="R2766" t="str">
        <f t="shared" si="2178"/>
        <v>雪原巨人</v>
      </c>
      <c r="T2766" t="str">
        <f t="shared" si="2179"/>
        <v>:1</v>
      </c>
      <c r="U2766" t="str">
        <f t="shared" si="2184"/>
        <v>巨人</v>
      </c>
      <c r="V2766" t="s">
        <v>5183</v>
      </c>
      <c r="W2766">
        <f>属性类型!G2766</f>
        <v>10071</v>
      </c>
      <c r="X2766">
        <v>1</v>
      </c>
    </row>
    <row r="2767" customFormat="1" ht="16.5" spans="1:24">
      <c r="A2767" s="17">
        <f t="shared" si="2175"/>
        <v>62815</v>
      </c>
      <c r="B2767" s="17">
        <f t="shared" si="2148"/>
        <v>62800</v>
      </c>
      <c r="C2767" s="17" t="str">
        <f t="shared" si="2158"/>
        <v>6</v>
      </c>
      <c r="D2767" s="17">
        <f t="shared" si="2187"/>
        <v>60003</v>
      </c>
      <c r="E2767" s="17">
        <f t="shared" ref="E2767:H2767" si="2195">E2766</f>
        <v>2</v>
      </c>
      <c r="F2767" s="17">
        <f t="shared" si="2140"/>
        <v>3</v>
      </c>
      <c r="G2767" s="17" t="str">
        <f t="shared" si="2195"/>
        <v>雪原巨人攻击百分比</v>
      </c>
      <c r="H2767" s="17" t="str">
        <f t="shared" si="2195"/>
        <v>yeshou03_lv3</v>
      </c>
      <c r="I2767" s="20">
        <v>1.5</v>
      </c>
      <c r="J2767" s="17">
        <v>15</v>
      </c>
      <c r="K2767" s="17">
        <f t="shared" si="2174"/>
        <v>62816</v>
      </c>
      <c r="L2767" s="17" t="s">
        <v>630</v>
      </c>
      <c r="M2767" s="17" t="str">
        <f t="shared" si="2177"/>
        <v>1:12500:10</v>
      </c>
      <c r="N2767" s="16" t="str">
        <f>W2767&amp;$W$2&amp;X2767</f>
        <v>10071:1</v>
      </c>
      <c r="O2767" s="17">
        <f t="shared" si="2141"/>
        <v>9</v>
      </c>
      <c r="P2767" s="21" t="s">
        <v>5199</v>
      </c>
      <c r="Q2767" s="21"/>
      <c r="R2767" t="str">
        <f t="shared" si="2178"/>
        <v>雪原巨人</v>
      </c>
      <c r="T2767" t="str">
        <f t="shared" si="2179"/>
        <v>:1</v>
      </c>
      <c r="U2767" t="str">
        <f t="shared" si="2184"/>
        <v>巨人</v>
      </c>
      <c r="V2767" t="s">
        <v>5183</v>
      </c>
      <c r="W2767">
        <f>属性类型!G2767</f>
        <v>10071</v>
      </c>
      <c r="X2767">
        <v>1</v>
      </c>
    </row>
    <row r="2768" customFormat="1" ht="16.5" spans="1:24">
      <c r="A2768" s="17">
        <f t="shared" si="2175"/>
        <v>62816</v>
      </c>
      <c r="B2768" s="17">
        <f t="shared" si="2148"/>
        <v>62800</v>
      </c>
      <c r="C2768" s="17" t="str">
        <f t="shared" si="2158"/>
        <v>6</v>
      </c>
      <c r="D2768" s="17">
        <f t="shared" si="2187"/>
        <v>60003</v>
      </c>
      <c r="E2768" s="17">
        <f t="shared" ref="E2768:H2768" si="2196">E2767</f>
        <v>2</v>
      </c>
      <c r="F2768" s="17">
        <f t="shared" ref="F2768:F2793" si="2197">MID(B2768,2,1)+1</f>
        <v>3</v>
      </c>
      <c r="G2768" s="17" t="str">
        <f t="shared" si="2196"/>
        <v>雪原巨人攻击百分比</v>
      </c>
      <c r="H2768" s="17" t="str">
        <f t="shared" si="2196"/>
        <v>yeshou03_lv3</v>
      </c>
      <c r="I2768" s="20">
        <v>1.5</v>
      </c>
      <c r="J2768" s="17">
        <v>16</v>
      </c>
      <c r="K2768" s="17">
        <f t="shared" si="2174"/>
        <v>62817</v>
      </c>
      <c r="L2768" s="17" t="s">
        <v>633</v>
      </c>
      <c r="M2768" s="17" t="str">
        <f t="shared" si="2177"/>
        <v>1:12500:10</v>
      </c>
      <c r="N2768" s="16" t="str">
        <f>W2768&amp;$W$2&amp;X2768</f>
        <v>10071:1</v>
      </c>
      <c r="O2768" s="17">
        <f t="shared" ref="O2768:O2793" si="2198">MID(A2768,3,1)+1</f>
        <v>9</v>
      </c>
      <c r="P2768" s="21" t="s">
        <v>5200</v>
      </c>
      <c r="Q2768" s="21"/>
      <c r="R2768" t="str">
        <f t="shared" si="2178"/>
        <v>雪原巨人</v>
      </c>
      <c r="T2768" t="str">
        <f t="shared" si="2179"/>
        <v>:1</v>
      </c>
      <c r="U2768" t="str">
        <f t="shared" si="2184"/>
        <v>巨人</v>
      </c>
      <c r="V2768" t="s">
        <v>5183</v>
      </c>
      <c r="W2768">
        <f>属性类型!G2768</f>
        <v>10071</v>
      </c>
      <c r="X2768">
        <v>1</v>
      </c>
    </row>
    <row r="2769" customFormat="1" ht="16.5" spans="1:24">
      <c r="A2769" s="17">
        <f t="shared" si="2175"/>
        <v>62817</v>
      </c>
      <c r="B2769" s="17">
        <f t="shared" si="2148"/>
        <v>62800</v>
      </c>
      <c r="C2769" s="17" t="str">
        <f t="shared" si="2158"/>
        <v>6</v>
      </c>
      <c r="D2769" s="17">
        <f t="shared" si="2187"/>
        <v>60003</v>
      </c>
      <c r="E2769" s="17">
        <f t="shared" ref="E2769:H2769" si="2199">E2768</f>
        <v>2</v>
      </c>
      <c r="F2769" s="17">
        <f t="shared" si="2197"/>
        <v>3</v>
      </c>
      <c r="G2769" s="17" t="str">
        <f t="shared" si="2199"/>
        <v>雪原巨人攻击百分比</v>
      </c>
      <c r="H2769" s="17" t="str">
        <f t="shared" si="2199"/>
        <v>yeshou03_lv3</v>
      </c>
      <c r="I2769" s="20">
        <v>1.5</v>
      </c>
      <c r="J2769" s="17">
        <v>17</v>
      </c>
      <c r="K2769" s="17">
        <f t="shared" si="2174"/>
        <v>62818</v>
      </c>
      <c r="L2769" s="17" t="s">
        <v>637</v>
      </c>
      <c r="M2769" s="17" t="str">
        <f t="shared" si="2177"/>
        <v>1:12500:10</v>
      </c>
      <c r="N2769" s="16" t="str">
        <f>W2769&amp;$W$2&amp;X2769</f>
        <v>10071:1</v>
      </c>
      <c r="O2769" s="17">
        <f t="shared" si="2198"/>
        <v>9</v>
      </c>
      <c r="P2769" s="21" t="s">
        <v>5201</v>
      </c>
      <c r="Q2769" s="21"/>
      <c r="R2769" t="str">
        <f t="shared" si="2178"/>
        <v>雪原巨人</v>
      </c>
      <c r="T2769" t="str">
        <f t="shared" si="2179"/>
        <v>:1</v>
      </c>
      <c r="U2769" t="str">
        <f t="shared" si="2184"/>
        <v>巨人</v>
      </c>
      <c r="V2769" t="s">
        <v>5183</v>
      </c>
      <c r="W2769">
        <f>属性类型!G2769</f>
        <v>10071</v>
      </c>
      <c r="X2769">
        <v>1</v>
      </c>
    </row>
    <row r="2770" customFormat="1" ht="16.5" spans="1:24">
      <c r="A2770" s="17">
        <f t="shared" si="2175"/>
        <v>62818</v>
      </c>
      <c r="B2770" s="17">
        <f t="shared" si="2148"/>
        <v>62800</v>
      </c>
      <c r="C2770" s="17" t="str">
        <f t="shared" si="2158"/>
        <v>6</v>
      </c>
      <c r="D2770" s="17">
        <f t="shared" si="2187"/>
        <v>60003</v>
      </c>
      <c r="E2770" s="17">
        <f t="shared" ref="E2770:H2770" si="2200">E2769</f>
        <v>2</v>
      </c>
      <c r="F2770" s="17">
        <f t="shared" si="2197"/>
        <v>3</v>
      </c>
      <c r="G2770" s="17" t="str">
        <f t="shared" si="2200"/>
        <v>雪原巨人攻击百分比</v>
      </c>
      <c r="H2770" s="17" t="str">
        <f t="shared" si="2200"/>
        <v>yeshou03_lv3</v>
      </c>
      <c r="I2770" s="20">
        <v>1.5</v>
      </c>
      <c r="J2770" s="17">
        <v>18</v>
      </c>
      <c r="K2770" s="17">
        <f t="shared" si="2174"/>
        <v>62819</v>
      </c>
      <c r="L2770" s="17" t="s">
        <v>641</v>
      </c>
      <c r="M2770" s="17" t="str">
        <f t="shared" si="2177"/>
        <v>1:12500:10</v>
      </c>
      <c r="N2770" s="16" t="str">
        <f>W2770&amp;$W$2&amp;X2770</f>
        <v>10071:1</v>
      </c>
      <c r="O2770" s="17">
        <f t="shared" si="2198"/>
        <v>9</v>
      </c>
      <c r="P2770" s="21" t="s">
        <v>5202</v>
      </c>
      <c r="Q2770" s="21"/>
      <c r="R2770" t="str">
        <f t="shared" si="2178"/>
        <v>雪原巨人</v>
      </c>
      <c r="T2770" t="str">
        <f t="shared" si="2179"/>
        <v>:1</v>
      </c>
      <c r="U2770" t="str">
        <f t="shared" si="2184"/>
        <v>巨人</v>
      </c>
      <c r="V2770" t="s">
        <v>5183</v>
      </c>
      <c r="W2770">
        <f>属性类型!G2770</f>
        <v>10071</v>
      </c>
      <c r="X2770">
        <v>1</v>
      </c>
    </row>
    <row r="2771" customFormat="1" ht="16.5" spans="1:24">
      <c r="A2771" s="17">
        <f t="shared" si="2175"/>
        <v>62819</v>
      </c>
      <c r="B2771" s="17">
        <f t="shared" si="2148"/>
        <v>62800</v>
      </c>
      <c r="C2771" s="17" t="str">
        <f t="shared" si="2158"/>
        <v>6</v>
      </c>
      <c r="D2771" s="17">
        <f t="shared" si="2187"/>
        <v>60003</v>
      </c>
      <c r="E2771" s="17">
        <f t="shared" ref="E2771:H2771" si="2201">E2770</f>
        <v>2</v>
      </c>
      <c r="F2771" s="17">
        <f t="shared" si="2197"/>
        <v>3</v>
      </c>
      <c r="G2771" s="17" t="str">
        <f t="shared" si="2201"/>
        <v>雪原巨人攻击百分比</v>
      </c>
      <c r="H2771" s="17" t="str">
        <f t="shared" si="2201"/>
        <v>yeshou03_lv3</v>
      </c>
      <c r="I2771" s="20">
        <v>1.5</v>
      </c>
      <c r="J2771" s="17">
        <v>19</v>
      </c>
      <c r="K2771" s="17">
        <f t="shared" si="2174"/>
        <v>62820</v>
      </c>
      <c r="L2771" s="17" t="s">
        <v>645</v>
      </c>
      <c r="M2771" s="17" t="str">
        <f t="shared" si="2177"/>
        <v>1:12500:10</v>
      </c>
      <c r="N2771" s="16" t="str">
        <f>W2771&amp;$W$2&amp;X2771</f>
        <v>10071:1</v>
      </c>
      <c r="O2771" s="17">
        <f t="shared" si="2198"/>
        <v>9</v>
      </c>
      <c r="P2771" s="21" t="s">
        <v>5203</v>
      </c>
      <c r="Q2771" s="21"/>
      <c r="R2771" t="str">
        <f t="shared" si="2178"/>
        <v>雪原巨人</v>
      </c>
      <c r="T2771" t="str">
        <f t="shared" si="2179"/>
        <v>:1</v>
      </c>
      <c r="U2771" t="str">
        <f t="shared" si="2184"/>
        <v>巨人</v>
      </c>
      <c r="V2771" t="s">
        <v>5183</v>
      </c>
      <c r="W2771">
        <f>属性类型!G2771</f>
        <v>10071</v>
      </c>
      <c r="X2771">
        <v>1</v>
      </c>
    </row>
    <row r="2772" customFormat="1" ht="16.5" spans="1:24">
      <c r="A2772" s="17">
        <f t="shared" si="2175"/>
        <v>62820</v>
      </c>
      <c r="B2772" s="17">
        <f t="shared" si="2148"/>
        <v>62800</v>
      </c>
      <c r="C2772" s="17" t="str">
        <f t="shared" si="2158"/>
        <v>6</v>
      </c>
      <c r="D2772" s="17">
        <f t="shared" si="2187"/>
        <v>60003</v>
      </c>
      <c r="E2772" s="17">
        <f t="shared" ref="E2772:H2772" si="2202">E2771</f>
        <v>2</v>
      </c>
      <c r="F2772" s="17">
        <f t="shared" si="2197"/>
        <v>3</v>
      </c>
      <c r="G2772" s="17" t="str">
        <f t="shared" si="2202"/>
        <v>雪原巨人攻击百分比</v>
      </c>
      <c r="H2772" s="17" t="str">
        <f t="shared" si="2202"/>
        <v>yeshou03_lv3</v>
      </c>
      <c r="I2772" s="20">
        <v>1.5</v>
      </c>
      <c r="J2772" s="17">
        <v>20</v>
      </c>
      <c r="K2772" s="17">
        <v>0</v>
      </c>
      <c r="L2772" s="17">
        <v>0</v>
      </c>
      <c r="M2772" s="17" t="str">
        <f t="shared" si="2177"/>
        <v>1:12500:10</v>
      </c>
      <c r="N2772" s="16" t="str">
        <f>W2772&amp;$W$2&amp;X2772</f>
        <v>10071:1</v>
      </c>
      <c r="O2772" s="17">
        <f t="shared" si="2198"/>
        <v>9</v>
      </c>
      <c r="P2772" s="21" t="s">
        <v>5203</v>
      </c>
      <c r="Q2772" s="21"/>
      <c r="R2772" t="str">
        <f t="shared" si="2178"/>
        <v>雪原巨人</v>
      </c>
      <c r="T2772" t="str">
        <f t="shared" si="2179"/>
        <v>:1</v>
      </c>
      <c r="U2772" t="str">
        <f t="shared" si="2184"/>
        <v>巨人</v>
      </c>
      <c r="V2772" t="s">
        <v>5183</v>
      </c>
      <c r="W2772">
        <f>属性类型!G2772</f>
        <v>10071</v>
      </c>
      <c r="X2772">
        <v>1</v>
      </c>
    </row>
    <row r="2773" customFormat="1" ht="16.5" spans="1:24">
      <c r="A2773" s="18">
        <f>A2752+100</f>
        <v>62900</v>
      </c>
      <c r="B2773" s="18">
        <f t="shared" si="2148"/>
        <v>62900</v>
      </c>
      <c r="C2773" s="18" t="str">
        <f t="shared" si="2158"/>
        <v>6</v>
      </c>
      <c r="D2773" s="17">
        <f t="shared" si="2187"/>
        <v>60003</v>
      </c>
      <c r="E2773" s="17">
        <v>2</v>
      </c>
      <c r="F2773" s="18">
        <f t="shared" si="2197"/>
        <v>3</v>
      </c>
      <c r="G2773" s="18" t="s">
        <v>5204</v>
      </c>
      <c r="H2773" s="18" t="s">
        <v>5161</v>
      </c>
      <c r="I2773" s="20">
        <v>1.5</v>
      </c>
      <c r="J2773" s="18">
        <v>0</v>
      </c>
      <c r="K2773" s="18">
        <f t="shared" ref="K2773:K2793" si="2203">A2774</f>
        <v>62901</v>
      </c>
      <c r="L2773" s="18" t="s">
        <v>206</v>
      </c>
      <c r="M2773" s="18" t="s">
        <v>773</v>
      </c>
      <c r="N2773" s="16" t="str">
        <f>W2773&amp;$W$2&amp;X2773</f>
        <v>10072:1</v>
      </c>
      <c r="O2773" s="18">
        <f t="shared" si="2198"/>
        <v>10</v>
      </c>
      <c r="P2773" s="21" t="s">
        <v>5205</v>
      </c>
      <c r="Q2773" s="21"/>
      <c r="R2773" t="s">
        <v>5163</v>
      </c>
      <c r="T2773" t="str">
        <f>RIGHT(N2773,1)</f>
        <v>1</v>
      </c>
      <c r="U2773" t="str">
        <f t="shared" si="2184"/>
        <v>巨人</v>
      </c>
      <c r="V2773" t="s">
        <v>5204</v>
      </c>
      <c r="W2773">
        <f>属性类型!G2773</f>
        <v>10072</v>
      </c>
      <c r="X2773">
        <v>1</v>
      </c>
    </row>
    <row r="2774" customFormat="1" ht="16.5" spans="1:24">
      <c r="A2774" s="17">
        <f t="shared" ref="A2774:A2793" si="2204">A2773+1</f>
        <v>62901</v>
      </c>
      <c r="B2774" s="17">
        <f t="shared" si="2148"/>
        <v>62900</v>
      </c>
      <c r="C2774" s="17" t="str">
        <f t="shared" si="2158"/>
        <v>6</v>
      </c>
      <c r="D2774" s="17">
        <f t="shared" si="2187"/>
        <v>60003</v>
      </c>
      <c r="E2774" s="17">
        <f t="shared" ref="E2774:H2774" si="2205">E2773</f>
        <v>2</v>
      </c>
      <c r="F2774" s="17">
        <f t="shared" si="2197"/>
        <v>3</v>
      </c>
      <c r="G2774" s="17" t="str">
        <f t="shared" si="2205"/>
        <v>雪原巨人魔防百分比</v>
      </c>
      <c r="H2774" s="17" t="str">
        <f t="shared" si="2205"/>
        <v>yeshou03_lv3</v>
      </c>
      <c r="I2774" s="20">
        <v>1.5</v>
      </c>
      <c r="J2774" s="17">
        <v>1</v>
      </c>
      <c r="K2774" s="17">
        <f t="shared" si="2203"/>
        <v>62902</v>
      </c>
      <c r="L2774" s="17" t="s">
        <v>211</v>
      </c>
      <c r="M2774" s="17" t="str">
        <f t="shared" ref="M2774:M2793" si="2206">M2773</f>
        <v>1:12600:10</v>
      </c>
      <c r="N2774" s="16" t="str">
        <f>W2774&amp;$W$2&amp;X2774</f>
        <v>10072:1</v>
      </c>
      <c r="O2774" s="17">
        <f t="shared" si="2198"/>
        <v>10</v>
      </c>
      <c r="P2774" s="21" t="s">
        <v>5206</v>
      </c>
      <c r="Q2774" s="21"/>
      <c r="R2774" t="s">
        <v>5163</v>
      </c>
      <c r="T2774" t="str">
        <f t="shared" ref="T2774:T2793" si="2207">RIGHT(N2774,2)</f>
        <v>:1</v>
      </c>
      <c r="U2774" t="str">
        <f t="shared" si="2184"/>
        <v>巨人</v>
      </c>
      <c r="V2774" t="s">
        <v>5204</v>
      </c>
      <c r="W2774">
        <f>属性类型!G2774</f>
        <v>10072</v>
      </c>
      <c r="X2774">
        <v>1</v>
      </c>
    </row>
    <row r="2775" customFormat="1" ht="16.5" spans="1:24">
      <c r="A2775" s="17">
        <f t="shared" si="2204"/>
        <v>62902</v>
      </c>
      <c r="B2775" s="17">
        <f t="shared" si="2148"/>
        <v>62900</v>
      </c>
      <c r="C2775" s="17" t="str">
        <f t="shared" si="2158"/>
        <v>6</v>
      </c>
      <c r="D2775" s="17">
        <f t="shared" si="2187"/>
        <v>60003</v>
      </c>
      <c r="E2775" s="17">
        <f t="shared" ref="E2775:H2775" si="2208">E2774</f>
        <v>2</v>
      </c>
      <c r="F2775" s="17">
        <f t="shared" si="2197"/>
        <v>3</v>
      </c>
      <c r="G2775" s="17" t="str">
        <f t="shared" si="2208"/>
        <v>雪原巨人魔防百分比</v>
      </c>
      <c r="H2775" s="17" t="str">
        <f t="shared" si="2208"/>
        <v>yeshou03_lv3</v>
      </c>
      <c r="I2775" s="20">
        <v>1.5</v>
      </c>
      <c r="J2775" s="17">
        <v>2</v>
      </c>
      <c r="K2775" s="17">
        <f t="shared" si="2203"/>
        <v>62903</v>
      </c>
      <c r="L2775" s="17" t="s">
        <v>215</v>
      </c>
      <c r="M2775" s="17" t="str">
        <f t="shared" si="2206"/>
        <v>1:12600:10</v>
      </c>
      <c r="N2775" s="16" t="str">
        <f>W2775&amp;$W$2&amp;X2775</f>
        <v>10072:1</v>
      </c>
      <c r="O2775" s="17">
        <f t="shared" si="2198"/>
        <v>10</v>
      </c>
      <c r="P2775" s="21" t="s">
        <v>5207</v>
      </c>
      <c r="Q2775" s="21"/>
      <c r="R2775" t="s">
        <v>5163</v>
      </c>
      <c r="T2775" t="str">
        <f t="shared" si="2207"/>
        <v>:1</v>
      </c>
      <c r="U2775" t="str">
        <f t="shared" si="2184"/>
        <v>巨人</v>
      </c>
      <c r="V2775" t="s">
        <v>5204</v>
      </c>
      <c r="W2775">
        <f>属性类型!G2775</f>
        <v>10072</v>
      </c>
      <c r="X2775">
        <v>1</v>
      </c>
    </row>
    <row r="2776" customFormat="1" ht="16.5" spans="1:24">
      <c r="A2776" s="17">
        <f t="shared" si="2204"/>
        <v>62903</v>
      </c>
      <c r="B2776" s="17">
        <f t="shared" si="2148"/>
        <v>62900</v>
      </c>
      <c r="C2776" s="17" t="str">
        <f t="shared" si="2158"/>
        <v>6</v>
      </c>
      <c r="D2776" s="17">
        <f t="shared" si="2187"/>
        <v>60003</v>
      </c>
      <c r="E2776" s="17">
        <f t="shared" ref="E2776:H2776" si="2209">E2775</f>
        <v>2</v>
      </c>
      <c r="F2776" s="17">
        <f t="shared" si="2197"/>
        <v>3</v>
      </c>
      <c r="G2776" s="17" t="str">
        <f t="shared" si="2209"/>
        <v>雪原巨人魔防百分比</v>
      </c>
      <c r="H2776" s="17" t="str">
        <f t="shared" si="2209"/>
        <v>yeshou03_lv3</v>
      </c>
      <c r="I2776" s="20">
        <v>1.5</v>
      </c>
      <c r="J2776" s="17">
        <v>3</v>
      </c>
      <c r="K2776" s="17">
        <f t="shared" si="2203"/>
        <v>62904</v>
      </c>
      <c r="L2776" s="17" t="s">
        <v>218</v>
      </c>
      <c r="M2776" s="17" t="str">
        <f t="shared" si="2206"/>
        <v>1:12600:10</v>
      </c>
      <c r="N2776" s="16" t="str">
        <f>W2776&amp;$W$2&amp;X2776</f>
        <v>10072:1</v>
      </c>
      <c r="O2776" s="17">
        <f t="shared" si="2198"/>
        <v>10</v>
      </c>
      <c r="P2776" s="21" t="s">
        <v>5208</v>
      </c>
      <c r="Q2776" s="21"/>
      <c r="R2776" t="s">
        <v>5163</v>
      </c>
      <c r="T2776" t="str">
        <f t="shared" si="2207"/>
        <v>:1</v>
      </c>
      <c r="U2776" t="str">
        <f t="shared" si="2184"/>
        <v>巨人</v>
      </c>
      <c r="V2776" t="s">
        <v>5204</v>
      </c>
      <c r="W2776">
        <f>属性类型!G2776</f>
        <v>10072</v>
      </c>
      <c r="X2776">
        <v>1</v>
      </c>
    </row>
    <row r="2777" customFormat="1" ht="16.5" spans="1:24">
      <c r="A2777" s="17">
        <f t="shared" si="2204"/>
        <v>62904</v>
      </c>
      <c r="B2777" s="17">
        <f t="shared" si="2148"/>
        <v>62900</v>
      </c>
      <c r="C2777" s="17" t="str">
        <f t="shared" si="2158"/>
        <v>6</v>
      </c>
      <c r="D2777" s="17">
        <f t="shared" si="2187"/>
        <v>60003</v>
      </c>
      <c r="E2777" s="17">
        <f t="shared" ref="E2777:H2777" si="2210">E2776</f>
        <v>2</v>
      </c>
      <c r="F2777" s="17">
        <f t="shared" si="2197"/>
        <v>3</v>
      </c>
      <c r="G2777" s="17" t="str">
        <f t="shared" si="2210"/>
        <v>雪原巨人魔防百分比</v>
      </c>
      <c r="H2777" s="17" t="str">
        <f t="shared" si="2210"/>
        <v>yeshou03_lv3</v>
      </c>
      <c r="I2777" s="20">
        <v>1.5</v>
      </c>
      <c r="J2777" s="17">
        <v>4</v>
      </c>
      <c r="K2777" s="17">
        <f t="shared" si="2203"/>
        <v>62905</v>
      </c>
      <c r="L2777" s="17" t="s">
        <v>221</v>
      </c>
      <c r="M2777" s="17" t="str">
        <f t="shared" si="2206"/>
        <v>1:12600:10</v>
      </c>
      <c r="N2777" s="16" t="str">
        <f>W2777&amp;$W$2&amp;X2777</f>
        <v>10072:1</v>
      </c>
      <c r="O2777" s="17">
        <f t="shared" si="2198"/>
        <v>10</v>
      </c>
      <c r="P2777" s="21" t="s">
        <v>5209</v>
      </c>
      <c r="Q2777" s="21"/>
      <c r="R2777" t="s">
        <v>5163</v>
      </c>
      <c r="T2777" t="str">
        <f t="shared" si="2207"/>
        <v>:1</v>
      </c>
      <c r="U2777" t="str">
        <f t="shared" si="2184"/>
        <v>巨人</v>
      </c>
      <c r="V2777" t="s">
        <v>5204</v>
      </c>
      <c r="W2777">
        <f>属性类型!G2777</f>
        <v>10072</v>
      </c>
      <c r="X2777">
        <v>1</v>
      </c>
    </row>
    <row r="2778" customFormat="1" ht="16.5" spans="1:24">
      <c r="A2778" s="17">
        <f t="shared" si="2204"/>
        <v>62905</v>
      </c>
      <c r="B2778" s="17">
        <f t="shared" si="2148"/>
        <v>62900</v>
      </c>
      <c r="C2778" s="17" t="str">
        <f t="shared" si="2158"/>
        <v>6</v>
      </c>
      <c r="D2778" s="17">
        <f t="shared" si="2187"/>
        <v>60003</v>
      </c>
      <c r="E2778" s="17">
        <f t="shared" ref="E2778:H2778" si="2211">E2777</f>
        <v>2</v>
      </c>
      <c r="F2778" s="17">
        <f t="shared" si="2197"/>
        <v>3</v>
      </c>
      <c r="G2778" s="17" t="str">
        <f t="shared" si="2211"/>
        <v>雪原巨人魔防百分比</v>
      </c>
      <c r="H2778" s="17" t="str">
        <f t="shared" si="2211"/>
        <v>yeshou03_lv3</v>
      </c>
      <c r="I2778" s="20">
        <v>1.5</v>
      </c>
      <c r="J2778" s="17">
        <v>5</v>
      </c>
      <c r="K2778" s="17">
        <f t="shared" si="2203"/>
        <v>62906</v>
      </c>
      <c r="L2778" s="17" t="s">
        <v>224</v>
      </c>
      <c r="M2778" s="17" t="str">
        <f t="shared" si="2206"/>
        <v>1:12600:10</v>
      </c>
      <c r="N2778" s="16" t="str">
        <f>W2778&amp;$W$2&amp;X2778</f>
        <v>10072:1</v>
      </c>
      <c r="O2778" s="17">
        <f t="shared" si="2198"/>
        <v>10</v>
      </c>
      <c r="P2778" s="21" t="s">
        <v>5210</v>
      </c>
      <c r="Q2778" s="21"/>
      <c r="R2778" t="s">
        <v>5163</v>
      </c>
      <c r="T2778" t="str">
        <f t="shared" si="2207"/>
        <v>:1</v>
      </c>
      <c r="U2778" t="str">
        <f t="shared" si="2184"/>
        <v>巨人</v>
      </c>
      <c r="V2778" t="s">
        <v>5204</v>
      </c>
      <c r="W2778">
        <f>属性类型!G2778</f>
        <v>10072</v>
      </c>
      <c r="X2778">
        <v>1</v>
      </c>
    </row>
    <row r="2779" customFormat="1" ht="16.5" spans="1:24">
      <c r="A2779" s="17">
        <f t="shared" si="2204"/>
        <v>62906</v>
      </c>
      <c r="B2779" s="17">
        <f t="shared" si="2148"/>
        <v>62900</v>
      </c>
      <c r="C2779" s="17" t="str">
        <f t="shared" si="2158"/>
        <v>6</v>
      </c>
      <c r="D2779" s="17">
        <f t="shared" si="2187"/>
        <v>60003</v>
      </c>
      <c r="E2779" s="17">
        <f t="shared" ref="E2779:H2779" si="2212">E2778</f>
        <v>2</v>
      </c>
      <c r="F2779" s="17">
        <f t="shared" si="2197"/>
        <v>3</v>
      </c>
      <c r="G2779" s="17" t="str">
        <f t="shared" si="2212"/>
        <v>雪原巨人魔防百分比</v>
      </c>
      <c r="H2779" s="17" t="str">
        <f t="shared" si="2212"/>
        <v>yeshou03_lv3</v>
      </c>
      <c r="I2779" s="20">
        <v>1.5</v>
      </c>
      <c r="J2779" s="17">
        <v>6</v>
      </c>
      <c r="K2779" s="17">
        <f t="shared" si="2203"/>
        <v>62907</v>
      </c>
      <c r="L2779" s="17" t="s">
        <v>227</v>
      </c>
      <c r="M2779" s="17" t="str">
        <f t="shared" si="2206"/>
        <v>1:12600:10</v>
      </c>
      <c r="N2779" s="16" t="str">
        <f>W2779&amp;$W$2&amp;X2779</f>
        <v>10072:1</v>
      </c>
      <c r="O2779" s="17">
        <f t="shared" si="2198"/>
        <v>10</v>
      </c>
      <c r="P2779" s="21" t="s">
        <v>5211</v>
      </c>
      <c r="Q2779" s="21"/>
      <c r="R2779" t="s">
        <v>5163</v>
      </c>
      <c r="T2779" t="str">
        <f t="shared" si="2207"/>
        <v>:1</v>
      </c>
      <c r="U2779" t="str">
        <f t="shared" si="2184"/>
        <v>巨人</v>
      </c>
      <c r="V2779" t="s">
        <v>5204</v>
      </c>
      <c r="W2779">
        <f>属性类型!G2779</f>
        <v>10072</v>
      </c>
      <c r="X2779">
        <v>1</v>
      </c>
    </row>
    <row r="2780" customFormat="1" ht="16.5" spans="1:24">
      <c r="A2780" s="17">
        <f t="shared" si="2204"/>
        <v>62907</v>
      </c>
      <c r="B2780" s="17">
        <f t="shared" ref="B2780:B2793" si="2213">ROUND(A2780,-2)</f>
        <v>62900</v>
      </c>
      <c r="C2780" s="17" t="str">
        <f t="shared" si="2158"/>
        <v>6</v>
      </c>
      <c r="D2780" s="17">
        <f t="shared" si="2187"/>
        <v>60003</v>
      </c>
      <c r="E2780" s="17">
        <f t="shared" ref="E2780:H2780" si="2214">E2779</f>
        <v>2</v>
      </c>
      <c r="F2780" s="17">
        <f t="shared" si="2197"/>
        <v>3</v>
      </c>
      <c r="G2780" s="17" t="str">
        <f t="shared" si="2214"/>
        <v>雪原巨人魔防百分比</v>
      </c>
      <c r="H2780" s="17" t="str">
        <f t="shared" si="2214"/>
        <v>yeshou03_lv3</v>
      </c>
      <c r="I2780" s="20">
        <v>1.5</v>
      </c>
      <c r="J2780" s="17">
        <v>7</v>
      </c>
      <c r="K2780" s="17">
        <f t="shared" si="2203"/>
        <v>62908</v>
      </c>
      <c r="L2780" s="17" t="s">
        <v>230</v>
      </c>
      <c r="M2780" s="17" t="str">
        <f t="shared" si="2206"/>
        <v>1:12600:10</v>
      </c>
      <c r="N2780" s="16" t="str">
        <f>W2780&amp;$W$2&amp;X2780</f>
        <v>10072:1</v>
      </c>
      <c r="O2780" s="17">
        <f t="shared" si="2198"/>
        <v>10</v>
      </c>
      <c r="P2780" s="21" t="s">
        <v>5212</v>
      </c>
      <c r="Q2780" s="21"/>
      <c r="R2780" t="s">
        <v>5163</v>
      </c>
      <c r="T2780" t="str">
        <f t="shared" si="2207"/>
        <v>:1</v>
      </c>
      <c r="U2780" t="str">
        <f t="shared" si="2184"/>
        <v>巨人</v>
      </c>
      <c r="V2780" t="s">
        <v>5204</v>
      </c>
      <c r="W2780">
        <f>属性类型!G2780</f>
        <v>10072</v>
      </c>
      <c r="X2780">
        <v>1</v>
      </c>
    </row>
    <row r="2781" customFormat="1" ht="16.5" spans="1:24">
      <c r="A2781" s="17">
        <f t="shared" si="2204"/>
        <v>62908</v>
      </c>
      <c r="B2781" s="17">
        <f t="shared" si="2213"/>
        <v>62900</v>
      </c>
      <c r="C2781" s="17" t="str">
        <f t="shared" si="2158"/>
        <v>6</v>
      </c>
      <c r="D2781" s="17">
        <f t="shared" si="2187"/>
        <v>60003</v>
      </c>
      <c r="E2781" s="17">
        <f t="shared" ref="E2781:H2781" si="2215">E2780</f>
        <v>2</v>
      </c>
      <c r="F2781" s="17">
        <f t="shared" si="2197"/>
        <v>3</v>
      </c>
      <c r="G2781" s="17" t="str">
        <f t="shared" si="2215"/>
        <v>雪原巨人魔防百分比</v>
      </c>
      <c r="H2781" s="17" t="str">
        <f t="shared" si="2215"/>
        <v>yeshou03_lv3</v>
      </c>
      <c r="I2781" s="20">
        <v>1.5</v>
      </c>
      <c r="J2781" s="17">
        <v>8</v>
      </c>
      <c r="K2781" s="17">
        <f t="shared" si="2203"/>
        <v>62909</v>
      </c>
      <c r="L2781" s="17" t="s">
        <v>233</v>
      </c>
      <c r="M2781" s="17" t="str">
        <f t="shared" si="2206"/>
        <v>1:12600:10</v>
      </c>
      <c r="N2781" s="16" t="str">
        <f>W2781&amp;$W$2&amp;X2781</f>
        <v>10072:1</v>
      </c>
      <c r="O2781" s="17">
        <f t="shared" si="2198"/>
        <v>10</v>
      </c>
      <c r="P2781" s="21" t="s">
        <v>5213</v>
      </c>
      <c r="Q2781" s="21"/>
      <c r="R2781" t="s">
        <v>5163</v>
      </c>
      <c r="T2781" t="str">
        <f t="shared" si="2207"/>
        <v>:1</v>
      </c>
      <c r="U2781" t="str">
        <f t="shared" si="2184"/>
        <v>巨人</v>
      </c>
      <c r="V2781" t="s">
        <v>5204</v>
      </c>
      <c r="W2781">
        <f>属性类型!G2781</f>
        <v>10072</v>
      </c>
      <c r="X2781">
        <v>1</v>
      </c>
    </row>
    <row r="2782" customFormat="1" ht="16.5" spans="1:24">
      <c r="A2782" s="17">
        <f t="shared" si="2204"/>
        <v>62909</v>
      </c>
      <c r="B2782" s="17">
        <f t="shared" si="2213"/>
        <v>62900</v>
      </c>
      <c r="C2782" s="17" t="str">
        <f t="shared" si="2158"/>
        <v>6</v>
      </c>
      <c r="D2782" s="17">
        <f t="shared" si="2187"/>
        <v>60003</v>
      </c>
      <c r="E2782" s="17">
        <f t="shared" ref="E2782:H2782" si="2216">E2781</f>
        <v>2</v>
      </c>
      <c r="F2782" s="17">
        <f t="shared" si="2197"/>
        <v>3</v>
      </c>
      <c r="G2782" s="17" t="str">
        <f t="shared" si="2216"/>
        <v>雪原巨人魔防百分比</v>
      </c>
      <c r="H2782" s="17" t="str">
        <f t="shared" si="2216"/>
        <v>yeshou03_lv3</v>
      </c>
      <c r="I2782" s="20">
        <v>1.5</v>
      </c>
      <c r="J2782" s="17">
        <v>9</v>
      </c>
      <c r="K2782" s="17">
        <f t="shared" si="2203"/>
        <v>62910</v>
      </c>
      <c r="L2782" s="17" t="s">
        <v>236</v>
      </c>
      <c r="M2782" s="17" t="str">
        <f t="shared" si="2206"/>
        <v>1:12600:10</v>
      </c>
      <c r="N2782" s="16" t="str">
        <f>W2782&amp;$W$2&amp;X2782</f>
        <v>10072:1</v>
      </c>
      <c r="O2782" s="17">
        <f t="shared" si="2198"/>
        <v>10</v>
      </c>
      <c r="P2782" s="21" t="s">
        <v>5214</v>
      </c>
      <c r="Q2782" s="21"/>
      <c r="R2782" t="s">
        <v>5163</v>
      </c>
      <c r="T2782" t="str">
        <f t="shared" si="2207"/>
        <v>:1</v>
      </c>
      <c r="U2782" t="str">
        <f t="shared" si="2184"/>
        <v>巨人</v>
      </c>
      <c r="V2782" t="s">
        <v>5204</v>
      </c>
      <c r="W2782">
        <f>属性类型!G2782</f>
        <v>10072</v>
      </c>
      <c r="X2782">
        <v>1</v>
      </c>
    </row>
    <row r="2783" customFormat="1" ht="16.5" spans="1:24">
      <c r="A2783" s="17">
        <f t="shared" si="2204"/>
        <v>62910</v>
      </c>
      <c r="B2783" s="17">
        <f t="shared" si="2213"/>
        <v>62900</v>
      </c>
      <c r="C2783" s="17" t="str">
        <f t="shared" si="2158"/>
        <v>6</v>
      </c>
      <c r="D2783" s="17">
        <f t="shared" si="2187"/>
        <v>60003</v>
      </c>
      <c r="E2783" s="17">
        <f t="shared" ref="E2783:H2783" si="2217">E2782</f>
        <v>2</v>
      </c>
      <c r="F2783" s="17">
        <f t="shared" si="2197"/>
        <v>3</v>
      </c>
      <c r="G2783" s="17" t="str">
        <f t="shared" si="2217"/>
        <v>雪原巨人魔防百分比</v>
      </c>
      <c r="H2783" s="17" t="str">
        <f t="shared" si="2217"/>
        <v>yeshou03_lv3</v>
      </c>
      <c r="I2783" s="20">
        <v>1.5</v>
      </c>
      <c r="J2783" s="17">
        <v>10</v>
      </c>
      <c r="K2783" s="17">
        <f t="shared" si="2203"/>
        <v>62911</v>
      </c>
      <c r="L2783" s="17" t="s">
        <v>238</v>
      </c>
      <c r="M2783" s="17" t="str">
        <f t="shared" si="2206"/>
        <v>1:12600:10</v>
      </c>
      <c r="N2783" s="16" t="str">
        <f>W2783&amp;$W$2&amp;X2783</f>
        <v>10072:1</v>
      </c>
      <c r="O2783" s="17">
        <f t="shared" si="2198"/>
        <v>10</v>
      </c>
      <c r="P2783" s="21" t="s">
        <v>5215</v>
      </c>
      <c r="Q2783" s="21"/>
      <c r="R2783" t="s">
        <v>5163</v>
      </c>
      <c r="T2783" t="str">
        <f t="shared" si="2207"/>
        <v>:1</v>
      </c>
      <c r="U2783" t="str">
        <f t="shared" si="2184"/>
        <v>巨人</v>
      </c>
      <c r="V2783" t="s">
        <v>5204</v>
      </c>
      <c r="W2783">
        <f>属性类型!G2783</f>
        <v>10072</v>
      </c>
      <c r="X2783">
        <v>1</v>
      </c>
    </row>
    <row r="2784" ht="16.5" spans="1:24">
      <c r="A2784" s="17">
        <f t="shared" si="2204"/>
        <v>62911</v>
      </c>
      <c r="B2784" s="17">
        <f t="shared" si="2213"/>
        <v>62900</v>
      </c>
      <c r="C2784" s="17" t="str">
        <f t="shared" si="2158"/>
        <v>6</v>
      </c>
      <c r="D2784" s="17">
        <f t="shared" si="2187"/>
        <v>60003</v>
      </c>
      <c r="E2784" s="17">
        <f t="shared" ref="E2784:H2784" si="2218">E2783</f>
        <v>2</v>
      </c>
      <c r="F2784" s="17">
        <f t="shared" si="2197"/>
        <v>3</v>
      </c>
      <c r="G2784" s="17" t="str">
        <f t="shared" si="2218"/>
        <v>雪原巨人魔防百分比</v>
      </c>
      <c r="H2784" s="17" t="str">
        <f t="shared" si="2218"/>
        <v>yeshou03_lv3</v>
      </c>
      <c r="I2784" s="20">
        <v>1.5</v>
      </c>
      <c r="J2784" s="17">
        <v>11</v>
      </c>
      <c r="K2784" s="17">
        <f t="shared" si="2203"/>
        <v>62912</v>
      </c>
      <c r="L2784" s="17" t="s">
        <v>529</v>
      </c>
      <c r="M2784" s="17" t="str">
        <f t="shared" si="2206"/>
        <v>1:12600:10</v>
      </c>
      <c r="N2784" s="16" t="str">
        <f>W2784&amp;$W$2&amp;X2784</f>
        <v>10072:1</v>
      </c>
      <c r="O2784" s="17">
        <f t="shared" si="2198"/>
        <v>10</v>
      </c>
      <c r="P2784" s="21" t="s">
        <v>5216</v>
      </c>
      <c r="Q2784" s="21"/>
      <c r="R2784" t="s">
        <v>5163</v>
      </c>
      <c r="T2784" t="str">
        <f t="shared" si="2207"/>
        <v>:1</v>
      </c>
      <c r="U2784" t="str">
        <f t="shared" si="2184"/>
        <v>巨人</v>
      </c>
      <c r="V2784" t="s">
        <v>5204</v>
      </c>
      <c r="W2784">
        <f>属性类型!G2784</f>
        <v>10072</v>
      </c>
      <c r="X2784">
        <v>1</v>
      </c>
    </row>
    <row r="2785" ht="16.5" spans="1:24">
      <c r="A2785" s="17">
        <f t="shared" si="2204"/>
        <v>62912</v>
      </c>
      <c r="B2785" s="17">
        <f t="shared" si="2213"/>
        <v>62900</v>
      </c>
      <c r="C2785" s="17" t="str">
        <f t="shared" si="2158"/>
        <v>6</v>
      </c>
      <c r="D2785" s="17">
        <f t="shared" si="2187"/>
        <v>60003</v>
      </c>
      <c r="E2785" s="17">
        <f t="shared" ref="E2785:H2785" si="2219">E2784</f>
        <v>2</v>
      </c>
      <c r="F2785" s="17">
        <f t="shared" si="2197"/>
        <v>3</v>
      </c>
      <c r="G2785" s="17" t="str">
        <f t="shared" si="2219"/>
        <v>雪原巨人魔防百分比</v>
      </c>
      <c r="H2785" s="17" t="str">
        <f t="shared" si="2219"/>
        <v>yeshou03_lv3</v>
      </c>
      <c r="I2785" s="20">
        <v>1.5</v>
      </c>
      <c r="J2785" s="17">
        <v>12</v>
      </c>
      <c r="K2785" s="17">
        <f t="shared" si="2203"/>
        <v>62913</v>
      </c>
      <c r="L2785" s="17" t="s">
        <v>532</v>
      </c>
      <c r="M2785" s="17" t="str">
        <f t="shared" si="2206"/>
        <v>1:12600:10</v>
      </c>
      <c r="N2785" s="16" t="str">
        <f>W2785&amp;$W$2&amp;X2785</f>
        <v>10072:1</v>
      </c>
      <c r="O2785" s="17">
        <f t="shared" si="2198"/>
        <v>10</v>
      </c>
      <c r="P2785" s="21" t="s">
        <v>5217</v>
      </c>
      <c r="Q2785" s="21"/>
      <c r="R2785" t="s">
        <v>5163</v>
      </c>
      <c r="T2785" t="str">
        <f t="shared" si="2207"/>
        <v>:1</v>
      </c>
      <c r="U2785" t="str">
        <f t="shared" si="2184"/>
        <v>巨人</v>
      </c>
      <c r="V2785" t="s">
        <v>5204</v>
      </c>
      <c r="W2785">
        <f>属性类型!G2785</f>
        <v>10072</v>
      </c>
      <c r="X2785">
        <v>1</v>
      </c>
    </row>
    <row r="2786" ht="16.5" spans="1:24">
      <c r="A2786" s="17">
        <f t="shared" si="2204"/>
        <v>62913</v>
      </c>
      <c r="B2786" s="17">
        <f t="shared" si="2213"/>
        <v>62900</v>
      </c>
      <c r="C2786" s="17" t="str">
        <f t="shared" si="2158"/>
        <v>6</v>
      </c>
      <c r="D2786" s="17">
        <f t="shared" si="2187"/>
        <v>60003</v>
      </c>
      <c r="E2786" s="17">
        <f t="shared" ref="E2786:H2786" si="2220">E2785</f>
        <v>2</v>
      </c>
      <c r="F2786" s="17">
        <f t="shared" si="2197"/>
        <v>3</v>
      </c>
      <c r="G2786" s="17" t="str">
        <f t="shared" si="2220"/>
        <v>雪原巨人魔防百分比</v>
      </c>
      <c r="H2786" s="17" t="str">
        <f t="shared" si="2220"/>
        <v>yeshou03_lv3</v>
      </c>
      <c r="I2786" s="20">
        <v>1.5</v>
      </c>
      <c r="J2786" s="17">
        <v>13</v>
      </c>
      <c r="K2786" s="17">
        <f t="shared" si="2203"/>
        <v>62914</v>
      </c>
      <c r="L2786" s="17" t="s">
        <v>561</v>
      </c>
      <c r="M2786" s="17" t="str">
        <f t="shared" si="2206"/>
        <v>1:12600:10</v>
      </c>
      <c r="N2786" s="16" t="str">
        <f>W2786&amp;$W$2&amp;X2786</f>
        <v>10072:1</v>
      </c>
      <c r="O2786" s="17">
        <f t="shared" si="2198"/>
        <v>10</v>
      </c>
      <c r="P2786" s="21" t="s">
        <v>5218</v>
      </c>
      <c r="Q2786" s="21"/>
      <c r="R2786" t="s">
        <v>5163</v>
      </c>
      <c r="T2786" t="str">
        <f t="shared" si="2207"/>
        <v>:1</v>
      </c>
      <c r="U2786" t="str">
        <f t="shared" si="2184"/>
        <v>巨人</v>
      </c>
      <c r="V2786" t="s">
        <v>5204</v>
      </c>
      <c r="W2786">
        <f>属性类型!G2786</f>
        <v>10072</v>
      </c>
      <c r="X2786">
        <v>1</v>
      </c>
    </row>
    <row r="2787" ht="16.5" spans="1:24">
      <c r="A2787" s="17">
        <f t="shared" si="2204"/>
        <v>62914</v>
      </c>
      <c r="B2787" s="17">
        <f t="shared" si="2213"/>
        <v>62900</v>
      </c>
      <c r="C2787" s="17" t="str">
        <f t="shared" si="2158"/>
        <v>6</v>
      </c>
      <c r="D2787" s="17">
        <f t="shared" si="2187"/>
        <v>60003</v>
      </c>
      <c r="E2787" s="17">
        <f t="shared" ref="E2787:H2787" si="2221">E2786</f>
        <v>2</v>
      </c>
      <c r="F2787" s="17">
        <f t="shared" si="2197"/>
        <v>3</v>
      </c>
      <c r="G2787" s="17" t="str">
        <f t="shared" si="2221"/>
        <v>雪原巨人魔防百分比</v>
      </c>
      <c r="H2787" s="17" t="str">
        <f t="shared" si="2221"/>
        <v>yeshou03_lv3</v>
      </c>
      <c r="I2787" s="20">
        <v>1.5</v>
      </c>
      <c r="J2787" s="17">
        <v>14</v>
      </c>
      <c r="K2787" s="17">
        <f t="shared" si="2203"/>
        <v>62915</v>
      </c>
      <c r="L2787" s="17" t="s">
        <v>564</v>
      </c>
      <c r="M2787" s="17" t="str">
        <f t="shared" si="2206"/>
        <v>1:12600:10</v>
      </c>
      <c r="N2787" s="16" t="str">
        <f>W2787&amp;$W$2&amp;X2787</f>
        <v>10072:1</v>
      </c>
      <c r="O2787" s="17">
        <f t="shared" si="2198"/>
        <v>10</v>
      </c>
      <c r="P2787" s="21" t="s">
        <v>5219</v>
      </c>
      <c r="Q2787" s="21"/>
      <c r="R2787" t="s">
        <v>5163</v>
      </c>
      <c r="T2787" t="str">
        <f t="shared" si="2207"/>
        <v>:1</v>
      </c>
      <c r="U2787" t="str">
        <f t="shared" si="2184"/>
        <v>巨人</v>
      </c>
      <c r="V2787" t="s">
        <v>5204</v>
      </c>
      <c r="W2787">
        <f>属性类型!G2787</f>
        <v>10072</v>
      </c>
      <c r="X2787">
        <v>1</v>
      </c>
    </row>
    <row r="2788" ht="16.5" spans="1:24">
      <c r="A2788" s="17">
        <f t="shared" si="2204"/>
        <v>62915</v>
      </c>
      <c r="B2788" s="17">
        <f t="shared" si="2213"/>
        <v>62900</v>
      </c>
      <c r="C2788" s="17" t="str">
        <f t="shared" si="2158"/>
        <v>6</v>
      </c>
      <c r="D2788" s="17">
        <f t="shared" si="2187"/>
        <v>60003</v>
      </c>
      <c r="E2788" s="17">
        <f t="shared" ref="E2788:H2788" si="2222">E2787</f>
        <v>2</v>
      </c>
      <c r="F2788" s="17">
        <f t="shared" si="2197"/>
        <v>3</v>
      </c>
      <c r="G2788" s="17" t="str">
        <f t="shared" si="2222"/>
        <v>雪原巨人魔防百分比</v>
      </c>
      <c r="H2788" s="17" t="str">
        <f t="shared" si="2222"/>
        <v>yeshou03_lv3</v>
      </c>
      <c r="I2788" s="20">
        <v>1.5</v>
      </c>
      <c r="J2788" s="17">
        <v>15</v>
      </c>
      <c r="K2788" s="17">
        <f t="shared" si="2203"/>
        <v>62916</v>
      </c>
      <c r="L2788" s="17" t="s">
        <v>630</v>
      </c>
      <c r="M2788" s="17" t="str">
        <f t="shared" si="2206"/>
        <v>1:12600:10</v>
      </c>
      <c r="N2788" s="16" t="str">
        <f>W2788&amp;$W$2&amp;X2788</f>
        <v>10072:1</v>
      </c>
      <c r="O2788" s="17">
        <f t="shared" si="2198"/>
        <v>10</v>
      </c>
      <c r="P2788" s="21" t="s">
        <v>5220</v>
      </c>
      <c r="Q2788" s="21"/>
      <c r="R2788" t="s">
        <v>5163</v>
      </c>
      <c r="T2788" t="str">
        <f t="shared" si="2207"/>
        <v>:1</v>
      </c>
      <c r="U2788" t="str">
        <f t="shared" si="2184"/>
        <v>巨人</v>
      </c>
      <c r="V2788" t="s">
        <v>5204</v>
      </c>
      <c r="W2788">
        <f>属性类型!G2788</f>
        <v>10072</v>
      </c>
      <c r="X2788">
        <v>1</v>
      </c>
    </row>
    <row r="2789" ht="16.5" spans="1:24">
      <c r="A2789" s="17">
        <f t="shared" si="2204"/>
        <v>62916</v>
      </c>
      <c r="B2789" s="17">
        <f t="shared" si="2213"/>
        <v>62900</v>
      </c>
      <c r="C2789" s="17" t="str">
        <f t="shared" si="2158"/>
        <v>6</v>
      </c>
      <c r="D2789" s="17">
        <f t="shared" si="2187"/>
        <v>60003</v>
      </c>
      <c r="E2789" s="17">
        <f t="shared" ref="E2789:H2789" si="2223">E2788</f>
        <v>2</v>
      </c>
      <c r="F2789" s="17">
        <f t="shared" si="2197"/>
        <v>3</v>
      </c>
      <c r="G2789" s="17" t="str">
        <f t="shared" si="2223"/>
        <v>雪原巨人魔防百分比</v>
      </c>
      <c r="H2789" s="17" t="str">
        <f t="shared" si="2223"/>
        <v>yeshou03_lv3</v>
      </c>
      <c r="I2789" s="20">
        <v>1.5</v>
      </c>
      <c r="J2789" s="17">
        <v>16</v>
      </c>
      <c r="K2789" s="17">
        <f t="shared" si="2203"/>
        <v>62917</v>
      </c>
      <c r="L2789" s="17" t="s">
        <v>633</v>
      </c>
      <c r="M2789" s="17" t="str">
        <f t="shared" si="2206"/>
        <v>1:12600:10</v>
      </c>
      <c r="N2789" s="16" t="str">
        <f>W2789&amp;$W$2&amp;X2789</f>
        <v>10072:1</v>
      </c>
      <c r="O2789" s="17">
        <f t="shared" si="2198"/>
        <v>10</v>
      </c>
      <c r="P2789" s="21" t="s">
        <v>5221</v>
      </c>
      <c r="Q2789" s="21"/>
      <c r="R2789" t="s">
        <v>5163</v>
      </c>
      <c r="T2789" t="str">
        <f t="shared" si="2207"/>
        <v>:1</v>
      </c>
      <c r="U2789" t="str">
        <f t="shared" si="2184"/>
        <v>巨人</v>
      </c>
      <c r="V2789" t="s">
        <v>5204</v>
      </c>
      <c r="W2789">
        <f>属性类型!G2789</f>
        <v>10072</v>
      </c>
      <c r="X2789">
        <v>1</v>
      </c>
    </row>
    <row r="2790" ht="16.5" spans="1:24">
      <c r="A2790" s="17">
        <f t="shared" si="2204"/>
        <v>62917</v>
      </c>
      <c r="B2790" s="17">
        <f t="shared" si="2213"/>
        <v>62900</v>
      </c>
      <c r="C2790" s="17" t="str">
        <f t="shared" si="2158"/>
        <v>6</v>
      </c>
      <c r="D2790" s="17">
        <f t="shared" si="2187"/>
        <v>60003</v>
      </c>
      <c r="E2790" s="17">
        <f t="shared" ref="E2790:H2790" si="2224">E2789</f>
        <v>2</v>
      </c>
      <c r="F2790" s="17">
        <f t="shared" si="2197"/>
        <v>3</v>
      </c>
      <c r="G2790" s="17" t="str">
        <f t="shared" si="2224"/>
        <v>雪原巨人魔防百分比</v>
      </c>
      <c r="H2790" s="17" t="str">
        <f t="shared" si="2224"/>
        <v>yeshou03_lv3</v>
      </c>
      <c r="I2790" s="20">
        <v>1.5</v>
      </c>
      <c r="J2790" s="17">
        <v>17</v>
      </c>
      <c r="K2790" s="17">
        <f t="shared" si="2203"/>
        <v>62918</v>
      </c>
      <c r="L2790" s="17" t="s">
        <v>637</v>
      </c>
      <c r="M2790" s="17" t="str">
        <f t="shared" si="2206"/>
        <v>1:12600:10</v>
      </c>
      <c r="N2790" s="16" t="str">
        <f>W2790&amp;$W$2&amp;X2790</f>
        <v>10072:1</v>
      </c>
      <c r="O2790" s="17">
        <f t="shared" si="2198"/>
        <v>10</v>
      </c>
      <c r="P2790" s="21" t="s">
        <v>5222</v>
      </c>
      <c r="Q2790" s="21"/>
      <c r="R2790" t="s">
        <v>5163</v>
      </c>
      <c r="T2790" t="str">
        <f t="shared" si="2207"/>
        <v>:1</v>
      </c>
      <c r="U2790" t="str">
        <f t="shared" si="2184"/>
        <v>巨人</v>
      </c>
      <c r="V2790" t="s">
        <v>5204</v>
      </c>
      <c r="W2790">
        <f>属性类型!G2790</f>
        <v>10072</v>
      </c>
      <c r="X2790">
        <v>1</v>
      </c>
    </row>
    <row r="2791" ht="16.5" spans="1:24">
      <c r="A2791" s="17">
        <f t="shared" si="2204"/>
        <v>62918</v>
      </c>
      <c r="B2791" s="17">
        <f t="shared" si="2213"/>
        <v>62900</v>
      </c>
      <c r="C2791" s="17" t="str">
        <f t="shared" si="2158"/>
        <v>6</v>
      </c>
      <c r="D2791" s="17">
        <f t="shared" si="2187"/>
        <v>60003</v>
      </c>
      <c r="E2791" s="17">
        <f t="shared" ref="E2791:H2791" si="2225">E2790</f>
        <v>2</v>
      </c>
      <c r="F2791" s="17">
        <f t="shared" si="2197"/>
        <v>3</v>
      </c>
      <c r="G2791" s="17" t="str">
        <f t="shared" si="2225"/>
        <v>雪原巨人魔防百分比</v>
      </c>
      <c r="H2791" s="17" t="str">
        <f t="shared" si="2225"/>
        <v>yeshou03_lv3</v>
      </c>
      <c r="I2791" s="20">
        <v>1.5</v>
      </c>
      <c r="J2791" s="17">
        <v>18</v>
      </c>
      <c r="K2791" s="17">
        <f t="shared" si="2203"/>
        <v>62919</v>
      </c>
      <c r="L2791" s="17" t="s">
        <v>641</v>
      </c>
      <c r="M2791" s="17" t="str">
        <f t="shared" si="2206"/>
        <v>1:12600:10</v>
      </c>
      <c r="N2791" s="16" t="str">
        <f>W2791&amp;$W$2&amp;X2791</f>
        <v>10072:1</v>
      </c>
      <c r="O2791" s="17">
        <f t="shared" si="2198"/>
        <v>10</v>
      </c>
      <c r="P2791" s="21" t="s">
        <v>5223</v>
      </c>
      <c r="Q2791" s="21"/>
      <c r="R2791" t="s">
        <v>5163</v>
      </c>
      <c r="T2791" t="str">
        <f t="shared" si="2207"/>
        <v>:1</v>
      </c>
      <c r="U2791" t="str">
        <f t="shared" si="2184"/>
        <v>巨人</v>
      </c>
      <c r="V2791" t="s">
        <v>5204</v>
      </c>
      <c r="W2791">
        <f>属性类型!G2791</f>
        <v>10072</v>
      </c>
      <c r="X2791">
        <v>1</v>
      </c>
    </row>
    <row r="2792" ht="16.5" spans="1:24">
      <c r="A2792" s="17">
        <f t="shared" si="2204"/>
        <v>62919</v>
      </c>
      <c r="B2792" s="17">
        <f t="shared" si="2213"/>
        <v>62900</v>
      </c>
      <c r="C2792" s="17" t="str">
        <f t="shared" si="2158"/>
        <v>6</v>
      </c>
      <c r="D2792" s="17">
        <f t="shared" si="2187"/>
        <v>60003</v>
      </c>
      <c r="E2792" s="17">
        <f t="shared" ref="E2792:H2792" si="2226">E2791</f>
        <v>2</v>
      </c>
      <c r="F2792" s="17">
        <f t="shared" si="2197"/>
        <v>3</v>
      </c>
      <c r="G2792" s="17" t="str">
        <f t="shared" si="2226"/>
        <v>雪原巨人魔防百分比</v>
      </c>
      <c r="H2792" s="17" t="str">
        <f t="shared" si="2226"/>
        <v>yeshou03_lv3</v>
      </c>
      <c r="I2792" s="20">
        <v>1.5</v>
      </c>
      <c r="J2792" s="17">
        <v>19</v>
      </c>
      <c r="K2792" s="17">
        <f t="shared" si="2203"/>
        <v>62920</v>
      </c>
      <c r="L2792" s="17" t="s">
        <v>645</v>
      </c>
      <c r="M2792" s="17" t="str">
        <f t="shared" si="2206"/>
        <v>1:12600:10</v>
      </c>
      <c r="N2792" s="16" t="str">
        <f>W2792&amp;$W$2&amp;X2792</f>
        <v>10072:1</v>
      </c>
      <c r="O2792" s="17">
        <f t="shared" si="2198"/>
        <v>10</v>
      </c>
      <c r="P2792" s="21" t="s">
        <v>5224</v>
      </c>
      <c r="Q2792" s="21"/>
      <c r="R2792" t="s">
        <v>5163</v>
      </c>
      <c r="T2792" t="str">
        <f t="shared" si="2207"/>
        <v>:1</v>
      </c>
      <c r="U2792" t="str">
        <f t="shared" si="2184"/>
        <v>巨人</v>
      </c>
      <c r="V2792" t="s">
        <v>5204</v>
      </c>
      <c r="W2792">
        <f>属性类型!G2792</f>
        <v>10072</v>
      </c>
      <c r="X2792">
        <v>1</v>
      </c>
    </row>
    <row r="2793" ht="16.5" spans="1:24">
      <c r="A2793" s="17">
        <f t="shared" si="2204"/>
        <v>62920</v>
      </c>
      <c r="B2793" s="17">
        <f t="shared" si="2213"/>
        <v>62900</v>
      </c>
      <c r="C2793" s="17" t="str">
        <f t="shared" si="2158"/>
        <v>6</v>
      </c>
      <c r="D2793" s="17">
        <f t="shared" si="2187"/>
        <v>60003</v>
      </c>
      <c r="E2793" s="17">
        <f t="shared" ref="E2793:H2793" si="2227">E2792</f>
        <v>2</v>
      </c>
      <c r="F2793" s="17">
        <f t="shared" si="2197"/>
        <v>3</v>
      </c>
      <c r="G2793" s="17" t="str">
        <f t="shared" si="2227"/>
        <v>雪原巨人魔防百分比</v>
      </c>
      <c r="H2793" s="17" t="str">
        <f t="shared" si="2227"/>
        <v>yeshou03_lv3</v>
      </c>
      <c r="I2793" s="20">
        <v>1.5</v>
      </c>
      <c r="J2793" s="17">
        <v>20</v>
      </c>
      <c r="K2793" s="17">
        <f t="shared" si="2203"/>
        <v>0</v>
      </c>
      <c r="L2793" s="17">
        <v>0</v>
      </c>
      <c r="M2793" s="17" t="str">
        <f t="shared" si="2206"/>
        <v>1:12600:10</v>
      </c>
      <c r="N2793" s="16" t="str">
        <f>W2793&amp;$W$2&amp;X2793</f>
        <v>10072:1</v>
      </c>
      <c r="O2793" s="17">
        <f t="shared" si="2198"/>
        <v>10</v>
      </c>
      <c r="P2793" s="21" t="s">
        <v>5224</v>
      </c>
      <c r="Q2793" s="21"/>
      <c r="R2793" t="s">
        <v>5163</v>
      </c>
      <c r="T2793" t="str">
        <f t="shared" si="2207"/>
        <v>:1</v>
      </c>
      <c r="U2793" t="str">
        <f t="shared" si="2184"/>
        <v>巨人</v>
      </c>
      <c r="V2793" t="s">
        <v>5204</v>
      </c>
      <c r="W2793">
        <f>属性类型!G2793</f>
        <v>10072</v>
      </c>
      <c r="X2793">
        <v>1</v>
      </c>
    </row>
  </sheetData>
  <autoFilter ref="A3:W2793">
    <extLst/>
  </autoFilter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9"/>
  <sheetViews>
    <sheetView workbookViewId="0">
      <pane ySplit="3" topLeftCell="A4" activePane="bottomLeft" state="frozen"/>
      <selection/>
      <selection pane="bottomLeft" activeCell="C28" sqref="C28"/>
    </sheetView>
  </sheetViews>
  <sheetFormatPr defaultColWidth="9" defaultRowHeight="16.5"/>
  <cols>
    <col min="1" max="2" width="9" style="11"/>
    <col min="3" max="3" width="16" style="11" customWidth="1"/>
    <col min="4" max="4" width="14.125" style="11"/>
    <col min="5" max="11" width="9" style="11"/>
    <col min="12" max="13" width="14.125" style="11"/>
    <col min="14" max="16384" width="9" style="11"/>
  </cols>
  <sheetData>
    <row r="1" spans="10:18">
      <c r="J1" s="11" t="s">
        <v>5225</v>
      </c>
      <c r="K1" s="11">
        <v>150</v>
      </c>
      <c r="L1" s="11" t="s">
        <v>5226</v>
      </c>
      <c r="M1" s="11">
        <v>50</v>
      </c>
      <c r="N1" s="11" t="s">
        <v>5227</v>
      </c>
      <c r="O1" s="11">
        <v>30</v>
      </c>
      <c r="Q1" s="11" t="s">
        <v>5228</v>
      </c>
      <c r="R1" s="11">
        <v>50</v>
      </c>
    </row>
    <row r="2" spans="10:15">
      <c r="J2" s="11" t="s">
        <v>5229</v>
      </c>
      <c r="K2" s="11">
        <v>200</v>
      </c>
      <c r="L2" s="11" t="s">
        <v>5230</v>
      </c>
      <c r="M2" s="11">
        <v>80</v>
      </c>
      <c r="N2" s="11" t="s">
        <v>5231</v>
      </c>
      <c r="O2" s="11">
        <v>50</v>
      </c>
    </row>
    <row r="3" spans="1:15">
      <c r="A3" s="11" t="s">
        <v>27</v>
      </c>
      <c r="B3" s="11" t="s">
        <v>23</v>
      </c>
      <c r="C3" s="11" t="s">
        <v>24</v>
      </c>
      <c r="D3" s="11" t="s">
        <v>5232</v>
      </c>
      <c r="J3" s="11" t="s">
        <v>5233</v>
      </c>
      <c r="K3" s="11">
        <v>300</v>
      </c>
      <c r="L3" s="11" t="s">
        <v>5234</v>
      </c>
      <c r="M3" s="11">
        <v>120</v>
      </c>
      <c r="N3" s="11" t="s">
        <v>5235</v>
      </c>
      <c r="O3" s="11">
        <v>70</v>
      </c>
    </row>
    <row r="4" spans="1:4">
      <c r="A4" s="12">
        <v>0</v>
      </c>
      <c r="B4" s="11">
        <v>1</v>
      </c>
      <c r="C4" s="11" t="s">
        <v>37</v>
      </c>
      <c r="D4" s="11">
        <v>0</v>
      </c>
    </row>
    <row r="5" spans="1:4">
      <c r="A5" s="12">
        <v>1</v>
      </c>
      <c r="B5" s="11">
        <v>1</v>
      </c>
      <c r="C5" s="11" t="s">
        <v>37</v>
      </c>
      <c r="D5" s="11">
        <v>30</v>
      </c>
    </row>
    <row r="6" spans="1:4">
      <c r="A6" s="12">
        <v>2</v>
      </c>
      <c r="B6" s="11">
        <v>1</v>
      </c>
      <c r="C6" s="11" t="s">
        <v>37</v>
      </c>
      <c r="D6" s="11">
        <v>30</v>
      </c>
    </row>
    <row r="7" spans="1:4">
      <c r="A7" s="12">
        <v>3</v>
      </c>
      <c r="B7" s="11">
        <v>1</v>
      </c>
      <c r="C7" s="11" t="s">
        <v>37</v>
      </c>
      <c r="D7" s="11">
        <v>30</v>
      </c>
    </row>
    <row r="8" spans="1:4">
      <c r="A8" s="12">
        <v>4</v>
      </c>
      <c r="B8" s="11">
        <v>1</v>
      </c>
      <c r="C8" s="11" t="s">
        <v>37</v>
      </c>
      <c r="D8" s="11">
        <v>30</v>
      </c>
    </row>
    <row r="9" spans="1:4">
      <c r="A9" s="12">
        <v>5</v>
      </c>
      <c r="B9" s="11">
        <v>1</v>
      </c>
      <c r="C9" s="11" t="s">
        <v>37</v>
      </c>
      <c r="D9" s="11">
        <v>30</v>
      </c>
    </row>
    <row r="10" spans="1:3">
      <c r="A10" s="12">
        <v>0</v>
      </c>
      <c r="B10" s="11">
        <v>1</v>
      </c>
      <c r="C10" s="11" t="s">
        <v>62</v>
      </c>
    </row>
    <row r="11" spans="1:3">
      <c r="A11" s="12">
        <v>1</v>
      </c>
      <c r="B11" s="11">
        <v>1</v>
      </c>
      <c r="C11" s="11" t="s">
        <v>62</v>
      </c>
    </row>
    <row r="12" spans="1:3">
      <c r="A12" s="12">
        <v>2</v>
      </c>
      <c r="B12" s="11">
        <v>1</v>
      </c>
      <c r="C12" s="11" t="s">
        <v>62</v>
      </c>
    </row>
    <row r="13" spans="1:3">
      <c r="A13" s="12">
        <v>3</v>
      </c>
      <c r="B13" s="11">
        <v>1</v>
      </c>
      <c r="C13" s="11" t="s">
        <v>62</v>
      </c>
    </row>
    <row r="14" spans="1:3">
      <c r="A14" s="12">
        <v>4</v>
      </c>
      <c r="B14" s="11">
        <v>1</v>
      </c>
      <c r="C14" s="11" t="s">
        <v>62</v>
      </c>
    </row>
    <row r="15" spans="1:3">
      <c r="A15" s="12">
        <v>5</v>
      </c>
      <c r="B15" s="11">
        <v>1</v>
      </c>
      <c r="C15" s="11" t="s">
        <v>62</v>
      </c>
    </row>
    <row r="16" spans="1:3">
      <c r="A16" s="12">
        <v>0</v>
      </c>
      <c r="B16" s="11">
        <v>1</v>
      </c>
      <c r="C16" s="11" t="s">
        <v>79</v>
      </c>
    </row>
    <row r="17" spans="1:3">
      <c r="A17" s="12">
        <v>1</v>
      </c>
      <c r="B17" s="11">
        <v>1</v>
      </c>
      <c r="C17" s="11" t="s">
        <v>79</v>
      </c>
    </row>
    <row r="18" spans="1:3">
      <c r="A18" s="12">
        <v>2</v>
      </c>
      <c r="B18" s="11">
        <v>1</v>
      </c>
      <c r="C18" s="11" t="s">
        <v>79</v>
      </c>
    </row>
    <row r="19" spans="1:3">
      <c r="A19" s="12">
        <v>3</v>
      </c>
      <c r="B19" s="11">
        <v>1</v>
      </c>
      <c r="C19" s="11" t="s">
        <v>79</v>
      </c>
    </row>
    <row r="20" spans="1:3">
      <c r="A20" s="12">
        <v>4</v>
      </c>
      <c r="B20" s="11">
        <v>1</v>
      </c>
      <c r="C20" s="11" t="s">
        <v>79</v>
      </c>
    </row>
    <row r="21" spans="1:3">
      <c r="A21" s="12">
        <v>5</v>
      </c>
      <c r="B21" s="11">
        <v>1</v>
      </c>
      <c r="C21" s="11" t="s">
        <v>79</v>
      </c>
    </row>
    <row r="22" spans="1:3">
      <c r="A22" s="12">
        <v>0</v>
      </c>
      <c r="B22" s="11">
        <v>1</v>
      </c>
      <c r="C22" s="11" t="s">
        <v>95</v>
      </c>
    </row>
    <row r="23" spans="1:3">
      <c r="A23" s="12">
        <v>1</v>
      </c>
      <c r="B23" s="11">
        <v>1</v>
      </c>
      <c r="C23" s="11" t="s">
        <v>95</v>
      </c>
    </row>
    <row r="24" spans="1:3">
      <c r="A24" s="12">
        <v>2</v>
      </c>
      <c r="B24" s="11">
        <v>1</v>
      </c>
      <c r="C24" s="11" t="s">
        <v>95</v>
      </c>
    </row>
    <row r="25" spans="1:3">
      <c r="A25" s="12">
        <v>3</v>
      </c>
      <c r="B25" s="11">
        <v>1</v>
      </c>
      <c r="C25" s="11" t="s">
        <v>95</v>
      </c>
    </row>
    <row r="26" spans="1:5">
      <c r="A26" s="12">
        <v>4</v>
      </c>
      <c r="B26" s="11">
        <v>1</v>
      </c>
      <c r="C26" s="11" t="s">
        <v>95</v>
      </c>
      <c r="D26" s="13"/>
      <c r="E26" s="13"/>
    </row>
    <row r="27" spans="1:5">
      <c r="A27" s="12">
        <v>5</v>
      </c>
      <c r="B27" s="11">
        <v>1</v>
      </c>
      <c r="C27" s="11" t="s">
        <v>95</v>
      </c>
      <c r="D27" s="13"/>
      <c r="E27" s="13"/>
    </row>
    <row r="28" spans="1:3">
      <c r="A28" s="12">
        <v>0</v>
      </c>
      <c r="B28" s="11">
        <v>1</v>
      </c>
      <c r="C28" s="11" t="s">
        <v>111</v>
      </c>
    </row>
    <row r="29" spans="1:5">
      <c r="A29" s="12">
        <v>1</v>
      </c>
      <c r="B29" s="11">
        <v>1</v>
      </c>
      <c r="C29" s="11" t="s">
        <v>111</v>
      </c>
      <c r="D29" s="13"/>
      <c r="E29" s="13"/>
    </row>
    <row r="30" spans="1:5">
      <c r="A30" s="12">
        <v>2</v>
      </c>
      <c r="B30" s="11">
        <v>1</v>
      </c>
      <c r="C30" s="11" t="s">
        <v>111</v>
      </c>
      <c r="D30" s="13"/>
      <c r="E30" s="13"/>
    </row>
    <row r="31" spans="1:5">
      <c r="A31" s="12">
        <v>3</v>
      </c>
      <c r="B31" s="11">
        <v>1</v>
      </c>
      <c r="C31" s="11" t="s">
        <v>111</v>
      </c>
      <c r="D31" s="13"/>
      <c r="E31" s="13"/>
    </row>
    <row r="32" spans="1:5">
      <c r="A32" s="12">
        <v>4</v>
      </c>
      <c r="B32" s="11">
        <v>1</v>
      </c>
      <c r="C32" s="11" t="s">
        <v>111</v>
      </c>
      <c r="D32" s="13"/>
      <c r="E32" s="13"/>
    </row>
    <row r="33" spans="1:5">
      <c r="A33" s="12">
        <v>5</v>
      </c>
      <c r="B33" s="11">
        <v>1</v>
      </c>
      <c r="C33" s="11" t="s">
        <v>111</v>
      </c>
      <c r="D33" s="13"/>
      <c r="E33" s="13"/>
    </row>
    <row r="34" spans="1:5">
      <c r="A34" s="12">
        <v>6</v>
      </c>
      <c r="B34" s="11">
        <v>1</v>
      </c>
      <c r="C34" s="11" t="s">
        <v>111</v>
      </c>
      <c r="D34" s="13"/>
      <c r="E34" s="13"/>
    </row>
    <row r="35" spans="1:5">
      <c r="A35" s="12">
        <v>7</v>
      </c>
      <c r="B35" s="11">
        <v>1</v>
      </c>
      <c r="C35" s="11" t="s">
        <v>111</v>
      </c>
      <c r="D35" s="13"/>
      <c r="E35" s="13"/>
    </row>
    <row r="36" spans="1:5">
      <c r="A36" s="12">
        <v>8</v>
      </c>
      <c r="B36" s="11">
        <v>1</v>
      </c>
      <c r="C36" s="11" t="s">
        <v>111</v>
      </c>
      <c r="D36" s="13"/>
      <c r="E36" s="13"/>
    </row>
    <row r="37" spans="1:5">
      <c r="A37" s="12">
        <v>9</v>
      </c>
      <c r="B37" s="11">
        <v>1</v>
      </c>
      <c r="C37" s="11" t="s">
        <v>111</v>
      </c>
      <c r="D37" s="13"/>
      <c r="E37" s="13"/>
    </row>
    <row r="38" spans="1:5">
      <c r="A38" s="12">
        <v>10</v>
      </c>
      <c r="B38" s="11">
        <v>1</v>
      </c>
      <c r="C38" s="11" t="s">
        <v>111</v>
      </c>
      <c r="D38" s="13"/>
      <c r="E38" s="13"/>
    </row>
    <row r="39" spans="1:5">
      <c r="A39" s="12">
        <v>0</v>
      </c>
      <c r="B39" s="11">
        <v>1</v>
      </c>
      <c r="C39" s="11" t="s">
        <v>148</v>
      </c>
      <c r="D39" s="13"/>
      <c r="E39" s="13"/>
    </row>
    <row r="40" spans="1:5">
      <c r="A40" s="12">
        <v>1</v>
      </c>
      <c r="B40" s="11">
        <v>1</v>
      </c>
      <c r="C40" s="11" t="s">
        <v>148</v>
      </c>
      <c r="D40" s="13"/>
      <c r="E40" s="13"/>
    </row>
    <row r="41" spans="1:5">
      <c r="A41" s="12">
        <v>2</v>
      </c>
      <c r="B41" s="11">
        <v>1</v>
      </c>
      <c r="C41" s="11" t="s">
        <v>148</v>
      </c>
      <c r="D41" s="13"/>
      <c r="E41" s="13"/>
    </row>
    <row r="42" spans="1:5">
      <c r="A42" s="12">
        <v>3</v>
      </c>
      <c r="B42" s="11">
        <v>1</v>
      </c>
      <c r="C42" s="11" t="s">
        <v>148</v>
      </c>
      <c r="D42" s="13"/>
      <c r="E42" s="13"/>
    </row>
    <row r="43" spans="1:5">
      <c r="A43" s="12">
        <v>4</v>
      </c>
      <c r="B43" s="11">
        <v>1</v>
      </c>
      <c r="C43" s="11" t="s">
        <v>148</v>
      </c>
      <c r="D43" s="13"/>
      <c r="E43" s="13"/>
    </row>
    <row r="44" spans="1:5">
      <c r="A44" s="12">
        <v>5</v>
      </c>
      <c r="B44" s="11">
        <v>1</v>
      </c>
      <c r="C44" s="11" t="s">
        <v>148</v>
      </c>
      <c r="D44" s="13"/>
      <c r="E44" s="13"/>
    </row>
    <row r="45" spans="1:5">
      <c r="A45" s="12">
        <v>6</v>
      </c>
      <c r="B45" s="11">
        <v>1</v>
      </c>
      <c r="C45" s="11" t="s">
        <v>148</v>
      </c>
      <c r="D45" s="13"/>
      <c r="E45" s="13"/>
    </row>
    <row r="46" spans="1:5">
      <c r="A46" s="12">
        <v>7</v>
      </c>
      <c r="B46" s="11">
        <v>1</v>
      </c>
      <c r="C46" s="11" t="s">
        <v>148</v>
      </c>
      <c r="D46" s="13"/>
      <c r="E46" s="13"/>
    </row>
    <row r="47" spans="1:5">
      <c r="A47" s="12">
        <v>8</v>
      </c>
      <c r="B47" s="11">
        <v>1</v>
      </c>
      <c r="C47" s="11" t="s">
        <v>148</v>
      </c>
      <c r="D47" s="13"/>
      <c r="E47" s="13"/>
    </row>
    <row r="48" spans="1:5">
      <c r="A48" s="12">
        <v>9</v>
      </c>
      <c r="B48" s="11">
        <v>1</v>
      </c>
      <c r="C48" s="11" t="s">
        <v>148</v>
      </c>
      <c r="D48" s="13"/>
      <c r="E48" s="13"/>
    </row>
    <row r="49" spans="1:5">
      <c r="A49" s="12">
        <v>10</v>
      </c>
      <c r="B49" s="11">
        <v>1</v>
      </c>
      <c r="C49" s="11" t="s">
        <v>148</v>
      </c>
      <c r="D49" s="13"/>
      <c r="E49" s="13"/>
    </row>
    <row r="50" spans="1:3">
      <c r="A50" s="12">
        <v>0</v>
      </c>
      <c r="B50" s="11">
        <v>1</v>
      </c>
      <c r="C50" s="11" t="s">
        <v>175</v>
      </c>
    </row>
    <row r="51" spans="1:3">
      <c r="A51" s="12">
        <v>1</v>
      </c>
      <c r="B51" s="11">
        <v>1</v>
      </c>
      <c r="C51" s="11" t="s">
        <v>175</v>
      </c>
    </row>
    <row r="52" spans="1:3">
      <c r="A52" s="12">
        <v>2</v>
      </c>
      <c r="B52" s="11">
        <v>1</v>
      </c>
      <c r="C52" s="11" t="s">
        <v>175</v>
      </c>
    </row>
    <row r="53" spans="1:3">
      <c r="A53" s="12">
        <v>3</v>
      </c>
      <c r="B53" s="11">
        <v>1</v>
      </c>
      <c r="C53" s="11" t="s">
        <v>175</v>
      </c>
    </row>
    <row r="54" spans="1:3">
      <c r="A54" s="12">
        <v>4</v>
      </c>
      <c r="B54" s="11">
        <v>1</v>
      </c>
      <c r="C54" s="11" t="s">
        <v>175</v>
      </c>
    </row>
    <row r="55" spans="1:3">
      <c r="A55" s="12">
        <v>5</v>
      </c>
      <c r="B55" s="11">
        <v>1</v>
      </c>
      <c r="C55" s="11" t="s">
        <v>175</v>
      </c>
    </row>
    <row r="56" spans="1:3">
      <c r="A56" s="12">
        <v>6</v>
      </c>
      <c r="B56" s="11">
        <v>1</v>
      </c>
      <c r="C56" s="11" t="s">
        <v>175</v>
      </c>
    </row>
    <row r="57" spans="1:3">
      <c r="A57" s="12">
        <v>7</v>
      </c>
      <c r="B57" s="11">
        <v>1</v>
      </c>
      <c r="C57" s="11" t="s">
        <v>175</v>
      </c>
    </row>
    <row r="58" spans="1:3">
      <c r="A58" s="12">
        <v>8</v>
      </c>
      <c r="B58" s="11">
        <v>1</v>
      </c>
      <c r="C58" s="11" t="s">
        <v>175</v>
      </c>
    </row>
    <row r="59" spans="1:3">
      <c r="A59" s="12">
        <v>9</v>
      </c>
      <c r="B59" s="11">
        <v>1</v>
      </c>
      <c r="C59" s="11" t="s">
        <v>175</v>
      </c>
    </row>
    <row r="60" spans="1:3">
      <c r="A60" s="12">
        <v>10</v>
      </c>
      <c r="B60" s="11">
        <v>1</v>
      </c>
      <c r="C60" s="11" t="s">
        <v>175</v>
      </c>
    </row>
    <row r="61" spans="1:3">
      <c r="A61" s="11">
        <v>0</v>
      </c>
      <c r="B61" s="11">
        <v>2</v>
      </c>
      <c r="C61" s="11" t="s">
        <v>295</v>
      </c>
    </row>
    <row r="62" spans="1:3">
      <c r="A62" s="11">
        <v>1</v>
      </c>
      <c r="B62" s="11">
        <v>2</v>
      </c>
      <c r="C62" s="11" t="s">
        <v>295</v>
      </c>
    </row>
    <row r="63" spans="1:3">
      <c r="A63" s="11">
        <v>2</v>
      </c>
      <c r="B63" s="11">
        <v>2</v>
      </c>
      <c r="C63" s="11" t="s">
        <v>295</v>
      </c>
    </row>
    <row r="64" spans="1:3">
      <c r="A64" s="11">
        <v>3</v>
      </c>
      <c r="B64" s="11">
        <v>2</v>
      </c>
      <c r="C64" s="11" t="s">
        <v>295</v>
      </c>
    </row>
    <row r="65" spans="1:3">
      <c r="A65" s="11">
        <v>4</v>
      </c>
      <c r="B65" s="11">
        <v>2</v>
      </c>
      <c r="C65" s="11" t="s">
        <v>295</v>
      </c>
    </row>
    <row r="66" spans="1:3">
      <c r="A66" s="11">
        <v>5</v>
      </c>
      <c r="B66" s="11">
        <v>2</v>
      </c>
      <c r="C66" s="11" t="s">
        <v>295</v>
      </c>
    </row>
    <row r="67" spans="1:3">
      <c r="A67" s="11">
        <v>6</v>
      </c>
      <c r="B67" s="11">
        <v>2</v>
      </c>
      <c r="C67" s="11" t="s">
        <v>295</v>
      </c>
    </row>
    <row r="68" spans="1:3">
      <c r="A68" s="11">
        <v>7</v>
      </c>
      <c r="B68" s="11">
        <v>2</v>
      </c>
      <c r="C68" s="11" t="s">
        <v>295</v>
      </c>
    </row>
    <row r="69" spans="1:3">
      <c r="A69" s="11">
        <v>8</v>
      </c>
      <c r="B69" s="11">
        <v>2</v>
      </c>
      <c r="C69" s="11" t="s">
        <v>295</v>
      </c>
    </row>
    <row r="70" spans="1:3">
      <c r="A70" s="11">
        <v>9</v>
      </c>
      <c r="B70" s="11">
        <v>2</v>
      </c>
      <c r="C70" s="11" t="s">
        <v>295</v>
      </c>
    </row>
    <row r="71" spans="1:3">
      <c r="A71" s="11">
        <v>10</v>
      </c>
      <c r="B71" s="11">
        <v>2</v>
      </c>
      <c r="C71" s="11" t="s">
        <v>295</v>
      </c>
    </row>
    <row r="72" spans="1:3">
      <c r="A72" s="11">
        <v>0</v>
      </c>
      <c r="B72" s="11">
        <v>2</v>
      </c>
      <c r="C72" s="11" t="s">
        <v>327</v>
      </c>
    </row>
    <row r="73" spans="1:3">
      <c r="A73" s="11">
        <v>1</v>
      </c>
      <c r="B73" s="11">
        <v>2</v>
      </c>
      <c r="C73" s="11" t="s">
        <v>327</v>
      </c>
    </row>
    <row r="74" spans="1:3">
      <c r="A74" s="11">
        <v>2</v>
      </c>
      <c r="B74" s="11">
        <v>2</v>
      </c>
      <c r="C74" s="11" t="s">
        <v>327</v>
      </c>
    </row>
    <row r="75" spans="1:3">
      <c r="A75" s="11">
        <v>3</v>
      </c>
      <c r="B75" s="11">
        <v>2</v>
      </c>
      <c r="C75" s="11" t="s">
        <v>327</v>
      </c>
    </row>
    <row r="76" spans="1:3">
      <c r="A76" s="11">
        <v>4</v>
      </c>
      <c r="B76" s="11">
        <v>2</v>
      </c>
      <c r="C76" s="11" t="s">
        <v>327</v>
      </c>
    </row>
    <row r="77" spans="1:3">
      <c r="A77" s="11">
        <v>5</v>
      </c>
      <c r="B77" s="11">
        <v>2</v>
      </c>
      <c r="C77" s="11" t="s">
        <v>327</v>
      </c>
    </row>
    <row r="78" spans="1:3">
      <c r="A78" s="11">
        <v>6</v>
      </c>
      <c r="B78" s="11">
        <v>2</v>
      </c>
      <c r="C78" s="11" t="s">
        <v>327</v>
      </c>
    </row>
    <row r="79" spans="1:3">
      <c r="A79" s="11">
        <v>7</v>
      </c>
      <c r="B79" s="11">
        <v>2</v>
      </c>
      <c r="C79" s="11" t="s">
        <v>327</v>
      </c>
    </row>
    <row r="80" spans="1:3">
      <c r="A80" s="11">
        <v>8</v>
      </c>
      <c r="B80" s="11">
        <v>2</v>
      </c>
      <c r="C80" s="11" t="s">
        <v>327</v>
      </c>
    </row>
    <row r="81" spans="1:3">
      <c r="A81" s="11">
        <v>9</v>
      </c>
      <c r="B81" s="11">
        <v>2</v>
      </c>
      <c r="C81" s="11" t="s">
        <v>327</v>
      </c>
    </row>
    <row r="82" spans="1:3">
      <c r="A82" s="11">
        <v>10</v>
      </c>
      <c r="B82" s="11">
        <v>2</v>
      </c>
      <c r="C82" s="11" t="s">
        <v>327</v>
      </c>
    </row>
    <row r="83" spans="1:3">
      <c r="A83" s="11">
        <v>0</v>
      </c>
      <c r="B83" s="11">
        <v>2</v>
      </c>
      <c r="C83" s="11" t="s">
        <v>350</v>
      </c>
    </row>
    <row r="84" spans="1:3">
      <c r="A84" s="11">
        <v>1</v>
      </c>
      <c r="B84" s="11">
        <v>2</v>
      </c>
      <c r="C84" s="11" t="s">
        <v>350</v>
      </c>
    </row>
    <row r="85" spans="1:3">
      <c r="A85" s="11">
        <v>2</v>
      </c>
      <c r="B85" s="11">
        <v>2</v>
      </c>
      <c r="C85" s="11" t="s">
        <v>350</v>
      </c>
    </row>
    <row r="86" spans="1:3">
      <c r="A86" s="11">
        <v>3</v>
      </c>
      <c r="B86" s="11">
        <v>2</v>
      </c>
      <c r="C86" s="11" t="s">
        <v>350</v>
      </c>
    </row>
    <row r="87" spans="1:3">
      <c r="A87" s="11">
        <v>4</v>
      </c>
      <c r="B87" s="11">
        <v>2</v>
      </c>
      <c r="C87" s="11" t="s">
        <v>350</v>
      </c>
    </row>
    <row r="88" spans="1:3">
      <c r="A88" s="11">
        <v>5</v>
      </c>
      <c r="B88" s="11">
        <v>2</v>
      </c>
      <c r="C88" s="11" t="s">
        <v>350</v>
      </c>
    </row>
    <row r="89" spans="1:3">
      <c r="A89" s="11">
        <v>6</v>
      </c>
      <c r="B89" s="11">
        <v>2</v>
      </c>
      <c r="C89" s="11" t="s">
        <v>350</v>
      </c>
    </row>
    <row r="90" spans="1:3">
      <c r="A90" s="11">
        <v>7</v>
      </c>
      <c r="B90" s="11">
        <v>2</v>
      </c>
      <c r="C90" s="11" t="s">
        <v>350</v>
      </c>
    </row>
    <row r="91" spans="1:3">
      <c r="A91" s="11">
        <v>8</v>
      </c>
      <c r="B91" s="11">
        <v>2</v>
      </c>
      <c r="C91" s="11" t="s">
        <v>350</v>
      </c>
    </row>
    <row r="92" spans="1:3">
      <c r="A92" s="11">
        <v>9</v>
      </c>
      <c r="B92" s="11">
        <v>2</v>
      </c>
      <c r="C92" s="11" t="s">
        <v>350</v>
      </c>
    </row>
    <row r="93" spans="1:3">
      <c r="A93" s="11">
        <v>10</v>
      </c>
      <c r="B93" s="11">
        <v>2</v>
      </c>
      <c r="C93" s="11" t="s">
        <v>350</v>
      </c>
    </row>
    <row r="94" spans="1:3">
      <c r="A94" s="11">
        <v>0</v>
      </c>
      <c r="B94" s="11">
        <v>2</v>
      </c>
      <c r="C94" s="11" t="s">
        <v>372</v>
      </c>
    </row>
    <row r="95" spans="1:3">
      <c r="A95" s="11">
        <v>1</v>
      </c>
      <c r="B95" s="11">
        <v>2</v>
      </c>
      <c r="C95" s="11" t="s">
        <v>372</v>
      </c>
    </row>
    <row r="96" spans="1:3">
      <c r="A96" s="11">
        <v>2</v>
      </c>
      <c r="B96" s="11">
        <v>2</v>
      </c>
      <c r="C96" s="11" t="s">
        <v>372</v>
      </c>
    </row>
    <row r="97" spans="1:3">
      <c r="A97" s="11">
        <v>3</v>
      </c>
      <c r="B97" s="11">
        <v>2</v>
      </c>
      <c r="C97" s="11" t="s">
        <v>372</v>
      </c>
    </row>
    <row r="98" spans="1:3">
      <c r="A98" s="11">
        <v>4</v>
      </c>
      <c r="B98" s="11">
        <v>2</v>
      </c>
      <c r="C98" s="11" t="s">
        <v>372</v>
      </c>
    </row>
    <row r="99" spans="1:3">
      <c r="A99" s="11">
        <v>5</v>
      </c>
      <c r="B99" s="11">
        <v>2</v>
      </c>
      <c r="C99" s="11" t="s">
        <v>372</v>
      </c>
    </row>
    <row r="100" spans="1:3">
      <c r="A100" s="11">
        <v>6</v>
      </c>
      <c r="B100" s="11">
        <v>2</v>
      </c>
      <c r="C100" s="11" t="s">
        <v>372</v>
      </c>
    </row>
    <row r="101" spans="1:3">
      <c r="A101" s="11">
        <v>7</v>
      </c>
      <c r="B101" s="11">
        <v>2</v>
      </c>
      <c r="C101" s="11" t="s">
        <v>372</v>
      </c>
    </row>
    <row r="102" spans="1:3">
      <c r="A102" s="11">
        <v>8</v>
      </c>
      <c r="B102" s="11">
        <v>2</v>
      </c>
      <c r="C102" s="11" t="s">
        <v>372</v>
      </c>
    </row>
    <row r="103" spans="1:3">
      <c r="A103" s="11">
        <v>9</v>
      </c>
      <c r="B103" s="11">
        <v>2</v>
      </c>
      <c r="C103" s="11" t="s">
        <v>372</v>
      </c>
    </row>
    <row r="104" spans="1:3">
      <c r="A104" s="11">
        <v>10</v>
      </c>
      <c r="B104" s="11">
        <v>2</v>
      </c>
      <c r="C104" s="11" t="s">
        <v>372</v>
      </c>
    </row>
    <row r="105" spans="1:3">
      <c r="A105" s="11">
        <v>0</v>
      </c>
      <c r="B105" s="11">
        <v>2</v>
      </c>
      <c r="C105" s="11" t="s">
        <v>4348</v>
      </c>
    </row>
    <row r="106" spans="1:3">
      <c r="A106" s="11">
        <v>1</v>
      </c>
      <c r="B106" s="11">
        <v>2</v>
      </c>
      <c r="C106" s="11" t="s">
        <v>4348</v>
      </c>
    </row>
    <row r="107" spans="1:3">
      <c r="A107" s="11">
        <v>2</v>
      </c>
      <c r="B107" s="11">
        <v>2</v>
      </c>
      <c r="C107" s="11" t="s">
        <v>4348</v>
      </c>
    </row>
    <row r="108" spans="1:3">
      <c r="A108" s="11">
        <v>3</v>
      </c>
      <c r="B108" s="11">
        <v>2</v>
      </c>
      <c r="C108" s="11" t="s">
        <v>4348</v>
      </c>
    </row>
    <row r="109" spans="1:3">
      <c r="A109" s="11">
        <v>4</v>
      </c>
      <c r="B109" s="11">
        <v>2</v>
      </c>
      <c r="C109" s="11" t="s">
        <v>4348</v>
      </c>
    </row>
    <row r="110" spans="1:3">
      <c r="A110" s="11">
        <v>5</v>
      </c>
      <c r="B110" s="11">
        <v>2</v>
      </c>
      <c r="C110" s="11" t="s">
        <v>4348</v>
      </c>
    </row>
    <row r="111" spans="1:3">
      <c r="A111" s="11">
        <v>6</v>
      </c>
      <c r="B111" s="11">
        <v>2</v>
      </c>
      <c r="C111" s="11" t="s">
        <v>4348</v>
      </c>
    </row>
    <row r="112" spans="1:3">
      <c r="A112" s="11">
        <v>7</v>
      </c>
      <c r="B112" s="11">
        <v>2</v>
      </c>
      <c r="C112" s="11" t="s">
        <v>4348</v>
      </c>
    </row>
    <row r="113" spans="1:3">
      <c r="A113" s="11">
        <v>8</v>
      </c>
      <c r="B113" s="11">
        <v>2</v>
      </c>
      <c r="C113" s="11" t="s">
        <v>4348</v>
      </c>
    </row>
    <row r="114" spans="1:3">
      <c r="A114" s="11">
        <v>9</v>
      </c>
      <c r="B114" s="11">
        <v>2</v>
      </c>
      <c r="C114" s="11" t="s">
        <v>4348</v>
      </c>
    </row>
    <row r="115" spans="1:3">
      <c r="A115" s="11">
        <v>10</v>
      </c>
      <c r="B115" s="11">
        <v>2</v>
      </c>
      <c r="C115" s="11" t="s">
        <v>4348</v>
      </c>
    </row>
    <row r="116" spans="1:3">
      <c r="A116" s="11">
        <v>11</v>
      </c>
      <c r="B116" s="11">
        <v>2</v>
      </c>
      <c r="C116" s="11" t="s">
        <v>4348</v>
      </c>
    </row>
    <row r="117" spans="1:3">
      <c r="A117" s="11">
        <v>12</v>
      </c>
      <c r="B117" s="11">
        <v>2</v>
      </c>
      <c r="C117" s="11" t="s">
        <v>4348</v>
      </c>
    </row>
    <row r="118" spans="1:3">
      <c r="A118" s="11">
        <v>13</v>
      </c>
      <c r="B118" s="11">
        <v>2</v>
      </c>
      <c r="C118" s="11" t="s">
        <v>4348</v>
      </c>
    </row>
    <row r="119" spans="1:3">
      <c r="A119" s="11">
        <v>14</v>
      </c>
      <c r="B119" s="11">
        <v>2</v>
      </c>
      <c r="C119" s="11" t="s">
        <v>4348</v>
      </c>
    </row>
    <row r="120" spans="1:3">
      <c r="A120" s="11">
        <v>15</v>
      </c>
      <c r="B120" s="11">
        <v>2</v>
      </c>
      <c r="C120" s="11" t="s">
        <v>4348</v>
      </c>
    </row>
    <row r="121" spans="1:3">
      <c r="A121" s="11">
        <v>0</v>
      </c>
      <c r="B121" s="11">
        <v>2</v>
      </c>
      <c r="C121" s="11" t="s">
        <v>427</v>
      </c>
    </row>
    <row r="122" spans="1:3">
      <c r="A122" s="11">
        <v>1</v>
      </c>
      <c r="B122" s="11">
        <v>2</v>
      </c>
      <c r="C122" s="11" t="s">
        <v>427</v>
      </c>
    </row>
    <row r="123" spans="1:3">
      <c r="A123" s="11">
        <v>2</v>
      </c>
      <c r="B123" s="11">
        <v>2</v>
      </c>
      <c r="C123" s="11" t="s">
        <v>427</v>
      </c>
    </row>
    <row r="124" spans="1:3">
      <c r="A124" s="11">
        <v>3</v>
      </c>
      <c r="B124" s="11">
        <v>2</v>
      </c>
      <c r="C124" s="11" t="s">
        <v>427</v>
      </c>
    </row>
    <row r="125" spans="1:3">
      <c r="A125" s="11">
        <v>4</v>
      </c>
      <c r="B125" s="11">
        <v>2</v>
      </c>
      <c r="C125" s="11" t="s">
        <v>427</v>
      </c>
    </row>
    <row r="126" spans="1:3">
      <c r="A126" s="11">
        <v>5</v>
      </c>
      <c r="B126" s="11">
        <v>2</v>
      </c>
      <c r="C126" s="11" t="s">
        <v>427</v>
      </c>
    </row>
    <row r="127" spans="1:3">
      <c r="A127" s="11">
        <v>6</v>
      </c>
      <c r="B127" s="11">
        <v>2</v>
      </c>
      <c r="C127" s="11" t="s">
        <v>427</v>
      </c>
    </row>
    <row r="128" spans="1:3">
      <c r="A128" s="11">
        <v>7</v>
      </c>
      <c r="B128" s="11">
        <v>2</v>
      </c>
      <c r="C128" s="11" t="s">
        <v>427</v>
      </c>
    </row>
    <row r="129" spans="1:3">
      <c r="A129" s="11">
        <v>8</v>
      </c>
      <c r="B129" s="11">
        <v>2</v>
      </c>
      <c r="C129" s="11" t="s">
        <v>427</v>
      </c>
    </row>
    <row r="130" spans="1:3">
      <c r="A130" s="11">
        <v>9</v>
      </c>
      <c r="B130" s="11">
        <v>2</v>
      </c>
      <c r="C130" s="11" t="s">
        <v>427</v>
      </c>
    </row>
    <row r="131" spans="1:3">
      <c r="A131" s="11">
        <v>10</v>
      </c>
      <c r="B131" s="11">
        <v>2</v>
      </c>
      <c r="C131" s="11" t="s">
        <v>427</v>
      </c>
    </row>
    <row r="132" spans="1:3">
      <c r="A132" s="11">
        <v>11</v>
      </c>
      <c r="B132" s="11">
        <v>2</v>
      </c>
      <c r="C132" s="11" t="s">
        <v>427</v>
      </c>
    </row>
    <row r="133" spans="1:3">
      <c r="A133" s="11">
        <v>12</v>
      </c>
      <c r="B133" s="11">
        <v>2</v>
      </c>
      <c r="C133" s="11" t="s">
        <v>427</v>
      </c>
    </row>
    <row r="134" spans="1:3">
      <c r="A134" s="11">
        <v>13</v>
      </c>
      <c r="B134" s="11">
        <v>2</v>
      </c>
      <c r="C134" s="11" t="s">
        <v>427</v>
      </c>
    </row>
    <row r="135" spans="1:3">
      <c r="A135" s="11">
        <v>14</v>
      </c>
      <c r="B135" s="11">
        <v>2</v>
      </c>
      <c r="C135" s="11" t="s">
        <v>427</v>
      </c>
    </row>
    <row r="136" spans="1:3">
      <c r="A136" s="11">
        <v>15</v>
      </c>
      <c r="B136" s="11">
        <v>2</v>
      </c>
      <c r="C136" s="11" t="s">
        <v>427</v>
      </c>
    </row>
    <row r="137" spans="1:3">
      <c r="A137" s="11">
        <v>0</v>
      </c>
      <c r="B137" s="11">
        <v>2</v>
      </c>
      <c r="C137" s="11" t="s">
        <v>450</v>
      </c>
    </row>
    <row r="138" spans="1:3">
      <c r="A138" s="11">
        <v>1</v>
      </c>
      <c r="B138" s="11">
        <v>2</v>
      </c>
      <c r="C138" s="11" t="s">
        <v>450</v>
      </c>
    </row>
    <row r="139" spans="1:3">
      <c r="A139" s="11">
        <v>2</v>
      </c>
      <c r="B139" s="11">
        <v>2</v>
      </c>
      <c r="C139" s="11" t="s">
        <v>450</v>
      </c>
    </row>
    <row r="140" spans="1:3">
      <c r="A140" s="11">
        <v>3</v>
      </c>
      <c r="B140" s="11">
        <v>2</v>
      </c>
      <c r="C140" s="11" t="s">
        <v>450</v>
      </c>
    </row>
    <row r="141" spans="1:3">
      <c r="A141" s="11">
        <v>4</v>
      </c>
      <c r="B141" s="11">
        <v>2</v>
      </c>
      <c r="C141" s="11" t="s">
        <v>450</v>
      </c>
    </row>
    <row r="142" spans="1:3">
      <c r="A142" s="11">
        <v>5</v>
      </c>
      <c r="B142" s="11">
        <v>2</v>
      </c>
      <c r="C142" s="11" t="s">
        <v>450</v>
      </c>
    </row>
    <row r="143" spans="1:3">
      <c r="A143" s="11">
        <v>6</v>
      </c>
      <c r="B143" s="11">
        <v>2</v>
      </c>
      <c r="C143" s="11" t="s">
        <v>450</v>
      </c>
    </row>
    <row r="144" spans="1:3">
      <c r="A144" s="11">
        <v>7</v>
      </c>
      <c r="B144" s="11">
        <v>2</v>
      </c>
      <c r="C144" s="11" t="s">
        <v>450</v>
      </c>
    </row>
    <row r="145" spans="1:3">
      <c r="A145" s="11">
        <v>8</v>
      </c>
      <c r="B145" s="11">
        <v>2</v>
      </c>
      <c r="C145" s="11" t="s">
        <v>450</v>
      </c>
    </row>
    <row r="146" spans="1:3">
      <c r="A146" s="11">
        <v>9</v>
      </c>
      <c r="B146" s="11">
        <v>2</v>
      </c>
      <c r="C146" s="11" t="s">
        <v>450</v>
      </c>
    </row>
    <row r="147" spans="1:3">
      <c r="A147" s="11">
        <v>10</v>
      </c>
      <c r="B147" s="11">
        <v>2</v>
      </c>
      <c r="C147" s="11" t="s">
        <v>450</v>
      </c>
    </row>
    <row r="148" spans="1:3">
      <c r="A148" s="11">
        <v>11</v>
      </c>
      <c r="B148" s="11">
        <v>2</v>
      </c>
      <c r="C148" s="11" t="s">
        <v>450</v>
      </c>
    </row>
    <row r="149" spans="1:3">
      <c r="A149" s="11">
        <v>12</v>
      </c>
      <c r="B149" s="11">
        <v>2</v>
      </c>
      <c r="C149" s="11" t="s">
        <v>450</v>
      </c>
    </row>
    <row r="150" spans="1:3">
      <c r="A150" s="11">
        <v>13</v>
      </c>
      <c r="B150" s="11">
        <v>2</v>
      </c>
      <c r="C150" s="11" t="s">
        <v>450</v>
      </c>
    </row>
    <row r="151" spans="1:3">
      <c r="A151" s="11">
        <v>14</v>
      </c>
      <c r="B151" s="11">
        <v>2</v>
      </c>
      <c r="C151" s="11" t="s">
        <v>450</v>
      </c>
    </row>
    <row r="152" spans="1:3">
      <c r="A152" s="11">
        <v>15</v>
      </c>
      <c r="B152" s="11">
        <v>2</v>
      </c>
      <c r="C152" s="11" t="s">
        <v>450</v>
      </c>
    </row>
    <row r="153" spans="1:3">
      <c r="A153" s="11">
        <v>0</v>
      </c>
      <c r="B153" s="11">
        <v>3</v>
      </c>
      <c r="C153" s="11" t="s">
        <v>515</v>
      </c>
    </row>
    <row r="154" spans="1:3">
      <c r="A154" s="11">
        <v>1</v>
      </c>
      <c r="B154" s="11">
        <v>3</v>
      </c>
      <c r="C154" s="11" t="s">
        <v>515</v>
      </c>
    </row>
    <row r="155" spans="1:3">
      <c r="A155" s="11">
        <v>2</v>
      </c>
      <c r="B155" s="11">
        <v>3</v>
      </c>
      <c r="C155" s="11" t="s">
        <v>515</v>
      </c>
    </row>
    <row r="156" spans="1:3">
      <c r="A156" s="11">
        <v>3</v>
      </c>
      <c r="B156" s="11">
        <v>3</v>
      </c>
      <c r="C156" s="11" t="s">
        <v>515</v>
      </c>
    </row>
    <row r="157" spans="1:3">
      <c r="A157" s="11">
        <v>4</v>
      </c>
      <c r="B157" s="11">
        <v>3</v>
      </c>
      <c r="C157" s="11" t="s">
        <v>515</v>
      </c>
    </row>
    <row r="158" spans="1:3">
      <c r="A158" s="11">
        <v>5</v>
      </c>
      <c r="B158" s="11">
        <v>3</v>
      </c>
      <c r="C158" s="11" t="s">
        <v>515</v>
      </c>
    </row>
    <row r="159" spans="1:3">
      <c r="A159" s="11">
        <v>6</v>
      </c>
      <c r="B159" s="11">
        <v>3</v>
      </c>
      <c r="C159" s="11" t="s">
        <v>515</v>
      </c>
    </row>
    <row r="160" spans="1:3">
      <c r="A160" s="11">
        <v>7</v>
      </c>
      <c r="B160" s="11">
        <v>3</v>
      </c>
      <c r="C160" s="11" t="s">
        <v>515</v>
      </c>
    </row>
    <row r="161" spans="1:3">
      <c r="A161" s="11">
        <v>8</v>
      </c>
      <c r="B161" s="11">
        <v>3</v>
      </c>
      <c r="C161" s="11" t="s">
        <v>515</v>
      </c>
    </row>
    <row r="162" spans="1:3">
      <c r="A162" s="11">
        <v>9</v>
      </c>
      <c r="B162" s="11">
        <v>3</v>
      </c>
      <c r="C162" s="11" t="s">
        <v>515</v>
      </c>
    </row>
    <row r="163" spans="1:3">
      <c r="A163" s="11">
        <v>10</v>
      </c>
      <c r="B163" s="11">
        <v>3</v>
      </c>
      <c r="C163" s="11" t="s">
        <v>515</v>
      </c>
    </row>
    <row r="164" spans="1:3">
      <c r="A164" s="11">
        <v>11</v>
      </c>
      <c r="B164" s="11">
        <v>3</v>
      </c>
      <c r="C164" s="11" t="s">
        <v>515</v>
      </c>
    </row>
    <row r="165" spans="1:3">
      <c r="A165" s="11">
        <v>12</v>
      </c>
      <c r="B165" s="11">
        <v>3</v>
      </c>
      <c r="C165" s="11" t="s">
        <v>515</v>
      </c>
    </row>
    <row r="166" spans="1:3">
      <c r="A166" s="11">
        <v>13</v>
      </c>
      <c r="B166" s="11">
        <v>3</v>
      </c>
      <c r="C166" s="11" t="s">
        <v>515</v>
      </c>
    </row>
    <row r="167" spans="1:3">
      <c r="A167" s="11">
        <v>14</v>
      </c>
      <c r="B167" s="11">
        <v>3</v>
      </c>
      <c r="C167" s="11" t="s">
        <v>515</v>
      </c>
    </row>
    <row r="168" spans="1:3">
      <c r="A168" s="11">
        <v>15</v>
      </c>
      <c r="B168" s="11">
        <v>3</v>
      </c>
      <c r="C168" s="11" t="s">
        <v>515</v>
      </c>
    </row>
    <row r="169" spans="1:3">
      <c r="A169" s="11">
        <v>0</v>
      </c>
      <c r="B169" s="11">
        <v>3</v>
      </c>
      <c r="C169" s="11" t="s">
        <v>543</v>
      </c>
    </row>
    <row r="170" spans="1:3">
      <c r="A170" s="11">
        <v>1</v>
      </c>
      <c r="B170" s="11">
        <v>3</v>
      </c>
      <c r="C170" s="11" t="s">
        <v>543</v>
      </c>
    </row>
    <row r="171" spans="1:3">
      <c r="A171" s="11">
        <v>2</v>
      </c>
      <c r="B171" s="11">
        <v>3</v>
      </c>
      <c r="C171" s="11" t="s">
        <v>543</v>
      </c>
    </row>
    <row r="172" spans="1:3">
      <c r="A172" s="11">
        <v>3</v>
      </c>
      <c r="B172" s="11">
        <v>3</v>
      </c>
      <c r="C172" s="11" t="s">
        <v>543</v>
      </c>
    </row>
    <row r="173" spans="1:3">
      <c r="A173" s="11">
        <v>4</v>
      </c>
      <c r="B173" s="11">
        <v>3</v>
      </c>
      <c r="C173" s="11" t="s">
        <v>543</v>
      </c>
    </row>
    <row r="174" spans="1:3">
      <c r="A174" s="11">
        <v>5</v>
      </c>
      <c r="B174" s="11">
        <v>3</v>
      </c>
      <c r="C174" s="11" t="s">
        <v>543</v>
      </c>
    </row>
    <row r="175" spans="1:3">
      <c r="A175" s="11">
        <v>6</v>
      </c>
      <c r="B175" s="11">
        <v>3</v>
      </c>
      <c r="C175" s="11" t="s">
        <v>543</v>
      </c>
    </row>
    <row r="176" spans="1:3">
      <c r="A176" s="11">
        <v>7</v>
      </c>
      <c r="B176" s="11">
        <v>3</v>
      </c>
      <c r="C176" s="11" t="s">
        <v>543</v>
      </c>
    </row>
    <row r="177" spans="1:3">
      <c r="A177" s="11">
        <v>8</v>
      </c>
      <c r="B177" s="11">
        <v>3</v>
      </c>
      <c r="C177" s="11" t="s">
        <v>543</v>
      </c>
    </row>
    <row r="178" spans="1:3">
      <c r="A178" s="11">
        <v>9</v>
      </c>
      <c r="B178" s="11">
        <v>3</v>
      </c>
      <c r="C178" s="11" t="s">
        <v>543</v>
      </c>
    </row>
    <row r="179" spans="1:3">
      <c r="A179" s="11">
        <v>10</v>
      </c>
      <c r="B179" s="11">
        <v>3</v>
      </c>
      <c r="C179" s="11" t="s">
        <v>543</v>
      </c>
    </row>
    <row r="180" spans="1:3">
      <c r="A180" s="11">
        <v>11</v>
      </c>
      <c r="B180" s="11">
        <v>3</v>
      </c>
      <c r="C180" s="11" t="s">
        <v>543</v>
      </c>
    </row>
    <row r="181" spans="1:3">
      <c r="A181" s="11">
        <v>12</v>
      </c>
      <c r="B181" s="11">
        <v>3</v>
      </c>
      <c r="C181" s="11" t="s">
        <v>543</v>
      </c>
    </row>
    <row r="182" spans="1:3">
      <c r="A182" s="11">
        <v>13</v>
      </c>
      <c r="B182" s="11">
        <v>3</v>
      </c>
      <c r="C182" s="11" t="s">
        <v>543</v>
      </c>
    </row>
    <row r="183" spans="1:3">
      <c r="A183" s="11">
        <v>14</v>
      </c>
      <c r="B183" s="11">
        <v>3</v>
      </c>
      <c r="C183" s="11" t="s">
        <v>543</v>
      </c>
    </row>
    <row r="184" spans="1:3">
      <c r="A184" s="11">
        <v>15</v>
      </c>
      <c r="B184" s="11">
        <v>3</v>
      </c>
      <c r="C184" s="11" t="s">
        <v>543</v>
      </c>
    </row>
    <row r="185" spans="1:3">
      <c r="A185" s="11">
        <v>0</v>
      </c>
      <c r="B185" s="11">
        <v>3</v>
      </c>
      <c r="C185" s="11" t="s">
        <v>568</v>
      </c>
    </row>
    <row r="186" spans="1:3">
      <c r="A186" s="11">
        <v>1</v>
      </c>
      <c r="B186" s="11">
        <v>3</v>
      </c>
      <c r="C186" s="11" t="s">
        <v>568</v>
      </c>
    </row>
    <row r="187" spans="1:3">
      <c r="A187" s="11">
        <v>2</v>
      </c>
      <c r="B187" s="11">
        <v>3</v>
      </c>
      <c r="C187" s="11" t="s">
        <v>568</v>
      </c>
    </row>
    <row r="188" spans="1:3">
      <c r="A188" s="11">
        <v>3</v>
      </c>
      <c r="B188" s="11">
        <v>3</v>
      </c>
      <c r="C188" s="11" t="s">
        <v>568</v>
      </c>
    </row>
    <row r="189" spans="1:3">
      <c r="A189" s="11">
        <v>4</v>
      </c>
      <c r="B189" s="11">
        <v>3</v>
      </c>
      <c r="C189" s="11" t="s">
        <v>568</v>
      </c>
    </row>
    <row r="190" spans="1:3">
      <c r="A190" s="11">
        <v>5</v>
      </c>
      <c r="B190" s="11">
        <v>3</v>
      </c>
      <c r="C190" s="11" t="s">
        <v>568</v>
      </c>
    </row>
    <row r="191" spans="1:3">
      <c r="A191" s="11">
        <v>6</v>
      </c>
      <c r="B191" s="11">
        <v>3</v>
      </c>
      <c r="C191" s="11" t="s">
        <v>568</v>
      </c>
    </row>
    <row r="192" spans="1:3">
      <c r="A192" s="11">
        <v>7</v>
      </c>
      <c r="B192" s="11">
        <v>3</v>
      </c>
      <c r="C192" s="11" t="s">
        <v>568</v>
      </c>
    </row>
    <row r="193" spans="1:3">
      <c r="A193" s="11">
        <v>8</v>
      </c>
      <c r="B193" s="11">
        <v>3</v>
      </c>
      <c r="C193" s="11" t="s">
        <v>568</v>
      </c>
    </row>
    <row r="194" spans="1:3">
      <c r="A194" s="11">
        <v>9</v>
      </c>
      <c r="B194" s="11">
        <v>3</v>
      </c>
      <c r="C194" s="11" t="s">
        <v>568</v>
      </c>
    </row>
    <row r="195" spans="1:3">
      <c r="A195" s="11">
        <v>10</v>
      </c>
      <c r="B195" s="11">
        <v>3</v>
      </c>
      <c r="C195" s="11" t="s">
        <v>568</v>
      </c>
    </row>
    <row r="196" spans="1:3">
      <c r="A196" s="11">
        <v>11</v>
      </c>
      <c r="B196" s="11">
        <v>3</v>
      </c>
      <c r="C196" s="11" t="s">
        <v>568</v>
      </c>
    </row>
    <row r="197" spans="1:3">
      <c r="A197" s="11">
        <v>12</v>
      </c>
      <c r="B197" s="11">
        <v>3</v>
      </c>
      <c r="C197" s="11" t="s">
        <v>568</v>
      </c>
    </row>
    <row r="198" spans="1:3">
      <c r="A198" s="11">
        <v>13</v>
      </c>
      <c r="B198" s="11">
        <v>3</v>
      </c>
      <c r="C198" s="11" t="s">
        <v>568</v>
      </c>
    </row>
    <row r="199" spans="1:3">
      <c r="A199" s="11">
        <v>14</v>
      </c>
      <c r="B199" s="11">
        <v>3</v>
      </c>
      <c r="C199" s="11" t="s">
        <v>568</v>
      </c>
    </row>
    <row r="200" spans="1:3">
      <c r="A200" s="11">
        <v>15</v>
      </c>
      <c r="B200" s="11">
        <v>3</v>
      </c>
      <c r="C200" s="11" t="s">
        <v>568</v>
      </c>
    </row>
    <row r="201" spans="1:3">
      <c r="A201" s="11">
        <v>0</v>
      </c>
      <c r="B201" s="11">
        <v>3</v>
      </c>
      <c r="C201" s="11" t="s">
        <v>590</v>
      </c>
    </row>
    <row r="202" spans="1:3">
      <c r="A202" s="11">
        <v>1</v>
      </c>
      <c r="B202" s="11">
        <v>3</v>
      </c>
      <c r="C202" s="11" t="s">
        <v>590</v>
      </c>
    </row>
    <row r="203" spans="1:3">
      <c r="A203" s="11">
        <v>2</v>
      </c>
      <c r="B203" s="11">
        <v>3</v>
      </c>
      <c r="C203" s="11" t="s">
        <v>590</v>
      </c>
    </row>
    <row r="204" spans="1:3">
      <c r="A204" s="11">
        <v>3</v>
      </c>
      <c r="B204" s="11">
        <v>3</v>
      </c>
      <c r="C204" s="11" t="s">
        <v>590</v>
      </c>
    </row>
    <row r="205" spans="1:3">
      <c r="A205" s="11">
        <v>4</v>
      </c>
      <c r="B205" s="11">
        <v>3</v>
      </c>
      <c r="C205" s="11" t="s">
        <v>590</v>
      </c>
    </row>
    <row r="206" spans="1:3">
      <c r="A206" s="11">
        <v>5</v>
      </c>
      <c r="B206" s="11">
        <v>3</v>
      </c>
      <c r="C206" s="11" t="s">
        <v>590</v>
      </c>
    </row>
    <row r="207" spans="1:3">
      <c r="A207" s="11">
        <v>6</v>
      </c>
      <c r="B207" s="11">
        <v>3</v>
      </c>
      <c r="C207" s="11" t="s">
        <v>590</v>
      </c>
    </row>
    <row r="208" spans="1:3">
      <c r="A208" s="11">
        <v>7</v>
      </c>
      <c r="B208" s="11">
        <v>3</v>
      </c>
      <c r="C208" s="11" t="s">
        <v>590</v>
      </c>
    </row>
    <row r="209" spans="1:3">
      <c r="A209" s="11">
        <v>8</v>
      </c>
      <c r="B209" s="11">
        <v>3</v>
      </c>
      <c r="C209" s="11" t="s">
        <v>590</v>
      </c>
    </row>
    <row r="210" spans="1:3">
      <c r="A210" s="11">
        <v>9</v>
      </c>
      <c r="B210" s="11">
        <v>3</v>
      </c>
      <c r="C210" s="11" t="s">
        <v>590</v>
      </c>
    </row>
    <row r="211" spans="1:3">
      <c r="A211" s="11">
        <v>10</v>
      </c>
      <c r="B211" s="11">
        <v>3</v>
      </c>
      <c r="C211" s="11" t="s">
        <v>590</v>
      </c>
    </row>
    <row r="212" spans="1:3">
      <c r="A212" s="11">
        <v>11</v>
      </c>
      <c r="B212" s="11">
        <v>3</v>
      </c>
      <c r="C212" s="11" t="s">
        <v>590</v>
      </c>
    </row>
    <row r="213" spans="1:3">
      <c r="A213" s="11">
        <v>12</v>
      </c>
      <c r="B213" s="11">
        <v>3</v>
      </c>
      <c r="C213" s="11" t="s">
        <v>590</v>
      </c>
    </row>
    <row r="214" spans="1:3">
      <c r="A214" s="11">
        <v>13</v>
      </c>
      <c r="B214" s="11">
        <v>3</v>
      </c>
      <c r="C214" s="11" t="s">
        <v>590</v>
      </c>
    </row>
    <row r="215" spans="1:3">
      <c r="A215" s="11">
        <v>14</v>
      </c>
      <c r="B215" s="11">
        <v>3</v>
      </c>
      <c r="C215" s="11" t="s">
        <v>590</v>
      </c>
    </row>
    <row r="216" spans="1:3">
      <c r="A216" s="11">
        <v>15</v>
      </c>
      <c r="B216" s="11">
        <v>3</v>
      </c>
      <c r="C216" s="11" t="s">
        <v>590</v>
      </c>
    </row>
    <row r="217" spans="1:3">
      <c r="A217" s="11">
        <v>0</v>
      </c>
      <c r="B217" s="11">
        <v>3</v>
      </c>
      <c r="C217" s="11" t="s">
        <v>612</v>
      </c>
    </row>
    <row r="218" spans="1:3">
      <c r="A218" s="11">
        <v>1</v>
      </c>
      <c r="B218" s="11">
        <v>3</v>
      </c>
      <c r="C218" s="11" t="s">
        <v>612</v>
      </c>
    </row>
    <row r="219" spans="1:3">
      <c r="A219" s="11">
        <v>2</v>
      </c>
      <c r="B219" s="11">
        <v>3</v>
      </c>
      <c r="C219" s="11" t="s">
        <v>612</v>
      </c>
    </row>
    <row r="220" spans="1:3">
      <c r="A220" s="11">
        <v>3</v>
      </c>
      <c r="B220" s="11">
        <v>3</v>
      </c>
      <c r="C220" s="11" t="s">
        <v>612</v>
      </c>
    </row>
    <row r="221" spans="1:3">
      <c r="A221" s="11">
        <v>4</v>
      </c>
      <c r="B221" s="11">
        <v>3</v>
      </c>
      <c r="C221" s="11" t="s">
        <v>612</v>
      </c>
    </row>
    <row r="222" spans="1:3">
      <c r="A222" s="11">
        <v>5</v>
      </c>
      <c r="B222" s="11">
        <v>3</v>
      </c>
      <c r="C222" s="11" t="s">
        <v>612</v>
      </c>
    </row>
    <row r="223" spans="1:3">
      <c r="A223" s="11">
        <v>6</v>
      </c>
      <c r="B223" s="11">
        <v>3</v>
      </c>
      <c r="C223" s="11" t="s">
        <v>612</v>
      </c>
    </row>
    <row r="224" spans="1:3">
      <c r="A224" s="11">
        <v>7</v>
      </c>
      <c r="B224" s="11">
        <v>3</v>
      </c>
      <c r="C224" s="11" t="s">
        <v>612</v>
      </c>
    </row>
    <row r="225" spans="1:3">
      <c r="A225" s="11">
        <v>8</v>
      </c>
      <c r="B225" s="11">
        <v>3</v>
      </c>
      <c r="C225" s="11" t="s">
        <v>612</v>
      </c>
    </row>
    <row r="226" spans="1:3">
      <c r="A226" s="11">
        <v>9</v>
      </c>
      <c r="B226" s="11">
        <v>3</v>
      </c>
      <c r="C226" s="11" t="s">
        <v>612</v>
      </c>
    </row>
    <row r="227" spans="1:3">
      <c r="A227" s="11">
        <v>10</v>
      </c>
      <c r="B227" s="11">
        <v>3</v>
      </c>
      <c r="C227" s="11" t="s">
        <v>612</v>
      </c>
    </row>
    <row r="228" spans="1:3">
      <c r="A228" s="11">
        <v>11</v>
      </c>
      <c r="B228" s="11">
        <v>3</v>
      </c>
      <c r="C228" s="11" t="s">
        <v>612</v>
      </c>
    </row>
    <row r="229" spans="1:3">
      <c r="A229" s="11">
        <v>12</v>
      </c>
      <c r="B229" s="11">
        <v>3</v>
      </c>
      <c r="C229" s="11" t="s">
        <v>612</v>
      </c>
    </row>
    <row r="230" spans="1:3">
      <c r="A230" s="11">
        <v>13</v>
      </c>
      <c r="B230" s="11">
        <v>3</v>
      </c>
      <c r="C230" s="11" t="s">
        <v>612</v>
      </c>
    </row>
    <row r="231" spans="1:3">
      <c r="A231" s="11">
        <v>14</v>
      </c>
      <c r="B231" s="11">
        <v>3</v>
      </c>
      <c r="C231" s="11" t="s">
        <v>612</v>
      </c>
    </row>
    <row r="232" spans="1:3">
      <c r="A232" s="11">
        <v>15</v>
      </c>
      <c r="B232" s="11">
        <v>3</v>
      </c>
      <c r="C232" s="11" t="s">
        <v>612</v>
      </c>
    </row>
    <row r="233" spans="1:3">
      <c r="A233" s="11">
        <v>16</v>
      </c>
      <c r="B233" s="11">
        <v>3</v>
      </c>
      <c r="C233" s="11" t="s">
        <v>612</v>
      </c>
    </row>
    <row r="234" spans="1:3">
      <c r="A234" s="11">
        <v>17</v>
      </c>
      <c r="B234" s="11">
        <v>3</v>
      </c>
      <c r="C234" s="11" t="s">
        <v>612</v>
      </c>
    </row>
    <row r="235" spans="1:3">
      <c r="A235" s="11">
        <v>18</v>
      </c>
      <c r="B235" s="11">
        <v>3</v>
      </c>
      <c r="C235" s="11" t="s">
        <v>612</v>
      </c>
    </row>
    <row r="236" spans="1:3">
      <c r="A236" s="11">
        <v>19</v>
      </c>
      <c r="B236" s="11">
        <v>3</v>
      </c>
      <c r="C236" s="11" t="s">
        <v>612</v>
      </c>
    </row>
    <row r="237" spans="1:3">
      <c r="A237" s="11">
        <v>20</v>
      </c>
      <c r="B237" s="11">
        <v>3</v>
      </c>
      <c r="C237" s="11" t="s">
        <v>612</v>
      </c>
    </row>
    <row r="238" spans="1:3">
      <c r="A238" s="11">
        <v>0</v>
      </c>
      <c r="B238" s="11">
        <v>3</v>
      </c>
      <c r="C238" s="11" t="s">
        <v>650</v>
      </c>
    </row>
    <row r="239" spans="1:3">
      <c r="A239" s="11">
        <v>1</v>
      </c>
      <c r="B239" s="11">
        <v>3</v>
      </c>
      <c r="C239" s="11" t="s">
        <v>650</v>
      </c>
    </row>
    <row r="240" spans="1:3">
      <c r="A240" s="11">
        <v>2</v>
      </c>
      <c r="B240" s="11">
        <v>3</v>
      </c>
      <c r="C240" s="11" t="s">
        <v>650</v>
      </c>
    </row>
    <row r="241" spans="1:3">
      <c r="A241" s="11">
        <v>3</v>
      </c>
      <c r="B241" s="11">
        <v>3</v>
      </c>
      <c r="C241" s="11" t="s">
        <v>650</v>
      </c>
    </row>
    <row r="242" spans="1:3">
      <c r="A242" s="11">
        <v>4</v>
      </c>
      <c r="B242" s="11">
        <v>3</v>
      </c>
      <c r="C242" s="11" t="s">
        <v>650</v>
      </c>
    </row>
    <row r="243" spans="1:3">
      <c r="A243" s="11">
        <v>5</v>
      </c>
      <c r="B243" s="11">
        <v>3</v>
      </c>
      <c r="C243" s="11" t="s">
        <v>650</v>
      </c>
    </row>
    <row r="244" spans="1:3">
      <c r="A244" s="11">
        <v>6</v>
      </c>
      <c r="B244" s="11">
        <v>3</v>
      </c>
      <c r="C244" s="11" t="s">
        <v>650</v>
      </c>
    </row>
    <row r="245" spans="1:3">
      <c r="A245" s="11">
        <v>7</v>
      </c>
      <c r="B245" s="11">
        <v>3</v>
      </c>
      <c r="C245" s="11" t="s">
        <v>650</v>
      </c>
    </row>
    <row r="246" spans="1:3">
      <c r="A246" s="11">
        <v>8</v>
      </c>
      <c r="B246" s="11">
        <v>3</v>
      </c>
      <c r="C246" s="11" t="s">
        <v>650</v>
      </c>
    </row>
    <row r="247" spans="1:3">
      <c r="A247" s="11">
        <v>9</v>
      </c>
      <c r="B247" s="11">
        <v>3</v>
      </c>
      <c r="C247" s="11" t="s">
        <v>650</v>
      </c>
    </row>
    <row r="248" spans="1:3">
      <c r="A248" s="11">
        <v>10</v>
      </c>
      <c r="B248" s="11">
        <v>3</v>
      </c>
      <c r="C248" s="11" t="s">
        <v>650</v>
      </c>
    </row>
    <row r="249" spans="1:3">
      <c r="A249" s="11">
        <v>11</v>
      </c>
      <c r="B249" s="11">
        <v>3</v>
      </c>
      <c r="C249" s="11" t="s">
        <v>650</v>
      </c>
    </row>
    <row r="250" spans="1:3">
      <c r="A250" s="11">
        <v>12</v>
      </c>
      <c r="B250" s="11">
        <v>3</v>
      </c>
      <c r="C250" s="11" t="s">
        <v>650</v>
      </c>
    </row>
    <row r="251" spans="1:3">
      <c r="A251" s="11">
        <v>13</v>
      </c>
      <c r="B251" s="11">
        <v>3</v>
      </c>
      <c r="C251" s="11" t="s">
        <v>650</v>
      </c>
    </row>
    <row r="252" spans="1:3">
      <c r="A252" s="11">
        <v>14</v>
      </c>
      <c r="B252" s="11">
        <v>3</v>
      </c>
      <c r="C252" s="11" t="s">
        <v>650</v>
      </c>
    </row>
    <row r="253" spans="1:3">
      <c r="A253" s="11">
        <v>15</v>
      </c>
      <c r="B253" s="11">
        <v>3</v>
      </c>
      <c r="C253" s="11" t="s">
        <v>650</v>
      </c>
    </row>
    <row r="254" spans="1:3">
      <c r="A254" s="11">
        <v>16</v>
      </c>
      <c r="B254" s="11">
        <v>3</v>
      </c>
      <c r="C254" s="11" t="s">
        <v>650</v>
      </c>
    </row>
    <row r="255" spans="1:3">
      <c r="A255" s="11">
        <v>17</v>
      </c>
      <c r="B255" s="11">
        <v>3</v>
      </c>
      <c r="C255" s="11" t="s">
        <v>650</v>
      </c>
    </row>
    <row r="256" spans="1:3">
      <c r="A256" s="11">
        <v>18</v>
      </c>
      <c r="B256" s="11">
        <v>3</v>
      </c>
      <c r="C256" s="11" t="s">
        <v>650</v>
      </c>
    </row>
    <row r="257" spans="1:3">
      <c r="A257" s="11">
        <v>19</v>
      </c>
      <c r="B257" s="11">
        <v>3</v>
      </c>
      <c r="C257" s="11" t="s">
        <v>650</v>
      </c>
    </row>
    <row r="258" spans="1:3">
      <c r="A258" s="11">
        <v>20</v>
      </c>
      <c r="B258" s="11">
        <v>3</v>
      </c>
      <c r="C258" s="11" t="s">
        <v>650</v>
      </c>
    </row>
    <row r="259" spans="1:3">
      <c r="A259" s="11">
        <v>0</v>
      </c>
      <c r="B259" s="11">
        <v>3</v>
      </c>
      <c r="C259" s="11" t="s">
        <v>4413</v>
      </c>
    </row>
    <row r="260" spans="1:3">
      <c r="A260" s="11">
        <v>1</v>
      </c>
      <c r="B260" s="11">
        <v>3</v>
      </c>
      <c r="C260" s="11" t="s">
        <v>4413</v>
      </c>
    </row>
    <row r="261" spans="1:3">
      <c r="A261" s="11">
        <v>2</v>
      </c>
      <c r="B261" s="11">
        <v>3</v>
      </c>
      <c r="C261" s="11" t="s">
        <v>4413</v>
      </c>
    </row>
    <row r="262" spans="1:3">
      <c r="A262" s="11">
        <v>3</v>
      </c>
      <c r="B262" s="11">
        <v>3</v>
      </c>
      <c r="C262" s="11" t="s">
        <v>4413</v>
      </c>
    </row>
    <row r="263" spans="1:3">
      <c r="A263" s="11">
        <v>4</v>
      </c>
      <c r="B263" s="11">
        <v>3</v>
      </c>
      <c r="C263" s="11" t="s">
        <v>4413</v>
      </c>
    </row>
    <row r="264" spans="1:3">
      <c r="A264" s="11">
        <v>5</v>
      </c>
      <c r="B264" s="11">
        <v>3</v>
      </c>
      <c r="C264" s="11" t="s">
        <v>4413</v>
      </c>
    </row>
    <row r="265" spans="1:3">
      <c r="A265" s="11">
        <v>6</v>
      </c>
      <c r="B265" s="11">
        <v>3</v>
      </c>
      <c r="C265" s="11" t="s">
        <v>4413</v>
      </c>
    </row>
    <row r="266" spans="1:3">
      <c r="A266" s="11">
        <v>7</v>
      </c>
      <c r="B266" s="11">
        <v>3</v>
      </c>
      <c r="C266" s="11" t="s">
        <v>4413</v>
      </c>
    </row>
    <row r="267" spans="1:3">
      <c r="A267" s="11">
        <v>8</v>
      </c>
      <c r="B267" s="11">
        <v>3</v>
      </c>
      <c r="C267" s="11" t="s">
        <v>4413</v>
      </c>
    </row>
    <row r="268" spans="1:3">
      <c r="A268" s="11">
        <v>9</v>
      </c>
      <c r="B268" s="11">
        <v>3</v>
      </c>
      <c r="C268" s="11" t="s">
        <v>4413</v>
      </c>
    </row>
    <row r="269" spans="1:3">
      <c r="A269" s="11">
        <v>10</v>
      </c>
      <c r="B269" s="11">
        <v>3</v>
      </c>
      <c r="C269" s="11" t="s">
        <v>4413</v>
      </c>
    </row>
    <row r="270" spans="1:3">
      <c r="A270" s="11">
        <v>11</v>
      </c>
      <c r="B270" s="11">
        <v>3</v>
      </c>
      <c r="C270" s="11" t="s">
        <v>4413</v>
      </c>
    </row>
    <row r="271" spans="1:3">
      <c r="A271" s="11">
        <v>12</v>
      </c>
      <c r="B271" s="11">
        <v>3</v>
      </c>
      <c r="C271" s="11" t="s">
        <v>4413</v>
      </c>
    </row>
    <row r="272" spans="1:3">
      <c r="A272" s="11">
        <v>13</v>
      </c>
      <c r="B272" s="11">
        <v>3</v>
      </c>
      <c r="C272" s="11" t="s">
        <v>4413</v>
      </c>
    </row>
    <row r="273" spans="1:3">
      <c r="A273" s="11">
        <v>14</v>
      </c>
      <c r="B273" s="11">
        <v>3</v>
      </c>
      <c r="C273" s="11" t="s">
        <v>4413</v>
      </c>
    </row>
    <row r="274" spans="1:3">
      <c r="A274" s="11">
        <v>15</v>
      </c>
      <c r="B274" s="11">
        <v>3</v>
      </c>
      <c r="C274" s="11" t="s">
        <v>4413</v>
      </c>
    </row>
    <row r="275" spans="1:3">
      <c r="A275" s="11">
        <v>16</v>
      </c>
      <c r="B275" s="11">
        <v>3</v>
      </c>
      <c r="C275" s="11" t="s">
        <v>4413</v>
      </c>
    </row>
    <row r="276" spans="1:3">
      <c r="A276" s="11">
        <v>17</v>
      </c>
      <c r="B276" s="11">
        <v>3</v>
      </c>
      <c r="C276" s="11" t="s">
        <v>4413</v>
      </c>
    </row>
    <row r="277" spans="1:3">
      <c r="A277" s="11">
        <v>18</v>
      </c>
      <c r="B277" s="11">
        <v>3</v>
      </c>
      <c r="C277" s="11" t="s">
        <v>4413</v>
      </c>
    </row>
    <row r="278" spans="1:3">
      <c r="A278" s="11">
        <v>19</v>
      </c>
      <c r="B278" s="11">
        <v>3</v>
      </c>
      <c r="C278" s="11" t="s">
        <v>4413</v>
      </c>
    </row>
    <row r="279" spans="1:3">
      <c r="A279" s="11">
        <v>20</v>
      </c>
      <c r="B279" s="11">
        <v>3</v>
      </c>
      <c r="C279" s="11" t="s">
        <v>4413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"/>
  <sheetViews>
    <sheetView topLeftCell="B1" workbookViewId="0">
      <pane ySplit="4" topLeftCell="A35" activePane="bottomLeft" state="frozen"/>
      <selection/>
      <selection pane="bottomLeft" activeCell="I6" sqref="I6"/>
    </sheetView>
  </sheetViews>
  <sheetFormatPr defaultColWidth="9" defaultRowHeight="16.5"/>
  <cols>
    <col min="1" max="1" width="12.5" style="7" customWidth="1"/>
    <col min="2" max="3" width="8" style="7" customWidth="1"/>
    <col min="4" max="4" width="12.75" style="7" customWidth="1"/>
    <col min="5" max="5" width="10" style="8" customWidth="1"/>
    <col min="6" max="6" width="9" style="8"/>
    <col min="7" max="7" width="9.875" style="8" customWidth="1"/>
    <col min="8" max="9" width="12" style="7" customWidth="1"/>
    <col min="10" max="10" width="11.625" style="7" customWidth="1"/>
    <col min="11" max="11" width="12.75" style="7" customWidth="1"/>
    <col min="12" max="12" width="40.5" style="7" customWidth="1"/>
    <col min="13" max="13" width="16.75" style="7" customWidth="1"/>
    <col min="14" max="16384" width="9" style="7"/>
  </cols>
  <sheetData>
    <row r="1" spans="1:18">
      <c r="A1" s="8" t="s">
        <v>5236</v>
      </c>
      <c r="B1" s="8">
        <v>12</v>
      </c>
      <c r="C1" s="8" t="s">
        <v>4264</v>
      </c>
      <c r="D1" s="8" t="s">
        <v>5237</v>
      </c>
      <c r="F1" s="8" t="s">
        <v>5238</v>
      </c>
      <c r="H1" s="8" t="s">
        <v>5239</v>
      </c>
      <c r="I1" s="8"/>
      <c r="J1" s="8" t="s">
        <v>5240</v>
      </c>
      <c r="K1" s="8"/>
      <c r="M1" s="8" t="s">
        <v>5241</v>
      </c>
      <c r="N1" s="8" t="s">
        <v>5242</v>
      </c>
      <c r="O1" s="8" t="s">
        <v>5243</v>
      </c>
      <c r="P1" s="8" t="s">
        <v>5244</v>
      </c>
      <c r="Q1" s="8" t="s">
        <v>5245</v>
      </c>
      <c r="R1" s="8" t="s">
        <v>5246</v>
      </c>
    </row>
    <row r="2" spans="1:18">
      <c r="A2" s="8" t="s">
        <v>5247</v>
      </c>
      <c r="B2" s="8">
        <v>1500</v>
      </c>
      <c r="C2" s="9" t="s">
        <v>5248</v>
      </c>
      <c r="D2" s="8">
        <v>3.4</v>
      </c>
      <c r="F2" s="8">
        <v>10119</v>
      </c>
      <c r="G2" s="8">
        <v>10122</v>
      </c>
      <c r="H2" s="8">
        <v>10120</v>
      </c>
      <c r="I2" s="8">
        <v>10121</v>
      </c>
      <c r="J2" s="8">
        <v>10123</v>
      </c>
      <c r="K2" s="8">
        <v>10124</v>
      </c>
      <c r="L2" s="10">
        <f>R2</f>
        <v>10106</v>
      </c>
      <c r="M2" s="8">
        <v>10101</v>
      </c>
      <c r="N2" s="8">
        <v>10102</v>
      </c>
      <c r="O2" s="8">
        <v>10103</v>
      </c>
      <c r="P2" s="8">
        <v>10104</v>
      </c>
      <c r="Q2" s="8">
        <v>10105</v>
      </c>
      <c r="R2" s="8">
        <v>10106</v>
      </c>
    </row>
    <row r="3" spans="1:19">
      <c r="A3" s="8"/>
      <c r="B3" s="8"/>
      <c r="C3" s="9"/>
      <c r="D3" s="8"/>
      <c r="H3" s="8"/>
      <c r="L3" s="10">
        <f>R3</f>
        <v>10112</v>
      </c>
      <c r="M3" s="8">
        <v>10107</v>
      </c>
      <c r="N3" s="8">
        <v>10108</v>
      </c>
      <c r="O3" s="8">
        <v>10109</v>
      </c>
      <c r="P3" s="8">
        <v>10110</v>
      </c>
      <c r="Q3" s="8">
        <v>10111</v>
      </c>
      <c r="R3" s="8">
        <v>10112</v>
      </c>
      <c r="S3" s="8"/>
    </row>
    <row r="4" spans="1:19">
      <c r="A4" s="8"/>
      <c r="B4" s="8"/>
      <c r="C4" s="9"/>
      <c r="D4" s="8"/>
      <c r="H4" s="8"/>
      <c r="L4" s="10">
        <f>R4</f>
        <v>10118</v>
      </c>
      <c r="M4" s="8">
        <v>10113</v>
      </c>
      <c r="N4" s="8">
        <v>10114</v>
      </c>
      <c r="O4" s="8">
        <v>10115</v>
      </c>
      <c r="P4" s="8">
        <v>10116</v>
      </c>
      <c r="Q4" s="8">
        <v>10117</v>
      </c>
      <c r="R4" s="8">
        <v>10118</v>
      </c>
      <c r="S4" s="8"/>
    </row>
    <row r="5" spans="1:8">
      <c r="A5" s="8" t="s">
        <v>5249</v>
      </c>
      <c r="B5" s="8" t="s">
        <v>5250</v>
      </c>
      <c r="C5" s="8" t="s">
        <v>5251</v>
      </c>
      <c r="D5" s="8" t="s">
        <v>5252</v>
      </c>
      <c r="E5" s="8" t="s">
        <v>5253</v>
      </c>
      <c r="F5" s="8" t="s">
        <v>5254</v>
      </c>
      <c r="G5" s="8" t="s">
        <v>5255</v>
      </c>
      <c r="H5" s="8"/>
    </row>
    <row r="6" spans="1:12">
      <c r="A6" s="8">
        <v>1.25</v>
      </c>
      <c r="B6" s="8">
        <v>1</v>
      </c>
      <c r="C6" s="8">
        <v>1</v>
      </c>
      <c r="D6" s="8">
        <f>ROUND(B2*D2*B6,-3)</f>
        <v>5000</v>
      </c>
      <c r="E6" s="8">
        <v>1</v>
      </c>
      <c r="F6" s="8">
        <f>E6</f>
        <v>1</v>
      </c>
      <c r="G6" s="8">
        <f>F6</f>
        <v>1</v>
      </c>
      <c r="H6" s="8" t="str">
        <f>$B$1&amp;$C$1&amp;D6</f>
        <v>12:5000</v>
      </c>
      <c r="I6" s="7" t="str">
        <f>$L$2&amp;$C$1&amp;E6</f>
        <v>10106:1</v>
      </c>
      <c r="J6" s="7" t="str">
        <f>$F$2&amp;$C$1&amp;F6</f>
        <v>10119:1</v>
      </c>
      <c r="K6" s="7" t="str">
        <f>$G$2&amp;$C$1&amp;G6</f>
        <v>10122:1</v>
      </c>
      <c r="L6" s="7" t="str">
        <f>H6&amp;$D$1&amp;I6&amp;$D$1&amp;J6&amp;$D$1&amp;K6</f>
        <v>12:5000|10106:1|10119:1|10122:1</v>
      </c>
    </row>
    <row r="7" spans="2:12">
      <c r="B7" s="8">
        <v>1</v>
      </c>
      <c r="C7" s="8">
        <v>2</v>
      </c>
      <c r="D7" s="8">
        <f>ROUND(D6*$A$6,-3)</f>
        <v>6000</v>
      </c>
      <c r="E7" s="8">
        <v>2</v>
      </c>
      <c r="F7" s="8">
        <f t="shared" ref="F7:F25" si="0">E7</f>
        <v>2</v>
      </c>
      <c r="G7" s="8">
        <f t="shared" ref="G7:G38" si="1">F7</f>
        <v>2</v>
      </c>
      <c r="H7" s="8" t="str">
        <f>$B$1&amp;$C$1&amp;D7</f>
        <v>12:6000</v>
      </c>
      <c r="I7" s="7" t="str">
        <f t="shared" ref="I7:I25" si="2">$L$2&amp;$C$1&amp;E7</f>
        <v>10106:2</v>
      </c>
      <c r="J7" s="7" t="str">
        <f t="shared" ref="J7:J25" si="3">$F$2&amp;$C$1&amp;F7</f>
        <v>10119:2</v>
      </c>
      <c r="K7" s="7" t="str">
        <f t="shared" ref="K7:K25" si="4">$G$2&amp;$C$1&amp;G7</f>
        <v>10122:2</v>
      </c>
      <c r="L7" s="7" t="str">
        <f t="shared" ref="L7:L38" si="5">H7&amp;$D$1&amp;I7&amp;$D$1&amp;J7&amp;$D$1&amp;K7</f>
        <v>12:6000|10106:2|10119:2|10122:2</v>
      </c>
    </row>
    <row r="8" spans="2:12">
      <c r="B8" s="8">
        <v>1</v>
      </c>
      <c r="C8" s="8">
        <v>3</v>
      </c>
      <c r="D8" s="8">
        <f t="shared" ref="D8:D25" si="6">ROUND(D7*$A$6,-3)</f>
        <v>8000</v>
      </c>
      <c r="E8" s="8">
        <v>3</v>
      </c>
      <c r="F8" s="8">
        <f t="shared" si="0"/>
        <v>3</v>
      </c>
      <c r="G8" s="8">
        <f t="shared" si="1"/>
        <v>3</v>
      </c>
      <c r="H8" s="8" t="str">
        <f>$B$1&amp;$C$1&amp;D8</f>
        <v>12:8000</v>
      </c>
      <c r="I8" s="7" t="str">
        <f t="shared" si="2"/>
        <v>10106:3</v>
      </c>
      <c r="J8" s="7" t="str">
        <f t="shared" si="3"/>
        <v>10119:3</v>
      </c>
      <c r="K8" s="7" t="str">
        <f t="shared" si="4"/>
        <v>10122:3</v>
      </c>
      <c r="L8" s="7" t="str">
        <f t="shared" si="5"/>
        <v>12:8000|10106:3|10119:3|10122:3</v>
      </c>
    </row>
    <row r="9" spans="2:13">
      <c r="B9" s="8">
        <v>1</v>
      </c>
      <c r="C9" s="8">
        <v>4</v>
      </c>
      <c r="D9" s="8">
        <f t="shared" si="6"/>
        <v>10000</v>
      </c>
      <c r="E9" s="8">
        <v>4</v>
      </c>
      <c r="F9" s="8">
        <f t="shared" si="0"/>
        <v>4</v>
      </c>
      <c r="G9" s="8">
        <f t="shared" si="1"/>
        <v>4</v>
      </c>
      <c r="H9" s="8" t="str">
        <f>$B$1&amp;$C$1&amp;D9</f>
        <v>12:10000</v>
      </c>
      <c r="I9" s="7" t="str">
        <f t="shared" si="2"/>
        <v>10106:4</v>
      </c>
      <c r="J9" s="7" t="str">
        <f t="shared" si="3"/>
        <v>10119:4</v>
      </c>
      <c r="K9" s="7" t="str">
        <f t="shared" si="4"/>
        <v>10122:4</v>
      </c>
      <c r="L9" s="7" t="str">
        <f t="shared" si="5"/>
        <v>12:10000|10106:4|10119:4|10122:4</v>
      </c>
      <c r="M9" s="8"/>
    </row>
    <row r="10" spans="2:13">
      <c r="B10" s="8">
        <v>1</v>
      </c>
      <c r="C10" s="8">
        <v>5</v>
      </c>
      <c r="D10" s="8">
        <f t="shared" si="6"/>
        <v>13000</v>
      </c>
      <c r="E10" s="8">
        <v>5</v>
      </c>
      <c r="F10" s="8">
        <f t="shared" si="0"/>
        <v>5</v>
      </c>
      <c r="G10" s="8">
        <f t="shared" si="1"/>
        <v>5</v>
      </c>
      <c r="H10" s="8" t="str">
        <f>$B$1&amp;$C$1&amp;D10</f>
        <v>12:13000</v>
      </c>
      <c r="I10" s="7" t="str">
        <f t="shared" si="2"/>
        <v>10106:5</v>
      </c>
      <c r="J10" s="7" t="str">
        <f t="shared" si="3"/>
        <v>10119:5</v>
      </c>
      <c r="K10" s="7" t="str">
        <f t="shared" si="4"/>
        <v>10122:5</v>
      </c>
      <c r="L10" s="7" t="str">
        <f t="shared" si="5"/>
        <v>12:13000|10106:5|10119:5|10122:5</v>
      </c>
      <c r="M10" s="8"/>
    </row>
    <row r="11" spans="2:12">
      <c r="B11" s="8">
        <v>1</v>
      </c>
      <c r="C11" s="8">
        <v>6</v>
      </c>
      <c r="D11" s="8">
        <f t="shared" si="6"/>
        <v>16000</v>
      </c>
      <c r="E11" s="8">
        <v>7</v>
      </c>
      <c r="F11" s="8">
        <f t="shared" si="0"/>
        <v>7</v>
      </c>
      <c r="G11" s="8">
        <f t="shared" si="1"/>
        <v>7</v>
      </c>
      <c r="H11" s="8" t="str">
        <f>$B$1&amp;$C$1&amp;D11</f>
        <v>12:16000</v>
      </c>
      <c r="I11" s="7" t="str">
        <f t="shared" si="2"/>
        <v>10106:7</v>
      </c>
      <c r="J11" s="7" t="str">
        <f t="shared" si="3"/>
        <v>10119:7</v>
      </c>
      <c r="K11" s="7" t="str">
        <f t="shared" si="4"/>
        <v>10122:7</v>
      </c>
      <c r="L11" s="7" t="str">
        <f t="shared" si="5"/>
        <v>12:16000|10106:7|10119:7|10122:7</v>
      </c>
    </row>
    <row r="12" spans="2:13">
      <c r="B12" s="8">
        <v>1</v>
      </c>
      <c r="C12" s="8">
        <v>7</v>
      </c>
      <c r="D12" s="8">
        <f t="shared" si="6"/>
        <v>20000</v>
      </c>
      <c r="E12" s="8">
        <v>9</v>
      </c>
      <c r="F12" s="8">
        <f t="shared" si="0"/>
        <v>9</v>
      </c>
      <c r="G12" s="8">
        <f t="shared" si="1"/>
        <v>9</v>
      </c>
      <c r="H12" s="8" t="str">
        <f>$B$1&amp;$C$1&amp;D12</f>
        <v>12:20000</v>
      </c>
      <c r="I12" s="7" t="str">
        <f t="shared" si="2"/>
        <v>10106:9</v>
      </c>
      <c r="J12" s="7" t="str">
        <f t="shared" si="3"/>
        <v>10119:9</v>
      </c>
      <c r="K12" s="7" t="str">
        <f t="shared" si="4"/>
        <v>10122:9</v>
      </c>
      <c r="L12" s="7" t="str">
        <f t="shared" si="5"/>
        <v>12:20000|10106:9|10119:9|10122:9</v>
      </c>
      <c r="M12" s="8"/>
    </row>
    <row r="13" spans="2:12">
      <c r="B13" s="8">
        <v>1</v>
      </c>
      <c r="C13" s="8">
        <v>8</v>
      </c>
      <c r="D13" s="8">
        <f t="shared" si="6"/>
        <v>25000</v>
      </c>
      <c r="E13" s="8">
        <v>11</v>
      </c>
      <c r="F13" s="8">
        <f t="shared" si="0"/>
        <v>11</v>
      </c>
      <c r="G13" s="8">
        <f t="shared" si="1"/>
        <v>11</v>
      </c>
      <c r="H13" s="8" t="str">
        <f>$B$1&amp;$C$1&amp;D13</f>
        <v>12:25000</v>
      </c>
      <c r="I13" s="7" t="str">
        <f t="shared" si="2"/>
        <v>10106:11</v>
      </c>
      <c r="J13" s="7" t="str">
        <f t="shared" si="3"/>
        <v>10119:11</v>
      </c>
      <c r="K13" s="7" t="str">
        <f t="shared" si="4"/>
        <v>10122:11</v>
      </c>
      <c r="L13" s="7" t="str">
        <f t="shared" si="5"/>
        <v>12:25000|10106:11|10119:11|10122:11</v>
      </c>
    </row>
    <row r="14" spans="1:12">
      <c r="A14" s="8"/>
      <c r="B14" s="8">
        <v>1</v>
      </c>
      <c r="C14" s="8">
        <v>9</v>
      </c>
      <c r="D14" s="8">
        <f t="shared" si="6"/>
        <v>31000</v>
      </c>
      <c r="E14" s="8">
        <v>13</v>
      </c>
      <c r="F14" s="8">
        <f t="shared" si="0"/>
        <v>13</v>
      </c>
      <c r="G14" s="8">
        <f t="shared" si="1"/>
        <v>13</v>
      </c>
      <c r="H14" s="8" t="str">
        <f>$B$1&amp;$C$1&amp;D14</f>
        <v>12:31000</v>
      </c>
      <c r="I14" s="7" t="str">
        <f t="shared" si="2"/>
        <v>10106:13</v>
      </c>
      <c r="J14" s="7" t="str">
        <f t="shared" si="3"/>
        <v>10119:13</v>
      </c>
      <c r="K14" s="7" t="str">
        <f t="shared" si="4"/>
        <v>10122:13</v>
      </c>
      <c r="L14" s="7" t="str">
        <f t="shared" si="5"/>
        <v>12:31000|10106:13|10119:13|10122:13</v>
      </c>
    </row>
    <row r="15" spans="2:12">
      <c r="B15" s="8">
        <v>1</v>
      </c>
      <c r="C15" s="8">
        <v>10</v>
      </c>
      <c r="D15" s="8">
        <f t="shared" si="6"/>
        <v>39000</v>
      </c>
      <c r="E15" s="8">
        <v>15</v>
      </c>
      <c r="F15" s="8">
        <f t="shared" si="0"/>
        <v>15</v>
      </c>
      <c r="G15" s="8">
        <f t="shared" si="1"/>
        <v>15</v>
      </c>
      <c r="H15" s="8" t="str">
        <f>$B$1&amp;$C$1&amp;D15</f>
        <v>12:39000</v>
      </c>
      <c r="I15" s="7" t="str">
        <f t="shared" si="2"/>
        <v>10106:15</v>
      </c>
      <c r="J15" s="7" t="str">
        <f t="shared" si="3"/>
        <v>10119:15</v>
      </c>
      <c r="K15" s="7" t="str">
        <f t="shared" si="4"/>
        <v>10122:15</v>
      </c>
      <c r="L15" s="7" t="str">
        <f t="shared" si="5"/>
        <v>12:39000|10106:15|10119:15|10122:15</v>
      </c>
    </row>
    <row r="16" hidden="1" spans="2:12">
      <c r="B16" s="8">
        <v>1</v>
      </c>
      <c r="C16" s="8">
        <v>11</v>
      </c>
      <c r="D16" s="8">
        <f t="shared" si="6"/>
        <v>49000</v>
      </c>
      <c r="E16" s="8">
        <v>17</v>
      </c>
      <c r="F16" s="8">
        <f t="shared" si="0"/>
        <v>17</v>
      </c>
      <c r="G16" s="8">
        <f t="shared" si="1"/>
        <v>17</v>
      </c>
      <c r="H16" s="8" t="str">
        <f>$B$1&amp;$C$1&amp;D16</f>
        <v>12:49000</v>
      </c>
      <c r="I16" s="7" t="str">
        <f t="shared" si="2"/>
        <v>10106:17</v>
      </c>
      <c r="J16" s="7" t="str">
        <f t="shared" si="3"/>
        <v>10119:17</v>
      </c>
      <c r="K16" s="7" t="str">
        <f t="shared" si="4"/>
        <v>10122:17</v>
      </c>
      <c r="L16" s="7" t="str">
        <f t="shared" si="5"/>
        <v>12:49000|10106:17|10119:17|10122:17</v>
      </c>
    </row>
    <row r="17" hidden="1" spans="2:12">
      <c r="B17" s="8">
        <v>1</v>
      </c>
      <c r="C17" s="8">
        <v>12</v>
      </c>
      <c r="D17" s="8">
        <f t="shared" si="6"/>
        <v>61000</v>
      </c>
      <c r="E17" s="8">
        <v>19</v>
      </c>
      <c r="F17" s="8">
        <f t="shared" si="0"/>
        <v>19</v>
      </c>
      <c r="G17" s="8">
        <f t="shared" si="1"/>
        <v>19</v>
      </c>
      <c r="H17" s="8" t="str">
        <f>$B$1&amp;$C$1&amp;D17</f>
        <v>12:61000</v>
      </c>
      <c r="I17" s="7" t="str">
        <f t="shared" si="2"/>
        <v>10106:19</v>
      </c>
      <c r="J17" s="7" t="str">
        <f t="shared" si="3"/>
        <v>10119:19</v>
      </c>
      <c r="K17" s="7" t="str">
        <f t="shared" si="4"/>
        <v>10122:19</v>
      </c>
      <c r="L17" s="7" t="str">
        <f t="shared" si="5"/>
        <v>12:61000|10106:19|10119:19|10122:19</v>
      </c>
    </row>
    <row r="18" hidden="1" spans="2:12">
      <c r="B18" s="8">
        <v>1</v>
      </c>
      <c r="C18" s="8">
        <v>13</v>
      </c>
      <c r="D18" s="8">
        <f t="shared" si="6"/>
        <v>76000</v>
      </c>
      <c r="E18" s="8">
        <v>21</v>
      </c>
      <c r="F18" s="8">
        <f t="shared" si="0"/>
        <v>21</v>
      </c>
      <c r="G18" s="8">
        <f t="shared" si="1"/>
        <v>21</v>
      </c>
      <c r="H18" s="8" t="str">
        <f>$B$1&amp;$C$1&amp;D18</f>
        <v>12:76000</v>
      </c>
      <c r="I18" s="7" t="str">
        <f t="shared" si="2"/>
        <v>10106:21</v>
      </c>
      <c r="J18" s="7" t="str">
        <f t="shared" si="3"/>
        <v>10119:21</v>
      </c>
      <c r="K18" s="7" t="str">
        <f t="shared" si="4"/>
        <v>10122:21</v>
      </c>
      <c r="L18" s="7" t="str">
        <f t="shared" si="5"/>
        <v>12:76000|10106:21|10119:21|10122:21</v>
      </c>
    </row>
    <row r="19" hidden="1" spans="2:12">
      <c r="B19" s="8">
        <v>1</v>
      </c>
      <c r="C19" s="8">
        <v>14</v>
      </c>
      <c r="D19" s="8">
        <f t="shared" si="6"/>
        <v>95000</v>
      </c>
      <c r="E19" s="8">
        <v>23</v>
      </c>
      <c r="F19" s="8">
        <f t="shared" si="0"/>
        <v>23</v>
      </c>
      <c r="G19" s="8">
        <f t="shared" si="1"/>
        <v>23</v>
      </c>
      <c r="H19" s="8" t="str">
        <f>$B$1&amp;$C$1&amp;D19</f>
        <v>12:95000</v>
      </c>
      <c r="I19" s="7" t="str">
        <f t="shared" si="2"/>
        <v>10106:23</v>
      </c>
      <c r="J19" s="7" t="str">
        <f t="shared" si="3"/>
        <v>10119:23</v>
      </c>
      <c r="K19" s="7" t="str">
        <f t="shared" si="4"/>
        <v>10122:23</v>
      </c>
      <c r="L19" s="7" t="str">
        <f t="shared" si="5"/>
        <v>12:95000|10106:23|10119:23|10122:23</v>
      </c>
    </row>
    <row r="20" hidden="1" spans="2:12">
      <c r="B20" s="8">
        <v>1</v>
      </c>
      <c r="C20" s="8">
        <v>15</v>
      </c>
      <c r="D20" s="8">
        <f t="shared" si="6"/>
        <v>119000</v>
      </c>
      <c r="E20" s="8">
        <v>25</v>
      </c>
      <c r="F20" s="8">
        <f t="shared" si="0"/>
        <v>25</v>
      </c>
      <c r="G20" s="8">
        <f t="shared" si="1"/>
        <v>25</v>
      </c>
      <c r="H20" s="8" t="str">
        <f>$B$1&amp;$C$1&amp;D20</f>
        <v>12:119000</v>
      </c>
      <c r="I20" s="7" t="str">
        <f t="shared" si="2"/>
        <v>10106:25</v>
      </c>
      <c r="J20" s="7" t="str">
        <f t="shared" si="3"/>
        <v>10119:25</v>
      </c>
      <c r="K20" s="7" t="str">
        <f t="shared" si="4"/>
        <v>10122:25</v>
      </c>
      <c r="L20" s="7" t="str">
        <f t="shared" si="5"/>
        <v>12:119000|10106:25|10119:25|10122:25</v>
      </c>
    </row>
    <row r="21" hidden="1" spans="2:12">
      <c r="B21" s="8">
        <v>1</v>
      </c>
      <c r="C21" s="8">
        <v>16</v>
      </c>
      <c r="D21" s="8">
        <f t="shared" si="6"/>
        <v>149000</v>
      </c>
      <c r="E21" s="8">
        <v>27</v>
      </c>
      <c r="F21" s="8">
        <f t="shared" si="0"/>
        <v>27</v>
      </c>
      <c r="G21" s="8">
        <f t="shared" si="1"/>
        <v>27</v>
      </c>
      <c r="H21" s="8" t="str">
        <f>$B$1&amp;$C$1&amp;D21</f>
        <v>12:149000</v>
      </c>
      <c r="I21" s="7" t="str">
        <f t="shared" si="2"/>
        <v>10106:27</v>
      </c>
      <c r="J21" s="7" t="str">
        <f t="shared" si="3"/>
        <v>10119:27</v>
      </c>
      <c r="K21" s="7" t="str">
        <f t="shared" si="4"/>
        <v>10122:27</v>
      </c>
      <c r="L21" s="7" t="str">
        <f t="shared" si="5"/>
        <v>12:149000|10106:27|10119:27|10122:27</v>
      </c>
    </row>
    <row r="22" hidden="1" spans="2:12">
      <c r="B22" s="8">
        <v>1</v>
      </c>
      <c r="C22" s="8">
        <v>17</v>
      </c>
      <c r="D22" s="8">
        <f t="shared" si="6"/>
        <v>186000</v>
      </c>
      <c r="E22" s="8">
        <v>29</v>
      </c>
      <c r="F22" s="8">
        <f t="shared" si="0"/>
        <v>29</v>
      </c>
      <c r="G22" s="8">
        <f t="shared" si="1"/>
        <v>29</v>
      </c>
      <c r="H22" s="8" t="str">
        <f>$B$1&amp;$C$1&amp;D22</f>
        <v>12:186000</v>
      </c>
      <c r="I22" s="7" t="str">
        <f t="shared" si="2"/>
        <v>10106:29</v>
      </c>
      <c r="J22" s="7" t="str">
        <f t="shared" si="3"/>
        <v>10119:29</v>
      </c>
      <c r="K22" s="7" t="str">
        <f t="shared" si="4"/>
        <v>10122:29</v>
      </c>
      <c r="L22" s="7" t="str">
        <f t="shared" si="5"/>
        <v>12:186000|10106:29|10119:29|10122:29</v>
      </c>
    </row>
    <row r="23" hidden="1" spans="2:12">
      <c r="B23" s="8">
        <v>1</v>
      </c>
      <c r="C23" s="8">
        <v>18</v>
      </c>
      <c r="D23" s="8">
        <f t="shared" si="6"/>
        <v>233000</v>
      </c>
      <c r="E23" s="8">
        <v>31</v>
      </c>
      <c r="F23" s="8">
        <f t="shared" si="0"/>
        <v>31</v>
      </c>
      <c r="G23" s="8">
        <f t="shared" si="1"/>
        <v>31</v>
      </c>
      <c r="H23" s="8" t="str">
        <f>$B$1&amp;$C$1&amp;D23</f>
        <v>12:233000</v>
      </c>
      <c r="I23" s="7" t="str">
        <f t="shared" si="2"/>
        <v>10106:31</v>
      </c>
      <c r="J23" s="7" t="str">
        <f t="shared" si="3"/>
        <v>10119:31</v>
      </c>
      <c r="K23" s="7" t="str">
        <f t="shared" si="4"/>
        <v>10122:31</v>
      </c>
      <c r="L23" s="7" t="str">
        <f t="shared" si="5"/>
        <v>12:233000|10106:31|10119:31|10122:31</v>
      </c>
    </row>
    <row r="24" hidden="1" spans="2:12">
      <c r="B24" s="8">
        <v>1</v>
      </c>
      <c r="C24" s="8">
        <v>19</v>
      </c>
      <c r="D24" s="8">
        <f t="shared" si="6"/>
        <v>291000</v>
      </c>
      <c r="E24" s="8">
        <v>33</v>
      </c>
      <c r="F24" s="8">
        <f t="shared" si="0"/>
        <v>33</v>
      </c>
      <c r="G24" s="8">
        <f t="shared" si="1"/>
        <v>33</v>
      </c>
      <c r="H24" s="8" t="str">
        <f>$B$1&amp;$C$1&amp;D24</f>
        <v>12:291000</v>
      </c>
      <c r="I24" s="7" t="str">
        <f t="shared" si="2"/>
        <v>10106:33</v>
      </c>
      <c r="J24" s="7" t="str">
        <f t="shared" si="3"/>
        <v>10119:33</v>
      </c>
      <c r="K24" s="7" t="str">
        <f t="shared" si="4"/>
        <v>10122:33</v>
      </c>
      <c r="L24" s="7" t="str">
        <f t="shared" si="5"/>
        <v>12:291000|10106:33|10119:33|10122:33</v>
      </c>
    </row>
    <row r="25" hidden="1" spans="2:12">
      <c r="B25" s="8">
        <v>1</v>
      </c>
      <c r="C25" s="8">
        <v>20</v>
      </c>
      <c r="D25" s="8">
        <f t="shared" si="6"/>
        <v>364000</v>
      </c>
      <c r="E25" s="8">
        <v>35</v>
      </c>
      <c r="F25" s="8">
        <f t="shared" si="0"/>
        <v>35</v>
      </c>
      <c r="G25" s="8">
        <f t="shared" si="1"/>
        <v>35</v>
      </c>
      <c r="H25" s="8" t="str">
        <f>$B$1&amp;$C$1&amp;D25</f>
        <v>12:364000</v>
      </c>
      <c r="I25" s="7" t="str">
        <f t="shared" si="2"/>
        <v>10106:35</v>
      </c>
      <c r="J25" s="7" t="str">
        <f t="shared" si="3"/>
        <v>10119:35</v>
      </c>
      <c r="K25" s="7" t="str">
        <f t="shared" si="4"/>
        <v>10122:35</v>
      </c>
      <c r="L25" s="7" t="str">
        <f t="shared" si="5"/>
        <v>12:364000|10106:35|10119:35|10122:35</v>
      </c>
    </row>
    <row r="26" spans="1:12">
      <c r="A26" s="8" t="s">
        <v>5249</v>
      </c>
      <c r="B26" s="8">
        <v>2</v>
      </c>
      <c r="C26" s="8">
        <v>1</v>
      </c>
      <c r="D26" s="8">
        <f>ROUND(B2*D2*B26,-3)</f>
        <v>10000</v>
      </c>
      <c r="E26" s="8">
        <v>1</v>
      </c>
      <c r="F26" s="8">
        <f t="shared" ref="F26:F65" si="7">E26</f>
        <v>1</v>
      </c>
      <c r="G26" s="8">
        <f t="shared" si="1"/>
        <v>1</v>
      </c>
      <c r="H26" s="8" t="str">
        <f>$B$1&amp;$C$1&amp;D26</f>
        <v>12:10000</v>
      </c>
      <c r="I26" s="7" t="str">
        <f>$L$3&amp;$C$1&amp;E26</f>
        <v>10112:1</v>
      </c>
      <c r="J26" s="7" t="str">
        <f>$H$2&amp;$C$1&amp;F26</f>
        <v>10120:1</v>
      </c>
      <c r="K26" s="7" t="str">
        <f>$I$2&amp;$C$1&amp;G26</f>
        <v>10121:1</v>
      </c>
      <c r="L26" s="7" t="str">
        <f t="shared" si="5"/>
        <v>12:10000|10112:1|10120:1|10121:1</v>
      </c>
    </row>
    <row r="27" spans="1:12">
      <c r="A27" s="8">
        <v>1.26</v>
      </c>
      <c r="B27" s="8">
        <v>2</v>
      </c>
      <c r="C27" s="8">
        <v>2</v>
      </c>
      <c r="D27" s="8">
        <f>ROUND(D26*$A$27,-3)</f>
        <v>13000</v>
      </c>
      <c r="E27" s="8">
        <v>3</v>
      </c>
      <c r="F27" s="8">
        <f t="shared" si="7"/>
        <v>3</v>
      </c>
      <c r="G27" s="8">
        <f t="shared" si="1"/>
        <v>3</v>
      </c>
      <c r="H27" s="8" t="str">
        <f>$B$1&amp;$C$1&amp;D27</f>
        <v>12:13000</v>
      </c>
      <c r="I27" s="7" t="str">
        <f t="shared" ref="I27:I45" si="8">$L$3&amp;$C$1&amp;E27</f>
        <v>10112:3</v>
      </c>
      <c r="J27" s="7" t="str">
        <f t="shared" ref="J27:J45" si="9">$H$2&amp;$C$1&amp;F27</f>
        <v>10120:3</v>
      </c>
      <c r="K27" s="7" t="str">
        <f t="shared" ref="K27:K45" si="10">$I$2&amp;$C$1&amp;G27</f>
        <v>10121:3</v>
      </c>
      <c r="L27" s="7" t="str">
        <f t="shared" si="5"/>
        <v>12:13000|10112:3|10120:3|10121:3</v>
      </c>
    </row>
    <row r="28" spans="2:12">
      <c r="B28" s="8">
        <v>2</v>
      </c>
      <c r="C28" s="8">
        <v>3</v>
      </c>
      <c r="D28" s="8">
        <f t="shared" ref="D28:D45" si="11">ROUND(D27*$A$27,-3)</f>
        <v>16000</v>
      </c>
      <c r="E28" s="8">
        <v>5</v>
      </c>
      <c r="F28" s="8">
        <f t="shared" si="7"/>
        <v>5</v>
      </c>
      <c r="G28" s="8">
        <f t="shared" si="1"/>
        <v>5</v>
      </c>
      <c r="H28" s="8" t="str">
        <f>$B$1&amp;$C$1&amp;D28</f>
        <v>12:16000</v>
      </c>
      <c r="I28" s="7" t="str">
        <f t="shared" si="8"/>
        <v>10112:5</v>
      </c>
      <c r="J28" s="7" t="str">
        <f t="shared" si="9"/>
        <v>10120:5</v>
      </c>
      <c r="K28" s="7" t="str">
        <f t="shared" si="10"/>
        <v>10121:5</v>
      </c>
      <c r="L28" s="7" t="str">
        <f t="shared" si="5"/>
        <v>12:16000|10112:5|10120:5|10121:5</v>
      </c>
    </row>
    <row r="29" spans="2:12">
      <c r="B29" s="8">
        <v>2</v>
      </c>
      <c r="C29" s="8">
        <v>4</v>
      </c>
      <c r="D29" s="8">
        <f t="shared" si="11"/>
        <v>20000</v>
      </c>
      <c r="E29" s="8">
        <v>7</v>
      </c>
      <c r="F29" s="8">
        <f t="shared" si="7"/>
        <v>7</v>
      </c>
      <c r="G29" s="8">
        <f t="shared" si="1"/>
        <v>7</v>
      </c>
      <c r="H29" s="8" t="str">
        <f>$B$1&amp;$C$1&amp;D29</f>
        <v>12:20000</v>
      </c>
      <c r="I29" s="7" t="str">
        <f t="shared" si="8"/>
        <v>10112:7</v>
      </c>
      <c r="J29" s="7" t="str">
        <f t="shared" si="9"/>
        <v>10120:7</v>
      </c>
      <c r="K29" s="7" t="str">
        <f t="shared" si="10"/>
        <v>10121:7</v>
      </c>
      <c r="L29" s="7" t="str">
        <f t="shared" si="5"/>
        <v>12:20000|10112:7|10120:7|10121:7</v>
      </c>
    </row>
    <row r="30" spans="2:12">
      <c r="B30" s="8">
        <v>2</v>
      </c>
      <c r="C30" s="8">
        <v>5</v>
      </c>
      <c r="D30" s="8">
        <f t="shared" si="11"/>
        <v>25000</v>
      </c>
      <c r="E30" s="8">
        <v>9</v>
      </c>
      <c r="F30" s="8">
        <f t="shared" si="7"/>
        <v>9</v>
      </c>
      <c r="G30" s="8">
        <f t="shared" si="1"/>
        <v>9</v>
      </c>
      <c r="H30" s="8" t="str">
        <f>$B$1&amp;$C$1&amp;D30</f>
        <v>12:25000</v>
      </c>
      <c r="I30" s="7" t="str">
        <f t="shared" si="8"/>
        <v>10112:9</v>
      </c>
      <c r="J30" s="7" t="str">
        <f t="shared" si="9"/>
        <v>10120:9</v>
      </c>
      <c r="K30" s="7" t="str">
        <f t="shared" si="10"/>
        <v>10121:9</v>
      </c>
      <c r="L30" s="7" t="str">
        <f t="shared" si="5"/>
        <v>12:25000|10112:9|10120:9|10121:9</v>
      </c>
    </row>
    <row r="31" spans="2:12">
      <c r="B31" s="8">
        <v>2</v>
      </c>
      <c r="C31" s="8">
        <v>6</v>
      </c>
      <c r="D31" s="8">
        <f t="shared" si="11"/>
        <v>32000</v>
      </c>
      <c r="E31" s="8">
        <v>11</v>
      </c>
      <c r="F31" s="8">
        <f t="shared" si="7"/>
        <v>11</v>
      </c>
      <c r="G31" s="8">
        <f t="shared" si="1"/>
        <v>11</v>
      </c>
      <c r="H31" s="8" t="str">
        <f>$B$1&amp;$C$1&amp;D31</f>
        <v>12:32000</v>
      </c>
      <c r="I31" s="7" t="str">
        <f t="shared" si="8"/>
        <v>10112:11</v>
      </c>
      <c r="J31" s="7" t="str">
        <f t="shared" si="9"/>
        <v>10120:11</v>
      </c>
      <c r="K31" s="7" t="str">
        <f t="shared" si="10"/>
        <v>10121:11</v>
      </c>
      <c r="L31" s="7" t="str">
        <f t="shared" si="5"/>
        <v>12:32000|10112:11|10120:11|10121:11</v>
      </c>
    </row>
    <row r="32" spans="2:12">
      <c r="B32" s="8">
        <v>2</v>
      </c>
      <c r="C32" s="8">
        <v>7</v>
      </c>
      <c r="D32" s="8">
        <f t="shared" si="11"/>
        <v>40000</v>
      </c>
      <c r="E32" s="8">
        <v>13</v>
      </c>
      <c r="F32" s="8">
        <f t="shared" si="7"/>
        <v>13</v>
      </c>
      <c r="G32" s="8">
        <f t="shared" si="1"/>
        <v>13</v>
      </c>
      <c r="H32" s="8" t="str">
        <f>$B$1&amp;$C$1&amp;D32</f>
        <v>12:40000</v>
      </c>
      <c r="I32" s="7" t="str">
        <f t="shared" si="8"/>
        <v>10112:13</v>
      </c>
      <c r="J32" s="7" t="str">
        <f t="shared" si="9"/>
        <v>10120:13</v>
      </c>
      <c r="K32" s="7" t="str">
        <f t="shared" si="10"/>
        <v>10121:13</v>
      </c>
      <c r="L32" s="7" t="str">
        <f t="shared" si="5"/>
        <v>12:40000|10112:13|10120:13|10121:13</v>
      </c>
    </row>
    <row r="33" spans="2:12">
      <c r="B33" s="8">
        <v>2</v>
      </c>
      <c r="C33" s="8">
        <v>8</v>
      </c>
      <c r="D33" s="8">
        <f t="shared" si="11"/>
        <v>50000</v>
      </c>
      <c r="E33" s="8">
        <v>15</v>
      </c>
      <c r="F33" s="8">
        <f t="shared" si="7"/>
        <v>15</v>
      </c>
      <c r="G33" s="8">
        <f t="shared" si="1"/>
        <v>15</v>
      </c>
      <c r="H33" s="8" t="str">
        <f>$B$1&amp;$C$1&amp;D33</f>
        <v>12:50000</v>
      </c>
      <c r="I33" s="7" t="str">
        <f t="shared" si="8"/>
        <v>10112:15</v>
      </c>
      <c r="J33" s="7" t="str">
        <f t="shared" si="9"/>
        <v>10120:15</v>
      </c>
      <c r="K33" s="7" t="str">
        <f t="shared" si="10"/>
        <v>10121:15</v>
      </c>
      <c r="L33" s="7" t="str">
        <f t="shared" si="5"/>
        <v>12:50000|10112:15|10120:15|10121:15</v>
      </c>
    </row>
    <row r="34" spans="2:12">
      <c r="B34" s="8">
        <v>2</v>
      </c>
      <c r="C34" s="8">
        <v>9</v>
      </c>
      <c r="D34" s="8">
        <f t="shared" si="11"/>
        <v>63000</v>
      </c>
      <c r="E34" s="8">
        <v>18</v>
      </c>
      <c r="F34" s="8">
        <f t="shared" si="7"/>
        <v>18</v>
      </c>
      <c r="G34" s="8">
        <f t="shared" si="1"/>
        <v>18</v>
      </c>
      <c r="H34" s="8" t="str">
        <f>$B$1&amp;$C$1&amp;D34</f>
        <v>12:63000</v>
      </c>
      <c r="I34" s="7" t="str">
        <f t="shared" si="8"/>
        <v>10112:18</v>
      </c>
      <c r="J34" s="7" t="str">
        <f t="shared" si="9"/>
        <v>10120:18</v>
      </c>
      <c r="K34" s="7" t="str">
        <f t="shared" si="10"/>
        <v>10121:18</v>
      </c>
      <c r="L34" s="7" t="str">
        <f t="shared" si="5"/>
        <v>12:63000|10112:18|10120:18|10121:18</v>
      </c>
    </row>
    <row r="35" spans="2:12">
      <c r="B35" s="8">
        <v>2</v>
      </c>
      <c r="C35" s="8">
        <v>10</v>
      </c>
      <c r="D35" s="8">
        <f t="shared" si="11"/>
        <v>79000</v>
      </c>
      <c r="E35" s="8">
        <v>21</v>
      </c>
      <c r="F35" s="8">
        <f t="shared" si="7"/>
        <v>21</v>
      </c>
      <c r="G35" s="8">
        <f t="shared" si="1"/>
        <v>21</v>
      </c>
      <c r="H35" s="8" t="str">
        <f>$B$1&amp;$C$1&amp;D35</f>
        <v>12:79000</v>
      </c>
      <c r="I35" s="7" t="str">
        <f t="shared" si="8"/>
        <v>10112:21</v>
      </c>
      <c r="J35" s="7" t="str">
        <f t="shared" si="9"/>
        <v>10120:21</v>
      </c>
      <c r="K35" s="7" t="str">
        <f t="shared" si="10"/>
        <v>10121:21</v>
      </c>
      <c r="L35" s="7" t="str">
        <f t="shared" si="5"/>
        <v>12:79000|10112:21|10120:21|10121:21</v>
      </c>
    </row>
    <row r="36" spans="2:12">
      <c r="B36" s="8">
        <v>2</v>
      </c>
      <c r="C36" s="8">
        <v>11</v>
      </c>
      <c r="D36" s="8">
        <f t="shared" si="11"/>
        <v>100000</v>
      </c>
      <c r="E36" s="8">
        <v>24</v>
      </c>
      <c r="F36" s="8">
        <f t="shared" si="7"/>
        <v>24</v>
      </c>
      <c r="G36" s="8">
        <f t="shared" si="1"/>
        <v>24</v>
      </c>
      <c r="H36" s="8" t="str">
        <f t="shared" ref="H36:H45" si="12">$B$1&amp;$C$1&amp;D36</f>
        <v>12:100000</v>
      </c>
      <c r="I36" s="7" t="str">
        <f t="shared" si="8"/>
        <v>10112:24</v>
      </c>
      <c r="J36" s="7" t="str">
        <f t="shared" si="9"/>
        <v>10120:24</v>
      </c>
      <c r="K36" s="7" t="str">
        <f t="shared" si="10"/>
        <v>10121:24</v>
      </c>
      <c r="L36" s="7" t="str">
        <f t="shared" si="5"/>
        <v>12:100000|10112:24|10120:24|10121:24</v>
      </c>
    </row>
    <row r="37" spans="2:12">
      <c r="B37" s="8">
        <v>2</v>
      </c>
      <c r="C37" s="8">
        <v>12</v>
      </c>
      <c r="D37" s="8">
        <f t="shared" si="11"/>
        <v>126000</v>
      </c>
      <c r="E37" s="8">
        <v>27</v>
      </c>
      <c r="F37" s="8">
        <f t="shared" si="7"/>
        <v>27</v>
      </c>
      <c r="G37" s="8">
        <f t="shared" si="1"/>
        <v>27</v>
      </c>
      <c r="H37" s="8" t="str">
        <f t="shared" si="12"/>
        <v>12:126000</v>
      </c>
      <c r="I37" s="7" t="str">
        <f t="shared" si="8"/>
        <v>10112:27</v>
      </c>
      <c r="J37" s="7" t="str">
        <f t="shared" si="9"/>
        <v>10120:27</v>
      </c>
      <c r="K37" s="7" t="str">
        <f t="shared" si="10"/>
        <v>10121:27</v>
      </c>
      <c r="L37" s="7" t="str">
        <f t="shared" si="5"/>
        <v>12:126000|10112:27|10120:27|10121:27</v>
      </c>
    </row>
    <row r="38" spans="2:12">
      <c r="B38" s="8">
        <v>2</v>
      </c>
      <c r="C38" s="8">
        <v>13</v>
      </c>
      <c r="D38" s="8">
        <f t="shared" si="11"/>
        <v>159000</v>
      </c>
      <c r="E38" s="8">
        <v>30</v>
      </c>
      <c r="F38" s="8">
        <f t="shared" si="7"/>
        <v>30</v>
      </c>
      <c r="G38" s="8">
        <f t="shared" si="1"/>
        <v>30</v>
      </c>
      <c r="H38" s="8" t="str">
        <f t="shared" si="12"/>
        <v>12:159000</v>
      </c>
      <c r="I38" s="7" t="str">
        <f t="shared" si="8"/>
        <v>10112:30</v>
      </c>
      <c r="J38" s="7" t="str">
        <f t="shared" si="9"/>
        <v>10120:30</v>
      </c>
      <c r="K38" s="7" t="str">
        <f t="shared" si="10"/>
        <v>10121:30</v>
      </c>
      <c r="L38" s="7" t="str">
        <f t="shared" si="5"/>
        <v>12:159000|10112:30|10120:30|10121:30</v>
      </c>
    </row>
    <row r="39" spans="2:12">
      <c r="B39" s="8">
        <v>2</v>
      </c>
      <c r="C39" s="8">
        <v>14</v>
      </c>
      <c r="D39" s="8">
        <f t="shared" si="11"/>
        <v>200000</v>
      </c>
      <c r="E39" s="8">
        <v>33</v>
      </c>
      <c r="F39" s="8">
        <f t="shared" si="7"/>
        <v>33</v>
      </c>
      <c r="G39" s="8">
        <f t="shared" ref="G39:G65" si="13">F39</f>
        <v>33</v>
      </c>
      <c r="H39" s="8" t="str">
        <f t="shared" si="12"/>
        <v>12:200000</v>
      </c>
      <c r="I39" s="7" t="str">
        <f t="shared" si="8"/>
        <v>10112:33</v>
      </c>
      <c r="J39" s="7" t="str">
        <f t="shared" si="9"/>
        <v>10120:33</v>
      </c>
      <c r="K39" s="7" t="str">
        <f t="shared" si="10"/>
        <v>10121:33</v>
      </c>
      <c r="L39" s="7" t="str">
        <f t="shared" ref="L39:L65" si="14">H39&amp;$D$1&amp;I39&amp;$D$1&amp;J39&amp;$D$1&amp;K39</f>
        <v>12:200000|10112:33|10120:33|10121:33</v>
      </c>
    </row>
    <row r="40" spans="2:12">
      <c r="B40" s="8">
        <v>2</v>
      </c>
      <c r="C40" s="8">
        <v>15</v>
      </c>
      <c r="D40" s="8">
        <f t="shared" si="11"/>
        <v>252000</v>
      </c>
      <c r="E40" s="8">
        <v>36</v>
      </c>
      <c r="F40" s="8">
        <f t="shared" si="7"/>
        <v>36</v>
      </c>
      <c r="G40" s="8">
        <f t="shared" si="13"/>
        <v>36</v>
      </c>
      <c r="H40" s="8" t="str">
        <f t="shared" si="12"/>
        <v>12:252000</v>
      </c>
      <c r="I40" s="7" t="str">
        <f t="shared" si="8"/>
        <v>10112:36</v>
      </c>
      <c r="J40" s="7" t="str">
        <f t="shared" si="9"/>
        <v>10120:36</v>
      </c>
      <c r="K40" s="7" t="str">
        <f t="shared" si="10"/>
        <v>10121:36</v>
      </c>
      <c r="L40" s="7" t="str">
        <f t="shared" si="14"/>
        <v>12:252000|10112:36|10120:36|10121:36</v>
      </c>
    </row>
    <row r="41" hidden="1" spans="2:12">
      <c r="B41" s="8">
        <v>2</v>
      </c>
      <c r="C41" s="8">
        <v>16</v>
      </c>
      <c r="D41" s="8">
        <f t="shared" si="11"/>
        <v>318000</v>
      </c>
      <c r="E41" s="8">
        <v>39</v>
      </c>
      <c r="F41" s="8">
        <f t="shared" si="7"/>
        <v>39</v>
      </c>
      <c r="G41" s="8">
        <f t="shared" si="13"/>
        <v>39</v>
      </c>
      <c r="H41" s="8" t="str">
        <f t="shared" si="12"/>
        <v>12:318000</v>
      </c>
      <c r="I41" s="7" t="str">
        <f t="shared" si="8"/>
        <v>10112:39</v>
      </c>
      <c r="J41" s="7" t="str">
        <f t="shared" si="9"/>
        <v>10120:39</v>
      </c>
      <c r="K41" s="7" t="str">
        <f t="shared" si="10"/>
        <v>10121:39</v>
      </c>
      <c r="L41" s="7" t="str">
        <f t="shared" si="14"/>
        <v>12:318000|10112:39|10120:39|10121:39</v>
      </c>
    </row>
    <row r="42" hidden="1" spans="2:12">
      <c r="B42" s="8">
        <v>2</v>
      </c>
      <c r="C42" s="8">
        <v>17</v>
      </c>
      <c r="D42" s="8">
        <f t="shared" si="11"/>
        <v>401000</v>
      </c>
      <c r="E42" s="8">
        <v>42</v>
      </c>
      <c r="F42" s="8">
        <f t="shared" si="7"/>
        <v>42</v>
      </c>
      <c r="G42" s="8">
        <f t="shared" si="13"/>
        <v>42</v>
      </c>
      <c r="H42" s="8" t="str">
        <f t="shared" si="12"/>
        <v>12:401000</v>
      </c>
      <c r="I42" s="7" t="str">
        <f t="shared" si="8"/>
        <v>10112:42</v>
      </c>
      <c r="J42" s="7" t="str">
        <f t="shared" si="9"/>
        <v>10120:42</v>
      </c>
      <c r="K42" s="7" t="str">
        <f t="shared" si="10"/>
        <v>10121:42</v>
      </c>
      <c r="L42" s="7" t="str">
        <f t="shared" si="14"/>
        <v>12:401000|10112:42|10120:42|10121:42</v>
      </c>
    </row>
    <row r="43" hidden="1" spans="2:12">
      <c r="B43" s="8">
        <v>2</v>
      </c>
      <c r="C43" s="8">
        <v>18</v>
      </c>
      <c r="D43" s="8">
        <f t="shared" si="11"/>
        <v>505000</v>
      </c>
      <c r="E43" s="8">
        <v>45</v>
      </c>
      <c r="F43" s="8">
        <f t="shared" si="7"/>
        <v>45</v>
      </c>
      <c r="G43" s="8">
        <f t="shared" si="13"/>
        <v>45</v>
      </c>
      <c r="H43" s="8" t="str">
        <f t="shared" si="12"/>
        <v>12:505000</v>
      </c>
      <c r="I43" s="7" t="str">
        <f t="shared" si="8"/>
        <v>10112:45</v>
      </c>
      <c r="J43" s="7" t="str">
        <f t="shared" si="9"/>
        <v>10120:45</v>
      </c>
      <c r="K43" s="7" t="str">
        <f t="shared" si="10"/>
        <v>10121:45</v>
      </c>
      <c r="L43" s="7" t="str">
        <f t="shared" si="14"/>
        <v>12:505000|10112:45|10120:45|10121:45</v>
      </c>
    </row>
    <row r="44" hidden="1" spans="2:12">
      <c r="B44" s="8">
        <v>2</v>
      </c>
      <c r="C44" s="8">
        <v>19</v>
      </c>
      <c r="D44" s="8">
        <f t="shared" si="11"/>
        <v>636000</v>
      </c>
      <c r="E44" s="8">
        <v>48</v>
      </c>
      <c r="F44" s="8">
        <f t="shared" si="7"/>
        <v>48</v>
      </c>
      <c r="G44" s="8">
        <f t="shared" si="13"/>
        <v>48</v>
      </c>
      <c r="H44" s="8" t="str">
        <f t="shared" si="12"/>
        <v>12:636000</v>
      </c>
      <c r="I44" s="7" t="str">
        <f t="shared" si="8"/>
        <v>10112:48</v>
      </c>
      <c r="J44" s="7" t="str">
        <f t="shared" si="9"/>
        <v>10120:48</v>
      </c>
      <c r="K44" s="7" t="str">
        <f t="shared" si="10"/>
        <v>10121:48</v>
      </c>
      <c r="L44" s="7" t="str">
        <f t="shared" si="14"/>
        <v>12:636000|10112:48|10120:48|10121:48</v>
      </c>
    </row>
    <row r="45" hidden="1" spans="2:12">
      <c r="B45" s="8">
        <v>2</v>
      </c>
      <c r="C45" s="8">
        <v>20</v>
      </c>
      <c r="D45" s="8">
        <f t="shared" si="11"/>
        <v>801000</v>
      </c>
      <c r="E45" s="8">
        <v>50</v>
      </c>
      <c r="F45" s="8">
        <f t="shared" si="7"/>
        <v>50</v>
      </c>
      <c r="G45" s="8">
        <f t="shared" si="13"/>
        <v>50</v>
      </c>
      <c r="H45" s="8" t="str">
        <f t="shared" si="12"/>
        <v>12:801000</v>
      </c>
      <c r="I45" s="7" t="str">
        <f t="shared" si="8"/>
        <v>10112:50</v>
      </c>
      <c r="J45" s="7" t="str">
        <f t="shared" si="9"/>
        <v>10120:50</v>
      </c>
      <c r="K45" s="7" t="str">
        <f t="shared" si="10"/>
        <v>10121:50</v>
      </c>
      <c r="L45" s="7" t="str">
        <f t="shared" si="14"/>
        <v>12:801000|10112:50|10120:50|10121:50</v>
      </c>
    </row>
    <row r="46" spans="1:12">
      <c r="A46" s="8" t="s">
        <v>5249</v>
      </c>
      <c r="B46" s="8">
        <v>3</v>
      </c>
      <c r="C46" s="8">
        <v>1</v>
      </c>
      <c r="D46" s="8">
        <f>ROUND(B2*D2*B46,-3)</f>
        <v>15000</v>
      </c>
      <c r="E46" s="8">
        <v>5</v>
      </c>
      <c r="F46" s="8">
        <f t="shared" si="7"/>
        <v>5</v>
      </c>
      <c r="G46" s="8">
        <f t="shared" si="13"/>
        <v>5</v>
      </c>
      <c r="H46" s="8" t="str">
        <f>$B$1&amp;$C$1&amp;D46</f>
        <v>12:15000</v>
      </c>
      <c r="I46" s="7" t="str">
        <f>$L$4&amp;$C$1&amp;E46</f>
        <v>10118:5</v>
      </c>
      <c r="J46" s="7" t="str">
        <f>$J$2&amp;$C$1&amp;F46</f>
        <v>10123:5</v>
      </c>
      <c r="K46" s="7" t="str">
        <f>$K$2&amp;$C$1&amp;G46</f>
        <v>10124:5</v>
      </c>
      <c r="L46" s="7" t="str">
        <f t="shared" si="14"/>
        <v>12:15000|10118:5|10123:5|10124:5</v>
      </c>
    </row>
    <row r="47" spans="1:12">
      <c r="A47" s="8">
        <v>1.3</v>
      </c>
      <c r="B47" s="8">
        <v>3</v>
      </c>
      <c r="C47" s="8">
        <v>2</v>
      </c>
      <c r="D47" s="8">
        <f>ROUND(D46*$A$47,-3)</f>
        <v>20000</v>
      </c>
      <c r="E47" s="8">
        <v>10</v>
      </c>
      <c r="F47" s="8">
        <f t="shared" si="7"/>
        <v>10</v>
      </c>
      <c r="G47" s="8">
        <f t="shared" si="13"/>
        <v>10</v>
      </c>
      <c r="H47" s="8" t="str">
        <f>$B$1&amp;$C$1&amp;D47</f>
        <v>12:20000</v>
      </c>
      <c r="I47" s="7" t="str">
        <f t="shared" ref="I47:I65" si="15">$L$4&amp;$C$1&amp;E47</f>
        <v>10118:10</v>
      </c>
      <c r="J47" s="7" t="str">
        <f t="shared" ref="J47:J65" si="16">$J$2&amp;$C$1&amp;F47</f>
        <v>10123:10</v>
      </c>
      <c r="K47" s="7" t="str">
        <f t="shared" ref="K47:K65" si="17">$K$2&amp;$C$1&amp;G47</f>
        <v>10124:10</v>
      </c>
      <c r="L47" s="7" t="str">
        <f t="shared" si="14"/>
        <v>12:20000|10118:10|10123:10|10124:10</v>
      </c>
    </row>
    <row r="48" spans="2:12">
      <c r="B48" s="8">
        <v>3</v>
      </c>
      <c r="C48" s="8">
        <v>3</v>
      </c>
      <c r="D48" s="8">
        <f t="shared" ref="D48:D65" si="18">ROUND(D47*$A$47,-3)</f>
        <v>26000</v>
      </c>
      <c r="E48" s="8">
        <v>15</v>
      </c>
      <c r="F48" s="8">
        <f t="shared" si="7"/>
        <v>15</v>
      </c>
      <c r="G48" s="8">
        <f t="shared" si="13"/>
        <v>15</v>
      </c>
      <c r="H48" s="8" t="str">
        <f>$B$1&amp;$C$1&amp;D48</f>
        <v>12:26000</v>
      </c>
      <c r="I48" s="7" t="str">
        <f t="shared" si="15"/>
        <v>10118:15</v>
      </c>
      <c r="J48" s="7" t="str">
        <f t="shared" si="16"/>
        <v>10123:15</v>
      </c>
      <c r="K48" s="7" t="str">
        <f t="shared" si="17"/>
        <v>10124:15</v>
      </c>
      <c r="L48" s="7" t="str">
        <f t="shared" si="14"/>
        <v>12:26000|10118:15|10123:15|10124:15</v>
      </c>
    </row>
    <row r="49" spans="2:12">
      <c r="B49" s="8">
        <v>3</v>
      </c>
      <c r="C49" s="8">
        <v>4</v>
      </c>
      <c r="D49" s="8">
        <f t="shared" si="18"/>
        <v>34000</v>
      </c>
      <c r="E49" s="8">
        <v>20</v>
      </c>
      <c r="F49" s="8">
        <f t="shared" si="7"/>
        <v>20</v>
      </c>
      <c r="G49" s="8">
        <f t="shared" si="13"/>
        <v>20</v>
      </c>
      <c r="H49" s="8" t="str">
        <f>$B$1&amp;$C$1&amp;D49</f>
        <v>12:34000</v>
      </c>
      <c r="I49" s="7" t="str">
        <f t="shared" si="15"/>
        <v>10118:20</v>
      </c>
      <c r="J49" s="7" t="str">
        <f t="shared" si="16"/>
        <v>10123:20</v>
      </c>
      <c r="K49" s="7" t="str">
        <f t="shared" si="17"/>
        <v>10124:20</v>
      </c>
      <c r="L49" s="7" t="str">
        <f t="shared" si="14"/>
        <v>12:34000|10118:20|10123:20|10124:20</v>
      </c>
    </row>
    <row r="50" spans="2:12">
      <c r="B50" s="8">
        <v>3</v>
      </c>
      <c r="C50" s="8">
        <v>5</v>
      </c>
      <c r="D50" s="8">
        <f t="shared" si="18"/>
        <v>44000</v>
      </c>
      <c r="E50" s="8">
        <v>25</v>
      </c>
      <c r="F50" s="8">
        <f t="shared" si="7"/>
        <v>25</v>
      </c>
      <c r="G50" s="8">
        <f t="shared" si="13"/>
        <v>25</v>
      </c>
      <c r="H50" s="8" t="str">
        <f>$B$1&amp;$C$1&amp;D50</f>
        <v>12:44000</v>
      </c>
      <c r="I50" s="7" t="str">
        <f t="shared" si="15"/>
        <v>10118:25</v>
      </c>
      <c r="J50" s="7" t="str">
        <f t="shared" si="16"/>
        <v>10123:25</v>
      </c>
      <c r="K50" s="7" t="str">
        <f t="shared" si="17"/>
        <v>10124:25</v>
      </c>
      <c r="L50" s="7" t="str">
        <f t="shared" si="14"/>
        <v>12:44000|10118:25|10123:25|10124:25</v>
      </c>
    </row>
    <row r="51" spans="2:12">
      <c r="B51" s="8">
        <v>3</v>
      </c>
      <c r="C51" s="8">
        <v>6</v>
      </c>
      <c r="D51" s="8">
        <f t="shared" si="18"/>
        <v>57000</v>
      </c>
      <c r="E51" s="8">
        <v>30</v>
      </c>
      <c r="F51" s="8">
        <f t="shared" si="7"/>
        <v>30</v>
      </c>
      <c r="G51" s="8">
        <f t="shared" si="13"/>
        <v>30</v>
      </c>
      <c r="H51" s="8" t="str">
        <f>$B$1&amp;$C$1&amp;D51</f>
        <v>12:57000</v>
      </c>
      <c r="I51" s="7" t="str">
        <f t="shared" si="15"/>
        <v>10118:30</v>
      </c>
      <c r="J51" s="7" t="str">
        <f t="shared" si="16"/>
        <v>10123:30</v>
      </c>
      <c r="K51" s="7" t="str">
        <f t="shared" si="17"/>
        <v>10124:30</v>
      </c>
      <c r="L51" s="7" t="str">
        <f t="shared" si="14"/>
        <v>12:57000|10118:30|10123:30|10124:30</v>
      </c>
    </row>
    <row r="52" spans="2:12">
      <c r="B52" s="8">
        <v>3</v>
      </c>
      <c r="C52" s="8">
        <v>7</v>
      </c>
      <c r="D52" s="8">
        <f t="shared" si="18"/>
        <v>74000</v>
      </c>
      <c r="E52" s="8">
        <v>35</v>
      </c>
      <c r="F52" s="8">
        <f t="shared" si="7"/>
        <v>35</v>
      </c>
      <c r="G52" s="8">
        <f t="shared" si="13"/>
        <v>35</v>
      </c>
      <c r="H52" s="8" t="str">
        <f>$B$1&amp;$C$1&amp;D52</f>
        <v>12:74000</v>
      </c>
      <c r="I52" s="7" t="str">
        <f t="shared" si="15"/>
        <v>10118:35</v>
      </c>
      <c r="J52" s="7" t="str">
        <f t="shared" si="16"/>
        <v>10123:35</v>
      </c>
      <c r="K52" s="7" t="str">
        <f t="shared" si="17"/>
        <v>10124:35</v>
      </c>
      <c r="L52" s="7" t="str">
        <f t="shared" si="14"/>
        <v>12:74000|10118:35|10123:35|10124:35</v>
      </c>
    </row>
    <row r="53" spans="2:12">
      <c r="B53" s="8">
        <v>3</v>
      </c>
      <c r="C53" s="8">
        <v>8</v>
      </c>
      <c r="D53" s="8">
        <f t="shared" si="18"/>
        <v>96000</v>
      </c>
      <c r="E53" s="8">
        <v>40</v>
      </c>
      <c r="F53" s="8">
        <f t="shared" si="7"/>
        <v>40</v>
      </c>
      <c r="G53" s="8">
        <f t="shared" si="13"/>
        <v>40</v>
      </c>
      <c r="H53" s="8" t="str">
        <f>$B$1&amp;$C$1&amp;D53</f>
        <v>12:96000</v>
      </c>
      <c r="I53" s="7" t="str">
        <f t="shared" si="15"/>
        <v>10118:40</v>
      </c>
      <c r="J53" s="7" t="str">
        <f t="shared" si="16"/>
        <v>10123:40</v>
      </c>
      <c r="K53" s="7" t="str">
        <f t="shared" si="17"/>
        <v>10124:40</v>
      </c>
      <c r="L53" s="7" t="str">
        <f t="shared" si="14"/>
        <v>12:96000|10118:40|10123:40|10124:40</v>
      </c>
    </row>
    <row r="54" spans="2:12">
      <c r="B54" s="8">
        <v>3</v>
      </c>
      <c r="C54" s="8">
        <v>9</v>
      </c>
      <c r="D54" s="8">
        <f t="shared" si="18"/>
        <v>125000</v>
      </c>
      <c r="E54" s="8">
        <v>45</v>
      </c>
      <c r="F54" s="8">
        <f t="shared" si="7"/>
        <v>45</v>
      </c>
      <c r="G54" s="8">
        <f t="shared" si="13"/>
        <v>45</v>
      </c>
      <c r="H54" s="8" t="str">
        <f>$B$1&amp;$C$1&amp;D54</f>
        <v>12:125000</v>
      </c>
      <c r="I54" s="7" t="str">
        <f t="shared" si="15"/>
        <v>10118:45</v>
      </c>
      <c r="J54" s="7" t="str">
        <f t="shared" si="16"/>
        <v>10123:45</v>
      </c>
      <c r="K54" s="7" t="str">
        <f t="shared" si="17"/>
        <v>10124:45</v>
      </c>
      <c r="L54" s="7" t="str">
        <f t="shared" si="14"/>
        <v>12:125000|10118:45|10123:45|10124:45</v>
      </c>
    </row>
    <row r="55" spans="2:12">
      <c r="B55" s="8">
        <v>3</v>
      </c>
      <c r="C55" s="8">
        <v>10</v>
      </c>
      <c r="D55" s="8">
        <f t="shared" si="18"/>
        <v>163000</v>
      </c>
      <c r="E55" s="8">
        <v>50</v>
      </c>
      <c r="F55" s="8">
        <f t="shared" si="7"/>
        <v>50</v>
      </c>
      <c r="G55" s="8">
        <f t="shared" si="13"/>
        <v>50</v>
      </c>
      <c r="H55" s="8" t="str">
        <f>$B$1&amp;$C$1&amp;D55</f>
        <v>12:163000</v>
      </c>
      <c r="I55" s="7" t="str">
        <f t="shared" si="15"/>
        <v>10118:50</v>
      </c>
      <c r="J55" s="7" t="str">
        <f t="shared" si="16"/>
        <v>10123:50</v>
      </c>
      <c r="K55" s="7" t="str">
        <f t="shared" si="17"/>
        <v>10124:50</v>
      </c>
      <c r="L55" s="7" t="str">
        <f t="shared" si="14"/>
        <v>12:163000|10118:50|10123:50|10124:50</v>
      </c>
    </row>
    <row r="56" spans="2:12">
      <c r="B56" s="8">
        <v>3</v>
      </c>
      <c r="C56" s="8">
        <v>11</v>
      </c>
      <c r="D56" s="8">
        <f t="shared" si="18"/>
        <v>212000</v>
      </c>
      <c r="E56" s="8">
        <v>55</v>
      </c>
      <c r="F56" s="8">
        <f t="shared" si="7"/>
        <v>55</v>
      </c>
      <c r="G56" s="8">
        <f t="shared" si="13"/>
        <v>55</v>
      </c>
      <c r="H56" s="8" t="str">
        <f>$B$1&amp;$C$1&amp;D56</f>
        <v>12:212000</v>
      </c>
      <c r="I56" s="7" t="str">
        <f t="shared" si="15"/>
        <v>10118:55</v>
      </c>
      <c r="J56" s="7" t="str">
        <f t="shared" si="16"/>
        <v>10123:55</v>
      </c>
      <c r="K56" s="7" t="str">
        <f t="shared" si="17"/>
        <v>10124:55</v>
      </c>
      <c r="L56" s="7" t="str">
        <f t="shared" si="14"/>
        <v>12:212000|10118:55|10123:55|10124:55</v>
      </c>
    </row>
    <row r="57" spans="2:12">
      <c r="B57" s="8">
        <v>3</v>
      </c>
      <c r="C57" s="8">
        <v>12</v>
      </c>
      <c r="D57" s="8">
        <f t="shared" si="18"/>
        <v>276000</v>
      </c>
      <c r="E57" s="8">
        <v>60</v>
      </c>
      <c r="F57" s="8">
        <f t="shared" si="7"/>
        <v>60</v>
      </c>
      <c r="G57" s="8">
        <f t="shared" si="13"/>
        <v>60</v>
      </c>
      <c r="H57" s="8" t="str">
        <f>$B$1&amp;$C$1&amp;D57</f>
        <v>12:276000</v>
      </c>
      <c r="I57" s="7" t="str">
        <f t="shared" si="15"/>
        <v>10118:60</v>
      </c>
      <c r="J57" s="7" t="str">
        <f t="shared" si="16"/>
        <v>10123:60</v>
      </c>
      <c r="K57" s="7" t="str">
        <f t="shared" si="17"/>
        <v>10124:60</v>
      </c>
      <c r="L57" s="7" t="str">
        <f t="shared" si="14"/>
        <v>12:276000|10118:60|10123:60|10124:60</v>
      </c>
    </row>
    <row r="58" spans="2:12">
      <c r="B58" s="8">
        <v>3</v>
      </c>
      <c r="C58" s="8">
        <v>13</v>
      </c>
      <c r="D58" s="8">
        <f t="shared" si="18"/>
        <v>359000</v>
      </c>
      <c r="E58" s="8">
        <v>65</v>
      </c>
      <c r="F58" s="8">
        <f t="shared" si="7"/>
        <v>65</v>
      </c>
      <c r="G58" s="8">
        <f t="shared" si="13"/>
        <v>65</v>
      </c>
      <c r="H58" s="8" t="str">
        <f>$B$1&amp;$C$1&amp;D58</f>
        <v>12:359000</v>
      </c>
      <c r="I58" s="7" t="str">
        <f t="shared" si="15"/>
        <v>10118:65</v>
      </c>
      <c r="J58" s="7" t="str">
        <f t="shared" si="16"/>
        <v>10123:65</v>
      </c>
      <c r="K58" s="7" t="str">
        <f t="shared" si="17"/>
        <v>10124:65</v>
      </c>
      <c r="L58" s="7" t="str">
        <f t="shared" si="14"/>
        <v>12:359000|10118:65|10123:65|10124:65</v>
      </c>
    </row>
    <row r="59" spans="2:12">
      <c r="B59" s="8">
        <v>3</v>
      </c>
      <c r="C59" s="8">
        <v>14</v>
      </c>
      <c r="D59" s="8">
        <f t="shared" si="18"/>
        <v>467000</v>
      </c>
      <c r="E59" s="8">
        <v>70</v>
      </c>
      <c r="F59" s="8">
        <f t="shared" si="7"/>
        <v>70</v>
      </c>
      <c r="G59" s="8">
        <f t="shared" si="13"/>
        <v>70</v>
      </c>
      <c r="H59" s="8" t="str">
        <f>$B$1&amp;$C$1&amp;D59</f>
        <v>12:467000</v>
      </c>
      <c r="I59" s="7" t="str">
        <f t="shared" si="15"/>
        <v>10118:70</v>
      </c>
      <c r="J59" s="7" t="str">
        <f t="shared" si="16"/>
        <v>10123:70</v>
      </c>
      <c r="K59" s="7" t="str">
        <f t="shared" si="17"/>
        <v>10124:70</v>
      </c>
      <c r="L59" s="7" t="str">
        <f t="shared" si="14"/>
        <v>12:467000|10118:70|10123:70|10124:70</v>
      </c>
    </row>
    <row r="60" spans="2:12">
      <c r="B60" s="8">
        <v>3</v>
      </c>
      <c r="C60" s="8">
        <v>15</v>
      </c>
      <c r="D60" s="8">
        <f t="shared" si="18"/>
        <v>607000</v>
      </c>
      <c r="E60" s="8">
        <v>75</v>
      </c>
      <c r="F60" s="8">
        <f t="shared" si="7"/>
        <v>75</v>
      </c>
      <c r="G60" s="8">
        <f t="shared" si="13"/>
        <v>75</v>
      </c>
      <c r="H60" s="8" t="str">
        <f>$B$1&amp;$C$1&amp;D60</f>
        <v>12:607000</v>
      </c>
      <c r="I60" s="7" t="str">
        <f t="shared" si="15"/>
        <v>10118:75</v>
      </c>
      <c r="J60" s="7" t="str">
        <f t="shared" si="16"/>
        <v>10123:75</v>
      </c>
      <c r="K60" s="7" t="str">
        <f t="shared" si="17"/>
        <v>10124:75</v>
      </c>
      <c r="L60" s="7" t="str">
        <f t="shared" si="14"/>
        <v>12:607000|10118:75|10123:75|10124:75</v>
      </c>
    </row>
    <row r="61" spans="2:12">
      <c r="B61" s="8">
        <v>3</v>
      </c>
      <c r="C61" s="8">
        <v>16</v>
      </c>
      <c r="D61" s="8">
        <f t="shared" si="18"/>
        <v>789000</v>
      </c>
      <c r="E61" s="8">
        <v>80</v>
      </c>
      <c r="F61" s="8">
        <f t="shared" si="7"/>
        <v>80</v>
      </c>
      <c r="G61" s="8">
        <f t="shared" si="13"/>
        <v>80</v>
      </c>
      <c r="H61" s="8" t="str">
        <f>$B$1&amp;$C$1&amp;D61</f>
        <v>12:789000</v>
      </c>
      <c r="I61" s="7" t="str">
        <f t="shared" si="15"/>
        <v>10118:80</v>
      </c>
      <c r="J61" s="7" t="str">
        <f t="shared" si="16"/>
        <v>10123:80</v>
      </c>
      <c r="K61" s="7" t="str">
        <f t="shared" si="17"/>
        <v>10124:80</v>
      </c>
      <c r="L61" s="7" t="str">
        <f t="shared" si="14"/>
        <v>12:789000|10118:80|10123:80|10124:80</v>
      </c>
    </row>
    <row r="62" spans="2:12">
      <c r="B62" s="8">
        <v>3</v>
      </c>
      <c r="C62" s="8">
        <v>17</v>
      </c>
      <c r="D62" s="8">
        <f t="shared" si="18"/>
        <v>1026000</v>
      </c>
      <c r="E62" s="8">
        <v>85</v>
      </c>
      <c r="F62" s="8">
        <f t="shared" si="7"/>
        <v>85</v>
      </c>
      <c r="G62" s="8">
        <f t="shared" si="13"/>
        <v>85</v>
      </c>
      <c r="H62" s="8" t="str">
        <f>$B$1&amp;$C$1&amp;D62</f>
        <v>12:1026000</v>
      </c>
      <c r="I62" s="7" t="str">
        <f t="shared" si="15"/>
        <v>10118:85</v>
      </c>
      <c r="J62" s="7" t="str">
        <f t="shared" si="16"/>
        <v>10123:85</v>
      </c>
      <c r="K62" s="7" t="str">
        <f t="shared" si="17"/>
        <v>10124:85</v>
      </c>
      <c r="L62" s="7" t="str">
        <f t="shared" si="14"/>
        <v>12:1026000|10118:85|10123:85|10124:85</v>
      </c>
    </row>
    <row r="63" spans="2:12">
      <c r="B63" s="8">
        <v>3</v>
      </c>
      <c r="C63" s="8">
        <v>18</v>
      </c>
      <c r="D63" s="8">
        <f t="shared" si="18"/>
        <v>1334000</v>
      </c>
      <c r="E63" s="8">
        <v>90</v>
      </c>
      <c r="F63" s="8">
        <f t="shared" si="7"/>
        <v>90</v>
      </c>
      <c r="G63" s="8">
        <f t="shared" si="13"/>
        <v>90</v>
      </c>
      <c r="H63" s="8" t="str">
        <f>$B$1&amp;$C$1&amp;D63</f>
        <v>12:1334000</v>
      </c>
      <c r="I63" s="7" t="str">
        <f t="shared" si="15"/>
        <v>10118:90</v>
      </c>
      <c r="J63" s="7" t="str">
        <f t="shared" si="16"/>
        <v>10123:90</v>
      </c>
      <c r="K63" s="7" t="str">
        <f t="shared" si="17"/>
        <v>10124:90</v>
      </c>
      <c r="L63" s="7" t="str">
        <f t="shared" si="14"/>
        <v>12:1334000|10118:90|10123:90|10124:90</v>
      </c>
    </row>
    <row r="64" spans="2:12">
      <c r="B64" s="8">
        <v>3</v>
      </c>
      <c r="C64" s="8">
        <v>19</v>
      </c>
      <c r="D64" s="8">
        <f t="shared" si="18"/>
        <v>1734000</v>
      </c>
      <c r="E64" s="8">
        <v>95</v>
      </c>
      <c r="F64" s="8">
        <f t="shared" si="7"/>
        <v>95</v>
      </c>
      <c r="G64" s="8">
        <f t="shared" si="13"/>
        <v>95</v>
      </c>
      <c r="H64" s="8" t="str">
        <f>$B$1&amp;$C$1&amp;D64</f>
        <v>12:1734000</v>
      </c>
      <c r="I64" s="7" t="str">
        <f t="shared" si="15"/>
        <v>10118:95</v>
      </c>
      <c r="J64" s="7" t="str">
        <f t="shared" si="16"/>
        <v>10123:95</v>
      </c>
      <c r="K64" s="7" t="str">
        <f t="shared" si="17"/>
        <v>10124:95</v>
      </c>
      <c r="L64" s="7" t="str">
        <f t="shared" si="14"/>
        <v>12:1734000|10118:95|10123:95|10124:95</v>
      </c>
    </row>
    <row r="65" spans="2:12">
      <c r="B65" s="8">
        <v>3</v>
      </c>
      <c r="C65" s="8">
        <v>20</v>
      </c>
      <c r="D65" s="8">
        <f t="shared" si="18"/>
        <v>2254000</v>
      </c>
      <c r="E65" s="8">
        <v>100</v>
      </c>
      <c r="F65" s="8">
        <f t="shared" si="7"/>
        <v>100</v>
      </c>
      <c r="G65" s="8">
        <f t="shared" si="13"/>
        <v>100</v>
      </c>
      <c r="H65" s="8" t="str">
        <f>$B$1&amp;$C$1&amp;D65</f>
        <v>12:2254000</v>
      </c>
      <c r="I65" s="7" t="str">
        <f t="shared" si="15"/>
        <v>10118:100</v>
      </c>
      <c r="J65" s="7" t="str">
        <f t="shared" si="16"/>
        <v>10123:100</v>
      </c>
      <c r="K65" s="7" t="str">
        <f t="shared" si="17"/>
        <v>10124:100</v>
      </c>
      <c r="L65" s="7" t="str">
        <f t="shared" si="14"/>
        <v>12:2254000|10118:100|10123:100|10124:100</v>
      </c>
    </row>
    <row r="67" spans="1:1">
      <c r="A67" s="7" t="s">
        <v>27</v>
      </c>
    </row>
    <row r="68" spans="3:5">
      <c r="C68" s="7">
        <v>5</v>
      </c>
      <c r="D68" s="7">
        <v>10</v>
      </c>
      <c r="E68" s="8">
        <v>10</v>
      </c>
    </row>
    <row r="69" spans="2:5">
      <c r="B69" s="7">
        <v>5</v>
      </c>
      <c r="C69" s="7">
        <v>5</v>
      </c>
      <c r="D69" s="7">
        <v>10</v>
      </c>
      <c r="E69" s="8">
        <v>10</v>
      </c>
    </row>
    <row r="70" spans="3:5">
      <c r="C70" s="7">
        <v>5</v>
      </c>
      <c r="D70" s="7">
        <v>10</v>
      </c>
      <c r="E70" s="8">
        <v>10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93"/>
  <sheetViews>
    <sheetView topLeftCell="A115" workbookViewId="0">
      <selection activeCell="A143" sqref="A143"/>
    </sheetView>
  </sheetViews>
  <sheetFormatPr defaultColWidth="9" defaultRowHeight="14.25" outlineLevelCol="6"/>
  <cols>
    <col min="1" max="2" width="13.375" style="1" customWidth="1"/>
    <col min="3" max="4" width="22.75" style="1" customWidth="1"/>
    <col min="6" max="6" width="18.5" customWidth="1"/>
  </cols>
  <sheetData>
    <row r="1" spans="1:4">
      <c r="A1" s="2" t="s">
        <v>5256</v>
      </c>
      <c r="B1" s="2" t="s">
        <v>5257</v>
      </c>
      <c r="C1" s="2" t="s">
        <v>5258</v>
      </c>
      <c r="D1" s="2" t="s">
        <v>5259</v>
      </c>
    </row>
    <row r="2" spans="1:4">
      <c r="A2" s="3" t="s">
        <v>16</v>
      </c>
      <c r="B2" s="3" t="s">
        <v>16</v>
      </c>
      <c r="C2" s="3" t="s">
        <v>17</v>
      </c>
      <c r="D2" s="3" t="s">
        <v>16</v>
      </c>
    </row>
    <row r="3" spans="1:7">
      <c r="A3" s="3" t="s">
        <v>4269</v>
      </c>
      <c r="B3" s="3" t="s">
        <v>5260</v>
      </c>
      <c r="C3" s="3" t="s">
        <v>4268</v>
      </c>
      <c r="D3" s="3" t="s">
        <v>5261</v>
      </c>
      <c r="F3" t="s">
        <v>4268</v>
      </c>
      <c r="G3" t="s">
        <v>4269</v>
      </c>
    </row>
    <row r="4" spans="1:7">
      <c r="A4" s="1">
        <v>1</v>
      </c>
      <c r="B4" s="4">
        <v>1</v>
      </c>
      <c r="C4" s="1" t="s">
        <v>4270</v>
      </c>
      <c r="D4" s="1">
        <v>0</v>
      </c>
      <c r="F4" t="s">
        <v>4271</v>
      </c>
      <c r="G4">
        <f>_xlfn.XLOOKUP(F4,$C$4:$C$220,$A$4:$A$220)</f>
        <v>101</v>
      </c>
    </row>
    <row r="5" spans="1:7">
      <c r="A5" s="1">
        <v>2</v>
      </c>
      <c r="B5" s="4">
        <v>1</v>
      </c>
      <c r="C5" s="1" t="s">
        <v>4274</v>
      </c>
      <c r="D5" s="1">
        <v>0</v>
      </c>
      <c r="F5" t="s">
        <v>4271</v>
      </c>
      <c r="G5">
        <f t="shared" ref="G5:G68" si="0">_xlfn.XLOOKUP(F5,$C$4:$C$220,$A$4:$A$220)</f>
        <v>101</v>
      </c>
    </row>
    <row r="6" spans="1:7">
      <c r="A6" s="1">
        <v>3</v>
      </c>
      <c r="B6" s="4">
        <v>1</v>
      </c>
      <c r="C6" s="1" t="s">
        <v>5262</v>
      </c>
      <c r="D6" s="1">
        <v>0</v>
      </c>
      <c r="F6" t="s">
        <v>4271</v>
      </c>
      <c r="G6">
        <f t="shared" si="0"/>
        <v>101</v>
      </c>
    </row>
    <row r="7" spans="1:7">
      <c r="A7" s="1">
        <v>4</v>
      </c>
      <c r="B7" s="4">
        <v>1</v>
      </c>
      <c r="C7" s="1" t="s">
        <v>5263</v>
      </c>
      <c r="D7" s="1">
        <v>0</v>
      </c>
      <c r="F7" t="s">
        <v>4271</v>
      </c>
      <c r="G7">
        <f t="shared" si="0"/>
        <v>101</v>
      </c>
    </row>
    <row r="8" spans="1:7">
      <c r="A8" s="1">
        <v>5</v>
      </c>
      <c r="B8" s="4">
        <v>1</v>
      </c>
      <c r="C8" s="1" t="s">
        <v>5264</v>
      </c>
      <c r="D8" s="1">
        <v>0</v>
      </c>
      <c r="F8" t="s">
        <v>4271</v>
      </c>
      <c r="G8">
        <f t="shared" si="0"/>
        <v>101</v>
      </c>
    </row>
    <row r="9" spans="1:7">
      <c r="A9" s="1">
        <v>6</v>
      </c>
      <c r="B9" s="4">
        <v>1</v>
      </c>
      <c r="C9" s="1" t="s">
        <v>5265</v>
      </c>
      <c r="D9" s="1">
        <v>0</v>
      </c>
      <c r="F9" t="s">
        <v>4271</v>
      </c>
      <c r="G9">
        <f t="shared" si="0"/>
        <v>101</v>
      </c>
    </row>
    <row r="10" spans="1:7">
      <c r="A10" s="1">
        <v>7</v>
      </c>
      <c r="B10" s="4">
        <v>1</v>
      </c>
      <c r="C10" s="1" t="s">
        <v>5266</v>
      </c>
      <c r="D10" s="1">
        <v>0</v>
      </c>
      <c r="F10" t="s">
        <v>4273</v>
      </c>
      <c r="G10">
        <f t="shared" si="0"/>
        <v>103</v>
      </c>
    </row>
    <row r="11" spans="1:7">
      <c r="A11" s="1">
        <v>8</v>
      </c>
      <c r="B11" s="4">
        <v>2</v>
      </c>
      <c r="C11" s="1" t="s">
        <v>5267</v>
      </c>
      <c r="D11" s="1">
        <v>0</v>
      </c>
      <c r="F11" t="s">
        <v>4273</v>
      </c>
      <c r="G11">
        <f t="shared" si="0"/>
        <v>103</v>
      </c>
    </row>
    <row r="12" spans="1:7">
      <c r="A12" s="1">
        <v>9</v>
      </c>
      <c r="B12" s="4">
        <v>2</v>
      </c>
      <c r="C12" s="1" t="s">
        <v>5268</v>
      </c>
      <c r="D12" s="1">
        <v>0</v>
      </c>
      <c r="F12" t="s">
        <v>4273</v>
      </c>
      <c r="G12">
        <f t="shared" si="0"/>
        <v>103</v>
      </c>
    </row>
    <row r="13" spans="1:7">
      <c r="A13" s="1">
        <v>10</v>
      </c>
      <c r="B13" s="4">
        <v>2</v>
      </c>
      <c r="C13" s="1" t="s">
        <v>5269</v>
      </c>
      <c r="D13" s="1">
        <v>0</v>
      </c>
      <c r="F13" t="s">
        <v>4273</v>
      </c>
      <c r="G13">
        <f t="shared" si="0"/>
        <v>103</v>
      </c>
    </row>
    <row r="14" spans="1:7">
      <c r="A14" s="1">
        <v>11</v>
      </c>
      <c r="B14" s="4">
        <v>2</v>
      </c>
      <c r="C14" s="1" t="s">
        <v>5270</v>
      </c>
      <c r="D14" s="1">
        <v>0</v>
      </c>
      <c r="F14" t="s">
        <v>4273</v>
      </c>
      <c r="G14">
        <f t="shared" si="0"/>
        <v>103</v>
      </c>
    </row>
    <row r="15" spans="1:7">
      <c r="A15" s="1">
        <v>12</v>
      </c>
      <c r="B15" s="4">
        <v>2</v>
      </c>
      <c r="C15" s="1" t="s">
        <v>5271</v>
      </c>
      <c r="D15" s="1">
        <v>0</v>
      </c>
      <c r="F15" t="s">
        <v>4273</v>
      </c>
      <c r="G15">
        <f t="shared" si="0"/>
        <v>103</v>
      </c>
    </row>
    <row r="16" spans="1:7">
      <c r="A16" s="1">
        <v>13</v>
      </c>
      <c r="B16" s="4">
        <v>2</v>
      </c>
      <c r="C16" s="1" t="s">
        <v>5272</v>
      </c>
      <c r="D16" s="1">
        <v>0</v>
      </c>
      <c r="F16" t="s">
        <v>4275</v>
      </c>
      <c r="G16">
        <f t="shared" si="0"/>
        <v>102</v>
      </c>
    </row>
    <row r="17" spans="1:7">
      <c r="A17" s="1">
        <v>14</v>
      </c>
      <c r="B17" s="4">
        <v>1</v>
      </c>
      <c r="C17" s="1" t="s">
        <v>5273</v>
      </c>
      <c r="D17" s="1">
        <v>0</v>
      </c>
      <c r="F17" t="s">
        <v>4275</v>
      </c>
      <c r="G17">
        <f t="shared" si="0"/>
        <v>102</v>
      </c>
    </row>
    <row r="18" spans="1:7">
      <c r="A18" s="1">
        <v>15</v>
      </c>
      <c r="B18" s="4">
        <v>1</v>
      </c>
      <c r="C18" s="1" t="s">
        <v>5274</v>
      </c>
      <c r="D18" s="1">
        <v>0</v>
      </c>
      <c r="F18" t="s">
        <v>4275</v>
      </c>
      <c r="G18">
        <f t="shared" si="0"/>
        <v>102</v>
      </c>
    </row>
    <row r="19" spans="1:7">
      <c r="A19" s="1">
        <v>16</v>
      </c>
      <c r="B19" s="4">
        <v>1</v>
      </c>
      <c r="C19" s="1" t="s">
        <v>5275</v>
      </c>
      <c r="D19" s="1">
        <v>0</v>
      </c>
      <c r="F19" t="s">
        <v>4275</v>
      </c>
      <c r="G19">
        <f t="shared" si="0"/>
        <v>102</v>
      </c>
    </row>
    <row r="20" spans="1:7">
      <c r="A20" s="1">
        <v>17</v>
      </c>
      <c r="B20" s="4">
        <v>1</v>
      </c>
      <c r="C20" s="1" t="s">
        <v>5276</v>
      </c>
      <c r="D20" s="1">
        <v>0</v>
      </c>
      <c r="F20" t="s">
        <v>4275</v>
      </c>
      <c r="G20">
        <f t="shared" si="0"/>
        <v>102</v>
      </c>
    </row>
    <row r="21" spans="1:7">
      <c r="A21" s="1">
        <v>18</v>
      </c>
      <c r="B21" s="4">
        <v>2</v>
      </c>
      <c r="C21" s="1" t="s">
        <v>5277</v>
      </c>
      <c r="D21" s="1">
        <v>0</v>
      </c>
      <c r="F21" t="s">
        <v>4275</v>
      </c>
      <c r="G21">
        <f t="shared" si="0"/>
        <v>102</v>
      </c>
    </row>
    <row r="22" spans="1:7">
      <c r="A22" s="1">
        <v>19</v>
      </c>
      <c r="B22" s="4">
        <v>2</v>
      </c>
      <c r="C22" s="1" t="s">
        <v>5278</v>
      </c>
      <c r="D22" s="1">
        <v>0</v>
      </c>
      <c r="F22" t="s">
        <v>4277</v>
      </c>
      <c r="G22">
        <f t="shared" si="0"/>
        <v>104</v>
      </c>
    </row>
    <row r="23" spans="1:7">
      <c r="A23" s="1">
        <v>20</v>
      </c>
      <c r="B23" s="4">
        <v>1</v>
      </c>
      <c r="C23" s="1" t="s">
        <v>5279</v>
      </c>
      <c r="D23" s="1">
        <v>0</v>
      </c>
      <c r="F23" t="s">
        <v>4277</v>
      </c>
      <c r="G23">
        <f t="shared" si="0"/>
        <v>104</v>
      </c>
    </row>
    <row r="24" spans="1:7">
      <c r="A24" s="1">
        <v>21</v>
      </c>
      <c r="B24" s="4">
        <v>1</v>
      </c>
      <c r="C24" s="1" t="s">
        <v>5280</v>
      </c>
      <c r="D24" s="1">
        <v>0</v>
      </c>
      <c r="F24" t="s">
        <v>4277</v>
      </c>
      <c r="G24">
        <f t="shared" si="0"/>
        <v>104</v>
      </c>
    </row>
    <row r="25" spans="1:7">
      <c r="A25" s="1">
        <v>22</v>
      </c>
      <c r="B25" s="4">
        <v>1</v>
      </c>
      <c r="C25" s="1" t="s">
        <v>5281</v>
      </c>
      <c r="D25" s="1">
        <v>0</v>
      </c>
      <c r="F25" t="s">
        <v>4277</v>
      </c>
      <c r="G25">
        <f t="shared" si="0"/>
        <v>104</v>
      </c>
    </row>
    <row r="26" spans="1:7">
      <c r="A26" s="1">
        <v>23</v>
      </c>
      <c r="B26" s="4">
        <v>1</v>
      </c>
      <c r="C26" s="1" t="s">
        <v>5282</v>
      </c>
      <c r="D26" s="1">
        <v>0</v>
      </c>
      <c r="F26" t="s">
        <v>4277</v>
      </c>
      <c r="G26">
        <f t="shared" si="0"/>
        <v>104</v>
      </c>
    </row>
    <row r="27" spans="1:7">
      <c r="A27" s="1">
        <v>24</v>
      </c>
      <c r="B27" s="4">
        <v>1</v>
      </c>
      <c r="C27" s="1" t="s">
        <v>5283</v>
      </c>
      <c r="D27" s="1">
        <v>0</v>
      </c>
      <c r="F27" t="s">
        <v>4277</v>
      </c>
      <c r="G27">
        <f t="shared" si="0"/>
        <v>104</v>
      </c>
    </row>
    <row r="28" spans="1:7">
      <c r="A28" s="1">
        <v>25</v>
      </c>
      <c r="B28" s="4">
        <v>1</v>
      </c>
      <c r="C28" s="1" t="s">
        <v>5284</v>
      </c>
      <c r="D28" s="1">
        <v>0</v>
      </c>
      <c r="F28" t="s">
        <v>4279</v>
      </c>
      <c r="G28">
        <f t="shared" si="0"/>
        <v>108</v>
      </c>
    </row>
    <row r="29" spans="1:7">
      <c r="A29" s="1">
        <v>26</v>
      </c>
      <c r="B29" s="4">
        <v>1</v>
      </c>
      <c r="C29" s="1" t="s">
        <v>5285</v>
      </c>
      <c r="D29" s="1">
        <v>0</v>
      </c>
      <c r="F29" t="s">
        <v>4279</v>
      </c>
      <c r="G29">
        <f t="shared" si="0"/>
        <v>108</v>
      </c>
    </row>
    <row r="30" spans="1:7">
      <c r="A30" s="5">
        <v>27</v>
      </c>
      <c r="B30" s="4">
        <v>1</v>
      </c>
      <c r="C30" s="1" t="s">
        <v>4276</v>
      </c>
      <c r="D30" s="1">
        <v>0</v>
      </c>
      <c r="F30" t="s">
        <v>4279</v>
      </c>
      <c r="G30">
        <f t="shared" si="0"/>
        <v>108</v>
      </c>
    </row>
    <row r="31" spans="1:7">
      <c r="A31" s="5">
        <v>28</v>
      </c>
      <c r="B31" s="4">
        <v>1</v>
      </c>
      <c r="C31" s="1" t="s">
        <v>5286</v>
      </c>
      <c r="D31" s="1">
        <v>0</v>
      </c>
      <c r="F31" t="s">
        <v>4279</v>
      </c>
      <c r="G31">
        <f t="shared" si="0"/>
        <v>108</v>
      </c>
    </row>
    <row r="32" spans="1:7">
      <c r="A32" s="5">
        <v>29</v>
      </c>
      <c r="B32" s="4">
        <v>1</v>
      </c>
      <c r="C32" s="1" t="s">
        <v>5287</v>
      </c>
      <c r="D32" s="1">
        <v>0</v>
      </c>
      <c r="F32" t="s">
        <v>4279</v>
      </c>
      <c r="G32">
        <f t="shared" si="0"/>
        <v>108</v>
      </c>
    </row>
    <row r="33" spans="1:7">
      <c r="A33" s="5">
        <v>30</v>
      </c>
      <c r="B33" s="4">
        <v>1</v>
      </c>
      <c r="C33" s="1" t="s">
        <v>5288</v>
      </c>
      <c r="D33" s="1">
        <v>0</v>
      </c>
      <c r="F33" t="s">
        <v>4279</v>
      </c>
      <c r="G33">
        <f t="shared" si="0"/>
        <v>108</v>
      </c>
    </row>
    <row r="34" spans="1:7">
      <c r="A34" s="5">
        <v>31</v>
      </c>
      <c r="B34" s="4">
        <v>2</v>
      </c>
      <c r="C34" s="1" t="s">
        <v>4270</v>
      </c>
      <c r="D34" s="1">
        <v>0</v>
      </c>
      <c r="F34" t="s">
        <v>4279</v>
      </c>
      <c r="G34">
        <f t="shared" si="0"/>
        <v>108</v>
      </c>
    </row>
    <row r="35" spans="1:7">
      <c r="A35" s="5">
        <v>32</v>
      </c>
      <c r="B35" s="4">
        <v>2</v>
      </c>
      <c r="C35" s="1" t="s">
        <v>5289</v>
      </c>
      <c r="D35" s="1">
        <v>0</v>
      </c>
      <c r="F35" t="s">
        <v>4279</v>
      </c>
      <c r="G35">
        <f t="shared" si="0"/>
        <v>108</v>
      </c>
    </row>
    <row r="36" spans="1:7">
      <c r="A36" s="5">
        <v>33</v>
      </c>
      <c r="B36" s="4">
        <v>2</v>
      </c>
      <c r="C36" s="1" t="s">
        <v>5262</v>
      </c>
      <c r="D36" s="1">
        <v>0</v>
      </c>
      <c r="F36" t="s">
        <v>4279</v>
      </c>
      <c r="G36">
        <f t="shared" si="0"/>
        <v>108</v>
      </c>
    </row>
    <row r="37" spans="1:7">
      <c r="A37" s="5">
        <v>34</v>
      </c>
      <c r="B37" s="4">
        <v>2</v>
      </c>
      <c r="C37" s="1" t="s">
        <v>5290</v>
      </c>
      <c r="D37" s="1">
        <v>0</v>
      </c>
      <c r="F37" t="s">
        <v>4279</v>
      </c>
      <c r="G37">
        <f t="shared" si="0"/>
        <v>108</v>
      </c>
    </row>
    <row r="38" spans="1:7">
      <c r="A38" s="5">
        <v>35</v>
      </c>
      <c r="B38" s="6">
        <f t="shared" ref="B38:B47" si="1">IF(J38="值",1,2)</f>
        <v>2</v>
      </c>
      <c r="C38" s="1" t="s">
        <v>4276</v>
      </c>
      <c r="D38" s="1">
        <v>0</v>
      </c>
      <c r="F38" t="s">
        <v>4279</v>
      </c>
      <c r="G38">
        <f t="shared" si="0"/>
        <v>108</v>
      </c>
    </row>
    <row r="39" spans="1:7">
      <c r="A39" s="5">
        <v>36</v>
      </c>
      <c r="B39" s="6">
        <f t="shared" si="1"/>
        <v>2</v>
      </c>
      <c r="C39" s="1" t="s">
        <v>5291</v>
      </c>
      <c r="D39" s="1">
        <v>0</v>
      </c>
      <c r="F39" t="s">
        <v>4281</v>
      </c>
      <c r="G39">
        <f t="shared" si="0"/>
        <v>107</v>
      </c>
    </row>
    <row r="40" spans="1:7">
      <c r="A40" s="5">
        <v>37</v>
      </c>
      <c r="B40" s="6">
        <f t="shared" si="1"/>
        <v>2</v>
      </c>
      <c r="C40" s="1" t="s">
        <v>5292</v>
      </c>
      <c r="D40" s="1">
        <v>0</v>
      </c>
      <c r="F40" t="s">
        <v>4281</v>
      </c>
      <c r="G40">
        <f t="shared" si="0"/>
        <v>107</v>
      </c>
    </row>
    <row r="41" spans="1:7">
      <c r="A41" s="5">
        <v>38</v>
      </c>
      <c r="B41" s="6">
        <f t="shared" si="1"/>
        <v>2</v>
      </c>
      <c r="C41" s="1" t="s">
        <v>5293</v>
      </c>
      <c r="D41" s="1">
        <v>0</v>
      </c>
      <c r="F41" t="s">
        <v>4281</v>
      </c>
      <c r="G41">
        <f t="shared" si="0"/>
        <v>107</v>
      </c>
    </row>
    <row r="42" spans="1:7">
      <c r="A42" s="5">
        <v>39</v>
      </c>
      <c r="B42" s="6">
        <f t="shared" si="1"/>
        <v>2</v>
      </c>
      <c r="C42" s="1" t="s">
        <v>5294</v>
      </c>
      <c r="D42" s="1">
        <v>0</v>
      </c>
      <c r="F42" t="s">
        <v>4281</v>
      </c>
      <c r="G42">
        <f t="shared" si="0"/>
        <v>107</v>
      </c>
    </row>
    <row r="43" spans="1:7">
      <c r="A43" s="5">
        <v>40</v>
      </c>
      <c r="B43" s="6">
        <f t="shared" si="1"/>
        <v>2</v>
      </c>
      <c r="C43" s="1" t="s">
        <v>5295</v>
      </c>
      <c r="D43" s="1">
        <v>0</v>
      </c>
      <c r="F43" t="s">
        <v>4281</v>
      </c>
      <c r="G43">
        <f t="shared" si="0"/>
        <v>107</v>
      </c>
    </row>
    <row r="44" spans="1:7">
      <c r="A44" s="1">
        <v>101</v>
      </c>
      <c r="B44" s="6">
        <f t="shared" si="1"/>
        <v>2</v>
      </c>
      <c r="C44" s="1" t="s">
        <v>4271</v>
      </c>
      <c r="D44" s="1">
        <v>1</v>
      </c>
      <c r="F44" t="s">
        <v>4281</v>
      </c>
      <c r="G44">
        <f t="shared" si="0"/>
        <v>107</v>
      </c>
    </row>
    <row r="45" spans="1:7">
      <c r="A45" s="1">
        <v>102</v>
      </c>
      <c r="B45" s="6">
        <f t="shared" si="1"/>
        <v>2</v>
      </c>
      <c r="C45" s="1" t="s">
        <v>4275</v>
      </c>
      <c r="D45" s="1">
        <v>1</v>
      </c>
      <c r="F45" t="s">
        <v>4281</v>
      </c>
      <c r="G45">
        <f t="shared" si="0"/>
        <v>107</v>
      </c>
    </row>
    <row r="46" spans="1:7">
      <c r="A46" s="1">
        <v>103</v>
      </c>
      <c r="B46" s="6">
        <f t="shared" si="1"/>
        <v>2</v>
      </c>
      <c r="C46" s="1" t="s">
        <v>4273</v>
      </c>
      <c r="D46" s="1">
        <v>1</v>
      </c>
      <c r="F46" t="s">
        <v>4281</v>
      </c>
      <c r="G46">
        <f t="shared" si="0"/>
        <v>107</v>
      </c>
    </row>
    <row r="47" spans="1:7">
      <c r="A47" s="1">
        <v>104</v>
      </c>
      <c r="B47" s="6">
        <f t="shared" si="1"/>
        <v>2</v>
      </c>
      <c r="C47" s="1" t="s">
        <v>4277</v>
      </c>
      <c r="D47" s="1">
        <v>1</v>
      </c>
      <c r="F47" t="s">
        <v>4281</v>
      </c>
      <c r="G47">
        <f t="shared" si="0"/>
        <v>107</v>
      </c>
    </row>
    <row r="48" spans="1:7">
      <c r="A48" s="1">
        <v>105</v>
      </c>
      <c r="B48" s="6">
        <v>1</v>
      </c>
      <c r="C48" s="1" t="s">
        <v>5296</v>
      </c>
      <c r="D48" s="1">
        <v>1</v>
      </c>
      <c r="F48" t="s">
        <v>4281</v>
      </c>
      <c r="G48">
        <f t="shared" si="0"/>
        <v>107</v>
      </c>
    </row>
    <row r="49" spans="1:7">
      <c r="A49" s="1">
        <v>106</v>
      </c>
      <c r="B49" s="6">
        <f t="shared" ref="B49:B52" si="2">IF(J49="值",1,2)</f>
        <v>2</v>
      </c>
      <c r="C49" s="1" t="s">
        <v>4415</v>
      </c>
      <c r="D49" s="1">
        <v>1</v>
      </c>
      <c r="F49" t="s">
        <v>4281</v>
      </c>
      <c r="G49">
        <f t="shared" si="0"/>
        <v>107</v>
      </c>
    </row>
    <row r="50" spans="1:7">
      <c r="A50" s="1">
        <v>107</v>
      </c>
      <c r="B50" s="6">
        <f t="shared" si="2"/>
        <v>2</v>
      </c>
      <c r="C50" s="1" t="s">
        <v>4281</v>
      </c>
      <c r="D50" s="1">
        <v>1</v>
      </c>
      <c r="F50" t="s">
        <v>4283</v>
      </c>
      <c r="G50">
        <f t="shared" si="0"/>
        <v>109</v>
      </c>
    </row>
    <row r="51" spans="1:7">
      <c r="A51" s="1">
        <v>108</v>
      </c>
      <c r="B51" s="6">
        <f t="shared" si="2"/>
        <v>2</v>
      </c>
      <c r="C51" s="1" t="s">
        <v>4279</v>
      </c>
      <c r="D51" s="1">
        <v>1</v>
      </c>
      <c r="F51" t="s">
        <v>4283</v>
      </c>
      <c r="G51">
        <f t="shared" si="0"/>
        <v>109</v>
      </c>
    </row>
    <row r="52" spans="1:7">
      <c r="A52" s="1">
        <v>109</v>
      </c>
      <c r="B52" s="6">
        <f t="shared" si="2"/>
        <v>2</v>
      </c>
      <c r="C52" s="1" t="s">
        <v>4283</v>
      </c>
      <c r="D52" s="1">
        <v>1</v>
      </c>
      <c r="F52" t="s">
        <v>4283</v>
      </c>
      <c r="G52">
        <f t="shared" si="0"/>
        <v>109</v>
      </c>
    </row>
    <row r="53" spans="1:7">
      <c r="A53" s="1">
        <v>110</v>
      </c>
      <c r="B53" s="6">
        <v>1</v>
      </c>
      <c r="C53" s="1" t="s">
        <v>5297</v>
      </c>
      <c r="D53" s="1">
        <v>1</v>
      </c>
      <c r="F53" t="s">
        <v>4283</v>
      </c>
      <c r="G53">
        <f t="shared" si="0"/>
        <v>109</v>
      </c>
    </row>
    <row r="54" spans="1:7">
      <c r="A54" s="1">
        <v>111</v>
      </c>
      <c r="B54" s="6">
        <f t="shared" ref="B54:B117" si="3">IF(J54="值",1,2)</f>
        <v>2</v>
      </c>
      <c r="C54" s="1" t="s">
        <v>4416</v>
      </c>
      <c r="D54" s="1">
        <f t="shared" ref="D54:D117" si="4">D44+1</f>
        <v>2</v>
      </c>
      <c r="F54" t="s">
        <v>4283</v>
      </c>
      <c r="G54">
        <f t="shared" si="0"/>
        <v>109</v>
      </c>
    </row>
    <row r="55" spans="1:7">
      <c r="A55" s="1">
        <v>112</v>
      </c>
      <c r="B55" s="6">
        <f t="shared" si="3"/>
        <v>2</v>
      </c>
      <c r="C55" s="1" t="s">
        <v>4418</v>
      </c>
      <c r="D55" s="1">
        <f t="shared" si="4"/>
        <v>2</v>
      </c>
      <c r="F55" t="s">
        <v>4283</v>
      </c>
      <c r="G55">
        <f t="shared" si="0"/>
        <v>109</v>
      </c>
    </row>
    <row r="56" spans="1:7">
      <c r="A56" s="1">
        <v>113</v>
      </c>
      <c r="B56" s="6">
        <f t="shared" si="3"/>
        <v>2</v>
      </c>
      <c r="C56" s="1" t="s">
        <v>4417</v>
      </c>
      <c r="D56" s="1">
        <f t="shared" si="4"/>
        <v>2</v>
      </c>
      <c r="F56" t="s">
        <v>4283</v>
      </c>
      <c r="G56">
        <f t="shared" si="0"/>
        <v>109</v>
      </c>
    </row>
    <row r="57" spans="1:7">
      <c r="A57" s="1">
        <v>114</v>
      </c>
      <c r="B57" s="6">
        <f t="shared" si="3"/>
        <v>2</v>
      </c>
      <c r="C57" s="1" t="s">
        <v>4419</v>
      </c>
      <c r="D57" s="1">
        <f t="shared" si="4"/>
        <v>2</v>
      </c>
      <c r="F57" t="s">
        <v>4283</v>
      </c>
      <c r="G57">
        <f t="shared" si="0"/>
        <v>109</v>
      </c>
    </row>
    <row r="58" spans="1:7">
      <c r="A58" s="1">
        <v>115</v>
      </c>
      <c r="B58" s="6">
        <f t="shared" si="3"/>
        <v>2</v>
      </c>
      <c r="C58" s="1" t="s">
        <v>5298</v>
      </c>
      <c r="D58" s="1">
        <f t="shared" si="4"/>
        <v>2</v>
      </c>
      <c r="F58" t="s">
        <v>4283</v>
      </c>
      <c r="G58">
        <f t="shared" si="0"/>
        <v>109</v>
      </c>
    </row>
    <row r="59" spans="1:7">
      <c r="A59" s="1">
        <v>116</v>
      </c>
      <c r="B59" s="6">
        <f t="shared" si="3"/>
        <v>2</v>
      </c>
      <c r="C59" s="1" t="s">
        <v>4487</v>
      </c>
      <c r="D59" s="1">
        <f t="shared" si="4"/>
        <v>2</v>
      </c>
      <c r="F59" t="s">
        <v>4283</v>
      </c>
      <c r="G59">
        <f t="shared" si="0"/>
        <v>109</v>
      </c>
    </row>
    <row r="60" spans="1:7">
      <c r="A60" s="1">
        <v>117</v>
      </c>
      <c r="B60" s="6">
        <f t="shared" si="3"/>
        <v>2</v>
      </c>
      <c r="C60" s="1" t="s">
        <v>4421</v>
      </c>
      <c r="D60" s="1">
        <f t="shared" si="4"/>
        <v>2</v>
      </c>
      <c r="F60" t="s">
        <v>4283</v>
      </c>
      <c r="G60">
        <f t="shared" si="0"/>
        <v>109</v>
      </c>
    </row>
    <row r="61" spans="1:7">
      <c r="A61" s="1">
        <v>118</v>
      </c>
      <c r="B61" s="6">
        <f t="shared" si="3"/>
        <v>2</v>
      </c>
      <c r="C61" s="1" t="s">
        <v>4420</v>
      </c>
      <c r="D61" s="1">
        <f t="shared" si="4"/>
        <v>2</v>
      </c>
      <c r="F61" t="s">
        <v>4284</v>
      </c>
      <c r="G61">
        <f t="shared" si="0"/>
        <v>10001</v>
      </c>
    </row>
    <row r="62" spans="1:7">
      <c r="A62" s="1">
        <v>119</v>
      </c>
      <c r="B62" s="6">
        <f t="shared" si="3"/>
        <v>2</v>
      </c>
      <c r="C62" s="1" t="s">
        <v>4422</v>
      </c>
      <c r="D62" s="1">
        <f t="shared" si="4"/>
        <v>2</v>
      </c>
      <c r="F62" t="s">
        <v>4284</v>
      </c>
      <c r="G62">
        <f t="shared" si="0"/>
        <v>10001</v>
      </c>
    </row>
    <row r="63" spans="1:7">
      <c r="A63" s="1">
        <v>120</v>
      </c>
      <c r="B63" s="6">
        <f t="shared" si="3"/>
        <v>2</v>
      </c>
      <c r="C63" s="1" t="s">
        <v>5299</v>
      </c>
      <c r="D63" s="1">
        <f t="shared" si="4"/>
        <v>2</v>
      </c>
      <c r="F63" t="s">
        <v>4284</v>
      </c>
      <c r="G63">
        <f t="shared" si="0"/>
        <v>10001</v>
      </c>
    </row>
    <row r="64" spans="1:7">
      <c r="A64" s="1">
        <v>121</v>
      </c>
      <c r="B64" s="6">
        <f t="shared" si="3"/>
        <v>2</v>
      </c>
      <c r="C64" s="1" t="s">
        <v>4552</v>
      </c>
      <c r="D64" s="1">
        <f t="shared" si="4"/>
        <v>3</v>
      </c>
      <c r="F64" t="s">
        <v>4284</v>
      </c>
      <c r="G64">
        <f t="shared" si="0"/>
        <v>10001</v>
      </c>
    </row>
    <row r="65" spans="1:7">
      <c r="A65" s="1">
        <v>122</v>
      </c>
      <c r="B65" s="6">
        <f t="shared" si="3"/>
        <v>2</v>
      </c>
      <c r="C65" s="1" t="s">
        <v>4554</v>
      </c>
      <c r="D65" s="1">
        <f t="shared" si="4"/>
        <v>3</v>
      </c>
      <c r="F65" t="s">
        <v>4284</v>
      </c>
      <c r="G65">
        <f t="shared" si="0"/>
        <v>10001</v>
      </c>
    </row>
    <row r="66" spans="1:7">
      <c r="A66" s="1">
        <v>123</v>
      </c>
      <c r="B66" s="6">
        <f t="shared" si="3"/>
        <v>2</v>
      </c>
      <c r="C66" s="1" t="s">
        <v>4553</v>
      </c>
      <c r="D66" s="1">
        <f t="shared" si="4"/>
        <v>3</v>
      </c>
      <c r="F66" t="s">
        <v>4284</v>
      </c>
      <c r="G66">
        <f t="shared" si="0"/>
        <v>10001</v>
      </c>
    </row>
    <row r="67" spans="1:7">
      <c r="A67" s="1">
        <v>124</v>
      </c>
      <c r="B67" s="6">
        <f t="shared" si="3"/>
        <v>2</v>
      </c>
      <c r="C67" s="1" t="s">
        <v>4555</v>
      </c>
      <c r="D67" s="1">
        <f t="shared" si="4"/>
        <v>3</v>
      </c>
      <c r="F67" t="s">
        <v>4284</v>
      </c>
      <c r="G67">
        <f t="shared" si="0"/>
        <v>10001</v>
      </c>
    </row>
    <row r="68" spans="1:7">
      <c r="A68" s="1">
        <v>125</v>
      </c>
      <c r="B68" s="6">
        <f t="shared" si="3"/>
        <v>2</v>
      </c>
      <c r="C68" s="1" t="s">
        <v>5300</v>
      </c>
      <c r="D68" s="1">
        <f t="shared" si="4"/>
        <v>3</v>
      </c>
      <c r="F68" t="s">
        <v>4284</v>
      </c>
      <c r="G68">
        <f t="shared" si="0"/>
        <v>10001</v>
      </c>
    </row>
    <row r="69" spans="1:7">
      <c r="A69" s="1">
        <v>126</v>
      </c>
      <c r="B69" s="6">
        <f t="shared" si="3"/>
        <v>2</v>
      </c>
      <c r="C69" s="1" t="s">
        <v>4623</v>
      </c>
      <c r="D69" s="1">
        <f t="shared" si="4"/>
        <v>3</v>
      </c>
      <c r="F69" t="s">
        <v>4284</v>
      </c>
      <c r="G69">
        <f t="shared" ref="G69:G132" si="5">_xlfn.XLOOKUP(F69,$C$4:$C$220,$A$4:$A$220)</f>
        <v>10001</v>
      </c>
    </row>
    <row r="70" spans="1:7">
      <c r="A70" s="1">
        <v>127</v>
      </c>
      <c r="B70" s="6">
        <f t="shared" si="3"/>
        <v>2</v>
      </c>
      <c r="C70" s="1" t="s">
        <v>4557</v>
      </c>
      <c r="D70" s="1">
        <f t="shared" si="4"/>
        <v>3</v>
      </c>
      <c r="F70" t="s">
        <v>4284</v>
      </c>
      <c r="G70">
        <f t="shared" si="5"/>
        <v>10001</v>
      </c>
    </row>
    <row r="71" spans="1:7">
      <c r="A71" s="1">
        <v>128</v>
      </c>
      <c r="B71" s="6">
        <f t="shared" si="3"/>
        <v>2</v>
      </c>
      <c r="C71" s="1" t="s">
        <v>4556</v>
      </c>
      <c r="D71" s="1">
        <f t="shared" si="4"/>
        <v>3</v>
      </c>
      <c r="F71" t="s">
        <v>4284</v>
      </c>
      <c r="G71">
        <f t="shared" si="5"/>
        <v>10001</v>
      </c>
    </row>
    <row r="72" spans="1:7">
      <c r="A72" s="1">
        <v>129</v>
      </c>
      <c r="B72" s="6">
        <f t="shared" si="3"/>
        <v>2</v>
      </c>
      <c r="C72" s="1" t="s">
        <v>4558</v>
      </c>
      <c r="D72" s="1">
        <f t="shared" si="4"/>
        <v>3</v>
      </c>
      <c r="F72" t="s">
        <v>4284</v>
      </c>
      <c r="G72">
        <f t="shared" si="5"/>
        <v>10001</v>
      </c>
    </row>
    <row r="73" spans="1:7">
      <c r="A73" s="1">
        <v>130</v>
      </c>
      <c r="B73" s="6">
        <f t="shared" si="3"/>
        <v>2</v>
      </c>
      <c r="C73" s="1" t="s">
        <v>5301</v>
      </c>
      <c r="D73" s="1">
        <f t="shared" si="4"/>
        <v>3</v>
      </c>
      <c r="F73" t="s">
        <v>4284</v>
      </c>
      <c r="G73">
        <f t="shared" si="5"/>
        <v>10001</v>
      </c>
    </row>
    <row r="74" spans="1:7">
      <c r="A74" s="1">
        <v>131</v>
      </c>
      <c r="B74" s="6">
        <f t="shared" si="3"/>
        <v>2</v>
      </c>
      <c r="C74" s="1" t="s">
        <v>4688</v>
      </c>
      <c r="D74" s="1">
        <f t="shared" si="4"/>
        <v>4</v>
      </c>
      <c r="F74" t="s">
        <v>4284</v>
      </c>
      <c r="G74">
        <f t="shared" si="5"/>
        <v>10001</v>
      </c>
    </row>
    <row r="75" spans="1:7">
      <c r="A75" s="1">
        <v>132</v>
      </c>
      <c r="B75" s="6">
        <f t="shared" si="3"/>
        <v>2</v>
      </c>
      <c r="C75" s="1" t="s">
        <v>4690</v>
      </c>
      <c r="D75" s="1">
        <f t="shared" si="4"/>
        <v>4</v>
      </c>
      <c r="F75" t="s">
        <v>4284</v>
      </c>
      <c r="G75">
        <f t="shared" si="5"/>
        <v>10001</v>
      </c>
    </row>
    <row r="76" spans="1:7">
      <c r="A76" s="1">
        <v>133</v>
      </c>
      <c r="B76" s="6">
        <f t="shared" si="3"/>
        <v>2</v>
      </c>
      <c r="C76" s="1" t="s">
        <v>4689</v>
      </c>
      <c r="D76" s="1">
        <f t="shared" si="4"/>
        <v>4</v>
      </c>
      <c r="F76" t="s">
        <v>4284</v>
      </c>
      <c r="G76">
        <f t="shared" si="5"/>
        <v>10001</v>
      </c>
    </row>
    <row r="77" spans="1:7">
      <c r="A77" s="1">
        <v>134</v>
      </c>
      <c r="B77" s="6">
        <f t="shared" si="3"/>
        <v>2</v>
      </c>
      <c r="C77" s="1" t="s">
        <v>4691</v>
      </c>
      <c r="D77" s="1">
        <f t="shared" si="4"/>
        <v>4</v>
      </c>
      <c r="F77" t="s">
        <v>4284</v>
      </c>
      <c r="G77">
        <f t="shared" si="5"/>
        <v>10001</v>
      </c>
    </row>
    <row r="78" spans="1:7">
      <c r="A78" s="1">
        <v>135</v>
      </c>
      <c r="B78" s="6">
        <f t="shared" si="3"/>
        <v>2</v>
      </c>
      <c r="C78" s="1" t="s">
        <v>5302</v>
      </c>
      <c r="D78" s="1">
        <f t="shared" si="4"/>
        <v>4</v>
      </c>
      <c r="F78" t="s">
        <v>4284</v>
      </c>
      <c r="G78">
        <f t="shared" si="5"/>
        <v>10001</v>
      </c>
    </row>
    <row r="79" spans="1:7">
      <c r="A79" s="1">
        <v>136</v>
      </c>
      <c r="B79" s="6">
        <f t="shared" si="3"/>
        <v>2</v>
      </c>
      <c r="C79" s="1" t="s">
        <v>4759</v>
      </c>
      <c r="D79" s="1">
        <f t="shared" si="4"/>
        <v>4</v>
      </c>
      <c r="F79" t="s">
        <v>4284</v>
      </c>
      <c r="G79">
        <f t="shared" si="5"/>
        <v>10001</v>
      </c>
    </row>
    <row r="80" spans="1:7">
      <c r="A80" s="1">
        <v>137</v>
      </c>
      <c r="B80" s="6">
        <f t="shared" si="3"/>
        <v>2</v>
      </c>
      <c r="C80" s="1" t="s">
        <v>4693</v>
      </c>
      <c r="D80" s="1">
        <f t="shared" si="4"/>
        <v>4</v>
      </c>
      <c r="F80" t="s">
        <v>4284</v>
      </c>
      <c r="G80">
        <f t="shared" si="5"/>
        <v>10001</v>
      </c>
    </row>
    <row r="81" spans="1:7">
      <c r="A81" s="1">
        <v>138</v>
      </c>
      <c r="B81" s="6">
        <f t="shared" si="3"/>
        <v>2</v>
      </c>
      <c r="C81" s="1" t="s">
        <v>4692</v>
      </c>
      <c r="D81" s="1">
        <f t="shared" si="4"/>
        <v>4</v>
      </c>
      <c r="F81" t="s">
        <v>4284</v>
      </c>
      <c r="G81">
        <f t="shared" si="5"/>
        <v>10001</v>
      </c>
    </row>
    <row r="82" spans="1:7">
      <c r="A82" s="1">
        <v>139</v>
      </c>
      <c r="B82" s="6">
        <f t="shared" si="3"/>
        <v>2</v>
      </c>
      <c r="C82" s="1" t="s">
        <v>4694</v>
      </c>
      <c r="D82" s="1">
        <f t="shared" si="4"/>
        <v>4</v>
      </c>
      <c r="F82" t="s">
        <v>4306</v>
      </c>
      <c r="G82">
        <f t="shared" si="5"/>
        <v>10002</v>
      </c>
    </row>
    <row r="83" spans="1:7">
      <c r="A83" s="1">
        <v>140</v>
      </c>
      <c r="B83" s="6">
        <f t="shared" si="3"/>
        <v>2</v>
      </c>
      <c r="C83" s="1" t="s">
        <v>5303</v>
      </c>
      <c r="D83" s="1">
        <f t="shared" si="4"/>
        <v>4</v>
      </c>
      <c r="F83" t="s">
        <v>4306</v>
      </c>
      <c r="G83">
        <f t="shared" si="5"/>
        <v>10002</v>
      </c>
    </row>
    <row r="84" spans="1:7">
      <c r="A84" s="1">
        <v>141</v>
      </c>
      <c r="B84" s="6">
        <f t="shared" si="3"/>
        <v>2</v>
      </c>
      <c r="C84" s="1" t="s">
        <v>4824</v>
      </c>
      <c r="D84" s="1">
        <f t="shared" si="4"/>
        <v>5</v>
      </c>
      <c r="F84" t="s">
        <v>4306</v>
      </c>
      <c r="G84">
        <f t="shared" si="5"/>
        <v>10002</v>
      </c>
    </row>
    <row r="85" spans="1:7">
      <c r="A85" s="1">
        <v>142</v>
      </c>
      <c r="B85" s="6">
        <f t="shared" si="3"/>
        <v>2</v>
      </c>
      <c r="C85" s="1" t="s">
        <v>4826</v>
      </c>
      <c r="D85" s="1">
        <f t="shared" si="4"/>
        <v>5</v>
      </c>
      <c r="F85" t="s">
        <v>4306</v>
      </c>
      <c r="G85">
        <f t="shared" si="5"/>
        <v>10002</v>
      </c>
    </row>
    <row r="86" spans="1:7">
      <c r="A86" s="1">
        <v>143</v>
      </c>
      <c r="B86" s="6">
        <f t="shared" si="3"/>
        <v>2</v>
      </c>
      <c r="C86" s="1" t="s">
        <v>4825</v>
      </c>
      <c r="D86" s="1">
        <f t="shared" si="4"/>
        <v>5</v>
      </c>
      <c r="F86" t="s">
        <v>4306</v>
      </c>
      <c r="G86">
        <f t="shared" si="5"/>
        <v>10002</v>
      </c>
    </row>
    <row r="87" spans="1:7">
      <c r="A87" s="1">
        <v>144</v>
      </c>
      <c r="B87" s="6">
        <f t="shared" si="3"/>
        <v>2</v>
      </c>
      <c r="C87" s="1" t="s">
        <v>4827</v>
      </c>
      <c r="D87" s="1">
        <f t="shared" si="4"/>
        <v>5</v>
      </c>
      <c r="F87" t="s">
        <v>4306</v>
      </c>
      <c r="G87">
        <f t="shared" si="5"/>
        <v>10002</v>
      </c>
    </row>
    <row r="88" spans="1:7">
      <c r="A88" s="1">
        <v>145</v>
      </c>
      <c r="B88" s="6">
        <f t="shared" si="3"/>
        <v>2</v>
      </c>
      <c r="C88" s="1" t="s">
        <v>5304</v>
      </c>
      <c r="D88" s="1">
        <f t="shared" si="4"/>
        <v>5</v>
      </c>
      <c r="F88" t="s">
        <v>4306</v>
      </c>
      <c r="G88">
        <f t="shared" si="5"/>
        <v>10002</v>
      </c>
    </row>
    <row r="89" spans="1:7">
      <c r="A89" s="1">
        <v>146</v>
      </c>
      <c r="B89" s="6">
        <f t="shared" si="3"/>
        <v>2</v>
      </c>
      <c r="C89" s="1" t="s">
        <v>4895</v>
      </c>
      <c r="D89" s="1">
        <f t="shared" si="4"/>
        <v>5</v>
      </c>
      <c r="F89" t="s">
        <v>4306</v>
      </c>
      <c r="G89">
        <f t="shared" si="5"/>
        <v>10002</v>
      </c>
    </row>
    <row r="90" spans="1:7">
      <c r="A90" s="1">
        <v>147</v>
      </c>
      <c r="B90" s="6">
        <f t="shared" si="3"/>
        <v>2</v>
      </c>
      <c r="C90" s="1" t="s">
        <v>4829</v>
      </c>
      <c r="D90" s="1">
        <f t="shared" si="4"/>
        <v>5</v>
      </c>
      <c r="F90" t="s">
        <v>4306</v>
      </c>
      <c r="G90">
        <f t="shared" si="5"/>
        <v>10002</v>
      </c>
    </row>
    <row r="91" spans="1:7">
      <c r="A91" s="1">
        <v>148</v>
      </c>
      <c r="B91" s="6">
        <f t="shared" si="3"/>
        <v>2</v>
      </c>
      <c r="C91" s="1" t="s">
        <v>4828</v>
      </c>
      <c r="D91" s="1">
        <f t="shared" si="4"/>
        <v>5</v>
      </c>
      <c r="F91" t="s">
        <v>4306</v>
      </c>
      <c r="G91">
        <f t="shared" si="5"/>
        <v>10002</v>
      </c>
    </row>
    <row r="92" spans="1:7">
      <c r="A92" s="1">
        <v>149</v>
      </c>
      <c r="B92" s="6">
        <f t="shared" si="3"/>
        <v>2</v>
      </c>
      <c r="C92" s="1" t="s">
        <v>4830</v>
      </c>
      <c r="D92" s="1">
        <f t="shared" si="4"/>
        <v>5</v>
      </c>
      <c r="F92" t="s">
        <v>4306</v>
      </c>
      <c r="G92">
        <f t="shared" si="5"/>
        <v>10002</v>
      </c>
    </row>
    <row r="93" spans="1:7">
      <c r="A93" s="1">
        <v>150</v>
      </c>
      <c r="B93" s="6">
        <f t="shared" si="3"/>
        <v>2</v>
      </c>
      <c r="C93" s="1" t="s">
        <v>5305</v>
      </c>
      <c r="D93" s="1">
        <f t="shared" si="4"/>
        <v>5</v>
      </c>
      <c r="F93" t="s">
        <v>4306</v>
      </c>
      <c r="G93">
        <f t="shared" si="5"/>
        <v>10002</v>
      </c>
    </row>
    <row r="94" spans="1:7">
      <c r="A94" s="1">
        <v>151</v>
      </c>
      <c r="B94" s="6">
        <f t="shared" si="3"/>
        <v>2</v>
      </c>
      <c r="C94" s="1" t="s">
        <v>5306</v>
      </c>
      <c r="D94" s="1">
        <f t="shared" si="4"/>
        <v>6</v>
      </c>
      <c r="F94" t="s">
        <v>4306</v>
      </c>
      <c r="G94">
        <f t="shared" si="5"/>
        <v>10002</v>
      </c>
    </row>
    <row r="95" spans="1:7">
      <c r="A95" s="1">
        <v>152</v>
      </c>
      <c r="B95" s="6">
        <f t="shared" si="3"/>
        <v>2</v>
      </c>
      <c r="C95" s="1" t="s">
        <v>5307</v>
      </c>
      <c r="D95" s="1">
        <f t="shared" si="4"/>
        <v>6</v>
      </c>
      <c r="F95" t="s">
        <v>4306</v>
      </c>
      <c r="G95">
        <f t="shared" si="5"/>
        <v>10002</v>
      </c>
    </row>
    <row r="96" spans="1:7">
      <c r="A96" s="1">
        <v>153</v>
      </c>
      <c r="B96" s="6">
        <f t="shared" si="3"/>
        <v>2</v>
      </c>
      <c r="C96" s="1" t="s">
        <v>5308</v>
      </c>
      <c r="D96" s="1">
        <f t="shared" si="4"/>
        <v>6</v>
      </c>
      <c r="F96" t="s">
        <v>4306</v>
      </c>
      <c r="G96">
        <f t="shared" si="5"/>
        <v>10002</v>
      </c>
    </row>
    <row r="97" spans="1:7">
      <c r="A97" s="1">
        <v>154</v>
      </c>
      <c r="B97" s="6">
        <f t="shared" si="3"/>
        <v>2</v>
      </c>
      <c r="C97" s="1" t="s">
        <v>5309</v>
      </c>
      <c r="D97" s="1">
        <f t="shared" si="4"/>
        <v>6</v>
      </c>
      <c r="F97" t="s">
        <v>4306</v>
      </c>
      <c r="G97">
        <f t="shared" si="5"/>
        <v>10002</v>
      </c>
    </row>
    <row r="98" spans="1:7">
      <c r="A98" s="1">
        <v>155</v>
      </c>
      <c r="B98" s="6">
        <f t="shared" si="3"/>
        <v>2</v>
      </c>
      <c r="C98" s="1" t="s">
        <v>5310</v>
      </c>
      <c r="D98" s="1">
        <f t="shared" si="4"/>
        <v>6</v>
      </c>
      <c r="F98" t="s">
        <v>4306</v>
      </c>
      <c r="G98">
        <f t="shared" si="5"/>
        <v>10002</v>
      </c>
    </row>
    <row r="99" spans="1:7">
      <c r="A99" s="1">
        <v>156</v>
      </c>
      <c r="B99" s="6">
        <f t="shared" si="3"/>
        <v>2</v>
      </c>
      <c r="C99" s="1" t="s">
        <v>5311</v>
      </c>
      <c r="D99" s="1">
        <f t="shared" si="4"/>
        <v>6</v>
      </c>
      <c r="F99" t="s">
        <v>4306</v>
      </c>
      <c r="G99">
        <f t="shared" si="5"/>
        <v>10002</v>
      </c>
    </row>
    <row r="100" spans="1:7">
      <c r="A100" s="1">
        <v>157</v>
      </c>
      <c r="B100" s="6">
        <f t="shared" si="3"/>
        <v>2</v>
      </c>
      <c r="C100" s="1" t="s">
        <v>5312</v>
      </c>
      <c r="D100" s="1">
        <f t="shared" si="4"/>
        <v>6</v>
      </c>
      <c r="F100" t="s">
        <v>4306</v>
      </c>
      <c r="G100">
        <f t="shared" si="5"/>
        <v>10002</v>
      </c>
    </row>
    <row r="101" spans="1:7">
      <c r="A101" s="1">
        <v>158</v>
      </c>
      <c r="B101" s="6">
        <f t="shared" si="3"/>
        <v>2</v>
      </c>
      <c r="C101" s="1" t="s">
        <v>5313</v>
      </c>
      <c r="D101" s="1">
        <f t="shared" si="4"/>
        <v>6</v>
      </c>
      <c r="F101" t="s">
        <v>4306</v>
      </c>
      <c r="G101">
        <f t="shared" si="5"/>
        <v>10002</v>
      </c>
    </row>
    <row r="102" spans="1:7">
      <c r="A102" s="1">
        <v>159</v>
      </c>
      <c r="B102" s="6">
        <f t="shared" si="3"/>
        <v>2</v>
      </c>
      <c r="C102" s="1" t="s">
        <v>5314</v>
      </c>
      <c r="D102" s="1">
        <f t="shared" si="4"/>
        <v>6</v>
      </c>
      <c r="F102" t="s">
        <v>4306</v>
      </c>
      <c r="G102">
        <f t="shared" si="5"/>
        <v>10002</v>
      </c>
    </row>
    <row r="103" spans="1:7">
      <c r="A103" s="1">
        <v>160</v>
      </c>
      <c r="B103" s="6">
        <f t="shared" si="3"/>
        <v>2</v>
      </c>
      <c r="C103" s="1" t="s">
        <v>5315</v>
      </c>
      <c r="D103" s="1">
        <f t="shared" si="4"/>
        <v>6</v>
      </c>
      <c r="F103" t="s">
        <v>4327</v>
      </c>
      <c r="G103">
        <f t="shared" si="5"/>
        <v>10003</v>
      </c>
    </row>
    <row r="104" spans="1:7">
      <c r="A104" s="1">
        <v>161</v>
      </c>
      <c r="B104" s="6">
        <f t="shared" si="3"/>
        <v>2</v>
      </c>
      <c r="C104" s="1" t="s">
        <v>5316</v>
      </c>
      <c r="D104" s="1">
        <f t="shared" si="4"/>
        <v>7</v>
      </c>
      <c r="F104" t="s">
        <v>4327</v>
      </c>
      <c r="G104">
        <f t="shared" si="5"/>
        <v>10003</v>
      </c>
    </row>
    <row r="105" spans="1:7">
      <c r="A105" s="1">
        <v>162</v>
      </c>
      <c r="B105" s="6">
        <f t="shared" si="3"/>
        <v>2</v>
      </c>
      <c r="C105" s="1" t="s">
        <v>5317</v>
      </c>
      <c r="D105" s="1">
        <f t="shared" si="4"/>
        <v>7</v>
      </c>
      <c r="F105" t="s">
        <v>4327</v>
      </c>
      <c r="G105">
        <f t="shared" si="5"/>
        <v>10003</v>
      </c>
    </row>
    <row r="106" spans="1:7">
      <c r="A106" s="1">
        <v>163</v>
      </c>
      <c r="B106" s="6">
        <f t="shared" si="3"/>
        <v>2</v>
      </c>
      <c r="C106" s="1" t="s">
        <v>5318</v>
      </c>
      <c r="D106" s="1">
        <f t="shared" si="4"/>
        <v>7</v>
      </c>
      <c r="F106" t="s">
        <v>4327</v>
      </c>
      <c r="G106">
        <f t="shared" si="5"/>
        <v>10003</v>
      </c>
    </row>
    <row r="107" spans="1:7">
      <c r="A107" s="1">
        <v>164</v>
      </c>
      <c r="B107" s="6">
        <f t="shared" si="3"/>
        <v>2</v>
      </c>
      <c r="C107" s="1" t="s">
        <v>5319</v>
      </c>
      <c r="D107" s="1">
        <f t="shared" si="4"/>
        <v>7</v>
      </c>
      <c r="F107" t="s">
        <v>4327</v>
      </c>
      <c r="G107">
        <f t="shared" si="5"/>
        <v>10003</v>
      </c>
    </row>
    <row r="108" spans="1:7">
      <c r="A108" s="1">
        <v>165</v>
      </c>
      <c r="B108" s="6">
        <f t="shared" si="3"/>
        <v>2</v>
      </c>
      <c r="C108" s="1" t="s">
        <v>5320</v>
      </c>
      <c r="D108" s="1">
        <f t="shared" si="4"/>
        <v>7</v>
      </c>
      <c r="F108" t="s">
        <v>4327</v>
      </c>
      <c r="G108">
        <f t="shared" si="5"/>
        <v>10003</v>
      </c>
    </row>
    <row r="109" spans="1:7">
      <c r="A109" s="1">
        <v>166</v>
      </c>
      <c r="B109" s="6">
        <f t="shared" si="3"/>
        <v>2</v>
      </c>
      <c r="C109" s="1" t="s">
        <v>5321</v>
      </c>
      <c r="D109" s="1">
        <f t="shared" si="4"/>
        <v>7</v>
      </c>
      <c r="F109" t="s">
        <v>4327</v>
      </c>
      <c r="G109">
        <f t="shared" si="5"/>
        <v>10003</v>
      </c>
    </row>
    <row r="110" spans="1:7">
      <c r="A110" s="1">
        <v>167</v>
      </c>
      <c r="B110" s="6">
        <f t="shared" si="3"/>
        <v>2</v>
      </c>
      <c r="C110" s="1" t="s">
        <v>5322</v>
      </c>
      <c r="D110" s="1">
        <f t="shared" si="4"/>
        <v>7</v>
      </c>
      <c r="F110" t="s">
        <v>4327</v>
      </c>
      <c r="G110">
        <f t="shared" si="5"/>
        <v>10003</v>
      </c>
    </row>
    <row r="111" spans="1:7">
      <c r="A111" s="1">
        <v>168</v>
      </c>
      <c r="B111" s="6">
        <f t="shared" si="3"/>
        <v>2</v>
      </c>
      <c r="C111" s="1" t="s">
        <v>5323</v>
      </c>
      <c r="D111" s="1">
        <f t="shared" si="4"/>
        <v>7</v>
      </c>
      <c r="F111" t="s">
        <v>4327</v>
      </c>
      <c r="G111">
        <f t="shared" si="5"/>
        <v>10003</v>
      </c>
    </row>
    <row r="112" spans="1:7">
      <c r="A112" s="1">
        <v>169</v>
      </c>
      <c r="B112" s="6">
        <f t="shared" si="3"/>
        <v>2</v>
      </c>
      <c r="C112" s="1" t="s">
        <v>5324</v>
      </c>
      <c r="D112" s="1">
        <f t="shared" si="4"/>
        <v>7</v>
      </c>
      <c r="F112" t="s">
        <v>4327</v>
      </c>
      <c r="G112">
        <f t="shared" si="5"/>
        <v>10003</v>
      </c>
    </row>
    <row r="113" spans="1:7">
      <c r="A113" s="1">
        <v>170</v>
      </c>
      <c r="B113" s="6">
        <f t="shared" si="3"/>
        <v>2</v>
      </c>
      <c r="C113" s="1" t="s">
        <v>5325</v>
      </c>
      <c r="D113" s="1">
        <f t="shared" si="4"/>
        <v>7</v>
      </c>
      <c r="F113" t="s">
        <v>4327</v>
      </c>
      <c r="G113">
        <f t="shared" si="5"/>
        <v>10003</v>
      </c>
    </row>
    <row r="114" spans="1:7">
      <c r="A114" s="1">
        <v>171</v>
      </c>
      <c r="B114" s="6">
        <f t="shared" si="3"/>
        <v>2</v>
      </c>
      <c r="C114" s="1" t="s">
        <v>5025</v>
      </c>
      <c r="D114" s="1">
        <f t="shared" si="4"/>
        <v>8</v>
      </c>
      <c r="F114" t="s">
        <v>4327</v>
      </c>
      <c r="G114">
        <f t="shared" si="5"/>
        <v>10003</v>
      </c>
    </row>
    <row r="115" spans="1:7">
      <c r="A115" s="1">
        <v>172</v>
      </c>
      <c r="B115" s="6">
        <f t="shared" si="3"/>
        <v>2</v>
      </c>
      <c r="C115" s="1" t="s">
        <v>5027</v>
      </c>
      <c r="D115" s="1">
        <f t="shared" si="4"/>
        <v>8</v>
      </c>
      <c r="F115" t="s">
        <v>4327</v>
      </c>
      <c r="G115">
        <f t="shared" si="5"/>
        <v>10003</v>
      </c>
    </row>
    <row r="116" spans="1:7">
      <c r="A116" s="1">
        <v>173</v>
      </c>
      <c r="B116" s="6">
        <f t="shared" si="3"/>
        <v>2</v>
      </c>
      <c r="C116" s="1" t="s">
        <v>5026</v>
      </c>
      <c r="D116" s="1">
        <f t="shared" si="4"/>
        <v>8</v>
      </c>
      <c r="F116" t="s">
        <v>4327</v>
      </c>
      <c r="G116">
        <f t="shared" si="5"/>
        <v>10003</v>
      </c>
    </row>
    <row r="117" spans="1:7">
      <c r="A117" s="1">
        <v>174</v>
      </c>
      <c r="B117" s="6">
        <f t="shared" si="3"/>
        <v>2</v>
      </c>
      <c r="C117" s="1" t="s">
        <v>5028</v>
      </c>
      <c r="D117" s="1">
        <f t="shared" si="4"/>
        <v>8</v>
      </c>
      <c r="F117" t="s">
        <v>4327</v>
      </c>
      <c r="G117">
        <f t="shared" si="5"/>
        <v>10003</v>
      </c>
    </row>
    <row r="118" spans="1:7">
      <c r="A118" s="1">
        <v>175</v>
      </c>
      <c r="B118" s="6">
        <f t="shared" ref="B118:B122" si="6">IF(J118="值",1,2)</f>
        <v>2</v>
      </c>
      <c r="C118" s="1" t="s">
        <v>5326</v>
      </c>
      <c r="D118" s="1">
        <f t="shared" ref="D118:D123" si="7">D108+1</f>
        <v>8</v>
      </c>
      <c r="F118" t="s">
        <v>4327</v>
      </c>
      <c r="G118">
        <f t="shared" si="5"/>
        <v>10003</v>
      </c>
    </row>
    <row r="119" spans="1:7">
      <c r="A119" s="1">
        <v>176</v>
      </c>
      <c r="B119" s="6">
        <f t="shared" si="6"/>
        <v>2</v>
      </c>
      <c r="C119" s="1" t="s">
        <v>5327</v>
      </c>
      <c r="D119" s="1">
        <f t="shared" si="7"/>
        <v>8</v>
      </c>
      <c r="F119" t="s">
        <v>4327</v>
      </c>
      <c r="G119">
        <f t="shared" si="5"/>
        <v>10003</v>
      </c>
    </row>
    <row r="120" spans="1:7">
      <c r="A120" s="1">
        <v>177</v>
      </c>
      <c r="B120" s="6">
        <f t="shared" si="6"/>
        <v>2</v>
      </c>
      <c r="C120" s="1" t="s">
        <v>5030</v>
      </c>
      <c r="D120" s="1">
        <f t="shared" si="7"/>
        <v>8</v>
      </c>
      <c r="F120" t="s">
        <v>4327</v>
      </c>
      <c r="G120">
        <f t="shared" si="5"/>
        <v>10003</v>
      </c>
    </row>
    <row r="121" spans="1:7">
      <c r="A121" s="1">
        <v>178</v>
      </c>
      <c r="B121" s="6">
        <f t="shared" si="6"/>
        <v>2</v>
      </c>
      <c r="C121" s="1" t="s">
        <v>5029</v>
      </c>
      <c r="D121" s="1">
        <f t="shared" si="7"/>
        <v>8</v>
      </c>
      <c r="F121" t="s">
        <v>4327</v>
      </c>
      <c r="G121">
        <f t="shared" si="5"/>
        <v>10003</v>
      </c>
    </row>
    <row r="122" spans="1:7">
      <c r="A122" s="1">
        <v>179</v>
      </c>
      <c r="B122" s="6">
        <f t="shared" si="6"/>
        <v>2</v>
      </c>
      <c r="C122" s="1" t="s">
        <v>5031</v>
      </c>
      <c r="D122" s="1">
        <f t="shared" si="7"/>
        <v>8</v>
      </c>
      <c r="F122" t="s">
        <v>4327</v>
      </c>
      <c r="G122">
        <f t="shared" si="5"/>
        <v>10003</v>
      </c>
    </row>
    <row r="123" spans="1:7">
      <c r="A123" s="1">
        <v>180</v>
      </c>
      <c r="B123" s="6">
        <f>IF(J1104="值",1,2)</f>
        <v>2</v>
      </c>
      <c r="C123" s="1" t="s">
        <v>5328</v>
      </c>
      <c r="D123" s="1">
        <f t="shared" si="7"/>
        <v>8</v>
      </c>
      <c r="F123" t="s">
        <v>4327</v>
      </c>
      <c r="G123">
        <f t="shared" si="5"/>
        <v>10003</v>
      </c>
    </row>
    <row r="124" spans="1:7">
      <c r="A124" s="1">
        <v>1001</v>
      </c>
      <c r="B124" s="6">
        <f t="shared" ref="B124:B148" si="8">IF(J124="值",1,2)</f>
        <v>2</v>
      </c>
      <c r="C124" s="1" t="s">
        <v>5329</v>
      </c>
      <c r="D124" s="1">
        <v>0</v>
      </c>
      <c r="F124" t="s">
        <v>4271</v>
      </c>
      <c r="G124">
        <f t="shared" si="5"/>
        <v>101</v>
      </c>
    </row>
    <row r="125" spans="1:7">
      <c r="A125" s="1">
        <v>1002</v>
      </c>
      <c r="B125" s="6">
        <f t="shared" si="8"/>
        <v>2</v>
      </c>
      <c r="C125" s="1" t="s">
        <v>5330</v>
      </c>
      <c r="D125" s="1">
        <v>0</v>
      </c>
      <c r="F125" t="s">
        <v>4271</v>
      </c>
      <c r="G125">
        <f t="shared" si="5"/>
        <v>101</v>
      </c>
    </row>
    <row r="126" spans="1:7">
      <c r="A126" s="1">
        <v>1003</v>
      </c>
      <c r="B126" s="6">
        <f t="shared" si="8"/>
        <v>2</v>
      </c>
      <c r="C126" s="1" t="s">
        <v>5331</v>
      </c>
      <c r="D126" s="1">
        <v>0</v>
      </c>
      <c r="F126" t="s">
        <v>4271</v>
      </c>
      <c r="G126">
        <f t="shared" si="5"/>
        <v>101</v>
      </c>
    </row>
    <row r="127" spans="1:7">
      <c r="A127" s="1">
        <v>1004</v>
      </c>
      <c r="B127" s="6">
        <f t="shared" si="8"/>
        <v>2</v>
      </c>
      <c r="C127" s="1" t="s">
        <v>5332</v>
      </c>
      <c r="D127" s="1">
        <v>0</v>
      </c>
      <c r="F127" t="s">
        <v>4271</v>
      </c>
      <c r="G127">
        <f t="shared" si="5"/>
        <v>101</v>
      </c>
    </row>
    <row r="128" spans="1:7">
      <c r="A128" s="1">
        <v>1005</v>
      </c>
      <c r="B128" s="6">
        <f t="shared" si="8"/>
        <v>2</v>
      </c>
      <c r="C128" s="1" t="s">
        <v>5333</v>
      </c>
      <c r="D128" s="1">
        <v>0</v>
      </c>
      <c r="F128" t="s">
        <v>4271</v>
      </c>
      <c r="G128">
        <f t="shared" si="5"/>
        <v>101</v>
      </c>
    </row>
    <row r="129" spans="1:7">
      <c r="A129" s="1">
        <v>1006</v>
      </c>
      <c r="B129" s="6">
        <f t="shared" si="8"/>
        <v>2</v>
      </c>
      <c r="C129" s="1" t="s">
        <v>5334</v>
      </c>
      <c r="D129" s="1">
        <v>0</v>
      </c>
      <c r="F129" t="s">
        <v>4271</v>
      </c>
      <c r="G129">
        <f t="shared" si="5"/>
        <v>101</v>
      </c>
    </row>
    <row r="130" spans="1:7">
      <c r="A130" s="1">
        <v>1007</v>
      </c>
      <c r="B130" s="6">
        <f t="shared" si="8"/>
        <v>2</v>
      </c>
      <c r="C130" s="1" t="s">
        <v>5335</v>
      </c>
      <c r="D130" s="1">
        <v>0</v>
      </c>
      <c r="F130" t="s">
        <v>4271</v>
      </c>
      <c r="G130">
        <f t="shared" si="5"/>
        <v>101</v>
      </c>
    </row>
    <row r="131" spans="1:7">
      <c r="A131" s="1">
        <v>1008</v>
      </c>
      <c r="B131" s="6">
        <f t="shared" si="8"/>
        <v>2</v>
      </c>
      <c r="C131" s="1" t="s">
        <v>5336</v>
      </c>
      <c r="D131" s="1">
        <v>0</v>
      </c>
      <c r="F131" t="s">
        <v>4271</v>
      </c>
      <c r="G131">
        <f t="shared" si="5"/>
        <v>101</v>
      </c>
    </row>
    <row r="132" spans="1:7">
      <c r="A132" s="1">
        <v>1009</v>
      </c>
      <c r="B132" s="6">
        <f t="shared" si="8"/>
        <v>2</v>
      </c>
      <c r="C132" s="1" t="s">
        <v>5337</v>
      </c>
      <c r="D132" s="1">
        <v>0</v>
      </c>
      <c r="F132" t="s">
        <v>4271</v>
      </c>
      <c r="G132">
        <f t="shared" si="5"/>
        <v>101</v>
      </c>
    </row>
    <row r="133" spans="1:7">
      <c r="A133" s="1">
        <v>1010</v>
      </c>
      <c r="B133" s="6">
        <f t="shared" si="8"/>
        <v>2</v>
      </c>
      <c r="C133" s="1" t="s">
        <v>5338</v>
      </c>
      <c r="D133" s="1">
        <v>0</v>
      </c>
      <c r="F133" t="s">
        <v>4271</v>
      </c>
      <c r="G133">
        <f t="shared" ref="G133:G196" si="9">_xlfn.XLOOKUP(F133,$C$4:$C$220,$A$4:$A$220)</f>
        <v>101</v>
      </c>
    </row>
    <row r="134" spans="1:7">
      <c r="A134" s="1">
        <v>1011</v>
      </c>
      <c r="B134" s="6">
        <f t="shared" si="8"/>
        <v>2</v>
      </c>
      <c r="C134" s="1" t="s">
        <v>5339</v>
      </c>
      <c r="D134" s="1">
        <v>0</v>
      </c>
      <c r="F134" t="s">
        <v>4271</v>
      </c>
      <c r="G134">
        <f t="shared" si="9"/>
        <v>101</v>
      </c>
    </row>
    <row r="135" spans="1:7">
      <c r="A135" s="1">
        <v>1012</v>
      </c>
      <c r="B135" s="6">
        <f t="shared" si="8"/>
        <v>2</v>
      </c>
      <c r="C135" s="1" t="s">
        <v>5340</v>
      </c>
      <c r="D135" s="1">
        <v>0</v>
      </c>
      <c r="F135" t="s">
        <v>4273</v>
      </c>
      <c r="G135">
        <f t="shared" si="9"/>
        <v>103</v>
      </c>
    </row>
    <row r="136" spans="1:7">
      <c r="A136" s="1">
        <v>1013</v>
      </c>
      <c r="B136" s="6">
        <f t="shared" si="8"/>
        <v>2</v>
      </c>
      <c r="C136" s="1" t="s">
        <v>5341</v>
      </c>
      <c r="D136" s="1">
        <v>0</v>
      </c>
      <c r="F136" t="s">
        <v>4273</v>
      </c>
      <c r="G136">
        <f t="shared" si="9"/>
        <v>103</v>
      </c>
    </row>
    <row r="137" spans="1:7">
      <c r="A137" s="1">
        <v>1014</v>
      </c>
      <c r="B137" s="6">
        <f t="shared" si="8"/>
        <v>2</v>
      </c>
      <c r="C137" s="1" t="s">
        <v>5342</v>
      </c>
      <c r="D137" s="1">
        <v>0</v>
      </c>
      <c r="F137" t="s">
        <v>4273</v>
      </c>
      <c r="G137">
        <f t="shared" si="9"/>
        <v>103</v>
      </c>
    </row>
    <row r="138" spans="1:7">
      <c r="A138" s="1">
        <v>1015</v>
      </c>
      <c r="B138" s="6">
        <f t="shared" si="8"/>
        <v>2</v>
      </c>
      <c r="C138" s="1" t="s">
        <v>5343</v>
      </c>
      <c r="D138" s="1">
        <v>0</v>
      </c>
      <c r="F138" t="s">
        <v>4273</v>
      </c>
      <c r="G138">
        <f t="shared" si="9"/>
        <v>103</v>
      </c>
    </row>
    <row r="139" spans="1:7">
      <c r="A139" s="1">
        <v>1016</v>
      </c>
      <c r="B139" s="6">
        <f t="shared" si="8"/>
        <v>2</v>
      </c>
      <c r="C139" s="1" t="s">
        <v>5344</v>
      </c>
      <c r="D139" s="1">
        <v>0</v>
      </c>
      <c r="F139" t="s">
        <v>4273</v>
      </c>
      <c r="G139">
        <f t="shared" si="9"/>
        <v>103</v>
      </c>
    </row>
    <row r="140" spans="1:7">
      <c r="A140" s="1">
        <v>1017</v>
      </c>
      <c r="B140" s="6">
        <f t="shared" si="8"/>
        <v>2</v>
      </c>
      <c r="C140" s="1" t="s">
        <v>5345</v>
      </c>
      <c r="D140" s="1">
        <v>0</v>
      </c>
      <c r="F140" t="s">
        <v>4273</v>
      </c>
      <c r="G140">
        <f t="shared" si="9"/>
        <v>103</v>
      </c>
    </row>
    <row r="141" spans="1:7">
      <c r="A141" s="1">
        <v>1018</v>
      </c>
      <c r="B141" s="6">
        <f t="shared" si="8"/>
        <v>2</v>
      </c>
      <c r="C141" s="1" t="s">
        <v>5346</v>
      </c>
      <c r="D141" s="1">
        <v>0</v>
      </c>
      <c r="F141" t="s">
        <v>4273</v>
      </c>
      <c r="G141">
        <f t="shared" si="9"/>
        <v>103</v>
      </c>
    </row>
    <row r="142" spans="1:7">
      <c r="A142" s="1">
        <v>1019</v>
      </c>
      <c r="B142" s="6">
        <f t="shared" si="8"/>
        <v>2</v>
      </c>
      <c r="C142" s="1" t="s">
        <v>5347</v>
      </c>
      <c r="D142" s="1">
        <v>0</v>
      </c>
      <c r="F142" t="s">
        <v>4273</v>
      </c>
      <c r="G142">
        <f t="shared" si="9"/>
        <v>103</v>
      </c>
    </row>
    <row r="143" spans="1:7">
      <c r="A143" s="1">
        <v>1020</v>
      </c>
      <c r="B143" s="6">
        <f t="shared" si="8"/>
        <v>2</v>
      </c>
      <c r="C143" s="1" t="s">
        <v>5348</v>
      </c>
      <c r="D143" s="1">
        <v>0</v>
      </c>
      <c r="F143" t="s">
        <v>4273</v>
      </c>
      <c r="G143">
        <f t="shared" si="9"/>
        <v>103</v>
      </c>
    </row>
    <row r="144" spans="1:7">
      <c r="A144" s="1">
        <v>1021</v>
      </c>
      <c r="B144" s="6">
        <f t="shared" si="8"/>
        <v>2</v>
      </c>
      <c r="C144" s="1" t="s">
        <v>5349</v>
      </c>
      <c r="D144" s="1">
        <v>0</v>
      </c>
      <c r="F144" t="s">
        <v>4273</v>
      </c>
      <c r="G144">
        <f t="shared" si="9"/>
        <v>103</v>
      </c>
    </row>
    <row r="145" spans="1:7">
      <c r="A145" s="1">
        <v>1022</v>
      </c>
      <c r="B145" s="6">
        <f t="shared" si="8"/>
        <v>2</v>
      </c>
      <c r="C145" s="1" t="s">
        <v>5350</v>
      </c>
      <c r="D145" s="1">
        <v>0</v>
      </c>
      <c r="F145" t="s">
        <v>4273</v>
      </c>
      <c r="G145">
        <f t="shared" si="9"/>
        <v>103</v>
      </c>
    </row>
    <row r="146" spans="1:7">
      <c r="A146" s="1">
        <v>1023</v>
      </c>
      <c r="B146" s="6">
        <f t="shared" si="8"/>
        <v>2</v>
      </c>
      <c r="C146" s="1" t="s">
        <v>5351</v>
      </c>
      <c r="D146" s="1">
        <v>0</v>
      </c>
      <c r="F146" t="s">
        <v>4275</v>
      </c>
      <c r="G146">
        <f t="shared" si="9"/>
        <v>102</v>
      </c>
    </row>
    <row r="147" spans="1:7">
      <c r="A147" s="1">
        <v>1024</v>
      </c>
      <c r="B147" s="6">
        <f t="shared" si="8"/>
        <v>2</v>
      </c>
      <c r="C147" s="1" t="s">
        <v>5352</v>
      </c>
      <c r="D147" s="1">
        <v>0</v>
      </c>
      <c r="F147" t="s">
        <v>4275</v>
      </c>
      <c r="G147">
        <f t="shared" si="9"/>
        <v>102</v>
      </c>
    </row>
    <row r="148" spans="1:7">
      <c r="A148" s="1">
        <v>1025</v>
      </c>
      <c r="B148" s="6">
        <f t="shared" si="8"/>
        <v>2</v>
      </c>
      <c r="C148" s="1" t="s">
        <v>5353</v>
      </c>
      <c r="D148" s="1">
        <v>0</v>
      </c>
      <c r="F148" t="s">
        <v>4275</v>
      </c>
      <c r="G148">
        <f t="shared" si="9"/>
        <v>102</v>
      </c>
    </row>
    <row r="149" spans="1:7">
      <c r="A149" s="1">
        <v>10001</v>
      </c>
      <c r="B149" s="6">
        <v>2</v>
      </c>
      <c r="C149" s="1" t="s">
        <v>4284</v>
      </c>
      <c r="D149" s="1">
        <v>0</v>
      </c>
      <c r="F149" t="s">
        <v>4275</v>
      </c>
      <c r="G149">
        <f t="shared" si="9"/>
        <v>102</v>
      </c>
    </row>
    <row r="150" spans="1:7">
      <c r="A150" s="1">
        <v>10002</v>
      </c>
      <c r="B150" s="6">
        <v>2</v>
      </c>
      <c r="C150" s="1" t="s">
        <v>4306</v>
      </c>
      <c r="D150" s="1">
        <v>0</v>
      </c>
      <c r="F150" t="s">
        <v>4275</v>
      </c>
      <c r="G150">
        <f t="shared" si="9"/>
        <v>102</v>
      </c>
    </row>
    <row r="151" spans="1:7">
      <c r="A151" s="1">
        <v>10003</v>
      </c>
      <c r="B151" s="6">
        <v>2</v>
      </c>
      <c r="C151" s="1" t="s">
        <v>4327</v>
      </c>
      <c r="D151" s="1">
        <v>0</v>
      </c>
      <c r="F151" t="s">
        <v>4275</v>
      </c>
      <c r="G151">
        <f t="shared" si="9"/>
        <v>102</v>
      </c>
    </row>
    <row r="152" spans="1:7">
      <c r="A152" s="1">
        <v>10004</v>
      </c>
      <c r="B152" s="6">
        <v>2</v>
      </c>
      <c r="C152" s="1" t="s">
        <v>4349</v>
      </c>
      <c r="D152" s="1">
        <v>0</v>
      </c>
      <c r="F152" t="s">
        <v>4275</v>
      </c>
      <c r="G152">
        <f t="shared" si="9"/>
        <v>102</v>
      </c>
    </row>
    <row r="153" spans="1:7">
      <c r="A153" s="1">
        <v>10005</v>
      </c>
      <c r="B153" s="6">
        <v>2</v>
      </c>
      <c r="C153" s="1" t="s">
        <v>4371</v>
      </c>
      <c r="D153" s="1">
        <v>0</v>
      </c>
      <c r="F153" t="s">
        <v>4275</v>
      </c>
      <c r="G153">
        <f t="shared" si="9"/>
        <v>102</v>
      </c>
    </row>
    <row r="154" spans="1:7">
      <c r="A154" s="1">
        <v>10006</v>
      </c>
      <c r="B154" s="6">
        <v>2</v>
      </c>
      <c r="C154" s="1" t="s">
        <v>4392</v>
      </c>
      <c r="D154" s="1">
        <v>0</v>
      </c>
      <c r="F154" t="s">
        <v>4275</v>
      </c>
      <c r="G154">
        <f t="shared" si="9"/>
        <v>102</v>
      </c>
    </row>
    <row r="155" spans="1:7">
      <c r="A155" s="1">
        <v>10007</v>
      </c>
      <c r="B155" s="6">
        <v>2</v>
      </c>
      <c r="C155" s="1" t="s">
        <v>5354</v>
      </c>
      <c r="D155" s="1">
        <v>0</v>
      </c>
      <c r="F155" t="s">
        <v>4275</v>
      </c>
      <c r="G155">
        <f t="shared" si="9"/>
        <v>102</v>
      </c>
    </row>
    <row r="156" spans="1:7">
      <c r="A156" s="1">
        <v>10008</v>
      </c>
      <c r="B156" s="6">
        <v>2</v>
      </c>
      <c r="C156" s="1" t="s">
        <v>5355</v>
      </c>
      <c r="D156" s="1">
        <v>0</v>
      </c>
      <c r="F156" t="s">
        <v>4275</v>
      </c>
      <c r="G156">
        <f t="shared" si="9"/>
        <v>102</v>
      </c>
    </row>
    <row r="157" spans="1:7">
      <c r="A157" s="1">
        <v>10009</v>
      </c>
      <c r="B157" s="6">
        <v>2</v>
      </c>
      <c r="C157" s="1" t="s">
        <v>5356</v>
      </c>
      <c r="D157" s="1">
        <v>0</v>
      </c>
      <c r="F157" t="s">
        <v>4277</v>
      </c>
      <c r="G157">
        <f t="shared" si="9"/>
        <v>104</v>
      </c>
    </row>
    <row r="158" spans="1:7">
      <c r="A158" s="1">
        <v>10010</v>
      </c>
      <c r="B158" s="6">
        <v>2</v>
      </c>
      <c r="C158" s="1" t="s">
        <v>5357</v>
      </c>
      <c r="D158" s="1">
        <v>0</v>
      </c>
      <c r="F158" t="s">
        <v>4277</v>
      </c>
      <c r="G158">
        <f t="shared" si="9"/>
        <v>104</v>
      </c>
    </row>
    <row r="159" spans="1:7">
      <c r="A159" s="1">
        <v>10011</v>
      </c>
      <c r="B159" s="6">
        <v>2</v>
      </c>
      <c r="C159" s="1" t="s">
        <v>5358</v>
      </c>
      <c r="D159" s="1">
        <v>0</v>
      </c>
      <c r="F159" t="s">
        <v>4277</v>
      </c>
      <c r="G159">
        <f t="shared" si="9"/>
        <v>104</v>
      </c>
    </row>
    <row r="160" spans="1:7">
      <c r="A160" s="1">
        <v>10012</v>
      </c>
      <c r="B160" s="6">
        <v>2</v>
      </c>
      <c r="C160" s="1" t="s">
        <v>5359</v>
      </c>
      <c r="D160" s="1">
        <v>0</v>
      </c>
      <c r="F160" t="s">
        <v>4277</v>
      </c>
      <c r="G160">
        <f t="shared" si="9"/>
        <v>104</v>
      </c>
    </row>
    <row r="161" spans="1:7">
      <c r="A161" s="1">
        <v>10013</v>
      </c>
      <c r="B161" s="6">
        <v>2</v>
      </c>
      <c r="C161" s="1" t="s">
        <v>4423</v>
      </c>
      <c r="D161" s="1">
        <v>0</v>
      </c>
      <c r="F161" t="s">
        <v>4277</v>
      </c>
      <c r="G161">
        <f t="shared" si="9"/>
        <v>104</v>
      </c>
    </row>
    <row r="162" spans="1:7">
      <c r="A162" s="1">
        <v>10014</v>
      </c>
      <c r="B162" s="6">
        <v>2</v>
      </c>
      <c r="C162" s="1" t="s">
        <v>4445</v>
      </c>
      <c r="D162" s="1">
        <v>0</v>
      </c>
      <c r="F162" t="s">
        <v>4277</v>
      </c>
      <c r="G162">
        <f t="shared" si="9"/>
        <v>104</v>
      </c>
    </row>
    <row r="163" spans="1:7">
      <c r="A163" s="1">
        <v>10015</v>
      </c>
      <c r="B163" s="6">
        <v>2</v>
      </c>
      <c r="C163" s="1" t="s">
        <v>4466</v>
      </c>
      <c r="D163" s="1">
        <v>0</v>
      </c>
      <c r="F163" t="s">
        <v>4277</v>
      </c>
      <c r="G163">
        <f t="shared" si="9"/>
        <v>104</v>
      </c>
    </row>
    <row r="164" spans="1:7">
      <c r="A164" s="1">
        <v>10016</v>
      </c>
      <c r="B164" s="6">
        <v>2</v>
      </c>
      <c r="C164" s="1" t="s">
        <v>4488</v>
      </c>
      <c r="D164" s="1">
        <v>0</v>
      </c>
      <c r="F164" t="s">
        <v>4277</v>
      </c>
      <c r="G164">
        <f t="shared" si="9"/>
        <v>104</v>
      </c>
    </row>
    <row r="165" spans="1:7">
      <c r="A165" s="1">
        <v>10017</v>
      </c>
      <c r="B165" s="6">
        <v>2</v>
      </c>
      <c r="C165" s="1" t="s">
        <v>4510</v>
      </c>
      <c r="D165" s="1">
        <v>0</v>
      </c>
      <c r="F165" t="s">
        <v>4277</v>
      </c>
      <c r="G165">
        <f t="shared" si="9"/>
        <v>104</v>
      </c>
    </row>
    <row r="166" spans="1:7">
      <c r="A166" s="1">
        <v>10018</v>
      </c>
      <c r="B166" s="6">
        <v>2</v>
      </c>
      <c r="C166" s="1" t="s">
        <v>4531</v>
      </c>
      <c r="D166" s="1">
        <v>0</v>
      </c>
      <c r="F166" t="s">
        <v>4277</v>
      </c>
      <c r="G166">
        <f t="shared" si="9"/>
        <v>104</v>
      </c>
    </row>
    <row r="167" spans="1:7">
      <c r="A167" s="1">
        <v>10019</v>
      </c>
      <c r="B167" s="6">
        <v>2</v>
      </c>
      <c r="C167" s="1" t="s">
        <v>5360</v>
      </c>
      <c r="D167" s="1">
        <v>0</v>
      </c>
      <c r="F167" t="s">
        <v>4277</v>
      </c>
      <c r="G167">
        <f t="shared" si="9"/>
        <v>104</v>
      </c>
    </row>
    <row r="168" spans="1:7">
      <c r="A168" s="1">
        <v>10020</v>
      </c>
      <c r="B168" s="6">
        <v>2</v>
      </c>
      <c r="C168" s="1" t="s">
        <v>5361</v>
      </c>
      <c r="D168" s="1">
        <v>0</v>
      </c>
      <c r="F168" t="s">
        <v>4279</v>
      </c>
      <c r="G168">
        <f t="shared" si="9"/>
        <v>108</v>
      </c>
    </row>
    <row r="169" spans="1:7">
      <c r="A169" s="1">
        <v>10021</v>
      </c>
      <c r="B169" s="6">
        <v>2</v>
      </c>
      <c r="C169" s="1" t="s">
        <v>5362</v>
      </c>
      <c r="D169" s="1">
        <v>0</v>
      </c>
      <c r="F169" t="s">
        <v>4279</v>
      </c>
      <c r="G169">
        <f t="shared" si="9"/>
        <v>108</v>
      </c>
    </row>
    <row r="170" spans="1:7">
      <c r="A170" s="1">
        <v>10022</v>
      </c>
      <c r="B170" s="6">
        <v>2</v>
      </c>
      <c r="C170" s="1" t="s">
        <v>4559</v>
      </c>
      <c r="D170" s="1">
        <v>0</v>
      </c>
      <c r="F170" t="s">
        <v>4279</v>
      </c>
      <c r="G170">
        <f t="shared" si="9"/>
        <v>108</v>
      </c>
    </row>
    <row r="171" spans="1:7">
      <c r="A171" s="1">
        <v>10023</v>
      </c>
      <c r="B171" s="6">
        <v>2</v>
      </c>
      <c r="C171" s="1" t="s">
        <v>4581</v>
      </c>
      <c r="D171" s="1">
        <v>0</v>
      </c>
      <c r="F171" t="s">
        <v>4279</v>
      </c>
      <c r="G171">
        <f t="shared" si="9"/>
        <v>108</v>
      </c>
    </row>
    <row r="172" spans="1:7">
      <c r="A172" s="1">
        <v>10024</v>
      </c>
      <c r="B172" s="6">
        <v>2</v>
      </c>
      <c r="C172" s="1" t="s">
        <v>4602</v>
      </c>
      <c r="D172" s="1">
        <v>0</v>
      </c>
      <c r="F172" t="s">
        <v>4279</v>
      </c>
      <c r="G172">
        <f t="shared" si="9"/>
        <v>108</v>
      </c>
    </row>
    <row r="173" spans="1:7">
      <c r="A173" s="1">
        <v>10025</v>
      </c>
      <c r="B173" s="6">
        <v>2</v>
      </c>
      <c r="C173" s="1" t="s">
        <v>4624</v>
      </c>
      <c r="D173" s="1">
        <v>0</v>
      </c>
      <c r="F173" t="s">
        <v>4279</v>
      </c>
      <c r="G173">
        <f t="shared" si="9"/>
        <v>108</v>
      </c>
    </row>
    <row r="174" spans="1:7">
      <c r="A174" s="1">
        <v>10026</v>
      </c>
      <c r="B174" s="6">
        <v>2</v>
      </c>
      <c r="C174" s="1" t="s">
        <v>4646</v>
      </c>
      <c r="D174" s="1">
        <v>0</v>
      </c>
      <c r="F174" t="s">
        <v>4279</v>
      </c>
      <c r="G174">
        <f t="shared" si="9"/>
        <v>108</v>
      </c>
    </row>
    <row r="175" spans="1:7">
      <c r="A175" s="1">
        <v>10027</v>
      </c>
      <c r="B175" s="6">
        <v>2</v>
      </c>
      <c r="C175" s="1" t="s">
        <v>4667</v>
      </c>
      <c r="D175" s="1">
        <v>0</v>
      </c>
      <c r="F175" t="s">
        <v>4279</v>
      </c>
      <c r="G175">
        <f t="shared" si="9"/>
        <v>108</v>
      </c>
    </row>
    <row r="176" spans="1:7">
      <c r="A176" s="1">
        <v>10028</v>
      </c>
      <c r="B176" s="6">
        <v>2</v>
      </c>
      <c r="C176" s="1" t="s">
        <v>5363</v>
      </c>
      <c r="D176" s="1">
        <v>0</v>
      </c>
      <c r="F176" t="s">
        <v>4279</v>
      </c>
      <c r="G176">
        <f t="shared" si="9"/>
        <v>108</v>
      </c>
    </row>
    <row r="177" spans="1:7">
      <c r="A177" s="1">
        <v>10029</v>
      </c>
      <c r="B177" s="6">
        <v>2</v>
      </c>
      <c r="C177" s="1" t="s">
        <v>5364</v>
      </c>
      <c r="D177" s="1">
        <v>0</v>
      </c>
      <c r="F177" t="s">
        <v>4279</v>
      </c>
      <c r="G177">
        <f t="shared" si="9"/>
        <v>108</v>
      </c>
    </row>
    <row r="178" spans="1:7">
      <c r="A178" s="1">
        <v>10030</v>
      </c>
      <c r="B178" s="6">
        <v>2</v>
      </c>
      <c r="C178" s="1" t="s">
        <v>5365</v>
      </c>
      <c r="D178" s="1">
        <v>0</v>
      </c>
      <c r="F178" t="s">
        <v>4279</v>
      </c>
      <c r="G178">
        <f t="shared" si="9"/>
        <v>108</v>
      </c>
    </row>
    <row r="179" spans="1:7">
      <c r="A179" s="1">
        <v>10031</v>
      </c>
      <c r="B179" s="6">
        <v>2</v>
      </c>
      <c r="C179" s="1" t="s">
        <v>4695</v>
      </c>
      <c r="D179" s="1">
        <v>0</v>
      </c>
      <c r="F179" t="s">
        <v>4279</v>
      </c>
      <c r="G179">
        <f t="shared" si="9"/>
        <v>108</v>
      </c>
    </row>
    <row r="180" spans="1:7">
      <c r="A180" s="1">
        <v>10032</v>
      </c>
      <c r="B180" s="6">
        <v>2</v>
      </c>
      <c r="C180" s="1" t="s">
        <v>4717</v>
      </c>
      <c r="D180" s="1">
        <v>0</v>
      </c>
      <c r="F180" t="s">
        <v>4279</v>
      </c>
      <c r="G180">
        <f t="shared" si="9"/>
        <v>108</v>
      </c>
    </row>
    <row r="181" spans="1:7">
      <c r="A181" s="1">
        <v>10033</v>
      </c>
      <c r="B181" s="6">
        <v>2</v>
      </c>
      <c r="C181" s="1" t="s">
        <v>4738</v>
      </c>
      <c r="D181" s="1">
        <v>0</v>
      </c>
      <c r="F181" t="s">
        <v>4279</v>
      </c>
      <c r="G181">
        <f t="shared" si="9"/>
        <v>108</v>
      </c>
    </row>
    <row r="182" spans="1:7">
      <c r="A182" s="1">
        <v>10034</v>
      </c>
      <c r="B182" s="6">
        <v>2</v>
      </c>
      <c r="C182" s="1" t="s">
        <v>4760</v>
      </c>
      <c r="D182" s="1">
        <v>0</v>
      </c>
      <c r="F182" t="s">
        <v>4279</v>
      </c>
      <c r="G182">
        <f t="shared" si="9"/>
        <v>108</v>
      </c>
    </row>
    <row r="183" spans="1:7">
      <c r="A183" s="1">
        <v>10035</v>
      </c>
      <c r="B183" s="6">
        <v>2</v>
      </c>
      <c r="C183" s="1" t="s">
        <v>4782</v>
      </c>
      <c r="D183" s="1">
        <v>0</v>
      </c>
      <c r="F183" t="s">
        <v>4279</v>
      </c>
      <c r="G183">
        <f t="shared" si="9"/>
        <v>108</v>
      </c>
    </row>
    <row r="184" spans="1:7">
      <c r="A184" s="1">
        <v>10036</v>
      </c>
      <c r="B184" s="6">
        <v>2</v>
      </c>
      <c r="C184" s="1" t="s">
        <v>4803</v>
      </c>
      <c r="D184" s="1">
        <v>0</v>
      </c>
      <c r="F184" t="s">
        <v>4281</v>
      </c>
      <c r="G184">
        <f t="shared" si="9"/>
        <v>107</v>
      </c>
    </row>
    <row r="185" spans="1:7">
      <c r="A185" s="1">
        <v>10037</v>
      </c>
      <c r="B185" s="6">
        <v>2</v>
      </c>
      <c r="C185" s="1" t="s">
        <v>5366</v>
      </c>
      <c r="D185" s="1">
        <v>0</v>
      </c>
      <c r="F185" t="s">
        <v>4281</v>
      </c>
      <c r="G185">
        <f t="shared" si="9"/>
        <v>107</v>
      </c>
    </row>
    <row r="186" spans="1:7">
      <c r="A186" s="1">
        <v>10038</v>
      </c>
      <c r="B186" s="6">
        <v>2</v>
      </c>
      <c r="C186" s="1" t="s">
        <v>5367</v>
      </c>
      <c r="D186" s="1">
        <v>0</v>
      </c>
      <c r="F186" t="s">
        <v>4281</v>
      </c>
      <c r="G186">
        <f t="shared" si="9"/>
        <v>107</v>
      </c>
    </row>
    <row r="187" spans="1:7">
      <c r="A187" s="1">
        <v>10039</v>
      </c>
      <c r="B187" s="6">
        <v>2</v>
      </c>
      <c r="C187" s="1" t="s">
        <v>5368</v>
      </c>
      <c r="D187" s="1">
        <v>0</v>
      </c>
      <c r="F187" t="s">
        <v>4281</v>
      </c>
      <c r="G187">
        <f t="shared" si="9"/>
        <v>107</v>
      </c>
    </row>
    <row r="188" spans="1:7">
      <c r="A188" s="1">
        <v>10040</v>
      </c>
      <c r="B188" s="6">
        <v>2</v>
      </c>
      <c r="C188" s="1" t="s">
        <v>4831</v>
      </c>
      <c r="D188" s="1">
        <v>0</v>
      </c>
      <c r="F188" t="s">
        <v>4281</v>
      </c>
      <c r="G188">
        <f t="shared" si="9"/>
        <v>107</v>
      </c>
    </row>
    <row r="189" spans="1:7">
      <c r="A189" s="1">
        <v>10041</v>
      </c>
      <c r="B189" s="6">
        <v>2</v>
      </c>
      <c r="C189" s="1" t="s">
        <v>4853</v>
      </c>
      <c r="D189" s="1">
        <v>0</v>
      </c>
      <c r="F189" t="s">
        <v>4281</v>
      </c>
      <c r="G189">
        <f t="shared" si="9"/>
        <v>107</v>
      </c>
    </row>
    <row r="190" spans="1:7">
      <c r="A190" s="1">
        <v>10042</v>
      </c>
      <c r="B190" s="6">
        <v>2</v>
      </c>
      <c r="C190" s="1" t="s">
        <v>4874</v>
      </c>
      <c r="D190" s="1">
        <v>0</v>
      </c>
      <c r="F190" t="s">
        <v>4281</v>
      </c>
      <c r="G190">
        <f t="shared" si="9"/>
        <v>107</v>
      </c>
    </row>
    <row r="191" spans="1:7">
      <c r="A191" s="1">
        <v>10043</v>
      </c>
      <c r="B191" s="6">
        <v>2</v>
      </c>
      <c r="C191" s="1" t="s">
        <v>4896</v>
      </c>
      <c r="D191" s="1">
        <v>0</v>
      </c>
      <c r="F191" t="s">
        <v>4281</v>
      </c>
      <c r="G191">
        <f t="shared" si="9"/>
        <v>107</v>
      </c>
    </row>
    <row r="192" spans="1:7">
      <c r="A192" s="1">
        <v>10044</v>
      </c>
      <c r="B192" s="6">
        <v>2</v>
      </c>
      <c r="C192" s="1" t="s">
        <v>4918</v>
      </c>
      <c r="D192" s="1">
        <v>0</v>
      </c>
      <c r="F192" t="s">
        <v>4281</v>
      </c>
      <c r="G192">
        <f t="shared" si="9"/>
        <v>107</v>
      </c>
    </row>
    <row r="193" spans="1:7">
      <c r="A193" s="1">
        <v>10045</v>
      </c>
      <c r="B193" s="6">
        <v>2</v>
      </c>
      <c r="C193" s="1" t="s">
        <v>4939</v>
      </c>
      <c r="D193" s="1">
        <v>0</v>
      </c>
      <c r="F193" t="s">
        <v>4281</v>
      </c>
      <c r="G193">
        <f t="shared" si="9"/>
        <v>107</v>
      </c>
    </row>
    <row r="194" spans="1:7">
      <c r="A194" s="1">
        <v>10046</v>
      </c>
      <c r="B194" s="6">
        <v>2</v>
      </c>
      <c r="C194" s="1" t="s">
        <v>5369</v>
      </c>
      <c r="D194" s="1">
        <v>0</v>
      </c>
      <c r="F194" t="s">
        <v>4281</v>
      </c>
      <c r="G194">
        <f t="shared" si="9"/>
        <v>107</v>
      </c>
    </row>
    <row r="195" spans="1:7">
      <c r="A195" s="1">
        <v>10047</v>
      </c>
      <c r="B195" s="6">
        <v>2</v>
      </c>
      <c r="C195" s="1" t="s">
        <v>5370</v>
      </c>
      <c r="D195" s="1">
        <v>0</v>
      </c>
      <c r="F195" t="s">
        <v>4281</v>
      </c>
      <c r="G195">
        <f t="shared" si="9"/>
        <v>107</v>
      </c>
    </row>
    <row r="196" spans="1:7">
      <c r="A196" s="1">
        <v>10048</v>
      </c>
      <c r="B196" s="6">
        <v>2</v>
      </c>
      <c r="C196" s="1" t="s">
        <v>5371</v>
      </c>
      <c r="D196" s="1">
        <v>0</v>
      </c>
      <c r="F196" t="s">
        <v>4281</v>
      </c>
      <c r="G196">
        <f t="shared" si="9"/>
        <v>107</v>
      </c>
    </row>
    <row r="197" spans="1:7">
      <c r="A197" s="1">
        <v>10049</v>
      </c>
      <c r="B197" s="6">
        <v>2</v>
      </c>
      <c r="C197" s="1" t="s">
        <v>4960</v>
      </c>
      <c r="D197" s="1">
        <v>0</v>
      </c>
      <c r="F197" t="s">
        <v>4281</v>
      </c>
      <c r="G197">
        <f t="shared" ref="G197:G260" si="10">_xlfn.XLOOKUP(F197,$C$4:$C$220,$A$4:$A$220)</f>
        <v>107</v>
      </c>
    </row>
    <row r="198" spans="1:7">
      <c r="A198" s="1">
        <v>10050</v>
      </c>
      <c r="B198" s="6">
        <v>2</v>
      </c>
      <c r="C198" s="1" t="s">
        <v>4983</v>
      </c>
      <c r="D198" s="1">
        <v>0</v>
      </c>
      <c r="F198" t="s">
        <v>4281</v>
      </c>
      <c r="G198">
        <f t="shared" si="10"/>
        <v>107</v>
      </c>
    </row>
    <row r="199" spans="1:7">
      <c r="A199" s="1">
        <v>10051</v>
      </c>
      <c r="B199" s="6">
        <v>2</v>
      </c>
      <c r="C199" s="1" t="s">
        <v>5004</v>
      </c>
      <c r="D199" s="1">
        <v>0</v>
      </c>
      <c r="F199" t="s">
        <v>4281</v>
      </c>
      <c r="G199">
        <f t="shared" si="10"/>
        <v>107</v>
      </c>
    </row>
    <row r="200" spans="1:7">
      <c r="A200" s="1">
        <v>10052</v>
      </c>
      <c r="B200" s="6">
        <v>2</v>
      </c>
      <c r="C200" s="1" t="s">
        <v>5372</v>
      </c>
      <c r="D200" s="1">
        <v>0</v>
      </c>
      <c r="F200" t="s">
        <v>4283</v>
      </c>
      <c r="G200">
        <f t="shared" si="10"/>
        <v>109</v>
      </c>
    </row>
    <row r="201" spans="1:7">
      <c r="A201" s="1">
        <v>10053</v>
      </c>
      <c r="B201" s="6">
        <v>2</v>
      </c>
      <c r="C201" s="1" t="s">
        <v>5373</v>
      </c>
      <c r="D201" s="1">
        <v>0</v>
      </c>
      <c r="F201" t="s">
        <v>4283</v>
      </c>
      <c r="G201">
        <f t="shared" si="10"/>
        <v>109</v>
      </c>
    </row>
    <row r="202" spans="1:7">
      <c r="A202" s="1">
        <v>10054</v>
      </c>
      <c r="B202" s="6">
        <v>2</v>
      </c>
      <c r="C202" s="1" t="s">
        <v>5374</v>
      </c>
      <c r="D202" s="1">
        <v>0</v>
      </c>
      <c r="F202" t="s">
        <v>4283</v>
      </c>
      <c r="G202">
        <f t="shared" si="10"/>
        <v>109</v>
      </c>
    </row>
    <row r="203" spans="1:7">
      <c r="A203" s="1">
        <v>10055</v>
      </c>
      <c r="B203" s="6">
        <v>2</v>
      </c>
      <c r="C203" s="1" t="s">
        <v>5375</v>
      </c>
      <c r="D203" s="1">
        <v>0</v>
      </c>
      <c r="F203" t="s">
        <v>4283</v>
      </c>
      <c r="G203">
        <f t="shared" si="10"/>
        <v>109</v>
      </c>
    </row>
    <row r="204" spans="1:7">
      <c r="A204" s="1">
        <v>10056</v>
      </c>
      <c r="B204" s="6">
        <v>2</v>
      </c>
      <c r="C204" s="1" t="s">
        <v>5376</v>
      </c>
      <c r="D204" s="1">
        <v>0</v>
      </c>
      <c r="F204" t="s">
        <v>4283</v>
      </c>
      <c r="G204">
        <f t="shared" si="10"/>
        <v>109</v>
      </c>
    </row>
    <row r="205" spans="1:7">
      <c r="A205" s="1">
        <v>10057</v>
      </c>
      <c r="B205" s="6">
        <v>2</v>
      </c>
      <c r="C205" s="1" t="s">
        <v>5377</v>
      </c>
      <c r="D205" s="1">
        <v>0</v>
      </c>
      <c r="F205" t="s">
        <v>4283</v>
      </c>
      <c r="G205">
        <f t="shared" si="10"/>
        <v>109</v>
      </c>
    </row>
    <row r="206" spans="1:7">
      <c r="A206" s="1">
        <v>10058</v>
      </c>
      <c r="B206" s="6">
        <v>2</v>
      </c>
      <c r="C206" s="1" t="s">
        <v>5096</v>
      </c>
      <c r="D206" s="1">
        <v>0</v>
      </c>
      <c r="F206" t="s">
        <v>4283</v>
      </c>
      <c r="G206">
        <f t="shared" si="10"/>
        <v>109</v>
      </c>
    </row>
    <row r="207" spans="1:7">
      <c r="A207" s="1">
        <v>10059</v>
      </c>
      <c r="B207" s="6">
        <v>2</v>
      </c>
      <c r="C207" s="1" t="s">
        <v>5118</v>
      </c>
      <c r="D207" s="1">
        <v>0</v>
      </c>
      <c r="F207" t="s">
        <v>4283</v>
      </c>
      <c r="G207">
        <f t="shared" si="10"/>
        <v>109</v>
      </c>
    </row>
    <row r="208" spans="1:7">
      <c r="A208" s="1">
        <v>10060</v>
      </c>
      <c r="B208" s="6">
        <v>2</v>
      </c>
      <c r="C208" s="1" t="s">
        <v>5139</v>
      </c>
      <c r="D208" s="1">
        <v>0</v>
      </c>
      <c r="F208" t="s">
        <v>4283</v>
      </c>
      <c r="G208">
        <f t="shared" si="10"/>
        <v>109</v>
      </c>
    </row>
    <row r="209" spans="1:7">
      <c r="A209" s="1">
        <v>10061</v>
      </c>
      <c r="B209" s="6">
        <v>2</v>
      </c>
      <c r="C209" s="1" t="s">
        <v>5032</v>
      </c>
      <c r="D209" s="1">
        <v>0</v>
      </c>
      <c r="F209" t="s">
        <v>4283</v>
      </c>
      <c r="G209">
        <f t="shared" si="10"/>
        <v>109</v>
      </c>
    </row>
    <row r="210" spans="1:7">
      <c r="A210" s="1">
        <v>10062</v>
      </c>
      <c r="B210" s="6">
        <v>2</v>
      </c>
      <c r="C210" s="1" t="s">
        <v>5054</v>
      </c>
      <c r="D210" s="1">
        <v>0</v>
      </c>
      <c r="F210" t="s">
        <v>4283</v>
      </c>
      <c r="G210">
        <f t="shared" si="10"/>
        <v>109</v>
      </c>
    </row>
    <row r="211" spans="1:7">
      <c r="A211" s="1">
        <v>10063</v>
      </c>
      <c r="B211" s="6">
        <v>2</v>
      </c>
      <c r="C211" s="1" t="s">
        <v>5075</v>
      </c>
      <c r="D211" s="1">
        <v>0</v>
      </c>
      <c r="F211" t="s">
        <v>4283</v>
      </c>
      <c r="G211">
        <f t="shared" si="10"/>
        <v>109</v>
      </c>
    </row>
    <row r="212" spans="1:7">
      <c r="A212" s="1">
        <v>10064</v>
      </c>
      <c r="B212" s="6">
        <v>2</v>
      </c>
      <c r="C212" s="1" t="s">
        <v>5378</v>
      </c>
      <c r="D212" s="1">
        <v>0</v>
      </c>
      <c r="F212" t="s">
        <v>4283</v>
      </c>
      <c r="G212">
        <f t="shared" si="10"/>
        <v>109</v>
      </c>
    </row>
    <row r="213" spans="1:7">
      <c r="A213" s="1">
        <v>10065</v>
      </c>
      <c r="B213" s="6">
        <v>2</v>
      </c>
      <c r="C213" s="1" t="s">
        <v>5379</v>
      </c>
      <c r="D213" s="1">
        <v>0</v>
      </c>
      <c r="F213" t="s">
        <v>4283</v>
      </c>
      <c r="G213">
        <f t="shared" si="10"/>
        <v>109</v>
      </c>
    </row>
    <row r="214" spans="1:7">
      <c r="A214" s="1">
        <v>10066</v>
      </c>
      <c r="B214" s="6">
        <v>2</v>
      </c>
      <c r="C214" s="1" t="s">
        <v>5380</v>
      </c>
      <c r="D214" s="1">
        <v>0</v>
      </c>
      <c r="F214" t="s">
        <v>4283</v>
      </c>
      <c r="G214">
        <f t="shared" si="10"/>
        <v>109</v>
      </c>
    </row>
    <row r="215" spans="1:7">
      <c r="A215" s="1">
        <v>10067</v>
      </c>
      <c r="B215" s="6">
        <v>2</v>
      </c>
      <c r="C215" s="1" t="s">
        <v>5381</v>
      </c>
      <c r="D215" s="1">
        <v>0</v>
      </c>
      <c r="F215" t="s">
        <v>4283</v>
      </c>
      <c r="G215">
        <f t="shared" si="10"/>
        <v>109</v>
      </c>
    </row>
    <row r="216" spans="1:7">
      <c r="A216" s="1">
        <v>10068</v>
      </c>
      <c r="B216" s="6">
        <v>2</v>
      </c>
      <c r="C216" s="1" t="s">
        <v>5382</v>
      </c>
      <c r="D216" s="1">
        <v>0</v>
      </c>
      <c r="F216" t="s">
        <v>4349</v>
      </c>
      <c r="G216">
        <f t="shared" si="10"/>
        <v>10004</v>
      </c>
    </row>
    <row r="217" spans="1:7">
      <c r="A217" s="1">
        <v>10069</v>
      </c>
      <c r="B217" s="6">
        <v>2</v>
      </c>
      <c r="C217" s="1" t="s">
        <v>5383</v>
      </c>
      <c r="D217" s="1">
        <v>0</v>
      </c>
      <c r="F217" t="s">
        <v>4349</v>
      </c>
      <c r="G217">
        <f t="shared" si="10"/>
        <v>10004</v>
      </c>
    </row>
    <row r="218" spans="1:7">
      <c r="A218" s="1">
        <v>10070</v>
      </c>
      <c r="B218" s="6">
        <v>2</v>
      </c>
      <c r="C218" s="1" t="s">
        <v>5160</v>
      </c>
      <c r="D218" s="1">
        <v>0</v>
      </c>
      <c r="F218" t="s">
        <v>4349</v>
      </c>
      <c r="G218">
        <f t="shared" si="10"/>
        <v>10004</v>
      </c>
    </row>
    <row r="219" spans="1:7">
      <c r="A219" s="1">
        <v>10071</v>
      </c>
      <c r="B219" s="6">
        <v>2</v>
      </c>
      <c r="C219" s="1" t="s">
        <v>5183</v>
      </c>
      <c r="D219" s="1">
        <v>0</v>
      </c>
      <c r="F219" t="s">
        <v>4349</v>
      </c>
      <c r="G219">
        <f t="shared" si="10"/>
        <v>10004</v>
      </c>
    </row>
    <row r="220" spans="1:7">
      <c r="A220" s="1">
        <v>10072</v>
      </c>
      <c r="B220" s="6">
        <v>2</v>
      </c>
      <c r="C220" s="1" t="s">
        <v>5204</v>
      </c>
      <c r="D220" s="1">
        <v>0</v>
      </c>
      <c r="F220" t="s">
        <v>4349</v>
      </c>
      <c r="G220">
        <f t="shared" si="10"/>
        <v>10004</v>
      </c>
    </row>
    <row r="221" spans="2:7">
      <c r="B221" s="6"/>
      <c r="F221" t="s">
        <v>4349</v>
      </c>
      <c r="G221">
        <f t="shared" si="10"/>
        <v>10004</v>
      </c>
    </row>
    <row r="222" spans="2:7">
      <c r="B222" s="6"/>
      <c r="F222" t="s">
        <v>4349</v>
      </c>
      <c r="G222">
        <f t="shared" si="10"/>
        <v>10004</v>
      </c>
    </row>
    <row r="223" spans="2:7">
      <c r="B223" s="6"/>
      <c r="F223" t="s">
        <v>4349</v>
      </c>
      <c r="G223">
        <f t="shared" si="10"/>
        <v>10004</v>
      </c>
    </row>
    <row r="224" spans="2:7">
      <c r="B224" s="6"/>
      <c r="F224" t="s">
        <v>4349</v>
      </c>
      <c r="G224">
        <f t="shared" si="10"/>
        <v>10004</v>
      </c>
    </row>
    <row r="225" spans="2:7">
      <c r="B225" s="6"/>
      <c r="F225" t="s">
        <v>4349</v>
      </c>
      <c r="G225">
        <f t="shared" si="10"/>
        <v>10004</v>
      </c>
    </row>
    <row r="226" spans="2:7">
      <c r="B226" s="6"/>
      <c r="F226" t="s">
        <v>4349</v>
      </c>
      <c r="G226">
        <f t="shared" si="10"/>
        <v>10004</v>
      </c>
    </row>
    <row r="227" spans="2:7">
      <c r="B227" s="6"/>
      <c r="F227" t="s">
        <v>4349</v>
      </c>
      <c r="G227">
        <f t="shared" si="10"/>
        <v>10004</v>
      </c>
    </row>
    <row r="228" spans="2:7">
      <c r="B228" s="6"/>
      <c r="F228" t="s">
        <v>4349</v>
      </c>
      <c r="G228">
        <f t="shared" si="10"/>
        <v>10004</v>
      </c>
    </row>
    <row r="229" spans="2:7">
      <c r="B229" s="6"/>
      <c r="F229" t="s">
        <v>4349</v>
      </c>
      <c r="G229">
        <f t="shared" si="10"/>
        <v>10004</v>
      </c>
    </row>
    <row r="230" spans="6:7">
      <c r="F230" t="s">
        <v>4349</v>
      </c>
      <c r="G230">
        <f t="shared" si="10"/>
        <v>10004</v>
      </c>
    </row>
    <row r="231" spans="6:7">
      <c r="F231" t="s">
        <v>4349</v>
      </c>
      <c r="G231">
        <f t="shared" si="10"/>
        <v>10004</v>
      </c>
    </row>
    <row r="232" spans="6:7">
      <c r="F232" t="s">
        <v>4349</v>
      </c>
      <c r="G232">
        <f t="shared" si="10"/>
        <v>10004</v>
      </c>
    </row>
    <row r="233" spans="6:7">
      <c r="F233" t="s">
        <v>4349</v>
      </c>
      <c r="G233">
        <f t="shared" si="10"/>
        <v>10004</v>
      </c>
    </row>
    <row r="234" spans="6:7">
      <c r="F234" t="s">
        <v>4349</v>
      </c>
      <c r="G234">
        <f t="shared" si="10"/>
        <v>10004</v>
      </c>
    </row>
    <row r="235" spans="6:7">
      <c r="F235" t="s">
        <v>4349</v>
      </c>
      <c r="G235">
        <f t="shared" si="10"/>
        <v>10004</v>
      </c>
    </row>
    <row r="236" spans="6:7">
      <c r="F236" t="s">
        <v>4349</v>
      </c>
      <c r="G236">
        <f t="shared" si="10"/>
        <v>10004</v>
      </c>
    </row>
    <row r="237" spans="6:7">
      <c r="F237" t="s">
        <v>4371</v>
      </c>
      <c r="G237">
        <f t="shared" si="10"/>
        <v>10005</v>
      </c>
    </row>
    <row r="238" spans="6:7">
      <c r="F238" t="s">
        <v>4371</v>
      </c>
      <c r="G238">
        <f t="shared" si="10"/>
        <v>10005</v>
      </c>
    </row>
    <row r="239" spans="6:7">
      <c r="F239" t="s">
        <v>4371</v>
      </c>
      <c r="G239">
        <f t="shared" si="10"/>
        <v>10005</v>
      </c>
    </row>
    <row r="240" spans="6:7">
      <c r="F240" t="s">
        <v>4371</v>
      </c>
      <c r="G240">
        <f t="shared" si="10"/>
        <v>10005</v>
      </c>
    </row>
    <row r="241" spans="6:7">
      <c r="F241" t="s">
        <v>4371</v>
      </c>
      <c r="G241">
        <f t="shared" si="10"/>
        <v>10005</v>
      </c>
    </row>
    <row r="242" spans="6:7">
      <c r="F242" t="s">
        <v>4371</v>
      </c>
      <c r="G242">
        <f t="shared" si="10"/>
        <v>10005</v>
      </c>
    </row>
    <row r="243" spans="6:7">
      <c r="F243" t="s">
        <v>4371</v>
      </c>
      <c r="G243">
        <f t="shared" si="10"/>
        <v>10005</v>
      </c>
    </row>
    <row r="244" spans="6:7">
      <c r="F244" t="s">
        <v>4371</v>
      </c>
      <c r="G244">
        <f t="shared" si="10"/>
        <v>10005</v>
      </c>
    </row>
    <row r="245" spans="6:7">
      <c r="F245" t="s">
        <v>4371</v>
      </c>
      <c r="G245">
        <f t="shared" si="10"/>
        <v>10005</v>
      </c>
    </row>
    <row r="246" spans="6:7">
      <c r="F246" t="s">
        <v>4371</v>
      </c>
      <c r="G246">
        <f t="shared" si="10"/>
        <v>10005</v>
      </c>
    </row>
    <row r="247" spans="6:7">
      <c r="F247" t="s">
        <v>4371</v>
      </c>
      <c r="G247">
        <f t="shared" si="10"/>
        <v>10005</v>
      </c>
    </row>
    <row r="248" spans="6:7">
      <c r="F248" t="s">
        <v>4371</v>
      </c>
      <c r="G248">
        <f t="shared" si="10"/>
        <v>10005</v>
      </c>
    </row>
    <row r="249" spans="6:7">
      <c r="F249" t="s">
        <v>4371</v>
      </c>
      <c r="G249">
        <f t="shared" si="10"/>
        <v>10005</v>
      </c>
    </row>
    <row r="250" spans="6:7">
      <c r="F250" t="s">
        <v>4371</v>
      </c>
      <c r="G250">
        <f t="shared" si="10"/>
        <v>10005</v>
      </c>
    </row>
    <row r="251" spans="6:7">
      <c r="F251" t="s">
        <v>4371</v>
      </c>
      <c r="G251">
        <f t="shared" si="10"/>
        <v>10005</v>
      </c>
    </row>
    <row r="252" spans="6:7">
      <c r="F252" t="s">
        <v>4371</v>
      </c>
      <c r="G252">
        <f t="shared" si="10"/>
        <v>10005</v>
      </c>
    </row>
    <row r="253" spans="6:7">
      <c r="F253" t="s">
        <v>4371</v>
      </c>
      <c r="G253">
        <f t="shared" si="10"/>
        <v>10005</v>
      </c>
    </row>
    <row r="254" spans="6:7">
      <c r="F254" t="s">
        <v>4371</v>
      </c>
      <c r="G254">
        <f t="shared" si="10"/>
        <v>10005</v>
      </c>
    </row>
    <row r="255" spans="6:7">
      <c r="F255" t="s">
        <v>4371</v>
      </c>
      <c r="G255">
        <f t="shared" si="10"/>
        <v>10005</v>
      </c>
    </row>
    <row r="256" spans="6:7">
      <c r="F256" t="s">
        <v>4371</v>
      </c>
      <c r="G256">
        <f t="shared" si="10"/>
        <v>10005</v>
      </c>
    </row>
    <row r="257" spans="6:7">
      <c r="F257" t="s">
        <v>4371</v>
      </c>
      <c r="G257">
        <f t="shared" si="10"/>
        <v>10005</v>
      </c>
    </row>
    <row r="258" spans="6:7">
      <c r="F258" t="s">
        <v>4392</v>
      </c>
      <c r="G258">
        <f t="shared" si="10"/>
        <v>10006</v>
      </c>
    </row>
    <row r="259" spans="6:7">
      <c r="F259" t="s">
        <v>4392</v>
      </c>
      <c r="G259">
        <f t="shared" si="10"/>
        <v>10006</v>
      </c>
    </row>
    <row r="260" spans="6:7">
      <c r="F260" t="s">
        <v>4392</v>
      </c>
      <c r="G260">
        <f t="shared" si="10"/>
        <v>10006</v>
      </c>
    </row>
    <row r="261" spans="6:7">
      <c r="F261" t="s">
        <v>4392</v>
      </c>
      <c r="G261">
        <f t="shared" ref="G261:G324" si="11">_xlfn.XLOOKUP(F261,$C$4:$C$220,$A$4:$A$220)</f>
        <v>10006</v>
      </c>
    </row>
    <row r="262" spans="6:7">
      <c r="F262" t="s">
        <v>4392</v>
      </c>
      <c r="G262">
        <f t="shared" si="11"/>
        <v>10006</v>
      </c>
    </row>
    <row r="263" spans="6:7">
      <c r="F263" t="s">
        <v>4392</v>
      </c>
      <c r="G263">
        <f t="shared" si="11"/>
        <v>10006</v>
      </c>
    </row>
    <row r="264" spans="6:7">
      <c r="F264" t="s">
        <v>4392</v>
      </c>
      <c r="G264">
        <f t="shared" si="11"/>
        <v>10006</v>
      </c>
    </row>
    <row r="265" spans="6:7">
      <c r="F265" t="s">
        <v>4392</v>
      </c>
      <c r="G265">
        <f t="shared" si="11"/>
        <v>10006</v>
      </c>
    </row>
    <row r="266" spans="6:7">
      <c r="F266" t="s">
        <v>4392</v>
      </c>
      <c r="G266">
        <f t="shared" si="11"/>
        <v>10006</v>
      </c>
    </row>
    <row r="267" spans="6:7">
      <c r="F267" t="s">
        <v>4392</v>
      </c>
      <c r="G267">
        <f t="shared" si="11"/>
        <v>10006</v>
      </c>
    </row>
    <row r="268" spans="6:7">
      <c r="F268" t="s">
        <v>4392</v>
      </c>
      <c r="G268">
        <f t="shared" si="11"/>
        <v>10006</v>
      </c>
    </row>
    <row r="269" spans="6:7">
      <c r="F269" t="s">
        <v>4392</v>
      </c>
      <c r="G269">
        <f t="shared" si="11"/>
        <v>10006</v>
      </c>
    </row>
    <row r="270" spans="6:7">
      <c r="F270" t="s">
        <v>4392</v>
      </c>
      <c r="G270">
        <f t="shared" si="11"/>
        <v>10006</v>
      </c>
    </row>
    <row r="271" spans="6:7">
      <c r="F271" t="s">
        <v>4392</v>
      </c>
      <c r="G271">
        <f t="shared" si="11"/>
        <v>10006</v>
      </c>
    </row>
    <row r="272" spans="6:7">
      <c r="F272" t="s">
        <v>4392</v>
      </c>
      <c r="G272">
        <f t="shared" si="11"/>
        <v>10006</v>
      </c>
    </row>
    <row r="273" spans="6:7">
      <c r="F273" t="s">
        <v>4392</v>
      </c>
      <c r="G273">
        <f t="shared" si="11"/>
        <v>10006</v>
      </c>
    </row>
    <row r="274" spans="6:7">
      <c r="F274" t="s">
        <v>4392</v>
      </c>
      <c r="G274">
        <f t="shared" si="11"/>
        <v>10006</v>
      </c>
    </row>
    <row r="275" spans="6:7">
      <c r="F275" t="s">
        <v>4392</v>
      </c>
      <c r="G275">
        <f t="shared" si="11"/>
        <v>10006</v>
      </c>
    </row>
    <row r="276" spans="6:7">
      <c r="F276" t="s">
        <v>4392</v>
      </c>
      <c r="G276">
        <f t="shared" si="11"/>
        <v>10006</v>
      </c>
    </row>
    <row r="277" spans="6:7">
      <c r="F277" t="s">
        <v>4392</v>
      </c>
      <c r="G277">
        <f t="shared" si="11"/>
        <v>10006</v>
      </c>
    </row>
    <row r="278" spans="6:7">
      <c r="F278" t="s">
        <v>4392</v>
      </c>
      <c r="G278">
        <f t="shared" si="11"/>
        <v>10006</v>
      </c>
    </row>
    <row r="279" spans="6:7">
      <c r="F279" t="s">
        <v>4271</v>
      </c>
      <c r="G279">
        <f t="shared" si="11"/>
        <v>101</v>
      </c>
    </row>
    <row r="280" spans="6:7">
      <c r="F280" t="s">
        <v>4271</v>
      </c>
      <c r="G280">
        <f t="shared" si="11"/>
        <v>101</v>
      </c>
    </row>
    <row r="281" spans="6:7">
      <c r="F281" t="s">
        <v>4271</v>
      </c>
      <c r="G281">
        <f t="shared" si="11"/>
        <v>101</v>
      </c>
    </row>
    <row r="282" spans="6:7">
      <c r="F282" t="s">
        <v>4271</v>
      </c>
      <c r="G282">
        <f t="shared" si="11"/>
        <v>101</v>
      </c>
    </row>
    <row r="283" spans="6:7">
      <c r="F283" t="s">
        <v>4271</v>
      </c>
      <c r="G283">
        <f t="shared" si="11"/>
        <v>101</v>
      </c>
    </row>
    <row r="284" spans="6:7">
      <c r="F284" t="s">
        <v>4271</v>
      </c>
      <c r="G284">
        <f t="shared" si="11"/>
        <v>101</v>
      </c>
    </row>
    <row r="285" spans="6:7">
      <c r="F285" t="s">
        <v>4271</v>
      </c>
      <c r="G285">
        <f t="shared" si="11"/>
        <v>101</v>
      </c>
    </row>
    <row r="286" spans="6:7">
      <c r="F286" t="s">
        <v>4271</v>
      </c>
      <c r="G286">
        <f t="shared" si="11"/>
        <v>101</v>
      </c>
    </row>
    <row r="287" spans="6:7">
      <c r="F287" t="s">
        <v>4271</v>
      </c>
      <c r="G287">
        <f t="shared" si="11"/>
        <v>101</v>
      </c>
    </row>
    <row r="288" spans="6:7">
      <c r="F288" t="s">
        <v>4271</v>
      </c>
      <c r="G288">
        <f t="shared" si="11"/>
        <v>101</v>
      </c>
    </row>
    <row r="289" spans="6:7">
      <c r="F289" t="s">
        <v>4271</v>
      </c>
      <c r="G289">
        <f t="shared" si="11"/>
        <v>101</v>
      </c>
    </row>
    <row r="290" spans="6:7">
      <c r="F290" t="s">
        <v>4271</v>
      </c>
      <c r="G290">
        <f t="shared" si="11"/>
        <v>101</v>
      </c>
    </row>
    <row r="291" spans="6:7">
      <c r="F291" t="s">
        <v>4271</v>
      </c>
      <c r="G291">
        <f t="shared" si="11"/>
        <v>101</v>
      </c>
    </row>
    <row r="292" spans="6:7">
      <c r="F292" t="s">
        <v>4271</v>
      </c>
      <c r="G292">
        <f t="shared" si="11"/>
        <v>101</v>
      </c>
    </row>
    <row r="293" spans="6:7">
      <c r="F293" t="s">
        <v>4271</v>
      </c>
      <c r="G293">
        <f t="shared" si="11"/>
        <v>101</v>
      </c>
    </row>
    <row r="294" spans="6:7">
      <c r="F294" t="s">
        <v>4271</v>
      </c>
      <c r="G294">
        <f t="shared" si="11"/>
        <v>101</v>
      </c>
    </row>
    <row r="295" spans="6:7">
      <c r="F295" t="s">
        <v>4273</v>
      </c>
      <c r="G295">
        <f t="shared" si="11"/>
        <v>103</v>
      </c>
    </row>
    <row r="296" spans="6:7">
      <c r="F296" t="s">
        <v>4273</v>
      </c>
      <c r="G296">
        <f t="shared" si="11"/>
        <v>103</v>
      </c>
    </row>
    <row r="297" spans="6:7">
      <c r="F297" t="s">
        <v>4273</v>
      </c>
      <c r="G297">
        <f t="shared" si="11"/>
        <v>103</v>
      </c>
    </row>
    <row r="298" spans="6:7">
      <c r="F298" t="s">
        <v>4273</v>
      </c>
      <c r="G298">
        <f t="shared" si="11"/>
        <v>103</v>
      </c>
    </row>
    <row r="299" spans="6:7">
      <c r="F299" t="s">
        <v>4273</v>
      </c>
      <c r="G299">
        <f t="shared" si="11"/>
        <v>103</v>
      </c>
    </row>
    <row r="300" spans="6:7">
      <c r="F300" t="s">
        <v>4273</v>
      </c>
      <c r="G300">
        <f t="shared" si="11"/>
        <v>103</v>
      </c>
    </row>
    <row r="301" spans="6:7">
      <c r="F301" t="s">
        <v>4273</v>
      </c>
      <c r="G301">
        <f t="shared" si="11"/>
        <v>103</v>
      </c>
    </row>
    <row r="302" spans="6:7">
      <c r="F302" t="s">
        <v>4273</v>
      </c>
      <c r="G302">
        <f t="shared" si="11"/>
        <v>103</v>
      </c>
    </row>
    <row r="303" spans="6:7">
      <c r="F303" t="s">
        <v>4273</v>
      </c>
      <c r="G303">
        <f t="shared" si="11"/>
        <v>103</v>
      </c>
    </row>
    <row r="304" spans="6:7">
      <c r="F304" t="s">
        <v>4273</v>
      </c>
      <c r="G304">
        <f t="shared" si="11"/>
        <v>103</v>
      </c>
    </row>
    <row r="305" spans="6:7">
      <c r="F305" t="s">
        <v>4273</v>
      </c>
      <c r="G305">
        <f t="shared" si="11"/>
        <v>103</v>
      </c>
    </row>
    <row r="306" spans="6:7">
      <c r="F306" t="s">
        <v>4273</v>
      </c>
      <c r="G306">
        <f t="shared" si="11"/>
        <v>103</v>
      </c>
    </row>
    <row r="307" spans="6:7">
      <c r="F307" t="s">
        <v>4273</v>
      </c>
      <c r="G307">
        <f t="shared" si="11"/>
        <v>103</v>
      </c>
    </row>
    <row r="308" spans="6:7">
      <c r="F308" t="s">
        <v>4273</v>
      </c>
      <c r="G308">
        <f t="shared" si="11"/>
        <v>103</v>
      </c>
    </row>
    <row r="309" spans="6:7">
      <c r="F309" t="s">
        <v>4273</v>
      </c>
      <c r="G309">
        <f t="shared" si="11"/>
        <v>103</v>
      </c>
    </row>
    <row r="310" spans="6:7">
      <c r="F310" t="s">
        <v>4273</v>
      </c>
      <c r="G310">
        <f t="shared" si="11"/>
        <v>103</v>
      </c>
    </row>
    <row r="311" spans="6:7">
      <c r="F311" t="s">
        <v>4275</v>
      </c>
      <c r="G311">
        <f t="shared" si="11"/>
        <v>102</v>
      </c>
    </row>
    <row r="312" spans="6:7">
      <c r="F312" t="s">
        <v>4275</v>
      </c>
      <c r="G312">
        <f t="shared" si="11"/>
        <v>102</v>
      </c>
    </row>
    <row r="313" spans="6:7">
      <c r="F313" t="s">
        <v>4275</v>
      </c>
      <c r="G313">
        <f t="shared" si="11"/>
        <v>102</v>
      </c>
    </row>
    <row r="314" spans="6:7">
      <c r="F314" t="s">
        <v>4275</v>
      </c>
      <c r="G314">
        <f t="shared" si="11"/>
        <v>102</v>
      </c>
    </row>
    <row r="315" spans="6:7">
      <c r="F315" t="s">
        <v>4275</v>
      </c>
      <c r="G315">
        <f t="shared" si="11"/>
        <v>102</v>
      </c>
    </row>
    <row r="316" spans="6:7">
      <c r="F316" t="s">
        <v>4275</v>
      </c>
      <c r="G316">
        <f t="shared" si="11"/>
        <v>102</v>
      </c>
    </row>
    <row r="317" spans="6:7">
      <c r="F317" t="s">
        <v>4275</v>
      </c>
      <c r="G317">
        <f t="shared" si="11"/>
        <v>102</v>
      </c>
    </row>
    <row r="318" spans="6:7">
      <c r="F318" t="s">
        <v>4275</v>
      </c>
      <c r="G318">
        <f t="shared" si="11"/>
        <v>102</v>
      </c>
    </row>
    <row r="319" spans="6:7">
      <c r="F319" t="s">
        <v>4275</v>
      </c>
      <c r="G319">
        <f t="shared" si="11"/>
        <v>102</v>
      </c>
    </row>
    <row r="320" spans="6:7">
      <c r="F320" t="s">
        <v>4275</v>
      </c>
      <c r="G320">
        <f t="shared" si="11"/>
        <v>102</v>
      </c>
    </row>
    <row r="321" spans="6:7">
      <c r="F321" t="s">
        <v>4275</v>
      </c>
      <c r="G321">
        <f t="shared" si="11"/>
        <v>102</v>
      </c>
    </row>
    <row r="322" spans="6:7">
      <c r="F322" t="s">
        <v>4275</v>
      </c>
      <c r="G322">
        <f t="shared" si="11"/>
        <v>102</v>
      </c>
    </row>
    <row r="323" spans="6:7">
      <c r="F323" t="s">
        <v>4275</v>
      </c>
      <c r="G323">
        <f t="shared" si="11"/>
        <v>102</v>
      </c>
    </row>
    <row r="324" spans="6:7">
      <c r="F324" t="s">
        <v>4275</v>
      </c>
      <c r="G324">
        <f t="shared" si="11"/>
        <v>102</v>
      </c>
    </row>
    <row r="325" spans="6:7">
      <c r="F325" t="s">
        <v>4275</v>
      </c>
      <c r="G325">
        <f t="shared" ref="G325:G388" si="12">_xlfn.XLOOKUP(F325,$C$4:$C$220,$A$4:$A$220)</f>
        <v>102</v>
      </c>
    </row>
    <row r="326" spans="6:7">
      <c r="F326" t="s">
        <v>4275</v>
      </c>
      <c r="G326">
        <f t="shared" si="12"/>
        <v>102</v>
      </c>
    </row>
    <row r="327" spans="6:7">
      <c r="F327" t="s">
        <v>4277</v>
      </c>
      <c r="G327">
        <f t="shared" si="12"/>
        <v>104</v>
      </c>
    </row>
    <row r="328" spans="6:7">
      <c r="F328" t="s">
        <v>4277</v>
      </c>
      <c r="G328">
        <f t="shared" si="12"/>
        <v>104</v>
      </c>
    </row>
    <row r="329" spans="6:7">
      <c r="F329" t="s">
        <v>4277</v>
      </c>
      <c r="G329">
        <f t="shared" si="12"/>
        <v>104</v>
      </c>
    </row>
    <row r="330" spans="6:7">
      <c r="F330" t="s">
        <v>4277</v>
      </c>
      <c r="G330">
        <f t="shared" si="12"/>
        <v>104</v>
      </c>
    </row>
    <row r="331" spans="6:7">
      <c r="F331" t="s">
        <v>4277</v>
      </c>
      <c r="G331">
        <f t="shared" si="12"/>
        <v>104</v>
      </c>
    </row>
    <row r="332" spans="6:7">
      <c r="F332" t="s">
        <v>4277</v>
      </c>
      <c r="G332">
        <f t="shared" si="12"/>
        <v>104</v>
      </c>
    </row>
    <row r="333" spans="6:7">
      <c r="F333" t="s">
        <v>4277</v>
      </c>
      <c r="G333">
        <f t="shared" si="12"/>
        <v>104</v>
      </c>
    </row>
    <row r="334" spans="6:7">
      <c r="F334" t="s">
        <v>4277</v>
      </c>
      <c r="G334">
        <f t="shared" si="12"/>
        <v>104</v>
      </c>
    </row>
    <row r="335" spans="6:7">
      <c r="F335" t="s">
        <v>4277</v>
      </c>
      <c r="G335">
        <f t="shared" si="12"/>
        <v>104</v>
      </c>
    </row>
    <row r="336" spans="6:7">
      <c r="F336" t="s">
        <v>4277</v>
      </c>
      <c r="G336">
        <f t="shared" si="12"/>
        <v>104</v>
      </c>
    </row>
    <row r="337" spans="6:7">
      <c r="F337" t="s">
        <v>4277</v>
      </c>
      <c r="G337">
        <f t="shared" si="12"/>
        <v>104</v>
      </c>
    </row>
    <row r="338" spans="6:7">
      <c r="F338" t="s">
        <v>4277</v>
      </c>
      <c r="G338">
        <f t="shared" si="12"/>
        <v>104</v>
      </c>
    </row>
    <row r="339" spans="6:7">
      <c r="F339" t="s">
        <v>4277</v>
      </c>
      <c r="G339">
        <f t="shared" si="12"/>
        <v>104</v>
      </c>
    </row>
    <row r="340" spans="6:7">
      <c r="F340" t="s">
        <v>4277</v>
      </c>
      <c r="G340">
        <f t="shared" si="12"/>
        <v>104</v>
      </c>
    </row>
    <row r="341" spans="6:7">
      <c r="F341" t="s">
        <v>4277</v>
      </c>
      <c r="G341">
        <f t="shared" si="12"/>
        <v>104</v>
      </c>
    </row>
    <row r="342" spans="6:7">
      <c r="F342" t="s">
        <v>4277</v>
      </c>
      <c r="G342">
        <f t="shared" si="12"/>
        <v>104</v>
      </c>
    </row>
    <row r="343" spans="6:7">
      <c r="F343" t="s">
        <v>4279</v>
      </c>
      <c r="G343">
        <f t="shared" si="12"/>
        <v>108</v>
      </c>
    </row>
    <row r="344" spans="6:7">
      <c r="F344" t="s">
        <v>4279</v>
      </c>
      <c r="G344">
        <f t="shared" si="12"/>
        <v>108</v>
      </c>
    </row>
    <row r="345" spans="6:7">
      <c r="F345" t="s">
        <v>4279</v>
      </c>
      <c r="G345">
        <f t="shared" si="12"/>
        <v>108</v>
      </c>
    </row>
    <row r="346" spans="6:7">
      <c r="F346" t="s">
        <v>4279</v>
      </c>
      <c r="G346">
        <f t="shared" si="12"/>
        <v>108</v>
      </c>
    </row>
    <row r="347" spans="6:7">
      <c r="F347" t="s">
        <v>4279</v>
      </c>
      <c r="G347">
        <f t="shared" si="12"/>
        <v>108</v>
      </c>
    </row>
    <row r="348" spans="6:7">
      <c r="F348" t="s">
        <v>4279</v>
      </c>
      <c r="G348">
        <f t="shared" si="12"/>
        <v>108</v>
      </c>
    </row>
    <row r="349" spans="6:7">
      <c r="F349" t="s">
        <v>4279</v>
      </c>
      <c r="G349">
        <f t="shared" si="12"/>
        <v>108</v>
      </c>
    </row>
    <row r="350" spans="6:7">
      <c r="F350" t="s">
        <v>4279</v>
      </c>
      <c r="G350">
        <f t="shared" si="12"/>
        <v>108</v>
      </c>
    </row>
    <row r="351" spans="6:7">
      <c r="F351" t="s">
        <v>4279</v>
      </c>
      <c r="G351">
        <f t="shared" si="12"/>
        <v>108</v>
      </c>
    </row>
    <row r="352" spans="6:7">
      <c r="F352" t="s">
        <v>4279</v>
      </c>
      <c r="G352">
        <f t="shared" si="12"/>
        <v>108</v>
      </c>
    </row>
    <row r="353" spans="6:7">
      <c r="F353" t="s">
        <v>4279</v>
      </c>
      <c r="G353">
        <f t="shared" si="12"/>
        <v>108</v>
      </c>
    </row>
    <row r="354" spans="6:7">
      <c r="F354" t="s">
        <v>4279</v>
      </c>
      <c r="G354">
        <f t="shared" si="12"/>
        <v>108</v>
      </c>
    </row>
    <row r="355" spans="6:7">
      <c r="F355" t="s">
        <v>4279</v>
      </c>
      <c r="G355">
        <f t="shared" si="12"/>
        <v>108</v>
      </c>
    </row>
    <row r="356" spans="6:7">
      <c r="F356" t="s">
        <v>4279</v>
      </c>
      <c r="G356">
        <f t="shared" si="12"/>
        <v>108</v>
      </c>
    </row>
    <row r="357" spans="6:7">
      <c r="F357" t="s">
        <v>4279</v>
      </c>
      <c r="G357">
        <f t="shared" si="12"/>
        <v>108</v>
      </c>
    </row>
    <row r="358" spans="6:7">
      <c r="F358" t="s">
        <v>4279</v>
      </c>
      <c r="G358">
        <f t="shared" si="12"/>
        <v>108</v>
      </c>
    </row>
    <row r="359" spans="6:7">
      <c r="F359" t="s">
        <v>4279</v>
      </c>
      <c r="G359">
        <f t="shared" si="12"/>
        <v>108</v>
      </c>
    </row>
    <row r="360" spans="6:7">
      <c r="F360" t="s">
        <v>4279</v>
      </c>
      <c r="G360">
        <f t="shared" si="12"/>
        <v>108</v>
      </c>
    </row>
    <row r="361" spans="6:7">
      <c r="F361" t="s">
        <v>4279</v>
      </c>
      <c r="G361">
        <f t="shared" si="12"/>
        <v>108</v>
      </c>
    </row>
    <row r="362" spans="6:7">
      <c r="F362" t="s">
        <v>4279</v>
      </c>
      <c r="G362">
        <f t="shared" si="12"/>
        <v>108</v>
      </c>
    </row>
    <row r="363" spans="6:7">
      <c r="F363" t="s">
        <v>4279</v>
      </c>
      <c r="G363">
        <f t="shared" si="12"/>
        <v>108</v>
      </c>
    </row>
    <row r="364" spans="6:7">
      <c r="F364" t="s">
        <v>4281</v>
      </c>
      <c r="G364">
        <f t="shared" si="12"/>
        <v>107</v>
      </c>
    </row>
    <row r="365" spans="6:7">
      <c r="F365" t="s">
        <v>4281</v>
      </c>
      <c r="G365">
        <f t="shared" si="12"/>
        <v>107</v>
      </c>
    </row>
    <row r="366" spans="6:7">
      <c r="F366" t="s">
        <v>4281</v>
      </c>
      <c r="G366">
        <f t="shared" si="12"/>
        <v>107</v>
      </c>
    </row>
    <row r="367" spans="6:7">
      <c r="F367" t="s">
        <v>4281</v>
      </c>
      <c r="G367">
        <f t="shared" si="12"/>
        <v>107</v>
      </c>
    </row>
    <row r="368" spans="6:7">
      <c r="F368" t="s">
        <v>4281</v>
      </c>
      <c r="G368">
        <f t="shared" si="12"/>
        <v>107</v>
      </c>
    </row>
    <row r="369" spans="6:7">
      <c r="F369" t="s">
        <v>4281</v>
      </c>
      <c r="G369">
        <f t="shared" si="12"/>
        <v>107</v>
      </c>
    </row>
    <row r="370" spans="6:7">
      <c r="F370" t="s">
        <v>4281</v>
      </c>
      <c r="G370">
        <f t="shared" si="12"/>
        <v>107</v>
      </c>
    </row>
    <row r="371" spans="6:7">
      <c r="F371" t="s">
        <v>4281</v>
      </c>
      <c r="G371">
        <f t="shared" si="12"/>
        <v>107</v>
      </c>
    </row>
    <row r="372" spans="6:7">
      <c r="F372" t="s">
        <v>4281</v>
      </c>
      <c r="G372">
        <f t="shared" si="12"/>
        <v>107</v>
      </c>
    </row>
    <row r="373" spans="6:7">
      <c r="F373" t="s">
        <v>4281</v>
      </c>
      <c r="G373">
        <f t="shared" si="12"/>
        <v>107</v>
      </c>
    </row>
    <row r="374" spans="6:7">
      <c r="F374" t="s">
        <v>4281</v>
      </c>
      <c r="G374">
        <f t="shared" si="12"/>
        <v>107</v>
      </c>
    </row>
    <row r="375" spans="6:7">
      <c r="F375" t="s">
        <v>4281</v>
      </c>
      <c r="G375">
        <f t="shared" si="12"/>
        <v>107</v>
      </c>
    </row>
    <row r="376" spans="6:7">
      <c r="F376" t="s">
        <v>4281</v>
      </c>
      <c r="G376">
        <f t="shared" si="12"/>
        <v>107</v>
      </c>
    </row>
    <row r="377" spans="6:7">
      <c r="F377" t="s">
        <v>4281</v>
      </c>
      <c r="G377">
        <f t="shared" si="12"/>
        <v>107</v>
      </c>
    </row>
    <row r="378" spans="6:7">
      <c r="F378" t="s">
        <v>4281</v>
      </c>
      <c r="G378">
        <f t="shared" si="12"/>
        <v>107</v>
      </c>
    </row>
    <row r="379" spans="6:7">
      <c r="F379" t="s">
        <v>4281</v>
      </c>
      <c r="G379">
        <f t="shared" si="12"/>
        <v>107</v>
      </c>
    </row>
    <row r="380" spans="6:7">
      <c r="F380" t="s">
        <v>4281</v>
      </c>
      <c r="G380">
        <f t="shared" si="12"/>
        <v>107</v>
      </c>
    </row>
    <row r="381" spans="6:7">
      <c r="F381" t="s">
        <v>4281</v>
      </c>
      <c r="G381">
        <f t="shared" si="12"/>
        <v>107</v>
      </c>
    </row>
    <row r="382" spans="6:7">
      <c r="F382" t="s">
        <v>4281</v>
      </c>
      <c r="G382">
        <f t="shared" si="12"/>
        <v>107</v>
      </c>
    </row>
    <row r="383" spans="6:7">
      <c r="F383" t="s">
        <v>4281</v>
      </c>
      <c r="G383">
        <f t="shared" si="12"/>
        <v>107</v>
      </c>
    </row>
    <row r="384" spans="6:7">
      <c r="F384" t="s">
        <v>4281</v>
      </c>
      <c r="G384">
        <f t="shared" si="12"/>
        <v>107</v>
      </c>
    </row>
    <row r="385" spans="6:7">
      <c r="F385" t="s">
        <v>4415</v>
      </c>
      <c r="G385">
        <f t="shared" si="12"/>
        <v>106</v>
      </c>
    </row>
    <row r="386" spans="6:7">
      <c r="F386" t="s">
        <v>4415</v>
      </c>
      <c r="G386">
        <f t="shared" si="12"/>
        <v>106</v>
      </c>
    </row>
    <row r="387" spans="6:7">
      <c r="F387" t="s">
        <v>4415</v>
      </c>
      <c r="G387">
        <f t="shared" si="12"/>
        <v>106</v>
      </c>
    </row>
    <row r="388" spans="6:7">
      <c r="F388" t="s">
        <v>4415</v>
      </c>
      <c r="G388">
        <f t="shared" si="12"/>
        <v>106</v>
      </c>
    </row>
    <row r="389" spans="6:7">
      <c r="F389" t="s">
        <v>4415</v>
      </c>
      <c r="G389">
        <f t="shared" ref="G389:G452" si="13">_xlfn.XLOOKUP(F389,$C$4:$C$220,$A$4:$A$220)</f>
        <v>106</v>
      </c>
    </row>
    <row r="390" spans="6:7">
      <c r="F390" t="s">
        <v>4415</v>
      </c>
      <c r="G390">
        <f t="shared" si="13"/>
        <v>106</v>
      </c>
    </row>
    <row r="391" spans="6:7">
      <c r="F391" t="s">
        <v>4415</v>
      </c>
      <c r="G391">
        <f t="shared" si="13"/>
        <v>106</v>
      </c>
    </row>
    <row r="392" spans="6:7">
      <c r="F392" t="s">
        <v>4415</v>
      </c>
      <c r="G392">
        <f t="shared" si="13"/>
        <v>106</v>
      </c>
    </row>
    <row r="393" spans="6:7">
      <c r="F393" t="s">
        <v>4415</v>
      </c>
      <c r="G393">
        <f t="shared" si="13"/>
        <v>106</v>
      </c>
    </row>
    <row r="394" spans="6:7">
      <c r="F394" t="s">
        <v>4415</v>
      </c>
      <c r="G394">
        <f t="shared" si="13"/>
        <v>106</v>
      </c>
    </row>
    <row r="395" spans="6:7">
      <c r="F395" t="s">
        <v>4415</v>
      </c>
      <c r="G395">
        <f t="shared" si="13"/>
        <v>106</v>
      </c>
    </row>
    <row r="396" spans="6:7">
      <c r="F396" t="s">
        <v>4415</v>
      </c>
      <c r="G396">
        <f t="shared" si="13"/>
        <v>106</v>
      </c>
    </row>
    <row r="397" spans="6:7">
      <c r="F397" t="s">
        <v>4415</v>
      </c>
      <c r="G397">
        <f t="shared" si="13"/>
        <v>106</v>
      </c>
    </row>
    <row r="398" spans="6:7">
      <c r="F398" t="s">
        <v>4415</v>
      </c>
      <c r="G398">
        <f t="shared" si="13"/>
        <v>106</v>
      </c>
    </row>
    <row r="399" spans="6:7">
      <c r="F399" t="s">
        <v>4415</v>
      </c>
      <c r="G399">
        <f t="shared" si="13"/>
        <v>106</v>
      </c>
    </row>
    <row r="400" spans="6:7">
      <c r="F400" t="s">
        <v>4415</v>
      </c>
      <c r="G400">
        <f t="shared" si="13"/>
        <v>106</v>
      </c>
    </row>
    <row r="401" spans="6:7">
      <c r="F401" t="s">
        <v>4415</v>
      </c>
      <c r="G401">
        <f t="shared" si="13"/>
        <v>106</v>
      </c>
    </row>
    <row r="402" spans="6:7">
      <c r="F402" t="s">
        <v>4415</v>
      </c>
      <c r="G402">
        <f t="shared" si="13"/>
        <v>106</v>
      </c>
    </row>
    <row r="403" spans="6:7">
      <c r="F403" t="s">
        <v>4415</v>
      </c>
      <c r="G403">
        <f t="shared" si="13"/>
        <v>106</v>
      </c>
    </row>
    <row r="404" spans="6:7">
      <c r="F404" t="s">
        <v>4415</v>
      </c>
      <c r="G404">
        <f t="shared" si="13"/>
        <v>106</v>
      </c>
    </row>
    <row r="405" spans="6:7">
      <c r="F405" t="s">
        <v>4415</v>
      </c>
      <c r="G405">
        <f t="shared" si="13"/>
        <v>106</v>
      </c>
    </row>
    <row r="406" spans="6:7">
      <c r="F406" t="s">
        <v>4349</v>
      </c>
      <c r="G406">
        <f t="shared" si="13"/>
        <v>10004</v>
      </c>
    </row>
    <row r="407" spans="6:7">
      <c r="F407" t="s">
        <v>4349</v>
      </c>
      <c r="G407">
        <f t="shared" si="13"/>
        <v>10004</v>
      </c>
    </row>
    <row r="408" spans="6:7">
      <c r="F408" t="s">
        <v>4349</v>
      </c>
      <c r="G408">
        <f t="shared" si="13"/>
        <v>10004</v>
      </c>
    </row>
    <row r="409" spans="6:7">
      <c r="F409" t="s">
        <v>4349</v>
      </c>
      <c r="G409">
        <f t="shared" si="13"/>
        <v>10004</v>
      </c>
    </row>
    <row r="410" spans="6:7">
      <c r="F410" t="s">
        <v>4349</v>
      </c>
      <c r="G410">
        <f t="shared" si="13"/>
        <v>10004</v>
      </c>
    </row>
    <row r="411" spans="6:7">
      <c r="F411" t="s">
        <v>4349</v>
      </c>
      <c r="G411">
        <f t="shared" si="13"/>
        <v>10004</v>
      </c>
    </row>
    <row r="412" spans="6:7">
      <c r="F412" t="s">
        <v>4349</v>
      </c>
      <c r="G412">
        <f t="shared" si="13"/>
        <v>10004</v>
      </c>
    </row>
    <row r="413" spans="6:7">
      <c r="F413" t="s">
        <v>4349</v>
      </c>
      <c r="G413">
        <f t="shared" si="13"/>
        <v>10004</v>
      </c>
    </row>
    <row r="414" spans="6:7">
      <c r="F414" t="s">
        <v>4349</v>
      </c>
      <c r="G414">
        <f t="shared" si="13"/>
        <v>10004</v>
      </c>
    </row>
    <row r="415" spans="6:7">
      <c r="F415" t="s">
        <v>4349</v>
      </c>
      <c r="G415">
        <f t="shared" si="13"/>
        <v>10004</v>
      </c>
    </row>
    <row r="416" spans="6:7">
      <c r="F416" t="s">
        <v>4349</v>
      </c>
      <c r="G416">
        <f t="shared" si="13"/>
        <v>10004</v>
      </c>
    </row>
    <row r="417" spans="6:7">
      <c r="F417" t="s">
        <v>4349</v>
      </c>
      <c r="G417">
        <f t="shared" si="13"/>
        <v>10004</v>
      </c>
    </row>
    <row r="418" spans="6:7">
      <c r="F418" t="s">
        <v>4349</v>
      </c>
      <c r="G418">
        <f t="shared" si="13"/>
        <v>10004</v>
      </c>
    </row>
    <row r="419" spans="6:7">
      <c r="F419" t="s">
        <v>4349</v>
      </c>
      <c r="G419">
        <f t="shared" si="13"/>
        <v>10004</v>
      </c>
    </row>
    <row r="420" spans="6:7">
      <c r="F420" t="s">
        <v>4349</v>
      </c>
      <c r="G420">
        <f t="shared" si="13"/>
        <v>10004</v>
      </c>
    </row>
    <row r="421" spans="6:7">
      <c r="F421" t="s">
        <v>4349</v>
      </c>
      <c r="G421">
        <f t="shared" si="13"/>
        <v>10004</v>
      </c>
    </row>
    <row r="422" spans="6:7">
      <c r="F422" t="s">
        <v>4349</v>
      </c>
      <c r="G422">
        <f t="shared" si="13"/>
        <v>10004</v>
      </c>
    </row>
    <row r="423" spans="6:7">
      <c r="F423" t="s">
        <v>4349</v>
      </c>
      <c r="G423">
        <f t="shared" si="13"/>
        <v>10004</v>
      </c>
    </row>
    <row r="424" spans="6:7">
      <c r="F424" t="s">
        <v>4349</v>
      </c>
      <c r="G424">
        <f t="shared" si="13"/>
        <v>10004</v>
      </c>
    </row>
    <row r="425" spans="6:7">
      <c r="F425" t="s">
        <v>4349</v>
      </c>
      <c r="G425">
        <f t="shared" si="13"/>
        <v>10004</v>
      </c>
    </row>
    <row r="426" spans="6:7">
      <c r="F426" t="s">
        <v>4349</v>
      </c>
      <c r="G426">
        <f t="shared" si="13"/>
        <v>10004</v>
      </c>
    </row>
    <row r="427" spans="6:7">
      <c r="F427" t="s">
        <v>4371</v>
      </c>
      <c r="G427">
        <f t="shared" si="13"/>
        <v>10005</v>
      </c>
    </row>
    <row r="428" spans="6:7">
      <c r="F428" t="s">
        <v>4371</v>
      </c>
      <c r="G428">
        <f t="shared" si="13"/>
        <v>10005</v>
      </c>
    </row>
    <row r="429" spans="6:7">
      <c r="F429" t="s">
        <v>4371</v>
      </c>
      <c r="G429">
        <f t="shared" si="13"/>
        <v>10005</v>
      </c>
    </row>
    <row r="430" spans="6:7">
      <c r="F430" t="s">
        <v>4371</v>
      </c>
      <c r="G430">
        <f t="shared" si="13"/>
        <v>10005</v>
      </c>
    </row>
    <row r="431" spans="6:7">
      <c r="F431" t="s">
        <v>4371</v>
      </c>
      <c r="G431">
        <f t="shared" si="13"/>
        <v>10005</v>
      </c>
    </row>
    <row r="432" spans="6:7">
      <c r="F432" t="s">
        <v>4371</v>
      </c>
      <c r="G432">
        <f t="shared" si="13"/>
        <v>10005</v>
      </c>
    </row>
    <row r="433" spans="6:7">
      <c r="F433" t="s">
        <v>4371</v>
      </c>
      <c r="G433">
        <f t="shared" si="13"/>
        <v>10005</v>
      </c>
    </row>
    <row r="434" spans="6:7">
      <c r="F434" t="s">
        <v>4371</v>
      </c>
      <c r="G434">
        <f t="shared" si="13"/>
        <v>10005</v>
      </c>
    </row>
    <row r="435" spans="6:7">
      <c r="F435" t="s">
        <v>4371</v>
      </c>
      <c r="G435">
        <f t="shared" si="13"/>
        <v>10005</v>
      </c>
    </row>
    <row r="436" spans="6:7">
      <c r="F436" t="s">
        <v>4371</v>
      </c>
      <c r="G436">
        <f t="shared" si="13"/>
        <v>10005</v>
      </c>
    </row>
    <row r="437" spans="6:7">
      <c r="F437" t="s">
        <v>4371</v>
      </c>
      <c r="G437">
        <f t="shared" si="13"/>
        <v>10005</v>
      </c>
    </row>
    <row r="438" spans="6:7">
      <c r="F438" t="s">
        <v>4371</v>
      </c>
      <c r="G438">
        <f t="shared" si="13"/>
        <v>10005</v>
      </c>
    </row>
    <row r="439" spans="6:7">
      <c r="F439" t="s">
        <v>4371</v>
      </c>
      <c r="G439">
        <f t="shared" si="13"/>
        <v>10005</v>
      </c>
    </row>
    <row r="440" spans="6:7">
      <c r="F440" t="s">
        <v>4371</v>
      </c>
      <c r="G440">
        <f t="shared" si="13"/>
        <v>10005</v>
      </c>
    </row>
    <row r="441" spans="6:7">
      <c r="F441" t="s">
        <v>4371</v>
      </c>
      <c r="G441">
        <f t="shared" si="13"/>
        <v>10005</v>
      </c>
    </row>
    <row r="442" spans="6:7">
      <c r="F442" t="s">
        <v>4371</v>
      </c>
      <c r="G442">
        <f t="shared" si="13"/>
        <v>10005</v>
      </c>
    </row>
    <row r="443" spans="6:7">
      <c r="F443" t="s">
        <v>4371</v>
      </c>
      <c r="G443">
        <f t="shared" si="13"/>
        <v>10005</v>
      </c>
    </row>
    <row r="444" spans="6:7">
      <c r="F444" t="s">
        <v>4371</v>
      </c>
      <c r="G444">
        <f t="shared" si="13"/>
        <v>10005</v>
      </c>
    </row>
    <row r="445" spans="6:7">
      <c r="F445" t="s">
        <v>4371</v>
      </c>
      <c r="G445">
        <f t="shared" si="13"/>
        <v>10005</v>
      </c>
    </row>
    <row r="446" spans="6:7">
      <c r="F446" t="s">
        <v>4371</v>
      </c>
      <c r="G446">
        <f t="shared" si="13"/>
        <v>10005</v>
      </c>
    </row>
    <row r="447" spans="6:7">
      <c r="F447" t="s">
        <v>4371</v>
      </c>
      <c r="G447">
        <f t="shared" si="13"/>
        <v>10005</v>
      </c>
    </row>
    <row r="448" spans="6:7">
      <c r="F448" t="s">
        <v>4392</v>
      </c>
      <c r="G448">
        <f t="shared" si="13"/>
        <v>10006</v>
      </c>
    </row>
    <row r="449" spans="6:7">
      <c r="F449" t="s">
        <v>4392</v>
      </c>
      <c r="G449">
        <f t="shared" si="13"/>
        <v>10006</v>
      </c>
    </row>
    <row r="450" spans="6:7">
      <c r="F450" t="s">
        <v>4392</v>
      </c>
      <c r="G450">
        <f t="shared" si="13"/>
        <v>10006</v>
      </c>
    </row>
    <row r="451" spans="6:7">
      <c r="F451" t="s">
        <v>4392</v>
      </c>
      <c r="G451">
        <f t="shared" si="13"/>
        <v>10006</v>
      </c>
    </row>
    <row r="452" spans="6:7">
      <c r="F452" t="s">
        <v>4392</v>
      </c>
      <c r="G452">
        <f t="shared" si="13"/>
        <v>10006</v>
      </c>
    </row>
    <row r="453" spans="6:7">
      <c r="F453" t="s">
        <v>4392</v>
      </c>
      <c r="G453">
        <f t="shared" ref="G453:G516" si="14">_xlfn.XLOOKUP(F453,$C$4:$C$220,$A$4:$A$220)</f>
        <v>10006</v>
      </c>
    </row>
    <row r="454" spans="6:7">
      <c r="F454" t="s">
        <v>4392</v>
      </c>
      <c r="G454">
        <f t="shared" si="14"/>
        <v>10006</v>
      </c>
    </row>
    <row r="455" spans="6:7">
      <c r="F455" t="s">
        <v>4392</v>
      </c>
      <c r="G455">
        <f t="shared" si="14"/>
        <v>10006</v>
      </c>
    </row>
    <row r="456" spans="6:7">
      <c r="F456" t="s">
        <v>4392</v>
      </c>
      <c r="G456">
        <f t="shared" si="14"/>
        <v>10006</v>
      </c>
    </row>
    <row r="457" spans="6:7">
      <c r="F457" t="s">
        <v>4392</v>
      </c>
      <c r="G457">
        <f t="shared" si="14"/>
        <v>10006</v>
      </c>
    </row>
    <row r="458" spans="6:7">
      <c r="F458" t="s">
        <v>4392</v>
      </c>
      <c r="G458">
        <f t="shared" si="14"/>
        <v>10006</v>
      </c>
    </row>
    <row r="459" spans="6:7">
      <c r="F459" t="s">
        <v>4392</v>
      </c>
      <c r="G459">
        <f t="shared" si="14"/>
        <v>10006</v>
      </c>
    </row>
    <row r="460" spans="6:7">
      <c r="F460" t="s">
        <v>4392</v>
      </c>
      <c r="G460">
        <f t="shared" si="14"/>
        <v>10006</v>
      </c>
    </row>
    <row r="461" spans="6:7">
      <c r="F461" t="s">
        <v>4392</v>
      </c>
      <c r="G461">
        <f t="shared" si="14"/>
        <v>10006</v>
      </c>
    </row>
    <row r="462" spans="6:7">
      <c r="F462" t="s">
        <v>4392</v>
      </c>
      <c r="G462">
        <f t="shared" si="14"/>
        <v>10006</v>
      </c>
    </row>
    <row r="463" spans="6:7">
      <c r="F463" t="s">
        <v>4392</v>
      </c>
      <c r="G463">
        <f t="shared" si="14"/>
        <v>10006</v>
      </c>
    </row>
    <row r="464" spans="6:7">
      <c r="F464" t="s">
        <v>4392</v>
      </c>
      <c r="G464">
        <f t="shared" si="14"/>
        <v>10006</v>
      </c>
    </row>
    <row r="465" spans="6:7">
      <c r="F465" t="s">
        <v>4392</v>
      </c>
      <c r="G465">
        <f t="shared" si="14"/>
        <v>10006</v>
      </c>
    </row>
    <row r="466" spans="6:7">
      <c r="F466" t="s">
        <v>4392</v>
      </c>
      <c r="G466">
        <f t="shared" si="14"/>
        <v>10006</v>
      </c>
    </row>
    <row r="467" spans="6:7">
      <c r="F467" t="s">
        <v>4392</v>
      </c>
      <c r="G467">
        <f t="shared" si="14"/>
        <v>10006</v>
      </c>
    </row>
    <row r="468" spans="6:7">
      <c r="F468" t="s">
        <v>4392</v>
      </c>
      <c r="G468">
        <f t="shared" si="14"/>
        <v>10006</v>
      </c>
    </row>
    <row r="469" spans="6:7">
      <c r="F469" t="s">
        <v>4416</v>
      </c>
      <c r="G469">
        <f t="shared" si="14"/>
        <v>111</v>
      </c>
    </row>
    <row r="470" spans="6:7">
      <c r="F470" t="s">
        <v>4416</v>
      </c>
      <c r="G470">
        <f t="shared" si="14"/>
        <v>111</v>
      </c>
    </row>
    <row r="471" spans="6:7">
      <c r="F471" t="s">
        <v>4416</v>
      </c>
      <c r="G471">
        <f t="shared" si="14"/>
        <v>111</v>
      </c>
    </row>
    <row r="472" spans="6:7">
      <c r="F472" t="s">
        <v>4416</v>
      </c>
      <c r="G472">
        <f t="shared" si="14"/>
        <v>111</v>
      </c>
    </row>
    <row r="473" spans="6:7">
      <c r="F473" t="s">
        <v>4416</v>
      </c>
      <c r="G473">
        <f t="shared" si="14"/>
        <v>111</v>
      </c>
    </row>
    <row r="474" spans="6:7">
      <c r="F474" t="s">
        <v>4416</v>
      </c>
      <c r="G474">
        <f t="shared" si="14"/>
        <v>111</v>
      </c>
    </row>
    <row r="475" spans="6:7">
      <c r="F475" t="s">
        <v>4417</v>
      </c>
      <c r="G475">
        <f t="shared" si="14"/>
        <v>113</v>
      </c>
    </row>
    <row r="476" spans="6:7">
      <c r="F476" t="s">
        <v>4417</v>
      </c>
      <c r="G476">
        <f t="shared" si="14"/>
        <v>113</v>
      </c>
    </row>
    <row r="477" spans="6:7">
      <c r="F477" t="s">
        <v>4417</v>
      </c>
      <c r="G477">
        <f t="shared" si="14"/>
        <v>113</v>
      </c>
    </row>
    <row r="478" spans="6:7">
      <c r="F478" t="s">
        <v>4417</v>
      </c>
      <c r="G478">
        <f t="shared" si="14"/>
        <v>113</v>
      </c>
    </row>
    <row r="479" spans="6:7">
      <c r="F479" t="s">
        <v>4417</v>
      </c>
      <c r="G479">
        <f t="shared" si="14"/>
        <v>113</v>
      </c>
    </row>
    <row r="480" spans="6:7">
      <c r="F480" t="s">
        <v>4417</v>
      </c>
      <c r="G480">
        <f t="shared" si="14"/>
        <v>113</v>
      </c>
    </row>
    <row r="481" spans="6:7">
      <c r="F481" t="s">
        <v>4418</v>
      </c>
      <c r="G481">
        <f t="shared" si="14"/>
        <v>112</v>
      </c>
    </row>
    <row r="482" spans="6:7">
      <c r="F482" t="s">
        <v>4418</v>
      </c>
      <c r="G482">
        <f t="shared" si="14"/>
        <v>112</v>
      </c>
    </row>
    <row r="483" spans="6:7">
      <c r="F483" t="s">
        <v>4418</v>
      </c>
      <c r="G483">
        <f t="shared" si="14"/>
        <v>112</v>
      </c>
    </row>
    <row r="484" spans="6:7">
      <c r="F484" t="s">
        <v>4418</v>
      </c>
      <c r="G484">
        <f t="shared" si="14"/>
        <v>112</v>
      </c>
    </row>
    <row r="485" spans="6:7">
      <c r="F485" t="s">
        <v>4418</v>
      </c>
      <c r="G485">
        <f t="shared" si="14"/>
        <v>112</v>
      </c>
    </row>
    <row r="486" spans="6:7">
      <c r="F486" t="s">
        <v>4418</v>
      </c>
      <c r="G486">
        <f t="shared" si="14"/>
        <v>112</v>
      </c>
    </row>
    <row r="487" spans="6:7">
      <c r="F487" t="s">
        <v>4419</v>
      </c>
      <c r="G487">
        <f t="shared" si="14"/>
        <v>114</v>
      </c>
    </row>
    <row r="488" spans="6:7">
      <c r="F488" t="s">
        <v>4419</v>
      </c>
      <c r="G488">
        <f t="shared" si="14"/>
        <v>114</v>
      </c>
    </row>
    <row r="489" spans="6:7">
      <c r="F489" t="s">
        <v>4419</v>
      </c>
      <c r="G489">
        <f t="shared" si="14"/>
        <v>114</v>
      </c>
    </row>
    <row r="490" spans="6:7">
      <c r="F490" t="s">
        <v>4419</v>
      </c>
      <c r="G490">
        <f t="shared" si="14"/>
        <v>114</v>
      </c>
    </row>
    <row r="491" spans="6:7">
      <c r="F491" t="s">
        <v>4419</v>
      </c>
      <c r="G491">
        <f t="shared" si="14"/>
        <v>114</v>
      </c>
    </row>
    <row r="492" spans="6:7">
      <c r="F492" t="s">
        <v>4419</v>
      </c>
      <c r="G492">
        <f t="shared" si="14"/>
        <v>114</v>
      </c>
    </row>
    <row r="493" spans="6:7">
      <c r="F493" t="s">
        <v>4420</v>
      </c>
      <c r="G493">
        <f t="shared" si="14"/>
        <v>118</v>
      </c>
    </row>
    <row r="494" spans="6:7">
      <c r="F494" t="s">
        <v>4420</v>
      </c>
      <c r="G494">
        <f t="shared" si="14"/>
        <v>118</v>
      </c>
    </row>
    <row r="495" spans="6:7">
      <c r="F495" t="s">
        <v>4420</v>
      </c>
      <c r="G495">
        <f t="shared" si="14"/>
        <v>118</v>
      </c>
    </row>
    <row r="496" spans="6:7">
      <c r="F496" t="s">
        <v>4420</v>
      </c>
      <c r="G496">
        <f t="shared" si="14"/>
        <v>118</v>
      </c>
    </row>
    <row r="497" spans="6:7">
      <c r="F497" t="s">
        <v>4420</v>
      </c>
      <c r="G497">
        <f t="shared" si="14"/>
        <v>118</v>
      </c>
    </row>
    <row r="498" spans="6:7">
      <c r="F498" t="s">
        <v>4420</v>
      </c>
      <c r="G498">
        <f t="shared" si="14"/>
        <v>118</v>
      </c>
    </row>
    <row r="499" spans="6:7">
      <c r="F499" t="s">
        <v>4420</v>
      </c>
      <c r="G499">
        <f t="shared" si="14"/>
        <v>118</v>
      </c>
    </row>
    <row r="500" spans="6:7">
      <c r="F500" t="s">
        <v>4420</v>
      </c>
      <c r="G500">
        <f t="shared" si="14"/>
        <v>118</v>
      </c>
    </row>
    <row r="501" spans="6:7">
      <c r="F501" t="s">
        <v>4420</v>
      </c>
      <c r="G501">
        <f t="shared" si="14"/>
        <v>118</v>
      </c>
    </row>
    <row r="502" spans="6:7">
      <c r="F502" t="s">
        <v>4420</v>
      </c>
      <c r="G502">
        <f t="shared" si="14"/>
        <v>118</v>
      </c>
    </row>
    <row r="503" spans="6:7">
      <c r="F503" t="s">
        <v>4420</v>
      </c>
      <c r="G503">
        <f t="shared" si="14"/>
        <v>118</v>
      </c>
    </row>
    <row r="504" spans="6:7">
      <c r="F504" t="s">
        <v>4421</v>
      </c>
      <c r="G504">
        <f t="shared" si="14"/>
        <v>117</v>
      </c>
    </row>
    <row r="505" spans="6:7">
      <c r="F505" t="s">
        <v>4421</v>
      </c>
      <c r="G505">
        <f t="shared" si="14"/>
        <v>117</v>
      </c>
    </row>
    <row r="506" spans="6:7">
      <c r="F506" t="s">
        <v>4421</v>
      </c>
      <c r="G506">
        <f t="shared" si="14"/>
        <v>117</v>
      </c>
    </row>
    <row r="507" spans="6:7">
      <c r="F507" t="s">
        <v>4421</v>
      </c>
      <c r="G507">
        <f t="shared" si="14"/>
        <v>117</v>
      </c>
    </row>
    <row r="508" spans="6:7">
      <c r="F508" t="s">
        <v>4421</v>
      </c>
      <c r="G508">
        <f t="shared" si="14"/>
        <v>117</v>
      </c>
    </row>
    <row r="509" spans="6:7">
      <c r="F509" t="s">
        <v>4421</v>
      </c>
      <c r="G509">
        <f t="shared" si="14"/>
        <v>117</v>
      </c>
    </row>
    <row r="510" spans="6:7">
      <c r="F510" t="s">
        <v>4421</v>
      </c>
      <c r="G510">
        <f t="shared" si="14"/>
        <v>117</v>
      </c>
    </row>
    <row r="511" spans="6:7">
      <c r="F511" t="s">
        <v>4421</v>
      </c>
      <c r="G511">
        <f t="shared" si="14"/>
        <v>117</v>
      </c>
    </row>
    <row r="512" spans="6:7">
      <c r="F512" t="s">
        <v>4421</v>
      </c>
      <c r="G512">
        <f t="shared" si="14"/>
        <v>117</v>
      </c>
    </row>
    <row r="513" spans="6:7">
      <c r="F513" t="s">
        <v>4421</v>
      </c>
      <c r="G513">
        <f t="shared" si="14"/>
        <v>117</v>
      </c>
    </row>
    <row r="514" spans="6:7">
      <c r="F514" t="s">
        <v>4421</v>
      </c>
      <c r="G514">
        <f t="shared" si="14"/>
        <v>117</v>
      </c>
    </row>
    <row r="515" spans="6:7">
      <c r="F515" t="s">
        <v>4422</v>
      </c>
      <c r="G515">
        <f t="shared" si="14"/>
        <v>119</v>
      </c>
    </row>
    <row r="516" spans="6:7">
      <c r="F516" t="s">
        <v>4422</v>
      </c>
      <c r="G516">
        <f t="shared" si="14"/>
        <v>119</v>
      </c>
    </row>
    <row r="517" spans="6:7">
      <c r="F517" t="s">
        <v>4422</v>
      </c>
      <c r="G517">
        <f t="shared" ref="G517:G580" si="15">_xlfn.XLOOKUP(F517,$C$4:$C$220,$A$4:$A$220)</f>
        <v>119</v>
      </c>
    </row>
    <row r="518" spans="6:7">
      <c r="F518" t="s">
        <v>4422</v>
      </c>
      <c r="G518">
        <f t="shared" si="15"/>
        <v>119</v>
      </c>
    </row>
    <row r="519" spans="6:7">
      <c r="F519" t="s">
        <v>4422</v>
      </c>
      <c r="G519">
        <f t="shared" si="15"/>
        <v>119</v>
      </c>
    </row>
    <row r="520" spans="6:7">
      <c r="F520" t="s">
        <v>4422</v>
      </c>
      <c r="G520">
        <f t="shared" si="15"/>
        <v>119</v>
      </c>
    </row>
    <row r="521" spans="6:7">
      <c r="F521" t="s">
        <v>4422</v>
      </c>
      <c r="G521">
        <f t="shared" si="15"/>
        <v>119</v>
      </c>
    </row>
    <row r="522" spans="6:7">
      <c r="F522" t="s">
        <v>4422</v>
      </c>
      <c r="G522">
        <f t="shared" si="15"/>
        <v>119</v>
      </c>
    </row>
    <row r="523" spans="6:7">
      <c r="F523" t="s">
        <v>4422</v>
      </c>
      <c r="G523">
        <f t="shared" si="15"/>
        <v>119</v>
      </c>
    </row>
    <row r="524" spans="6:7">
      <c r="F524" t="s">
        <v>4422</v>
      </c>
      <c r="G524">
        <f t="shared" si="15"/>
        <v>119</v>
      </c>
    </row>
    <row r="525" spans="6:7">
      <c r="F525" t="s">
        <v>4422</v>
      </c>
      <c r="G525">
        <f t="shared" si="15"/>
        <v>119</v>
      </c>
    </row>
    <row r="526" spans="6:7">
      <c r="F526" t="s">
        <v>4423</v>
      </c>
      <c r="G526">
        <f t="shared" si="15"/>
        <v>10013</v>
      </c>
    </row>
    <row r="527" spans="6:7">
      <c r="F527" t="s">
        <v>4423</v>
      </c>
      <c r="G527">
        <f t="shared" si="15"/>
        <v>10013</v>
      </c>
    </row>
    <row r="528" spans="6:7">
      <c r="F528" t="s">
        <v>4423</v>
      </c>
      <c r="G528">
        <f t="shared" si="15"/>
        <v>10013</v>
      </c>
    </row>
    <row r="529" spans="6:7">
      <c r="F529" t="s">
        <v>4423</v>
      </c>
      <c r="G529">
        <f t="shared" si="15"/>
        <v>10013</v>
      </c>
    </row>
    <row r="530" spans="6:7">
      <c r="F530" t="s">
        <v>4423</v>
      </c>
      <c r="G530">
        <f t="shared" si="15"/>
        <v>10013</v>
      </c>
    </row>
    <row r="531" spans="6:7">
      <c r="F531" t="s">
        <v>4423</v>
      </c>
      <c r="G531">
        <f t="shared" si="15"/>
        <v>10013</v>
      </c>
    </row>
    <row r="532" spans="6:7">
      <c r="F532" t="s">
        <v>4423</v>
      </c>
      <c r="G532">
        <f t="shared" si="15"/>
        <v>10013</v>
      </c>
    </row>
    <row r="533" spans="6:7">
      <c r="F533" t="s">
        <v>4423</v>
      </c>
      <c r="G533">
        <f t="shared" si="15"/>
        <v>10013</v>
      </c>
    </row>
    <row r="534" spans="6:7">
      <c r="F534" t="s">
        <v>4423</v>
      </c>
      <c r="G534">
        <f t="shared" si="15"/>
        <v>10013</v>
      </c>
    </row>
    <row r="535" spans="6:7">
      <c r="F535" t="s">
        <v>4423</v>
      </c>
      <c r="G535">
        <f t="shared" si="15"/>
        <v>10013</v>
      </c>
    </row>
    <row r="536" spans="6:7">
      <c r="F536" t="s">
        <v>4423</v>
      </c>
      <c r="G536">
        <f t="shared" si="15"/>
        <v>10013</v>
      </c>
    </row>
    <row r="537" spans="6:7">
      <c r="F537" t="s">
        <v>4423</v>
      </c>
      <c r="G537">
        <f t="shared" si="15"/>
        <v>10013</v>
      </c>
    </row>
    <row r="538" spans="6:7">
      <c r="F538" t="s">
        <v>4423</v>
      </c>
      <c r="G538">
        <f t="shared" si="15"/>
        <v>10013</v>
      </c>
    </row>
    <row r="539" spans="6:7">
      <c r="F539" t="s">
        <v>4423</v>
      </c>
      <c r="G539">
        <f t="shared" si="15"/>
        <v>10013</v>
      </c>
    </row>
    <row r="540" spans="6:7">
      <c r="F540" t="s">
        <v>4423</v>
      </c>
      <c r="G540">
        <f t="shared" si="15"/>
        <v>10013</v>
      </c>
    </row>
    <row r="541" spans="6:7">
      <c r="F541" t="s">
        <v>4423</v>
      </c>
      <c r="G541">
        <f t="shared" si="15"/>
        <v>10013</v>
      </c>
    </row>
    <row r="542" spans="6:7">
      <c r="F542" t="s">
        <v>4423</v>
      </c>
      <c r="G542">
        <f t="shared" si="15"/>
        <v>10013</v>
      </c>
    </row>
    <row r="543" spans="6:7">
      <c r="F543" t="s">
        <v>4423</v>
      </c>
      <c r="G543">
        <f t="shared" si="15"/>
        <v>10013</v>
      </c>
    </row>
    <row r="544" spans="6:7">
      <c r="F544" t="s">
        <v>4423</v>
      </c>
      <c r="G544">
        <f t="shared" si="15"/>
        <v>10013</v>
      </c>
    </row>
    <row r="545" spans="6:7">
      <c r="F545" t="s">
        <v>4423</v>
      </c>
      <c r="G545">
        <f t="shared" si="15"/>
        <v>10013</v>
      </c>
    </row>
    <row r="546" spans="6:7">
      <c r="F546" t="s">
        <v>4423</v>
      </c>
      <c r="G546">
        <f t="shared" si="15"/>
        <v>10013</v>
      </c>
    </row>
    <row r="547" spans="6:7">
      <c r="F547" t="s">
        <v>4445</v>
      </c>
      <c r="G547">
        <f t="shared" si="15"/>
        <v>10014</v>
      </c>
    </row>
    <row r="548" spans="6:7">
      <c r="F548" t="s">
        <v>4445</v>
      </c>
      <c r="G548">
        <f t="shared" si="15"/>
        <v>10014</v>
      </c>
    </row>
    <row r="549" spans="6:7">
      <c r="F549" t="s">
        <v>4445</v>
      </c>
      <c r="G549">
        <f t="shared" si="15"/>
        <v>10014</v>
      </c>
    </row>
    <row r="550" spans="6:7">
      <c r="F550" t="s">
        <v>4445</v>
      </c>
      <c r="G550">
        <f t="shared" si="15"/>
        <v>10014</v>
      </c>
    </row>
    <row r="551" spans="6:7">
      <c r="F551" t="s">
        <v>4445</v>
      </c>
      <c r="G551">
        <f t="shared" si="15"/>
        <v>10014</v>
      </c>
    </row>
    <row r="552" spans="6:7">
      <c r="F552" t="s">
        <v>4445</v>
      </c>
      <c r="G552">
        <f t="shared" si="15"/>
        <v>10014</v>
      </c>
    </row>
    <row r="553" spans="6:7">
      <c r="F553" t="s">
        <v>4445</v>
      </c>
      <c r="G553">
        <f t="shared" si="15"/>
        <v>10014</v>
      </c>
    </row>
    <row r="554" spans="6:7">
      <c r="F554" t="s">
        <v>4445</v>
      </c>
      <c r="G554">
        <f t="shared" si="15"/>
        <v>10014</v>
      </c>
    </row>
    <row r="555" spans="6:7">
      <c r="F555" t="s">
        <v>4445</v>
      </c>
      <c r="G555">
        <f t="shared" si="15"/>
        <v>10014</v>
      </c>
    </row>
    <row r="556" spans="6:7">
      <c r="F556" t="s">
        <v>4445</v>
      </c>
      <c r="G556">
        <f t="shared" si="15"/>
        <v>10014</v>
      </c>
    </row>
    <row r="557" spans="6:7">
      <c r="F557" t="s">
        <v>4445</v>
      </c>
      <c r="G557">
        <f t="shared" si="15"/>
        <v>10014</v>
      </c>
    </row>
    <row r="558" spans="6:7">
      <c r="F558" t="s">
        <v>4445</v>
      </c>
      <c r="G558">
        <f t="shared" si="15"/>
        <v>10014</v>
      </c>
    </row>
    <row r="559" spans="6:7">
      <c r="F559" t="s">
        <v>4445</v>
      </c>
      <c r="G559">
        <f t="shared" si="15"/>
        <v>10014</v>
      </c>
    </row>
    <row r="560" spans="6:7">
      <c r="F560" t="s">
        <v>4445</v>
      </c>
      <c r="G560">
        <f t="shared" si="15"/>
        <v>10014</v>
      </c>
    </row>
    <row r="561" spans="6:7">
      <c r="F561" t="s">
        <v>4445</v>
      </c>
      <c r="G561">
        <f t="shared" si="15"/>
        <v>10014</v>
      </c>
    </row>
    <row r="562" spans="6:7">
      <c r="F562" t="s">
        <v>4445</v>
      </c>
      <c r="G562">
        <f t="shared" si="15"/>
        <v>10014</v>
      </c>
    </row>
    <row r="563" spans="6:7">
      <c r="F563" t="s">
        <v>4445</v>
      </c>
      <c r="G563">
        <f t="shared" si="15"/>
        <v>10014</v>
      </c>
    </row>
    <row r="564" spans="6:7">
      <c r="F564" t="s">
        <v>4445</v>
      </c>
      <c r="G564">
        <f t="shared" si="15"/>
        <v>10014</v>
      </c>
    </row>
    <row r="565" spans="6:7">
      <c r="F565" t="s">
        <v>4445</v>
      </c>
      <c r="G565">
        <f t="shared" si="15"/>
        <v>10014</v>
      </c>
    </row>
    <row r="566" spans="6:7">
      <c r="F566" t="s">
        <v>4445</v>
      </c>
      <c r="G566">
        <f t="shared" si="15"/>
        <v>10014</v>
      </c>
    </row>
    <row r="567" spans="6:7">
      <c r="F567" t="s">
        <v>4445</v>
      </c>
      <c r="G567">
        <f t="shared" si="15"/>
        <v>10014</v>
      </c>
    </row>
    <row r="568" spans="6:7">
      <c r="F568" t="s">
        <v>4466</v>
      </c>
      <c r="G568">
        <f t="shared" si="15"/>
        <v>10015</v>
      </c>
    </row>
    <row r="569" spans="6:7">
      <c r="F569" t="s">
        <v>4466</v>
      </c>
      <c r="G569">
        <f t="shared" si="15"/>
        <v>10015</v>
      </c>
    </row>
    <row r="570" spans="6:7">
      <c r="F570" t="s">
        <v>4466</v>
      </c>
      <c r="G570">
        <f t="shared" si="15"/>
        <v>10015</v>
      </c>
    </row>
    <row r="571" spans="6:7">
      <c r="F571" t="s">
        <v>4466</v>
      </c>
      <c r="G571">
        <f t="shared" si="15"/>
        <v>10015</v>
      </c>
    </row>
    <row r="572" spans="6:7">
      <c r="F572" t="s">
        <v>4466</v>
      </c>
      <c r="G572">
        <f t="shared" si="15"/>
        <v>10015</v>
      </c>
    </row>
    <row r="573" spans="6:7">
      <c r="F573" t="s">
        <v>4466</v>
      </c>
      <c r="G573">
        <f t="shared" si="15"/>
        <v>10015</v>
      </c>
    </row>
    <row r="574" spans="6:7">
      <c r="F574" t="s">
        <v>4466</v>
      </c>
      <c r="G574">
        <f t="shared" si="15"/>
        <v>10015</v>
      </c>
    </row>
    <row r="575" spans="6:7">
      <c r="F575" t="s">
        <v>4466</v>
      </c>
      <c r="G575">
        <f t="shared" si="15"/>
        <v>10015</v>
      </c>
    </row>
    <row r="576" spans="6:7">
      <c r="F576" t="s">
        <v>4466</v>
      </c>
      <c r="G576">
        <f t="shared" si="15"/>
        <v>10015</v>
      </c>
    </row>
    <row r="577" spans="6:7">
      <c r="F577" t="s">
        <v>4466</v>
      </c>
      <c r="G577">
        <f t="shared" si="15"/>
        <v>10015</v>
      </c>
    </row>
    <row r="578" spans="6:7">
      <c r="F578" t="s">
        <v>4466</v>
      </c>
      <c r="G578">
        <f t="shared" si="15"/>
        <v>10015</v>
      </c>
    </row>
    <row r="579" spans="6:7">
      <c r="F579" t="s">
        <v>4466</v>
      </c>
      <c r="G579">
        <f t="shared" si="15"/>
        <v>10015</v>
      </c>
    </row>
    <row r="580" spans="6:7">
      <c r="F580" t="s">
        <v>4466</v>
      </c>
      <c r="G580">
        <f t="shared" si="15"/>
        <v>10015</v>
      </c>
    </row>
    <row r="581" spans="6:7">
      <c r="F581" t="s">
        <v>4466</v>
      </c>
      <c r="G581">
        <f t="shared" ref="G581:G644" si="16">_xlfn.XLOOKUP(F581,$C$4:$C$220,$A$4:$A$220)</f>
        <v>10015</v>
      </c>
    </row>
    <row r="582" spans="6:7">
      <c r="F582" t="s">
        <v>4466</v>
      </c>
      <c r="G582">
        <f t="shared" si="16"/>
        <v>10015</v>
      </c>
    </row>
    <row r="583" spans="6:7">
      <c r="F583" t="s">
        <v>4466</v>
      </c>
      <c r="G583">
        <f t="shared" si="16"/>
        <v>10015</v>
      </c>
    </row>
    <row r="584" spans="6:7">
      <c r="F584" t="s">
        <v>4466</v>
      </c>
      <c r="G584">
        <f t="shared" si="16"/>
        <v>10015</v>
      </c>
    </row>
    <row r="585" spans="6:7">
      <c r="F585" t="s">
        <v>4466</v>
      </c>
      <c r="G585">
        <f t="shared" si="16"/>
        <v>10015</v>
      </c>
    </row>
    <row r="586" spans="6:7">
      <c r="F586" t="s">
        <v>4466</v>
      </c>
      <c r="G586">
        <f t="shared" si="16"/>
        <v>10015</v>
      </c>
    </row>
    <row r="587" spans="6:7">
      <c r="F587" t="s">
        <v>4466</v>
      </c>
      <c r="G587">
        <f t="shared" si="16"/>
        <v>10015</v>
      </c>
    </row>
    <row r="588" spans="6:7">
      <c r="F588" t="s">
        <v>4466</v>
      </c>
      <c r="G588">
        <f t="shared" si="16"/>
        <v>10015</v>
      </c>
    </row>
    <row r="589" spans="6:7">
      <c r="F589" t="s">
        <v>4416</v>
      </c>
      <c r="G589">
        <f t="shared" si="16"/>
        <v>111</v>
      </c>
    </row>
    <row r="590" spans="6:7">
      <c r="F590" t="s">
        <v>4416</v>
      </c>
      <c r="G590">
        <f t="shared" si="16"/>
        <v>111</v>
      </c>
    </row>
    <row r="591" spans="6:7">
      <c r="F591" t="s">
        <v>4416</v>
      </c>
      <c r="G591">
        <f t="shared" si="16"/>
        <v>111</v>
      </c>
    </row>
    <row r="592" spans="6:7">
      <c r="F592" t="s">
        <v>4416</v>
      </c>
      <c r="G592">
        <f t="shared" si="16"/>
        <v>111</v>
      </c>
    </row>
    <row r="593" spans="6:7">
      <c r="F593" t="s">
        <v>4416</v>
      </c>
      <c r="G593">
        <f t="shared" si="16"/>
        <v>111</v>
      </c>
    </row>
    <row r="594" spans="6:7">
      <c r="F594" t="s">
        <v>4416</v>
      </c>
      <c r="G594">
        <f t="shared" si="16"/>
        <v>111</v>
      </c>
    </row>
    <row r="595" spans="6:7">
      <c r="F595" t="s">
        <v>4416</v>
      </c>
      <c r="G595">
        <f t="shared" si="16"/>
        <v>111</v>
      </c>
    </row>
    <row r="596" spans="6:7">
      <c r="F596" t="s">
        <v>4416</v>
      </c>
      <c r="G596">
        <f t="shared" si="16"/>
        <v>111</v>
      </c>
    </row>
    <row r="597" spans="6:7">
      <c r="F597" t="s">
        <v>4416</v>
      </c>
      <c r="G597">
        <f t="shared" si="16"/>
        <v>111</v>
      </c>
    </row>
    <row r="598" spans="6:7">
      <c r="F598" t="s">
        <v>4416</v>
      </c>
      <c r="G598">
        <f t="shared" si="16"/>
        <v>111</v>
      </c>
    </row>
    <row r="599" spans="6:7">
      <c r="F599" t="s">
        <v>4416</v>
      </c>
      <c r="G599">
        <f t="shared" si="16"/>
        <v>111</v>
      </c>
    </row>
    <row r="600" spans="6:7">
      <c r="F600" t="s">
        <v>4417</v>
      </c>
      <c r="G600">
        <f t="shared" si="16"/>
        <v>113</v>
      </c>
    </row>
    <row r="601" spans="6:7">
      <c r="F601" t="s">
        <v>4417</v>
      </c>
      <c r="G601">
        <f t="shared" si="16"/>
        <v>113</v>
      </c>
    </row>
    <row r="602" spans="6:7">
      <c r="F602" t="s">
        <v>4417</v>
      </c>
      <c r="G602">
        <f t="shared" si="16"/>
        <v>113</v>
      </c>
    </row>
    <row r="603" spans="6:7">
      <c r="F603" t="s">
        <v>4417</v>
      </c>
      <c r="G603">
        <f t="shared" si="16"/>
        <v>113</v>
      </c>
    </row>
    <row r="604" spans="6:7">
      <c r="F604" t="s">
        <v>4417</v>
      </c>
      <c r="G604">
        <f t="shared" si="16"/>
        <v>113</v>
      </c>
    </row>
    <row r="605" spans="6:7">
      <c r="F605" t="s">
        <v>4417</v>
      </c>
      <c r="G605">
        <f t="shared" si="16"/>
        <v>113</v>
      </c>
    </row>
    <row r="606" spans="6:7">
      <c r="F606" t="s">
        <v>4417</v>
      </c>
      <c r="G606">
        <f t="shared" si="16"/>
        <v>113</v>
      </c>
    </row>
    <row r="607" spans="6:7">
      <c r="F607" t="s">
        <v>4417</v>
      </c>
      <c r="G607">
        <f t="shared" si="16"/>
        <v>113</v>
      </c>
    </row>
    <row r="608" spans="6:7">
      <c r="F608" t="s">
        <v>4417</v>
      </c>
      <c r="G608">
        <f t="shared" si="16"/>
        <v>113</v>
      </c>
    </row>
    <row r="609" spans="6:7">
      <c r="F609" t="s">
        <v>4417</v>
      </c>
      <c r="G609">
        <f t="shared" si="16"/>
        <v>113</v>
      </c>
    </row>
    <row r="610" spans="6:7">
      <c r="F610" t="s">
        <v>4417</v>
      </c>
      <c r="G610">
        <f t="shared" si="16"/>
        <v>113</v>
      </c>
    </row>
    <row r="611" spans="6:7">
      <c r="F611" t="s">
        <v>4418</v>
      </c>
      <c r="G611">
        <f t="shared" si="16"/>
        <v>112</v>
      </c>
    </row>
    <row r="612" spans="6:7">
      <c r="F612" t="s">
        <v>4418</v>
      </c>
      <c r="G612">
        <f t="shared" si="16"/>
        <v>112</v>
      </c>
    </row>
    <row r="613" spans="6:7">
      <c r="F613" t="s">
        <v>4418</v>
      </c>
      <c r="G613">
        <f t="shared" si="16"/>
        <v>112</v>
      </c>
    </row>
    <row r="614" spans="6:7">
      <c r="F614" t="s">
        <v>4418</v>
      </c>
      <c r="G614">
        <f t="shared" si="16"/>
        <v>112</v>
      </c>
    </row>
    <row r="615" spans="6:7">
      <c r="F615" t="s">
        <v>4418</v>
      </c>
      <c r="G615">
        <f t="shared" si="16"/>
        <v>112</v>
      </c>
    </row>
    <row r="616" spans="6:7">
      <c r="F616" t="s">
        <v>4418</v>
      </c>
      <c r="G616">
        <f t="shared" si="16"/>
        <v>112</v>
      </c>
    </row>
    <row r="617" spans="6:7">
      <c r="F617" t="s">
        <v>4418</v>
      </c>
      <c r="G617">
        <f t="shared" si="16"/>
        <v>112</v>
      </c>
    </row>
    <row r="618" spans="6:7">
      <c r="F618" t="s">
        <v>4418</v>
      </c>
      <c r="G618">
        <f t="shared" si="16"/>
        <v>112</v>
      </c>
    </row>
    <row r="619" spans="6:7">
      <c r="F619" t="s">
        <v>4418</v>
      </c>
      <c r="G619">
        <f t="shared" si="16"/>
        <v>112</v>
      </c>
    </row>
    <row r="620" spans="6:7">
      <c r="F620" t="s">
        <v>4418</v>
      </c>
      <c r="G620">
        <f t="shared" si="16"/>
        <v>112</v>
      </c>
    </row>
    <row r="621" spans="6:7">
      <c r="F621" t="s">
        <v>4418</v>
      </c>
      <c r="G621">
        <f t="shared" si="16"/>
        <v>112</v>
      </c>
    </row>
    <row r="622" spans="6:7">
      <c r="F622" t="s">
        <v>4419</v>
      </c>
      <c r="G622">
        <f t="shared" si="16"/>
        <v>114</v>
      </c>
    </row>
    <row r="623" spans="6:7">
      <c r="F623" t="s">
        <v>4419</v>
      </c>
      <c r="G623">
        <f t="shared" si="16"/>
        <v>114</v>
      </c>
    </row>
    <row r="624" spans="6:7">
      <c r="F624" t="s">
        <v>4419</v>
      </c>
      <c r="G624">
        <f t="shared" si="16"/>
        <v>114</v>
      </c>
    </row>
    <row r="625" spans="6:7">
      <c r="F625" t="s">
        <v>4419</v>
      </c>
      <c r="G625">
        <f t="shared" si="16"/>
        <v>114</v>
      </c>
    </row>
    <row r="626" spans="6:7">
      <c r="F626" t="s">
        <v>4419</v>
      </c>
      <c r="G626">
        <f t="shared" si="16"/>
        <v>114</v>
      </c>
    </row>
    <row r="627" spans="6:7">
      <c r="F627" t="s">
        <v>4419</v>
      </c>
      <c r="G627">
        <f t="shared" si="16"/>
        <v>114</v>
      </c>
    </row>
    <row r="628" spans="6:7">
      <c r="F628" t="s">
        <v>4419</v>
      </c>
      <c r="G628">
        <f t="shared" si="16"/>
        <v>114</v>
      </c>
    </row>
    <row r="629" spans="6:7">
      <c r="F629" t="s">
        <v>4419</v>
      </c>
      <c r="G629">
        <f t="shared" si="16"/>
        <v>114</v>
      </c>
    </row>
    <row r="630" spans="6:7">
      <c r="F630" t="s">
        <v>4419</v>
      </c>
      <c r="G630">
        <f t="shared" si="16"/>
        <v>114</v>
      </c>
    </row>
    <row r="631" spans="6:7">
      <c r="F631" t="s">
        <v>4419</v>
      </c>
      <c r="G631">
        <f t="shared" si="16"/>
        <v>114</v>
      </c>
    </row>
    <row r="632" spans="6:7">
      <c r="F632" t="s">
        <v>4419</v>
      </c>
      <c r="G632">
        <f t="shared" si="16"/>
        <v>114</v>
      </c>
    </row>
    <row r="633" spans="6:7">
      <c r="F633" t="s">
        <v>4487</v>
      </c>
      <c r="G633">
        <f t="shared" si="16"/>
        <v>116</v>
      </c>
    </row>
    <row r="634" spans="6:7">
      <c r="F634" t="s">
        <v>4487</v>
      </c>
      <c r="G634">
        <f t="shared" si="16"/>
        <v>116</v>
      </c>
    </row>
    <row r="635" spans="6:7">
      <c r="F635" t="s">
        <v>4487</v>
      </c>
      <c r="G635">
        <f t="shared" si="16"/>
        <v>116</v>
      </c>
    </row>
    <row r="636" spans="6:7">
      <c r="F636" t="s">
        <v>4487</v>
      </c>
      <c r="G636">
        <f t="shared" si="16"/>
        <v>116</v>
      </c>
    </row>
    <row r="637" spans="6:7">
      <c r="F637" t="s">
        <v>4487</v>
      </c>
      <c r="G637">
        <f t="shared" si="16"/>
        <v>116</v>
      </c>
    </row>
    <row r="638" spans="6:7">
      <c r="F638" t="s">
        <v>4487</v>
      </c>
      <c r="G638">
        <f t="shared" si="16"/>
        <v>116</v>
      </c>
    </row>
    <row r="639" spans="6:7">
      <c r="F639" t="s">
        <v>4487</v>
      </c>
      <c r="G639">
        <f t="shared" si="16"/>
        <v>116</v>
      </c>
    </row>
    <row r="640" spans="6:7">
      <c r="F640" t="s">
        <v>4487</v>
      </c>
      <c r="G640">
        <f t="shared" si="16"/>
        <v>116</v>
      </c>
    </row>
    <row r="641" spans="6:7">
      <c r="F641" t="s">
        <v>4487</v>
      </c>
      <c r="G641">
        <f t="shared" si="16"/>
        <v>116</v>
      </c>
    </row>
    <row r="642" spans="6:7">
      <c r="F642" t="s">
        <v>4487</v>
      </c>
      <c r="G642">
        <f t="shared" si="16"/>
        <v>116</v>
      </c>
    </row>
    <row r="643" spans="6:7">
      <c r="F643" t="s">
        <v>4487</v>
      </c>
      <c r="G643">
        <f t="shared" si="16"/>
        <v>116</v>
      </c>
    </row>
    <row r="644" spans="6:7">
      <c r="F644" t="s">
        <v>4487</v>
      </c>
      <c r="G644">
        <f t="shared" si="16"/>
        <v>116</v>
      </c>
    </row>
    <row r="645" spans="6:7">
      <c r="F645" t="s">
        <v>4487</v>
      </c>
      <c r="G645">
        <f t="shared" ref="G645:G708" si="17">_xlfn.XLOOKUP(F645,$C$4:$C$220,$A$4:$A$220)</f>
        <v>116</v>
      </c>
    </row>
    <row r="646" spans="6:7">
      <c r="F646" t="s">
        <v>4487</v>
      </c>
      <c r="G646">
        <f t="shared" si="17"/>
        <v>116</v>
      </c>
    </row>
    <row r="647" spans="6:7">
      <c r="F647" t="s">
        <v>4487</v>
      </c>
      <c r="G647">
        <f t="shared" si="17"/>
        <v>116</v>
      </c>
    </row>
    <row r="648" spans="6:7">
      <c r="F648" t="s">
        <v>4487</v>
      </c>
      <c r="G648">
        <f t="shared" si="17"/>
        <v>116</v>
      </c>
    </row>
    <row r="649" spans="6:7">
      <c r="F649" t="s">
        <v>4421</v>
      </c>
      <c r="G649">
        <f t="shared" si="17"/>
        <v>117</v>
      </c>
    </row>
    <row r="650" spans="6:7">
      <c r="F650" t="s">
        <v>4421</v>
      </c>
      <c r="G650">
        <f t="shared" si="17"/>
        <v>117</v>
      </c>
    </row>
    <row r="651" spans="6:7">
      <c r="F651" t="s">
        <v>4421</v>
      </c>
      <c r="G651">
        <f t="shared" si="17"/>
        <v>117</v>
      </c>
    </row>
    <row r="652" spans="6:7">
      <c r="F652" t="s">
        <v>4421</v>
      </c>
      <c r="G652">
        <f t="shared" si="17"/>
        <v>117</v>
      </c>
    </row>
    <row r="653" spans="6:7">
      <c r="F653" t="s">
        <v>4421</v>
      </c>
      <c r="G653">
        <f t="shared" si="17"/>
        <v>117</v>
      </c>
    </row>
    <row r="654" spans="6:7">
      <c r="F654" t="s">
        <v>4421</v>
      </c>
      <c r="G654">
        <f t="shared" si="17"/>
        <v>117</v>
      </c>
    </row>
    <row r="655" spans="6:7">
      <c r="F655" t="s">
        <v>4421</v>
      </c>
      <c r="G655">
        <f t="shared" si="17"/>
        <v>117</v>
      </c>
    </row>
    <row r="656" spans="6:7">
      <c r="F656" t="s">
        <v>4421</v>
      </c>
      <c r="G656">
        <f t="shared" si="17"/>
        <v>117</v>
      </c>
    </row>
    <row r="657" spans="6:7">
      <c r="F657" t="s">
        <v>4421</v>
      </c>
      <c r="G657">
        <f t="shared" si="17"/>
        <v>117</v>
      </c>
    </row>
    <row r="658" spans="6:7">
      <c r="F658" t="s">
        <v>4421</v>
      </c>
      <c r="G658">
        <f t="shared" si="17"/>
        <v>117</v>
      </c>
    </row>
    <row r="659" spans="6:7">
      <c r="F659" t="s">
        <v>4421</v>
      </c>
      <c r="G659">
        <f t="shared" si="17"/>
        <v>117</v>
      </c>
    </row>
    <row r="660" spans="6:7">
      <c r="F660" t="s">
        <v>4421</v>
      </c>
      <c r="G660">
        <f t="shared" si="17"/>
        <v>117</v>
      </c>
    </row>
    <row r="661" spans="6:7">
      <c r="F661" t="s">
        <v>4421</v>
      </c>
      <c r="G661">
        <f t="shared" si="17"/>
        <v>117</v>
      </c>
    </row>
    <row r="662" spans="6:7">
      <c r="F662" t="s">
        <v>4421</v>
      </c>
      <c r="G662">
        <f t="shared" si="17"/>
        <v>117</v>
      </c>
    </row>
    <row r="663" spans="6:7">
      <c r="F663" t="s">
        <v>4421</v>
      </c>
      <c r="G663">
        <f t="shared" si="17"/>
        <v>117</v>
      </c>
    </row>
    <row r="664" spans="6:7">
      <c r="F664" t="s">
        <v>4421</v>
      </c>
      <c r="G664">
        <f t="shared" si="17"/>
        <v>117</v>
      </c>
    </row>
    <row r="665" spans="6:7">
      <c r="F665" t="s">
        <v>4422</v>
      </c>
      <c r="G665">
        <f t="shared" si="17"/>
        <v>119</v>
      </c>
    </row>
    <row r="666" spans="6:7">
      <c r="F666" t="s">
        <v>4422</v>
      </c>
      <c r="G666">
        <f t="shared" si="17"/>
        <v>119</v>
      </c>
    </row>
    <row r="667" spans="6:7">
      <c r="F667" t="s">
        <v>4422</v>
      </c>
      <c r="G667">
        <f t="shared" si="17"/>
        <v>119</v>
      </c>
    </row>
    <row r="668" spans="6:7">
      <c r="F668" t="s">
        <v>4422</v>
      </c>
      <c r="G668">
        <f t="shared" si="17"/>
        <v>119</v>
      </c>
    </row>
    <row r="669" spans="6:7">
      <c r="F669" t="s">
        <v>4422</v>
      </c>
      <c r="G669">
        <f t="shared" si="17"/>
        <v>119</v>
      </c>
    </row>
    <row r="670" spans="6:7">
      <c r="F670" t="s">
        <v>4422</v>
      </c>
      <c r="G670">
        <f t="shared" si="17"/>
        <v>119</v>
      </c>
    </row>
    <row r="671" spans="6:7">
      <c r="F671" t="s">
        <v>4422</v>
      </c>
      <c r="G671">
        <f t="shared" si="17"/>
        <v>119</v>
      </c>
    </row>
    <row r="672" spans="6:7">
      <c r="F672" t="s">
        <v>4422</v>
      </c>
      <c r="G672">
        <f t="shared" si="17"/>
        <v>119</v>
      </c>
    </row>
    <row r="673" spans="6:7">
      <c r="F673" t="s">
        <v>4422</v>
      </c>
      <c r="G673">
        <f t="shared" si="17"/>
        <v>119</v>
      </c>
    </row>
    <row r="674" spans="6:7">
      <c r="F674" t="s">
        <v>4422</v>
      </c>
      <c r="G674">
        <f t="shared" si="17"/>
        <v>119</v>
      </c>
    </row>
    <row r="675" spans="6:7">
      <c r="F675" t="s">
        <v>4422</v>
      </c>
      <c r="G675">
        <f t="shared" si="17"/>
        <v>119</v>
      </c>
    </row>
    <row r="676" spans="6:7">
      <c r="F676" t="s">
        <v>4422</v>
      </c>
      <c r="G676">
        <f t="shared" si="17"/>
        <v>119</v>
      </c>
    </row>
    <row r="677" spans="6:7">
      <c r="F677" t="s">
        <v>4422</v>
      </c>
      <c r="G677">
        <f t="shared" si="17"/>
        <v>119</v>
      </c>
    </row>
    <row r="678" spans="6:7">
      <c r="F678" t="s">
        <v>4422</v>
      </c>
      <c r="G678">
        <f t="shared" si="17"/>
        <v>119</v>
      </c>
    </row>
    <row r="679" spans="6:7">
      <c r="F679" t="s">
        <v>4422</v>
      </c>
      <c r="G679">
        <f t="shared" si="17"/>
        <v>119</v>
      </c>
    </row>
    <row r="680" spans="6:7">
      <c r="F680" t="s">
        <v>4422</v>
      </c>
      <c r="G680">
        <f t="shared" si="17"/>
        <v>119</v>
      </c>
    </row>
    <row r="681" spans="6:7">
      <c r="F681" t="s">
        <v>4488</v>
      </c>
      <c r="G681">
        <f t="shared" si="17"/>
        <v>10016</v>
      </c>
    </row>
    <row r="682" spans="6:7">
      <c r="F682" t="s">
        <v>4488</v>
      </c>
      <c r="G682">
        <f t="shared" si="17"/>
        <v>10016</v>
      </c>
    </row>
    <row r="683" spans="6:7">
      <c r="F683" t="s">
        <v>4488</v>
      </c>
      <c r="G683">
        <f t="shared" si="17"/>
        <v>10016</v>
      </c>
    </row>
    <row r="684" spans="6:7">
      <c r="F684" t="s">
        <v>4488</v>
      </c>
      <c r="G684">
        <f t="shared" si="17"/>
        <v>10016</v>
      </c>
    </row>
    <row r="685" spans="6:7">
      <c r="F685" t="s">
        <v>4488</v>
      </c>
      <c r="G685">
        <f t="shared" si="17"/>
        <v>10016</v>
      </c>
    </row>
    <row r="686" spans="6:7">
      <c r="F686" t="s">
        <v>4488</v>
      </c>
      <c r="G686">
        <f t="shared" si="17"/>
        <v>10016</v>
      </c>
    </row>
    <row r="687" spans="6:7">
      <c r="F687" t="s">
        <v>4488</v>
      </c>
      <c r="G687">
        <f t="shared" si="17"/>
        <v>10016</v>
      </c>
    </row>
    <row r="688" spans="6:7">
      <c r="F688" t="s">
        <v>4488</v>
      </c>
      <c r="G688">
        <f t="shared" si="17"/>
        <v>10016</v>
      </c>
    </row>
    <row r="689" spans="6:7">
      <c r="F689" t="s">
        <v>4488</v>
      </c>
      <c r="G689">
        <f t="shared" si="17"/>
        <v>10016</v>
      </c>
    </row>
    <row r="690" spans="6:7">
      <c r="F690" t="s">
        <v>4488</v>
      </c>
      <c r="G690">
        <f t="shared" si="17"/>
        <v>10016</v>
      </c>
    </row>
    <row r="691" spans="6:7">
      <c r="F691" t="s">
        <v>4488</v>
      </c>
      <c r="G691">
        <f t="shared" si="17"/>
        <v>10016</v>
      </c>
    </row>
    <row r="692" spans="6:7">
      <c r="F692" t="s">
        <v>4488</v>
      </c>
      <c r="G692">
        <f t="shared" si="17"/>
        <v>10016</v>
      </c>
    </row>
    <row r="693" spans="6:7">
      <c r="F693" t="s">
        <v>4488</v>
      </c>
      <c r="G693">
        <f t="shared" si="17"/>
        <v>10016</v>
      </c>
    </row>
    <row r="694" spans="6:7">
      <c r="F694" t="s">
        <v>4488</v>
      </c>
      <c r="G694">
        <f t="shared" si="17"/>
        <v>10016</v>
      </c>
    </row>
    <row r="695" spans="6:7">
      <c r="F695" t="s">
        <v>4488</v>
      </c>
      <c r="G695">
        <f t="shared" si="17"/>
        <v>10016</v>
      </c>
    </row>
    <row r="696" spans="6:7">
      <c r="F696" t="s">
        <v>4488</v>
      </c>
      <c r="G696">
        <f t="shared" si="17"/>
        <v>10016</v>
      </c>
    </row>
    <row r="697" spans="6:7">
      <c r="F697" t="s">
        <v>4488</v>
      </c>
      <c r="G697">
        <f t="shared" si="17"/>
        <v>10016</v>
      </c>
    </row>
    <row r="698" spans="6:7">
      <c r="F698" t="s">
        <v>4488</v>
      </c>
      <c r="G698">
        <f t="shared" si="17"/>
        <v>10016</v>
      </c>
    </row>
    <row r="699" spans="6:7">
      <c r="F699" t="s">
        <v>4488</v>
      </c>
      <c r="G699">
        <f t="shared" si="17"/>
        <v>10016</v>
      </c>
    </row>
    <row r="700" spans="6:7">
      <c r="F700" t="s">
        <v>4488</v>
      </c>
      <c r="G700">
        <f t="shared" si="17"/>
        <v>10016</v>
      </c>
    </row>
    <row r="701" spans="6:7">
      <c r="F701" t="s">
        <v>4488</v>
      </c>
      <c r="G701">
        <f t="shared" si="17"/>
        <v>10016</v>
      </c>
    </row>
    <row r="702" spans="6:7">
      <c r="F702" t="s">
        <v>4510</v>
      </c>
      <c r="G702">
        <f t="shared" si="17"/>
        <v>10017</v>
      </c>
    </row>
    <row r="703" spans="6:7">
      <c r="F703" t="s">
        <v>4510</v>
      </c>
      <c r="G703">
        <f t="shared" si="17"/>
        <v>10017</v>
      </c>
    </row>
    <row r="704" spans="6:7">
      <c r="F704" t="s">
        <v>4510</v>
      </c>
      <c r="G704">
        <f t="shared" si="17"/>
        <v>10017</v>
      </c>
    </row>
    <row r="705" spans="6:7">
      <c r="F705" t="s">
        <v>4510</v>
      </c>
      <c r="G705">
        <f t="shared" si="17"/>
        <v>10017</v>
      </c>
    </row>
    <row r="706" spans="6:7">
      <c r="F706" t="s">
        <v>4510</v>
      </c>
      <c r="G706">
        <f t="shared" si="17"/>
        <v>10017</v>
      </c>
    </row>
    <row r="707" spans="6:7">
      <c r="F707" t="s">
        <v>4510</v>
      </c>
      <c r="G707">
        <f t="shared" si="17"/>
        <v>10017</v>
      </c>
    </row>
    <row r="708" spans="6:7">
      <c r="F708" t="s">
        <v>4510</v>
      </c>
      <c r="G708">
        <f t="shared" si="17"/>
        <v>10017</v>
      </c>
    </row>
    <row r="709" spans="6:7">
      <c r="F709" t="s">
        <v>4510</v>
      </c>
      <c r="G709">
        <f t="shared" ref="G709:G772" si="18">_xlfn.XLOOKUP(F709,$C$4:$C$220,$A$4:$A$220)</f>
        <v>10017</v>
      </c>
    </row>
    <row r="710" spans="6:7">
      <c r="F710" t="s">
        <v>4510</v>
      </c>
      <c r="G710">
        <f t="shared" si="18"/>
        <v>10017</v>
      </c>
    </row>
    <row r="711" spans="6:7">
      <c r="F711" t="s">
        <v>4510</v>
      </c>
      <c r="G711">
        <f t="shared" si="18"/>
        <v>10017</v>
      </c>
    </row>
    <row r="712" spans="6:7">
      <c r="F712" t="s">
        <v>4510</v>
      </c>
      <c r="G712">
        <f t="shared" si="18"/>
        <v>10017</v>
      </c>
    </row>
    <row r="713" spans="6:7">
      <c r="F713" t="s">
        <v>4510</v>
      </c>
      <c r="G713">
        <f t="shared" si="18"/>
        <v>10017</v>
      </c>
    </row>
    <row r="714" spans="6:7">
      <c r="F714" t="s">
        <v>4510</v>
      </c>
      <c r="G714">
        <f t="shared" si="18"/>
        <v>10017</v>
      </c>
    </row>
    <row r="715" spans="6:7">
      <c r="F715" t="s">
        <v>4510</v>
      </c>
      <c r="G715">
        <f t="shared" si="18"/>
        <v>10017</v>
      </c>
    </row>
    <row r="716" spans="6:7">
      <c r="F716" t="s">
        <v>4510</v>
      </c>
      <c r="G716">
        <f t="shared" si="18"/>
        <v>10017</v>
      </c>
    </row>
    <row r="717" spans="6:7">
      <c r="F717" t="s">
        <v>4510</v>
      </c>
      <c r="G717">
        <f t="shared" si="18"/>
        <v>10017</v>
      </c>
    </row>
    <row r="718" spans="6:7">
      <c r="F718" t="s">
        <v>4510</v>
      </c>
      <c r="G718">
        <f t="shared" si="18"/>
        <v>10017</v>
      </c>
    </row>
    <row r="719" spans="6:7">
      <c r="F719" t="s">
        <v>4510</v>
      </c>
      <c r="G719">
        <f t="shared" si="18"/>
        <v>10017</v>
      </c>
    </row>
    <row r="720" spans="6:7">
      <c r="F720" t="s">
        <v>4510</v>
      </c>
      <c r="G720">
        <f t="shared" si="18"/>
        <v>10017</v>
      </c>
    </row>
    <row r="721" spans="6:7">
      <c r="F721" t="s">
        <v>4510</v>
      </c>
      <c r="G721">
        <f t="shared" si="18"/>
        <v>10017</v>
      </c>
    </row>
    <row r="722" spans="6:7">
      <c r="F722" t="s">
        <v>4510</v>
      </c>
      <c r="G722">
        <f t="shared" si="18"/>
        <v>10017</v>
      </c>
    </row>
    <row r="723" spans="6:7">
      <c r="F723" t="s">
        <v>4531</v>
      </c>
      <c r="G723">
        <f t="shared" si="18"/>
        <v>10018</v>
      </c>
    </row>
    <row r="724" spans="6:7">
      <c r="F724" t="s">
        <v>4531</v>
      </c>
      <c r="G724">
        <f t="shared" si="18"/>
        <v>10018</v>
      </c>
    </row>
    <row r="725" spans="6:7">
      <c r="F725" t="s">
        <v>4531</v>
      </c>
      <c r="G725">
        <f t="shared" si="18"/>
        <v>10018</v>
      </c>
    </row>
    <row r="726" spans="6:7">
      <c r="F726" t="s">
        <v>4531</v>
      </c>
      <c r="G726">
        <f t="shared" si="18"/>
        <v>10018</v>
      </c>
    </row>
    <row r="727" spans="6:7">
      <c r="F727" t="s">
        <v>4531</v>
      </c>
      <c r="G727">
        <f t="shared" si="18"/>
        <v>10018</v>
      </c>
    </row>
    <row r="728" spans="6:7">
      <c r="F728" t="s">
        <v>4531</v>
      </c>
      <c r="G728">
        <f t="shared" si="18"/>
        <v>10018</v>
      </c>
    </row>
    <row r="729" spans="6:7">
      <c r="F729" t="s">
        <v>4531</v>
      </c>
      <c r="G729">
        <f t="shared" si="18"/>
        <v>10018</v>
      </c>
    </row>
    <row r="730" spans="6:7">
      <c r="F730" t="s">
        <v>4531</v>
      </c>
      <c r="G730">
        <f t="shared" si="18"/>
        <v>10018</v>
      </c>
    </row>
    <row r="731" spans="6:7">
      <c r="F731" t="s">
        <v>4531</v>
      </c>
      <c r="G731">
        <f t="shared" si="18"/>
        <v>10018</v>
      </c>
    </row>
    <row r="732" spans="6:7">
      <c r="F732" t="s">
        <v>4531</v>
      </c>
      <c r="G732">
        <f t="shared" si="18"/>
        <v>10018</v>
      </c>
    </row>
    <row r="733" spans="6:7">
      <c r="F733" t="s">
        <v>4531</v>
      </c>
      <c r="G733">
        <f t="shared" si="18"/>
        <v>10018</v>
      </c>
    </row>
    <row r="734" spans="6:7">
      <c r="F734" t="s">
        <v>4531</v>
      </c>
      <c r="G734">
        <f t="shared" si="18"/>
        <v>10018</v>
      </c>
    </row>
    <row r="735" spans="6:7">
      <c r="F735" t="s">
        <v>4531</v>
      </c>
      <c r="G735">
        <f t="shared" si="18"/>
        <v>10018</v>
      </c>
    </row>
    <row r="736" spans="6:7">
      <c r="F736" t="s">
        <v>4531</v>
      </c>
      <c r="G736">
        <f t="shared" si="18"/>
        <v>10018</v>
      </c>
    </row>
    <row r="737" spans="6:7">
      <c r="F737" t="s">
        <v>4531</v>
      </c>
      <c r="G737">
        <f t="shared" si="18"/>
        <v>10018</v>
      </c>
    </row>
    <row r="738" spans="6:7">
      <c r="F738" t="s">
        <v>4531</v>
      </c>
      <c r="G738">
        <f t="shared" si="18"/>
        <v>10018</v>
      </c>
    </row>
    <row r="739" spans="6:7">
      <c r="F739" t="s">
        <v>4531</v>
      </c>
      <c r="G739">
        <f t="shared" si="18"/>
        <v>10018</v>
      </c>
    </row>
    <row r="740" spans="6:7">
      <c r="F740" t="s">
        <v>4531</v>
      </c>
      <c r="G740">
        <f t="shared" si="18"/>
        <v>10018</v>
      </c>
    </row>
    <row r="741" spans="6:7">
      <c r="F741" t="s">
        <v>4531</v>
      </c>
      <c r="G741">
        <f t="shared" si="18"/>
        <v>10018</v>
      </c>
    </row>
    <row r="742" spans="6:7">
      <c r="F742" t="s">
        <v>4531</v>
      </c>
      <c r="G742">
        <f t="shared" si="18"/>
        <v>10018</v>
      </c>
    </row>
    <row r="743" spans="6:7">
      <c r="F743" t="s">
        <v>4531</v>
      </c>
      <c r="G743">
        <f t="shared" si="18"/>
        <v>10018</v>
      </c>
    </row>
    <row r="744" spans="6:7">
      <c r="F744" t="s">
        <v>4416</v>
      </c>
      <c r="G744">
        <f t="shared" si="18"/>
        <v>111</v>
      </c>
    </row>
    <row r="745" spans="6:7">
      <c r="F745" t="s">
        <v>4416</v>
      </c>
      <c r="G745">
        <f t="shared" si="18"/>
        <v>111</v>
      </c>
    </row>
    <row r="746" spans="6:7">
      <c r="F746" t="s">
        <v>4416</v>
      </c>
      <c r="G746">
        <f t="shared" si="18"/>
        <v>111</v>
      </c>
    </row>
    <row r="747" spans="6:7">
      <c r="F747" t="s">
        <v>4416</v>
      </c>
      <c r="G747">
        <f t="shared" si="18"/>
        <v>111</v>
      </c>
    </row>
    <row r="748" spans="6:7">
      <c r="F748" t="s">
        <v>4416</v>
      </c>
      <c r="G748">
        <f t="shared" si="18"/>
        <v>111</v>
      </c>
    </row>
    <row r="749" spans="6:7">
      <c r="F749" t="s">
        <v>4416</v>
      </c>
      <c r="G749">
        <f t="shared" si="18"/>
        <v>111</v>
      </c>
    </row>
    <row r="750" spans="6:7">
      <c r="F750" t="s">
        <v>4416</v>
      </c>
      <c r="G750">
        <f t="shared" si="18"/>
        <v>111</v>
      </c>
    </row>
    <row r="751" spans="6:7">
      <c r="F751" t="s">
        <v>4416</v>
      </c>
      <c r="G751">
        <f t="shared" si="18"/>
        <v>111</v>
      </c>
    </row>
    <row r="752" spans="6:7">
      <c r="F752" t="s">
        <v>4416</v>
      </c>
      <c r="G752">
        <f t="shared" si="18"/>
        <v>111</v>
      </c>
    </row>
    <row r="753" spans="6:7">
      <c r="F753" t="s">
        <v>4416</v>
      </c>
      <c r="G753">
        <f t="shared" si="18"/>
        <v>111</v>
      </c>
    </row>
    <row r="754" spans="6:7">
      <c r="F754" t="s">
        <v>4416</v>
      </c>
      <c r="G754">
        <f t="shared" si="18"/>
        <v>111</v>
      </c>
    </row>
    <row r="755" spans="6:7">
      <c r="F755" t="s">
        <v>4416</v>
      </c>
      <c r="G755">
        <f t="shared" si="18"/>
        <v>111</v>
      </c>
    </row>
    <row r="756" spans="6:7">
      <c r="F756" t="s">
        <v>4416</v>
      </c>
      <c r="G756">
        <f t="shared" si="18"/>
        <v>111</v>
      </c>
    </row>
    <row r="757" spans="6:7">
      <c r="F757" t="s">
        <v>4416</v>
      </c>
      <c r="G757">
        <f t="shared" si="18"/>
        <v>111</v>
      </c>
    </row>
    <row r="758" spans="6:7">
      <c r="F758" t="s">
        <v>4416</v>
      </c>
      <c r="G758">
        <f t="shared" si="18"/>
        <v>111</v>
      </c>
    </row>
    <row r="759" spans="6:7">
      <c r="F759" t="s">
        <v>4416</v>
      </c>
      <c r="G759">
        <f t="shared" si="18"/>
        <v>111</v>
      </c>
    </row>
    <row r="760" spans="6:7">
      <c r="F760" t="s">
        <v>4417</v>
      </c>
      <c r="G760">
        <f t="shared" si="18"/>
        <v>113</v>
      </c>
    </row>
    <row r="761" spans="6:7">
      <c r="F761" t="s">
        <v>4417</v>
      </c>
      <c r="G761">
        <f t="shared" si="18"/>
        <v>113</v>
      </c>
    </row>
    <row r="762" spans="6:7">
      <c r="F762" t="s">
        <v>4417</v>
      </c>
      <c r="G762">
        <f t="shared" si="18"/>
        <v>113</v>
      </c>
    </row>
    <row r="763" spans="6:7">
      <c r="F763" t="s">
        <v>4417</v>
      </c>
      <c r="G763">
        <f t="shared" si="18"/>
        <v>113</v>
      </c>
    </row>
    <row r="764" spans="6:7">
      <c r="F764" t="s">
        <v>4417</v>
      </c>
      <c r="G764">
        <f t="shared" si="18"/>
        <v>113</v>
      </c>
    </row>
    <row r="765" spans="6:7">
      <c r="F765" t="s">
        <v>4417</v>
      </c>
      <c r="G765">
        <f t="shared" si="18"/>
        <v>113</v>
      </c>
    </row>
    <row r="766" spans="6:7">
      <c r="F766" t="s">
        <v>4417</v>
      </c>
      <c r="G766">
        <f t="shared" si="18"/>
        <v>113</v>
      </c>
    </row>
    <row r="767" spans="6:7">
      <c r="F767" t="s">
        <v>4417</v>
      </c>
      <c r="G767">
        <f t="shared" si="18"/>
        <v>113</v>
      </c>
    </row>
    <row r="768" spans="6:7">
      <c r="F768" t="s">
        <v>4417</v>
      </c>
      <c r="G768">
        <f t="shared" si="18"/>
        <v>113</v>
      </c>
    </row>
    <row r="769" spans="6:7">
      <c r="F769" t="s">
        <v>4417</v>
      </c>
      <c r="G769">
        <f t="shared" si="18"/>
        <v>113</v>
      </c>
    </row>
    <row r="770" spans="6:7">
      <c r="F770" t="s">
        <v>4417</v>
      </c>
      <c r="G770">
        <f t="shared" si="18"/>
        <v>113</v>
      </c>
    </row>
    <row r="771" spans="6:7">
      <c r="F771" t="s">
        <v>4417</v>
      </c>
      <c r="G771">
        <f t="shared" si="18"/>
        <v>113</v>
      </c>
    </row>
    <row r="772" spans="6:7">
      <c r="F772" t="s">
        <v>4417</v>
      </c>
      <c r="G772">
        <f t="shared" si="18"/>
        <v>113</v>
      </c>
    </row>
    <row r="773" spans="6:7">
      <c r="F773" t="s">
        <v>4417</v>
      </c>
      <c r="G773">
        <f t="shared" ref="G773:G836" si="19">_xlfn.XLOOKUP(F773,$C$4:$C$220,$A$4:$A$220)</f>
        <v>113</v>
      </c>
    </row>
    <row r="774" spans="6:7">
      <c r="F774" t="s">
        <v>4417</v>
      </c>
      <c r="G774">
        <f t="shared" si="19"/>
        <v>113</v>
      </c>
    </row>
    <row r="775" spans="6:7">
      <c r="F775" t="s">
        <v>4417</v>
      </c>
      <c r="G775">
        <f t="shared" si="19"/>
        <v>113</v>
      </c>
    </row>
    <row r="776" spans="6:7">
      <c r="F776" t="s">
        <v>4418</v>
      </c>
      <c r="G776">
        <f t="shared" si="19"/>
        <v>112</v>
      </c>
    </row>
    <row r="777" spans="6:7">
      <c r="F777" t="s">
        <v>4418</v>
      </c>
      <c r="G777">
        <f t="shared" si="19"/>
        <v>112</v>
      </c>
    </row>
    <row r="778" spans="6:7">
      <c r="F778" t="s">
        <v>4418</v>
      </c>
      <c r="G778">
        <f t="shared" si="19"/>
        <v>112</v>
      </c>
    </row>
    <row r="779" spans="6:7">
      <c r="F779" t="s">
        <v>4418</v>
      </c>
      <c r="G779">
        <f t="shared" si="19"/>
        <v>112</v>
      </c>
    </row>
    <row r="780" spans="6:7">
      <c r="F780" t="s">
        <v>4418</v>
      </c>
      <c r="G780">
        <f t="shared" si="19"/>
        <v>112</v>
      </c>
    </row>
    <row r="781" spans="6:7">
      <c r="F781" t="s">
        <v>4418</v>
      </c>
      <c r="G781">
        <f t="shared" si="19"/>
        <v>112</v>
      </c>
    </row>
    <row r="782" spans="6:7">
      <c r="F782" t="s">
        <v>4418</v>
      </c>
      <c r="G782">
        <f t="shared" si="19"/>
        <v>112</v>
      </c>
    </row>
    <row r="783" spans="6:7">
      <c r="F783" t="s">
        <v>4418</v>
      </c>
      <c r="G783">
        <f t="shared" si="19"/>
        <v>112</v>
      </c>
    </row>
    <row r="784" spans="6:7">
      <c r="F784" t="s">
        <v>4418</v>
      </c>
      <c r="G784">
        <f t="shared" si="19"/>
        <v>112</v>
      </c>
    </row>
    <row r="785" spans="6:7">
      <c r="F785" t="s">
        <v>4418</v>
      </c>
      <c r="G785">
        <f t="shared" si="19"/>
        <v>112</v>
      </c>
    </row>
    <row r="786" spans="6:7">
      <c r="F786" t="s">
        <v>4418</v>
      </c>
      <c r="G786">
        <f t="shared" si="19"/>
        <v>112</v>
      </c>
    </row>
    <row r="787" spans="6:7">
      <c r="F787" t="s">
        <v>4418</v>
      </c>
      <c r="G787">
        <f t="shared" si="19"/>
        <v>112</v>
      </c>
    </row>
    <row r="788" spans="6:7">
      <c r="F788" t="s">
        <v>4418</v>
      </c>
      <c r="G788">
        <f t="shared" si="19"/>
        <v>112</v>
      </c>
    </row>
    <row r="789" spans="6:7">
      <c r="F789" t="s">
        <v>4418</v>
      </c>
      <c r="G789">
        <f t="shared" si="19"/>
        <v>112</v>
      </c>
    </row>
    <row r="790" spans="6:7">
      <c r="F790" t="s">
        <v>4418</v>
      </c>
      <c r="G790">
        <f t="shared" si="19"/>
        <v>112</v>
      </c>
    </row>
    <row r="791" spans="6:7">
      <c r="F791" t="s">
        <v>4418</v>
      </c>
      <c r="G791">
        <f t="shared" si="19"/>
        <v>112</v>
      </c>
    </row>
    <row r="792" spans="6:7">
      <c r="F792" t="s">
        <v>4419</v>
      </c>
      <c r="G792">
        <f t="shared" si="19"/>
        <v>114</v>
      </c>
    </row>
    <row r="793" spans="6:7">
      <c r="F793" t="s">
        <v>4419</v>
      </c>
      <c r="G793">
        <f t="shared" si="19"/>
        <v>114</v>
      </c>
    </row>
    <row r="794" spans="6:7">
      <c r="F794" t="s">
        <v>4419</v>
      </c>
      <c r="G794">
        <f t="shared" si="19"/>
        <v>114</v>
      </c>
    </row>
    <row r="795" spans="6:7">
      <c r="F795" t="s">
        <v>4419</v>
      </c>
      <c r="G795">
        <f t="shared" si="19"/>
        <v>114</v>
      </c>
    </row>
    <row r="796" spans="6:7">
      <c r="F796" t="s">
        <v>4419</v>
      </c>
      <c r="G796">
        <f t="shared" si="19"/>
        <v>114</v>
      </c>
    </row>
    <row r="797" spans="6:7">
      <c r="F797" t="s">
        <v>4419</v>
      </c>
      <c r="G797">
        <f t="shared" si="19"/>
        <v>114</v>
      </c>
    </row>
    <row r="798" spans="6:7">
      <c r="F798" t="s">
        <v>4419</v>
      </c>
      <c r="G798">
        <f t="shared" si="19"/>
        <v>114</v>
      </c>
    </row>
    <row r="799" spans="6:7">
      <c r="F799" t="s">
        <v>4419</v>
      </c>
      <c r="G799">
        <f t="shared" si="19"/>
        <v>114</v>
      </c>
    </row>
    <row r="800" spans="6:7">
      <c r="F800" t="s">
        <v>4419</v>
      </c>
      <c r="G800">
        <f t="shared" si="19"/>
        <v>114</v>
      </c>
    </row>
    <row r="801" spans="6:7">
      <c r="F801" t="s">
        <v>4419</v>
      </c>
      <c r="G801">
        <f t="shared" si="19"/>
        <v>114</v>
      </c>
    </row>
    <row r="802" spans="6:7">
      <c r="F802" t="s">
        <v>4419</v>
      </c>
      <c r="G802">
        <f t="shared" si="19"/>
        <v>114</v>
      </c>
    </row>
    <row r="803" spans="6:7">
      <c r="F803" t="s">
        <v>4419</v>
      </c>
      <c r="G803">
        <f t="shared" si="19"/>
        <v>114</v>
      </c>
    </row>
    <row r="804" spans="6:7">
      <c r="F804" t="s">
        <v>4419</v>
      </c>
      <c r="G804">
        <f t="shared" si="19"/>
        <v>114</v>
      </c>
    </row>
    <row r="805" spans="6:7">
      <c r="F805" t="s">
        <v>4419</v>
      </c>
      <c r="G805">
        <f t="shared" si="19"/>
        <v>114</v>
      </c>
    </row>
    <row r="806" spans="6:7">
      <c r="F806" t="s">
        <v>4419</v>
      </c>
      <c r="G806">
        <f t="shared" si="19"/>
        <v>114</v>
      </c>
    </row>
    <row r="807" spans="6:7">
      <c r="F807" t="s">
        <v>4419</v>
      </c>
      <c r="G807">
        <f t="shared" si="19"/>
        <v>114</v>
      </c>
    </row>
    <row r="808" spans="6:7">
      <c r="F808" t="s">
        <v>4420</v>
      </c>
      <c r="G808">
        <f t="shared" si="19"/>
        <v>118</v>
      </c>
    </row>
    <row r="809" spans="6:7">
      <c r="F809" t="s">
        <v>4420</v>
      </c>
      <c r="G809">
        <f t="shared" si="19"/>
        <v>118</v>
      </c>
    </row>
    <row r="810" spans="6:7">
      <c r="F810" t="s">
        <v>4420</v>
      </c>
      <c r="G810">
        <f t="shared" si="19"/>
        <v>118</v>
      </c>
    </row>
    <row r="811" spans="6:7">
      <c r="F811" t="s">
        <v>4420</v>
      </c>
      <c r="G811">
        <f t="shared" si="19"/>
        <v>118</v>
      </c>
    </row>
    <row r="812" spans="6:7">
      <c r="F812" t="s">
        <v>4420</v>
      </c>
      <c r="G812">
        <f t="shared" si="19"/>
        <v>118</v>
      </c>
    </row>
    <row r="813" spans="6:7">
      <c r="F813" t="s">
        <v>4420</v>
      </c>
      <c r="G813">
        <f t="shared" si="19"/>
        <v>118</v>
      </c>
    </row>
    <row r="814" spans="6:7">
      <c r="F814" t="s">
        <v>4420</v>
      </c>
      <c r="G814">
        <f t="shared" si="19"/>
        <v>118</v>
      </c>
    </row>
    <row r="815" spans="6:7">
      <c r="F815" t="s">
        <v>4420</v>
      </c>
      <c r="G815">
        <f t="shared" si="19"/>
        <v>118</v>
      </c>
    </row>
    <row r="816" spans="6:7">
      <c r="F816" t="s">
        <v>4420</v>
      </c>
      <c r="G816">
        <f t="shared" si="19"/>
        <v>118</v>
      </c>
    </row>
    <row r="817" spans="6:7">
      <c r="F817" t="s">
        <v>4420</v>
      </c>
      <c r="G817">
        <f t="shared" si="19"/>
        <v>118</v>
      </c>
    </row>
    <row r="818" spans="6:7">
      <c r="F818" t="s">
        <v>4420</v>
      </c>
      <c r="G818">
        <f t="shared" si="19"/>
        <v>118</v>
      </c>
    </row>
    <row r="819" spans="6:7">
      <c r="F819" t="s">
        <v>4420</v>
      </c>
      <c r="G819">
        <f t="shared" si="19"/>
        <v>118</v>
      </c>
    </row>
    <row r="820" spans="6:7">
      <c r="F820" t="s">
        <v>4420</v>
      </c>
      <c r="G820">
        <f t="shared" si="19"/>
        <v>118</v>
      </c>
    </row>
    <row r="821" spans="6:7">
      <c r="F821" t="s">
        <v>4420</v>
      </c>
      <c r="G821">
        <f t="shared" si="19"/>
        <v>118</v>
      </c>
    </row>
    <row r="822" spans="6:7">
      <c r="F822" t="s">
        <v>4420</v>
      </c>
      <c r="G822">
        <f t="shared" si="19"/>
        <v>118</v>
      </c>
    </row>
    <row r="823" spans="6:7">
      <c r="F823" t="s">
        <v>4420</v>
      </c>
      <c r="G823">
        <f t="shared" si="19"/>
        <v>118</v>
      </c>
    </row>
    <row r="824" spans="6:7">
      <c r="F824" t="s">
        <v>4420</v>
      </c>
      <c r="G824">
        <f t="shared" si="19"/>
        <v>118</v>
      </c>
    </row>
    <row r="825" spans="6:7">
      <c r="F825" t="s">
        <v>4420</v>
      </c>
      <c r="G825">
        <f t="shared" si="19"/>
        <v>118</v>
      </c>
    </row>
    <row r="826" spans="6:7">
      <c r="F826" t="s">
        <v>4420</v>
      </c>
      <c r="G826">
        <f t="shared" si="19"/>
        <v>118</v>
      </c>
    </row>
    <row r="827" spans="6:7">
      <c r="F827" t="s">
        <v>4420</v>
      </c>
      <c r="G827">
        <f t="shared" si="19"/>
        <v>118</v>
      </c>
    </row>
    <row r="828" spans="6:7">
      <c r="F828" t="s">
        <v>4420</v>
      </c>
      <c r="G828">
        <f t="shared" si="19"/>
        <v>118</v>
      </c>
    </row>
    <row r="829" spans="6:7">
      <c r="F829" t="s">
        <v>4421</v>
      </c>
      <c r="G829">
        <f t="shared" si="19"/>
        <v>117</v>
      </c>
    </row>
    <row r="830" spans="6:7">
      <c r="F830" t="s">
        <v>4421</v>
      </c>
      <c r="G830">
        <f t="shared" si="19"/>
        <v>117</v>
      </c>
    </row>
    <row r="831" spans="6:7">
      <c r="F831" t="s">
        <v>4421</v>
      </c>
      <c r="G831">
        <f t="shared" si="19"/>
        <v>117</v>
      </c>
    </row>
    <row r="832" spans="6:7">
      <c r="F832" t="s">
        <v>4421</v>
      </c>
      <c r="G832">
        <f t="shared" si="19"/>
        <v>117</v>
      </c>
    </row>
    <row r="833" spans="6:7">
      <c r="F833" t="s">
        <v>4421</v>
      </c>
      <c r="G833">
        <f t="shared" si="19"/>
        <v>117</v>
      </c>
    </row>
    <row r="834" spans="6:7">
      <c r="F834" t="s">
        <v>4421</v>
      </c>
      <c r="G834">
        <f t="shared" si="19"/>
        <v>117</v>
      </c>
    </row>
    <row r="835" spans="6:7">
      <c r="F835" t="s">
        <v>4421</v>
      </c>
      <c r="G835">
        <f t="shared" si="19"/>
        <v>117</v>
      </c>
    </row>
    <row r="836" spans="6:7">
      <c r="F836" t="s">
        <v>4421</v>
      </c>
      <c r="G836">
        <f t="shared" si="19"/>
        <v>117</v>
      </c>
    </row>
    <row r="837" spans="6:7">
      <c r="F837" t="s">
        <v>4421</v>
      </c>
      <c r="G837">
        <f t="shared" ref="G837:G900" si="20">_xlfn.XLOOKUP(F837,$C$4:$C$220,$A$4:$A$220)</f>
        <v>117</v>
      </c>
    </row>
    <row r="838" spans="6:7">
      <c r="F838" t="s">
        <v>4421</v>
      </c>
      <c r="G838">
        <f t="shared" si="20"/>
        <v>117</v>
      </c>
    </row>
    <row r="839" spans="6:7">
      <c r="F839" t="s">
        <v>4421</v>
      </c>
      <c r="G839">
        <f t="shared" si="20"/>
        <v>117</v>
      </c>
    </row>
    <row r="840" spans="6:7">
      <c r="F840" t="s">
        <v>4421</v>
      </c>
      <c r="G840">
        <f t="shared" si="20"/>
        <v>117</v>
      </c>
    </row>
    <row r="841" spans="6:7">
      <c r="F841" t="s">
        <v>4421</v>
      </c>
      <c r="G841">
        <f t="shared" si="20"/>
        <v>117</v>
      </c>
    </row>
    <row r="842" spans="6:7">
      <c r="F842" t="s">
        <v>4421</v>
      </c>
      <c r="G842">
        <f t="shared" si="20"/>
        <v>117</v>
      </c>
    </row>
    <row r="843" spans="6:7">
      <c r="F843" t="s">
        <v>4421</v>
      </c>
      <c r="G843">
        <f t="shared" si="20"/>
        <v>117</v>
      </c>
    </row>
    <row r="844" spans="6:7">
      <c r="F844" t="s">
        <v>4421</v>
      </c>
      <c r="G844">
        <f t="shared" si="20"/>
        <v>117</v>
      </c>
    </row>
    <row r="845" spans="6:7">
      <c r="F845" t="s">
        <v>4421</v>
      </c>
      <c r="G845">
        <f t="shared" si="20"/>
        <v>117</v>
      </c>
    </row>
    <row r="846" spans="6:7">
      <c r="F846" t="s">
        <v>4421</v>
      </c>
      <c r="G846">
        <f t="shared" si="20"/>
        <v>117</v>
      </c>
    </row>
    <row r="847" spans="6:7">
      <c r="F847" t="s">
        <v>4421</v>
      </c>
      <c r="G847">
        <f t="shared" si="20"/>
        <v>117</v>
      </c>
    </row>
    <row r="848" spans="6:7">
      <c r="F848" t="s">
        <v>4421</v>
      </c>
      <c r="G848">
        <f t="shared" si="20"/>
        <v>117</v>
      </c>
    </row>
    <row r="849" spans="6:7">
      <c r="F849" t="s">
        <v>4421</v>
      </c>
      <c r="G849">
        <f t="shared" si="20"/>
        <v>117</v>
      </c>
    </row>
    <row r="850" spans="6:7">
      <c r="F850" t="s">
        <v>4487</v>
      </c>
      <c r="G850">
        <f t="shared" si="20"/>
        <v>116</v>
      </c>
    </row>
    <row r="851" spans="6:7">
      <c r="F851" t="s">
        <v>4487</v>
      </c>
      <c r="G851">
        <f t="shared" si="20"/>
        <v>116</v>
      </c>
    </row>
    <row r="852" spans="6:7">
      <c r="F852" t="s">
        <v>4487</v>
      </c>
      <c r="G852">
        <f t="shared" si="20"/>
        <v>116</v>
      </c>
    </row>
    <row r="853" spans="6:7">
      <c r="F853" t="s">
        <v>4487</v>
      </c>
      <c r="G853">
        <f t="shared" si="20"/>
        <v>116</v>
      </c>
    </row>
    <row r="854" spans="6:7">
      <c r="F854" t="s">
        <v>4487</v>
      </c>
      <c r="G854">
        <f t="shared" si="20"/>
        <v>116</v>
      </c>
    </row>
    <row r="855" spans="6:7">
      <c r="F855" t="s">
        <v>4487</v>
      </c>
      <c r="G855">
        <f t="shared" si="20"/>
        <v>116</v>
      </c>
    </row>
    <row r="856" spans="6:7">
      <c r="F856" t="s">
        <v>4487</v>
      </c>
      <c r="G856">
        <f t="shared" si="20"/>
        <v>116</v>
      </c>
    </row>
    <row r="857" spans="6:7">
      <c r="F857" t="s">
        <v>4487</v>
      </c>
      <c r="G857">
        <f t="shared" si="20"/>
        <v>116</v>
      </c>
    </row>
    <row r="858" spans="6:7">
      <c r="F858" t="s">
        <v>4487</v>
      </c>
      <c r="G858">
        <f t="shared" si="20"/>
        <v>116</v>
      </c>
    </row>
    <row r="859" spans="6:7">
      <c r="F859" t="s">
        <v>4487</v>
      </c>
      <c r="G859">
        <f t="shared" si="20"/>
        <v>116</v>
      </c>
    </row>
    <row r="860" spans="6:7">
      <c r="F860" t="s">
        <v>4487</v>
      </c>
      <c r="G860">
        <f t="shared" si="20"/>
        <v>116</v>
      </c>
    </row>
    <row r="861" spans="6:7">
      <c r="F861" t="s">
        <v>4487</v>
      </c>
      <c r="G861">
        <f t="shared" si="20"/>
        <v>116</v>
      </c>
    </row>
    <row r="862" spans="6:7">
      <c r="F862" t="s">
        <v>4487</v>
      </c>
      <c r="G862">
        <f t="shared" si="20"/>
        <v>116</v>
      </c>
    </row>
    <row r="863" spans="6:7">
      <c r="F863" t="s">
        <v>4487</v>
      </c>
      <c r="G863">
        <f t="shared" si="20"/>
        <v>116</v>
      </c>
    </row>
    <row r="864" spans="6:7">
      <c r="F864" t="s">
        <v>4487</v>
      </c>
      <c r="G864">
        <f t="shared" si="20"/>
        <v>116</v>
      </c>
    </row>
    <row r="865" spans="6:7">
      <c r="F865" t="s">
        <v>4487</v>
      </c>
      <c r="G865">
        <f t="shared" si="20"/>
        <v>116</v>
      </c>
    </row>
    <row r="866" spans="6:7">
      <c r="F866" t="s">
        <v>4487</v>
      </c>
      <c r="G866">
        <f t="shared" si="20"/>
        <v>116</v>
      </c>
    </row>
    <row r="867" spans="6:7">
      <c r="F867" t="s">
        <v>4487</v>
      </c>
      <c r="G867">
        <f t="shared" si="20"/>
        <v>116</v>
      </c>
    </row>
    <row r="868" spans="6:7">
      <c r="F868" t="s">
        <v>4487</v>
      </c>
      <c r="G868">
        <f t="shared" si="20"/>
        <v>116</v>
      </c>
    </row>
    <row r="869" spans="6:7">
      <c r="F869" t="s">
        <v>4487</v>
      </c>
      <c r="G869">
        <f t="shared" si="20"/>
        <v>116</v>
      </c>
    </row>
    <row r="870" spans="6:7">
      <c r="F870" t="s">
        <v>4487</v>
      </c>
      <c r="G870">
        <f t="shared" si="20"/>
        <v>116</v>
      </c>
    </row>
    <row r="871" spans="6:7">
      <c r="F871" t="s">
        <v>4488</v>
      </c>
      <c r="G871">
        <f t="shared" si="20"/>
        <v>10016</v>
      </c>
    </row>
    <row r="872" spans="6:7">
      <c r="F872" t="s">
        <v>4488</v>
      </c>
      <c r="G872">
        <f t="shared" si="20"/>
        <v>10016</v>
      </c>
    </row>
    <row r="873" spans="6:7">
      <c r="F873" t="s">
        <v>4488</v>
      </c>
      <c r="G873">
        <f t="shared" si="20"/>
        <v>10016</v>
      </c>
    </row>
    <row r="874" spans="6:7">
      <c r="F874" t="s">
        <v>4488</v>
      </c>
      <c r="G874">
        <f t="shared" si="20"/>
        <v>10016</v>
      </c>
    </row>
    <row r="875" spans="6:7">
      <c r="F875" t="s">
        <v>4488</v>
      </c>
      <c r="G875">
        <f t="shared" si="20"/>
        <v>10016</v>
      </c>
    </row>
    <row r="876" spans="6:7">
      <c r="F876" t="s">
        <v>4488</v>
      </c>
      <c r="G876">
        <f t="shared" si="20"/>
        <v>10016</v>
      </c>
    </row>
    <row r="877" spans="6:7">
      <c r="F877" t="s">
        <v>4488</v>
      </c>
      <c r="G877">
        <f t="shared" si="20"/>
        <v>10016</v>
      </c>
    </row>
    <row r="878" spans="6:7">
      <c r="F878" t="s">
        <v>4488</v>
      </c>
      <c r="G878">
        <f t="shared" si="20"/>
        <v>10016</v>
      </c>
    </row>
    <row r="879" spans="6:7">
      <c r="F879" t="s">
        <v>4488</v>
      </c>
      <c r="G879">
        <f t="shared" si="20"/>
        <v>10016</v>
      </c>
    </row>
    <row r="880" spans="6:7">
      <c r="F880" t="s">
        <v>4488</v>
      </c>
      <c r="G880">
        <f t="shared" si="20"/>
        <v>10016</v>
      </c>
    </row>
    <row r="881" spans="6:7">
      <c r="F881" t="s">
        <v>4488</v>
      </c>
      <c r="G881">
        <f t="shared" si="20"/>
        <v>10016</v>
      </c>
    </row>
    <row r="882" spans="6:7">
      <c r="F882" t="s">
        <v>4488</v>
      </c>
      <c r="G882">
        <f t="shared" si="20"/>
        <v>10016</v>
      </c>
    </row>
    <row r="883" spans="6:7">
      <c r="F883" t="s">
        <v>4488</v>
      </c>
      <c r="G883">
        <f t="shared" si="20"/>
        <v>10016</v>
      </c>
    </row>
    <row r="884" spans="6:7">
      <c r="F884" t="s">
        <v>4488</v>
      </c>
      <c r="G884">
        <f t="shared" si="20"/>
        <v>10016</v>
      </c>
    </row>
    <row r="885" spans="6:7">
      <c r="F885" t="s">
        <v>4488</v>
      </c>
      <c r="G885">
        <f t="shared" si="20"/>
        <v>10016</v>
      </c>
    </row>
    <row r="886" spans="6:7">
      <c r="F886" t="s">
        <v>4488</v>
      </c>
      <c r="G886">
        <f t="shared" si="20"/>
        <v>10016</v>
      </c>
    </row>
    <row r="887" spans="6:7">
      <c r="F887" t="s">
        <v>4488</v>
      </c>
      <c r="G887">
        <f t="shared" si="20"/>
        <v>10016</v>
      </c>
    </row>
    <row r="888" spans="6:7">
      <c r="F888" t="s">
        <v>4488</v>
      </c>
      <c r="G888">
        <f t="shared" si="20"/>
        <v>10016</v>
      </c>
    </row>
    <row r="889" spans="6:7">
      <c r="F889" t="s">
        <v>4488</v>
      </c>
      <c r="G889">
        <f t="shared" si="20"/>
        <v>10016</v>
      </c>
    </row>
    <row r="890" spans="6:7">
      <c r="F890" t="s">
        <v>4488</v>
      </c>
      <c r="G890">
        <f t="shared" si="20"/>
        <v>10016</v>
      </c>
    </row>
    <row r="891" spans="6:7">
      <c r="F891" t="s">
        <v>4488</v>
      </c>
      <c r="G891">
        <f t="shared" si="20"/>
        <v>10016</v>
      </c>
    </row>
    <row r="892" spans="6:7">
      <c r="F892" t="s">
        <v>4510</v>
      </c>
      <c r="G892">
        <f t="shared" si="20"/>
        <v>10017</v>
      </c>
    </row>
    <row r="893" spans="6:7">
      <c r="F893" t="s">
        <v>4510</v>
      </c>
      <c r="G893">
        <f t="shared" si="20"/>
        <v>10017</v>
      </c>
    </row>
    <row r="894" spans="6:7">
      <c r="F894" t="s">
        <v>4510</v>
      </c>
      <c r="G894">
        <f t="shared" si="20"/>
        <v>10017</v>
      </c>
    </row>
    <row r="895" spans="6:7">
      <c r="F895" t="s">
        <v>4510</v>
      </c>
      <c r="G895">
        <f t="shared" si="20"/>
        <v>10017</v>
      </c>
    </row>
    <row r="896" spans="6:7">
      <c r="F896" t="s">
        <v>4510</v>
      </c>
      <c r="G896">
        <f t="shared" si="20"/>
        <v>10017</v>
      </c>
    </row>
    <row r="897" spans="6:7">
      <c r="F897" t="s">
        <v>4510</v>
      </c>
      <c r="G897">
        <f t="shared" si="20"/>
        <v>10017</v>
      </c>
    </row>
    <row r="898" spans="6:7">
      <c r="F898" t="s">
        <v>4510</v>
      </c>
      <c r="G898">
        <f t="shared" si="20"/>
        <v>10017</v>
      </c>
    </row>
    <row r="899" spans="6:7">
      <c r="F899" t="s">
        <v>4510</v>
      </c>
      <c r="G899">
        <f t="shared" si="20"/>
        <v>10017</v>
      </c>
    </row>
    <row r="900" spans="6:7">
      <c r="F900" t="s">
        <v>4510</v>
      </c>
      <c r="G900">
        <f t="shared" si="20"/>
        <v>10017</v>
      </c>
    </row>
    <row r="901" spans="6:7">
      <c r="F901" t="s">
        <v>4510</v>
      </c>
      <c r="G901">
        <f t="shared" ref="G901:G964" si="21">_xlfn.XLOOKUP(F901,$C$4:$C$220,$A$4:$A$220)</f>
        <v>10017</v>
      </c>
    </row>
    <row r="902" spans="6:7">
      <c r="F902" t="s">
        <v>4510</v>
      </c>
      <c r="G902">
        <f t="shared" si="21"/>
        <v>10017</v>
      </c>
    </row>
    <row r="903" spans="6:7">
      <c r="F903" t="s">
        <v>4510</v>
      </c>
      <c r="G903">
        <f t="shared" si="21"/>
        <v>10017</v>
      </c>
    </row>
    <row r="904" spans="6:7">
      <c r="F904" t="s">
        <v>4510</v>
      </c>
      <c r="G904">
        <f t="shared" si="21"/>
        <v>10017</v>
      </c>
    </row>
    <row r="905" spans="6:7">
      <c r="F905" t="s">
        <v>4510</v>
      </c>
      <c r="G905">
        <f t="shared" si="21"/>
        <v>10017</v>
      </c>
    </row>
    <row r="906" spans="6:7">
      <c r="F906" t="s">
        <v>4510</v>
      </c>
      <c r="G906">
        <f t="shared" si="21"/>
        <v>10017</v>
      </c>
    </row>
    <row r="907" spans="6:7">
      <c r="F907" t="s">
        <v>4510</v>
      </c>
      <c r="G907">
        <f t="shared" si="21"/>
        <v>10017</v>
      </c>
    </row>
    <row r="908" spans="6:7">
      <c r="F908" t="s">
        <v>4510</v>
      </c>
      <c r="G908">
        <f t="shared" si="21"/>
        <v>10017</v>
      </c>
    </row>
    <row r="909" spans="6:7">
      <c r="F909" t="s">
        <v>4510</v>
      </c>
      <c r="G909">
        <f t="shared" si="21"/>
        <v>10017</v>
      </c>
    </row>
    <row r="910" spans="6:7">
      <c r="F910" t="s">
        <v>4510</v>
      </c>
      <c r="G910">
        <f t="shared" si="21"/>
        <v>10017</v>
      </c>
    </row>
    <row r="911" spans="6:7">
      <c r="F911" t="s">
        <v>4510</v>
      </c>
      <c r="G911">
        <f t="shared" si="21"/>
        <v>10017</v>
      </c>
    </row>
    <row r="912" spans="6:7">
      <c r="F912" t="s">
        <v>4510</v>
      </c>
      <c r="G912">
        <f t="shared" si="21"/>
        <v>10017</v>
      </c>
    </row>
    <row r="913" spans="6:7">
      <c r="F913" t="s">
        <v>4531</v>
      </c>
      <c r="G913">
        <f t="shared" si="21"/>
        <v>10018</v>
      </c>
    </row>
    <row r="914" spans="6:7">
      <c r="F914" t="s">
        <v>4531</v>
      </c>
      <c r="G914">
        <f t="shared" si="21"/>
        <v>10018</v>
      </c>
    </row>
    <row r="915" spans="6:7">
      <c r="F915" t="s">
        <v>4531</v>
      </c>
      <c r="G915">
        <f t="shared" si="21"/>
        <v>10018</v>
      </c>
    </row>
    <row r="916" spans="6:7">
      <c r="F916" t="s">
        <v>4531</v>
      </c>
      <c r="G916">
        <f t="shared" si="21"/>
        <v>10018</v>
      </c>
    </row>
    <row r="917" spans="6:7">
      <c r="F917" t="s">
        <v>4531</v>
      </c>
      <c r="G917">
        <f t="shared" si="21"/>
        <v>10018</v>
      </c>
    </row>
    <row r="918" spans="6:7">
      <c r="F918" t="s">
        <v>4531</v>
      </c>
      <c r="G918">
        <f t="shared" si="21"/>
        <v>10018</v>
      </c>
    </row>
    <row r="919" spans="6:7">
      <c r="F919" t="s">
        <v>4531</v>
      </c>
      <c r="G919">
        <f t="shared" si="21"/>
        <v>10018</v>
      </c>
    </row>
    <row r="920" spans="6:7">
      <c r="F920" t="s">
        <v>4531</v>
      </c>
      <c r="G920">
        <f t="shared" si="21"/>
        <v>10018</v>
      </c>
    </row>
    <row r="921" spans="6:7">
      <c r="F921" t="s">
        <v>4531</v>
      </c>
      <c r="G921">
        <f t="shared" si="21"/>
        <v>10018</v>
      </c>
    </row>
    <row r="922" spans="6:7">
      <c r="F922" t="s">
        <v>4531</v>
      </c>
      <c r="G922">
        <f t="shared" si="21"/>
        <v>10018</v>
      </c>
    </row>
    <row r="923" spans="6:7">
      <c r="F923" t="s">
        <v>4531</v>
      </c>
      <c r="G923">
        <f t="shared" si="21"/>
        <v>10018</v>
      </c>
    </row>
    <row r="924" spans="6:7">
      <c r="F924" t="s">
        <v>4531</v>
      </c>
      <c r="G924">
        <f t="shared" si="21"/>
        <v>10018</v>
      </c>
    </row>
    <row r="925" spans="6:7">
      <c r="F925" t="s">
        <v>4531</v>
      </c>
      <c r="G925">
        <f t="shared" si="21"/>
        <v>10018</v>
      </c>
    </row>
    <row r="926" spans="6:7">
      <c r="F926" t="s">
        <v>4531</v>
      </c>
      <c r="G926">
        <f t="shared" si="21"/>
        <v>10018</v>
      </c>
    </row>
    <row r="927" spans="6:7">
      <c r="F927" t="s">
        <v>4531</v>
      </c>
      <c r="G927">
        <f t="shared" si="21"/>
        <v>10018</v>
      </c>
    </row>
    <row r="928" spans="6:7">
      <c r="F928" t="s">
        <v>4531</v>
      </c>
      <c r="G928">
        <f t="shared" si="21"/>
        <v>10018</v>
      </c>
    </row>
    <row r="929" spans="6:7">
      <c r="F929" t="s">
        <v>4531</v>
      </c>
      <c r="G929">
        <f t="shared" si="21"/>
        <v>10018</v>
      </c>
    </row>
    <row r="930" spans="6:7">
      <c r="F930" t="s">
        <v>4531</v>
      </c>
      <c r="G930">
        <f t="shared" si="21"/>
        <v>10018</v>
      </c>
    </row>
    <row r="931" spans="6:7">
      <c r="F931" t="s">
        <v>4531</v>
      </c>
      <c r="G931">
        <f t="shared" si="21"/>
        <v>10018</v>
      </c>
    </row>
    <row r="932" spans="6:7">
      <c r="F932" t="s">
        <v>4531</v>
      </c>
      <c r="G932">
        <f t="shared" si="21"/>
        <v>10018</v>
      </c>
    </row>
    <row r="933" spans="6:7">
      <c r="F933" t="s">
        <v>4531</v>
      </c>
      <c r="G933">
        <f t="shared" si="21"/>
        <v>10018</v>
      </c>
    </row>
    <row r="934" spans="6:7">
      <c r="F934" t="s">
        <v>4552</v>
      </c>
      <c r="G934">
        <f t="shared" si="21"/>
        <v>121</v>
      </c>
    </row>
    <row r="935" spans="6:7">
      <c r="F935" t="s">
        <v>4552</v>
      </c>
      <c r="G935">
        <f t="shared" si="21"/>
        <v>121</v>
      </c>
    </row>
    <row r="936" spans="6:7">
      <c r="F936" t="s">
        <v>4552</v>
      </c>
      <c r="G936">
        <f t="shared" si="21"/>
        <v>121</v>
      </c>
    </row>
    <row r="937" spans="6:7">
      <c r="F937" t="s">
        <v>4552</v>
      </c>
      <c r="G937">
        <f t="shared" si="21"/>
        <v>121</v>
      </c>
    </row>
    <row r="938" spans="6:7">
      <c r="F938" t="s">
        <v>4552</v>
      </c>
      <c r="G938">
        <f t="shared" si="21"/>
        <v>121</v>
      </c>
    </row>
    <row r="939" spans="6:7">
      <c r="F939" t="s">
        <v>4552</v>
      </c>
      <c r="G939">
        <f t="shared" si="21"/>
        <v>121</v>
      </c>
    </row>
    <row r="940" spans="6:7">
      <c r="F940" t="s">
        <v>4553</v>
      </c>
      <c r="G940">
        <f t="shared" si="21"/>
        <v>123</v>
      </c>
    </row>
    <row r="941" spans="6:7">
      <c r="F941" t="s">
        <v>4553</v>
      </c>
      <c r="G941">
        <f t="shared" si="21"/>
        <v>123</v>
      </c>
    </row>
    <row r="942" spans="6:7">
      <c r="F942" t="s">
        <v>4553</v>
      </c>
      <c r="G942">
        <f t="shared" si="21"/>
        <v>123</v>
      </c>
    </row>
    <row r="943" spans="6:7">
      <c r="F943" t="s">
        <v>4553</v>
      </c>
      <c r="G943">
        <f t="shared" si="21"/>
        <v>123</v>
      </c>
    </row>
    <row r="944" spans="6:7">
      <c r="F944" t="s">
        <v>4553</v>
      </c>
      <c r="G944">
        <f t="shared" si="21"/>
        <v>123</v>
      </c>
    </row>
    <row r="945" spans="6:7">
      <c r="F945" t="s">
        <v>4553</v>
      </c>
      <c r="G945">
        <f t="shared" si="21"/>
        <v>123</v>
      </c>
    </row>
    <row r="946" spans="6:7">
      <c r="F946" t="s">
        <v>4554</v>
      </c>
      <c r="G946">
        <f t="shared" si="21"/>
        <v>122</v>
      </c>
    </row>
    <row r="947" spans="6:7">
      <c r="F947" t="s">
        <v>4554</v>
      </c>
      <c r="G947">
        <f t="shared" si="21"/>
        <v>122</v>
      </c>
    </row>
    <row r="948" spans="6:7">
      <c r="F948" t="s">
        <v>4554</v>
      </c>
      <c r="G948">
        <f t="shared" si="21"/>
        <v>122</v>
      </c>
    </row>
    <row r="949" spans="6:7">
      <c r="F949" t="s">
        <v>4554</v>
      </c>
      <c r="G949">
        <f t="shared" si="21"/>
        <v>122</v>
      </c>
    </row>
    <row r="950" spans="6:7">
      <c r="F950" t="s">
        <v>4554</v>
      </c>
      <c r="G950">
        <f t="shared" si="21"/>
        <v>122</v>
      </c>
    </row>
    <row r="951" spans="6:7">
      <c r="F951" t="s">
        <v>4554</v>
      </c>
      <c r="G951">
        <f t="shared" si="21"/>
        <v>122</v>
      </c>
    </row>
    <row r="952" spans="6:7">
      <c r="F952" t="s">
        <v>4555</v>
      </c>
      <c r="G952">
        <f t="shared" si="21"/>
        <v>124</v>
      </c>
    </row>
    <row r="953" spans="6:7">
      <c r="F953" t="s">
        <v>4555</v>
      </c>
      <c r="G953">
        <f t="shared" si="21"/>
        <v>124</v>
      </c>
    </row>
    <row r="954" spans="6:7">
      <c r="F954" t="s">
        <v>4555</v>
      </c>
      <c r="G954">
        <f t="shared" si="21"/>
        <v>124</v>
      </c>
    </row>
    <row r="955" spans="6:7">
      <c r="F955" t="s">
        <v>4555</v>
      </c>
      <c r="G955">
        <f t="shared" si="21"/>
        <v>124</v>
      </c>
    </row>
    <row r="956" spans="6:7">
      <c r="F956" t="s">
        <v>4555</v>
      </c>
      <c r="G956">
        <f t="shared" si="21"/>
        <v>124</v>
      </c>
    </row>
    <row r="957" spans="6:7">
      <c r="F957" t="s">
        <v>4555</v>
      </c>
      <c r="G957">
        <f t="shared" si="21"/>
        <v>124</v>
      </c>
    </row>
    <row r="958" spans="6:7">
      <c r="F958" t="s">
        <v>4556</v>
      </c>
      <c r="G958">
        <f t="shared" si="21"/>
        <v>128</v>
      </c>
    </row>
    <row r="959" spans="6:7">
      <c r="F959" t="s">
        <v>4556</v>
      </c>
      <c r="G959">
        <f t="shared" si="21"/>
        <v>128</v>
      </c>
    </row>
    <row r="960" spans="6:7">
      <c r="F960" t="s">
        <v>4556</v>
      </c>
      <c r="G960">
        <f t="shared" si="21"/>
        <v>128</v>
      </c>
    </row>
    <row r="961" spans="6:7">
      <c r="F961" t="s">
        <v>4556</v>
      </c>
      <c r="G961">
        <f t="shared" si="21"/>
        <v>128</v>
      </c>
    </row>
    <row r="962" spans="6:7">
      <c r="F962" t="s">
        <v>4556</v>
      </c>
      <c r="G962">
        <f t="shared" si="21"/>
        <v>128</v>
      </c>
    </row>
    <row r="963" spans="6:7">
      <c r="F963" t="s">
        <v>4556</v>
      </c>
      <c r="G963">
        <f t="shared" si="21"/>
        <v>128</v>
      </c>
    </row>
    <row r="964" spans="6:7">
      <c r="F964" t="s">
        <v>4556</v>
      </c>
      <c r="G964">
        <f t="shared" si="21"/>
        <v>128</v>
      </c>
    </row>
    <row r="965" spans="6:7">
      <c r="F965" t="s">
        <v>4556</v>
      </c>
      <c r="G965">
        <f t="shared" ref="G965:G1028" si="22">_xlfn.XLOOKUP(F965,$C$4:$C$220,$A$4:$A$220)</f>
        <v>128</v>
      </c>
    </row>
    <row r="966" spans="6:7">
      <c r="F966" t="s">
        <v>4556</v>
      </c>
      <c r="G966">
        <f t="shared" si="22"/>
        <v>128</v>
      </c>
    </row>
    <row r="967" spans="6:7">
      <c r="F967" t="s">
        <v>4556</v>
      </c>
      <c r="G967">
        <f t="shared" si="22"/>
        <v>128</v>
      </c>
    </row>
    <row r="968" spans="6:7">
      <c r="F968" t="s">
        <v>4556</v>
      </c>
      <c r="G968">
        <f t="shared" si="22"/>
        <v>128</v>
      </c>
    </row>
    <row r="969" spans="6:7">
      <c r="F969" t="s">
        <v>4557</v>
      </c>
      <c r="G969">
        <f t="shared" si="22"/>
        <v>127</v>
      </c>
    </row>
    <row r="970" spans="6:7">
      <c r="F970" t="s">
        <v>4557</v>
      </c>
      <c r="G970">
        <f t="shared" si="22"/>
        <v>127</v>
      </c>
    </row>
    <row r="971" spans="6:7">
      <c r="F971" t="s">
        <v>4557</v>
      </c>
      <c r="G971">
        <f t="shared" si="22"/>
        <v>127</v>
      </c>
    </row>
    <row r="972" spans="6:7">
      <c r="F972" t="s">
        <v>4557</v>
      </c>
      <c r="G972">
        <f t="shared" si="22"/>
        <v>127</v>
      </c>
    </row>
    <row r="973" spans="6:7">
      <c r="F973" t="s">
        <v>4557</v>
      </c>
      <c r="G973">
        <f t="shared" si="22"/>
        <v>127</v>
      </c>
    </row>
    <row r="974" spans="6:7">
      <c r="F974" t="s">
        <v>4557</v>
      </c>
      <c r="G974">
        <f t="shared" si="22"/>
        <v>127</v>
      </c>
    </row>
    <row r="975" spans="6:7">
      <c r="F975" t="s">
        <v>4557</v>
      </c>
      <c r="G975">
        <f t="shared" si="22"/>
        <v>127</v>
      </c>
    </row>
    <row r="976" spans="6:7">
      <c r="F976" t="s">
        <v>4557</v>
      </c>
      <c r="G976">
        <f t="shared" si="22"/>
        <v>127</v>
      </c>
    </row>
    <row r="977" spans="6:7">
      <c r="F977" t="s">
        <v>4557</v>
      </c>
      <c r="G977">
        <f t="shared" si="22"/>
        <v>127</v>
      </c>
    </row>
    <row r="978" spans="6:7">
      <c r="F978" t="s">
        <v>4557</v>
      </c>
      <c r="G978">
        <f t="shared" si="22"/>
        <v>127</v>
      </c>
    </row>
    <row r="979" spans="6:7">
      <c r="F979" t="s">
        <v>4557</v>
      </c>
      <c r="G979">
        <f t="shared" si="22"/>
        <v>127</v>
      </c>
    </row>
    <row r="980" spans="6:7">
      <c r="F980" t="s">
        <v>4558</v>
      </c>
      <c r="G980">
        <f t="shared" si="22"/>
        <v>129</v>
      </c>
    </row>
    <row r="981" spans="6:7">
      <c r="F981" t="s">
        <v>4558</v>
      </c>
      <c r="G981">
        <f t="shared" si="22"/>
        <v>129</v>
      </c>
    </row>
    <row r="982" spans="6:7">
      <c r="F982" t="s">
        <v>4558</v>
      </c>
      <c r="G982">
        <f t="shared" si="22"/>
        <v>129</v>
      </c>
    </row>
    <row r="983" spans="6:7">
      <c r="F983" t="s">
        <v>4558</v>
      </c>
      <c r="G983">
        <f t="shared" si="22"/>
        <v>129</v>
      </c>
    </row>
    <row r="984" spans="6:7">
      <c r="F984" t="s">
        <v>4558</v>
      </c>
      <c r="G984">
        <f t="shared" si="22"/>
        <v>129</v>
      </c>
    </row>
    <row r="985" spans="6:7">
      <c r="F985" t="s">
        <v>4558</v>
      </c>
      <c r="G985">
        <f t="shared" si="22"/>
        <v>129</v>
      </c>
    </row>
    <row r="986" spans="6:7">
      <c r="F986" t="s">
        <v>4558</v>
      </c>
      <c r="G986">
        <f t="shared" si="22"/>
        <v>129</v>
      </c>
    </row>
    <row r="987" spans="6:7">
      <c r="F987" t="s">
        <v>4558</v>
      </c>
      <c r="G987">
        <f t="shared" si="22"/>
        <v>129</v>
      </c>
    </row>
    <row r="988" spans="6:7">
      <c r="F988" t="s">
        <v>4558</v>
      </c>
      <c r="G988">
        <f t="shared" si="22"/>
        <v>129</v>
      </c>
    </row>
    <row r="989" spans="6:7">
      <c r="F989" t="s">
        <v>4558</v>
      </c>
      <c r="G989">
        <f t="shared" si="22"/>
        <v>129</v>
      </c>
    </row>
    <row r="990" spans="6:7">
      <c r="F990" t="s">
        <v>4558</v>
      </c>
      <c r="G990">
        <f t="shared" si="22"/>
        <v>129</v>
      </c>
    </row>
    <row r="991" spans="6:7">
      <c r="F991" t="s">
        <v>4559</v>
      </c>
      <c r="G991">
        <f t="shared" si="22"/>
        <v>10022</v>
      </c>
    </row>
    <row r="992" spans="6:7">
      <c r="F992" t="s">
        <v>4559</v>
      </c>
      <c r="G992">
        <f t="shared" si="22"/>
        <v>10022</v>
      </c>
    </row>
    <row r="993" spans="6:7">
      <c r="F993" t="s">
        <v>4559</v>
      </c>
      <c r="G993">
        <f t="shared" si="22"/>
        <v>10022</v>
      </c>
    </row>
    <row r="994" spans="6:7">
      <c r="F994" t="s">
        <v>4559</v>
      </c>
      <c r="G994">
        <f t="shared" si="22"/>
        <v>10022</v>
      </c>
    </row>
    <row r="995" spans="6:7">
      <c r="F995" t="s">
        <v>4559</v>
      </c>
      <c r="G995">
        <f t="shared" si="22"/>
        <v>10022</v>
      </c>
    </row>
    <row r="996" spans="6:7">
      <c r="F996" t="s">
        <v>4559</v>
      </c>
      <c r="G996">
        <f t="shared" si="22"/>
        <v>10022</v>
      </c>
    </row>
    <row r="997" spans="6:7">
      <c r="F997" t="s">
        <v>4559</v>
      </c>
      <c r="G997">
        <f t="shared" si="22"/>
        <v>10022</v>
      </c>
    </row>
    <row r="998" spans="6:7">
      <c r="F998" t="s">
        <v>4559</v>
      </c>
      <c r="G998">
        <f t="shared" si="22"/>
        <v>10022</v>
      </c>
    </row>
    <row r="999" spans="6:7">
      <c r="F999" t="s">
        <v>4559</v>
      </c>
      <c r="G999">
        <f t="shared" si="22"/>
        <v>10022</v>
      </c>
    </row>
    <row r="1000" spans="6:7">
      <c r="F1000" t="s">
        <v>4559</v>
      </c>
      <c r="G1000">
        <f t="shared" si="22"/>
        <v>10022</v>
      </c>
    </row>
    <row r="1001" spans="6:7">
      <c r="F1001" t="s">
        <v>4559</v>
      </c>
      <c r="G1001">
        <f t="shared" si="22"/>
        <v>10022</v>
      </c>
    </row>
    <row r="1002" spans="6:7">
      <c r="F1002" t="s">
        <v>4559</v>
      </c>
      <c r="G1002">
        <f t="shared" si="22"/>
        <v>10022</v>
      </c>
    </row>
    <row r="1003" spans="6:7">
      <c r="F1003" t="s">
        <v>4559</v>
      </c>
      <c r="G1003">
        <f t="shared" si="22"/>
        <v>10022</v>
      </c>
    </row>
    <row r="1004" spans="6:7">
      <c r="F1004" t="s">
        <v>4559</v>
      </c>
      <c r="G1004">
        <f t="shared" si="22"/>
        <v>10022</v>
      </c>
    </row>
    <row r="1005" spans="6:7">
      <c r="F1005" t="s">
        <v>4559</v>
      </c>
      <c r="G1005">
        <f t="shared" si="22"/>
        <v>10022</v>
      </c>
    </row>
    <row r="1006" spans="6:7">
      <c r="F1006" t="s">
        <v>4559</v>
      </c>
      <c r="G1006">
        <f t="shared" si="22"/>
        <v>10022</v>
      </c>
    </row>
    <row r="1007" spans="6:7">
      <c r="F1007" t="s">
        <v>4559</v>
      </c>
      <c r="G1007">
        <f t="shared" si="22"/>
        <v>10022</v>
      </c>
    </row>
    <row r="1008" spans="6:7">
      <c r="F1008" t="s">
        <v>4559</v>
      </c>
      <c r="G1008">
        <f t="shared" si="22"/>
        <v>10022</v>
      </c>
    </row>
    <row r="1009" spans="6:7">
      <c r="F1009" t="s">
        <v>4559</v>
      </c>
      <c r="G1009">
        <f t="shared" si="22"/>
        <v>10022</v>
      </c>
    </row>
    <row r="1010" spans="6:7">
      <c r="F1010" t="s">
        <v>4559</v>
      </c>
      <c r="G1010">
        <f t="shared" si="22"/>
        <v>10022</v>
      </c>
    </row>
    <row r="1011" spans="6:7">
      <c r="F1011" t="s">
        <v>4559</v>
      </c>
      <c r="G1011">
        <f t="shared" si="22"/>
        <v>10022</v>
      </c>
    </row>
    <row r="1012" spans="6:7">
      <c r="F1012" t="s">
        <v>4581</v>
      </c>
      <c r="G1012">
        <f t="shared" si="22"/>
        <v>10023</v>
      </c>
    </row>
    <row r="1013" spans="6:7">
      <c r="F1013" t="s">
        <v>4581</v>
      </c>
      <c r="G1013">
        <f t="shared" si="22"/>
        <v>10023</v>
      </c>
    </row>
    <row r="1014" spans="6:7">
      <c r="F1014" t="s">
        <v>4581</v>
      </c>
      <c r="G1014">
        <f t="shared" si="22"/>
        <v>10023</v>
      </c>
    </row>
    <row r="1015" spans="6:7">
      <c r="F1015" t="s">
        <v>4581</v>
      </c>
      <c r="G1015">
        <f t="shared" si="22"/>
        <v>10023</v>
      </c>
    </row>
    <row r="1016" spans="6:7">
      <c r="F1016" t="s">
        <v>4581</v>
      </c>
      <c r="G1016">
        <f t="shared" si="22"/>
        <v>10023</v>
      </c>
    </row>
    <row r="1017" spans="6:7">
      <c r="F1017" t="s">
        <v>4581</v>
      </c>
      <c r="G1017">
        <f t="shared" si="22"/>
        <v>10023</v>
      </c>
    </row>
    <row r="1018" spans="6:7">
      <c r="F1018" t="s">
        <v>4581</v>
      </c>
      <c r="G1018">
        <f t="shared" si="22"/>
        <v>10023</v>
      </c>
    </row>
    <row r="1019" spans="6:7">
      <c r="F1019" t="s">
        <v>4581</v>
      </c>
      <c r="G1019">
        <f t="shared" si="22"/>
        <v>10023</v>
      </c>
    </row>
    <row r="1020" spans="6:7">
      <c r="F1020" t="s">
        <v>4581</v>
      </c>
      <c r="G1020">
        <f t="shared" si="22"/>
        <v>10023</v>
      </c>
    </row>
    <row r="1021" spans="6:7">
      <c r="F1021" t="s">
        <v>4581</v>
      </c>
      <c r="G1021">
        <f t="shared" si="22"/>
        <v>10023</v>
      </c>
    </row>
    <row r="1022" spans="6:7">
      <c r="F1022" t="s">
        <v>4581</v>
      </c>
      <c r="G1022">
        <f t="shared" si="22"/>
        <v>10023</v>
      </c>
    </row>
    <row r="1023" spans="6:7">
      <c r="F1023" t="s">
        <v>4581</v>
      </c>
      <c r="G1023">
        <f t="shared" si="22"/>
        <v>10023</v>
      </c>
    </row>
    <row r="1024" spans="6:7">
      <c r="F1024" t="s">
        <v>4581</v>
      </c>
      <c r="G1024">
        <f t="shared" si="22"/>
        <v>10023</v>
      </c>
    </row>
    <row r="1025" spans="6:7">
      <c r="F1025" t="s">
        <v>4581</v>
      </c>
      <c r="G1025">
        <f t="shared" si="22"/>
        <v>10023</v>
      </c>
    </row>
    <row r="1026" spans="6:7">
      <c r="F1026" t="s">
        <v>4581</v>
      </c>
      <c r="G1026">
        <f t="shared" si="22"/>
        <v>10023</v>
      </c>
    </row>
    <row r="1027" spans="6:7">
      <c r="F1027" t="s">
        <v>4581</v>
      </c>
      <c r="G1027">
        <f t="shared" si="22"/>
        <v>10023</v>
      </c>
    </row>
    <row r="1028" spans="6:7">
      <c r="F1028" t="s">
        <v>4581</v>
      </c>
      <c r="G1028">
        <f t="shared" si="22"/>
        <v>10023</v>
      </c>
    </row>
    <row r="1029" spans="6:7">
      <c r="F1029" t="s">
        <v>4581</v>
      </c>
      <c r="G1029">
        <f t="shared" ref="G1029:G1092" si="23">_xlfn.XLOOKUP(F1029,$C$4:$C$220,$A$4:$A$220)</f>
        <v>10023</v>
      </c>
    </row>
    <row r="1030" spans="6:7">
      <c r="F1030" t="s">
        <v>4581</v>
      </c>
      <c r="G1030">
        <f t="shared" si="23"/>
        <v>10023</v>
      </c>
    </row>
    <row r="1031" spans="6:7">
      <c r="F1031" t="s">
        <v>4581</v>
      </c>
      <c r="G1031">
        <f t="shared" si="23"/>
        <v>10023</v>
      </c>
    </row>
    <row r="1032" spans="6:7">
      <c r="F1032" t="s">
        <v>4581</v>
      </c>
      <c r="G1032">
        <f t="shared" si="23"/>
        <v>10023</v>
      </c>
    </row>
    <row r="1033" spans="6:7">
      <c r="F1033" t="s">
        <v>4602</v>
      </c>
      <c r="G1033">
        <f t="shared" si="23"/>
        <v>10024</v>
      </c>
    </row>
    <row r="1034" spans="6:7">
      <c r="F1034" t="s">
        <v>4602</v>
      </c>
      <c r="G1034">
        <f t="shared" si="23"/>
        <v>10024</v>
      </c>
    </row>
    <row r="1035" spans="6:7">
      <c r="F1035" t="s">
        <v>4602</v>
      </c>
      <c r="G1035">
        <f t="shared" si="23"/>
        <v>10024</v>
      </c>
    </row>
    <row r="1036" spans="6:7">
      <c r="F1036" t="s">
        <v>4602</v>
      </c>
      <c r="G1036">
        <f t="shared" si="23"/>
        <v>10024</v>
      </c>
    </row>
    <row r="1037" spans="6:7">
      <c r="F1037" t="s">
        <v>4602</v>
      </c>
      <c r="G1037">
        <f t="shared" si="23"/>
        <v>10024</v>
      </c>
    </row>
    <row r="1038" spans="6:7">
      <c r="F1038" t="s">
        <v>4602</v>
      </c>
      <c r="G1038">
        <f t="shared" si="23"/>
        <v>10024</v>
      </c>
    </row>
    <row r="1039" spans="6:7">
      <c r="F1039" t="s">
        <v>4602</v>
      </c>
      <c r="G1039">
        <f t="shared" si="23"/>
        <v>10024</v>
      </c>
    </row>
    <row r="1040" spans="6:7">
      <c r="F1040" t="s">
        <v>4602</v>
      </c>
      <c r="G1040">
        <f t="shared" si="23"/>
        <v>10024</v>
      </c>
    </row>
    <row r="1041" spans="6:7">
      <c r="F1041" t="s">
        <v>4602</v>
      </c>
      <c r="G1041">
        <f t="shared" si="23"/>
        <v>10024</v>
      </c>
    </row>
    <row r="1042" spans="6:7">
      <c r="F1042" t="s">
        <v>4602</v>
      </c>
      <c r="G1042">
        <f t="shared" si="23"/>
        <v>10024</v>
      </c>
    </row>
    <row r="1043" spans="6:7">
      <c r="F1043" t="s">
        <v>4602</v>
      </c>
      <c r="G1043">
        <f t="shared" si="23"/>
        <v>10024</v>
      </c>
    </row>
    <row r="1044" spans="6:7">
      <c r="F1044" t="s">
        <v>4602</v>
      </c>
      <c r="G1044">
        <f t="shared" si="23"/>
        <v>10024</v>
      </c>
    </row>
    <row r="1045" spans="6:7">
      <c r="F1045" t="s">
        <v>4602</v>
      </c>
      <c r="G1045">
        <f t="shared" si="23"/>
        <v>10024</v>
      </c>
    </row>
    <row r="1046" spans="6:7">
      <c r="F1046" t="s">
        <v>4602</v>
      </c>
      <c r="G1046">
        <f t="shared" si="23"/>
        <v>10024</v>
      </c>
    </row>
    <row r="1047" spans="6:7">
      <c r="F1047" t="s">
        <v>4602</v>
      </c>
      <c r="G1047">
        <f t="shared" si="23"/>
        <v>10024</v>
      </c>
    </row>
    <row r="1048" spans="6:7">
      <c r="F1048" t="s">
        <v>4602</v>
      </c>
      <c r="G1048">
        <f t="shared" si="23"/>
        <v>10024</v>
      </c>
    </row>
    <row r="1049" spans="6:7">
      <c r="F1049" t="s">
        <v>4602</v>
      </c>
      <c r="G1049">
        <f t="shared" si="23"/>
        <v>10024</v>
      </c>
    </row>
    <row r="1050" spans="6:7">
      <c r="F1050" t="s">
        <v>4602</v>
      </c>
      <c r="G1050">
        <f t="shared" si="23"/>
        <v>10024</v>
      </c>
    </row>
    <row r="1051" spans="6:7">
      <c r="F1051" t="s">
        <v>4602</v>
      </c>
      <c r="G1051">
        <f t="shared" si="23"/>
        <v>10024</v>
      </c>
    </row>
    <row r="1052" spans="6:7">
      <c r="F1052" t="s">
        <v>4602</v>
      </c>
      <c r="G1052">
        <f t="shared" si="23"/>
        <v>10024</v>
      </c>
    </row>
    <row r="1053" spans="6:7">
      <c r="F1053" t="s">
        <v>4602</v>
      </c>
      <c r="G1053">
        <f t="shared" si="23"/>
        <v>10024</v>
      </c>
    </row>
    <row r="1054" spans="6:7">
      <c r="F1054" t="s">
        <v>4552</v>
      </c>
      <c r="G1054">
        <f t="shared" si="23"/>
        <v>121</v>
      </c>
    </row>
    <row r="1055" spans="6:7">
      <c r="F1055" t="s">
        <v>4552</v>
      </c>
      <c r="G1055">
        <f t="shared" si="23"/>
        <v>121</v>
      </c>
    </row>
    <row r="1056" spans="6:7">
      <c r="F1056" t="s">
        <v>4552</v>
      </c>
      <c r="G1056">
        <f t="shared" si="23"/>
        <v>121</v>
      </c>
    </row>
    <row r="1057" spans="6:7">
      <c r="F1057" t="s">
        <v>4552</v>
      </c>
      <c r="G1057">
        <f t="shared" si="23"/>
        <v>121</v>
      </c>
    </row>
    <row r="1058" spans="6:7">
      <c r="F1058" t="s">
        <v>4552</v>
      </c>
      <c r="G1058">
        <f t="shared" si="23"/>
        <v>121</v>
      </c>
    </row>
    <row r="1059" spans="6:7">
      <c r="F1059" t="s">
        <v>4552</v>
      </c>
      <c r="G1059">
        <f t="shared" si="23"/>
        <v>121</v>
      </c>
    </row>
    <row r="1060" spans="6:7">
      <c r="F1060" t="s">
        <v>4552</v>
      </c>
      <c r="G1060">
        <f t="shared" si="23"/>
        <v>121</v>
      </c>
    </row>
    <row r="1061" spans="6:7">
      <c r="F1061" t="s">
        <v>4552</v>
      </c>
      <c r="G1061">
        <f t="shared" si="23"/>
        <v>121</v>
      </c>
    </row>
    <row r="1062" spans="6:7">
      <c r="F1062" t="s">
        <v>4552</v>
      </c>
      <c r="G1062">
        <f t="shared" si="23"/>
        <v>121</v>
      </c>
    </row>
    <row r="1063" spans="6:7">
      <c r="F1063" t="s">
        <v>4552</v>
      </c>
      <c r="G1063">
        <f t="shared" si="23"/>
        <v>121</v>
      </c>
    </row>
    <row r="1064" spans="6:7">
      <c r="F1064" t="s">
        <v>4552</v>
      </c>
      <c r="G1064">
        <f t="shared" si="23"/>
        <v>121</v>
      </c>
    </row>
    <row r="1065" spans="6:7">
      <c r="F1065" t="s">
        <v>4553</v>
      </c>
      <c r="G1065">
        <f t="shared" si="23"/>
        <v>123</v>
      </c>
    </row>
    <row r="1066" spans="6:7">
      <c r="F1066" t="s">
        <v>4553</v>
      </c>
      <c r="G1066">
        <f t="shared" si="23"/>
        <v>123</v>
      </c>
    </row>
    <row r="1067" spans="6:7">
      <c r="F1067" t="s">
        <v>4553</v>
      </c>
      <c r="G1067">
        <f t="shared" si="23"/>
        <v>123</v>
      </c>
    </row>
    <row r="1068" spans="6:7">
      <c r="F1068" t="s">
        <v>4553</v>
      </c>
      <c r="G1068">
        <f t="shared" si="23"/>
        <v>123</v>
      </c>
    </row>
    <row r="1069" spans="6:7">
      <c r="F1069" t="s">
        <v>4553</v>
      </c>
      <c r="G1069">
        <f t="shared" si="23"/>
        <v>123</v>
      </c>
    </row>
    <row r="1070" spans="6:7">
      <c r="F1070" t="s">
        <v>4553</v>
      </c>
      <c r="G1070">
        <f t="shared" si="23"/>
        <v>123</v>
      </c>
    </row>
    <row r="1071" spans="6:7">
      <c r="F1071" t="s">
        <v>4553</v>
      </c>
      <c r="G1071">
        <f t="shared" si="23"/>
        <v>123</v>
      </c>
    </row>
    <row r="1072" spans="6:7">
      <c r="F1072" t="s">
        <v>4553</v>
      </c>
      <c r="G1072">
        <f t="shared" si="23"/>
        <v>123</v>
      </c>
    </row>
    <row r="1073" spans="6:7">
      <c r="F1073" t="s">
        <v>4553</v>
      </c>
      <c r="G1073">
        <f t="shared" si="23"/>
        <v>123</v>
      </c>
    </row>
    <row r="1074" spans="6:7">
      <c r="F1074" t="s">
        <v>4553</v>
      </c>
      <c r="G1074">
        <f t="shared" si="23"/>
        <v>123</v>
      </c>
    </row>
    <row r="1075" spans="6:7">
      <c r="F1075" t="s">
        <v>4553</v>
      </c>
      <c r="G1075">
        <f t="shared" si="23"/>
        <v>123</v>
      </c>
    </row>
    <row r="1076" spans="6:7">
      <c r="F1076" t="s">
        <v>4554</v>
      </c>
      <c r="G1076">
        <f t="shared" si="23"/>
        <v>122</v>
      </c>
    </row>
    <row r="1077" spans="6:7">
      <c r="F1077" t="s">
        <v>4554</v>
      </c>
      <c r="G1077">
        <f t="shared" si="23"/>
        <v>122</v>
      </c>
    </row>
    <row r="1078" spans="6:7">
      <c r="F1078" t="s">
        <v>4554</v>
      </c>
      <c r="G1078">
        <f t="shared" si="23"/>
        <v>122</v>
      </c>
    </row>
    <row r="1079" spans="6:7">
      <c r="F1079" t="s">
        <v>4554</v>
      </c>
      <c r="G1079">
        <f t="shared" si="23"/>
        <v>122</v>
      </c>
    </row>
    <row r="1080" spans="6:7">
      <c r="F1080" t="s">
        <v>4554</v>
      </c>
      <c r="G1080">
        <f t="shared" si="23"/>
        <v>122</v>
      </c>
    </row>
    <row r="1081" spans="6:7">
      <c r="F1081" t="s">
        <v>4554</v>
      </c>
      <c r="G1081">
        <f t="shared" si="23"/>
        <v>122</v>
      </c>
    </row>
    <row r="1082" spans="6:7">
      <c r="F1082" t="s">
        <v>4554</v>
      </c>
      <c r="G1082">
        <f t="shared" si="23"/>
        <v>122</v>
      </c>
    </row>
    <row r="1083" spans="6:7">
      <c r="F1083" t="s">
        <v>4554</v>
      </c>
      <c r="G1083">
        <f t="shared" si="23"/>
        <v>122</v>
      </c>
    </row>
    <row r="1084" spans="6:7">
      <c r="F1084" t="s">
        <v>4554</v>
      </c>
      <c r="G1084">
        <f t="shared" si="23"/>
        <v>122</v>
      </c>
    </row>
    <row r="1085" spans="6:7">
      <c r="F1085" t="s">
        <v>4554</v>
      </c>
      <c r="G1085">
        <f t="shared" si="23"/>
        <v>122</v>
      </c>
    </row>
    <row r="1086" spans="6:7">
      <c r="F1086" t="s">
        <v>4554</v>
      </c>
      <c r="G1086">
        <f t="shared" si="23"/>
        <v>122</v>
      </c>
    </row>
    <row r="1087" spans="6:7">
      <c r="F1087" t="s">
        <v>4555</v>
      </c>
      <c r="G1087">
        <f t="shared" si="23"/>
        <v>124</v>
      </c>
    </row>
    <row r="1088" spans="6:7">
      <c r="F1088" t="s">
        <v>4555</v>
      </c>
      <c r="G1088">
        <f t="shared" si="23"/>
        <v>124</v>
      </c>
    </row>
    <row r="1089" spans="6:7">
      <c r="F1089" t="s">
        <v>4555</v>
      </c>
      <c r="G1089">
        <f t="shared" si="23"/>
        <v>124</v>
      </c>
    </row>
    <row r="1090" spans="6:7">
      <c r="F1090" t="s">
        <v>4555</v>
      </c>
      <c r="G1090">
        <f t="shared" si="23"/>
        <v>124</v>
      </c>
    </row>
    <row r="1091" spans="6:7">
      <c r="F1091" t="s">
        <v>4555</v>
      </c>
      <c r="G1091">
        <f t="shared" si="23"/>
        <v>124</v>
      </c>
    </row>
    <row r="1092" spans="6:7">
      <c r="F1092" t="s">
        <v>4555</v>
      </c>
      <c r="G1092">
        <f t="shared" si="23"/>
        <v>124</v>
      </c>
    </row>
    <row r="1093" spans="6:7">
      <c r="F1093" t="s">
        <v>4555</v>
      </c>
      <c r="G1093">
        <f t="shared" ref="G1093:G1156" si="24">_xlfn.XLOOKUP(F1093,$C$4:$C$220,$A$4:$A$220)</f>
        <v>124</v>
      </c>
    </row>
    <row r="1094" spans="6:7">
      <c r="F1094" t="s">
        <v>4555</v>
      </c>
      <c r="G1094">
        <f t="shared" si="24"/>
        <v>124</v>
      </c>
    </row>
    <row r="1095" spans="6:7">
      <c r="F1095" t="s">
        <v>4555</v>
      </c>
      <c r="G1095">
        <f t="shared" si="24"/>
        <v>124</v>
      </c>
    </row>
    <row r="1096" spans="6:7">
      <c r="F1096" t="s">
        <v>4555</v>
      </c>
      <c r="G1096">
        <f t="shared" si="24"/>
        <v>124</v>
      </c>
    </row>
    <row r="1097" spans="6:7">
      <c r="F1097" t="s">
        <v>4555</v>
      </c>
      <c r="G1097">
        <f t="shared" si="24"/>
        <v>124</v>
      </c>
    </row>
    <row r="1098" spans="6:7">
      <c r="F1098" t="s">
        <v>4623</v>
      </c>
      <c r="G1098">
        <f t="shared" si="24"/>
        <v>126</v>
      </c>
    </row>
    <row r="1099" spans="6:7">
      <c r="F1099" t="s">
        <v>4623</v>
      </c>
      <c r="G1099">
        <f t="shared" si="24"/>
        <v>126</v>
      </c>
    </row>
    <row r="1100" spans="6:7">
      <c r="F1100" t="s">
        <v>4623</v>
      </c>
      <c r="G1100">
        <f t="shared" si="24"/>
        <v>126</v>
      </c>
    </row>
    <row r="1101" spans="6:7">
      <c r="F1101" t="s">
        <v>4623</v>
      </c>
      <c r="G1101">
        <f t="shared" si="24"/>
        <v>126</v>
      </c>
    </row>
    <row r="1102" spans="6:7">
      <c r="F1102" t="s">
        <v>4623</v>
      </c>
      <c r="G1102">
        <f t="shared" si="24"/>
        <v>126</v>
      </c>
    </row>
    <row r="1103" spans="6:7">
      <c r="F1103" t="s">
        <v>4623</v>
      </c>
      <c r="G1103">
        <f t="shared" si="24"/>
        <v>126</v>
      </c>
    </row>
    <row r="1104" spans="6:7">
      <c r="F1104" t="s">
        <v>4623</v>
      </c>
      <c r="G1104">
        <f t="shared" si="24"/>
        <v>126</v>
      </c>
    </row>
    <row r="1105" spans="6:7">
      <c r="F1105" t="s">
        <v>4623</v>
      </c>
      <c r="G1105">
        <f t="shared" si="24"/>
        <v>126</v>
      </c>
    </row>
    <row r="1106" spans="6:7">
      <c r="F1106" t="s">
        <v>4623</v>
      </c>
      <c r="G1106">
        <f t="shared" si="24"/>
        <v>126</v>
      </c>
    </row>
    <row r="1107" spans="6:7">
      <c r="F1107" t="s">
        <v>4623</v>
      </c>
      <c r="G1107">
        <f t="shared" si="24"/>
        <v>126</v>
      </c>
    </row>
    <row r="1108" spans="6:7">
      <c r="F1108" t="s">
        <v>4623</v>
      </c>
      <c r="G1108">
        <f t="shared" si="24"/>
        <v>126</v>
      </c>
    </row>
    <row r="1109" spans="6:7">
      <c r="F1109" t="s">
        <v>4623</v>
      </c>
      <c r="G1109">
        <f t="shared" si="24"/>
        <v>126</v>
      </c>
    </row>
    <row r="1110" spans="6:7">
      <c r="F1110" t="s">
        <v>4623</v>
      </c>
      <c r="G1110">
        <f t="shared" si="24"/>
        <v>126</v>
      </c>
    </row>
    <row r="1111" spans="6:7">
      <c r="F1111" t="s">
        <v>4623</v>
      </c>
      <c r="G1111">
        <f t="shared" si="24"/>
        <v>126</v>
      </c>
    </row>
    <row r="1112" spans="6:7">
      <c r="F1112" t="s">
        <v>4623</v>
      </c>
      <c r="G1112">
        <f t="shared" si="24"/>
        <v>126</v>
      </c>
    </row>
    <row r="1113" spans="6:7">
      <c r="F1113" t="s">
        <v>4623</v>
      </c>
      <c r="G1113">
        <f t="shared" si="24"/>
        <v>126</v>
      </c>
    </row>
    <row r="1114" spans="6:7">
      <c r="F1114" t="s">
        <v>4557</v>
      </c>
      <c r="G1114">
        <f t="shared" si="24"/>
        <v>127</v>
      </c>
    </row>
    <row r="1115" spans="6:7">
      <c r="F1115" t="s">
        <v>4557</v>
      </c>
      <c r="G1115">
        <f t="shared" si="24"/>
        <v>127</v>
      </c>
    </row>
    <row r="1116" spans="6:7">
      <c r="F1116" t="s">
        <v>4557</v>
      </c>
      <c r="G1116">
        <f t="shared" si="24"/>
        <v>127</v>
      </c>
    </row>
    <row r="1117" spans="6:7">
      <c r="F1117" t="s">
        <v>4557</v>
      </c>
      <c r="G1117">
        <f t="shared" si="24"/>
        <v>127</v>
      </c>
    </row>
    <row r="1118" spans="6:7">
      <c r="F1118" t="s">
        <v>4557</v>
      </c>
      <c r="G1118">
        <f t="shared" si="24"/>
        <v>127</v>
      </c>
    </row>
    <row r="1119" spans="6:7">
      <c r="F1119" t="s">
        <v>4557</v>
      </c>
      <c r="G1119">
        <f t="shared" si="24"/>
        <v>127</v>
      </c>
    </row>
    <row r="1120" spans="6:7">
      <c r="F1120" t="s">
        <v>4557</v>
      </c>
      <c r="G1120">
        <f t="shared" si="24"/>
        <v>127</v>
      </c>
    </row>
    <row r="1121" spans="6:7">
      <c r="F1121" t="s">
        <v>4557</v>
      </c>
      <c r="G1121">
        <f t="shared" si="24"/>
        <v>127</v>
      </c>
    </row>
    <row r="1122" spans="6:7">
      <c r="F1122" t="s">
        <v>4557</v>
      </c>
      <c r="G1122">
        <f t="shared" si="24"/>
        <v>127</v>
      </c>
    </row>
    <row r="1123" spans="6:7">
      <c r="F1123" t="s">
        <v>4557</v>
      </c>
      <c r="G1123">
        <f t="shared" si="24"/>
        <v>127</v>
      </c>
    </row>
    <row r="1124" spans="6:7">
      <c r="F1124" t="s">
        <v>4557</v>
      </c>
      <c r="G1124">
        <f t="shared" si="24"/>
        <v>127</v>
      </c>
    </row>
    <row r="1125" spans="6:7">
      <c r="F1125" t="s">
        <v>4557</v>
      </c>
      <c r="G1125">
        <f t="shared" si="24"/>
        <v>127</v>
      </c>
    </row>
    <row r="1126" spans="6:7">
      <c r="F1126" t="s">
        <v>4557</v>
      </c>
      <c r="G1126">
        <f t="shared" si="24"/>
        <v>127</v>
      </c>
    </row>
    <row r="1127" spans="6:7">
      <c r="F1127" t="s">
        <v>4557</v>
      </c>
      <c r="G1127">
        <f t="shared" si="24"/>
        <v>127</v>
      </c>
    </row>
    <row r="1128" spans="6:7">
      <c r="F1128" t="s">
        <v>4557</v>
      </c>
      <c r="G1128">
        <f t="shared" si="24"/>
        <v>127</v>
      </c>
    </row>
    <row r="1129" spans="6:7">
      <c r="F1129" t="s">
        <v>4557</v>
      </c>
      <c r="G1129">
        <f t="shared" si="24"/>
        <v>127</v>
      </c>
    </row>
    <row r="1130" spans="6:7">
      <c r="F1130" t="s">
        <v>4558</v>
      </c>
      <c r="G1130">
        <f t="shared" si="24"/>
        <v>129</v>
      </c>
    </row>
    <row r="1131" spans="6:7">
      <c r="F1131" t="s">
        <v>4558</v>
      </c>
      <c r="G1131">
        <f t="shared" si="24"/>
        <v>129</v>
      </c>
    </row>
    <row r="1132" spans="6:7">
      <c r="F1132" t="s">
        <v>4558</v>
      </c>
      <c r="G1132">
        <f t="shared" si="24"/>
        <v>129</v>
      </c>
    </row>
    <row r="1133" spans="6:7">
      <c r="F1133" t="s">
        <v>4558</v>
      </c>
      <c r="G1133">
        <f t="shared" si="24"/>
        <v>129</v>
      </c>
    </row>
    <row r="1134" spans="6:7">
      <c r="F1134" t="s">
        <v>4558</v>
      </c>
      <c r="G1134">
        <f t="shared" si="24"/>
        <v>129</v>
      </c>
    </row>
    <row r="1135" spans="6:7">
      <c r="F1135" t="s">
        <v>4558</v>
      </c>
      <c r="G1135">
        <f t="shared" si="24"/>
        <v>129</v>
      </c>
    </row>
    <row r="1136" spans="6:7">
      <c r="F1136" t="s">
        <v>4558</v>
      </c>
      <c r="G1136">
        <f t="shared" si="24"/>
        <v>129</v>
      </c>
    </row>
    <row r="1137" spans="6:7">
      <c r="F1137" t="s">
        <v>4558</v>
      </c>
      <c r="G1137">
        <f t="shared" si="24"/>
        <v>129</v>
      </c>
    </row>
    <row r="1138" spans="6:7">
      <c r="F1138" t="s">
        <v>4558</v>
      </c>
      <c r="G1138">
        <f t="shared" si="24"/>
        <v>129</v>
      </c>
    </row>
    <row r="1139" spans="6:7">
      <c r="F1139" t="s">
        <v>4558</v>
      </c>
      <c r="G1139">
        <f t="shared" si="24"/>
        <v>129</v>
      </c>
    </row>
    <row r="1140" spans="6:7">
      <c r="F1140" t="s">
        <v>4558</v>
      </c>
      <c r="G1140">
        <f t="shared" si="24"/>
        <v>129</v>
      </c>
    </row>
    <row r="1141" spans="6:7">
      <c r="F1141" t="s">
        <v>4558</v>
      </c>
      <c r="G1141">
        <f t="shared" si="24"/>
        <v>129</v>
      </c>
    </row>
    <row r="1142" spans="6:7">
      <c r="F1142" t="s">
        <v>4558</v>
      </c>
      <c r="G1142">
        <f t="shared" si="24"/>
        <v>129</v>
      </c>
    </row>
    <row r="1143" spans="6:7">
      <c r="F1143" t="s">
        <v>4558</v>
      </c>
      <c r="G1143">
        <f t="shared" si="24"/>
        <v>129</v>
      </c>
    </row>
    <row r="1144" spans="6:7">
      <c r="F1144" t="s">
        <v>4558</v>
      </c>
      <c r="G1144">
        <f t="shared" si="24"/>
        <v>129</v>
      </c>
    </row>
    <row r="1145" spans="6:7">
      <c r="F1145" t="s">
        <v>4558</v>
      </c>
      <c r="G1145">
        <f t="shared" si="24"/>
        <v>129</v>
      </c>
    </row>
    <row r="1146" spans="6:7">
      <c r="F1146" t="s">
        <v>4624</v>
      </c>
      <c r="G1146">
        <f t="shared" si="24"/>
        <v>10025</v>
      </c>
    </row>
    <row r="1147" spans="6:7">
      <c r="F1147" t="s">
        <v>4624</v>
      </c>
      <c r="G1147">
        <f t="shared" si="24"/>
        <v>10025</v>
      </c>
    </row>
    <row r="1148" spans="6:7">
      <c r="F1148" t="s">
        <v>4624</v>
      </c>
      <c r="G1148">
        <f t="shared" si="24"/>
        <v>10025</v>
      </c>
    </row>
    <row r="1149" spans="6:7">
      <c r="F1149" t="s">
        <v>4624</v>
      </c>
      <c r="G1149">
        <f t="shared" si="24"/>
        <v>10025</v>
      </c>
    </row>
    <row r="1150" spans="6:7">
      <c r="F1150" t="s">
        <v>4624</v>
      </c>
      <c r="G1150">
        <f t="shared" si="24"/>
        <v>10025</v>
      </c>
    </row>
    <row r="1151" spans="6:7">
      <c r="F1151" t="s">
        <v>4624</v>
      </c>
      <c r="G1151">
        <f t="shared" si="24"/>
        <v>10025</v>
      </c>
    </row>
    <row r="1152" spans="6:7">
      <c r="F1152" t="s">
        <v>4624</v>
      </c>
      <c r="G1152">
        <f t="shared" si="24"/>
        <v>10025</v>
      </c>
    </row>
    <row r="1153" spans="6:7">
      <c r="F1153" t="s">
        <v>4624</v>
      </c>
      <c r="G1153">
        <f t="shared" si="24"/>
        <v>10025</v>
      </c>
    </row>
    <row r="1154" spans="6:7">
      <c r="F1154" t="s">
        <v>4624</v>
      </c>
      <c r="G1154">
        <f t="shared" si="24"/>
        <v>10025</v>
      </c>
    </row>
    <row r="1155" spans="6:7">
      <c r="F1155" t="s">
        <v>4624</v>
      </c>
      <c r="G1155">
        <f t="shared" si="24"/>
        <v>10025</v>
      </c>
    </row>
    <row r="1156" spans="6:7">
      <c r="F1156" t="s">
        <v>4624</v>
      </c>
      <c r="G1156">
        <f t="shared" si="24"/>
        <v>10025</v>
      </c>
    </row>
    <row r="1157" spans="6:7">
      <c r="F1157" t="s">
        <v>4624</v>
      </c>
      <c r="G1157">
        <f t="shared" ref="G1157:G1220" si="25">_xlfn.XLOOKUP(F1157,$C$4:$C$220,$A$4:$A$220)</f>
        <v>10025</v>
      </c>
    </row>
    <row r="1158" spans="6:7">
      <c r="F1158" t="s">
        <v>4624</v>
      </c>
      <c r="G1158">
        <f t="shared" si="25"/>
        <v>10025</v>
      </c>
    </row>
    <row r="1159" spans="6:7">
      <c r="F1159" t="s">
        <v>4624</v>
      </c>
      <c r="G1159">
        <f t="shared" si="25"/>
        <v>10025</v>
      </c>
    </row>
    <row r="1160" spans="6:7">
      <c r="F1160" t="s">
        <v>4624</v>
      </c>
      <c r="G1160">
        <f t="shared" si="25"/>
        <v>10025</v>
      </c>
    </row>
    <row r="1161" spans="6:7">
      <c r="F1161" t="s">
        <v>4624</v>
      </c>
      <c r="G1161">
        <f t="shared" si="25"/>
        <v>10025</v>
      </c>
    </row>
    <row r="1162" spans="6:7">
      <c r="F1162" t="s">
        <v>4624</v>
      </c>
      <c r="G1162">
        <f t="shared" si="25"/>
        <v>10025</v>
      </c>
    </row>
    <row r="1163" spans="6:7">
      <c r="F1163" t="s">
        <v>4624</v>
      </c>
      <c r="G1163">
        <f t="shared" si="25"/>
        <v>10025</v>
      </c>
    </row>
    <row r="1164" spans="6:7">
      <c r="F1164" t="s">
        <v>4624</v>
      </c>
      <c r="G1164">
        <f t="shared" si="25"/>
        <v>10025</v>
      </c>
    </row>
    <row r="1165" spans="6:7">
      <c r="F1165" t="s">
        <v>4624</v>
      </c>
      <c r="G1165">
        <f t="shared" si="25"/>
        <v>10025</v>
      </c>
    </row>
    <row r="1166" spans="6:7">
      <c r="F1166" t="s">
        <v>4624</v>
      </c>
      <c r="G1166">
        <f t="shared" si="25"/>
        <v>10025</v>
      </c>
    </row>
    <row r="1167" spans="6:7">
      <c r="F1167" t="s">
        <v>4646</v>
      </c>
      <c r="G1167">
        <f t="shared" si="25"/>
        <v>10026</v>
      </c>
    </row>
    <row r="1168" spans="6:7">
      <c r="F1168" t="s">
        <v>4646</v>
      </c>
      <c r="G1168">
        <f t="shared" si="25"/>
        <v>10026</v>
      </c>
    </row>
    <row r="1169" spans="6:7">
      <c r="F1169" t="s">
        <v>4646</v>
      </c>
      <c r="G1169">
        <f t="shared" si="25"/>
        <v>10026</v>
      </c>
    </row>
    <row r="1170" spans="6:7">
      <c r="F1170" t="s">
        <v>4646</v>
      </c>
      <c r="G1170">
        <f t="shared" si="25"/>
        <v>10026</v>
      </c>
    </row>
    <row r="1171" spans="6:7">
      <c r="F1171" t="s">
        <v>4646</v>
      </c>
      <c r="G1171">
        <f t="shared" si="25"/>
        <v>10026</v>
      </c>
    </row>
    <row r="1172" spans="6:7">
      <c r="F1172" t="s">
        <v>4646</v>
      </c>
      <c r="G1172">
        <f t="shared" si="25"/>
        <v>10026</v>
      </c>
    </row>
    <row r="1173" spans="6:7">
      <c r="F1173" t="s">
        <v>4646</v>
      </c>
      <c r="G1173">
        <f t="shared" si="25"/>
        <v>10026</v>
      </c>
    </row>
    <row r="1174" spans="6:7">
      <c r="F1174" t="s">
        <v>4646</v>
      </c>
      <c r="G1174">
        <f t="shared" si="25"/>
        <v>10026</v>
      </c>
    </row>
    <row r="1175" spans="6:7">
      <c r="F1175" t="s">
        <v>4646</v>
      </c>
      <c r="G1175">
        <f t="shared" si="25"/>
        <v>10026</v>
      </c>
    </row>
    <row r="1176" spans="6:7">
      <c r="F1176" t="s">
        <v>4646</v>
      </c>
      <c r="G1176">
        <f t="shared" si="25"/>
        <v>10026</v>
      </c>
    </row>
    <row r="1177" spans="6:7">
      <c r="F1177" t="s">
        <v>4646</v>
      </c>
      <c r="G1177">
        <f t="shared" si="25"/>
        <v>10026</v>
      </c>
    </row>
    <row r="1178" spans="6:7">
      <c r="F1178" t="s">
        <v>4646</v>
      </c>
      <c r="G1178">
        <f t="shared" si="25"/>
        <v>10026</v>
      </c>
    </row>
    <row r="1179" spans="6:7">
      <c r="F1179" t="s">
        <v>4646</v>
      </c>
      <c r="G1179">
        <f t="shared" si="25"/>
        <v>10026</v>
      </c>
    </row>
    <row r="1180" spans="6:7">
      <c r="F1180" t="s">
        <v>4646</v>
      </c>
      <c r="G1180">
        <f t="shared" si="25"/>
        <v>10026</v>
      </c>
    </row>
    <row r="1181" spans="6:7">
      <c r="F1181" t="s">
        <v>4646</v>
      </c>
      <c r="G1181">
        <f t="shared" si="25"/>
        <v>10026</v>
      </c>
    </row>
    <row r="1182" spans="6:7">
      <c r="F1182" t="s">
        <v>4646</v>
      </c>
      <c r="G1182">
        <f t="shared" si="25"/>
        <v>10026</v>
      </c>
    </row>
    <row r="1183" spans="6:7">
      <c r="F1183" t="s">
        <v>4646</v>
      </c>
      <c r="G1183">
        <f t="shared" si="25"/>
        <v>10026</v>
      </c>
    </row>
    <row r="1184" spans="6:7">
      <c r="F1184" t="s">
        <v>4646</v>
      </c>
      <c r="G1184">
        <f t="shared" si="25"/>
        <v>10026</v>
      </c>
    </row>
    <row r="1185" spans="6:7">
      <c r="F1185" t="s">
        <v>4646</v>
      </c>
      <c r="G1185">
        <f t="shared" si="25"/>
        <v>10026</v>
      </c>
    </row>
    <row r="1186" spans="6:7">
      <c r="F1186" t="s">
        <v>4646</v>
      </c>
      <c r="G1186">
        <f t="shared" si="25"/>
        <v>10026</v>
      </c>
    </row>
    <row r="1187" spans="6:7">
      <c r="F1187" t="s">
        <v>4646</v>
      </c>
      <c r="G1187">
        <f t="shared" si="25"/>
        <v>10026</v>
      </c>
    </row>
    <row r="1188" spans="6:7">
      <c r="F1188" t="s">
        <v>4667</v>
      </c>
      <c r="G1188">
        <f t="shared" si="25"/>
        <v>10027</v>
      </c>
    </row>
    <row r="1189" spans="6:7">
      <c r="F1189" t="s">
        <v>4667</v>
      </c>
      <c r="G1189">
        <f t="shared" si="25"/>
        <v>10027</v>
      </c>
    </row>
    <row r="1190" spans="6:7">
      <c r="F1190" t="s">
        <v>4667</v>
      </c>
      <c r="G1190">
        <f t="shared" si="25"/>
        <v>10027</v>
      </c>
    </row>
    <row r="1191" spans="6:7">
      <c r="F1191" t="s">
        <v>4667</v>
      </c>
      <c r="G1191">
        <f t="shared" si="25"/>
        <v>10027</v>
      </c>
    </row>
    <row r="1192" spans="6:7">
      <c r="F1192" t="s">
        <v>4667</v>
      </c>
      <c r="G1192">
        <f t="shared" si="25"/>
        <v>10027</v>
      </c>
    </row>
    <row r="1193" spans="6:7">
      <c r="F1193" t="s">
        <v>4667</v>
      </c>
      <c r="G1193">
        <f t="shared" si="25"/>
        <v>10027</v>
      </c>
    </row>
    <row r="1194" spans="6:7">
      <c r="F1194" t="s">
        <v>4667</v>
      </c>
      <c r="G1194">
        <f t="shared" si="25"/>
        <v>10027</v>
      </c>
    </row>
    <row r="1195" spans="6:7">
      <c r="F1195" t="s">
        <v>4667</v>
      </c>
      <c r="G1195">
        <f t="shared" si="25"/>
        <v>10027</v>
      </c>
    </row>
    <row r="1196" spans="6:7">
      <c r="F1196" t="s">
        <v>4667</v>
      </c>
      <c r="G1196">
        <f t="shared" si="25"/>
        <v>10027</v>
      </c>
    </row>
    <row r="1197" spans="6:7">
      <c r="F1197" t="s">
        <v>4667</v>
      </c>
      <c r="G1197">
        <f t="shared" si="25"/>
        <v>10027</v>
      </c>
    </row>
    <row r="1198" spans="6:7">
      <c r="F1198" t="s">
        <v>4667</v>
      </c>
      <c r="G1198">
        <f t="shared" si="25"/>
        <v>10027</v>
      </c>
    </row>
    <row r="1199" spans="6:7">
      <c r="F1199" t="s">
        <v>4667</v>
      </c>
      <c r="G1199">
        <f t="shared" si="25"/>
        <v>10027</v>
      </c>
    </row>
    <row r="1200" spans="6:7">
      <c r="F1200" t="s">
        <v>4667</v>
      </c>
      <c r="G1200">
        <f t="shared" si="25"/>
        <v>10027</v>
      </c>
    </row>
    <row r="1201" spans="6:7">
      <c r="F1201" t="s">
        <v>4667</v>
      </c>
      <c r="G1201">
        <f t="shared" si="25"/>
        <v>10027</v>
      </c>
    </row>
    <row r="1202" spans="6:7">
      <c r="F1202" t="s">
        <v>4667</v>
      </c>
      <c r="G1202">
        <f t="shared" si="25"/>
        <v>10027</v>
      </c>
    </row>
    <row r="1203" spans="6:7">
      <c r="F1203" t="s">
        <v>4667</v>
      </c>
      <c r="G1203">
        <f t="shared" si="25"/>
        <v>10027</v>
      </c>
    </row>
    <row r="1204" spans="6:7">
      <c r="F1204" t="s">
        <v>4667</v>
      </c>
      <c r="G1204">
        <f t="shared" si="25"/>
        <v>10027</v>
      </c>
    </row>
    <row r="1205" spans="6:7">
      <c r="F1205" t="s">
        <v>4667</v>
      </c>
      <c r="G1205">
        <f t="shared" si="25"/>
        <v>10027</v>
      </c>
    </row>
    <row r="1206" spans="6:7">
      <c r="F1206" t="s">
        <v>4667</v>
      </c>
      <c r="G1206">
        <f t="shared" si="25"/>
        <v>10027</v>
      </c>
    </row>
    <row r="1207" spans="6:7">
      <c r="F1207" t="s">
        <v>4667</v>
      </c>
      <c r="G1207">
        <f t="shared" si="25"/>
        <v>10027</v>
      </c>
    </row>
    <row r="1208" spans="6:7">
      <c r="F1208" t="s">
        <v>4667</v>
      </c>
      <c r="G1208">
        <f t="shared" si="25"/>
        <v>10027</v>
      </c>
    </row>
    <row r="1209" spans="6:7">
      <c r="F1209" t="s">
        <v>4552</v>
      </c>
      <c r="G1209">
        <f t="shared" si="25"/>
        <v>121</v>
      </c>
    </row>
    <row r="1210" spans="6:7">
      <c r="F1210" t="s">
        <v>4552</v>
      </c>
      <c r="G1210">
        <f t="shared" si="25"/>
        <v>121</v>
      </c>
    </row>
    <row r="1211" spans="6:7">
      <c r="F1211" t="s">
        <v>4552</v>
      </c>
      <c r="G1211">
        <f t="shared" si="25"/>
        <v>121</v>
      </c>
    </row>
    <row r="1212" spans="6:7">
      <c r="F1212" t="s">
        <v>4552</v>
      </c>
      <c r="G1212">
        <f t="shared" si="25"/>
        <v>121</v>
      </c>
    </row>
    <row r="1213" spans="6:7">
      <c r="F1213" t="s">
        <v>4552</v>
      </c>
      <c r="G1213">
        <f t="shared" si="25"/>
        <v>121</v>
      </c>
    </row>
    <row r="1214" spans="6:7">
      <c r="F1214" t="s">
        <v>4552</v>
      </c>
      <c r="G1214">
        <f t="shared" si="25"/>
        <v>121</v>
      </c>
    </row>
    <row r="1215" spans="6:7">
      <c r="F1215" t="s">
        <v>4552</v>
      </c>
      <c r="G1215">
        <f t="shared" si="25"/>
        <v>121</v>
      </c>
    </row>
    <row r="1216" spans="6:7">
      <c r="F1216" t="s">
        <v>4552</v>
      </c>
      <c r="G1216">
        <f t="shared" si="25"/>
        <v>121</v>
      </c>
    </row>
    <row r="1217" spans="6:7">
      <c r="F1217" t="s">
        <v>4552</v>
      </c>
      <c r="G1217">
        <f t="shared" si="25"/>
        <v>121</v>
      </c>
    </row>
    <row r="1218" spans="6:7">
      <c r="F1218" t="s">
        <v>4552</v>
      </c>
      <c r="G1218">
        <f t="shared" si="25"/>
        <v>121</v>
      </c>
    </row>
    <row r="1219" spans="6:7">
      <c r="F1219" t="s">
        <v>4552</v>
      </c>
      <c r="G1219">
        <f t="shared" si="25"/>
        <v>121</v>
      </c>
    </row>
    <row r="1220" spans="6:7">
      <c r="F1220" t="s">
        <v>4552</v>
      </c>
      <c r="G1220">
        <f t="shared" si="25"/>
        <v>121</v>
      </c>
    </row>
    <row r="1221" spans="6:7">
      <c r="F1221" t="s">
        <v>4552</v>
      </c>
      <c r="G1221">
        <f t="shared" ref="G1221:G1284" si="26">_xlfn.XLOOKUP(F1221,$C$4:$C$220,$A$4:$A$220)</f>
        <v>121</v>
      </c>
    </row>
    <row r="1222" spans="6:7">
      <c r="F1222" t="s">
        <v>4552</v>
      </c>
      <c r="G1222">
        <f t="shared" si="26"/>
        <v>121</v>
      </c>
    </row>
    <row r="1223" spans="6:7">
      <c r="F1223" t="s">
        <v>4552</v>
      </c>
      <c r="G1223">
        <f t="shared" si="26"/>
        <v>121</v>
      </c>
    </row>
    <row r="1224" spans="6:7">
      <c r="F1224" t="s">
        <v>4552</v>
      </c>
      <c r="G1224">
        <f t="shared" si="26"/>
        <v>121</v>
      </c>
    </row>
    <row r="1225" spans="6:7">
      <c r="F1225" t="s">
        <v>4553</v>
      </c>
      <c r="G1225">
        <f t="shared" si="26"/>
        <v>123</v>
      </c>
    </row>
    <row r="1226" spans="6:7">
      <c r="F1226" t="s">
        <v>4553</v>
      </c>
      <c r="G1226">
        <f t="shared" si="26"/>
        <v>123</v>
      </c>
    </row>
    <row r="1227" spans="6:7">
      <c r="F1227" t="s">
        <v>4553</v>
      </c>
      <c r="G1227">
        <f t="shared" si="26"/>
        <v>123</v>
      </c>
    </row>
    <row r="1228" spans="6:7">
      <c r="F1228" t="s">
        <v>4553</v>
      </c>
      <c r="G1228">
        <f t="shared" si="26"/>
        <v>123</v>
      </c>
    </row>
    <row r="1229" spans="6:7">
      <c r="F1229" t="s">
        <v>4553</v>
      </c>
      <c r="G1229">
        <f t="shared" si="26"/>
        <v>123</v>
      </c>
    </row>
    <row r="1230" spans="6:7">
      <c r="F1230" t="s">
        <v>4553</v>
      </c>
      <c r="G1230">
        <f t="shared" si="26"/>
        <v>123</v>
      </c>
    </row>
    <row r="1231" spans="6:7">
      <c r="F1231" t="s">
        <v>4553</v>
      </c>
      <c r="G1231">
        <f t="shared" si="26"/>
        <v>123</v>
      </c>
    </row>
    <row r="1232" spans="6:7">
      <c r="F1232" t="s">
        <v>4553</v>
      </c>
      <c r="G1232">
        <f t="shared" si="26"/>
        <v>123</v>
      </c>
    </row>
    <row r="1233" spans="6:7">
      <c r="F1233" t="s">
        <v>4553</v>
      </c>
      <c r="G1233">
        <f t="shared" si="26"/>
        <v>123</v>
      </c>
    </row>
    <row r="1234" spans="6:7">
      <c r="F1234" t="s">
        <v>4553</v>
      </c>
      <c r="G1234">
        <f t="shared" si="26"/>
        <v>123</v>
      </c>
    </row>
    <row r="1235" spans="6:7">
      <c r="F1235" t="s">
        <v>4553</v>
      </c>
      <c r="G1235">
        <f t="shared" si="26"/>
        <v>123</v>
      </c>
    </row>
    <row r="1236" spans="6:7">
      <c r="F1236" t="s">
        <v>4553</v>
      </c>
      <c r="G1236">
        <f t="shared" si="26"/>
        <v>123</v>
      </c>
    </row>
    <row r="1237" spans="6:7">
      <c r="F1237" t="s">
        <v>4553</v>
      </c>
      <c r="G1237">
        <f t="shared" si="26"/>
        <v>123</v>
      </c>
    </row>
    <row r="1238" spans="6:7">
      <c r="F1238" t="s">
        <v>4553</v>
      </c>
      <c r="G1238">
        <f t="shared" si="26"/>
        <v>123</v>
      </c>
    </row>
    <row r="1239" spans="6:7">
      <c r="F1239" t="s">
        <v>4553</v>
      </c>
      <c r="G1239">
        <f t="shared" si="26"/>
        <v>123</v>
      </c>
    </row>
    <row r="1240" spans="6:7">
      <c r="F1240" t="s">
        <v>4553</v>
      </c>
      <c r="G1240">
        <f t="shared" si="26"/>
        <v>123</v>
      </c>
    </row>
    <row r="1241" spans="6:7">
      <c r="F1241" t="s">
        <v>4554</v>
      </c>
      <c r="G1241">
        <f t="shared" si="26"/>
        <v>122</v>
      </c>
    </row>
    <row r="1242" spans="6:7">
      <c r="F1242" t="s">
        <v>4554</v>
      </c>
      <c r="G1242">
        <f t="shared" si="26"/>
        <v>122</v>
      </c>
    </row>
    <row r="1243" spans="6:7">
      <c r="F1243" t="s">
        <v>4554</v>
      </c>
      <c r="G1243">
        <f t="shared" si="26"/>
        <v>122</v>
      </c>
    </row>
    <row r="1244" spans="6:7">
      <c r="F1244" t="s">
        <v>4554</v>
      </c>
      <c r="G1244">
        <f t="shared" si="26"/>
        <v>122</v>
      </c>
    </row>
    <row r="1245" spans="6:7">
      <c r="F1245" t="s">
        <v>4554</v>
      </c>
      <c r="G1245">
        <f t="shared" si="26"/>
        <v>122</v>
      </c>
    </row>
    <row r="1246" spans="6:7">
      <c r="F1246" t="s">
        <v>4554</v>
      </c>
      <c r="G1246">
        <f t="shared" si="26"/>
        <v>122</v>
      </c>
    </row>
    <row r="1247" spans="6:7">
      <c r="F1247" t="s">
        <v>4554</v>
      </c>
      <c r="G1247">
        <f t="shared" si="26"/>
        <v>122</v>
      </c>
    </row>
    <row r="1248" spans="6:7">
      <c r="F1248" t="s">
        <v>4554</v>
      </c>
      <c r="G1248">
        <f t="shared" si="26"/>
        <v>122</v>
      </c>
    </row>
    <row r="1249" spans="6:7">
      <c r="F1249" t="s">
        <v>4554</v>
      </c>
      <c r="G1249">
        <f t="shared" si="26"/>
        <v>122</v>
      </c>
    </row>
    <row r="1250" spans="6:7">
      <c r="F1250" t="s">
        <v>4554</v>
      </c>
      <c r="G1250">
        <f t="shared" si="26"/>
        <v>122</v>
      </c>
    </row>
    <row r="1251" spans="6:7">
      <c r="F1251" t="s">
        <v>4554</v>
      </c>
      <c r="G1251">
        <f t="shared" si="26"/>
        <v>122</v>
      </c>
    </row>
    <row r="1252" spans="6:7">
      <c r="F1252" t="s">
        <v>4554</v>
      </c>
      <c r="G1252">
        <f t="shared" si="26"/>
        <v>122</v>
      </c>
    </row>
    <row r="1253" spans="6:7">
      <c r="F1253" t="s">
        <v>4554</v>
      </c>
      <c r="G1253">
        <f t="shared" si="26"/>
        <v>122</v>
      </c>
    </row>
    <row r="1254" spans="6:7">
      <c r="F1254" t="s">
        <v>4554</v>
      </c>
      <c r="G1254">
        <f t="shared" si="26"/>
        <v>122</v>
      </c>
    </row>
    <row r="1255" spans="6:7">
      <c r="F1255" t="s">
        <v>4554</v>
      </c>
      <c r="G1255">
        <f t="shared" si="26"/>
        <v>122</v>
      </c>
    </row>
    <row r="1256" spans="6:7">
      <c r="F1256" t="s">
        <v>4554</v>
      </c>
      <c r="G1256">
        <f t="shared" si="26"/>
        <v>122</v>
      </c>
    </row>
    <row r="1257" spans="6:7">
      <c r="F1257" t="s">
        <v>4555</v>
      </c>
      <c r="G1257">
        <f t="shared" si="26"/>
        <v>124</v>
      </c>
    </row>
    <row r="1258" spans="6:7">
      <c r="F1258" t="s">
        <v>4555</v>
      </c>
      <c r="G1258">
        <f t="shared" si="26"/>
        <v>124</v>
      </c>
    </row>
    <row r="1259" spans="6:7">
      <c r="F1259" t="s">
        <v>4555</v>
      </c>
      <c r="G1259">
        <f t="shared" si="26"/>
        <v>124</v>
      </c>
    </row>
    <row r="1260" spans="6:7">
      <c r="F1260" t="s">
        <v>4555</v>
      </c>
      <c r="G1260">
        <f t="shared" si="26"/>
        <v>124</v>
      </c>
    </row>
    <row r="1261" spans="6:7">
      <c r="F1261" t="s">
        <v>4555</v>
      </c>
      <c r="G1261">
        <f t="shared" si="26"/>
        <v>124</v>
      </c>
    </row>
    <row r="1262" spans="6:7">
      <c r="F1262" t="s">
        <v>4555</v>
      </c>
      <c r="G1262">
        <f t="shared" si="26"/>
        <v>124</v>
      </c>
    </row>
    <row r="1263" spans="6:7">
      <c r="F1263" t="s">
        <v>4555</v>
      </c>
      <c r="G1263">
        <f t="shared" si="26"/>
        <v>124</v>
      </c>
    </row>
    <row r="1264" spans="6:7">
      <c r="F1264" t="s">
        <v>4555</v>
      </c>
      <c r="G1264">
        <f t="shared" si="26"/>
        <v>124</v>
      </c>
    </row>
    <row r="1265" spans="6:7">
      <c r="F1265" t="s">
        <v>4555</v>
      </c>
      <c r="G1265">
        <f t="shared" si="26"/>
        <v>124</v>
      </c>
    </row>
    <row r="1266" spans="6:7">
      <c r="F1266" t="s">
        <v>4555</v>
      </c>
      <c r="G1266">
        <f t="shared" si="26"/>
        <v>124</v>
      </c>
    </row>
    <row r="1267" spans="6:7">
      <c r="F1267" t="s">
        <v>4555</v>
      </c>
      <c r="G1267">
        <f t="shared" si="26"/>
        <v>124</v>
      </c>
    </row>
    <row r="1268" spans="6:7">
      <c r="F1268" t="s">
        <v>4555</v>
      </c>
      <c r="G1268">
        <f t="shared" si="26"/>
        <v>124</v>
      </c>
    </row>
    <row r="1269" spans="6:7">
      <c r="F1269" t="s">
        <v>4555</v>
      </c>
      <c r="G1269">
        <f t="shared" si="26"/>
        <v>124</v>
      </c>
    </row>
    <row r="1270" spans="6:7">
      <c r="F1270" t="s">
        <v>4555</v>
      </c>
      <c r="G1270">
        <f t="shared" si="26"/>
        <v>124</v>
      </c>
    </row>
    <row r="1271" spans="6:7">
      <c r="F1271" t="s">
        <v>4555</v>
      </c>
      <c r="G1271">
        <f t="shared" si="26"/>
        <v>124</v>
      </c>
    </row>
    <row r="1272" spans="6:7">
      <c r="F1272" t="s">
        <v>4555</v>
      </c>
      <c r="G1272">
        <f t="shared" si="26"/>
        <v>124</v>
      </c>
    </row>
    <row r="1273" spans="6:7">
      <c r="F1273" t="s">
        <v>4556</v>
      </c>
      <c r="G1273">
        <f t="shared" si="26"/>
        <v>128</v>
      </c>
    </row>
    <row r="1274" spans="6:7">
      <c r="F1274" t="s">
        <v>4556</v>
      </c>
      <c r="G1274">
        <f t="shared" si="26"/>
        <v>128</v>
      </c>
    </row>
    <row r="1275" spans="6:7">
      <c r="F1275" t="s">
        <v>4556</v>
      </c>
      <c r="G1275">
        <f t="shared" si="26"/>
        <v>128</v>
      </c>
    </row>
    <row r="1276" spans="6:7">
      <c r="F1276" t="s">
        <v>4556</v>
      </c>
      <c r="G1276">
        <f t="shared" si="26"/>
        <v>128</v>
      </c>
    </row>
    <row r="1277" spans="6:7">
      <c r="F1277" t="s">
        <v>4556</v>
      </c>
      <c r="G1277">
        <f t="shared" si="26"/>
        <v>128</v>
      </c>
    </row>
    <row r="1278" spans="6:7">
      <c r="F1278" t="s">
        <v>4556</v>
      </c>
      <c r="G1278">
        <f t="shared" si="26"/>
        <v>128</v>
      </c>
    </row>
    <row r="1279" spans="6:7">
      <c r="F1279" t="s">
        <v>4556</v>
      </c>
      <c r="G1279">
        <f t="shared" si="26"/>
        <v>128</v>
      </c>
    </row>
    <row r="1280" spans="6:7">
      <c r="F1280" t="s">
        <v>4556</v>
      </c>
      <c r="G1280">
        <f t="shared" si="26"/>
        <v>128</v>
      </c>
    </row>
    <row r="1281" spans="6:7">
      <c r="F1281" t="s">
        <v>4556</v>
      </c>
      <c r="G1281">
        <f t="shared" si="26"/>
        <v>128</v>
      </c>
    </row>
    <row r="1282" spans="6:7">
      <c r="F1282" t="s">
        <v>4556</v>
      </c>
      <c r="G1282">
        <f t="shared" si="26"/>
        <v>128</v>
      </c>
    </row>
    <row r="1283" spans="6:7">
      <c r="F1283" t="s">
        <v>4556</v>
      </c>
      <c r="G1283">
        <f t="shared" si="26"/>
        <v>128</v>
      </c>
    </row>
    <row r="1284" spans="6:7">
      <c r="F1284" t="s">
        <v>4556</v>
      </c>
      <c r="G1284">
        <f t="shared" si="26"/>
        <v>128</v>
      </c>
    </row>
    <row r="1285" spans="6:7">
      <c r="F1285" t="s">
        <v>4556</v>
      </c>
      <c r="G1285">
        <f t="shared" ref="G1285:G1348" si="27">_xlfn.XLOOKUP(F1285,$C$4:$C$220,$A$4:$A$220)</f>
        <v>128</v>
      </c>
    </row>
    <row r="1286" spans="6:7">
      <c r="F1286" t="s">
        <v>4556</v>
      </c>
      <c r="G1286">
        <f t="shared" si="27"/>
        <v>128</v>
      </c>
    </row>
    <row r="1287" spans="6:7">
      <c r="F1287" t="s">
        <v>4556</v>
      </c>
      <c r="G1287">
        <f t="shared" si="27"/>
        <v>128</v>
      </c>
    </row>
    <row r="1288" spans="6:7">
      <c r="F1288" t="s">
        <v>4556</v>
      </c>
      <c r="G1288">
        <f t="shared" si="27"/>
        <v>128</v>
      </c>
    </row>
    <row r="1289" spans="6:7">
      <c r="F1289" t="s">
        <v>4556</v>
      </c>
      <c r="G1289">
        <f t="shared" si="27"/>
        <v>128</v>
      </c>
    </row>
    <row r="1290" spans="6:7">
      <c r="F1290" t="s">
        <v>4556</v>
      </c>
      <c r="G1290">
        <f t="shared" si="27"/>
        <v>128</v>
      </c>
    </row>
    <row r="1291" spans="6:7">
      <c r="F1291" t="s">
        <v>4556</v>
      </c>
      <c r="G1291">
        <f t="shared" si="27"/>
        <v>128</v>
      </c>
    </row>
    <row r="1292" spans="6:7">
      <c r="F1292" t="s">
        <v>4556</v>
      </c>
      <c r="G1292">
        <f t="shared" si="27"/>
        <v>128</v>
      </c>
    </row>
    <row r="1293" spans="6:7">
      <c r="F1293" t="s">
        <v>4556</v>
      </c>
      <c r="G1293">
        <f t="shared" si="27"/>
        <v>128</v>
      </c>
    </row>
    <row r="1294" spans="6:7">
      <c r="F1294" t="s">
        <v>4557</v>
      </c>
      <c r="G1294">
        <f t="shared" si="27"/>
        <v>127</v>
      </c>
    </row>
    <row r="1295" spans="6:7">
      <c r="F1295" t="s">
        <v>4557</v>
      </c>
      <c r="G1295">
        <f t="shared" si="27"/>
        <v>127</v>
      </c>
    </row>
    <row r="1296" spans="6:7">
      <c r="F1296" t="s">
        <v>4557</v>
      </c>
      <c r="G1296">
        <f t="shared" si="27"/>
        <v>127</v>
      </c>
    </row>
    <row r="1297" spans="6:7">
      <c r="F1297" t="s">
        <v>4557</v>
      </c>
      <c r="G1297">
        <f t="shared" si="27"/>
        <v>127</v>
      </c>
    </row>
    <row r="1298" spans="6:7">
      <c r="F1298" t="s">
        <v>4557</v>
      </c>
      <c r="G1298">
        <f t="shared" si="27"/>
        <v>127</v>
      </c>
    </row>
    <row r="1299" spans="6:7">
      <c r="F1299" t="s">
        <v>4557</v>
      </c>
      <c r="G1299">
        <f t="shared" si="27"/>
        <v>127</v>
      </c>
    </row>
    <row r="1300" spans="6:7">
      <c r="F1300" t="s">
        <v>4557</v>
      </c>
      <c r="G1300">
        <f t="shared" si="27"/>
        <v>127</v>
      </c>
    </row>
    <row r="1301" spans="6:7">
      <c r="F1301" t="s">
        <v>4557</v>
      </c>
      <c r="G1301">
        <f t="shared" si="27"/>
        <v>127</v>
      </c>
    </row>
    <row r="1302" spans="6:7">
      <c r="F1302" t="s">
        <v>4557</v>
      </c>
      <c r="G1302">
        <f t="shared" si="27"/>
        <v>127</v>
      </c>
    </row>
    <row r="1303" spans="6:7">
      <c r="F1303" t="s">
        <v>4557</v>
      </c>
      <c r="G1303">
        <f t="shared" si="27"/>
        <v>127</v>
      </c>
    </row>
    <row r="1304" spans="6:7">
      <c r="F1304" t="s">
        <v>4557</v>
      </c>
      <c r="G1304">
        <f t="shared" si="27"/>
        <v>127</v>
      </c>
    </row>
    <row r="1305" spans="6:7">
      <c r="F1305" t="s">
        <v>4557</v>
      </c>
      <c r="G1305">
        <f t="shared" si="27"/>
        <v>127</v>
      </c>
    </row>
    <row r="1306" spans="6:7">
      <c r="F1306" t="s">
        <v>4557</v>
      </c>
      <c r="G1306">
        <f t="shared" si="27"/>
        <v>127</v>
      </c>
    </row>
    <row r="1307" spans="6:7">
      <c r="F1307" t="s">
        <v>4557</v>
      </c>
      <c r="G1307">
        <f t="shared" si="27"/>
        <v>127</v>
      </c>
    </row>
    <row r="1308" spans="6:7">
      <c r="F1308" t="s">
        <v>4557</v>
      </c>
      <c r="G1308">
        <f t="shared" si="27"/>
        <v>127</v>
      </c>
    </row>
    <row r="1309" spans="6:7">
      <c r="F1309" t="s">
        <v>4557</v>
      </c>
      <c r="G1309">
        <f t="shared" si="27"/>
        <v>127</v>
      </c>
    </row>
    <row r="1310" spans="6:7">
      <c r="F1310" t="s">
        <v>4557</v>
      </c>
      <c r="G1310">
        <f t="shared" si="27"/>
        <v>127</v>
      </c>
    </row>
    <row r="1311" spans="6:7">
      <c r="F1311" t="s">
        <v>4557</v>
      </c>
      <c r="G1311">
        <f t="shared" si="27"/>
        <v>127</v>
      </c>
    </row>
    <row r="1312" spans="6:7">
      <c r="F1312" t="s">
        <v>4557</v>
      </c>
      <c r="G1312">
        <f t="shared" si="27"/>
        <v>127</v>
      </c>
    </row>
    <row r="1313" spans="6:7">
      <c r="F1313" t="s">
        <v>4557</v>
      </c>
      <c r="G1313">
        <f t="shared" si="27"/>
        <v>127</v>
      </c>
    </row>
    <row r="1314" spans="6:7">
      <c r="F1314" t="s">
        <v>4557</v>
      </c>
      <c r="G1314">
        <f t="shared" si="27"/>
        <v>127</v>
      </c>
    </row>
    <row r="1315" spans="6:7">
      <c r="F1315" t="s">
        <v>4623</v>
      </c>
      <c r="G1315">
        <f t="shared" si="27"/>
        <v>126</v>
      </c>
    </row>
    <row r="1316" spans="6:7">
      <c r="F1316" t="s">
        <v>4623</v>
      </c>
      <c r="G1316">
        <f t="shared" si="27"/>
        <v>126</v>
      </c>
    </row>
    <row r="1317" spans="6:7">
      <c r="F1317" t="s">
        <v>4623</v>
      </c>
      <c r="G1317">
        <f t="shared" si="27"/>
        <v>126</v>
      </c>
    </row>
    <row r="1318" spans="6:7">
      <c r="F1318" t="s">
        <v>4623</v>
      </c>
      <c r="G1318">
        <f t="shared" si="27"/>
        <v>126</v>
      </c>
    </row>
    <row r="1319" spans="6:7">
      <c r="F1319" t="s">
        <v>4623</v>
      </c>
      <c r="G1319">
        <f t="shared" si="27"/>
        <v>126</v>
      </c>
    </row>
    <row r="1320" spans="6:7">
      <c r="F1320" t="s">
        <v>4623</v>
      </c>
      <c r="G1320">
        <f t="shared" si="27"/>
        <v>126</v>
      </c>
    </row>
    <row r="1321" spans="6:7">
      <c r="F1321" t="s">
        <v>4623</v>
      </c>
      <c r="G1321">
        <f t="shared" si="27"/>
        <v>126</v>
      </c>
    </row>
    <row r="1322" spans="6:7">
      <c r="F1322" t="s">
        <v>4623</v>
      </c>
      <c r="G1322">
        <f t="shared" si="27"/>
        <v>126</v>
      </c>
    </row>
    <row r="1323" spans="6:7">
      <c r="F1323" t="s">
        <v>4623</v>
      </c>
      <c r="G1323">
        <f t="shared" si="27"/>
        <v>126</v>
      </c>
    </row>
    <row r="1324" spans="6:7">
      <c r="F1324" t="s">
        <v>4623</v>
      </c>
      <c r="G1324">
        <f t="shared" si="27"/>
        <v>126</v>
      </c>
    </row>
    <row r="1325" spans="6:7">
      <c r="F1325" t="s">
        <v>4623</v>
      </c>
      <c r="G1325">
        <f t="shared" si="27"/>
        <v>126</v>
      </c>
    </row>
    <row r="1326" spans="6:7">
      <c r="F1326" t="s">
        <v>4623</v>
      </c>
      <c r="G1326">
        <f t="shared" si="27"/>
        <v>126</v>
      </c>
    </row>
    <row r="1327" spans="6:7">
      <c r="F1327" t="s">
        <v>4623</v>
      </c>
      <c r="G1327">
        <f t="shared" si="27"/>
        <v>126</v>
      </c>
    </row>
    <row r="1328" spans="6:7">
      <c r="F1328" t="s">
        <v>4623</v>
      </c>
      <c r="G1328">
        <f t="shared" si="27"/>
        <v>126</v>
      </c>
    </row>
    <row r="1329" spans="6:7">
      <c r="F1329" t="s">
        <v>4623</v>
      </c>
      <c r="G1329">
        <f t="shared" si="27"/>
        <v>126</v>
      </c>
    </row>
    <row r="1330" spans="6:7">
      <c r="F1330" t="s">
        <v>4623</v>
      </c>
      <c r="G1330">
        <f t="shared" si="27"/>
        <v>126</v>
      </c>
    </row>
    <row r="1331" spans="6:7">
      <c r="F1331" t="s">
        <v>4623</v>
      </c>
      <c r="G1331">
        <f t="shared" si="27"/>
        <v>126</v>
      </c>
    </row>
    <row r="1332" spans="6:7">
      <c r="F1332" t="s">
        <v>4623</v>
      </c>
      <c r="G1332">
        <f t="shared" si="27"/>
        <v>126</v>
      </c>
    </row>
    <row r="1333" spans="6:7">
      <c r="F1333" t="s">
        <v>4623</v>
      </c>
      <c r="G1333">
        <f t="shared" si="27"/>
        <v>126</v>
      </c>
    </row>
    <row r="1334" spans="6:7">
      <c r="F1334" t="s">
        <v>4623</v>
      </c>
      <c r="G1334">
        <f t="shared" si="27"/>
        <v>126</v>
      </c>
    </row>
    <row r="1335" spans="6:7">
      <c r="F1335" t="s">
        <v>4623</v>
      </c>
      <c r="G1335">
        <f t="shared" si="27"/>
        <v>126</v>
      </c>
    </row>
    <row r="1336" spans="6:7">
      <c r="F1336" t="s">
        <v>4624</v>
      </c>
      <c r="G1336">
        <f t="shared" si="27"/>
        <v>10025</v>
      </c>
    </row>
    <row r="1337" spans="6:7">
      <c r="F1337" t="s">
        <v>4624</v>
      </c>
      <c r="G1337">
        <f t="shared" si="27"/>
        <v>10025</v>
      </c>
    </row>
    <row r="1338" spans="6:7">
      <c r="F1338" t="s">
        <v>4624</v>
      </c>
      <c r="G1338">
        <f t="shared" si="27"/>
        <v>10025</v>
      </c>
    </row>
    <row r="1339" spans="6:7">
      <c r="F1339" t="s">
        <v>4624</v>
      </c>
      <c r="G1339">
        <f t="shared" si="27"/>
        <v>10025</v>
      </c>
    </row>
    <row r="1340" spans="6:7">
      <c r="F1340" t="s">
        <v>4624</v>
      </c>
      <c r="G1340">
        <f t="shared" si="27"/>
        <v>10025</v>
      </c>
    </row>
    <row r="1341" spans="6:7">
      <c r="F1341" t="s">
        <v>4624</v>
      </c>
      <c r="G1341">
        <f t="shared" si="27"/>
        <v>10025</v>
      </c>
    </row>
    <row r="1342" spans="6:7">
      <c r="F1342" t="s">
        <v>4624</v>
      </c>
      <c r="G1342">
        <f t="shared" si="27"/>
        <v>10025</v>
      </c>
    </row>
    <row r="1343" spans="6:7">
      <c r="F1343" t="s">
        <v>4624</v>
      </c>
      <c r="G1343">
        <f t="shared" si="27"/>
        <v>10025</v>
      </c>
    </row>
    <row r="1344" spans="6:7">
      <c r="F1344" t="s">
        <v>4624</v>
      </c>
      <c r="G1344">
        <f t="shared" si="27"/>
        <v>10025</v>
      </c>
    </row>
    <row r="1345" spans="6:7">
      <c r="F1345" t="s">
        <v>4624</v>
      </c>
      <c r="G1345">
        <f t="shared" si="27"/>
        <v>10025</v>
      </c>
    </row>
    <row r="1346" spans="6:7">
      <c r="F1346" t="s">
        <v>4624</v>
      </c>
      <c r="G1346">
        <f t="shared" si="27"/>
        <v>10025</v>
      </c>
    </row>
    <row r="1347" spans="6:7">
      <c r="F1347" t="s">
        <v>4624</v>
      </c>
      <c r="G1347">
        <f t="shared" si="27"/>
        <v>10025</v>
      </c>
    </row>
    <row r="1348" spans="6:7">
      <c r="F1348" t="s">
        <v>4624</v>
      </c>
      <c r="G1348">
        <f t="shared" si="27"/>
        <v>10025</v>
      </c>
    </row>
    <row r="1349" spans="6:7">
      <c r="F1349" t="s">
        <v>4624</v>
      </c>
      <c r="G1349">
        <f t="shared" ref="G1349:G1412" si="28">_xlfn.XLOOKUP(F1349,$C$4:$C$220,$A$4:$A$220)</f>
        <v>10025</v>
      </c>
    </row>
    <row r="1350" spans="6:7">
      <c r="F1350" t="s">
        <v>4624</v>
      </c>
      <c r="G1350">
        <f t="shared" si="28"/>
        <v>10025</v>
      </c>
    </row>
    <row r="1351" spans="6:7">
      <c r="F1351" t="s">
        <v>4624</v>
      </c>
      <c r="G1351">
        <f t="shared" si="28"/>
        <v>10025</v>
      </c>
    </row>
    <row r="1352" spans="6:7">
      <c r="F1352" t="s">
        <v>4624</v>
      </c>
      <c r="G1352">
        <f t="shared" si="28"/>
        <v>10025</v>
      </c>
    </row>
    <row r="1353" spans="6:7">
      <c r="F1353" t="s">
        <v>4624</v>
      </c>
      <c r="G1353">
        <f t="shared" si="28"/>
        <v>10025</v>
      </c>
    </row>
    <row r="1354" spans="6:7">
      <c r="F1354" t="s">
        <v>4624</v>
      </c>
      <c r="G1354">
        <f t="shared" si="28"/>
        <v>10025</v>
      </c>
    </row>
    <row r="1355" spans="6:7">
      <c r="F1355" t="s">
        <v>4624</v>
      </c>
      <c r="G1355">
        <f t="shared" si="28"/>
        <v>10025</v>
      </c>
    </row>
    <row r="1356" spans="6:7">
      <c r="F1356" t="s">
        <v>4624</v>
      </c>
      <c r="G1356">
        <f t="shared" si="28"/>
        <v>10025</v>
      </c>
    </row>
    <row r="1357" spans="6:7">
      <c r="F1357" t="s">
        <v>4646</v>
      </c>
      <c r="G1357">
        <f t="shared" si="28"/>
        <v>10026</v>
      </c>
    </row>
    <row r="1358" spans="6:7">
      <c r="F1358" t="s">
        <v>4646</v>
      </c>
      <c r="G1358">
        <f t="shared" si="28"/>
        <v>10026</v>
      </c>
    </row>
    <row r="1359" spans="6:7">
      <c r="F1359" t="s">
        <v>4646</v>
      </c>
      <c r="G1359">
        <f t="shared" si="28"/>
        <v>10026</v>
      </c>
    </row>
    <row r="1360" spans="6:7">
      <c r="F1360" t="s">
        <v>4646</v>
      </c>
      <c r="G1360">
        <f t="shared" si="28"/>
        <v>10026</v>
      </c>
    </row>
    <row r="1361" spans="6:7">
      <c r="F1361" t="s">
        <v>4646</v>
      </c>
      <c r="G1361">
        <f t="shared" si="28"/>
        <v>10026</v>
      </c>
    </row>
    <row r="1362" spans="6:7">
      <c r="F1362" t="s">
        <v>4646</v>
      </c>
      <c r="G1362">
        <f t="shared" si="28"/>
        <v>10026</v>
      </c>
    </row>
    <row r="1363" spans="6:7">
      <c r="F1363" t="s">
        <v>4646</v>
      </c>
      <c r="G1363">
        <f t="shared" si="28"/>
        <v>10026</v>
      </c>
    </row>
    <row r="1364" spans="6:7">
      <c r="F1364" t="s">
        <v>4646</v>
      </c>
      <c r="G1364">
        <f t="shared" si="28"/>
        <v>10026</v>
      </c>
    </row>
    <row r="1365" spans="6:7">
      <c r="F1365" t="s">
        <v>4646</v>
      </c>
      <c r="G1365">
        <f t="shared" si="28"/>
        <v>10026</v>
      </c>
    </row>
    <row r="1366" spans="6:7">
      <c r="F1366" t="s">
        <v>4646</v>
      </c>
      <c r="G1366">
        <f t="shared" si="28"/>
        <v>10026</v>
      </c>
    </row>
    <row r="1367" spans="6:7">
      <c r="F1367" t="s">
        <v>4646</v>
      </c>
      <c r="G1367">
        <f t="shared" si="28"/>
        <v>10026</v>
      </c>
    </row>
    <row r="1368" spans="6:7">
      <c r="F1368" t="s">
        <v>4646</v>
      </c>
      <c r="G1368">
        <f t="shared" si="28"/>
        <v>10026</v>
      </c>
    </row>
    <row r="1369" spans="6:7">
      <c r="F1369" t="s">
        <v>4646</v>
      </c>
      <c r="G1369">
        <f t="shared" si="28"/>
        <v>10026</v>
      </c>
    </row>
    <row r="1370" spans="6:7">
      <c r="F1370" t="s">
        <v>4646</v>
      </c>
      <c r="G1370">
        <f t="shared" si="28"/>
        <v>10026</v>
      </c>
    </row>
    <row r="1371" spans="6:7">
      <c r="F1371" t="s">
        <v>4646</v>
      </c>
      <c r="G1371">
        <f t="shared" si="28"/>
        <v>10026</v>
      </c>
    </row>
    <row r="1372" spans="6:7">
      <c r="F1372" t="s">
        <v>4646</v>
      </c>
      <c r="G1372">
        <f t="shared" si="28"/>
        <v>10026</v>
      </c>
    </row>
    <row r="1373" spans="6:7">
      <c r="F1373" t="s">
        <v>4646</v>
      </c>
      <c r="G1373">
        <f t="shared" si="28"/>
        <v>10026</v>
      </c>
    </row>
    <row r="1374" spans="6:7">
      <c r="F1374" t="s">
        <v>4646</v>
      </c>
      <c r="G1374">
        <f t="shared" si="28"/>
        <v>10026</v>
      </c>
    </row>
    <row r="1375" spans="6:7">
      <c r="F1375" t="s">
        <v>4646</v>
      </c>
      <c r="G1375">
        <f t="shared" si="28"/>
        <v>10026</v>
      </c>
    </row>
    <row r="1376" spans="6:7">
      <c r="F1376" t="s">
        <v>4646</v>
      </c>
      <c r="G1376">
        <f t="shared" si="28"/>
        <v>10026</v>
      </c>
    </row>
    <row r="1377" spans="6:7">
      <c r="F1377" t="s">
        <v>4646</v>
      </c>
      <c r="G1377">
        <f t="shared" si="28"/>
        <v>10026</v>
      </c>
    </row>
    <row r="1378" spans="6:7">
      <c r="F1378" t="s">
        <v>4667</v>
      </c>
      <c r="G1378">
        <f t="shared" si="28"/>
        <v>10027</v>
      </c>
    </row>
    <row r="1379" spans="6:7">
      <c r="F1379" t="s">
        <v>4667</v>
      </c>
      <c r="G1379">
        <f t="shared" si="28"/>
        <v>10027</v>
      </c>
    </row>
    <row r="1380" spans="6:7">
      <c r="F1380" t="s">
        <v>4667</v>
      </c>
      <c r="G1380">
        <f t="shared" si="28"/>
        <v>10027</v>
      </c>
    </row>
    <row r="1381" spans="6:7">
      <c r="F1381" t="s">
        <v>4667</v>
      </c>
      <c r="G1381">
        <f t="shared" si="28"/>
        <v>10027</v>
      </c>
    </row>
    <row r="1382" spans="6:7">
      <c r="F1382" t="s">
        <v>4667</v>
      </c>
      <c r="G1382">
        <f t="shared" si="28"/>
        <v>10027</v>
      </c>
    </row>
    <row r="1383" spans="6:7">
      <c r="F1383" t="s">
        <v>4667</v>
      </c>
      <c r="G1383">
        <f t="shared" si="28"/>
        <v>10027</v>
      </c>
    </row>
    <row r="1384" spans="6:7">
      <c r="F1384" t="s">
        <v>4667</v>
      </c>
      <c r="G1384">
        <f t="shared" si="28"/>
        <v>10027</v>
      </c>
    </row>
    <row r="1385" spans="6:7">
      <c r="F1385" t="s">
        <v>4667</v>
      </c>
      <c r="G1385">
        <f t="shared" si="28"/>
        <v>10027</v>
      </c>
    </row>
    <row r="1386" spans="6:7">
      <c r="F1386" t="s">
        <v>4667</v>
      </c>
      <c r="G1386">
        <f t="shared" si="28"/>
        <v>10027</v>
      </c>
    </row>
    <row r="1387" spans="6:7">
      <c r="F1387" t="s">
        <v>4667</v>
      </c>
      <c r="G1387">
        <f t="shared" si="28"/>
        <v>10027</v>
      </c>
    </row>
    <row r="1388" spans="6:7">
      <c r="F1388" t="s">
        <v>4667</v>
      </c>
      <c r="G1388">
        <f t="shared" si="28"/>
        <v>10027</v>
      </c>
    </row>
    <row r="1389" spans="6:7">
      <c r="F1389" t="s">
        <v>4667</v>
      </c>
      <c r="G1389">
        <f t="shared" si="28"/>
        <v>10027</v>
      </c>
    </row>
    <row r="1390" spans="6:7">
      <c r="F1390" t="s">
        <v>4667</v>
      </c>
      <c r="G1390">
        <f t="shared" si="28"/>
        <v>10027</v>
      </c>
    </row>
    <row r="1391" spans="6:7">
      <c r="F1391" t="s">
        <v>4667</v>
      </c>
      <c r="G1391">
        <f t="shared" si="28"/>
        <v>10027</v>
      </c>
    </row>
    <row r="1392" spans="6:7">
      <c r="F1392" t="s">
        <v>4667</v>
      </c>
      <c r="G1392">
        <f t="shared" si="28"/>
        <v>10027</v>
      </c>
    </row>
    <row r="1393" spans="6:7">
      <c r="F1393" t="s">
        <v>4667</v>
      </c>
      <c r="G1393">
        <f t="shared" si="28"/>
        <v>10027</v>
      </c>
    </row>
    <row r="1394" spans="6:7">
      <c r="F1394" t="s">
        <v>4667</v>
      </c>
      <c r="G1394">
        <f t="shared" si="28"/>
        <v>10027</v>
      </c>
    </row>
    <row r="1395" spans="6:7">
      <c r="F1395" t="s">
        <v>4667</v>
      </c>
      <c r="G1395">
        <f t="shared" si="28"/>
        <v>10027</v>
      </c>
    </row>
    <row r="1396" spans="6:7">
      <c r="F1396" t="s">
        <v>4667</v>
      </c>
      <c r="G1396">
        <f t="shared" si="28"/>
        <v>10027</v>
      </c>
    </row>
    <row r="1397" spans="6:7">
      <c r="F1397" t="s">
        <v>4667</v>
      </c>
      <c r="G1397">
        <f t="shared" si="28"/>
        <v>10027</v>
      </c>
    </row>
    <row r="1398" spans="6:7">
      <c r="F1398" t="s">
        <v>4667</v>
      </c>
      <c r="G1398">
        <f t="shared" si="28"/>
        <v>10027</v>
      </c>
    </row>
    <row r="1399" spans="6:7">
      <c r="F1399" t="s">
        <v>4688</v>
      </c>
      <c r="G1399">
        <f t="shared" si="28"/>
        <v>131</v>
      </c>
    </row>
    <row r="1400" spans="6:7">
      <c r="F1400" t="s">
        <v>4688</v>
      </c>
      <c r="G1400">
        <f t="shared" si="28"/>
        <v>131</v>
      </c>
    </row>
    <row r="1401" spans="6:7">
      <c r="F1401" t="s">
        <v>4688</v>
      </c>
      <c r="G1401">
        <f t="shared" si="28"/>
        <v>131</v>
      </c>
    </row>
    <row r="1402" spans="6:7">
      <c r="F1402" t="s">
        <v>4688</v>
      </c>
      <c r="G1402">
        <f t="shared" si="28"/>
        <v>131</v>
      </c>
    </row>
    <row r="1403" spans="6:7">
      <c r="F1403" t="s">
        <v>4688</v>
      </c>
      <c r="G1403">
        <f t="shared" si="28"/>
        <v>131</v>
      </c>
    </row>
    <row r="1404" spans="6:7">
      <c r="F1404" t="s">
        <v>4688</v>
      </c>
      <c r="G1404">
        <f t="shared" si="28"/>
        <v>131</v>
      </c>
    </row>
    <row r="1405" spans="6:7">
      <c r="F1405" t="s">
        <v>4689</v>
      </c>
      <c r="G1405">
        <f t="shared" si="28"/>
        <v>133</v>
      </c>
    </row>
    <row r="1406" spans="6:7">
      <c r="F1406" t="s">
        <v>4689</v>
      </c>
      <c r="G1406">
        <f t="shared" si="28"/>
        <v>133</v>
      </c>
    </row>
    <row r="1407" spans="6:7">
      <c r="F1407" t="s">
        <v>4689</v>
      </c>
      <c r="G1407">
        <f t="shared" si="28"/>
        <v>133</v>
      </c>
    </row>
    <row r="1408" spans="6:7">
      <c r="F1408" t="s">
        <v>4689</v>
      </c>
      <c r="G1408">
        <f t="shared" si="28"/>
        <v>133</v>
      </c>
    </row>
    <row r="1409" spans="6:7">
      <c r="F1409" t="s">
        <v>4689</v>
      </c>
      <c r="G1409">
        <f t="shared" si="28"/>
        <v>133</v>
      </c>
    </row>
    <row r="1410" spans="6:7">
      <c r="F1410" t="s">
        <v>4689</v>
      </c>
      <c r="G1410">
        <f t="shared" si="28"/>
        <v>133</v>
      </c>
    </row>
    <row r="1411" spans="6:7">
      <c r="F1411" t="s">
        <v>4690</v>
      </c>
      <c r="G1411">
        <f t="shared" si="28"/>
        <v>132</v>
      </c>
    </row>
    <row r="1412" spans="6:7">
      <c r="F1412" t="s">
        <v>4690</v>
      </c>
      <c r="G1412">
        <f t="shared" si="28"/>
        <v>132</v>
      </c>
    </row>
    <row r="1413" spans="6:7">
      <c r="F1413" t="s">
        <v>4690</v>
      </c>
      <c r="G1413">
        <f t="shared" ref="G1413:G1476" si="29">_xlfn.XLOOKUP(F1413,$C$4:$C$220,$A$4:$A$220)</f>
        <v>132</v>
      </c>
    </row>
    <row r="1414" spans="6:7">
      <c r="F1414" t="s">
        <v>4690</v>
      </c>
      <c r="G1414">
        <f t="shared" si="29"/>
        <v>132</v>
      </c>
    </row>
    <row r="1415" spans="6:7">
      <c r="F1415" t="s">
        <v>4690</v>
      </c>
      <c r="G1415">
        <f t="shared" si="29"/>
        <v>132</v>
      </c>
    </row>
    <row r="1416" spans="6:7">
      <c r="F1416" t="s">
        <v>4690</v>
      </c>
      <c r="G1416">
        <f t="shared" si="29"/>
        <v>132</v>
      </c>
    </row>
    <row r="1417" spans="6:7">
      <c r="F1417" t="s">
        <v>4691</v>
      </c>
      <c r="G1417">
        <f t="shared" si="29"/>
        <v>134</v>
      </c>
    </row>
    <row r="1418" spans="6:7">
      <c r="F1418" t="s">
        <v>4691</v>
      </c>
      <c r="G1418">
        <f t="shared" si="29"/>
        <v>134</v>
      </c>
    </row>
    <row r="1419" spans="6:7">
      <c r="F1419" t="s">
        <v>4691</v>
      </c>
      <c r="G1419">
        <f t="shared" si="29"/>
        <v>134</v>
      </c>
    </row>
    <row r="1420" spans="6:7">
      <c r="F1420" t="s">
        <v>4691</v>
      </c>
      <c r="G1420">
        <f t="shared" si="29"/>
        <v>134</v>
      </c>
    </row>
    <row r="1421" spans="6:7">
      <c r="F1421" t="s">
        <v>4691</v>
      </c>
      <c r="G1421">
        <f t="shared" si="29"/>
        <v>134</v>
      </c>
    </row>
    <row r="1422" spans="6:7">
      <c r="F1422" t="s">
        <v>4691</v>
      </c>
      <c r="G1422">
        <f t="shared" si="29"/>
        <v>134</v>
      </c>
    </row>
    <row r="1423" spans="6:7">
      <c r="F1423" t="s">
        <v>4692</v>
      </c>
      <c r="G1423">
        <f t="shared" si="29"/>
        <v>138</v>
      </c>
    </row>
    <row r="1424" spans="6:7">
      <c r="F1424" t="s">
        <v>4692</v>
      </c>
      <c r="G1424">
        <f t="shared" si="29"/>
        <v>138</v>
      </c>
    </row>
    <row r="1425" spans="6:7">
      <c r="F1425" t="s">
        <v>4692</v>
      </c>
      <c r="G1425">
        <f t="shared" si="29"/>
        <v>138</v>
      </c>
    </row>
    <row r="1426" spans="6:7">
      <c r="F1426" t="s">
        <v>4692</v>
      </c>
      <c r="G1426">
        <f t="shared" si="29"/>
        <v>138</v>
      </c>
    </row>
    <row r="1427" spans="6:7">
      <c r="F1427" t="s">
        <v>4692</v>
      </c>
      <c r="G1427">
        <f t="shared" si="29"/>
        <v>138</v>
      </c>
    </row>
    <row r="1428" spans="6:7">
      <c r="F1428" t="s">
        <v>4692</v>
      </c>
      <c r="G1428">
        <f t="shared" si="29"/>
        <v>138</v>
      </c>
    </row>
    <row r="1429" spans="6:7">
      <c r="F1429" t="s">
        <v>4692</v>
      </c>
      <c r="G1429">
        <f t="shared" si="29"/>
        <v>138</v>
      </c>
    </row>
    <row r="1430" spans="6:7">
      <c r="F1430" t="s">
        <v>4692</v>
      </c>
      <c r="G1430">
        <f t="shared" si="29"/>
        <v>138</v>
      </c>
    </row>
    <row r="1431" spans="6:7">
      <c r="F1431" t="s">
        <v>4692</v>
      </c>
      <c r="G1431">
        <f t="shared" si="29"/>
        <v>138</v>
      </c>
    </row>
    <row r="1432" spans="6:7">
      <c r="F1432" t="s">
        <v>4692</v>
      </c>
      <c r="G1432">
        <f t="shared" si="29"/>
        <v>138</v>
      </c>
    </row>
    <row r="1433" spans="6:7">
      <c r="F1433" t="s">
        <v>4692</v>
      </c>
      <c r="G1433">
        <f t="shared" si="29"/>
        <v>138</v>
      </c>
    </row>
    <row r="1434" spans="6:7">
      <c r="F1434" t="s">
        <v>4693</v>
      </c>
      <c r="G1434">
        <f t="shared" si="29"/>
        <v>137</v>
      </c>
    </row>
    <row r="1435" spans="6:7">
      <c r="F1435" t="s">
        <v>4693</v>
      </c>
      <c r="G1435">
        <f t="shared" si="29"/>
        <v>137</v>
      </c>
    </row>
    <row r="1436" spans="6:7">
      <c r="F1436" t="s">
        <v>4693</v>
      </c>
      <c r="G1436">
        <f t="shared" si="29"/>
        <v>137</v>
      </c>
    </row>
    <row r="1437" spans="6:7">
      <c r="F1437" t="s">
        <v>4693</v>
      </c>
      <c r="G1437">
        <f t="shared" si="29"/>
        <v>137</v>
      </c>
    </row>
    <row r="1438" spans="6:7">
      <c r="F1438" t="s">
        <v>4693</v>
      </c>
      <c r="G1438">
        <f t="shared" si="29"/>
        <v>137</v>
      </c>
    </row>
    <row r="1439" spans="6:7">
      <c r="F1439" t="s">
        <v>4693</v>
      </c>
      <c r="G1439">
        <f t="shared" si="29"/>
        <v>137</v>
      </c>
    </row>
    <row r="1440" spans="6:7">
      <c r="F1440" t="s">
        <v>4693</v>
      </c>
      <c r="G1440">
        <f t="shared" si="29"/>
        <v>137</v>
      </c>
    </row>
    <row r="1441" spans="6:7">
      <c r="F1441" t="s">
        <v>4693</v>
      </c>
      <c r="G1441">
        <f t="shared" si="29"/>
        <v>137</v>
      </c>
    </row>
    <row r="1442" spans="6:7">
      <c r="F1442" t="s">
        <v>4693</v>
      </c>
      <c r="G1442">
        <f t="shared" si="29"/>
        <v>137</v>
      </c>
    </row>
    <row r="1443" spans="6:7">
      <c r="F1443" t="s">
        <v>4693</v>
      </c>
      <c r="G1443">
        <f t="shared" si="29"/>
        <v>137</v>
      </c>
    </row>
    <row r="1444" spans="6:7">
      <c r="F1444" t="s">
        <v>4693</v>
      </c>
      <c r="G1444">
        <f t="shared" si="29"/>
        <v>137</v>
      </c>
    </row>
    <row r="1445" spans="6:7">
      <c r="F1445" t="s">
        <v>4694</v>
      </c>
      <c r="G1445">
        <f t="shared" si="29"/>
        <v>139</v>
      </c>
    </row>
    <row r="1446" spans="6:7">
      <c r="F1446" t="s">
        <v>4694</v>
      </c>
      <c r="G1446">
        <f t="shared" si="29"/>
        <v>139</v>
      </c>
    </row>
    <row r="1447" spans="6:7">
      <c r="F1447" t="s">
        <v>4694</v>
      </c>
      <c r="G1447">
        <f t="shared" si="29"/>
        <v>139</v>
      </c>
    </row>
    <row r="1448" spans="6:7">
      <c r="F1448" t="s">
        <v>4694</v>
      </c>
      <c r="G1448">
        <f t="shared" si="29"/>
        <v>139</v>
      </c>
    </row>
    <row r="1449" spans="6:7">
      <c r="F1449" t="s">
        <v>4694</v>
      </c>
      <c r="G1449">
        <f t="shared" si="29"/>
        <v>139</v>
      </c>
    </row>
    <row r="1450" spans="6:7">
      <c r="F1450" t="s">
        <v>4694</v>
      </c>
      <c r="G1450">
        <f t="shared" si="29"/>
        <v>139</v>
      </c>
    </row>
    <row r="1451" spans="6:7">
      <c r="F1451" t="s">
        <v>4694</v>
      </c>
      <c r="G1451">
        <f t="shared" si="29"/>
        <v>139</v>
      </c>
    </row>
    <row r="1452" spans="6:7">
      <c r="F1452" t="s">
        <v>4694</v>
      </c>
      <c r="G1452">
        <f t="shared" si="29"/>
        <v>139</v>
      </c>
    </row>
    <row r="1453" spans="6:7">
      <c r="F1453" t="s">
        <v>4694</v>
      </c>
      <c r="G1453">
        <f t="shared" si="29"/>
        <v>139</v>
      </c>
    </row>
    <row r="1454" spans="6:7">
      <c r="F1454" t="s">
        <v>4694</v>
      </c>
      <c r="G1454">
        <f t="shared" si="29"/>
        <v>139</v>
      </c>
    </row>
    <row r="1455" spans="6:7">
      <c r="F1455" t="s">
        <v>4694</v>
      </c>
      <c r="G1455">
        <f t="shared" si="29"/>
        <v>139</v>
      </c>
    </row>
    <row r="1456" spans="6:7">
      <c r="F1456" t="s">
        <v>4695</v>
      </c>
      <c r="G1456">
        <f t="shared" si="29"/>
        <v>10031</v>
      </c>
    </row>
    <row r="1457" spans="6:7">
      <c r="F1457" t="s">
        <v>4695</v>
      </c>
      <c r="G1457">
        <f t="shared" si="29"/>
        <v>10031</v>
      </c>
    </row>
    <row r="1458" spans="6:7">
      <c r="F1458" t="s">
        <v>4695</v>
      </c>
      <c r="G1458">
        <f t="shared" si="29"/>
        <v>10031</v>
      </c>
    </row>
    <row r="1459" spans="6:7">
      <c r="F1459" t="s">
        <v>4695</v>
      </c>
      <c r="G1459">
        <f t="shared" si="29"/>
        <v>10031</v>
      </c>
    </row>
    <row r="1460" spans="6:7">
      <c r="F1460" t="s">
        <v>4695</v>
      </c>
      <c r="G1460">
        <f t="shared" si="29"/>
        <v>10031</v>
      </c>
    </row>
    <row r="1461" spans="6:7">
      <c r="F1461" t="s">
        <v>4695</v>
      </c>
      <c r="G1461">
        <f t="shared" si="29"/>
        <v>10031</v>
      </c>
    </row>
    <row r="1462" spans="6:7">
      <c r="F1462" t="s">
        <v>4695</v>
      </c>
      <c r="G1462">
        <f t="shared" si="29"/>
        <v>10031</v>
      </c>
    </row>
    <row r="1463" spans="6:7">
      <c r="F1463" t="s">
        <v>4695</v>
      </c>
      <c r="G1463">
        <f t="shared" si="29"/>
        <v>10031</v>
      </c>
    </row>
    <row r="1464" spans="6:7">
      <c r="F1464" t="s">
        <v>4695</v>
      </c>
      <c r="G1464">
        <f t="shared" si="29"/>
        <v>10031</v>
      </c>
    </row>
    <row r="1465" spans="6:7">
      <c r="F1465" t="s">
        <v>4695</v>
      </c>
      <c r="G1465">
        <f t="shared" si="29"/>
        <v>10031</v>
      </c>
    </row>
    <row r="1466" spans="6:7">
      <c r="F1466" t="s">
        <v>4695</v>
      </c>
      <c r="G1466">
        <f t="shared" si="29"/>
        <v>10031</v>
      </c>
    </row>
    <row r="1467" spans="6:7">
      <c r="F1467" t="s">
        <v>4695</v>
      </c>
      <c r="G1467">
        <f t="shared" si="29"/>
        <v>10031</v>
      </c>
    </row>
    <row r="1468" spans="6:7">
      <c r="F1468" t="s">
        <v>4695</v>
      </c>
      <c r="G1468">
        <f t="shared" si="29"/>
        <v>10031</v>
      </c>
    </row>
    <row r="1469" spans="6:7">
      <c r="F1469" t="s">
        <v>4695</v>
      </c>
      <c r="G1469">
        <f t="shared" si="29"/>
        <v>10031</v>
      </c>
    </row>
    <row r="1470" spans="6:7">
      <c r="F1470" t="s">
        <v>4695</v>
      </c>
      <c r="G1470">
        <f t="shared" si="29"/>
        <v>10031</v>
      </c>
    </row>
    <row r="1471" spans="6:7">
      <c r="F1471" t="s">
        <v>4695</v>
      </c>
      <c r="G1471">
        <f t="shared" si="29"/>
        <v>10031</v>
      </c>
    </row>
    <row r="1472" spans="6:7">
      <c r="F1472" t="s">
        <v>4695</v>
      </c>
      <c r="G1472">
        <f t="shared" si="29"/>
        <v>10031</v>
      </c>
    </row>
    <row r="1473" spans="6:7">
      <c r="F1473" t="s">
        <v>4695</v>
      </c>
      <c r="G1473">
        <f t="shared" si="29"/>
        <v>10031</v>
      </c>
    </row>
    <row r="1474" spans="6:7">
      <c r="F1474" t="s">
        <v>4695</v>
      </c>
      <c r="G1474">
        <f t="shared" si="29"/>
        <v>10031</v>
      </c>
    </row>
    <row r="1475" spans="6:7">
      <c r="F1475" t="s">
        <v>4695</v>
      </c>
      <c r="G1475">
        <f t="shared" si="29"/>
        <v>10031</v>
      </c>
    </row>
    <row r="1476" spans="6:7">
      <c r="F1476" t="s">
        <v>4695</v>
      </c>
      <c r="G1476">
        <f t="shared" si="29"/>
        <v>10031</v>
      </c>
    </row>
    <row r="1477" spans="6:7">
      <c r="F1477" t="s">
        <v>4717</v>
      </c>
      <c r="G1477">
        <f t="shared" ref="G1477:G1540" si="30">_xlfn.XLOOKUP(F1477,$C$4:$C$220,$A$4:$A$220)</f>
        <v>10032</v>
      </c>
    </row>
    <row r="1478" spans="6:7">
      <c r="F1478" t="s">
        <v>4717</v>
      </c>
      <c r="G1478">
        <f t="shared" si="30"/>
        <v>10032</v>
      </c>
    </row>
    <row r="1479" spans="6:7">
      <c r="F1479" t="s">
        <v>4717</v>
      </c>
      <c r="G1479">
        <f t="shared" si="30"/>
        <v>10032</v>
      </c>
    </row>
    <row r="1480" spans="6:7">
      <c r="F1480" t="s">
        <v>4717</v>
      </c>
      <c r="G1480">
        <f t="shared" si="30"/>
        <v>10032</v>
      </c>
    </row>
    <row r="1481" spans="6:7">
      <c r="F1481" t="s">
        <v>4717</v>
      </c>
      <c r="G1481">
        <f t="shared" si="30"/>
        <v>10032</v>
      </c>
    </row>
    <row r="1482" spans="6:7">
      <c r="F1482" t="s">
        <v>4717</v>
      </c>
      <c r="G1482">
        <f t="shared" si="30"/>
        <v>10032</v>
      </c>
    </row>
    <row r="1483" spans="6:7">
      <c r="F1483" t="s">
        <v>4717</v>
      </c>
      <c r="G1483">
        <f t="shared" si="30"/>
        <v>10032</v>
      </c>
    </row>
    <row r="1484" spans="6:7">
      <c r="F1484" t="s">
        <v>4717</v>
      </c>
      <c r="G1484">
        <f t="shared" si="30"/>
        <v>10032</v>
      </c>
    </row>
    <row r="1485" spans="6:7">
      <c r="F1485" t="s">
        <v>4717</v>
      </c>
      <c r="G1485">
        <f t="shared" si="30"/>
        <v>10032</v>
      </c>
    </row>
    <row r="1486" spans="6:7">
      <c r="F1486" t="s">
        <v>4717</v>
      </c>
      <c r="G1486">
        <f t="shared" si="30"/>
        <v>10032</v>
      </c>
    </row>
    <row r="1487" spans="6:7">
      <c r="F1487" t="s">
        <v>4717</v>
      </c>
      <c r="G1487">
        <f t="shared" si="30"/>
        <v>10032</v>
      </c>
    </row>
    <row r="1488" spans="6:7">
      <c r="F1488" t="s">
        <v>4717</v>
      </c>
      <c r="G1488">
        <f t="shared" si="30"/>
        <v>10032</v>
      </c>
    </row>
    <row r="1489" spans="6:7">
      <c r="F1489" t="s">
        <v>4717</v>
      </c>
      <c r="G1489">
        <f t="shared" si="30"/>
        <v>10032</v>
      </c>
    </row>
    <row r="1490" spans="6:7">
      <c r="F1490" t="s">
        <v>4717</v>
      </c>
      <c r="G1490">
        <f t="shared" si="30"/>
        <v>10032</v>
      </c>
    </row>
    <row r="1491" spans="6:7">
      <c r="F1491" t="s">
        <v>4717</v>
      </c>
      <c r="G1491">
        <f t="shared" si="30"/>
        <v>10032</v>
      </c>
    </row>
    <row r="1492" spans="6:7">
      <c r="F1492" t="s">
        <v>4717</v>
      </c>
      <c r="G1492">
        <f t="shared" si="30"/>
        <v>10032</v>
      </c>
    </row>
    <row r="1493" spans="6:7">
      <c r="F1493" t="s">
        <v>4717</v>
      </c>
      <c r="G1493">
        <f t="shared" si="30"/>
        <v>10032</v>
      </c>
    </row>
    <row r="1494" spans="6:7">
      <c r="F1494" t="s">
        <v>4717</v>
      </c>
      <c r="G1494">
        <f t="shared" si="30"/>
        <v>10032</v>
      </c>
    </row>
    <row r="1495" spans="6:7">
      <c r="F1495" t="s">
        <v>4717</v>
      </c>
      <c r="G1495">
        <f t="shared" si="30"/>
        <v>10032</v>
      </c>
    </row>
    <row r="1496" spans="6:7">
      <c r="F1496" t="s">
        <v>4717</v>
      </c>
      <c r="G1496">
        <f t="shared" si="30"/>
        <v>10032</v>
      </c>
    </row>
    <row r="1497" spans="6:7">
      <c r="F1497" t="s">
        <v>4717</v>
      </c>
      <c r="G1497">
        <f t="shared" si="30"/>
        <v>10032</v>
      </c>
    </row>
    <row r="1498" spans="6:7">
      <c r="F1498" t="s">
        <v>4738</v>
      </c>
      <c r="G1498">
        <f t="shared" si="30"/>
        <v>10033</v>
      </c>
    </row>
    <row r="1499" spans="6:7">
      <c r="F1499" t="s">
        <v>4738</v>
      </c>
      <c r="G1499">
        <f t="shared" si="30"/>
        <v>10033</v>
      </c>
    </row>
    <row r="1500" spans="6:7">
      <c r="F1500" t="s">
        <v>4738</v>
      </c>
      <c r="G1500">
        <f t="shared" si="30"/>
        <v>10033</v>
      </c>
    </row>
    <row r="1501" spans="6:7">
      <c r="F1501" t="s">
        <v>4738</v>
      </c>
      <c r="G1501">
        <f t="shared" si="30"/>
        <v>10033</v>
      </c>
    </row>
    <row r="1502" spans="6:7">
      <c r="F1502" t="s">
        <v>4738</v>
      </c>
      <c r="G1502">
        <f t="shared" si="30"/>
        <v>10033</v>
      </c>
    </row>
    <row r="1503" spans="6:7">
      <c r="F1503" t="s">
        <v>4738</v>
      </c>
      <c r="G1503">
        <f t="shared" si="30"/>
        <v>10033</v>
      </c>
    </row>
    <row r="1504" spans="6:7">
      <c r="F1504" t="s">
        <v>4738</v>
      </c>
      <c r="G1504">
        <f t="shared" si="30"/>
        <v>10033</v>
      </c>
    </row>
    <row r="1505" spans="6:7">
      <c r="F1505" t="s">
        <v>4738</v>
      </c>
      <c r="G1505">
        <f t="shared" si="30"/>
        <v>10033</v>
      </c>
    </row>
    <row r="1506" spans="6:7">
      <c r="F1506" t="s">
        <v>4738</v>
      </c>
      <c r="G1506">
        <f t="shared" si="30"/>
        <v>10033</v>
      </c>
    </row>
    <row r="1507" spans="6:7">
      <c r="F1507" t="s">
        <v>4738</v>
      </c>
      <c r="G1507">
        <f t="shared" si="30"/>
        <v>10033</v>
      </c>
    </row>
    <row r="1508" spans="6:7">
      <c r="F1508" t="s">
        <v>4738</v>
      </c>
      <c r="G1508">
        <f t="shared" si="30"/>
        <v>10033</v>
      </c>
    </row>
    <row r="1509" spans="6:7">
      <c r="F1509" t="s">
        <v>4738</v>
      </c>
      <c r="G1509">
        <f t="shared" si="30"/>
        <v>10033</v>
      </c>
    </row>
    <row r="1510" spans="6:7">
      <c r="F1510" t="s">
        <v>4738</v>
      </c>
      <c r="G1510">
        <f t="shared" si="30"/>
        <v>10033</v>
      </c>
    </row>
    <row r="1511" spans="6:7">
      <c r="F1511" t="s">
        <v>4738</v>
      </c>
      <c r="G1511">
        <f t="shared" si="30"/>
        <v>10033</v>
      </c>
    </row>
    <row r="1512" spans="6:7">
      <c r="F1512" t="s">
        <v>4738</v>
      </c>
      <c r="G1512">
        <f t="shared" si="30"/>
        <v>10033</v>
      </c>
    </row>
    <row r="1513" spans="6:7">
      <c r="F1513" t="s">
        <v>4738</v>
      </c>
      <c r="G1513">
        <f t="shared" si="30"/>
        <v>10033</v>
      </c>
    </row>
    <row r="1514" spans="6:7">
      <c r="F1514" t="s">
        <v>4738</v>
      </c>
      <c r="G1514">
        <f t="shared" si="30"/>
        <v>10033</v>
      </c>
    </row>
    <row r="1515" spans="6:7">
      <c r="F1515" t="s">
        <v>4738</v>
      </c>
      <c r="G1515">
        <f t="shared" si="30"/>
        <v>10033</v>
      </c>
    </row>
    <row r="1516" spans="6:7">
      <c r="F1516" t="s">
        <v>4738</v>
      </c>
      <c r="G1516">
        <f t="shared" si="30"/>
        <v>10033</v>
      </c>
    </row>
    <row r="1517" spans="6:7">
      <c r="F1517" t="s">
        <v>4738</v>
      </c>
      <c r="G1517">
        <f t="shared" si="30"/>
        <v>10033</v>
      </c>
    </row>
    <row r="1518" spans="6:7">
      <c r="F1518" t="s">
        <v>4738</v>
      </c>
      <c r="G1518">
        <f t="shared" si="30"/>
        <v>10033</v>
      </c>
    </row>
    <row r="1519" spans="6:7">
      <c r="F1519" t="s">
        <v>4688</v>
      </c>
      <c r="G1519">
        <f t="shared" si="30"/>
        <v>131</v>
      </c>
    </row>
    <row r="1520" spans="6:7">
      <c r="F1520" t="s">
        <v>4688</v>
      </c>
      <c r="G1520">
        <f t="shared" si="30"/>
        <v>131</v>
      </c>
    </row>
    <row r="1521" spans="6:7">
      <c r="F1521" t="s">
        <v>4688</v>
      </c>
      <c r="G1521">
        <f t="shared" si="30"/>
        <v>131</v>
      </c>
    </row>
    <row r="1522" spans="6:7">
      <c r="F1522" t="s">
        <v>4688</v>
      </c>
      <c r="G1522">
        <f t="shared" si="30"/>
        <v>131</v>
      </c>
    </row>
    <row r="1523" spans="6:7">
      <c r="F1523" t="s">
        <v>4688</v>
      </c>
      <c r="G1523">
        <f t="shared" si="30"/>
        <v>131</v>
      </c>
    </row>
    <row r="1524" spans="6:7">
      <c r="F1524" t="s">
        <v>4688</v>
      </c>
      <c r="G1524">
        <f t="shared" si="30"/>
        <v>131</v>
      </c>
    </row>
    <row r="1525" spans="6:7">
      <c r="F1525" t="s">
        <v>4688</v>
      </c>
      <c r="G1525">
        <f t="shared" si="30"/>
        <v>131</v>
      </c>
    </row>
    <row r="1526" spans="6:7">
      <c r="F1526" t="s">
        <v>4688</v>
      </c>
      <c r="G1526">
        <f t="shared" si="30"/>
        <v>131</v>
      </c>
    </row>
    <row r="1527" spans="6:7">
      <c r="F1527" t="s">
        <v>4688</v>
      </c>
      <c r="G1527">
        <f t="shared" si="30"/>
        <v>131</v>
      </c>
    </row>
    <row r="1528" spans="6:7">
      <c r="F1528" t="s">
        <v>4688</v>
      </c>
      <c r="G1528">
        <f t="shared" si="30"/>
        <v>131</v>
      </c>
    </row>
    <row r="1529" spans="6:7">
      <c r="F1529" t="s">
        <v>4688</v>
      </c>
      <c r="G1529">
        <f t="shared" si="30"/>
        <v>131</v>
      </c>
    </row>
    <row r="1530" spans="6:7">
      <c r="F1530" t="s">
        <v>4689</v>
      </c>
      <c r="G1530">
        <f t="shared" si="30"/>
        <v>133</v>
      </c>
    </row>
    <row r="1531" spans="6:7">
      <c r="F1531" t="s">
        <v>4689</v>
      </c>
      <c r="G1531">
        <f t="shared" si="30"/>
        <v>133</v>
      </c>
    </row>
    <row r="1532" spans="6:7">
      <c r="F1532" t="s">
        <v>4689</v>
      </c>
      <c r="G1532">
        <f t="shared" si="30"/>
        <v>133</v>
      </c>
    </row>
    <row r="1533" spans="6:7">
      <c r="F1533" t="s">
        <v>4689</v>
      </c>
      <c r="G1533">
        <f t="shared" si="30"/>
        <v>133</v>
      </c>
    </row>
    <row r="1534" spans="6:7">
      <c r="F1534" t="s">
        <v>4689</v>
      </c>
      <c r="G1534">
        <f t="shared" si="30"/>
        <v>133</v>
      </c>
    </row>
    <row r="1535" spans="6:7">
      <c r="F1535" t="s">
        <v>4689</v>
      </c>
      <c r="G1535">
        <f t="shared" si="30"/>
        <v>133</v>
      </c>
    </row>
    <row r="1536" spans="6:7">
      <c r="F1536" t="s">
        <v>4689</v>
      </c>
      <c r="G1536">
        <f t="shared" si="30"/>
        <v>133</v>
      </c>
    </row>
    <row r="1537" spans="6:7">
      <c r="F1537" t="s">
        <v>4689</v>
      </c>
      <c r="G1537">
        <f t="shared" si="30"/>
        <v>133</v>
      </c>
    </row>
    <row r="1538" spans="6:7">
      <c r="F1538" t="s">
        <v>4689</v>
      </c>
      <c r="G1538">
        <f t="shared" si="30"/>
        <v>133</v>
      </c>
    </row>
    <row r="1539" spans="6:7">
      <c r="F1539" t="s">
        <v>4689</v>
      </c>
      <c r="G1539">
        <f t="shared" si="30"/>
        <v>133</v>
      </c>
    </row>
    <row r="1540" spans="6:7">
      <c r="F1540" t="s">
        <v>4689</v>
      </c>
      <c r="G1540">
        <f t="shared" si="30"/>
        <v>133</v>
      </c>
    </row>
    <row r="1541" spans="6:7">
      <c r="F1541" t="s">
        <v>4690</v>
      </c>
      <c r="G1541">
        <f t="shared" ref="G1541:G1604" si="31">_xlfn.XLOOKUP(F1541,$C$4:$C$220,$A$4:$A$220)</f>
        <v>132</v>
      </c>
    </row>
    <row r="1542" spans="6:7">
      <c r="F1542" t="s">
        <v>4690</v>
      </c>
      <c r="G1542">
        <f t="shared" si="31"/>
        <v>132</v>
      </c>
    </row>
    <row r="1543" spans="6:7">
      <c r="F1543" t="s">
        <v>4690</v>
      </c>
      <c r="G1543">
        <f t="shared" si="31"/>
        <v>132</v>
      </c>
    </row>
    <row r="1544" spans="6:7">
      <c r="F1544" t="s">
        <v>4690</v>
      </c>
      <c r="G1544">
        <f t="shared" si="31"/>
        <v>132</v>
      </c>
    </row>
    <row r="1545" spans="6:7">
      <c r="F1545" t="s">
        <v>4690</v>
      </c>
      <c r="G1545">
        <f t="shared" si="31"/>
        <v>132</v>
      </c>
    </row>
    <row r="1546" spans="6:7">
      <c r="F1546" t="s">
        <v>4690</v>
      </c>
      <c r="G1546">
        <f t="shared" si="31"/>
        <v>132</v>
      </c>
    </row>
    <row r="1547" spans="6:7">
      <c r="F1547" t="s">
        <v>4690</v>
      </c>
      <c r="G1547">
        <f t="shared" si="31"/>
        <v>132</v>
      </c>
    </row>
    <row r="1548" spans="6:7">
      <c r="F1548" t="s">
        <v>4690</v>
      </c>
      <c r="G1548">
        <f t="shared" si="31"/>
        <v>132</v>
      </c>
    </row>
    <row r="1549" spans="6:7">
      <c r="F1549" t="s">
        <v>4690</v>
      </c>
      <c r="G1549">
        <f t="shared" si="31"/>
        <v>132</v>
      </c>
    </row>
    <row r="1550" spans="6:7">
      <c r="F1550" t="s">
        <v>4690</v>
      </c>
      <c r="G1550">
        <f t="shared" si="31"/>
        <v>132</v>
      </c>
    </row>
    <row r="1551" spans="6:7">
      <c r="F1551" t="s">
        <v>4690</v>
      </c>
      <c r="G1551">
        <f t="shared" si="31"/>
        <v>132</v>
      </c>
    </row>
    <row r="1552" spans="6:7">
      <c r="F1552" t="s">
        <v>4691</v>
      </c>
      <c r="G1552">
        <f t="shared" si="31"/>
        <v>134</v>
      </c>
    </row>
    <row r="1553" spans="6:7">
      <c r="F1553" t="s">
        <v>4691</v>
      </c>
      <c r="G1553">
        <f t="shared" si="31"/>
        <v>134</v>
      </c>
    </row>
    <row r="1554" spans="6:7">
      <c r="F1554" t="s">
        <v>4691</v>
      </c>
      <c r="G1554">
        <f t="shared" si="31"/>
        <v>134</v>
      </c>
    </row>
    <row r="1555" spans="6:7">
      <c r="F1555" t="s">
        <v>4691</v>
      </c>
      <c r="G1555">
        <f t="shared" si="31"/>
        <v>134</v>
      </c>
    </row>
    <row r="1556" spans="6:7">
      <c r="F1556" t="s">
        <v>4691</v>
      </c>
      <c r="G1556">
        <f t="shared" si="31"/>
        <v>134</v>
      </c>
    </row>
    <row r="1557" spans="6:7">
      <c r="F1557" t="s">
        <v>4691</v>
      </c>
      <c r="G1557">
        <f t="shared" si="31"/>
        <v>134</v>
      </c>
    </row>
    <row r="1558" spans="6:7">
      <c r="F1558" t="s">
        <v>4691</v>
      </c>
      <c r="G1558">
        <f t="shared" si="31"/>
        <v>134</v>
      </c>
    </row>
    <row r="1559" spans="6:7">
      <c r="F1559" t="s">
        <v>4691</v>
      </c>
      <c r="G1559">
        <f t="shared" si="31"/>
        <v>134</v>
      </c>
    </row>
    <row r="1560" spans="6:7">
      <c r="F1560" t="s">
        <v>4691</v>
      </c>
      <c r="G1560">
        <f t="shared" si="31"/>
        <v>134</v>
      </c>
    </row>
    <row r="1561" spans="6:7">
      <c r="F1561" t="s">
        <v>4691</v>
      </c>
      <c r="G1561">
        <f t="shared" si="31"/>
        <v>134</v>
      </c>
    </row>
    <row r="1562" spans="6:7">
      <c r="F1562" t="s">
        <v>4691</v>
      </c>
      <c r="G1562">
        <f t="shared" si="31"/>
        <v>134</v>
      </c>
    </row>
    <row r="1563" spans="6:7">
      <c r="F1563" t="s">
        <v>4759</v>
      </c>
      <c r="G1563">
        <f t="shared" si="31"/>
        <v>136</v>
      </c>
    </row>
    <row r="1564" spans="6:7">
      <c r="F1564" t="s">
        <v>4759</v>
      </c>
      <c r="G1564">
        <f t="shared" si="31"/>
        <v>136</v>
      </c>
    </row>
    <row r="1565" spans="6:7">
      <c r="F1565" t="s">
        <v>4759</v>
      </c>
      <c r="G1565">
        <f t="shared" si="31"/>
        <v>136</v>
      </c>
    </row>
    <row r="1566" spans="6:7">
      <c r="F1566" t="s">
        <v>4759</v>
      </c>
      <c r="G1566">
        <f t="shared" si="31"/>
        <v>136</v>
      </c>
    </row>
    <row r="1567" spans="6:7">
      <c r="F1567" t="s">
        <v>4759</v>
      </c>
      <c r="G1567">
        <f t="shared" si="31"/>
        <v>136</v>
      </c>
    </row>
    <row r="1568" spans="6:7">
      <c r="F1568" t="s">
        <v>4759</v>
      </c>
      <c r="G1568">
        <f t="shared" si="31"/>
        <v>136</v>
      </c>
    </row>
    <row r="1569" spans="6:7">
      <c r="F1569" t="s">
        <v>4759</v>
      </c>
      <c r="G1569">
        <f t="shared" si="31"/>
        <v>136</v>
      </c>
    </row>
    <row r="1570" spans="6:7">
      <c r="F1570" t="s">
        <v>4759</v>
      </c>
      <c r="G1570">
        <f t="shared" si="31"/>
        <v>136</v>
      </c>
    </row>
    <row r="1571" spans="6:7">
      <c r="F1571" t="s">
        <v>4759</v>
      </c>
      <c r="G1571">
        <f t="shared" si="31"/>
        <v>136</v>
      </c>
    </row>
    <row r="1572" spans="6:7">
      <c r="F1572" t="s">
        <v>4759</v>
      </c>
      <c r="G1572">
        <f t="shared" si="31"/>
        <v>136</v>
      </c>
    </row>
    <row r="1573" spans="6:7">
      <c r="F1573" t="s">
        <v>4759</v>
      </c>
      <c r="G1573">
        <f t="shared" si="31"/>
        <v>136</v>
      </c>
    </row>
    <row r="1574" spans="6:7">
      <c r="F1574" t="s">
        <v>4759</v>
      </c>
      <c r="G1574">
        <f t="shared" si="31"/>
        <v>136</v>
      </c>
    </row>
    <row r="1575" spans="6:7">
      <c r="F1575" t="s">
        <v>4759</v>
      </c>
      <c r="G1575">
        <f t="shared" si="31"/>
        <v>136</v>
      </c>
    </row>
    <row r="1576" spans="6:7">
      <c r="F1576" t="s">
        <v>4759</v>
      </c>
      <c r="G1576">
        <f t="shared" si="31"/>
        <v>136</v>
      </c>
    </row>
    <row r="1577" spans="6:7">
      <c r="F1577" t="s">
        <v>4759</v>
      </c>
      <c r="G1577">
        <f t="shared" si="31"/>
        <v>136</v>
      </c>
    </row>
    <row r="1578" spans="6:7">
      <c r="F1578" t="s">
        <v>4759</v>
      </c>
      <c r="G1578">
        <f t="shared" si="31"/>
        <v>136</v>
      </c>
    </row>
    <row r="1579" spans="6:7">
      <c r="F1579" t="s">
        <v>4693</v>
      </c>
      <c r="G1579">
        <f t="shared" si="31"/>
        <v>137</v>
      </c>
    </row>
    <row r="1580" spans="6:7">
      <c r="F1580" t="s">
        <v>4693</v>
      </c>
      <c r="G1580">
        <f t="shared" si="31"/>
        <v>137</v>
      </c>
    </row>
    <row r="1581" spans="6:7">
      <c r="F1581" t="s">
        <v>4693</v>
      </c>
      <c r="G1581">
        <f t="shared" si="31"/>
        <v>137</v>
      </c>
    </row>
    <row r="1582" spans="6:7">
      <c r="F1582" t="s">
        <v>4693</v>
      </c>
      <c r="G1582">
        <f t="shared" si="31"/>
        <v>137</v>
      </c>
    </row>
    <row r="1583" spans="6:7">
      <c r="F1583" t="s">
        <v>4693</v>
      </c>
      <c r="G1583">
        <f t="shared" si="31"/>
        <v>137</v>
      </c>
    </row>
    <row r="1584" spans="6:7">
      <c r="F1584" t="s">
        <v>4693</v>
      </c>
      <c r="G1584">
        <f t="shared" si="31"/>
        <v>137</v>
      </c>
    </row>
    <row r="1585" spans="6:7">
      <c r="F1585" t="s">
        <v>4693</v>
      </c>
      <c r="G1585">
        <f t="shared" si="31"/>
        <v>137</v>
      </c>
    </row>
    <row r="1586" spans="6:7">
      <c r="F1586" t="s">
        <v>4693</v>
      </c>
      <c r="G1586">
        <f t="shared" si="31"/>
        <v>137</v>
      </c>
    </row>
    <row r="1587" spans="6:7">
      <c r="F1587" t="s">
        <v>4693</v>
      </c>
      <c r="G1587">
        <f t="shared" si="31"/>
        <v>137</v>
      </c>
    </row>
    <row r="1588" spans="6:7">
      <c r="F1588" t="s">
        <v>4693</v>
      </c>
      <c r="G1588">
        <f t="shared" si="31"/>
        <v>137</v>
      </c>
    </row>
    <row r="1589" spans="6:7">
      <c r="F1589" t="s">
        <v>4693</v>
      </c>
      <c r="G1589">
        <f t="shared" si="31"/>
        <v>137</v>
      </c>
    </row>
    <row r="1590" spans="6:7">
      <c r="F1590" t="s">
        <v>4693</v>
      </c>
      <c r="G1590">
        <f t="shared" si="31"/>
        <v>137</v>
      </c>
    </row>
    <row r="1591" spans="6:7">
      <c r="F1591" t="s">
        <v>4693</v>
      </c>
      <c r="G1591">
        <f t="shared" si="31"/>
        <v>137</v>
      </c>
    </row>
    <row r="1592" spans="6:7">
      <c r="F1592" t="s">
        <v>4693</v>
      </c>
      <c r="G1592">
        <f t="shared" si="31"/>
        <v>137</v>
      </c>
    </row>
    <row r="1593" spans="6:7">
      <c r="F1593" t="s">
        <v>4693</v>
      </c>
      <c r="G1593">
        <f t="shared" si="31"/>
        <v>137</v>
      </c>
    </row>
    <row r="1594" spans="6:7">
      <c r="F1594" t="s">
        <v>4693</v>
      </c>
      <c r="G1594">
        <f t="shared" si="31"/>
        <v>137</v>
      </c>
    </row>
    <row r="1595" spans="6:7">
      <c r="F1595" t="s">
        <v>4694</v>
      </c>
      <c r="G1595">
        <f t="shared" si="31"/>
        <v>139</v>
      </c>
    </row>
    <row r="1596" spans="6:7">
      <c r="F1596" t="s">
        <v>4694</v>
      </c>
      <c r="G1596">
        <f t="shared" si="31"/>
        <v>139</v>
      </c>
    </row>
    <row r="1597" spans="6:7">
      <c r="F1597" t="s">
        <v>4694</v>
      </c>
      <c r="G1597">
        <f t="shared" si="31"/>
        <v>139</v>
      </c>
    </row>
    <row r="1598" spans="6:7">
      <c r="F1598" t="s">
        <v>4694</v>
      </c>
      <c r="G1598">
        <f t="shared" si="31"/>
        <v>139</v>
      </c>
    </row>
    <row r="1599" spans="6:7">
      <c r="F1599" t="s">
        <v>4694</v>
      </c>
      <c r="G1599">
        <f t="shared" si="31"/>
        <v>139</v>
      </c>
    </row>
    <row r="1600" spans="6:7">
      <c r="F1600" t="s">
        <v>4694</v>
      </c>
      <c r="G1600">
        <f t="shared" si="31"/>
        <v>139</v>
      </c>
    </row>
    <row r="1601" spans="6:7">
      <c r="F1601" t="s">
        <v>4694</v>
      </c>
      <c r="G1601">
        <f t="shared" si="31"/>
        <v>139</v>
      </c>
    </row>
    <row r="1602" spans="6:7">
      <c r="F1602" t="s">
        <v>4694</v>
      </c>
      <c r="G1602">
        <f t="shared" si="31"/>
        <v>139</v>
      </c>
    </row>
    <row r="1603" spans="6:7">
      <c r="F1603" t="s">
        <v>4694</v>
      </c>
      <c r="G1603">
        <f t="shared" si="31"/>
        <v>139</v>
      </c>
    </row>
    <row r="1604" spans="6:7">
      <c r="F1604" t="s">
        <v>4694</v>
      </c>
      <c r="G1604">
        <f t="shared" si="31"/>
        <v>139</v>
      </c>
    </row>
    <row r="1605" spans="6:7">
      <c r="F1605" t="s">
        <v>4694</v>
      </c>
      <c r="G1605">
        <f t="shared" ref="G1605:G1668" si="32">_xlfn.XLOOKUP(F1605,$C$4:$C$220,$A$4:$A$220)</f>
        <v>139</v>
      </c>
    </row>
    <row r="1606" spans="6:7">
      <c r="F1606" t="s">
        <v>4694</v>
      </c>
      <c r="G1606">
        <f t="shared" si="32"/>
        <v>139</v>
      </c>
    </row>
    <row r="1607" spans="6:7">
      <c r="F1607" t="s">
        <v>4694</v>
      </c>
      <c r="G1607">
        <f t="shared" si="32"/>
        <v>139</v>
      </c>
    </row>
    <row r="1608" spans="6:7">
      <c r="F1608" t="s">
        <v>4694</v>
      </c>
      <c r="G1608">
        <f t="shared" si="32"/>
        <v>139</v>
      </c>
    </row>
    <row r="1609" spans="6:7">
      <c r="F1609" t="s">
        <v>4694</v>
      </c>
      <c r="G1609">
        <f t="shared" si="32"/>
        <v>139</v>
      </c>
    </row>
    <row r="1610" spans="6:7">
      <c r="F1610" t="s">
        <v>4694</v>
      </c>
      <c r="G1610">
        <f t="shared" si="32"/>
        <v>139</v>
      </c>
    </row>
    <row r="1611" spans="6:7">
      <c r="F1611" t="s">
        <v>4760</v>
      </c>
      <c r="G1611">
        <f t="shared" si="32"/>
        <v>10034</v>
      </c>
    </row>
    <row r="1612" spans="6:7">
      <c r="F1612" t="s">
        <v>4760</v>
      </c>
      <c r="G1612">
        <f t="shared" si="32"/>
        <v>10034</v>
      </c>
    </row>
    <row r="1613" spans="6:7">
      <c r="F1613" t="s">
        <v>4760</v>
      </c>
      <c r="G1613">
        <f t="shared" si="32"/>
        <v>10034</v>
      </c>
    </row>
    <row r="1614" spans="6:7">
      <c r="F1614" t="s">
        <v>4760</v>
      </c>
      <c r="G1614">
        <f t="shared" si="32"/>
        <v>10034</v>
      </c>
    </row>
    <row r="1615" spans="6:7">
      <c r="F1615" t="s">
        <v>4760</v>
      </c>
      <c r="G1615">
        <f t="shared" si="32"/>
        <v>10034</v>
      </c>
    </row>
    <row r="1616" spans="6:7">
      <c r="F1616" t="s">
        <v>4760</v>
      </c>
      <c r="G1616">
        <f t="shared" si="32"/>
        <v>10034</v>
      </c>
    </row>
    <row r="1617" spans="6:7">
      <c r="F1617" t="s">
        <v>4760</v>
      </c>
      <c r="G1617">
        <f t="shared" si="32"/>
        <v>10034</v>
      </c>
    </row>
    <row r="1618" spans="6:7">
      <c r="F1618" t="s">
        <v>4760</v>
      </c>
      <c r="G1618">
        <f t="shared" si="32"/>
        <v>10034</v>
      </c>
    </row>
    <row r="1619" spans="6:7">
      <c r="F1619" t="s">
        <v>4760</v>
      </c>
      <c r="G1619">
        <f t="shared" si="32"/>
        <v>10034</v>
      </c>
    </row>
    <row r="1620" spans="6:7">
      <c r="F1620" t="s">
        <v>4760</v>
      </c>
      <c r="G1620">
        <f t="shared" si="32"/>
        <v>10034</v>
      </c>
    </row>
    <row r="1621" spans="6:7">
      <c r="F1621" t="s">
        <v>4760</v>
      </c>
      <c r="G1621">
        <f t="shared" si="32"/>
        <v>10034</v>
      </c>
    </row>
    <row r="1622" spans="6:7">
      <c r="F1622" t="s">
        <v>4760</v>
      </c>
      <c r="G1622">
        <f t="shared" si="32"/>
        <v>10034</v>
      </c>
    </row>
    <row r="1623" spans="6:7">
      <c r="F1623" t="s">
        <v>4760</v>
      </c>
      <c r="G1623">
        <f t="shared" si="32"/>
        <v>10034</v>
      </c>
    </row>
    <row r="1624" spans="6:7">
      <c r="F1624" t="s">
        <v>4760</v>
      </c>
      <c r="G1624">
        <f t="shared" si="32"/>
        <v>10034</v>
      </c>
    </row>
    <row r="1625" spans="6:7">
      <c r="F1625" t="s">
        <v>4760</v>
      </c>
      <c r="G1625">
        <f t="shared" si="32"/>
        <v>10034</v>
      </c>
    </row>
    <row r="1626" spans="6:7">
      <c r="F1626" t="s">
        <v>4760</v>
      </c>
      <c r="G1626">
        <f t="shared" si="32"/>
        <v>10034</v>
      </c>
    </row>
    <row r="1627" spans="6:7">
      <c r="F1627" t="s">
        <v>4760</v>
      </c>
      <c r="G1627">
        <f t="shared" si="32"/>
        <v>10034</v>
      </c>
    </row>
    <row r="1628" spans="6:7">
      <c r="F1628" t="s">
        <v>4760</v>
      </c>
      <c r="G1628">
        <f t="shared" si="32"/>
        <v>10034</v>
      </c>
    </row>
    <row r="1629" spans="6:7">
      <c r="F1629" t="s">
        <v>4760</v>
      </c>
      <c r="G1629">
        <f t="shared" si="32"/>
        <v>10034</v>
      </c>
    </row>
    <row r="1630" spans="6:7">
      <c r="F1630" t="s">
        <v>4760</v>
      </c>
      <c r="G1630">
        <f t="shared" si="32"/>
        <v>10034</v>
      </c>
    </row>
    <row r="1631" spans="6:7">
      <c r="F1631" t="s">
        <v>4760</v>
      </c>
      <c r="G1631">
        <f t="shared" si="32"/>
        <v>10034</v>
      </c>
    </row>
    <row r="1632" spans="6:7">
      <c r="F1632" t="s">
        <v>4782</v>
      </c>
      <c r="G1632">
        <f t="shared" si="32"/>
        <v>10035</v>
      </c>
    </row>
    <row r="1633" spans="6:7">
      <c r="F1633" t="s">
        <v>4782</v>
      </c>
      <c r="G1633">
        <f t="shared" si="32"/>
        <v>10035</v>
      </c>
    </row>
    <row r="1634" spans="6:7">
      <c r="F1634" t="s">
        <v>4782</v>
      </c>
      <c r="G1634">
        <f t="shared" si="32"/>
        <v>10035</v>
      </c>
    </row>
    <row r="1635" spans="6:7">
      <c r="F1635" t="s">
        <v>4782</v>
      </c>
      <c r="G1635">
        <f t="shared" si="32"/>
        <v>10035</v>
      </c>
    </row>
    <row r="1636" spans="6:7">
      <c r="F1636" t="s">
        <v>4782</v>
      </c>
      <c r="G1636">
        <f t="shared" si="32"/>
        <v>10035</v>
      </c>
    </row>
    <row r="1637" spans="6:7">
      <c r="F1637" t="s">
        <v>4782</v>
      </c>
      <c r="G1637">
        <f t="shared" si="32"/>
        <v>10035</v>
      </c>
    </row>
    <row r="1638" spans="6:7">
      <c r="F1638" t="s">
        <v>4782</v>
      </c>
      <c r="G1638">
        <f t="shared" si="32"/>
        <v>10035</v>
      </c>
    </row>
    <row r="1639" spans="6:7">
      <c r="F1639" t="s">
        <v>4782</v>
      </c>
      <c r="G1639">
        <f t="shared" si="32"/>
        <v>10035</v>
      </c>
    </row>
    <row r="1640" spans="6:7">
      <c r="F1640" t="s">
        <v>4782</v>
      </c>
      <c r="G1640">
        <f t="shared" si="32"/>
        <v>10035</v>
      </c>
    </row>
    <row r="1641" spans="6:7">
      <c r="F1641" t="s">
        <v>4782</v>
      </c>
      <c r="G1641">
        <f t="shared" si="32"/>
        <v>10035</v>
      </c>
    </row>
    <row r="1642" spans="6:7">
      <c r="F1642" t="s">
        <v>4782</v>
      </c>
      <c r="G1642">
        <f t="shared" si="32"/>
        <v>10035</v>
      </c>
    </row>
    <row r="1643" spans="6:7">
      <c r="F1643" t="s">
        <v>4782</v>
      </c>
      <c r="G1643">
        <f t="shared" si="32"/>
        <v>10035</v>
      </c>
    </row>
    <row r="1644" spans="6:7">
      <c r="F1644" t="s">
        <v>4782</v>
      </c>
      <c r="G1644">
        <f t="shared" si="32"/>
        <v>10035</v>
      </c>
    </row>
    <row r="1645" spans="6:7">
      <c r="F1645" t="s">
        <v>4782</v>
      </c>
      <c r="G1645">
        <f t="shared" si="32"/>
        <v>10035</v>
      </c>
    </row>
    <row r="1646" spans="6:7">
      <c r="F1646" t="s">
        <v>4782</v>
      </c>
      <c r="G1646">
        <f t="shared" si="32"/>
        <v>10035</v>
      </c>
    </row>
    <row r="1647" spans="6:7">
      <c r="F1647" t="s">
        <v>4782</v>
      </c>
      <c r="G1647">
        <f t="shared" si="32"/>
        <v>10035</v>
      </c>
    </row>
    <row r="1648" spans="6:7">
      <c r="F1648" t="s">
        <v>4782</v>
      </c>
      <c r="G1648">
        <f t="shared" si="32"/>
        <v>10035</v>
      </c>
    </row>
    <row r="1649" spans="6:7">
      <c r="F1649" t="s">
        <v>4782</v>
      </c>
      <c r="G1649">
        <f t="shared" si="32"/>
        <v>10035</v>
      </c>
    </row>
    <row r="1650" spans="6:7">
      <c r="F1650" t="s">
        <v>4782</v>
      </c>
      <c r="G1650">
        <f t="shared" si="32"/>
        <v>10035</v>
      </c>
    </row>
    <row r="1651" spans="6:7">
      <c r="F1651" t="s">
        <v>4782</v>
      </c>
      <c r="G1651">
        <f t="shared" si="32"/>
        <v>10035</v>
      </c>
    </row>
    <row r="1652" spans="6:7">
      <c r="F1652" t="s">
        <v>4782</v>
      </c>
      <c r="G1652">
        <f t="shared" si="32"/>
        <v>10035</v>
      </c>
    </row>
    <row r="1653" spans="6:7">
      <c r="F1653" t="s">
        <v>4803</v>
      </c>
      <c r="G1653">
        <f t="shared" si="32"/>
        <v>10036</v>
      </c>
    </row>
    <row r="1654" spans="6:7">
      <c r="F1654" t="s">
        <v>4803</v>
      </c>
      <c r="G1654">
        <f t="shared" si="32"/>
        <v>10036</v>
      </c>
    </row>
    <row r="1655" spans="6:7">
      <c r="F1655" t="s">
        <v>4803</v>
      </c>
      <c r="G1655">
        <f t="shared" si="32"/>
        <v>10036</v>
      </c>
    </row>
    <row r="1656" spans="6:7">
      <c r="F1656" t="s">
        <v>4803</v>
      </c>
      <c r="G1656">
        <f t="shared" si="32"/>
        <v>10036</v>
      </c>
    </row>
    <row r="1657" spans="6:7">
      <c r="F1657" t="s">
        <v>4803</v>
      </c>
      <c r="G1657">
        <f t="shared" si="32"/>
        <v>10036</v>
      </c>
    </row>
    <row r="1658" spans="6:7">
      <c r="F1658" t="s">
        <v>4803</v>
      </c>
      <c r="G1658">
        <f t="shared" si="32"/>
        <v>10036</v>
      </c>
    </row>
    <row r="1659" spans="6:7">
      <c r="F1659" t="s">
        <v>4803</v>
      </c>
      <c r="G1659">
        <f t="shared" si="32"/>
        <v>10036</v>
      </c>
    </row>
    <row r="1660" spans="6:7">
      <c r="F1660" t="s">
        <v>4803</v>
      </c>
      <c r="G1660">
        <f t="shared" si="32"/>
        <v>10036</v>
      </c>
    </row>
    <row r="1661" spans="6:7">
      <c r="F1661" t="s">
        <v>4803</v>
      </c>
      <c r="G1661">
        <f t="shared" si="32"/>
        <v>10036</v>
      </c>
    </row>
    <row r="1662" spans="6:7">
      <c r="F1662" t="s">
        <v>4803</v>
      </c>
      <c r="G1662">
        <f t="shared" si="32"/>
        <v>10036</v>
      </c>
    </row>
    <row r="1663" spans="6:7">
      <c r="F1663" t="s">
        <v>4803</v>
      </c>
      <c r="G1663">
        <f t="shared" si="32"/>
        <v>10036</v>
      </c>
    </row>
    <row r="1664" spans="6:7">
      <c r="F1664" t="s">
        <v>4803</v>
      </c>
      <c r="G1664">
        <f t="shared" si="32"/>
        <v>10036</v>
      </c>
    </row>
    <row r="1665" spans="6:7">
      <c r="F1665" t="s">
        <v>4803</v>
      </c>
      <c r="G1665">
        <f t="shared" si="32"/>
        <v>10036</v>
      </c>
    </row>
    <row r="1666" spans="6:7">
      <c r="F1666" t="s">
        <v>4803</v>
      </c>
      <c r="G1666">
        <f t="shared" si="32"/>
        <v>10036</v>
      </c>
    </row>
    <row r="1667" spans="6:7">
      <c r="F1667" t="s">
        <v>4803</v>
      </c>
      <c r="G1667">
        <f t="shared" si="32"/>
        <v>10036</v>
      </c>
    </row>
    <row r="1668" spans="6:7">
      <c r="F1668" t="s">
        <v>4803</v>
      </c>
      <c r="G1668">
        <f t="shared" si="32"/>
        <v>10036</v>
      </c>
    </row>
    <row r="1669" spans="6:7">
      <c r="F1669" t="s">
        <v>4803</v>
      </c>
      <c r="G1669">
        <f t="shared" ref="G1669:G1732" si="33">_xlfn.XLOOKUP(F1669,$C$4:$C$220,$A$4:$A$220)</f>
        <v>10036</v>
      </c>
    </row>
    <row r="1670" spans="6:7">
      <c r="F1670" t="s">
        <v>4803</v>
      </c>
      <c r="G1670">
        <f t="shared" si="33"/>
        <v>10036</v>
      </c>
    </row>
    <row r="1671" spans="6:7">
      <c r="F1671" t="s">
        <v>4803</v>
      </c>
      <c r="G1671">
        <f t="shared" si="33"/>
        <v>10036</v>
      </c>
    </row>
    <row r="1672" spans="6:7">
      <c r="F1672" t="s">
        <v>4803</v>
      </c>
      <c r="G1672">
        <f t="shared" si="33"/>
        <v>10036</v>
      </c>
    </row>
    <row r="1673" spans="6:7">
      <c r="F1673" t="s">
        <v>4803</v>
      </c>
      <c r="G1673">
        <f t="shared" si="33"/>
        <v>10036</v>
      </c>
    </row>
    <row r="1674" spans="6:7">
      <c r="F1674" t="s">
        <v>4688</v>
      </c>
      <c r="G1674">
        <f t="shared" si="33"/>
        <v>131</v>
      </c>
    </row>
    <row r="1675" spans="6:7">
      <c r="F1675" t="s">
        <v>4688</v>
      </c>
      <c r="G1675">
        <f t="shared" si="33"/>
        <v>131</v>
      </c>
    </row>
    <row r="1676" spans="6:7">
      <c r="F1676" t="s">
        <v>4688</v>
      </c>
      <c r="G1676">
        <f t="shared" si="33"/>
        <v>131</v>
      </c>
    </row>
    <row r="1677" spans="6:7">
      <c r="F1677" t="s">
        <v>4688</v>
      </c>
      <c r="G1677">
        <f t="shared" si="33"/>
        <v>131</v>
      </c>
    </row>
    <row r="1678" spans="6:7">
      <c r="F1678" t="s">
        <v>4688</v>
      </c>
      <c r="G1678">
        <f t="shared" si="33"/>
        <v>131</v>
      </c>
    </row>
    <row r="1679" spans="6:7">
      <c r="F1679" t="s">
        <v>4688</v>
      </c>
      <c r="G1679">
        <f t="shared" si="33"/>
        <v>131</v>
      </c>
    </row>
    <row r="1680" spans="6:7">
      <c r="F1680" t="s">
        <v>4688</v>
      </c>
      <c r="G1680">
        <f t="shared" si="33"/>
        <v>131</v>
      </c>
    </row>
    <row r="1681" spans="6:7">
      <c r="F1681" t="s">
        <v>4688</v>
      </c>
      <c r="G1681">
        <f t="shared" si="33"/>
        <v>131</v>
      </c>
    </row>
    <row r="1682" spans="6:7">
      <c r="F1682" t="s">
        <v>4688</v>
      </c>
      <c r="G1682">
        <f t="shared" si="33"/>
        <v>131</v>
      </c>
    </row>
    <row r="1683" spans="6:7">
      <c r="F1683" t="s">
        <v>4688</v>
      </c>
      <c r="G1683">
        <f t="shared" si="33"/>
        <v>131</v>
      </c>
    </row>
    <row r="1684" spans="6:7">
      <c r="F1684" t="s">
        <v>4688</v>
      </c>
      <c r="G1684">
        <f t="shared" si="33"/>
        <v>131</v>
      </c>
    </row>
    <row r="1685" spans="6:7">
      <c r="F1685" t="s">
        <v>4688</v>
      </c>
      <c r="G1685">
        <f t="shared" si="33"/>
        <v>131</v>
      </c>
    </row>
    <row r="1686" spans="6:7">
      <c r="F1686" t="s">
        <v>4688</v>
      </c>
      <c r="G1686">
        <f t="shared" si="33"/>
        <v>131</v>
      </c>
    </row>
    <row r="1687" spans="6:7">
      <c r="F1687" t="s">
        <v>4688</v>
      </c>
      <c r="G1687">
        <f t="shared" si="33"/>
        <v>131</v>
      </c>
    </row>
    <row r="1688" spans="6:7">
      <c r="F1688" t="s">
        <v>4688</v>
      </c>
      <c r="G1688">
        <f t="shared" si="33"/>
        <v>131</v>
      </c>
    </row>
    <row r="1689" spans="6:7">
      <c r="F1689" t="s">
        <v>4688</v>
      </c>
      <c r="G1689">
        <f t="shared" si="33"/>
        <v>131</v>
      </c>
    </row>
    <row r="1690" spans="6:7">
      <c r="F1690" t="s">
        <v>4689</v>
      </c>
      <c r="G1690">
        <f t="shared" si="33"/>
        <v>133</v>
      </c>
    </row>
    <row r="1691" spans="6:7">
      <c r="F1691" t="s">
        <v>4689</v>
      </c>
      <c r="G1691">
        <f t="shared" si="33"/>
        <v>133</v>
      </c>
    </row>
    <row r="1692" spans="6:7">
      <c r="F1692" t="s">
        <v>4689</v>
      </c>
      <c r="G1692">
        <f t="shared" si="33"/>
        <v>133</v>
      </c>
    </row>
    <row r="1693" spans="6:7">
      <c r="F1693" t="s">
        <v>4689</v>
      </c>
      <c r="G1693">
        <f t="shared" si="33"/>
        <v>133</v>
      </c>
    </row>
    <row r="1694" spans="6:7">
      <c r="F1694" t="s">
        <v>4689</v>
      </c>
      <c r="G1694">
        <f t="shared" si="33"/>
        <v>133</v>
      </c>
    </row>
    <row r="1695" spans="6:7">
      <c r="F1695" t="s">
        <v>4689</v>
      </c>
      <c r="G1695">
        <f t="shared" si="33"/>
        <v>133</v>
      </c>
    </row>
    <row r="1696" spans="6:7">
      <c r="F1696" t="s">
        <v>4689</v>
      </c>
      <c r="G1696">
        <f t="shared" si="33"/>
        <v>133</v>
      </c>
    </row>
    <row r="1697" spans="6:7">
      <c r="F1697" t="s">
        <v>4689</v>
      </c>
      <c r="G1697">
        <f t="shared" si="33"/>
        <v>133</v>
      </c>
    </row>
    <row r="1698" spans="6:7">
      <c r="F1698" t="s">
        <v>4689</v>
      </c>
      <c r="G1698">
        <f t="shared" si="33"/>
        <v>133</v>
      </c>
    </row>
    <row r="1699" spans="6:7">
      <c r="F1699" t="s">
        <v>4689</v>
      </c>
      <c r="G1699">
        <f t="shared" si="33"/>
        <v>133</v>
      </c>
    </row>
    <row r="1700" spans="6:7">
      <c r="F1700" t="s">
        <v>4689</v>
      </c>
      <c r="G1700">
        <f t="shared" si="33"/>
        <v>133</v>
      </c>
    </row>
    <row r="1701" spans="6:7">
      <c r="F1701" t="s">
        <v>4689</v>
      </c>
      <c r="G1701">
        <f t="shared" si="33"/>
        <v>133</v>
      </c>
    </row>
    <row r="1702" spans="6:7">
      <c r="F1702" t="s">
        <v>4689</v>
      </c>
      <c r="G1702">
        <f t="shared" si="33"/>
        <v>133</v>
      </c>
    </row>
    <row r="1703" spans="6:7">
      <c r="F1703" t="s">
        <v>4689</v>
      </c>
      <c r="G1703">
        <f t="shared" si="33"/>
        <v>133</v>
      </c>
    </row>
    <row r="1704" spans="6:7">
      <c r="F1704" t="s">
        <v>4689</v>
      </c>
      <c r="G1704">
        <f t="shared" si="33"/>
        <v>133</v>
      </c>
    </row>
    <row r="1705" spans="6:7">
      <c r="F1705" t="s">
        <v>4689</v>
      </c>
      <c r="G1705">
        <f t="shared" si="33"/>
        <v>133</v>
      </c>
    </row>
    <row r="1706" spans="6:7">
      <c r="F1706" t="s">
        <v>4690</v>
      </c>
      <c r="G1706">
        <f t="shared" si="33"/>
        <v>132</v>
      </c>
    </row>
    <row r="1707" spans="6:7">
      <c r="F1707" t="s">
        <v>4690</v>
      </c>
      <c r="G1707">
        <f t="shared" si="33"/>
        <v>132</v>
      </c>
    </row>
    <row r="1708" spans="6:7">
      <c r="F1708" t="s">
        <v>4690</v>
      </c>
      <c r="G1708">
        <f t="shared" si="33"/>
        <v>132</v>
      </c>
    </row>
    <row r="1709" spans="6:7">
      <c r="F1709" t="s">
        <v>4690</v>
      </c>
      <c r="G1709">
        <f t="shared" si="33"/>
        <v>132</v>
      </c>
    </row>
    <row r="1710" spans="6:7">
      <c r="F1710" t="s">
        <v>4690</v>
      </c>
      <c r="G1710">
        <f t="shared" si="33"/>
        <v>132</v>
      </c>
    </row>
    <row r="1711" spans="6:7">
      <c r="F1711" t="s">
        <v>4690</v>
      </c>
      <c r="G1711">
        <f t="shared" si="33"/>
        <v>132</v>
      </c>
    </row>
    <row r="1712" spans="6:7">
      <c r="F1712" t="s">
        <v>4690</v>
      </c>
      <c r="G1712">
        <f t="shared" si="33"/>
        <v>132</v>
      </c>
    </row>
    <row r="1713" spans="6:7">
      <c r="F1713" t="s">
        <v>4690</v>
      </c>
      <c r="G1713">
        <f t="shared" si="33"/>
        <v>132</v>
      </c>
    </row>
    <row r="1714" spans="6:7">
      <c r="F1714" t="s">
        <v>4690</v>
      </c>
      <c r="G1714">
        <f t="shared" si="33"/>
        <v>132</v>
      </c>
    </row>
    <row r="1715" spans="6:7">
      <c r="F1715" t="s">
        <v>4690</v>
      </c>
      <c r="G1715">
        <f t="shared" si="33"/>
        <v>132</v>
      </c>
    </row>
    <row r="1716" spans="6:7">
      <c r="F1716" t="s">
        <v>4690</v>
      </c>
      <c r="G1716">
        <f t="shared" si="33"/>
        <v>132</v>
      </c>
    </row>
    <row r="1717" spans="6:7">
      <c r="F1717" t="s">
        <v>4690</v>
      </c>
      <c r="G1717">
        <f t="shared" si="33"/>
        <v>132</v>
      </c>
    </row>
    <row r="1718" spans="6:7">
      <c r="F1718" t="s">
        <v>4690</v>
      </c>
      <c r="G1718">
        <f t="shared" si="33"/>
        <v>132</v>
      </c>
    </row>
    <row r="1719" spans="6:7">
      <c r="F1719" t="s">
        <v>4690</v>
      </c>
      <c r="G1719">
        <f t="shared" si="33"/>
        <v>132</v>
      </c>
    </row>
    <row r="1720" spans="6:7">
      <c r="F1720" t="s">
        <v>4690</v>
      </c>
      <c r="G1720">
        <f t="shared" si="33"/>
        <v>132</v>
      </c>
    </row>
    <row r="1721" spans="6:7">
      <c r="F1721" t="s">
        <v>4690</v>
      </c>
      <c r="G1721">
        <f t="shared" si="33"/>
        <v>132</v>
      </c>
    </row>
    <row r="1722" spans="6:7">
      <c r="F1722" t="s">
        <v>4691</v>
      </c>
      <c r="G1722">
        <f t="shared" si="33"/>
        <v>134</v>
      </c>
    </row>
    <row r="1723" spans="6:7">
      <c r="F1723" t="s">
        <v>4691</v>
      </c>
      <c r="G1723">
        <f t="shared" si="33"/>
        <v>134</v>
      </c>
    </row>
    <row r="1724" spans="6:7">
      <c r="F1724" t="s">
        <v>4691</v>
      </c>
      <c r="G1724">
        <f t="shared" si="33"/>
        <v>134</v>
      </c>
    </row>
    <row r="1725" spans="6:7">
      <c r="F1725" t="s">
        <v>4691</v>
      </c>
      <c r="G1725">
        <f t="shared" si="33"/>
        <v>134</v>
      </c>
    </row>
    <row r="1726" spans="6:7">
      <c r="F1726" t="s">
        <v>4691</v>
      </c>
      <c r="G1726">
        <f t="shared" si="33"/>
        <v>134</v>
      </c>
    </row>
    <row r="1727" spans="6:7">
      <c r="F1727" t="s">
        <v>4691</v>
      </c>
      <c r="G1727">
        <f t="shared" si="33"/>
        <v>134</v>
      </c>
    </row>
    <row r="1728" spans="6:7">
      <c r="F1728" t="s">
        <v>4691</v>
      </c>
      <c r="G1728">
        <f t="shared" si="33"/>
        <v>134</v>
      </c>
    </row>
    <row r="1729" spans="6:7">
      <c r="F1729" t="s">
        <v>4691</v>
      </c>
      <c r="G1729">
        <f t="shared" si="33"/>
        <v>134</v>
      </c>
    </row>
    <row r="1730" spans="6:7">
      <c r="F1730" t="s">
        <v>4691</v>
      </c>
      <c r="G1730">
        <f t="shared" si="33"/>
        <v>134</v>
      </c>
    </row>
    <row r="1731" spans="6:7">
      <c r="F1731" t="s">
        <v>4691</v>
      </c>
      <c r="G1731">
        <f t="shared" si="33"/>
        <v>134</v>
      </c>
    </row>
    <row r="1732" spans="6:7">
      <c r="F1732" t="s">
        <v>4691</v>
      </c>
      <c r="G1732">
        <f t="shared" si="33"/>
        <v>134</v>
      </c>
    </row>
    <row r="1733" spans="6:7">
      <c r="F1733" t="s">
        <v>4691</v>
      </c>
      <c r="G1733">
        <f t="shared" ref="G1733:G1796" si="34">_xlfn.XLOOKUP(F1733,$C$4:$C$220,$A$4:$A$220)</f>
        <v>134</v>
      </c>
    </row>
    <row r="1734" spans="6:7">
      <c r="F1734" t="s">
        <v>4691</v>
      </c>
      <c r="G1734">
        <f t="shared" si="34"/>
        <v>134</v>
      </c>
    </row>
    <row r="1735" spans="6:7">
      <c r="F1735" t="s">
        <v>4691</v>
      </c>
      <c r="G1735">
        <f t="shared" si="34"/>
        <v>134</v>
      </c>
    </row>
    <row r="1736" spans="6:7">
      <c r="F1736" t="s">
        <v>4691</v>
      </c>
      <c r="G1736">
        <f t="shared" si="34"/>
        <v>134</v>
      </c>
    </row>
    <row r="1737" spans="6:7">
      <c r="F1737" t="s">
        <v>4691</v>
      </c>
      <c r="G1737">
        <f t="shared" si="34"/>
        <v>134</v>
      </c>
    </row>
    <row r="1738" spans="6:7">
      <c r="F1738" t="s">
        <v>4692</v>
      </c>
      <c r="G1738">
        <f t="shared" si="34"/>
        <v>138</v>
      </c>
    </row>
    <row r="1739" spans="6:7">
      <c r="F1739" t="s">
        <v>4692</v>
      </c>
      <c r="G1739">
        <f t="shared" si="34"/>
        <v>138</v>
      </c>
    </row>
    <row r="1740" spans="6:7">
      <c r="F1740" t="s">
        <v>4692</v>
      </c>
      <c r="G1740">
        <f t="shared" si="34"/>
        <v>138</v>
      </c>
    </row>
    <row r="1741" spans="6:7">
      <c r="F1741" t="s">
        <v>4692</v>
      </c>
      <c r="G1741">
        <f t="shared" si="34"/>
        <v>138</v>
      </c>
    </row>
    <row r="1742" spans="6:7">
      <c r="F1742" t="s">
        <v>4692</v>
      </c>
      <c r="G1742">
        <f t="shared" si="34"/>
        <v>138</v>
      </c>
    </row>
    <row r="1743" spans="6:7">
      <c r="F1743" t="s">
        <v>4692</v>
      </c>
      <c r="G1743">
        <f t="shared" si="34"/>
        <v>138</v>
      </c>
    </row>
    <row r="1744" spans="6:7">
      <c r="F1744" t="s">
        <v>4692</v>
      </c>
      <c r="G1744">
        <f t="shared" si="34"/>
        <v>138</v>
      </c>
    </row>
    <row r="1745" spans="6:7">
      <c r="F1745" t="s">
        <v>4692</v>
      </c>
      <c r="G1745">
        <f t="shared" si="34"/>
        <v>138</v>
      </c>
    </row>
    <row r="1746" spans="6:7">
      <c r="F1746" t="s">
        <v>4692</v>
      </c>
      <c r="G1746">
        <f t="shared" si="34"/>
        <v>138</v>
      </c>
    </row>
    <row r="1747" spans="6:7">
      <c r="F1747" t="s">
        <v>4692</v>
      </c>
      <c r="G1747">
        <f t="shared" si="34"/>
        <v>138</v>
      </c>
    </row>
    <row r="1748" spans="6:7">
      <c r="F1748" t="s">
        <v>4692</v>
      </c>
      <c r="G1748">
        <f t="shared" si="34"/>
        <v>138</v>
      </c>
    </row>
    <row r="1749" spans="6:7">
      <c r="F1749" t="s">
        <v>4692</v>
      </c>
      <c r="G1749">
        <f t="shared" si="34"/>
        <v>138</v>
      </c>
    </row>
    <row r="1750" spans="6:7">
      <c r="F1750" t="s">
        <v>4692</v>
      </c>
      <c r="G1750">
        <f t="shared" si="34"/>
        <v>138</v>
      </c>
    </row>
    <row r="1751" spans="6:7">
      <c r="F1751" t="s">
        <v>4692</v>
      </c>
      <c r="G1751">
        <f t="shared" si="34"/>
        <v>138</v>
      </c>
    </row>
    <row r="1752" spans="6:7">
      <c r="F1752" t="s">
        <v>4692</v>
      </c>
      <c r="G1752">
        <f t="shared" si="34"/>
        <v>138</v>
      </c>
    </row>
    <row r="1753" spans="6:7">
      <c r="F1753" t="s">
        <v>4692</v>
      </c>
      <c r="G1753">
        <f t="shared" si="34"/>
        <v>138</v>
      </c>
    </row>
    <row r="1754" spans="6:7">
      <c r="F1754" t="s">
        <v>4692</v>
      </c>
      <c r="G1754">
        <f t="shared" si="34"/>
        <v>138</v>
      </c>
    </row>
    <row r="1755" spans="6:7">
      <c r="F1755" t="s">
        <v>4692</v>
      </c>
      <c r="G1755">
        <f t="shared" si="34"/>
        <v>138</v>
      </c>
    </row>
    <row r="1756" spans="6:7">
      <c r="F1756" t="s">
        <v>4692</v>
      </c>
      <c r="G1756">
        <f t="shared" si="34"/>
        <v>138</v>
      </c>
    </row>
    <row r="1757" spans="6:7">
      <c r="F1757" t="s">
        <v>4692</v>
      </c>
      <c r="G1757">
        <f t="shared" si="34"/>
        <v>138</v>
      </c>
    </row>
    <row r="1758" spans="6:7">
      <c r="F1758" t="s">
        <v>4692</v>
      </c>
      <c r="G1758">
        <f t="shared" si="34"/>
        <v>138</v>
      </c>
    </row>
    <row r="1759" spans="6:7">
      <c r="F1759" t="s">
        <v>4693</v>
      </c>
      <c r="G1759">
        <f t="shared" si="34"/>
        <v>137</v>
      </c>
    </row>
    <row r="1760" spans="6:7">
      <c r="F1760" t="s">
        <v>4693</v>
      </c>
      <c r="G1760">
        <f t="shared" si="34"/>
        <v>137</v>
      </c>
    </row>
    <row r="1761" spans="6:7">
      <c r="F1761" t="s">
        <v>4693</v>
      </c>
      <c r="G1761">
        <f t="shared" si="34"/>
        <v>137</v>
      </c>
    </row>
    <row r="1762" spans="6:7">
      <c r="F1762" t="s">
        <v>4693</v>
      </c>
      <c r="G1762">
        <f t="shared" si="34"/>
        <v>137</v>
      </c>
    </row>
    <row r="1763" spans="6:7">
      <c r="F1763" t="s">
        <v>4693</v>
      </c>
      <c r="G1763">
        <f t="shared" si="34"/>
        <v>137</v>
      </c>
    </row>
    <row r="1764" spans="6:7">
      <c r="F1764" t="s">
        <v>4693</v>
      </c>
      <c r="G1764">
        <f t="shared" si="34"/>
        <v>137</v>
      </c>
    </row>
    <row r="1765" spans="6:7">
      <c r="F1765" t="s">
        <v>4693</v>
      </c>
      <c r="G1765">
        <f t="shared" si="34"/>
        <v>137</v>
      </c>
    </row>
    <row r="1766" spans="6:7">
      <c r="F1766" t="s">
        <v>4693</v>
      </c>
      <c r="G1766">
        <f t="shared" si="34"/>
        <v>137</v>
      </c>
    </row>
    <row r="1767" spans="6:7">
      <c r="F1767" t="s">
        <v>4693</v>
      </c>
      <c r="G1767">
        <f t="shared" si="34"/>
        <v>137</v>
      </c>
    </row>
    <row r="1768" spans="6:7">
      <c r="F1768" t="s">
        <v>4693</v>
      </c>
      <c r="G1768">
        <f t="shared" si="34"/>
        <v>137</v>
      </c>
    </row>
    <row r="1769" spans="6:7">
      <c r="F1769" t="s">
        <v>4693</v>
      </c>
      <c r="G1769">
        <f t="shared" si="34"/>
        <v>137</v>
      </c>
    </row>
    <row r="1770" spans="6:7">
      <c r="F1770" t="s">
        <v>4693</v>
      </c>
      <c r="G1770">
        <f t="shared" si="34"/>
        <v>137</v>
      </c>
    </row>
    <row r="1771" spans="6:7">
      <c r="F1771" t="s">
        <v>4693</v>
      </c>
      <c r="G1771">
        <f t="shared" si="34"/>
        <v>137</v>
      </c>
    </row>
    <row r="1772" spans="6:7">
      <c r="F1772" t="s">
        <v>4693</v>
      </c>
      <c r="G1772">
        <f t="shared" si="34"/>
        <v>137</v>
      </c>
    </row>
    <row r="1773" spans="6:7">
      <c r="F1773" t="s">
        <v>4693</v>
      </c>
      <c r="G1773">
        <f t="shared" si="34"/>
        <v>137</v>
      </c>
    </row>
    <row r="1774" spans="6:7">
      <c r="F1774" t="s">
        <v>4693</v>
      </c>
      <c r="G1774">
        <f t="shared" si="34"/>
        <v>137</v>
      </c>
    </row>
    <row r="1775" spans="6:7">
      <c r="F1775" t="s">
        <v>4693</v>
      </c>
      <c r="G1775">
        <f t="shared" si="34"/>
        <v>137</v>
      </c>
    </row>
    <row r="1776" spans="6:7">
      <c r="F1776" t="s">
        <v>4693</v>
      </c>
      <c r="G1776">
        <f t="shared" si="34"/>
        <v>137</v>
      </c>
    </row>
    <row r="1777" spans="6:7">
      <c r="F1777" t="s">
        <v>4693</v>
      </c>
      <c r="G1777">
        <f t="shared" si="34"/>
        <v>137</v>
      </c>
    </row>
    <row r="1778" spans="6:7">
      <c r="F1778" t="s">
        <v>4693</v>
      </c>
      <c r="G1778">
        <f t="shared" si="34"/>
        <v>137</v>
      </c>
    </row>
    <row r="1779" spans="6:7">
      <c r="F1779" t="s">
        <v>4693</v>
      </c>
      <c r="G1779">
        <f t="shared" si="34"/>
        <v>137</v>
      </c>
    </row>
    <row r="1780" spans="6:7">
      <c r="F1780" t="s">
        <v>4759</v>
      </c>
      <c r="G1780">
        <f t="shared" si="34"/>
        <v>136</v>
      </c>
    </row>
    <row r="1781" spans="6:7">
      <c r="F1781" t="s">
        <v>4759</v>
      </c>
      <c r="G1781">
        <f t="shared" si="34"/>
        <v>136</v>
      </c>
    </row>
    <row r="1782" spans="6:7">
      <c r="F1782" t="s">
        <v>4759</v>
      </c>
      <c r="G1782">
        <f t="shared" si="34"/>
        <v>136</v>
      </c>
    </row>
    <row r="1783" spans="6:7">
      <c r="F1783" t="s">
        <v>4759</v>
      </c>
      <c r="G1783">
        <f t="shared" si="34"/>
        <v>136</v>
      </c>
    </row>
    <row r="1784" spans="6:7">
      <c r="F1784" t="s">
        <v>4759</v>
      </c>
      <c r="G1784">
        <f t="shared" si="34"/>
        <v>136</v>
      </c>
    </row>
    <row r="1785" spans="6:7">
      <c r="F1785" t="s">
        <v>4759</v>
      </c>
      <c r="G1785">
        <f t="shared" si="34"/>
        <v>136</v>
      </c>
    </row>
    <row r="1786" spans="6:7">
      <c r="F1786" t="s">
        <v>4759</v>
      </c>
      <c r="G1786">
        <f t="shared" si="34"/>
        <v>136</v>
      </c>
    </row>
    <row r="1787" spans="6:7">
      <c r="F1787" t="s">
        <v>4759</v>
      </c>
      <c r="G1787">
        <f t="shared" si="34"/>
        <v>136</v>
      </c>
    </row>
    <row r="1788" spans="6:7">
      <c r="F1788" t="s">
        <v>4759</v>
      </c>
      <c r="G1788">
        <f t="shared" si="34"/>
        <v>136</v>
      </c>
    </row>
    <row r="1789" spans="6:7">
      <c r="F1789" t="s">
        <v>4759</v>
      </c>
      <c r="G1789">
        <f t="shared" si="34"/>
        <v>136</v>
      </c>
    </row>
    <row r="1790" spans="6:7">
      <c r="F1790" t="s">
        <v>4759</v>
      </c>
      <c r="G1790">
        <f t="shared" si="34"/>
        <v>136</v>
      </c>
    </row>
    <row r="1791" spans="6:7">
      <c r="F1791" t="s">
        <v>4759</v>
      </c>
      <c r="G1791">
        <f t="shared" si="34"/>
        <v>136</v>
      </c>
    </row>
    <row r="1792" spans="6:7">
      <c r="F1792" t="s">
        <v>4759</v>
      </c>
      <c r="G1792">
        <f t="shared" si="34"/>
        <v>136</v>
      </c>
    </row>
    <row r="1793" spans="6:7">
      <c r="F1793" t="s">
        <v>4759</v>
      </c>
      <c r="G1793">
        <f t="shared" si="34"/>
        <v>136</v>
      </c>
    </row>
    <row r="1794" spans="6:7">
      <c r="F1794" t="s">
        <v>4759</v>
      </c>
      <c r="G1794">
        <f t="shared" si="34"/>
        <v>136</v>
      </c>
    </row>
    <row r="1795" spans="6:7">
      <c r="F1795" t="s">
        <v>4759</v>
      </c>
      <c r="G1795">
        <f t="shared" si="34"/>
        <v>136</v>
      </c>
    </row>
    <row r="1796" spans="6:7">
      <c r="F1796" t="s">
        <v>4759</v>
      </c>
      <c r="G1796">
        <f t="shared" si="34"/>
        <v>136</v>
      </c>
    </row>
    <row r="1797" spans="6:7">
      <c r="F1797" t="s">
        <v>4759</v>
      </c>
      <c r="G1797">
        <f t="shared" ref="G1797:G1860" si="35">_xlfn.XLOOKUP(F1797,$C$4:$C$220,$A$4:$A$220)</f>
        <v>136</v>
      </c>
    </row>
    <row r="1798" spans="6:7">
      <c r="F1798" t="s">
        <v>4759</v>
      </c>
      <c r="G1798">
        <f t="shared" si="35"/>
        <v>136</v>
      </c>
    </row>
    <row r="1799" spans="6:7">
      <c r="F1799" t="s">
        <v>4759</v>
      </c>
      <c r="G1799">
        <f t="shared" si="35"/>
        <v>136</v>
      </c>
    </row>
    <row r="1800" spans="6:7">
      <c r="F1800" t="s">
        <v>4759</v>
      </c>
      <c r="G1800">
        <f t="shared" si="35"/>
        <v>136</v>
      </c>
    </row>
    <row r="1801" spans="6:7">
      <c r="F1801" t="s">
        <v>4760</v>
      </c>
      <c r="G1801">
        <f t="shared" si="35"/>
        <v>10034</v>
      </c>
    </row>
    <row r="1802" spans="6:7">
      <c r="F1802" t="s">
        <v>4760</v>
      </c>
      <c r="G1802">
        <f t="shared" si="35"/>
        <v>10034</v>
      </c>
    </row>
    <row r="1803" spans="6:7">
      <c r="F1803" t="s">
        <v>4760</v>
      </c>
      <c r="G1803">
        <f t="shared" si="35"/>
        <v>10034</v>
      </c>
    </row>
    <row r="1804" spans="6:7">
      <c r="F1804" t="s">
        <v>4760</v>
      </c>
      <c r="G1804">
        <f t="shared" si="35"/>
        <v>10034</v>
      </c>
    </row>
    <row r="1805" spans="6:7">
      <c r="F1805" t="s">
        <v>4760</v>
      </c>
      <c r="G1805">
        <f t="shared" si="35"/>
        <v>10034</v>
      </c>
    </row>
    <row r="1806" spans="6:7">
      <c r="F1806" t="s">
        <v>4760</v>
      </c>
      <c r="G1806">
        <f t="shared" si="35"/>
        <v>10034</v>
      </c>
    </row>
    <row r="1807" spans="6:7">
      <c r="F1807" t="s">
        <v>4760</v>
      </c>
      <c r="G1807">
        <f t="shared" si="35"/>
        <v>10034</v>
      </c>
    </row>
    <row r="1808" spans="6:7">
      <c r="F1808" t="s">
        <v>4760</v>
      </c>
      <c r="G1808">
        <f t="shared" si="35"/>
        <v>10034</v>
      </c>
    </row>
    <row r="1809" spans="6:7">
      <c r="F1809" t="s">
        <v>4760</v>
      </c>
      <c r="G1809">
        <f t="shared" si="35"/>
        <v>10034</v>
      </c>
    </row>
    <row r="1810" spans="6:7">
      <c r="F1810" t="s">
        <v>4760</v>
      </c>
      <c r="G1810">
        <f t="shared" si="35"/>
        <v>10034</v>
      </c>
    </row>
    <row r="1811" spans="6:7">
      <c r="F1811" t="s">
        <v>4760</v>
      </c>
      <c r="G1811">
        <f t="shared" si="35"/>
        <v>10034</v>
      </c>
    </row>
    <row r="1812" spans="6:7">
      <c r="F1812" t="s">
        <v>4760</v>
      </c>
      <c r="G1812">
        <f t="shared" si="35"/>
        <v>10034</v>
      </c>
    </row>
    <row r="1813" spans="6:7">
      <c r="F1813" t="s">
        <v>4760</v>
      </c>
      <c r="G1813">
        <f t="shared" si="35"/>
        <v>10034</v>
      </c>
    </row>
    <row r="1814" spans="6:7">
      <c r="F1814" t="s">
        <v>4760</v>
      </c>
      <c r="G1814">
        <f t="shared" si="35"/>
        <v>10034</v>
      </c>
    </row>
    <row r="1815" spans="6:7">
      <c r="F1815" t="s">
        <v>4760</v>
      </c>
      <c r="G1815">
        <f t="shared" si="35"/>
        <v>10034</v>
      </c>
    </row>
    <row r="1816" spans="6:7">
      <c r="F1816" t="s">
        <v>4760</v>
      </c>
      <c r="G1816">
        <f t="shared" si="35"/>
        <v>10034</v>
      </c>
    </row>
    <row r="1817" spans="6:7">
      <c r="F1817" t="s">
        <v>4760</v>
      </c>
      <c r="G1817">
        <f t="shared" si="35"/>
        <v>10034</v>
      </c>
    </row>
    <row r="1818" spans="6:7">
      <c r="F1818" t="s">
        <v>4760</v>
      </c>
      <c r="G1818">
        <f t="shared" si="35"/>
        <v>10034</v>
      </c>
    </row>
    <row r="1819" spans="6:7">
      <c r="F1819" t="s">
        <v>4760</v>
      </c>
      <c r="G1819">
        <f t="shared" si="35"/>
        <v>10034</v>
      </c>
    </row>
    <row r="1820" spans="6:7">
      <c r="F1820" t="s">
        <v>4760</v>
      </c>
      <c r="G1820">
        <f t="shared" si="35"/>
        <v>10034</v>
      </c>
    </row>
    <row r="1821" spans="6:7">
      <c r="F1821" t="s">
        <v>4760</v>
      </c>
      <c r="G1821">
        <f t="shared" si="35"/>
        <v>10034</v>
      </c>
    </row>
    <row r="1822" spans="6:7">
      <c r="F1822" t="s">
        <v>4782</v>
      </c>
      <c r="G1822">
        <f t="shared" si="35"/>
        <v>10035</v>
      </c>
    </row>
    <row r="1823" spans="6:7">
      <c r="F1823" t="s">
        <v>4782</v>
      </c>
      <c r="G1823">
        <f t="shared" si="35"/>
        <v>10035</v>
      </c>
    </row>
    <row r="1824" spans="6:7">
      <c r="F1824" t="s">
        <v>4782</v>
      </c>
      <c r="G1824">
        <f t="shared" si="35"/>
        <v>10035</v>
      </c>
    </row>
    <row r="1825" spans="6:7">
      <c r="F1825" t="s">
        <v>4782</v>
      </c>
      <c r="G1825">
        <f t="shared" si="35"/>
        <v>10035</v>
      </c>
    </row>
    <row r="1826" spans="6:7">
      <c r="F1826" t="s">
        <v>4782</v>
      </c>
      <c r="G1826">
        <f t="shared" si="35"/>
        <v>10035</v>
      </c>
    </row>
    <row r="1827" spans="6:7">
      <c r="F1827" t="s">
        <v>4782</v>
      </c>
      <c r="G1827">
        <f t="shared" si="35"/>
        <v>10035</v>
      </c>
    </row>
    <row r="1828" spans="6:7">
      <c r="F1828" t="s">
        <v>4782</v>
      </c>
      <c r="G1828">
        <f t="shared" si="35"/>
        <v>10035</v>
      </c>
    </row>
    <row r="1829" spans="6:7">
      <c r="F1829" t="s">
        <v>4782</v>
      </c>
      <c r="G1829">
        <f t="shared" si="35"/>
        <v>10035</v>
      </c>
    </row>
    <row r="1830" spans="6:7">
      <c r="F1830" t="s">
        <v>4782</v>
      </c>
      <c r="G1830">
        <f t="shared" si="35"/>
        <v>10035</v>
      </c>
    </row>
    <row r="1831" spans="6:7">
      <c r="F1831" t="s">
        <v>4782</v>
      </c>
      <c r="G1831">
        <f t="shared" si="35"/>
        <v>10035</v>
      </c>
    </row>
    <row r="1832" spans="6:7">
      <c r="F1832" t="s">
        <v>4782</v>
      </c>
      <c r="G1832">
        <f t="shared" si="35"/>
        <v>10035</v>
      </c>
    </row>
    <row r="1833" spans="6:7">
      <c r="F1833" t="s">
        <v>4782</v>
      </c>
      <c r="G1833">
        <f t="shared" si="35"/>
        <v>10035</v>
      </c>
    </row>
    <row r="1834" spans="6:7">
      <c r="F1834" t="s">
        <v>4782</v>
      </c>
      <c r="G1834">
        <f t="shared" si="35"/>
        <v>10035</v>
      </c>
    </row>
    <row r="1835" spans="6:7">
      <c r="F1835" t="s">
        <v>4782</v>
      </c>
      <c r="G1835">
        <f t="shared" si="35"/>
        <v>10035</v>
      </c>
    </row>
    <row r="1836" spans="6:7">
      <c r="F1836" t="s">
        <v>4782</v>
      </c>
      <c r="G1836">
        <f t="shared" si="35"/>
        <v>10035</v>
      </c>
    </row>
    <row r="1837" spans="6:7">
      <c r="F1837" t="s">
        <v>4782</v>
      </c>
      <c r="G1837">
        <f t="shared" si="35"/>
        <v>10035</v>
      </c>
    </row>
    <row r="1838" spans="6:7">
      <c r="F1838" t="s">
        <v>4782</v>
      </c>
      <c r="G1838">
        <f t="shared" si="35"/>
        <v>10035</v>
      </c>
    </row>
    <row r="1839" spans="6:7">
      <c r="F1839" t="s">
        <v>4782</v>
      </c>
      <c r="G1839">
        <f t="shared" si="35"/>
        <v>10035</v>
      </c>
    </row>
    <row r="1840" spans="6:7">
      <c r="F1840" t="s">
        <v>4782</v>
      </c>
      <c r="G1840">
        <f t="shared" si="35"/>
        <v>10035</v>
      </c>
    </row>
    <row r="1841" spans="6:7">
      <c r="F1841" t="s">
        <v>4782</v>
      </c>
      <c r="G1841">
        <f t="shared" si="35"/>
        <v>10035</v>
      </c>
    </row>
    <row r="1842" spans="6:7">
      <c r="F1842" t="s">
        <v>4782</v>
      </c>
      <c r="G1842">
        <f t="shared" si="35"/>
        <v>10035</v>
      </c>
    </row>
    <row r="1843" spans="6:7">
      <c r="F1843" t="s">
        <v>4803</v>
      </c>
      <c r="G1843">
        <f t="shared" si="35"/>
        <v>10036</v>
      </c>
    </row>
    <row r="1844" spans="6:7">
      <c r="F1844" t="s">
        <v>4803</v>
      </c>
      <c r="G1844">
        <f t="shared" si="35"/>
        <v>10036</v>
      </c>
    </row>
    <row r="1845" spans="6:7">
      <c r="F1845" t="s">
        <v>4803</v>
      </c>
      <c r="G1845">
        <f t="shared" si="35"/>
        <v>10036</v>
      </c>
    </row>
    <row r="1846" spans="6:7">
      <c r="F1846" t="s">
        <v>4803</v>
      </c>
      <c r="G1846">
        <f t="shared" si="35"/>
        <v>10036</v>
      </c>
    </row>
    <row r="1847" spans="6:7">
      <c r="F1847" t="s">
        <v>4803</v>
      </c>
      <c r="G1847">
        <f t="shared" si="35"/>
        <v>10036</v>
      </c>
    </row>
    <row r="1848" spans="6:7">
      <c r="F1848" t="s">
        <v>4803</v>
      </c>
      <c r="G1848">
        <f t="shared" si="35"/>
        <v>10036</v>
      </c>
    </row>
    <row r="1849" spans="6:7">
      <c r="F1849" t="s">
        <v>4803</v>
      </c>
      <c r="G1849">
        <f t="shared" si="35"/>
        <v>10036</v>
      </c>
    </row>
    <row r="1850" spans="6:7">
      <c r="F1850" t="s">
        <v>4803</v>
      </c>
      <c r="G1850">
        <f t="shared" si="35"/>
        <v>10036</v>
      </c>
    </row>
    <row r="1851" spans="6:7">
      <c r="F1851" t="s">
        <v>4803</v>
      </c>
      <c r="G1851">
        <f t="shared" si="35"/>
        <v>10036</v>
      </c>
    </row>
    <row r="1852" spans="6:7">
      <c r="F1852" t="s">
        <v>4803</v>
      </c>
      <c r="G1852">
        <f t="shared" si="35"/>
        <v>10036</v>
      </c>
    </row>
    <row r="1853" spans="6:7">
      <c r="F1853" t="s">
        <v>4803</v>
      </c>
      <c r="G1853">
        <f t="shared" si="35"/>
        <v>10036</v>
      </c>
    </row>
    <row r="1854" spans="6:7">
      <c r="F1854" t="s">
        <v>4803</v>
      </c>
      <c r="G1854">
        <f t="shared" si="35"/>
        <v>10036</v>
      </c>
    </row>
    <row r="1855" spans="6:7">
      <c r="F1855" t="s">
        <v>4803</v>
      </c>
      <c r="G1855">
        <f t="shared" si="35"/>
        <v>10036</v>
      </c>
    </row>
    <row r="1856" spans="6:7">
      <c r="F1856" t="s">
        <v>4803</v>
      </c>
      <c r="G1856">
        <f t="shared" si="35"/>
        <v>10036</v>
      </c>
    </row>
    <row r="1857" spans="6:7">
      <c r="F1857" t="s">
        <v>4803</v>
      </c>
      <c r="G1857">
        <f t="shared" si="35"/>
        <v>10036</v>
      </c>
    </row>
    <row r="1858" spans="6:7">
      <c r="F1858" t="s">
        <v>4803</v>
      </c>
      <c r="G1858">
        <f t="shared" si="35"/>
        <v>10036</v>
      </c>
    </row>
    <row r="1859" spans="6:7">
      <c r="F1859" t="s">
        <v>4803</v>
      </c>
      <c r="G1859">
        <f t="shared" si="35"/>
        <v>10036</v>
      </c>
    </row>
    <row r="1860" spans="6:7">
      <c r="F1860" t="s">
        <v>4803</v>
      </c>
      <c r="G1860">
        <f t="shared" si="35"/>
        <v>10036</v>
      </c>
    </row>
    <row r="1861" spans="6:7">
      <c r="F1861" t="s">
        <v>4803</v>
      </c>
      <c r="G1861">
        <f t="shared" ref="G1861:G1924" si="36">_xlfn.XLOOKUP(F1861,$C$4:$C$220,$A$4:$A$220)</f>
        <v>10036</v>
      </c>
    </row>
    <row r="1862" spans="6:7">
      <c r="F1862" t="s">
        <v>4803</v>
      </c>
      <c r="G1862">
        <f t="shared" si="36"/>
        <v>10036</v>
      </c>
    </row>
    <row r="1863" spans="6:7">
      <c r="F1863" t="s">
        <v>4803</v>
      </c>
      <c r="G1863">
        <f t="shared" si="36"/>
        <v>10036</v>
      </c>
    </row>
    <row r="1864" spans="6:7">
      <c r="F1864" t="s">
        <v>4824</v>
      </c>
      <c r="G1864">
        <f t="shared" si="36"/>
        <v>141</v>
      </c>
    </row>
    <row r="1865" spans="6:7">
      <c r="F1865" t="s">
        <v>4824</v>
      </c>
      <c r="G1865">
        <f t="shared" si="36"/>
        <v>141</v>
      </c>
    </row>
    <row r="1866" spans="6:7">
      <c r="F1866" t="s">
        <v>4824</v>
      </c>
      <c r="G1866">
        <f t="shared" si="36"/>
        <v>141</v>
      </c>
    </row>
    <row r="1867" spans="6:7">
      <c r="F1867" t="s">
        <v>4824</v>
      </c>
      <c r="G1867">
        <f t="shared" si="36"/>
        <v>141</v>
      </c>
    </row>
    <row r="1868" spans="6:7">
      <c r="F1868" t="s">
        <v>4824</v>
      </c>
      <c r="G1868">
        <f t="shared" si="36"/>
        <v>141</v>
      </c>
    </row>
    <row r="1869" spans="6:7">
      <c r="F1869" t="s">
        <v>4824</v>
      </c>
      <c r="G1869">
        <f t="shared" si="36"/>
        <v>141</v>
      </c>
    </row>
    <row r="1870" spans="6:7">
      <c r="F1870" t="s">
        <v>4825</v>
      </c>
      <c r="G1870">
        <f t="shared" si="36"/>
        <v>143</v>
      </c>
    </row>
    <row r="1871" spans="6:7">
      <c r="F1871" t="s">
        <v>4825</v>
      </c>
      <c r="G1871">
        <f t="shared" si="36"/>
        <v>143</v>
      </c>
    </row>
    <row r="1872" spans="6:7">
      <c r="F1872" t="s">
        <v>4825</v>
      </c>
      <c r="G1872">
        <f t="shared" si="36"/>
        <v>143</v>
      </c>
    </row>
    <row r="1873" spans="6:7">
      <c r="F1873" t="s">
        <v>4825</v>
      </c>
      <c r="G1873">
        <f t="shared" si="36"/>
        <v>143</v>
      </c>
    </row>
    <row r="1874" spans="6:7">
      <c r="F1874" t="s">
        <v>4825</v>
      </c>
      <c r="G1874">
        <f t="shared" si="36"/>
        <v>143</v>
      </c>
    </row>
    <row r="1875" spans="6:7">
      <c r="F1875" t="s">
        <v>4825</v>
      </c>
      <c r="G1875">
        <f t="shared" si="36"/>
        <v>143</v>
      </c>
    </row>
    <row r="1876" spans="6:7">
      <c r="F1876" t="s">
        <v>4826</v>
      </c>
      <c r="G1876">
        <f t="shared" si="36"/>
        <v>142</v>
      </c>
    </row>
    <row r="1877" spans="6:7">
      <c r="F1877" t="s">
        <v>4826</v>
      </c>
      <c r="G1877">
        <f t="shared" si="36"/>
        <v>142</v>
      </c>
    </row>
    <row r="1878" spans="6:7">
      <c r="F1878" t="s">
        <v>4826</v>
      </c>
      <c r="G1878">
        <f t="shared" si="36"/>
        <v>142</v>
      </c>
    </row>
    <row r="1879" spans="6:7">
      <c r="F1879" t="s">
        <v>4826</v>
      </c>
      <c r="G1879">
        <f t="shared" si="36"/>
        <v>142</v>
      </c>
    </row>
    <row r="1880" spans="6:7">
      <c r="F1880" t="s">
        <v>4826</v>
      </c>
      <c r="G1880">
        <f t="shared" si="36"/>
        <v>142</v>
      </c>
    </row>
    <row r="1881" spans="6:7">
      <c r="F1881" t="s">
        <v>4826</v>
      </c>
      <c r="G1881">
        <f t="shared" si="36"/>
        <v>142</v>
      </c>
    </row>
    <row r="1882" spans="6:7">
      <c r="F1882" t="s">
        <v>4827</v>
      </c>
      <c r="G1882">
        <f t="shared" si="36"/>
        <v>144</v>
      </c>
    </row>
    <row r="1883" spans="6:7">
      <c r="F1883" t="s">
        <v>4827</v>
      </c>
      <c r="G1883">
        <f t="shared" si="36"/>
        <v>144</v>
      </c>
    </row>
    <row r="1884" spans="6:7">
      <c r="F1884" t="s">
        <v>4827</v>
      </c>
      <c r="G1884">
        <f t="shared" si="36"/>
        <v>144</v>
      </c>
    </row>
    <row r="1885" spans="6:7">
      <c r="F1885" t="s">
        <v>4827</v>
      </c>
      <c r="G1885">
        <f t="shared" si="36"/>
        <v>144</v>
      </c>
    </row>
    <row r="1886" spans="6:7">
      <c r="F1886" t="s">
        <v>4827</v>
      </c>
      <c r="G1886">
        <f t="shared" si="36"/>
        <v>144</v>
      </c>
    </row>
    <row r="1887" spans="6:7">
      <c r="F1887" t="s">
        <v>4827</v>
      </c>
      <c r="G1887">
        <f t="shared" si="36"/>
        <v>144</v>
      </c>
    </row>
    <row r="1888" spans="6:7">
      <c r="F1888" t="s">
        <v>4828</v>
      </c>
      <c r="G1888">
        <f t="shared" si="36"/>
        <v>148</v>
      </c>
    </row>
    <row r="1889" spans="6:7">
      <c r="F1889" t="s">
        <v>4828</v>
      </c>
      <c r="G1889">
        <f t="shared" si="36"/>
        <v>148</v>
      </c>
    </row>
    <row r="1890" spans="6:7">
      <c r="F1890" t="s">
        <v>4828</v>
      </c>
      <c r="G1890">
        <f t="shared" si="36"/>
        <v>148</v>
      </c>
    </row>
    <row r="1891" spans="6:7">
      <c r="F1891" t="s">
        <v>4828</v>
      </c>
      <c r="G1891">
        <f t="shared" si="36"/>
        <v>148</v>
      </c>
    </row>
    <row r="1892" spans="6:7">
      <c r="F1892" t="s">
        <v>4828</v>
      </c>
      <c r="G1892">
        <f t="shared" si="36"/>
        <v>148</v>
      </c>
    </row>
    <row r="1893" spans="6:7">
      <c r="F1893" t="s">
        <v>4828</v>
      </c>
      <c r="G1893">
        <f t="shared" si="36"/>
        <v>148</v>
      </c>
    </row>
    <row r="1894" spans="6:7">
      <c r="F1894" t="s">
        <v>4828</v>
      </c>
      <c r="G1894">
        <f t="shared" si="36"/>
        <v>148</v>
      </c>
    </row>
    <row r="1895" spans="6:7">
      <c r="F1895" t="s">
        <v>4828</v>
      </c>
      <c r="G1895">
        <f t="shared" si="36"/>
        <v>148</v>
      </c>
    </row>
    <row r="1896" spans="6:7">
      <c r="F1896" t="s">
        <v>4828</v>
      </c>
      <c r="G1896">
        <f t="shared" si="36"/>
        <v>148</v>
      </c>
    </row>
    <row r="1897" spans="6:7">
      <c r="F1897" t="s">
        <v>4828</v>
      </c>
      <c r="G1897">
        <f t="shared" si="36"/>
        <v>148</v>
      </c>
    </row>
    <row r="1898" spans="6:7">
      <c r="F1898" t="s">
        <v>4828</v>
      </c>
      <c r="G1898">
        <f t="shared" si="36"/>
        <v>148</v>
      </c>
    </row>
    <row r="1899" spans="6:7">
      <c r="F1899" t="s">
        <v>4829</v>
      </c>
      <c r="G1899">
        <f t="shared" si="36"/>
        <v>147</v>
      </c>
    </row>
    <row r="1900" spans="6:7">
      <c r="F1900" t="s">
        <v>4829</v>
      </c>
      <c r="G1900">
        <f t="shared" si="36"/>
        <v>147</v>
      </c>
    </row>
    <row r="1901" spans="6:7">
      <c r="F1901" t="s">
        <v>4829</v>
      </c>
      <c r="G1901">
        <f t="shared" si="36"/>
        <v>147</v>
      </c>
    </row>
    <row r="1902" spans="6:7">
      <c r="F1902" t="s">
        <v>4829</v>
      </c>
      <c r="G1902">
        <f t="shared" si="36"/>
        <v>147</v>
      </c>
    </row>
    <row r="1903" spans="6:7">
      <c r="F1903" t="s">
        <v>4829</v>
      </c>
      <c r="G1903">
        <f t="shared" si="36"/>
        <v>147</v>
      </c>
    </row>
    <row r="1904" spans="6:7">
      <c r="F1904" t="s">
        <v>4829</v>
      </c>
      <c r="G1904">
        <f t="shared" si="36"/>
        <v>147</v>
      </c>
    </row>
    <row r="1905" spans="6:7">
      <c r="F1905" t="s">
        <v>4829</v>
      </c>
      <c r="G1905">
        <f t="shared" si="36"/>
        <v>147</v>
      </c>
    </row>
    <row r="1906" spans="6:7">
      <c r="F1906" t="s">
        <v>4829</v>
      </c>
      <c r="G1906">
        <f t="shared" si="36"/>
        <v>147</v>
      </c>
    </row>
    <row r="1907" spans="6:7">
      <c r="F1907" t="s">
        <v>4829</v>
      </c>
      <c r="G1907">
        <f t="shared" si="36"/>
        <v>147</v>
      </c>
    </row>
    <row r="1908" spans="6:7">
      <c r="F1908" t="s">
        <v>4829</v>
      </c>
      <c r="G1908">
        <f t="shared" si="36"/>
        <v>147</v>
      </c>
    </row>
    <row r="1909" spans="6:7">
      <c r="F1909" t="s">
        <v>4829</v>
      </c>
      <c r="G1909">
        <f t="shared" si="36"/>
        <v>147</v>
      </c>
    </row>
    <row r="1910" spans="6:7">
      <c r="F1910" t="s">
        <v>4830</v>
      </c>
      <c r="G1910">
        <f t="shared" si="36"/>
        <v>149</v>
      </c>
    </row>
    <row r="1911" spans="6:7">
      <c r="F1911" t="s">
        <v>4830</v>
      </c>
      <c r="G1911">
        <f t="shared" si="36"/>
        <v>149</v>
      </c>
    </row>
    <row r="1912" spans="6:7">
      <c r="F1912" t="s">
        <v>4830</v>
      </c>
      <c r="G1912">
        <f t="shared" si="36"/>
        <v>149</v>
      </c>
    </row>
    <row r="1913" spans="6:7">
      <c r="F1913" t="s">
        <v>4830</v>
      </c>
      <c r="G1913">
        <f t="shared" si="36"/>
        <v>149</v>
      </c>
    </row>
    <row r="1914" spans="6:7">
      <c r="F1914" t="s">
        <v>4830</v>
      </c>
      <c r="G1914">
        <f t="shared" si="36"/>
        <v>149</v>
      </c>
    </row>
    <row r="1915" spans="6:7">
      <c r="F1915" t="s">
        <v>4830</v>
      </c>
      <c r="G1915">
        <f t="shared" si="36"/>
        <v>149</v>
      </c>
    </row>
    <row r="1916" spans="6:7">
      <c r="F1916" t="s">
        <v>4830</v>
      </c>
      <c r="G1916">
        <f t="shared" si="36"/>
        <v>149</v>
      </c>
    </row>
    <row r="1917" spans="6:7">
      <c r="F1917" t="s">
        <v>4830</v>
      </c>
      <c r="G1917">
        <f t="shared" si="36"/>
        <v>149</v>
      </c>
    </row>
    <row r="1918" spans="6:7">
      <c r="F1918" t="s">
        <v>4830</v>
      </c>
      <c r="G1918">
        <f t="shared" si="36"/>
        <v>149</v>
      </c>
    </row>
    <row r="1919" spans="6:7">
      <c r="F1919" t="s">
        <v>4830</v>
      </c>
      <c r="G1919">
        <f t="shared" si="36"/>
        <v>149</v>
      </c>
    </row>
    <row r="1920" spans="6:7">
      <c r="F1920" t="s">
        <v>4830</v>
      </c>
      <c r="G1920">
        <f t="shared" si="36"/>
        <v>149</v>
      </c>
    </row>
    <row r="1921" spans="6:7">
      <c r="F1921" t="s">
        <v>4831</v>
      </c>
      <c r="G1921">
        <f t="shared" si="36"/>
        <v>10040</v>
      </c>
    </row>
    <row r="1922" spans="6:7">
      <c r="F1922" t="s">
        <v>4831</v>
      </c>
      <c r="G1922">
        <f t="shared" si="36"/>
        <v>10040</v>
      </c>
    </row>
    <row r="1923" spans="6:7">
      <c r="F1923" t="s">
        <v>4831</v>
      </c>
      <c r="G1923">
        <f t="shared" si="36"/>
        <v>10040</v>
      </c>
    </row>
    <row r="1924" spans="6:7">
      <c r="F1924" t="s">
        <v>4831</v>
      </c>
      <c r="G1924">
        <f t="shared" si="36"/>
        <v>10040</v>
      </c>
    </row>
    <row r="1925" spans="6:7">
      <c r="F1925" t="s">
        <v>4831</v>
      </c>
      <c r="G1925">
        <f t="shared" ref="G1925:G1988" si="37">_xlfn.XLOOKUP(F1925,$C$4:$C$220,$A$4:$A$220)</f>
        <v>10040</v>
      </c>
    </row>
    <row r="1926" spans="6:7">
      <c r="F1926" t="s">
        <v>4831</v>
      </c>
      <c r="G1926">
        <f t="shared" si="37"/>
        <v>10040</v>
      </c>
    </row>
    <row r="1927" spans="6:7">
      <c r="F1927" t="s">
        <v>4831</v>
      </c>
      <c r="G1927">
        <f t="shared" si="37"/>
        <v>10040</v>
      </c>
    </row>
    <row r="1928" spans="6:7">
      <c r="F1928" t="s">
        <v>4831</v>
      </c>
      <c r="G1928">
        <f t="shared" si="37"/>
        <v>10040</v>
      </c>
    </row>
    <row r="1929" spans="6:7">
      <c r="F1929" t="s">
        <v>4831</v>
      </c>
      <c r="G1929">
        <f t="shared" si="37"/>
        <v>10040</v>
      </c>
    </row>
    <row r="1930" spans="6:7">
      <c r="F1930" t="s">
        <v>4831</v>
      </c>
      <c r="G1930">
        <f t="shared" si="37"/>
        <v>10040</v>
      </c>
    </row>
    <row r="1931" spans="6:7">
      <c r="F1931" t="s">
        <v>4831</v>
      </c>
      <c r="G1931">
        <f t="shared" si="37"/>
        <v>10040</v>
      </c>
    </row>
    <row r="1932" spans="6:7">
      <c r="F1932" t="s">
        <v>4831</v>
      </c>
      <c r="G1932">
        <f t="shared" si="37"/>
        <v>10040</v>
      </c>
    </row>
    <row r="1933" spans="6:7">
      <c r="F1933" t="s">
        <v>4831</v>
      </c>
      <c r="G1933">
        <f t="shared" si="37"/>
        <v>10040</v>
      </c>
    </row>
    <row r="1934" spans="6:7">
      <c r="F1934" t="s">
        <v>4831</v>
      </c>
      <c r="G1934">
        <f t="shared" si="37"/>
        <v>10040</v>
      </c>
    </row>
    <row r="1935" spans="6:7">
      <c r="F1935" t="s">
        <v>4831</v>
      </c>
      <c r="G1935">
        <f t="shared" si="37"/>
        <v>10040</v>
      </c>
    </row>
    <row r="1936" spans="6:7">
      <c r="F1936" t="s">
        <v>4831</v>
      </c>
      <c r="G1936">
        <f t="shared" si="37"/>
        <v>10040</v>
      </c>
    </row>
    <row r="1937" spans="6:7">
      <c r="F1937" t="s">
        <v>4831</v>
      </c>
      <c r="G1937">
        <f t="shared" si="37"/>
        <v>10040</v>
      </c>
    </row>
    <row r="1938" spans="6:7">
      <c r="F1938" t="s">
        <v>4831</v>
      </c>
      <c r="G1938">
        <f t="shared" si="37"/>
        <v>10040</v>
      </c>
    </row>
    <row r="1939" spans="6:7">
      <c r="F1939" t="s">
        <v>4831</v>
      </c>
      <c r="G1939">
        <f t="shared" si="37"/>
        <v>10040</v>
      </c>
    </row>
    <row r="1940" spans="6:7">
      <c r="F1940" t="s">
        <v>4831</v>
      </c>
      <c r="G1940">
        <f t="shared" si="37"/>
        <v>10040</v>
      </c>
    </row>
    <row r="1941" spans="6:7">
      <c r="F1941" t="s">
        <v>4831</v>
      </c>
      <c r="G1941">
        <f t="shared" si="37"/>
        <v>10040</v>
      </c>
    </row>
    <row r="1942" spans="6:7">
      <c r="F1942" t="s">
        <v>4853</v>
      </c>
      <c r="G1942">
        <f t="shared" si="37"/>
        <v>10041</v>
      </c>
    </row>
    <row r="1943" spans="6:7">
      <c r="F1943" t="s">
        <v>4853</v>
      </c>
      <c r="G1943">
        <f t="shared" si="37"/>
        <v>10041</v>
      </c>
    </row>
    <row r="1944" spans="6:7">
      <c r="F1944" t="s">
        <v>4853</v>
      </c>
      <c r="G1944">
        <f t="shared" si="37"/>
        <v>10041</v>
      </c>
    </row>
    <row r="1945" spans="6:7">
      <c r="F1945" t="s">
        <v>4853</v>
      </c>
      <c r="G1945">
        <f t="shared" si="37"/>
        <v>10041</v>
      </c>
    </row>
    <row r="1946" spans="6:7">
      <c r="F1946" t="s">
        <v>4853</v>
      </c>
      <c r="G1946">
        <f t="shared" si="37"/>
        <v>10041</v>
      </c>
    </row>
    <row r="1947" spans="6:7">
      <c r="F1947" t="s">
        <v>4853</v>
      </c>
      <c r="G1947">
        <f t="shared" si="37"/>
        <v>10041</v>
      </c>
    </row>
    <row r="1948" spans="6:7">
      <c r="F1948" t="s">
        <v>4853</v>
      </c>
      <c r="G1948">
        <f t="shared" si="37"/>
        <v>10041</v>
      </c>
    </row>
    <row r="1949" spans="6:7">
      <c r="F1949" t="s">
        <v>4853</v>
      </c>
      <c r="G1949">
        <f t="shared" si="37"/>
        <v>10041</v>
      </c>
    </row>
    <row r="1950" spans="6:7">
      <c r="F1950" t="s">
        <v>4853</v>
      </c>
      <c r="G1950">
        <f t="shared" si="37"/>
        <v>10041</v>
      </c>
    </row>
    <row r="1951" spans="6:7">
      <c r="F1951" t="s">
        <v>4853</v>
      </c>
      <c r="G1951">
        <f t="shared" si="37"/>
        <v>10041</v>
      </c>
    </row>
    <row r="1952" spans="6:7">
      <c r="F1952" t="s">
        <v>4853</v>
      </c>
      <c r="G1952">
        <f t="shared" si="37"/>
        <v>10041</v>
      </c>
    </row>
    <row r="1953" spans="6:7">
      <c r="F1953" t="s">
        <v>4853</v>
      </c>
      <c r="G1953">
        <f t="shared" si="37"/>
        <v>10041</v>
      </c>
    </row>
    <row r="1954" spans="6:7">
      <c r="F1954" t="s">
        <v>4853</v>
      </c>
      <c r="G1954">
        <f t="shared" si="37"/>
        <v>10041</v>
      </c>
    </row>
    <row r="1955" spans="6:7">
      <c r="F1955" t="s">
        <v>4853</v>
      </c>
      <c r="G1955">
        <f t="shared" si="37"/>
        <v>10041</v>
      </c>
    </row>
    <row r="1956" spans="6:7">
      <c r="F1956" t="s">
        <v>4853</v>
      </c>
      <c r="G1956">
        <f t="shared" si="37"/>
        <v>10041</v>
      </c>
    </row>
    <row r="1957" spans="6:7">
      <c r="F1957" t="s">
        <v>4853</v>
      </c>
      <c r="G1957">
        <f t="shared" si="37"/>
        <v>10041</v>
      </c>
    </row>
    <row r="1958" spans="6:7">
      <c r="F1958" t="s">
        <v>4853</v>
      </c>
      <c r="G1958">
        <f t="shared" si="37"/>
        <v>10041</v>
      </c>
    </row>
    <row r="1959" spans="6:7">
      <c r="F1959" t="s">
        <v>4853</v>
      </c>
      <c r="G1959">
        <f t="shared" si="37"/>
        <v>10041</v>
      </c>
    </row>
    <row r="1960" spans="6:7">
      <c r="F1960" t="s">
        <v>4853</v>
      </c>
      <c r="G1960">
        <f t="shared" si="37"/>
        <v>10041</v>
      </c>
    </row>
    <row r="1961" spans="6:7">
      <c r="F1961" t="s">
        <v>4853</v>
      </c>
      <c r="G1961">
        <f t="shared" si="37"/>
        <v>10041</v>
      </c>
    </row>
    <row r="1962" spans="6:7">
      <c r="F1962" t="s">
        <v>4853</v>
      </c>
      <c r="G1962">
        <f t="shared" si="37"/>
        <v>10041</v>
      </c>
    </row>
    <row r="1963" spans="6:7">
      <c r="F1963" t="s">
        <v>4874</v>
      </c>
      <c r="G1963">
        <f t="shared" si="37"/>
        <v>10042</v>
      </c>
    </row>
    <row r="1964" spans="6:7">
      <c r="F1964" t="s">
        <v>4874</v>
      </c>
      <c r="G1964">
        <f t="shared" si="37"/>
        <v>10042</v>
      </c>
    </row>
    <row r="1965" spans="6:7">
      <c r="F1965" t="s">
        <v>4874</v>
      </c>
      <c r="G1965">
        <f t="shared" si="37"/>
        <v>10042</v>
      </c>
    </row>
    <row r="1966" spans="6:7">
      <c r="F1966" t="s">
        <v>4874</v>
      </c>
      <c r="G1966">
        <f t="shared" si="37"/>
        <v>10042</v>
      </c>
    </row>
    <row r="1967" spans="6:7">
      <c r="F1967" t="s">
        <v>4874</v>
      </c>
      <c r="G1967">
        <f t="shared" si="37"/>
        <v>10042</v>
      </c>
    </row>
    <row r="1968" spans="6:7">
      <c r="F1968" t="s">
        <v>4874</v>
      </c>
      <c r="G1968">
        <f t="shared" si="37"/>
        <v>10042</v>
      </c>
    </row>
    <row r="1969" spans="6:7">
      <c r="F1969" t="s">
        <v>4874</v>
      </c>
      <c r="G1969">
        <f t="shared" si="37"/>
        <v>10042</v>
      </c>
    </row>
    <row r="1970" spans="6:7">
      <c r="F1970" t="s">
        <v>4874</v>
      </c>
      <c r="G1970">
        <f t="shared" si="37"/>
        <v>10042</v>
      </c>
    </row>
    <row r="1971" spans="6:7">
      <c r="F1971" t="s">
        <v>4874</v>
      </c>
      <c r="G1971">
        <f t="shared" si="37"/>
        <v>10042</v>
      </c>
    </row>
    <row r="1972" spans="6:7">
      <c r="F1972" t="s">
        <v>4874</v>
      </c>
      <c r="G1972">
        <f t="shared" si="37"/>
        <v>10042</v>
      </c>
    </row>
    <row r="1973" spans="6:7">
      <c r="F1973" t="s">
        <v>4874</v>
      </c>
      <c r="G1973">
        <f t="shared" si="37"/>
        <v>10042</v>
      </c>
    </row>
    <row r="1974" spans="6:7">
      <c r="F1974" t="s">
        <v>4874</v>
      </c>
      <c r="G1974">
        <f t="shared" si="37"/>
        <v>10042</v>
      </c>
    </row>
    <row r="1975" spans="6:7">
      <c r="F1975" t="s">
        <v>4874</v>
      </c>
      <c r="G1975">
        <f t="shared" si="37"/>
        <v>10042</v>
      </c>
    </row>
    <row r="1976" spans="6:7">
      <c r="F1976" t="s">
        <v>4874</v>
      </c>
      <c r="G1976">
        <f t="shared" si="37"/>
        <v>10042</v>
      </c>
    </row>
    <row r="1977" spans="6:7">
      <c r="F1977" t="s">
        <v>4874</v>
      </c>
      <c r="G1977">
        <f t="shared" si="37"/>
        <v>10042</v>
      </c>
    </row>
    <row r="1978" spans="6:7">
      <c r="F1978" t="s">
        <v>4874</v>
      </c>
      <c r="G1978">
        <f t="shared" si="37"/>
        <v>10042</v>
      </c>
    </row>
    <row r="1979" spans="6:7">
      <c r="F1979" t="s">
        <v>4874</v>
      </c>
      <c r="G1979">
        <f t="shared" si="37"/>
        <v>10042</v>
      </c>
    </row>
    <row r="1980" spans="6:7">
      <c r="F1980" t="s">
        <v>4874</v>
      </c>
      <c r="G1980">
        <f t="shared" si="37"/>
        <v>10042</v>
      </c>
    </row>
    <row r="1981" spans="6:7">
      <c r="F1981" t="s">
        <v>4874</v>
      </c>
      <c r="G1981">
        <f t="shared" si="37"/>
        <v>10042</v>
      </c>
    </row>
    <row r="1982" spans="6:7">
      <c r="F1982" t="s">
        <v>4874</v>
      </c>
      <c r="G1982">
        <f t="shared" si="37"/>
        <v>10042</v>
      </c>
    </row>
    <row r="1983" spans="6:7">
      <c r="F1983" t="s">
        <v>4874</v>
      </c>
      <c r="G1983">
        <f t="shared" si="37"/>
        <v>10042</v>
      </c>
    </row>
    <row r="1984" spans="6:7">
      <c r="F1984" t="s">
        <v>4824</v>
      </c>
      <c r="G1984">
        <f t="shared" si="37"/>
        <v>141</v>
      </c>
    </row>
    <row r="1985" spans="6:7">
      <c r="F1985" t="s">
        <v>4824</v>
      </c>
      <c r="G1985">
        <f t="shared" si="37"/>
        <v>141</v>
      </c>
    </row>
    <row r="1986" spans="6:7">
      <c r="F1986" t="s">
        <v>4824</v>
      </c>
      <c r="G1986">
        <f t="shared" si="37"/>
        <v>141</v>
      </c>
    </row>
    <row r="1987" spans="6:7">
      <c r="F1987" t="s">
        <v>4824</v>
      </c>
      <c r="G1987">
        <f t="shared" si="37"/>
        <v>141</v>
      </c>
    </row>
    <row r="1988" spans="6:7">
      <c r="F1988" t="s">
        <v>4824</v>
      </c>
      <c r="G1988">
        <f t="shared" si="37"/>
        <v>141</v>
      </c>
    </row>
    <row r="1989" spans="6:7">
      <c r="F1989" t="s">
        <v>4824</v>
      </c>
      <c r="G1989">
        <f t="shared" ref="G1989:G2052" si="38">_xlfn.XLOOKUP(F1989,$C$4:$C$220,$A$4:$A$220)</f>
        <v>141</v>
      </c>
    </row>
    <row r="1990" spans="6:7">
      <c r="F1990" t="s">
        <v>4824</v>
      </c>
      <c r="G1990">
        <f t="shared" si="38"/>
        <v>141</v>
      </c>
    </row>
    <row r="1991" spans="6:7">
      <c r="F1991" t="s">
        <v>4824</v>
      </c>
      <c r="G1991">
        <f t="shared" si="38"/>
        <v>141</v>
      </c>
    </row>
    <row r="1992" spans="6:7">
      <c r="F1992" t="s">
        <v>4824</v>
      </c>
      <c r="G1992">
        <f t="shared" si="38"/>
        <v>141</v>
      </c>
    </row>
    <row r="1993" spans="6:7">
      <c r="F1993" t="s">
        <v>4824</v>
      </c>
      <c r="G1993">
        <f t="shared" si="38"/>
        <v>141</v>
      </c>
    </row>
    <row r="1994" spans="6:7">
      <c r="F1994" t="s">
        <v>4824</v>
      </c>
      <c r="G1994">
        <f t="shared" si="38"/>
        <v>141</v>
      </c>
    </row>
    <row r="1995" spans="6:7">
      <c r="F1995" t="s">
        <v>4825</v>
      </c>
      <c r="G1995">
        <f t="shared" si="38"/>
        <v>143</v>
      </c>
    </row>
    <row r="1996" spans="6:7">
      <c r="F1996" t="s">
        <v>4825</v>
      </c>
      <c r="G1996">
        <f t="shared" si="38"/>
        <v>143</v>
      </c>
    </row>
    <row r="1997" spans="6:7">
      <c r="F1997" t="s">
        <v>4825</v>
      </c>
      <c r="G1997">
        <f t="shared" si="38"/>
        <v>143</v>
      </c>
    </row>
    <row r="1998" spans="6:7">
      <c r="F1998" t="s">
        <v>4825</v>
      </c>
      <c r="G1998">
        <f t="shared" si="38"/>
        <v>143</v>
      </c>
    </row>
    <row r="1999" spans="6:7">
      <c r="F1999" t="s">
        <v>4825</v>
      </c>
      <c r="G1999">
        <f t="shared" si="38"/>
        <v>143</v>
      </c>
    </row>
    <row r="2000" spans="6:7">
      <c r="F2000" t="s">
        <v>4825</v>
      </c>
      <c r="G2000">
        <f t="shared" si="38"/>
        <v>143</v>
      </c>
    </row>
    <row r="2001" spans="6:7">
      <c r="F2001" t="s">
        <v>4825</v>
      </c>
      <c r="G2001">
        <f t="shared" si="38"/>
        <v>143</v>
      </c>
    </row>
    <row r="2002" spans="6:7">
      <c r="F2002" t="s">
        <v>4825</v>
      </c>
      <c r="G2002">
        <f t="shared" si="38"/>
        <v>143</v>
      </c>
    </row>
    <row r="2003" spans="6:7">
      <c r="F2003" t="s">
        <v>4825</v>
      </c>
      <c r="G2003">
        <f t="shared" si="38"/>
        <v>143</v>
      </c>
    </row>
    <row r="2004" spans="6:7">
      <c r="F2004" t="s">
        <v>4825</v>
      </c>
      <c r="G2004">
        <f t="shared" si="38"/>
        <v>143</v>
      </c>
    </row>
    <row r="2005" spans="6:7">
      <c r="F2005" t="s">
        <v>4825</v>
      </c>
      <c r="G2005">
        <f t="shared" si="38"/>
        <v>143</v>
      </c>
    </row>
    <row r="2006" spans="6:7">
      <c r="F2006" t="s">
        <v>4826</v>
      </c>
      <c r="G2006">
        <f t="shared" si="38"/>
        <v>142</v>
      </c>
    </row>
    <row r="2007" spans="6:7">
      <c r="F2007" t="s">
        <v>4826</v>
      </c>
      <c r="G2007">
        <f t="shared" si="38"/>
        <v>142</v>
      </c>
    </row>
    <row r="2008" spans="6:7">
      <c r="F2008" t="s">
        <v>4826</v>
      </c>
      <c r="G2008">
        <f t="shared" si="38"/>
        <v>142</v>
      </c>
    </row>
    <row r="2009" spans="6:7">
      <c r="F2009" t="s">
        <v>4826</v>
      </c>
      <c r="G2009">
        <f t="shared" si="38"/>
        <v>142</v>
      </c>
    </row>
    <row r="2010" spans="6:7">
      <c r="F2010" t="s">
        <v>4826</v>
      </c>
      <c r="G2010">
        <f t="shared" si="38"/>
        <v>142</v>
      </c>
    </row>
    <row r="2011" spans="6:7">
      <c r="F2011" t="s">
        <v>4826</v>
      </c>
      <c r="G2011">
        <f t="shared" si="38"/>
        <v>142</v>
      </c>
    </row>
    <row r="2012" spans="6:7">
      <c r="F2012" t="s">
        <v>4826</v>
      </c>
      <c r="G2012">
        <f t="shared" si="38"/>
        <v>142</v>
      </c>
    </row>
    <row r="2013" spans="6:7">
      <c r="F2013" t="s">
        <v>4826</v>
      </c>
      <c r="G2013">
        <f t="shared" si="38"/>
        <v>142</v>
      </c>
    </row>
    <row r="2014" spans="6:7">
      <c r="F2014" t="s">
        <v>4826</v>
      </c>
      <c r="G2014">
        <f t="shared" si="38"/>
        <v>142</v>
      </c>
    </row>
    <row r="2015" spans="6:7">
      <c r="F2015" t="s">
        <v>4826</v>
      </c>
      <c r="G2015">
        <f t="shared" si="38"/>
        <v>142</v>
      </c>
    </row>
    <row r="2016" spans="6:7">
      <c r="F2016" t="s">
        <v>4826</v>
      </c>
      <c r="G2016">
        <f t="shared" si="38"/>
        <v>142</v>
      </c>
    </row>
    <row r="2017" spans="6:7">
      <c r="F2017" t="s">
        <v>4827</v>
      </c>
      <c r="G2017">
        <f t="shared" si="38"/>
        <v>144</v>
      </c>
    </row>
    <row r="2018" spans="6:7">
      <c r="F2018" t="s">
        <v>4827</v>
      </c>
      <c r="G2018">
        <f t="shared" si="38"/>
        <v>144</v>
      </c>
    </row>
    <row r="2019" spans="6:7">
      <c r="F2019" t="s">
        <v>4827</v>
      </c>
      <c r="G2019">
        <f t="shared" si="38"/>
        <v>144</v>
      </c>
    </row>
    <row r="2020" spans="6:7">
      <c r="F2020" t="s">
        <v>4827</v>
      </c>
      <c r="G2020">
        <f t="shared" si="38"/>
        <v>144</v>
      </c>
    </row>
    <row r="2021" spans="6:7">
      <c r="F2021" t="s">
        <v>4827</v>
      </c>
      <c r="G2021">
        <f t="shared" si="38"/>
        <v>144</v>
      </c>
    </row>
    <row r="2022" spans="6:7">
      <c r="F2022" t="s">
        <v>4827</v>
      </c>
      <c r="G2022">
        <f t="shared" si="38"/>
        <v>144</v>
      </c>
    </row>
    <row r="2023" spans="6:7">
      <c r="F2023" t="s">
        <v>4827</v>
      </c>
      <c r="G2023">
        <f t="shared" si="38"/>
        <v>144</v>
      </c>
    </row>
    <row r="2024" spans="6:7">
      <c r="F2024" t="s">
        <v>4827</v>
      </c>
      <c r="G2024">
        <f t="shared" si="38"/>
        <v>144</v>
      </c>
    </row>
    <row r="2025" spans="6:7">
      <c r="F2025" t="s">
        <v>4827</v>
      </c>
      <c r="G2025">
        <f t="shared" si="38"/>
        <v>144</v>
      </c>
    </row>
    <row r="2026" spans="6:7">
      <c r="F2026" t="s">
        <v>4827</v>
      </c>
      <c r="G2026">
        <f t="shared" si="38"/>
        <v>144</v>
      </c>
    </row>
    <row r="2027" spans="6:7">
      <c r="F2027" t="s">
        <v>4827</v>
      </c>
      <c r="G2027">
        <f t="shared" si="38"/>
        <v>144</v>
      </c>
    </row>
    <row r="2028" spans="6:7">
      <c r="F2028" t="s">
        <v>4895</v>
      </c>
      <c r="G2028">
        <f t="shared" si="38"/>
        <v>146</v>
      </c>
    </row>
    <row r="2029" spans="6:7">
      <c r="F2029" t="s">
        <v>4895</v>
      </c>
      <c r="G2029">
        <f t="shared" si="38"/>
        <v>146</v>
      </c>
    </row>
    <row r="2030" spans="6:7">
      <c r="F2030" t="s">
        <v>4895</v>
      </c>
      <c r="G2030">
        <f t="shared" si="38"/>
        <v>146</v>
      </c>
    </row>
    <row r="2031" spans="6:7">
      <c r="F2031" t="s">
        <v>4895</v>
      </c>
      <c r="G2031">
        <f t="shared" si="38"/>
        <v>146</v>
      </c>
    </row>
    <row r="2032" spans="6:7">
      <c r="F2032" t="s">
        <v>4895</v>
      </c>
      <c r="G2032">
        <f t="shared" si="38"/>
        <v>146</v>
      </c>
    </row>
    <row r="2033" spans="6:7">
      <c r="F2033" t="s">
        <v>4895</v>
      </c>
      <c r="G2033">
        <f t="shared" si="38"/>
        <v>146</v>
      </c>
    </row>
    <row r="2034" spans="6:7">
      <c r="F2034" t="s">
        <v>4895</v>
      </c>
      <c r="G2034">
        <f t="shared" si="38"/>
        <v>146</v>
      </c>
    </row>
    <row r="2035" spans="6:7">
      <c r="F2035" t="s">
        <v>4895</v>
      </c>
      <c r="G2035">
        <f t="shared" si="38"/>
        <v>146</v>
      </c>
    </row>
    <row r="2036" spans="6:7">
      <c r="F2036" t="s">
        <v>4895</v>
      </c>
      <c r="G2036">
        <f t="shared" si="38"/>
        <v>146</v>
      </c>
    </row>
    <row r="2037" spans="6:7">
      <c r="F2037" t="s">
        <v>4895</v>
      </c>
      <c r="G2037">
        <f t="shared" si="38"/>
        <v>146</v>
      </c>
    </row>
    <row r="2038" spans="6:7">
      <c r="F2038" t="s">
        <v>4895</v>
      </c>
      <c r="G2038">
        <f t="shared" si="38"/>
        <v>146</v>
      </c>
    </row>
    <row r="2039" spans="6:7">
      <c r="F2039" t="s">
        <v>4895</v>
      </c>
      <c r="G2039">
        <f t="shared" si="38"/>
        <v>146</v>
      </c>
    </row>
    <row r="2040" spans="6:7">
      <c r="F2040" t="s">
        <v>4895</v>
      </c>
      <c r="G2040">
        <f t="shared" si="38"/>
        <v>146</v>
      </c>
    </row>
    <row r="2041" spans="6:7">
      <c r="F2041" t="s">
        <v>4895</v>
      </c>
      <c r="G2041">
        <f t="shared" si="38"/>
        <v>146</v>
      </c>
    </row>
    <row r="2042" spans="6:7">
      <c r="F2042" t="s">
        <v>4895</v>
      </c>
      <c r="G2042">
        <f t="shared" si="38"/>
        <v>146</v>
      </c>
    </row>
    <row r="2043" spans="6:7">
      <c r="F2043" t="s">
        <v>4895</v>
      </c>
      <c r="G2043">
        <f t="shared" si="38"/>
        <v>146</v>
      </c>
    </row>
    <row r="2044" spans="6:7">
      <c r="F2044" t="s">
        <v>4829</v>
      </c>
      <c r="G2044">
        <f t="shared" si="38"/>
        <v>147</v>
      </c>
    </row>
    <row r="2045" spans="6:7">
      <c r="F2045" t="s">
        <v>4829</v>
      </c>
      <c r="G2045">
        <f t="shared" si="38"/>
        <v>147</v>
      </c>
    </row>
    <row r="2046" spans="6:7">
      <c r="F2046" t="s">
        <v>4829</v>
      </c>
      <c r="G2046">
        <f t="shared" si="38"/>
        <v>147</v>
      </c>
    </row>
    <row r="2047" spans="6:7">
      <c r="F2047" t="s">
        <v>4829</v>
      </c>
      <c r="G2047">
        <f t="shared" si="38"/>
        <v>147</v>
      </c>
    </row>
    <row r="2048" spans="6:7">
      <c r="F2048" t="s">
        <v>4829</v>
      </c>
      <c r="G2048">
        <f t="shared" si="38"/>
        <v>147</v>
      </c>
    </row>
    <row r="2049" spans="6:7">
      <c r="F2049" t="s">
        <v>4829</v>
      </c>
      <c r="G2049">
        <f t="shared" si="38"/>
        <v>147</v>
      </c>
    </row>
    <row r="2050" spans="6:7">
      <c r="F2050" t="s">
        <v>4829</v>
      </c>
      <c r="G2050">
        <f t="shared" si="38"/>
        <v>147</v>
      </c>
    </row>
    <row r="2051" spans="6:7">
      <c r="F2051" t="s">
        <v>4829</v>
      </c>
      <c r="G2051">
        <f t="shared" si="38"/>
        <v>147</v>
      </c>
    </row>
    <row r="2052" spans="6:7">
      <c r="F2052" t="s">
        <v>4829</v>
      </c>
      <c r="G2052">
        <f t="shared" si="38"/>
        <v>147</v>
      </c>
    </row>
    <row r="2053" spans="6:7">
      <c r="F2053" t="s">
        <v>4829</v>
      </c>
      <c r="G2053">
        <f t="shared" ref="G2053:G2116" si="39">_xlfn.XLOOKUP(F2053,$C$4:$C$220,$A$4:$A$220)</f>
        <v>147</v>
      </c>
    </row>
    <row r="2054" spans="6:7">
      <c r="F2054" t="s">
        <v>4829</v>
      </c>
      <c r="G2054">
        <f t="shared" si="39"/>
        <v>147</v>
      </c>
    </row>
    <row r="2055" spans="6:7">
      <c r="F2055" t="s">
        <v>4829</v>
      </c>
      <c r="G2055">
        <f t="shared" si="39"/>
        <v>147</v>
      </c>
    </row>
    <row r="2056" spans="6:7">
      <c r="F2056" t="s">
        <v>4829</v>
      </c>
      <c r="G2056">
        <f t="shared" si="39"/>
        <v>147</v>
      </c>
    </row>
    <row r="2057" spans="6:7">
      <c r="F2057" t="s">
        <v>4829</v>
      </c>
      <c r="G2057">
        <f t="shared" si="39"/>
        <v>147</v>
      </c>
    </row>
    <row r="2058" spans="6:7">
      <c r="F2058" t="s">
        <v>4829</v>
      </c>
      <c r="G2058">
        <f t="shared" si="39"/>
        <v>147</v>
      </c>
    </row>
    <row r="2059" spans="6:7">
      <c r="F2059" t="s">
        <v>4829</v>
      </c>
      <c r="G2059">
        <f t="shared" si="39"/>
        <v>147</v>
      </c>
    </row>
    <row r="2060" spans="6:7">
      <c r="F2060" t="s">
        <v>4830</v>
      </c>
      <c r="G2060">
        <f t="shared" si="39"/>
        <v>149</v>
      </c>
    </row>
    <row r="2061" spans="6:7">
      <c r="F2061" t="s">
        <v>4830</v>
      </c>
      <c r="G2061">
        <f t="shared" si="39"/>
        <v>149</v>
      </c>
    </row>
    <row r="2062" spans="6:7">
      <c r="F2062" t="s">
        <v>4830</v>
      </c>
      <c r="G2062">
        <f t="shared" si="39"/>
        <v>149</v>
      </c>
    </row>
    <row r="2063" spans="6:7">
      <c r="F2063" t="s">
        <v>4830</v>
      </c>
      <c r="G2063">
        <f t="shared" si="39"/>
        <v>149</v>
      </c>
    </row>
    <row r="2064" spans="6:7">
      <c r="F2064" t="s">
        <v>4830</v>
      </c>
      <c r="G2064">
        <f t="shared" si="39"/>
        <v>149</v>
      </c>
    </row>
    <row r="2065" spans="6:7">
      <c r="F2065" t="s">
        <v>4830</v>
      </c>
      <c r="G2065">
        <f t="shared" si="39"/>
        <v>149</v>
      </c>
    </row>
    <row r="2066" spans="6:7">
      <c r="F2066" t="s">
        <v>4830</v>
      </c>
      <c r="G2066">
        <f t="shared" si="39"/>
        <v>149</v>
      </c>
    </row>
    <row r="2067" spans="6:7">
      <c r="F2067" t="s">
        <v>4830</v>
      </c>
      <c r="G2067">
        <f t="shared" si="39"/>
        <v>149</v>
      </c>
    </row>
    <row r="2068" spans="6:7">
      <c r="F2068" t="s">
        <v>4830</v>
      </c>
      <c r="G2068">
        <f t="shared" si="39"/>
        <v>149</v>
      </c>
    </row>
    <row r="2069" spans="6:7">
      <c r="F2069" t="s">
        <v>4830</v>
      </c>
      <c r="G2069">
        <f t="shared" si="39"/>
        <v>149</v>
      </c>
    </row>
    <row r="2070" spans="6:7">
      <c r="F2070" t="s">
        <v>4830</v>
      </c>
      <c r="G2070">
        <f t="shared" si="39"/>
        <v>149</v>
      </c>
    </row>
    <row r="2071" spans="6:7">
      <c r="F2071" t="s">
        <v>4830</v>
      </c>
      <c r="G2071">
        <f t="shared" si="39"/>
        <v>149</v>
      </c>
    </row>
    <row r="2072" spans="6:7">
      <c r="F2072" t="s">
        <v>4830</v>
      </c>
      <c r="G2072">
        <f t="shared" si="39"/>
        <v>149</v>
      </c>
    </row>
    <row r="2073" spans="6:7">
      <c r="F2073" t="s">
        <v>4830</v>
      </c>
      <c r="G2073">
        <f t="shared" si="39"/>
        <v>149</v>
      </c>
    </row>
    <row r="2074" spans="6:7">
      <c r="F2074" t="s">
        <v>4830</v>
      </c>
      <c r="G2074">
        <f t="shared" si="39"/>
        <v>149</v>
      </c>
    </row>
    <row r="2075" spans="6:7">
      <c r="F2075" t="s">
        <v>4830</v>
      </c>
      <c r="G2075">
        <f t="shared" si="39"/>
        <v>149</v>
      </c>
    </row>
    <row r="2076" spans="6:7">
      <c r="F2076" t="s">
        <v>4896</v>
      </c>
      <c r="G2076">
        <f t="shared" si="39"/>
        <v>10043</v>
      </c>
    </row>
    <row r="2077" spans="6:7">
      <c r="F2077" t="s">
        <v>4896</v>
      </c>
      <c r="G2077">
        <f t="shared" si="39"/>
        <v>10043</v>
      </c>
    </row>
    <row r="2078" spans="6:7">
      <c r="F2078" t="s">
        <v>4896</v>
      </c>
      <c r="G2078">
        <f t="shared" si="39"/>
        <v>10043</v>
      </c>
    </row>
    <row r="2079" spans="6:7">
      <c r="F2079" t="s">
        <v>4896</v>
      </c>
      <c r="G2079">
        <f t="shared" si="39"/>
        <v>10043</v>
      </c>
    </row>
    <row r="2080" spans="6:7">
      <c r="F2080" t="s">
        <v>4896</v>
      </c>
      <c r="G2080">
        <f t="shared" si="39"/>
        <v>10043</v>
      </c>
    </row>
    <row r="2081" spans="6:7">
      <c r="F2081" t="s">
        <v>4896</v>
      </c>
      <c r="G2081">
        <f t="shared" si="39"/>
        <v>10043</v>
      </c>
    </row>
    <row r="2082" spans="6:7">
      <c r="F2082" t="s">
        <v>4896</v>
      </c>
      <c r="G2082">
        <f t="shared" si="39"/>
        <v>10043</v>
      </c>
    </row>
    <row r="2083" spans="6:7">
      <c r="F2083" t="s">
        <v>4896</v>
      </c>
      <c r="G2083">
        <f t="shared" si="39"/>
        <v>10043</v>
      </c>
    </row>
    <row r="2084" spans="6:7">
      <c r="F2084" t="s">
        <v>4896</v>
      </c>
      <c r="G2084">
        <f t="shared" si="39"/>
        <v>10043</v>
      </c>
    </row>
    <row r="2085" spans="6:7">
      <c r="F2085" t="s">
        <v>4896</v>
      </c>
      <c r="G2085">
        <f t="shared" si="39"/>
        <v>10043</v>
      </c>
    </row>
    <row r="2086" spans="6:7">
      <c r="F2086" t="s">
        <v>4896</v>
      </c>
      <c r="G2086">
        <f t="shared" si="39"/>
        <v>10043</v>
      </c>
    </row>
    <row r="2087" spans="6:7">
      <c r="F2087" t="s">
        <v>4896</v>
      </c>
      <c r="G2087">
        <f t="shared" si="39"/>
        <v>10043</v>
      </c>
    </row>
    <row r="2088" spans="6:7">
      <c r="F2088" t="s">
        <v>4896</v>
      </c>
      <c r="G2088">
        <f t="shared" si="39"/>
        <v>10043</v>
      </c>
    </row>
    <row r="2089" spans="6:7">
      <c r="F2089" t="s">
        <v>4896</v>
      </c>
      <c r="G2089">
        <f t="shared" si="39"/>
        <v>10043</v>
      </c>
    </row>
    <row r="2090" spans="6:7">
      <c r="F2090" t="s">
        <v>4896</v>
      </c>
      <c r="G2090">
        <f t="shared" si="39"/>
        <v>10043</v>
      </c>
    </row>
    <row r="2091" spans="6:7">
      <c r="F2091" t="s">
        <v>4896</v>
      </c>
      <c r="G2091">
        <f t="shared" si="39"/>
        <v>10043</v>
      </c>
    </row>
    <row r="2092" spans="6:7">
      <c r="F2092" t="s">
        <v>4896</v>
      </c>
      <c r="G2092">
        <f t="shared" si="39"/>
        <v>10043</v>
      </c>
    </row>
    <row r="2093" spans="6:7">
      <c r="F2093" t="s">
        <v>4896</v>
      </c>
      <c r="G2093">
        <f t="shared" si="39"/>
        <v>10043</v>
      </c>
    </row>
    <row r="2094" spans="6:7">
      <c r="F2094" t="s">
        <v>4896</v>
      </c>
      <c r="G2094">
        <f t="shared" si="39"/>
        <v>10043</v>
      </c>
    </row>
    <row r="2095" spans="6:7">
      <c r="F2095" t="s">
        <v>4896</v>
      </c>
      <c r="G2095">
        <f t="shared" si="39"/>
        <v>10043</v>
      </c>
    </row>
    <row r="2096" spans="6:7">
      <c r="F2096" t="s">
        <v>4896</v>
      </c>
      <c r="G2096">
        <f t="shared" si="39"/>
        <v>10043</v>
      </c>
    </row>
    <row r="2097" spans="6:7">
      <c r="F2097" t="s">
        <v>4918</v>
      </c>
      <c r="G2097">
        <f t="shared" si="39"/>
        <v>10044</v>
      </c>
    </row>
    <row r="2098" spans="6:7">
      <c r="F2098" t="s">
        <v>4918</v>
      </c>
      <c r="G2098">
        <f t="shared" si="39"/>
        <v>10044</v>
      </c>
    </row>
    <row r="2099" spans="6:7">
      <c r="F2099" t="s">
        <v>4918</v>
      </c>
      <c r="G2099">
        <f t="shared" si="39"/>
        <v>10044</v>
      </c>
    </row>
    <row r="2100" spans="6:7">
      <c r="F2100" t="s">
        <v>4918</v>
      </c>
      <c r="G2100">
        <f t="shared" si="39"/>
        <v>10044</v>
      </c>
    </row>
    <row r="2101" spans="6:7">
      <c r="F2101" t="s">
        <v>4918</v>
      </c>
      <c r="G2101">
        <f t="shared" si="39"/>
        <v>10044</v>
      </c>
    </row>
    <row r="2102" spans="6:7">
      <c r="F2102" t="s">
        <v>4918</v>
      </c>
      <c r="G2102">
        <f t="shared" si="39"/>
        <v>10044</v>
      </c>
    </row>
    <row r="2103" spans="6:7">
      <c r="F2103" t="s">
        <v>4918</v>
      </c>
      <c r="G2103">
        <f t="shared" si="39"/>
        <v>10044</v>
      </c>
    </row>
    <row r="2104" spans="6:7">
      <c r="F2104" t="s">
        <v>4918</v>
      </c>
      <c r="G2104">
        <f t="shared" si="39"/>
        <v>10044</v>
      </c>
    </row>
    <row r="2105" spans="6:7">
      <c r="F2105" t="s">
        <v>4918</v>
      </c>
      <c r="G2105">
        <f t="shared" si="39"/>
        <v>10044</v>
      </c>
    </row>
    <row r="2106" spans="6:7">
      <c r="F2106" t="s">
        <v>4918</v>
      </c>
      <c r="G2106">
        <f t="shared" si="39"/>
        <v>10044</v>
      </c>
    </row>
    <row r="2107" spans="6:7">
      <c r="F2107" t="s">
        <v>4918</v>
      </c>
      <c r="G2107">
        <f t="shared" si="39"/>
        <v>10044</v>
      </c>
    </row>
    <row r="2108" spans="6:7">
      <c r="F2108" t="s">
        <v>4918</v>
      </c>
      <c r="G2108">
        <f t="shared" si="39"/>
        <v>10044</v>
      </c>
    </row>
    <row r="2109" spans="6:7">
      <c r="F2109" t="s">
        <v>4918</v>
      </c>
      <c r="G2109">
        <f t="shared" si="39"/>
        <v>10044</v>
      </c>
    </row>
    <row r="2110" spans="6:7">
      <c r="F2110" t="s">
        <v>4918</v>
      </c>
      <c r="G2110">
        <f t="shared" si="39"/>
        <v>10044</v>
      </c>
    </row>
    <row r="2111" spans="6:7">
      <c r="F2111" t="s">
        <v>4918</v>
      </c>
      <c r="G2111">
        <f t="shared" si="39"/>
        <v>10044</v>
      </c>
    </row>
    <row r="2112" spans="6:7">
      <c r="F2112" t="s">
        <v>4918</v>
      </c>
      <c r="G2112">
        <f t="shared" si="39"/>
        <v>10044</v>
      </c>
    </row>
    <row r="2113" spans="6:7">
      <c r="F2113" t="s">
        <v>4918</v>
      </c>
      <c r="G2113">
        <f t="shared" si="39"/>
        <v>10044</v>
      </c>
    </row>
    <row r="2114" spans="6:7">
      <c r="F2114" t="s">
        <v>4918</v>
      </c>
      <c r="G2114">
        <f t="shared" si="39"/>
        <v>10044</v>
      </c>
    </row>
    <row r="2115" spans="6:7">
      <c r="F2115" t="s">
        <v>4918</v>
      </c>
      <c r="G2115">
        <f t="shared" si="39"/>
        <v>10044</v>
      </c>
    </row>
    <row r="2116" spans="6:7">
      <c r="F2116" t="s">
        <v>4918</v>
      </c>
      <c r="G2116">
        <f t="shared" si="39"/>
        <v>10044</v>
      </c>
    </row>
    <row r="2117" spans="6:7">
      <c r="F2117" t="s">
        <v>4918</v>
      </c>
      <c r="G2117">
        <f t="shared" ref="G2117:G2180" si="40">_xlfn.XLOOKUP(F2117,$C$4:$C$220,$A$4:$A$220)</f>
        <v>10044</v>
      </c>
    </row>
    <row r="2118" spans="6:7">
      <c r="F2118" t="s">
        <v>4939</v>
      </c>
      <c r="G2118">
        <f t="shared" si="40"/>
        <v>10045</v>
      </c>
    </row>
    <row r="2119" spans="6:7">
      <c r="F2119" t="s">
        <v>4939</v>
      </c>
      <c r="G2119">
        <f t="shared" si="40"/>
        <v>10045</v>
      </c>
    </row>
    <row r="2120" spans="6:7">
      <c r="F2120" t="s">
        <v>4939</v>
      </c>
      <c r="G2120">
        <f t="shared" si="40"/>
        <v>10045</v>
      </c>
    </row>
    <row r="2121" spans="6:7">
      <c r="F2121" t="s">
        <v>4939</v>
      </c>
      <c r="G2121">
        <f t="shared" si="40"/>
        <v>10045</v>
      </c>
    </row>
    <row r="2122" spans="6:7">
      <c r="F2122" t="s">
        <v>4939</v>
      </c>
      <c r="G2122">
        <f t="shared" si="40"/>
        <v>10045</v>
      </c>
    </row>
    <row r="2123" spans="6:7">
      <c r="F2123" t="s">
        <v>4939</v>
      </c>
      <c r="G2123">
        <f t="shared" si="40"/>
        <v>10045</v>
      </c>
    </row>
    <row r="2124" spans="6:7">
      <c r="F2124" t="s">
        <v>4939</v>
      </c>
      <c r="G2124">
        <f t="shared" si="40"/>
        <v>10045</v>
      </c>
    </row>
    <row r="2125" spans="6:7">
      <c r="F2125" t="s">
        <v>4939</v>
      </c>
      <c r="G2125">
        <f t="shared" si="40"/>
        <v>10045</v>
      </c>
    </row>
    <row r="2126" spans="6:7">
      <c r="F2126" t="s">
        <v>4939</v>
      </c>
      <c r="G2126">
        <f t="shared" si="40"/>
        <v>10045</v>
      </c>
    </row>
    <row r="2127" spans="6:7">
      <c r="F2127" t="s">
        <v>4939</v>
      </c>
      <c r="G2127">
        <f t="shared" si="40"/>
        <v>10045</v>
      </c>
    </row>
    <row r="2128" spans="6:7">
      <c r="F2128" t="s">
        <v>4939</v>
      </c>
      <c r="G2128">
        <f t="shared" si="40"/>
        <v>10045</v>
      </c>
    </row>
    <row r="2129" spans="6:7">
      <c r="F2129" t="s">
        <v>4939</v>
      </c>
      <c r="G2129">
        <f t="shared" si="40"/>
        <v>10045</v>
      </c>
    </row>
    <row r="2130" spans="6:7">
      <c r="F2130" t="s">
        <v>4939</v>
      </c>
      <c r="G2130">
        <f t="shared" si="40"/>
        <v>10045</v>
      </c>
    </row>
    <row r="2131" spans="6:7">
      <c r="F2131" t="s">
        <v>4939</v>
      </c>
      <c r="G2131">
        <f t="shared" si="40"/>
        <v>10045</v>
      </c>
    </row>
    <row r="2132" spans="6:7">
      <c r="F2132" t="s">
        <v>4939</v>
      </c>
      <c r="G2132">
        <f t="shared" si="40"/>
        <v>10045</v>
      </c>
    </row>
    <row r="2133" spans="6:7">
      <c r="F2133" t="s">
        <v>4939</v>
      </c>
      <c r="G2133">
        <f t="shared" si="40"/>
        <v>10045</v>
      </c>
    </row>
    <row r="2134" spans="6:7">
      <c r="F2134" t="s">
        <v>4939</v>
      </c>
      <c r="G2134">
        <f t="shared" si="40"/>
        <v>10045</v>
      </c>
    </row>
    <row r="2135" spans="6:7">
      <c r="F2135" t="s">
        <v>4939</v>
      </c>
      <c r="G2135">
        <f t="shared" si="40"/>
        <v>10045</v>
      </c>
    </row>
    <row r="2136" spans="6:7">
      <c r="F2136" t="s">
        <v>4939</v>
      </c>
      <c r="G2136">
        <f t="shared" si="40"/>
        <v>10045</v>
      </c>
    </row>
    <row r="2137" spans="6:7">
      <c r="F2137" t="s">
        <v>4939</v>
      </c>
      <c r="G2137">
        <f t="shared" si="40"/>
        <v>10045</v>
      </c>
    </row>
    <row r="2138" spans="6:7">
      <c r="F2138" t="s">
        <v>4939</v>
      </c>
      <c r="G2138">
        <f t="shared" si="40"/>
        <v>10045</v>
      </c>
    </row>
    <row r="2139" spans="6:7">
      <c r="F2139" t="s">
        <v>4824</v>
      </c>
      <c r="G2139">
        <f t="shared" si="40"/>
        <v>141</v>
      </c>
    </row>
    <row r="2140" spans="6:7">
      <c r="F2140" t="s">
        <v>4824</v>
      </c>
      <c r="G2140">
        <f t="shared" si="40"/>
        <v>141</v>
      </c>
    </row>
    <row r="2141" spans="6:7">
      <c r="F2141" t="s">
        <v>4824</v>
      </c>
      <c r="G2141">
        <f t="shared" si="40"/>
        <v>141</v>
      </c>
    </row>
    <row r="2142" spans="6:7">
      <c r="F2142" t="s">
        <v>4824</v>
      </c>
      <c r="G2142">
        <f t="shared" si="40"/>
        <v>141</v>
      </c>
    </row>
    <row r="2143" spans="6:7">
      <c r="F2143" t="s">
        <v>4824</v>
      </c>
      <c r="G2143">
        <f t="shared" si="40"/>
        <v>141</v>
      </c>
    </row>
    <row r="2144" spans="6:7">
      <c r="F2144" t="s">
        <v>4824</v>
      </c>
      <c r="G2144">
        <f t="shared" si="40"/>
        <v>141</v>
      </c>
    </row>
    <row r="2145" spans="6:7">
      <c r="F2145" t="s">
        <v>4824</v>
      </c>
      <c r="G2145">
        <f t="shared" si="40"/>
        <v>141</v>
      </c>
    </row>
    <row r="2146" spans="6:7">
      <c r="F2146" t="s">
        <v>4824</v>
      </c>
      <c r="G2146">
        <f t="shared" si="40"/>
        <v>141</v>
      </c>
    </row>
    <row r="2147" spans="6:7">
      <c r="F2147" t="s">
        <v>4824</v>
      </c>
      <c r="G2147">
        <f t="shared" si="40"/>
        <v>141</v>
      </c>
    </row>
    <row r="2148" spans="6:7">
      <c r="F2148" t="s">
        <v>4824</v>
      </c>
      <c r="G2148">
        <f t="shared" si="40"/>
        <v>141</v>
      </c>
    </row>
    <row r="2149" spans="6:7">
      <c r="F2149" t="s">
        <v>4824</v>
      </c>
      <c r="G2149">
        <f t="shared" si="40"/>
        <v>141</v>
      </c>
    </row>
    <row r="2150" spans="6:7">
      <c r="F2150" t="s">
        <v>4824</v>
      </c>
      <c r="G2150">
        <f t="shared" si="40"/>
        <v>141</v>
      </c>
    </row>
    <row r="2151" spans="6:7">
      <c r="F2151" t="s">
        <v>4824</v>
      </c>
      <c r="G2151">
        <f t="shared" si="40"/>
        <v>141</v>
      </c>
    </row>
    <row r="2152" spans="6:7">
      <c r="F2152" t="s">
        <v>4824</v>
      </c>
      <c r="G2152">
        <f t="shared" si="40"/>
        <v>141</v>
      </c>
    </row>
    <row r="2153" spans="6:7">
      <c r="F2153" t="s">
        <v>4824</v>
      </c>
      <c r="G2153">
        <f t="shared" si="40"/>
        <v>141</v>
      </c>
    </row>
    <row r="2154" spans="6:7">
      <c r="F2154" t="s">
        <v>4824</v>
      </c>
      <c r="G2154">
        <f t="shared" si="40"/>
        <v>141</v>
      </c>
    </row>
    <row r="2155" spans="6:7">
      <c r="F2155" t="s">
        <v>4825</v>
      </c>
      <c r="G2155">
        <f t="shared" si="40"/>
        <v>143</v>
      </c>
    </row>
    <row r="2156" spans="6:7">
      <c r="F2156" t="s">
        <v>4825</v>
      </c>
      <c r="G2156">
        <f t="shared" si="40"/>
        <v>143</v>
      </c>
    </row>
    <row r="2157" spans="6:7">
      <c r="F2157" t="s">
        <v>4825</v>
      </c>
      <c r="G2157">
        <f t="shared" si="40"/>
        <v>143</v>
      </c>
    </row>
    <row r="2158" spans="6:7">
      <c r="F2158" t="s">
        <v>4825</v>
      </c>
      <c r="G2158">
        <f t="shared" si="40"/>
        <v>143</v>
      </c>
    </row>
    <row r="2159" spans="6:7">
      <c r="F2159" t="s">
        <v>4825</v>
      </c>
      <c r="G2159">
        <f t="shared" si="40"/>
        <v>143</v>
      </c>
    </row>
    <row r="2160" spans="6:7">
      <c r="F2160" t="s">
        <v>4825</v>
      </c>
      <c r="G2160">
        <f t="shared" si="40"/>
        <v>143</v>
      </c>
    </row>
    <row r="2161" spans="6:7">
      <c r="F2161" t="s">
        <v>4825</v>
      </c>
      <c r="G2161">
        <f t="shared" si="40"/>
        <v>143</v>
      </c>
    </row>
    <row r="2162" spans="6:7">
      <c r="F2162" t="s">
        <v>4825</v>
      </c>
      <c r="G2162">
        <f t="shared" si="40"/>
        <v>143</v>
      </c>
    </row>
    <row r="2163" spans="6:7">
      <c r="F2163" t="s">
        <v>4825</v>
      </c>
      <c r="G2163">
        <f t="shared" si="40"/>
        <v>143</v>
      </c>
    </row>
    <row r="2164" spans="6:7">
      <c r="F2164" t="s">
        <v>4825</v>
      </c>
      <c r="G2164">
        <f t="shared" si="40"/>
        <v>143</v>
      </c>
    </row>
    <row r="2165" spans="6:7">
      <c r="F2165" t="s">
        <v>4825</v>
      </c>
      <c r="G2165">
        <f t="shared" si="40"/>
        <v>143</v>
      </c>
    </row>
    <row r="2166" spans="6:7">
      <c r="F2166" t="s">
        <v>4825</v>
      </c>
      <c r="G2166">
        <f t="shared" si="40"/>
        <v>143</v>
      </c>
    </row>
    <row r="2167" spans="6:7">
      <c r="F2167" t="s">
        <v>4825</v>
      </c>
      <c r="G2167">
        <f t="shared" si="40"/>
        <v>143</v>
      </c>
    </row>
    <row r="2168" spans="6:7">
      <c r="F2168" t="s">
        <v>4825</v>
      </c>
      <c r="G2168">
        <f t="shared" si="40"/>
        <v>143</v>
      </c>
    </row>
    <row r="2169" spans="6:7">
      <c r="F2169" t="s">
        <v>4825</v>
      </c>
      <c r="G2169">
        <f t="shared" si="40"/>
        <v>143</v>
      </c>
    </row>
    <row r="2170" spans="6:7">
      <c r="F2170" t="s">
        <v>4825</v>
      </c>
      <c r="G2170">
        <f t="shared" si="40"/>
        <v>143</v>
      </c>
    </row>
    <row r="2171" spans="6:7">
      <c r="F2171" t="s">
        <v>4826</v>
      </c>
      <c r="G2171">
        <f t="shared" si="40"/>
        <v>142</v>
      </c>
    </row>
    <row r="2172" spans="6:7">
      <c r="F2172" t="s">
        <v>4826</v>
      </c>
      <c r="G2172">
        <f t="shared" si="40"/>
        <v>142</v>
      </c>
    </row>
    <row r="2173" spans="6:7">
      <c r="F2173" t="s">
        <v>4826</v>
      </c>
      <c r="G2173">
        <f t="shared" si="40"/>
        <v>142</v>
      </c>
    </row>
    <row r="2174" spans="6:7">
      <c r="F2174" t="s">
        <v>4826</v>
      </c>
      <c r="G2174">
        <f t="shared" si="40"/>
        <v>142</v>
      </c>
    </row>
    <row r="2175" spans="6:7">
      <c r="F2175" t="s">
        <v>4826</v>
      </c>
      <c r="G2175">
        <f t="shared" si="40"/>
        <v>142</v>
      </c>
    </row>
    <row r="2176" spans="6:7">
      <c r="F2176" t="s">
        <v>4826</v>
      </c>
      <c r="G2176">
        <f t="shared" si="40"/>
        <v>142</v>
      </c>
    </row>
    <row r="2177" spans="6:7">
      <c r="F2177" t="s">
        <v>4826</v>
      </c>
      <c r="G2177">
        <f t="shared" si="40"/>
        <v>142</v>
      </c>
    </row>
    <row r="2178" spans="6:7">
      <c r="F2178" t="s">
        <v>4826</v>
      </c>
      <c r="G2178">
        <f t="shared" si="40"/>
        <v>142</v>
      </c>
    </row>
    <row r="2179" spans="6:7">
      <c r="F2179" t="s">
        <v>4826</v>
      </c>
      <c r="G2179">
        <f t="shared" si="40"/>
        <v>142</v>
      </c>
    </row>
    <row r="2180" spans="6:7">
      <c r="F2180" t="s">
        <v>4826</v>
      </c>
      <c r="G2180">
        <f t="shared" si="40"/>
        <v>142</v>
      </c>
    </row>
    <row r="2181" spans="6:7">
      <c r="F2181" t="s">
        <v>4826</v>
      </c>
      <c r="G2181">
        <f t="shared" ref="G2181:G2244" si="41">_xlfn.XLOOKUP(F2181,$C$4:$C$220,$A$4:$A$220)</f>
        <v>142</v>
      </c>
    </row>
    <row r="2182" spans="6:7">
      <c r="F2182" t="s">
        <v>4826</v>
      </c>
      <c r="G2182">
        <f t="shared" si="41"/>
        <v>142</v>
      </c>
    </row>
    <row r="2183" spans="6:7">
      <c r="F2183" t="s">
        <v>4826</v>
      </c>
      <c r="G2183">
        <f t="shared" si="41"/>
        <v>142</v>
      </c>
    </row>
    <row r="2184" spans="6:7">
      <c r="F2184" t="s">
        <v>4826</v>
      </c>
      <c r="G2184">
        <f t="shared" si="41"/>
        <v>142</v>
      </c>
    </row>
    <row r="2185" spans="6:7">
      <c r="F2185" t="s">
        <v>4826</v>
      </c>
      <c r="G2185">
        <f t="shared" si="41"/>
        <v>142</v>
      </c>
    </row>
    <row r="2186" spans="6:7">
      <c r="F2186" t="s">
        <v>4826</v>
      </c>
      <c r="G2186">
        <f t="shared" si="41"/>
        <v>142</v>
      </c>
    </row>
    <row r="2187" spans="6:7">
      <c r="F2187" t="s">
        <v>4827</v>
      </c>
      <c r="G2187">
        <f t="shared" si="41"/>
        <v>144</v>
      </c>
    </row>
    <row r="2188" spans="6:7">
      <c r="F2188" t="s">
        <v>4827</v>
      </c>
      <c r="G2188">
        <f t="shared" si="41"/>
        <v>144</v>
      </c>
    </row>
    <row r="2189" spans="6:7">
      <c r="F2189" t="s">
        <v>4827</v>
      </c>
      <c r="G2189">
        <f t="shared" si="41"/>
        <v>144</v>
      </c>
    </row>
    <row r="2190" spans="6:7">
      <c r="F2190" t="s">
        <v>4827</v>
      </c>
      <c r="G2190">
        <f t="shared" si="41"/>
        <v>144</v>
      </c>
    </row>
    <row r="2191" spans="6:7">
      <c r="F2191" t="s">
        <v>4827</v>
      </c>
      <c r="G2191">
        <f t="shared" si="41"/>
        <v>144</v>
      </c>
    </row>
    <row r="2192" spans="6:7">
      <c r="F2192" t="s">
        <v>4827</v>
      </c>
      <c r="G2192">
        <f t="shared" si="41"/>
        <v>144</v>
      </c>
    </row>
    <row r="2193" spans="6:7">
      <c r="F2193" t="s">
        <v>4827</v>
      </c>
      <c r="G2193">
        <f t="shared" si="41"/>
        <v>144</v>
      </c>
    </row>
    <row r="2194" spans="6:7">
      <c r="F2194" t="s">
        <v>4827</v>
      </c>
      <c r="G2194">
        <f t="shared" si="41"/>
        <v>144</v>
      </c>
    </row>
    <row r="2195" spans="6:7">
      <c r="F2195" t="s">
        <v>4827</v>
      </c>
      <c r="G2195">
        <f t="shared" si="41"/>
        <v>144</v>
      </c>
    </row>
    <row r="2196" spans="6:7">
      <c r="F2196" t="s">
        <v>4827</v>
      </c>
      <c r="G2196">
        <f t="shared" si="41"/>
        <v>144</v>
      </c>
    </row>
    <row r="2197" spans="6:7">
      <c r="F2197" t="s">
        <v>4827</v>
      </c>
      <c r="G2197">
        <f t="shared" si="41"/>
        <v>144</v>
      </c>
    </row>
    <row r="2198" spans="6:7">
      <c r="F2198" t="s">
        <v>4827</v>
      </c>
      <c r="G2198">
        <f t="shared" si="41"/>
        <v>144</v>
      </c>
    </row>
    <row r="2199" spans="6:7">
      <c r="F2199" t="s">
        <v>4827</v>
      </c>
      <c r="G2199">
        <f t="shared" si="41"/>
        <v>144</v>
      </c>
    </row>
    <row r="2200" spans="6:7">
      <c r="F2200" t="s">
        <v>4827</v>
      </c>
      <c r="G2200">
        <f t="shared" si="41"/>
        <v>144</v>
      </c>
    </row>
    <row r="2201" spans="6:7">
      <c r="F2201" t="s">
        <v>4827</v>
      </c>
      <c r="G2201">
        <f t="shared" si="41"/>
        <v>144</v>
      </c>
    </row>
    <row r="2202" spans="6:7">
      <c r="F2202" t="s">
        <v>4827</v>
      </c>
      <c r="G2202">
        <f t="shared" si="41"/>
        <v>144</v>
      </c>
    </row>
    <row r="2203" spans="6:7">
      <c r="F2203" t="s">
        <v>4828</v>
      </c>
      <c r="G2203">
        <f t="shared" si="41"/>
        <v>148</v>
      </c>
    </row>
    <row r="2204" spans="6:7">
      <c r="F2204" t="s">
        <v>4828</v>
      </c>
      <c r="G2204">
        <f t="shared" si="41"/>
        <v>148</v>
      </c>
    </row>
    <row r="2205" spans="6:7">
      <c r="F2205" t="s">
        <v>4828</v>
      </c>
      <c r="G2205">
        <f t="shared" si="41"/>
        <v>148</v>
      </c>
    </row>
    <row r="2206" spans="6:7">
      <c r="F2206" t="s">
        <v>4828</v>
      </c>
      <c r="G2206">
        <f t="shared" si="41"/>
        <v>148</v>
      </c>
    </row>
    <row r="2207" spans="6:7">
      <c r="F2207" t="s">
        <v>4828</v>
      </c>
      <c r="G2207">
        <f t="shared" si="41"/>
        <v>148</v>
      </c>
    </row>
    <row r="2208" spans="6:7">
      <c r="F2208" t="s">
        <v>4828</v>
      </c>
      <c r="G2208">
        <f t="shared" si="41"/>
        <v>148</v>
      </c>
    </row>
    <row r="2209" spans="6:7">
      <c r="F2209" t="s">
        <v>4828</v>
      </c>
      <c r="G2209">
        <f t="shared" si="41"/>
        <v>148</v>
      </c>
    </row>
    <row r="2210" spans="6:7">
      <c r="F2210" t="s">
        <v>4828</v>
      </c>
      <c r="G2210">
        <f t="shared" si="41"/>
        <v>148</v>
      </c>
    </row>
    <row r="2211" spans="6:7">
      <c r="F2211" t="s">
        <v>4828</v>
      </c>
      <c r="G2211">
        <f t="shared" si="41"/>
        <v>148</v>
      </c>
    </row>
    <row r="2212" spans="6:7">
      <c r="F2212" t="s">
        <v>4828</v>
      </c>
      <c r="G2212">
        <f t="shared" si="41"/>
        <v>148</v>
      </c>
    </row>
    <row r="2213" spans="6:7">
      <c r="F2213" t="s">
        <v>4828</v>
      </c>
      <c r="G2213">
        <f t="shared" si="41"/>
        <v>148</v>
      </c>
    </row>
    <row r="2214" spans="6:7">
      <c r="F2214" t="s">
        <v>4828</v>
      </c>
      <c r="G2214">
        <f t="shared" si="41"/>
        <v>148</v>
      </c>
    </row>
    <row r="2215" spans="6:7">
      <c r="F2215" t="s">
        <v>4828</v>
      </c>
      <c r="G2215">
        <f t="shared" si="41"/>
        <v>148</v>
      </c>
    </row>
    <row r="2216" spans="6:7">
      <c r="F2216" t="s">
        <v>4828</v>
      </c>
      <c r="G2216">
        <f t="shared" si="41"/>
        <v>148</v>
      </c>
    </row>
    <row r="2217" spans="6:7">
      <c r="F2217" t="s">
        <v>4828</v>
      </c>
      <c r="G2217">
        <f t="shared" si="41"/>
        <v>148</v>
      </c>
    </row>
    <row r="2218" spans="6:7">
      <c r="F2218" t="s">
        <v>4828</v>
      </c>
      <c r="G2218">
        <f t="shared" si="41"/>
        <v>148</v>
      </c>
    </row>
    <row r="2219" spans="6:7">
      <c r="F2219" t="s">
        <v>4828</v>
      </c>
      <c r="G2219">
        <f t="shared" si="41"/>
        <v>148</v>
      </c>
    </row>
    <row r="2220" spans="6:7">
      <c r="F2220" t="s">
        <v>4828</v>
      </c>
      <c r="G2220">
        <f t="shared" si="41"/>
        <v>148</v>
      </c>
    </row>
    <row r="2221" spans="6:7">
      <c r="F2221" t="s">
        <v>4828</v>
      </c>
      <c r="G2221">
        <f t="shared" si="41"/>
        <v>148</v>
      </c>
    </row>
    <row r="2222" spans="6:7">
      <c r="F2222" t="s">
        <v>4828</v>
      </c>
      <c r="G2222">
        <f t="shared" si="41"/>
        <v>148</v>
      </c>
    </row>
    <row r="2223" spans="6:7">
      <c r="F2223" t="s">
        <v>4828</v>
      </c>
      <c r="G2223">
        <f t="shared" si="41"/>
        <v>148</v>
      </c>
    </row>
    <row r="2224" spans="6:7">
      <c r="F2224" t="s">
        <v>4829</v>
      </c>
      <c r="G2224">
        <f t="shared" si="41"/>
        <v>147</v>
      </c>
    </row>
    <row r="2225" spans="6:7">
      <c r="F2225" t="s">
        <v>4829</v>
      </c>
      <c r="G2225">
        <f t="shared" si="41"/>
        <v>147</v>
      </c>
    </row>
    <row r="2226" spans="6:7">
      <c r="F2226" t="s">
        <v>4829</v>
      </c>
      <c r="G2226">
        <f t="shared" si="41"/>
        <v>147</v>
      </c>
    </row>
    <row r="2227" spans="6:7">
      <c r="F2227" t="s">
        <v>4829</v>
      </c>
      <c r="G2227">
        <f t="shared" si="41"/>
        <v>147</v>
      </c>
    </row>
    <row r="2228" spans="6:7">
      <c r="F2228" t="s">
        <v>4829</v>
      </c>
      <c r="G2228">
        <f t="shared" si="41"/>
        <v>147</v>
      </c>
    </row>
    <row r="2229" spans="6:7">
      <c r="F2229" t="s">
        <v>4829</v>
      </c>
      <c r="G2229">
        <f t="shared" si="41"/>
        <v>147</v>
      </c>
    </row>
    <row r="2230" spans="6:7">
      <c r="F2230" t="s">
        <v>4829</v>
      </c>
      <c r="G2230">
        <f t="shared" si="41"/>
        <v>147</v>
      </c>
    </row>
    <row r="2231" spans="6:7">
      <c r="F2231" t="s">
        <v>4829</v>
      </c>
      <c r="G2231">
        <f t="shared" si="41"/>
        <v>147</v>
      </c>
    </row>
    <row r="2232" spans="6:7">
      <c r="F2232" t="s">
        <v>4829</v>
      </c>
      <c r="G2232">
        <f t="shared" si="41"/>
        <v>147</v>
      </c>
    </row>
    <row r="2233" spans="6:7">
      <c r="F2233" t="s">
        <v>4829</v>
      </c>
      <c r="G2233">
        <f t="shared" si="41"/>
        <v>147</v>
      </c>
    </row>
    <row r="2234" spans="6:7">
      <c r="F2234" t="s">
        <v>4829</v>
      </c>
      <c r="G2234">
        <f t="shared" si="41"/>
        <v>147</v>
      </c>
    </row>
    <row r="2235" spans="6:7">
      <c r="F2235" t="s">
        <v>4829</v>
      </c>
      <c r="G2235">
        <f t="shared" si="41"/>
        <v>147</v>
      </c>
    </row>
    <row r="2236" spans="6:7">
      <c r="F2236" t="s">
        <v>4829</v>
      </c>
      <c r="G2236">
        <f t="shared" si="41"/>
        <v>147</v>
      </c>
    </row>
    <row r="2237" spans="6:7">
      <c r="F2237" t="s">
        <v>4829</v>
      </c>
      <c r="G2237">
        <f t="shared" si="41"/>
        <v>147</v>
      </c>
    </row>
    <row r="2238" spans="6:7">
      <c r="F2238" t="s">
        <v>4829</v>
      </c>
      <c r="G2238">
        <f t="shared" si="41"/>
        <v>147</v>
      </c>
    </row>
    <row r="2239" spans="6:7">
      <c r="F2239" t="s">
        <v>4829</v>
      </c>
      <c r="G2239">
        <f t="shared" si="41"/>
        <v>147</v>
      </c>
    </row>
    <row r="2240" spans="6:7">
      <c r="F2240" t="s">
        <v>4829</v>
      </c>
      <c r="G2240">
        <f t="shared" si="41"/>
        <v>147</v>
      </c>
    </row>
    <row r="2241" spans="6:7">
      <c r="F2241" t="s">
        <v>4829</v>
      </c>
      <c r="G2241">
        <f t="shared" si="41"/>
        <v>147</v>
      </c>
    </row>
    <row r="2242" spans="6:7">
      <c r="F2242" t="s">
        <v>4829</v>
      </c>
      <c r="G2242">
        <f t="shared" si="41"/>
        <v>147</v>
      </c>
    </row>
    <row r="2243" spans="6:7">
      <c r="F2243" t="s">
        <v>4829</v>
      </c>
      <c r="G2243">
        <f t="shared" si="41"/>
        <v>147</v>
      </c>
    </row>
    <row r="2244" spans="6:7">
      <c r="F2244" t="s">
        <v>4829</v>
      </c>
      <c r="G2244">
        <f t="shared" si="41"/>
        <v>147</v>
      </c>
    </row>
    <row r="2245" spans="6:7">
      <c r="F2245" t="s">
        <v>4895</v>
      </c>
      <c r="G2245">
        <f t="shared" ref="G2245:G2308" si="42">_xlfn.XLOOKUP(F2245,$C$4:$C$220,$A$4:$A$220)</f>
        <v>146</v>
      </c>
    </row>
    <row r="2246" spans="6:7">
      <c r="F2246" t="s">
        <v>4895</v>
      </c>
      <c r="G2246">
        <f t="shared" si="42"/>
        <v>146</v>
      </c>
    </row>
    <row r="2247" spans="6:7">
      <c r="F2247" t="s">
        <v>4895</v>
      </c>
      <c r="G2247">
        <f t="shared" si="42"/>
        <v>146</v>
      </c>
    </row>
    <row r="2248" spans="6:7">
      <c r="F2248" t="s">
        <v>4895</v>
      </c>
      <c r="G2248">
        <f t="shared" si="42"/>
        <v>146</v>
      </c>
    </row>
    <row r="2249" spans="6:7">
      <c r="F2249" t="s">
        <v>4895</v>
      </c>
      <c r="G2249">
        <f t="shared" si="42"/>
        <v>146</v>
      </c>
    </row>
    <row r="2250" spans="6:7">
      <c r="F2250" t="s">
        <v>4895</v>
      </c>
      <c r="G2250">
        <f t="shared" si="42"/>
        <v>146</v>
      </c>
    </row>
    <row r="2251" spans="6:7">
      <c r="F2251" t="s">
        <v>4895</v>
      </c>
      <c r="G2251">
        <f t="shared" si="42"/>
        <v>146</v>
      </c>
    </row>
    <row r="2252" spans="6:7">
      <c r="F2252" t="s">
        <v>4895</v>
      </c>
      <c r="G2252">
        <f t="shared" si="42"/>
        <v>146</v>
      </c>
    </row>
    <row r="2253" spans="6:7">
      <c r="F2253" t="s">
        <v>4895</v>
      </c>
      <c r="G2253">
        <f t="shared" si="42"/>
        <v>146</v>
      </c>
    </row>
    <row r="2254" spans="6:7">
      <c r="F2254" t="s">
        <v>4895</v>
      </c>
      <c r="G2254">
        <f t="shared" si="42"/>
        <v>146</v>
      </c>
    </row>
    <row r="2255" spans="6:7">
      <c r="F2255" t="s">
        <v>4895</v>
      </c>
      <c r="G2255">
        <f t="shared" si="42"/>
        <v>146</v>
      </c>
    </row>
    <row r="2256" spans="6:7">
      <c r="F2256" t="s">
        <v>4895</v>
      </c>
      <c r="G2256">
        <f t="shared" si="42"/>
        <v>146</v>
      </c>
    </row>
    <row r="2257" spans="6:7">
      <c r="F2257" t="s">
        <v>4895</v>
      </c>
      <c r="G2257">
        <f t="shared" si="42"/>
        <v>146</v>
      </c>
    </row>
    <row r="2258" spans="6:7">
      <c r="F2258" t="s">
        <v>4895</v>
      </c>
      <c r="G2258">
        <f t="shared" si="42"/>
        <v>146</v>
      </c>
    </row>
    <row r="2259" spans="6:7">
      <c r="F2259" t="s">
        <v>4895</v>
      </c>
      <c r="G2259">
        <f t="shared" si="42"/>
        <v>146</v>
      </c>
    </row>
    <row r="2260" spans="6:7">
      <c r="F2260" t="s">
        <v>4895</v>
      </c>
      <c r="G2260">
        <f t="shared" si="42"/>
        <v>146</v>
      </c>
    </row>
    <row r="2261" spans="6:7">
      <c r="F2261" t="s">
        <v>4895</v>
      </c>
      <c r="G2261">
        <f t="shared" si="42"/>
        <v>146</v>
      </c>
    </row>
    <row r="2262" spans="6:7">
      <c r="F2262" t="s">
        <v>4895</v>
      </c>
      <c r="G2262">
        <f t="shared" si="42"/>
        <v>146</v>
      </c>
    </row>
    <row r="2263" spans="6:7">
      <c r="F2263" t="s">
        <v>4895</v>
      </c>
      <c r="G2263">
        <f t="shared" si="42"/>
        <v>146</v>
      </c>
    </row>
    <row r="2264" spans="6:7">
      <c r="F2264" t="s">
        <v>4895</v>
      </c>
      <c r="G2264">
        <f t="shared" si="42"/>
        <v>146</v>
      </c>
    </row>
    <row r="2265" spans="6:7">
      <c r="F2265" t="s">
        <v>4895</v>
      </c>
      <c r="G2265">
        <f t="shared" si="42"/>
        <v>146</v>
      </c>
    </row>
    <row r="2266" spans="6:7">
      <c r="F2266" t="s">
        <v>4960</v>
      </c>
      <c r="G2266">
        <f t="shared" si="42"/>
        <v>10049</v>
      </c>
    </row>
    <row r="2267" spans="6:7">
      <c r="F2267" t="s">
        <v>4960</v>
      </c>
      <c r="G2267">
        <f t="shared" si="42"/>
        <v>10049</v>
      </c>
    </row>
    <row r="2268" spans="6:7">
      <c r="F2268" t="s">
        <v>4960</v>
      </c>
      <c r="G2268">
        <f t="shared" si="42"/>
        <v>10049</v>
      </c>
    </row>
    <row r="2269" spans="6:7">
      <c r="F2269" t="s">
        <v>4960</v>
      </c>
      <c r="G2269">
        <f t="shared" si="42"/>
        <v>10049</v>
      </c>
    </row>
    <row r="2270" spans="6:7">
      <c r="F2270" t="s">
        <v>4960</v>
      </c>
      <c r="G2270">
        <f t="shared" si="42"/>
        <v>10049</v>
      </c>
    </row>
    <row r="2271" spans="6:7">
      <c r="F2271" t="s">
        <v>4960</v>
      </c>
      <c r="G2271">
        <f t="shared" si="42"/>
        <v>10049</v>
      </c>
    </row>
    <row r="2272" spans="6:7">
      <c r="F2272" t="s">
        <v>4960</v>
      </c>
      <c r="G2272">
        <f t="shared" si="42"/>
        <v>10049</v>
      </c>
    </row>
    <row r="2273" spans="6:7">
      <c r="F2273" t="s">
        <v>4960</v>
      </c>
      <c r="G2273">
        <f t="shared" si="42"/>
        <v>10049</v>
      </c>
    </row>
    <row r="2274" spans="6:7">
      <c r="F2274" t="s">
        <v>4960</v>
      </c>
      <c r="G2274">
        <f t="shared" si="42"/>
        <v>10049</v>
      </c>
    </row>
    <row r="2275" spans="6:7">
      <c r="F2275" t="s">
        <v>4960</v>
      </c>
      <c r="G2275">
        <f t="shared" si="42"/>
        <v>10049</v>
      </c>
    </row>
    <row r="2276" spans="6:7">
      <c r="F2276" t="s">
        <v>4960</v>
      </c>
      <c r="G2276">
        <f t="shared" si="42"/>
        <v>10049</v>
      </c>
    </row>
    <row r="2277" spans="6:7">
      <c r="F2277" t="s">
        <v>4960</v>
      </c>
      <c r="G2277">
        <f t="shared" si="42"/>
        <v>10049</v>
      </c>
    </row>
    <row r="2278" spans="6:7">
      <c r="F2278" t="s">
        <v>4960</v>
      </c>
      <c r="G2278">
        <f t="shared" si="42"/>
        <v>10049</v>
      </c>
    </row>
    <row r="2279" spans="6:7">
      <c r="F2279" t="s">
        <v>4960</v>
      </c>
      <c r="G2279">
        <f t="shared" si="42"/>
        <v>10049</v>
      </c>
    </row>
    <row r="2280" spans="6:7">
      <c r="F2280" t="s">
        <v>4960</v>
      </c>
      <c r="G2280">
        <f t="shared" si="42"/>
        <v>10049</v>
      </c>
    </row>
    <row r="2281" spans="6:7">
      <c r="F2281" t="s">
        <v>4960</v>
      </c>
      <c r="G2281">
        <f t="shared" si="42"/>
        <v>10049</v>
      </c>
    </row>
    <row r="2282" spans="6:7">
      <c r="F2282" t="s">
        <v>4960</v>
      </c>
      <c r="G2282">
        <f t="shared" si="42"/>
        <v>10049</v>
      </c>
    </row>
    <row r="2283" spans="6:7">
      <c r="F2283" t="s">
        <v>4960</v>
      </c>
      <c r="G2283">
        <f t="shared" si="42"/>
        <v>10049</v>
      </c>
    </row>
    <row r="2284" spans="6:7">
      <c r="F2284" t="s">
        <v>4960</v>
      </c>
      <c r="G2284">
        <f t="shared" si="42"/>
        <v>10049</v>
      </c>
    </row>
    <row r="2285" spans="6:7">
      <c r="F2285" t="s">
        <v>4960</v>
      </c>
      <c r="G2285">
        <f t="shared" si="42"/>
        <v>10049</v>
      </c>
    </row>
    <row r="2286" spans="6:7">
      <c r="F2286" t="s">
        <v>4960</v>
      </c>
      <c r="G2286">
        <f t="shared" si="42"/>
        <v>10049</v>
      </c>
    </row>
    <row r="2287" spans="6:7">
      <c r="F2287" t="s">
        <v>4983</v>
      </c>
      <c r="G2287">
        <f t="shared" si="42"/>
        <v>10050</v>
      </c>
    </row>
    <row r="2288" spans="6:7">
      <c r="F2288" t="s">
        <v>4983</v>
      </c>
      <c r="G2288">
        <f t="shared" si="42"/>
        <v>10050</v>
      </c>
    </row>
    <row r="2289" spans="6:7">
      <c r="F2289" t="s">
        <v>4983</v>
      </c>
      <c r="G2289">
        <f t="shared" si="42"/>
        <v>10050</v>
      </c>
    </row>
    <row r="2290" spans="6:7">
      <c r="F2290" t="s">
        <v>4983</v>
      </c>
      <c r="G2290">
        <f t="shared" si="42"/>
        <v>10050</v>
      </c>
    </row>
    <row r="2291" spans="6:7">
      <c r="F2291" t="s">
        <v>4983</v>
      </c>
      <c r="G2291">
        <f t="shared" si="42"/>
        <v>10050</v>
      </c>
    </row>
    <row r="2292" spans="6:7">
      <c r="F2292" t="s">
        <v>4983</v>
      </c>
      <c r="G2292">
        <f t="shared" si="42"/>
        <v>10050</v>
      </c>
    </row>
    <row r="2293" spans="6:7">
      <c r="F2293" t="s">
        <v>4983</v>
      </c>
      <c r="G2293">
        <f t="shared" si="42"/>
        <v>10050</v>
      </c>
    </row>
    <row r="2294" spans="6:7">
      <c r="F2294" t="s">
        <v>4983</v>
      </c>
      <c r="G2294">
        <f t="shared" si="42"/>
        <v>10050</v>
      </c>
    </row>
    <row r="2295" spans="6:7">
      <c r="F2295" t="s">
        <v>4983</v>
      </c>
      <c r="G2295">
        <f t="shared" si="42"/>
        <v>10050</v>
      </c>
    </row>
    <row r="2296" spans="6:7">
      <c r="F2296" t="s">
        <v>4983</v>
      </c>
      <c r="G2296">
        <f t="shared" si="42"/>
        <v>10050</v>
      </c>
    </row>
    <row r="2297" spans="6:7">
      <c r="F2297" t="s">
        <v>4983</v>
      </c>
      <c r="G2297">
        <f t="shared" si="42"/>
        <v>10050</v>
      </c>
    </row>
    <row r="2298" spans="6:7">
      <c r="F2298" t="s">
        <v>4983</v>
      </c>
      <c r="G2298">
        <f t="shared" si="42"/>
        <v>10050</v>
      </c>
    </row>
    <row r="2299" spans="6:7">
      <c r="F2299" t="s">
        <v>4983</v>
      </c>
      <c r="G2299">
        <f t="shared" si="42"/>
        <v>10050</v>
      </c>
    </row>
    <row r="2300" spans="6:7">
      <c r="F2300" t="s">
        <v>4983</v>
      </c>
      <c r="G2300">
        <f t="shared" si="42"/>
        <v>10050</v>
      </c>
    </row>
    <row r="2301" spans="6:7">
      <c r="F2301" t="s">
        <v>4983</v>
      </c>
      <c r="G2301">
        <f t="shared" si="42"/>
        <v>10050</v>
      </c>
    </row>
    <row r="2302" spans="6:7">
      <c r="F2302" t="s">
        <v>4983</v>
      </c>
      <c r="G2302">
        <f t="shared" si="42"/>
        <v>10050</v>
      </c>
    </row>
    <row r="2303" spans="6:7">
      <c r="F2303" t="s">
        <v>4983</v>
      </c>
      <c r="G2303">
        <f t="shared" si="42"/>
        <v>10050</v>
      </c>
    </row>
    <row r="2304" spans="6:7">
      <c r="F2304" t="s">
        <v>4983</v>
      </c>
      <c r="G2304">
        <f t="shared" si="42"/>
        <v>10050</v>
      </c>
    </row>
    <row r="2305" spans="6:7">
      <c r="F2305" t="s">
        <v>4983</v>
      </c>
      <c r="G2305">
        <f t="shared" si="42"/>
        <v>10050</v>
      </c>
    </row>
    <row r="2306" spans="6:7">
      <c r="F2306" t="s">
        <v>4983</v>
      </c>
      <c r="G2306">
        <f t="shared" si="42"/>
        <v>10050</v>
      </c>
    </row>
    <row r="2307" spans="6:7">
      <c r="F2307" t="s">
        <v>4983</v>
      </c>
      <c r="G2307">
        <f t="shared" si="42"/>
        <v>10050</v>
      </c>
    </row>
    <row r="2308" spans="6:7">
      <c r="F2308" t="s">
        <v>5004</v>
      </c>
      <c r="G2308">
        <f t="shared" si="42"/>
        <v>10051</v>
      </c>
    </row>
    <row r="2309" spans="6:7">
      <c r="F2309" t="s">
        <v>5004</v>
      </c>
      <c r="G2309">
        <f t="shared" ref="G2309:G2372" si="43">_xlfn.XLOOKUP(F2309,$C$4:$C$220,$A$4:$A$220)</f>
        <v>10051</v>
      </c>
    </row>
    <row r="2310" spans="6:7">
      <c r="F2310" t="s">
        <v>5004</v>
      </c>
      <c r="G2310">
        <f t="shared" si="43"/>
        <v>10051</v>
      </c>
    </row>
    <row r="2311" spans="6:7">
      <c r="F2311" t="s">
        <v>5004</v>
      </c>
      <c r="G2311">
        <f t="shared" si="43"/>
        <v>10051</v>
      </c>
    </row>
    <row r="2312" spans="6:7">
      <c r="F2312" t="s">
        <v>5004</v>
      </c>
      <c r="G2312">
        <f t="shared" si="43"/>
        <v>10051</v>
      </c>
    </row>
    <row r="2313" spans="6:7">
      <c r="F2313" t="s">
        <v>5004</v>
      </c>
      <c r="G2313">
        <f t="shared" si="43"/>
        <v>10051</v>
      </c>
    </row>
    <row r="2314" spans="6:7">
      <c r="F2314" t="s">
        <v>5004</v>
      </c>
      <c r="G2314">
        <f t="shared" si="43"/>
        <v>10051</v>
      </c>
    </row>
    <row r="2315" spans="6:7">
      <c r="F2315" t="s">
        <v>5004</v>
      </c>
      <c r="G2315">
        <f t="shared" si="43"/>
        <v>10051</v>
      </c>
    </row>
    <row r="2316" spans="6:7">
      <c r="F2316" t="s">
        <v>5004</v>
      </c>
      <c r="G2316">
        <f t="shared" si="43"/>
        <v>10051</v>
      </c>
    </row>
    <row r="2317" spans="6:7">
      <c r="F2317" t="s">
        <v>5004</v>
      </c>
      <c r="G2317">
        <f t="shared" si="43"/>
        <v>10051</v>
      </c>
    </row>
    <row r="2318" spans="6:7">
      <c r="F2318" t="s">
        <v>5004</v>
      </c>
      <c r="G2318">
        <f t="shared" si="43"/>
        <v>10051</v>
      </c>
    </row>
    <row r="2319" spans="6:7">
      <c r="F2319" t="s">
        <v>5004</v>
      </c>
      <c r="G2319">
        <f t="shared" si="43"/>
        <v>10051</v>
      </c>
    </row>
    <row r="2320" spans="6:7">
      <c r="F2320" t="s">
        <v>5004</v>
      </c>
      <c r="G2320">
        <f t="shared" si="43"/>
        <v>10051</v>
      </c>
    </row>
    <row r="2321" spans="6:7">
      <c r="F2321" t="s">
        <v>5004</v>
      </c>
      <c r="G2321">
        <f t="shared" si="43"/>
        <v>10051</v>
      </c>
    </row>
    <row r="2322" spans="6:7">
      <c r="F2322" t="s">
        <v>5004</v>
      </c>
      <c r="G2322">
        <f t="shared" si="43"/>
        <v>10051</v>
      </c>
    </row>
    <row r="2323" spans="6:7">
      <c r="F2323" t="s">
        <v>5004</v>
      </c>
      <c r="G2323">
        <f t="shared" si="43"/>
        <v>10051</v>
      </c>
    </row>
    <row r="2324" spans="6:7">
      <c r="F2324" t="s">
        <v>5004</v>
      </c>
      <c r="G2324">
        <f t="shared" si="43"/>
        <v>10051</v>
      </c>
    </row>
    <row r="2325" spans="6:7">
      <c r="F2325" t="s">
        <v>5004</v>
      </c>
      <c r="G2325">
        <f t="shared" si="43"/>
        <v>10051</v>
      </c>
    </row>
    <row r="2326" spans="6:7">
      <c r="F2326" t="s">
        <v>5004</v>
      </c>
      <c r="G2326">
        <f t="shared" si="43"/>
        <v>10051</v>
      </c>
    </row>
    <row r="2327" spans="6:7">
      <c r="F2327" t="s">
        <v>5004</v>
      </c>
      <c r="G2327">
        <f t="shared" si="43"/>
        <v>10051</v>
      </c>
    </row>
    <row r="2328" spans="6:7">
      <c r="F2328" t="s">
        <v>5004</v>
      </c>
      <c r="G2328">
        <f t="shared" si="43"/>
        <v>10051</v>
      </c>
    </row>
    <row r="2329" spans="6:7">
      <c r="F2329" t="s">
        <v>5025</v>
      </c>
      <c r="G2329">
        <f t="shared" si="43"/>
        <v>171</v>
      </c>
    </row>
    <row r="2330" spans="6:7">
      <c r="F2330" t="s">
        <v>5025</v>
      </c>
      <c r="G2330">
        <f t="shared" si="43"/>
        <v>171</v>
      </c>
    </row>
    <row r="2331" spans="6:7">
      <c r="F2331" t="s">
        <v>5025</v>
      </c>
      <c r="G2331">
        <f t="shared" si="43"/>
        <v>171</v>
      </c>
    </row>
    <row r="2332" spans="6:7">
      <c r="F2332" t="s">
        <v>5025</v>
      </c>
      <c r="G2332">
        <f t="shared" si="43"/>
        <v>171</v>
      </c>
    </row>
    <row r="2333" spans="6:7">
      <c r="F2333" t="s">
        <v>5025</v>
      </c>
      <c r="G2333">
        <f t="shared" si="43"/>
        <v>171</v>
      </c>
    </row>
    <row r="2334" spans="6:7">
      <c r="F2334" t="s">
        <v>5025</v>
      </c>
      <c r="G2334">
        <f t="shared" si="43"/>
        <v>171</v>
      </c>
    </row>
    <row r="2335" spans="6:7">
      <c r="F2335" t="s">
        <v>5026</v>
      </c>
      <c r="G2335">
        <f t="shared" si="43"/>
        <v>173</v>
      </c>
    </row>
    <row r="2336" spans="6:7">
      <c r="F2336" t="s">
        <v>5026</v>
      </c>
      <c r="G2336">
        <f t="shared" si="43"/>
        <v>173</v>
      </c>
    </row>
    <row r="2337" spans="6:7">
      <c r="F2337" t="s">
        <v>5026</v>
      </c>
      <c r="G2337">
        <f t="shared" si="43"/>
        <v>173</v>
      </c>
    </row>
    <row r="2338" spans="6:7">
      <c r="F2338" t="s">
        <v>5026</v>
      </c>
      <c r="G2338">
        <f t="shared" si="43"/>
        <v>173</v>
      </c>
    </row>
    <row r="2339" spans="6:7">
      <c r="F2339" t="s">
        <v>5026</v>
      </c>
      <c r="G2339">
        <f t="shared" si="43"/>
        <v>173</v>
      </c>
    </row>
    <row r="2340" spans="6:7">
      <c r="F2340" t="s">
        <v>5026</v>
      </c>
      <c r="G2340">
        <f t="shared" si="43"/>
        <v>173</v>
      </c>
    </row>
    <row r="2341" spans="6:7">
      <c r="F2341" t="s">
        <v>5027</v>
      </c>
      <c r="G2341">
        <f t="shared" si="43"/>
        <v>172</v>
      </c>
    </row>
    <row r="2342" spans="6:7">
      <c r="F2342" t="s">
        <v>5027</v>
      </c>
      <c r="G2342">
        <f t="shared" si="43"/>
        <v>172</v>
      </c>
    </row>
    <row r="2343" spans="6:7">
      <c r="F2343" t="s">
        <v>5027</v>
      </c>
      <c r="G2343">
        <f t="shared" si="43"/>
        <v>172</v>
      </c>
    </row>
    <row r="2344" spans="6:7">
      <c r="F2344" t="s">
        <v>5027</v>
      </c>
      <c r="G2344">
        <f t="shared" si="43"/>
        <v>172</v>
      </c>
    </row>
    <row r="2345" spans="6:7">
      <c r="F2345" t="s">
        <v>5027</v>
      </c>
      <c r="G2345">
        <f t="shared" si="43"/>
        <v>172</v>
      </c>
    </row>
    <row r="2346" spans="6:7">
      <c r="F2346" t="s">
        <v>5027</v>
      </c>
      <c r="G2346">
        <f t="shared" si="43"/>
        <v>172</v>
      </c>
    </row>
    <row r="2347" spans="6:7">
      <c r="F2347" t="s">
        <v>5028</v>
      </c>
      <c r="G2347">
        <f t="shared" si="43"/>
        <v>174</v>
      </c>
    </row>
    <row r="2348" spans="6:7">
      <c r="F2348" t="s">
        <v>5028</v>
      </c>
      <c r="G2348">
        <f t="shared" si="43"/>
        <v>174</v>
      </c>
    </row>
    <row r="2349" spans="6:7">
      <c r="F2349" t="s">
        <v>5028</v>
      </c>
      <c r="G2349">
        <f t="shared" si="43"/>
        <v>174</v>
      </c>
    </row>
    <row r="2350" spans="6:7">
      <c r="F2350" t="s">
        <v>5028</v>
      </c>
      <c r="G2350">
        <f t="shared" si="43"/>
        <v>174</v>
      </c>
    </row>
    <row r="2351" spans="6:7">
      <c r="F2351" t="s">
        <v>5028</v>
      </c>
      <c r="G2351">
        <f t="shared" si="43"/>
        <v>174</v>
      </c>
    </row>
    <row r="2352" spans="6:7">
      <c r="F2352" t="s">
        <v>5028</v>
      </c>
      <c r="G2352">
        <f t="shared" si="43"/>
        <v>174</v>
      </c>
    </row>
    <row r="2353" spans="6:7">
      <c r="F2353" t="s">
        <v>5029</v>
      </c>
      <c r="G2353">
        <f t="shared" si="43"/>
        <v>178</v>
      </c>
    </row>
    <row r="2354" spans="6:7">
      <c r="F2354" t="s">
        <v>5029</v>
      </c>
      <c r="G2354">
        <f t="shared" si="43"/>
        <v>178</v>
      </c>
    </row>
    <row r="2355" spans="6:7">
      <c r="F2355" t="s">
        <v>5029</v>
      </c>
      <c r="G2355">
        <f t="shared" si="43"/>
        <v>178</v>
      </c>
    </row>
    <row r="2356" spans="6:7">
      <c r="F2356" t="s">
        <v>5029</v>
      </c>
      <c r="G2356">
        <f t="shared" si="43"/>
        <v>178</v>
      </c>
    </row>
    <row r="2357" spans="6:7">
      <c r="F2357" t="s">
        <v>5029</v>
      </c>
      <c r="G2357">
        <f t="shared" si="43"/>
        <v>178</v>
      </c>
    </row>
    <row r="2358" spans="6:7">
      <c r="F2358" t="s">
        <v>5029</v>
      </c>
      <c r="G2358">
        <f t="shared" si="43"/>
        <v>178</v>
      </c>
    </row>
    <row r="2359" spans="6:7">
      <c r="F2359" t="s">
        <v>5029</v>
      </c>
      <c r="G2359">
        <f t="shared" si="43"/>
        <v>178</v>
      </c>
    </row>
    <row r="2360" spans="6:7">
      <c r="F2360" t="s">
        <v>5029</v>
      </c>
      <c r="G2360">
        <f t="shared" si="43"/>
        <v>178</v>
      </c>
    </row>
    <row r="2361" spans="6:7">
      <c r="F2361" t="s">
        <v>5029</v>
      </c>
      <c r="G2361">
        <f t="shared" si="43"/>
        <v>178</v>
      </c>
    </row>
    <row r="2362" spans="6:7">
      <c r="F2362" t="s">
        <v>5029</v>
      </c>
      <c r="G2362">
        <f t="shared" si="43"/>
        <v>178</v>
      </c>
    </row>
    <row r="2363" spans="6:7">
      <c r="F2363" t="s">
        <v>5029</v>
      </c>
      <c r="G2363">
        <f t="shared" si="43"/>
        <v>178</v>
      </c>
    </row>
    <row r="2364" spans="6:7">
      <c r="F2364" t="s">
        <v>5030</v>
      </c>
      <c r="G2364">
        <f t="shared" si="43"/>
        <v>177</v>
      </c>
    </row>
    <row r="2365" spans="6:7">
      <c r="F2365" t="s">
        <v>5030</v>
      </c>
      <c r="G2365">
        <f t="shared" si="43"/>
        <v>177</v>
      </c>
    </row>
    <row r="2366" spans="6:7">
      <c r="F2366" t="s">
        <v>5030</v>
      </c>
      <c r="G2366">
        <f t="shared" si="43"/>
        <v>177</v>
      </c>
    </row>
    <row r="2367" spans="6:7">
      <c r="F2367" t="s">
        <v>5030</v>
      </c>
      <c r="G2367">
        <f t="shared" si="43"/>
        <v>177</v>
      </c>
    </row>
    <row r="2368" spans="6:7">
      <c r="F2368" t="s">
        <v>5030</v>
      </c>
      <c r="G2368">
        <f t="shared" si="43"/>
        <v>177</v>
      </c>
    </row>
    <row r="2369" spans="6:7">
      <c r="F2369" t="s">
        <v>5030</v>
      </c>
      <c r="G2369">
        <f t="shared" si="43"/>
        <v>177</v>
      </c>
    </row>
    <row r="2370" spans="6:7">
      <c r="F2370" t="s">
        <v>5030</v>
      </c>
      <c r="G2370">
        <f t="shared" si="43"/>
        <v>177</v>
      </c>
    </row>
    <row r="2371" spans="6:7">
      <c r="F2371" t="s">
        <v>5030</v>
      </c>
      <c r="G2371">
        <f t="shared" si="43"/>
        <v>177</v>
      </c>
    </row>
    <row r="2372" spans="6:7">
      <c r="F2372" t="s">
        <v>5030</v>
      </c>
      <c r="G2372">
        <f t="shared" si="43"/>
        <v>177</v>
      </c>
    </row>
    <row r="2373" spans="6:7">
      <c r="F2373" t="s">
        <v>5030</v>
      </c>
      <c r="G2373">
        <f t="shared" ref="G2373:G2436" si="44">_xlfn.XLOOKUP(F2373,$C$4:$C$220,$A$4:$A$220)</f>
        <v>177</v>
      </c>
    </row>
    <row r="2374" spans="6:7">
      <c r="F2374" t="s">
        <v>5030</v>
      </c>
      <c r="G2374">
        <f t="shared" si="44"/>
        <v>177</v>
      </c>
    </row>
    <row r="2375" spans="6:7">
      <c r="F2375" t="s">
        <v>5031</v>
      </c>
      <c r="G2375">
        <f t="shared" si="44"/>
        <v>179</v>
      </c>
    </row>
    <row r="2376" spans="6:7">
      <c r="F2376" t="s">
        <v>5031</v>
      </c>
      <c r="G2376">
        <f t="shared" si="44"/>
        <v>179</v>
      </c>
    </row>
    <row r="2377" spans="6:7">
      <c r="F2377" t="s">
        <v>5031</v>
      </c>
      <c r="G2377">
        <f t="shared" si="44"/>
        <v>179</v>
      </c>
    </row>
    <row r="2378" spans="6:7">
      <c r="F2378" t="s">
        <v>5031</v>
      </c>
      <c r="G2378">
        <f t="shared" si="44"/>
        <v>179</v>
      </c>
    </row>
    <row r="2379" spans="6:7">
      <c r="F2379" t="s">
        <v>5031</v>
      </c>
      <c r="G2379">
        <f t="shared" si="44"/>
        <v>179</v>
      </c>
    </row>
    <row r="2380" spans="6:7">
      <c r="F2380" t="s">
        <v>5031</v>
      </c>
      <c r="G2380">
        <f t="shared" si="44"/>
        <v>179</v>
      </c>
    </row>
    <row r="2381" spans="6:7">
      <c r="F2381" t="s">
        <v>5031</v>
      </c>
      <c r="G2381">
        <f t="shared" si="44"/>
        <v>179</v>
      </c>
    </row>
    <row r="2382" spans="6:7">
      <c r="F2382" t="s">
        <v>5031</v>
      </c>
      <c r="G2382">
        <f t="shared" si="44"/>
        <v>179</v>
      </c>
    </row>
    <row r="2383" spans="6:7">
      <c r="F2383" t="s">
        <v>5031</v>
      </c>
      <c r="G2383">
        <f t="shared" si="44"/>
        <v>179</v>
      </c>
    </row>
    <row r="2384" spans="6:7">
      <c r="F2384" t="s">
        <v>5031</v>
      </c>
      <c r="G2384">
        <f t="shared" si="44"/>
        <v>179</v>
      </c>
    </row>
    <row r="2385" spans="6:7">
      <c r="F2385" t="s">
        <v>5031</v>
      </c>
      <c r="G2385">
        <f t="shared" si="44"/>
        <v>179</v>
      </c>
    </row>
    <row r="2386" spans="6:7">
      <c r="F2386" t="s">
        <v>5032</v>
      </c>
      <c r="G2386">
        <f t="shared" si="44"/>
        <v>10061</v>
      </c>
    </row>
    <row r="2387" spans="6:7">
      <c r="F2387" t="s">
        <v>5032</v>
      </c>
      <c r="G2387">
        <f t="shared" si="44"/>
        <v>10061</v>
      </c>
    </row>
    <row r="2388" spans="6:7">
      <c r="F2388" t="s">
        <v>5032</v>
      </c>
      <c r="G2388">
        <f t="shared" si="44"/>
        <v>10061</v>
      </c>
    </row>
    <row r="2389" spans="6:7">
      <c r="F2389" t="s">
        <v>5032</v>
      </c>
      <c r="G2389">
        <f t="shared" si="44"/>
        <v>10061</v>
      </c>
    </row>
    <row r="2390" spans="6:7">
      <c r="F2390" t="s">
        <v>5032</v>
      </c>
      <c r="G2390">
        <f t="shared" si="44"/>
        <v>10061</v>
      </c>
    </row>
    <row r="2391" spans="6:7">
      <c r="F2391" t="s">
        <v>5032</v>
      </c>
      <c r="G2391">
        <f t="shared" si="44"/>
        <v>10061</v>
      </c>
    </row>
    <row r="2392" spans="6:7">
      <c r="F2392" t="s">
        <v>5032</v>
      </c>
      <c r="G2392">
        <f t="shared" si="44"/>
        <v>10061</v>
      </c>
    </row>
    <row r="2393" spans="6:7">
      <c r="F2393" t="s">
        <v>5032</v>
      </c>
      <c r="G2393">
        <f t="shared" si="44"/>
        <v>10061</v>
      </c>
    </row>
    <row r="2394" spans="6:7">
      <c r="F2394" t="s">
        <v>5032</v>
      </c>
      <c r="G2394">
        <f t="shared" si="44"/>
        <v>10061</v>
      </c>
    </row>
    <row r="2395" spans="6:7">
      <c r="F2395" t="s">
        <v>5032</v>
      </c>
      <c r="G2395">
        <f t="shared" si="44"/>
        <v>10061</v>
      </c>
    </row>
    <row r="2396" spans="6:7">
      <c r="F2396" t="s">
        <v>5032</v>
      </c>
      <c r="G2396">
        <f t="shared" si="44"/>
        <v>10061</v>
      </c>
    </row>
    <row r="2397" spans="6:7">
      <c r="F2397" t="s">
        <v>5032</v>
      </c>
      <c r="G2397">
        <f t="shared" si="44"/>
        <v>10061</v>
      </c>
    </row>
    <row r="2398" spans="6:7">
      <c r="F2398" t="s">
        <v>5032</v>
      </c>
      <c r="G2398">
        <f t="shared" si="44"/>
        <v>10061</v>
      </c>
    </row>
    <row r="2399" spans="6:7">
      <c r="F2399" t="s">
        <v>5032</v>
      </c>
      <c r="G2399">
        <f t="shared" si="44"/>
        <v>10061</v>
      </c>
    </row>
    <row r="2400" spans="6:7">
      <c r="F2400" t="s">
        <v>5032</v>
      </c>
      <c r="G2400">
        <f t="shared" si="44"/>
        <v>10061</v>
      </c>
    </row>
    <row r="2401" spans="6:7">
      <c r="F2401" t="s">
        <v>5032</v>
      </c>
      <c r="G2401">
        <f t="shared" si="44"/>
        <v>10061</v>
      </c>
    </row>
    <row r="2402" spans="6:7">
      <c r="F2402" t="s">
        <v>5032</v>
      </c>
      <c r="G2402">
        <f t="shared" si="44"/>
        <v>10061</v>
      </c>
    </row>
    <row r="2403" spans="6:7">
      <c r="F2403" t="s">
        <v>5032</v>
      </c>
      <c r="G2403">
        <f t="shared" si="44"/>
        <v>10061</v>
      </c>
    </row>
    <row r="2404" spans="6:7">
      <c r="F2404" t="s">
        <v>5032</v>
      </c>
      <c r="G2404">
        <f t="shared" si="44"/>
        <v>10061</v>
      </c>
    </row>
    <row r="2405" spans="6:7">
      <c r="F2405" t="s">
        <v>5032</v>
      </c>
      <c r="G2405">
        <f t="shared" si="44"/>
        <v>10061</v>
      </c>
    </row>
    <row r="2406" spans="6:7">
      <c r="F2406" t="s">
        <v>5032</v>
      </c>
      <c r="G2406">
        <f t="shared" si="44"/>
        <v>10061</v>
      </c>
    </row>
    <row r="2407" spans="6:7">
      <c r="F2407" t="s">
        <v>5054</v>
      </c>
      <c r="G2407">
        <f t="shared" si="44"/>
        <v>10062</v>
      </c>
    </row>
    <row r="2408" spans="6:7">
      <c r="F2408" t="s">
        <v>5054</v>
      </c>
      <c r="G2408">
        <f t="shared" si="44"/>
        <v>10062</v>
      </c>
    </row>
    <row r="2409" spans="6:7">
      <c r="F2409" t="s">
        <v>5054</v>
      </c>
      <c r="G2409">
        <f t="shared" si="44"/>
        <v>10062</v>
      </c>
    </row>
    <row r="2410" spans="6:7">
      <c r="F2410" t="s">
        <v>5054</v>
      </c>
      <c r="G2410">
        <f t="shared" si="44"/>
        <v>10062</v>
      </c>
    </row>
    <row r="2411" spans="6:7">
      <c r="F2411" t="s">
        <v>5054</v>
      </c>
      <c r="G2411">
        <f t="shared" si="44"/>
        <v>10062</v>
      </c>
    </row>
    <row r="2412" spans="6:7">
      <c r="F2412" t="s">
        <v>5054</v>
      </c>
      <c r="G2412">
        <f t="shared" si="44"/>
        <v>10062</v>
      </c>
    </row>
    <row r="2413" spans="6:7">
      <c r="F2413" t="s">
        <v>5054</v>
      </c>
      <c r="G2413">
        <f t="shared" si="44"/>
        <v>10062</v>
      </c>
    </row>
    <row r="2414" spans="6:7">
      <c r="F2414" t="s">
        <v>5054</v>
      </c>
      <c r="G2414">
        <f t="shared" si="44"/>
        <v>10062</v>
      </c>
    </row>
    <row r="2415" spans="6:7">
      <c r="F2415" t="s">
        <v>5054</v>
      </c>
      <c r="G2415">
        <f t="shared" si="44"/>
        <v>10062</v>
      </c>
    </row>
    <row r="2416" spans="6:7">
      <c r="F2416" t="s">
        <v>5054</v>
      </c>
      <c r="G2416">
        <f t="shared" si="44"/>
        <v>10062</v>
      </c>
    </row>
    <row r="2417" spans="6:7">
      <c r="F2417" t="s">
        <v>5054</v>
      </c>
      <c r="G2417">
        <f t="shared" si="44"/>
        <v>10062</v>
      </c>
    </row>
    <row r="2418" spans="6:7">
      <c r="F2418" t="s">
        <v>5054</v>
      </c>
      <c r="G2418">
        <f t="shared" si="44"/>
        <v>10062</v>
      </c>
    </row>
    <row r="2419" spans="6:7">
      <c r="F2419" t="s">
        <v>5054</v>
      </c>
      <c r="G2419">
        <f t="shared" si="44"/>
        <v>10062</v>
      </c>
    </row>
    <row r="2420" spans="6:7">
      <c r="F2420" t="s">
        <v>5054</v>
      </c>
      <c r="G2420">
        <f t="shared" si="44"/>
        <v>10062</v>
      </c>
    </row>
    <row r="2421" spans="6:7">
      <c r="F2421" t="s">
        <v>5054</v>
      </c>
      <c r="G2421">
        <f t="shared" si="44"/>
        <v>10062</v>
      </c>
    </row>
    <row r="2422" spans="6:7">
      <c r="F2422" t="s">
        <v>5054</v>
      </c>
      <c r="G2422">
        <f t="shared" si="44"/>
        <v>10062</v>
      </c>
    </row>
    <row r="2423" spans="6:7">
      <c r="F2423" t="s">
        <v>5054</v>
      </c>
      <c r="G2423">
        <f t="shared" si="44"/>
        <v>10062</v>
      </c>
    </row>
    <row r="2424" spans="6:7">
      <c r="F2424" t="s">
        <v>5054</v>
      </c>
      <c r="G2424">
        <f t="shared" si="44"/>
        <v>10062</v>
      </c>
    </row>
    <row r="2425" spans="6:7">
      <c r="F2425" t="s">
        <v>5054</v>
      </c>
      <c r="G2425">
        <f t="shared" si="44"/>
        <v>10062</v>
      </c>
    </row>
    <row r="2426" spans="6:7">
      <c r="F2426" t="s">
        <v>5054</v>
      </c>
      <c r="G2426">
        <f t="shared" si="44"/>
        <v>10062</v>
      </c>
    </row>
    <row r="2427" spans="6:7">
      <c r="F2427" t="s">
        <v>5054</v>
      </c>
      <c r="G2427">
        <f t="shared" si="44"/>
        <v>10062</v>
      </c>
    </row>
    <row r="2428" spans="6:7">
      <c r="F2428" t="s">
        <v>5075</v>
      </c>
      <c r="G2428">
        <f t="shared" si="44"/>
        <v>10063</v>
      </c>
    </row>
    <row r="2429" spans="6:7">
      <c r="F2429" t="s">
        <v>5075</v>
      </c>
      <c r="G2429">
        <f t="shared" si="44"/>
        <v>10063</v>
      </c>
    </row>
    <row r="2430" spans="6:7">
      <c r="F2430" t="s">
        <v>5075</v>
      </c>
      <c r="G2430">
        <f t="shared" si="44"/>
        <v>10063</v>
      </c>
    </row>
    <row r="2431" spans="6:7">
      <c r="F2431" t="s">
        <v>5075</v>
      </c>
      <c r="G2431">
        <f t="shared" si="44"/>
        <v>10063</v>
      </c>
    </row>
    <row r="2432" spans="6:7">
      <c r="F2432" t="s">
        <v>5075</v>
      </c>
      <c r="G2432">
        <f t="shared" si="44"/>
        <v>10063</v>
      </c>
    </row>
    <row r="2433" spans="6:7">
      <c r="F2433" t="s">
        <v>5075</v>
      </c>
      <c r="G2433">
        <f t="shared" si="44"/>
        <v>10063</v>
      </c>
    </row>
    <row r="2434" spans="6:7">
      <c r="F2434" t="s">
        <v>5075</v>
      </c>
      <c r="G2434">
        <f t="shared" si="44"/>
        <v>10063</v>
      </c>
    </row>
    <row r="2435" spans="6:7">
      <c r="F2435" t="s">
        <v>5075</v>
      </c>
      <c r="G2435">
        <f t="shared" si="44"/>
        <v>10063</v>
      </c>
    </row>
    <row r="2436" spans="6:7">
      <c r="F2436" t="s">
        <v>5075</v>
      </c>
      <c r="G2436">
        <f t="shared" si="44"/>
        <v>10063</v>
      </c>
    </row>
    <row r="2437" spans="6:7">
      <c r="F2437" t="s">
        <v>5075</v>
      </c>
      <c r="G2437">
        <f t="shared" ref="G2437:G2500" si="45">_xlfn.XLOOKUP(F2437,$C$4:$C$220,$A$4:$A$220)</f>
        <v>10063</v>
      </c>
    </row>
    <row r="2438" spans="6:7">
      <c r="F2438" t="s">
        <v>5075</v>
      </c>
      <c r="G2438">
        <f t="shared" si="45"/>
        <v>10063</v>
      </c>
    </row>
    <row r="2439" spans="6:7">
      <c r="F2439" t="s">
        <v>5075</v>
      </c>
      <c r="G2439">
        <f t="shared" si="45"/>
        <v>10063</v>
      </c>
    </row>
    <row r="2440" spans="6:7">
      <c r="F2440" t="s">
        <v>5075</v>
      </c>
      <c r="G2440">
        <f t="shared" si="45"/>
        <v>10063</v>
      </c>
    </row>
    <row r="2441" spans="6:7">
      <c r="F2441" t="s">
        <v>5075</v>
      </c>
      <c r="G2441">
        <f t="shared" si="45"/>
        <v>10063</v>
      </c>
    </row>
    <row r="2442" spans="6:7">
      <c r="F2442" t="s">
        <v>5075</v>
      </c>
      <c r="G2442">
        <f t="shared" si="45"/>
        <v>10063</v>
      </c>
    </row>
    <row r="2443" spans="6:7">
      <c r="F2443" t="s">
        <v>5075</v>
      </c>
      <c r="G2443">
        <f t="shared" si="45"/>
        <v>10063</v>
      </c>
    </row>
    <row r="2444" spans="6:7">
      <c r="F2444" t="s">
        <v>5075</v>
      </c>
      <c r="G2444">
        <f t="shared" si="45"/>
        <v>10063</v>
      </c>
    </row>
    <row r="2445" spans="6:7">
      <c r="F2445" t="s">
        <v>5075</v>
      </c>
      <c r="G2445">
        <f t="shared" si="45"/>
        <v>10063</v>
      </c>
    </row>
    <row r="2446" spans="6:7">
      <c r="F2446" t="s">
        <v>5075</v>
      </c>
      <c r="G2446">
        <f t="shared" si="45"/>
        <v>10063</v>
      </c>
    </row>
    <row r="2447" spans="6:7">
      <c r="F2447" t="s">
        <v>5075</v>
      </c>
      <c r="G2447">
        <f t="shared" si="45"/>
        <v>10063</v>
      </c>
    </row>
    <row r="2448" spans="6:7">
      <c r="F2448" t="s">
        <v>5075</v>
      </c>
      <c r="G2448">
        <f t="shared" si="45"/>
        <v>10063</v>
      </c>
    </row>
    <row r="2449" spans="6:7">
      <c r="F2449" t="s">
        <v>5025</v>
      </c>
      <c r="G2449">
        <f t="shared" si="45"/>
        <v>171</v>
      </c>
    </row>
    <row r="2450" spans="6:7">
      <c r="F2450" t="s">
        <v>5025</v>
      </c>
      <c r="G2450">
        <f t="shared" si="45"/>
        <v>171</v>
      </c>
    </row>
    <row r="2451" spans="6:7">
      <c r="F2451" t="s">
        <v>5025</v>
      </c>
      <c r="G2451">
        <f t="shared" si="45"/>
        <v>171</v>
      </c>
    </row>
    <row r="2452" spans="6:7">
      <c r="F2452" t="s">
        <v>5025</v>
      </c>
      <c r="G2452">
        <f t="shared" si="45"/>
        <v>171</v>
      </c>
    </row>
    <row r="2453" spans="6:7">
      <c r="F2453" t="s">
        <v>5025</v>
      </c>
      <c r="G2453">
        <f t="shared" si="45"/>
        <v>171</v>
      </c>
    </row>
    <row r="2454" spans="6:7">
      <c r="F2454" t="s">
        <v>5025</v>
      </c>
      <c r="G2454">
        <f t="shared" si="45"/>
        <v>171</v>
      </c>
    </row>
    <row r="2455" spans="6:7">
      <c r="F2455" t="s">
        <v>5025</v>
      </c>
      <c r="G2455">
        <f t="shared" si="45"/>
        <v>171</v>
      </c>
    </row>
    <row r="2456" spans="6:7">
      <c r="F2456" t="s">
        <v>5025</v>
      </c>
      <c r="G2456">
        <f t="shared" si="45"/>
        <v>171</v>
      </c>
    </row>
    <row r="2457" spans="6:7">
      <c r="F2457" t="s">
        <v>5025</v>
      </c>
      <c r="G2457">
        <f t="shared" si="45"/>
        <v>171</v>
      </c>
    </row>
    <row r="2458" spans="6:7">
      <c r="F2458" t="s">
        <v>5025</v>
      </c>
      <c r="G2458">
        <f t="shared" si="45"/>
        <v>171</v>
      </c>
    </row>
    <row r="2459" spans="6:7">
      <c r="F2459" t="s">
        <v>5025</v>
      </c>
      <c r="G2459">
        <f t="shared" si="45"/>
        <v>171</v>
      </c>
    </row>
    <row r="2460" spans="6:7">
      <c r="F2460" t="s">
        <v>5026</v>
      </c>
      <c r="G2460">
        <f t="shared" si="45"/>
        <v>173</v>
      </c>
    </row>
    <row r="2461" spans="6:7">
      <c r="F2461" t="s">
        <v>5026</v>
      </c>
      <c r="G2461">
        <f t="shared" si="45"/>
        <v>173</v>
      </c>
    </row>
    <row r="2462" spans="6:7">
      <c r="F2462" t="s">
        <v>5026</v>
      </c>
      <c r="G2462">
        <f t="shared" si="45"/>
        <v>173</v>
      </c>
    </row>
    <row r="2463" spans="6:7">
      <c r="F2463" t="s">
        <v>5026</v>
      </c>
      <c r="G2463">
        <f t="shared" si="45"/>
        <v>173</v>
      </c>
    </row>
    <row r="2464" spans="6:7">
      <c r="F2464" t="s">
        <v>5026</v>
      </c>
      <c r="G2464">
        <f t="shared" si="45"/>
        <v>173</v>
      </c>
    </row>
    <row r="2465" spans="6:7">
      <c r="F2465" t="s">
        <v>5026</v>
      </c>
      <c r="G2465">
        <f t="shared" si="45"/>
        <v>173</v>
      </c>
    </row>
    <row r="2466" spans="6:7">
      <c r="F2466" t="s">
        <v>5026</v>
      </c>
      <c r="G2466">
        <f t="shared" si="45"/>
        <v>173</v>
      </c>
    </row>
    <row r="2467" spans="6:7">
      <c r="F2467" t="s">
        <v>5026</v>
      </c>
      <c r="G2467">
        <f t="shared" si="45"/>
        <v>173</v>
      </c>
    </row>
    <row r="2468" spans="6:7">
      <c r="F2468" t="s">
        <v>5026</v>
      </c>
      <c r="G2468">
        <f t="shared" si="45"/>
        <v>173</v>
      </c>
    </row>
    <row r="2469" spans="6:7">
      <c r="F2469" t="s">
        <v>5026</v>
      </c>
      <c r="G2469">
        <f t="shared" si="45"/>
        <v>173</v>
      </c>
    </row>
    <row r="2470" spans="6:7">
      <c r="F2470" t="s">
        <v>5026</v>
      </c>
      <c r="G2470">
        <f t="shared" si="45"/>
        <v>173</v>
      </c>
    </row>
    <row r="2471" spans="6:7">
      <c r="F2471" t="s">
        <v>5027</v>
      </c>
      <c r="G2471">
        <f t="shared" si="45"/>
        <v>172</v>
      </c>
    </row>
    <row r="2472" spans="6:7">
      <c r="F2472" t="s">
        <v>5027</v>
      </c>
      <c r="G2472">
        <f t="shared" si="45"/>
        <v>172</v>
      </c>
    </row>
    <row r="2473" spans="6:7">
      <c r="F2473" t="s">
        <v>5027</v>
      </c>
      <c r="G2473">
        <f t="shared" si="45"/>
        <v>172</v>
      </c>
    </row>
    <row r="2474" spans="6:7">
      <c r="F2474" t="s">
        <v>5027</v>
      </c>
      <c r="G2474">
        <f t="shared" si="45"/>
        <v>172</v>
      </c>
    </row>
    <row r="2475" spans="6:7">
      <c r="F2475" t="s">
        <v>5027</v>
      </c>
      <c r="G2475">
        <f t="shared" si="45"/>
        <v>172</v>
      </c>
    </row>
    <row r="2476" spans="6:7">
      <c r="F2476" t="s">
        <v>5027</v>
      </c>
      <c r="G2476">
        <f t="shared" si="45"/>
        <v>172</v>
      </c>
    </row>
    <row r="2477" spans="6:7">
      <c r="F2477" t="s">
        <v>5027</v>
      </c>
      <c r="G2477">
        <f t="shared" si="45"/>
        <v>172</v>
      </c>
    </row>
    <row r="2478" spans="6:7">
      <c r="F2478" t="s">
        <v>5027</v>
      </c>
      <c r="G2478">
        <f t="shared" si="45"/>
        <v>172</v>
      </c>
    </row>
    <row r="2479" spans="6:7">
      <c r="F2479" t="s">
        <v>5027</v>
      </c>
      <c r="G2479">
        <f t="shared" si="45"/>
        <v>172</v>
      </c>
    </row>
    <row r="2480" spans="6:7">
      <c r="F2480" t="s">
        <v>5027</v>
      </c>
      <c r="G2480">
        <f t="shared" si="45"/>
        <v>172</v>
      </c>
    </row>
    <row r="2481" spans="6:7">
      <c r="F2481" t="s">
        <v>5027</v>
      </c>
      <c r="G2481">
        <f t="shared" si="45"/>
        <v>172</v>
      </c>
    </row>
    <row r="2482" spans="6:7">
      <c r="F2482" t="s">
        <v>5028</v>
      </c>
      <c r="G2482">
        <f t="shared" si="45"/>
        <v>174</v>
      </c>
    </row>
    <row r="2483" spans="6:7">
      <c r="F2483" t="s">
        <v>5028</v>
      </c>
      <c r="G2483">
        <f t="shared" si="45"/>
        <v>174</v>
      </c>
    </row>
    <row r="2484" spans="6:7">
      <c r="F2484" t="s">
        <v>5028</v>
      </c>
      <c r="G2484">
        <f t="shared" si="45"/>
        <v>174</v>
      </c>
    </row>
    <row r="2485" spans="6:7">
      <c r="F2485" t="s">
        <v>5028</v>
      </c>
      <c r="G2485">
        <f t="shared" si="45"/>
        <v>174</v>
      </c>
    </row>
    <row r="2486" spans="6:7">
      <c r="F2486" t="s">
        <v>5028</v>
      </c>
      <c r="G2486">
        <f t="shared" si="45"/>
        <v>174</v>
      </c>
    </row>
    <row r="2487" spans="6:7">
      <c r="F2487" t="s">
        <v>5028</v>
      </c>
      <c r="G2487">
        <f t="shared" si="45"/>
        <v>174</v>
      </c>
    </row>
    <row r="2488" spans="6:7">
      <c r="F2488" t="s">
        <v>5028</v>
      </c>
      <c r="G2488">
        <f t="shared" si="45"/>
        <v>174</v>
      </c>
    </row>
    <row r="2489" spans="6:7">
      <c r="F2489" t="s">
        <v>5028</v>
      </c>
      <c r="G2489">
        <f t="shared" si="45"/>
        <v>174</v>
      </c>
    </row>
    <row r="2490" spans="6:7">
      <c r="F2490" t="s">
        <v>5028</v>
      </c>
      <c r="G2490">
        <f t="shared" si="45"/>
        <v>174</v>
      </c>
    </row>
    <row r="2491" spans="6:7">
      <c r="F2491" t="s">
        <v>5028</v>
      </c>
      <c r="G2491">
        <f t="shared" si="45"/>
        <v>174</v>
      </c>
    </row>
    <row r="2492" spans="6:7">
      <c r="F2492" t="s">
        <v>5028</v>
      </c>
      <c r="G2492">
        <f t="shared" si="45"/>
        <v>174</v>
      </c>
    </row>
    <row r="2493" spans="6:7">
      <c r="F2493" t="s">
        <v>5029</v>
      </c>
      <c r="G2493">
        <f t="shared" si="45"/>
        <v>178</v>
      </c>
    </row>
    <row r="2494" spans="6:7">
      <c r="F2494" t="s">
        <v>5029</v>
      </c>
      <c r="G2494">
        <f t="shared" si="45"/>
        <v>178</v>
      </c>
    </row>
    <row r="2495" spans="6:7">
      <c r="F2495" t="s">
        <v>5029</v>
      </c>
      <c r="G2495">
        <f t="shared" si="45"/>
        <v>178</v>
      </c>
    </row>
    <row r="2496" spans="6:7">
      <c r="F2496" t="s">
        <v>5029</v>
      </c>
      <c r="G2496">
        <f t="shared" si="45"/>
        <v>178</v>
      </c>
    </row>
    <row r="2497" spans="6:7">
      <c r="F2497" t="s">
        <v>5029</v>
      </c>
      <c r="G2497">
        <f t="shared" si="45"/>
        <v>178</v>
      </c>
    </row>
    <row r="2498" spans="6:7">
      <c r="F2498" t="s">
        <v>5029</v>
      </c>
      <c r="G2498">
        <f t="shared" si="45"/>
        <v>178</v>
      </c>
    </row>
    <row r="2499" spans="6:7">
      <c r="F2499" t="s">
        <v>5029</v>
      </c>
      <c r="G2499">
        <f t="shared" si="45"/>
        <v>178</v>
      </c>
    </row>
    <row r="2500" spans="6:7">
      <c r="F2500" t="s">
        <v>5029</v>
      </c>
      <c r="G2500">
        <f t="shared" si="45"/>
        <v>178</v>
      </c>
    </row>
    <row r="2501" spans="6:7">
      <c r="F2501" t="s">
        <v>5029</v>
      </c>
      <c r="G2501">
        <f t="shared" ref="G2501:G2564" si="46">_xlfn.XLOOKUP(F2501,$C$4:$C$220,$A$4:$A$220)</f>
        <v>178</v>
      </c>
    </row>
    <row r="2502" spans="6:7">
      <c r="F2502" t="s">
        <v>5029</v>
      </c>
      <c r="G2502">
        <f t="shared" si="46"/>
        <v>178</v>
      </c>
    </row>
    <row r="2503" spans="6:7">
      <c r="F2503" t="s">
        <v>5029</v>
      </c>
      <c r="G2503">
        <f t="shared" si="46"/>
        <v>178</v>
      </c>
    </row>
    <row r="2504" spans="6:7">
      <c r="F2504" t="s">
        <v>5029</v>
      </c>
      <c r="G2504">
        <f t="shared" si="46"/>
        <v>178</v>
      </c>
    </row>
    <row r="2505" spans="6:7">
      <c r="F2505" t="s">
        <v>5029</v>
      </c>
      <c r="G2505">
        <f t="shared" si="46"/>
        <v>178</v>
      </c>
    </row>
    <row r="2506" spans="6:7">
      <c r="F2506" t="s">
        <v>5029</v>
      </c>
      <c r="G2506">
        <f t="shared" si="46"/>
        <v>178</v>
      </c>
    </row>
    <row r="2507" spans="6:7">
      <c r="F2507" t="s">
        <v>5029</v>
      </c>
      <c r="G2507">
        <f t="shared" si="46"/>
        <v>178</v>
      </c>
    </row>
    <row r="2508" spans="6:7">
      <c r="F2508" t="s">
        <v>5029</v>
      </c>
      <c r="G2508">
        <f t="shared" si="46"/>
        <v>178</v>
      </c>
    </row>
    <row r="2509" spans="6:7">
      <c r="F2509" t="s">
        <v>5030</v>
      </c>
      <c r="G2509">
        <f t="shared" si="46"/>
        <v>177</v>
      </c>
    </row>
    <row r="2510" spans="6:7">
      <c r="F2510" t="s">
        <v>5030</v>
      </c>
      <c r="G2510">
        <f t="shared" si="46"/>
        <v>177</v>
      </c>
    </row>
    <row r="2511" spans="6:7">
      <c r="F2511" t="s">
        <v>5030</v>
      </c>
      <c r="G2511">
        <f t="shared" si="46"/>
        <v>177</v>
      </c>
    </row>
    <row r="2512" spans="6:7">
      <c r="F2512" t="s">
        <v>5030</v>
      </c>
      <c r="G2512">
        <f t="shared" si="46"/>
        <v>177</v>
      </c>
    </row>
    <row r="2513" spans="6:7">
      <c r="F2513" t="s">
        <v>5030</v>
      </c>
      <c r="G2513">
        <f t="shared" si="46"/>
        <v>177</v>
      </c>
    </row>
    <row r="2514" spans="6:7">
      <c r="F2514" t="s">
        <v>5030</v>
      </c>
      <c r="G2514">
        <f t="shared" si="46"/>
        <v>177</v>
      </c>
    </row>
    <row r="2515" spans="6:7">
      <c r="F2515" t="s">
        <v>5030</v>
      </c>
      <c r="G2515">
        <f t="shared" si="46"/>
        <v>177</v>
      </c>
    </row>
    <row r="2516" spans="6:7">
      <c r="F2516" t="s">
        <v>5030</v>
      </c>
      <c r="G2516">
        <f t="shared" si="46"/>
        <v>177</v>
      </c>
    </row>
    <row r="2517" spans="6:7">
      <c r="F2517" t="s">
        <v>5030</v>
      </c>
      <c r="G2517">
        <f t="shared" si="46"/>
        <v>177</v>
      </c>
    </row>
    <row r="2518" spans="6:7">
      <c r="F2518" t="s">
        <v>5030</v>
      </c>
      <c r="G2518">
        <f t="shared" si="46"/>
        <v>177</v>
      </c>
    </row>
    <row r="2519" spans="6:7">
      <c r="F2519" t="s">
        <v>5030</v>
      </c>
      <c r="G2519">
        <f t="shared" si="46"/>
        <v>177</v>
      </c>
    </row>
    <row r="2520" spans="6:7">
      <c r="F2520" t="s">
        <v>5030</v>
      </c>
      <c r="G2520">
        <f t="shared" si="46"/>
        <v>177</v>
      </c>
    </row>
    <row r="2521" spans="6:7">
      <c r="F2521" t="s">
        <v>5030</v>
      </c>
      <c r="G2521">
        <f t="shared" si="46"/>
        <v>177</v>
      </c>
    </row>
    <row r="2522" spans="6:7">
      <c r="F2522" t="s">
        <v>5030</v>
      </c>
      <c r="G2522">
        <f t="shared" si="46"/>
        <v>177</v>
      </c>
    </row>
    <row r="2523" spans="6:7">
      <c r="F2523" t="s">
        <v>5030</v>
      </c>
      <c r="G2523">
        <f t="shared" si="46"/>
        <v>177</v>
      </c>
    </row>
    <row r="2524" spans="6:7">
      <c r="F2524" t="s">
        <v>5030</v>
      </c>
      <c r="G2524">
        <f t="shared" si="46"/>
        <v>177</v>
      </c>
    </row>
    <row r="2525" spans="6:7">
      <c r="F2525" t="s">
        <v>5031</v>
      </c>
      <c r="G2525">
        <f t="shared" si="46"/>
        <v>179</v>
      </c>
    </row>
    <row r="2526" spans="6:7">
      <c r="F2526" t="s">
        <v>5031</v>
      </c>
      <c r="G2526">
        <f t="shared" si="46"/>
        <v>179</v>
      </c>
    </row>
    <row r="2527" spans="6:7">
      <c r="F2527" t="s">
        <v>5031</v>
      </c>
      <c r="G2527">
        <f t="shared" si="46"/>
        <v>179</v>
      </c>
    </row>
    <row r="2528" spans="6:7">
      <c r="F2528" t="s">
        <v>5031</v>
      </c>
      <c r="G2528">
        <f t="shared" si="46"/>
        <v>179</v>
      </c>
    </row>
    <row r="2529" spans="6:7">
      <c r="F2529" t="s">
        <v>5031</v>
      </c>
      <c r="G2529">
        <f t="shared" si="46"/>
        <v>179</v>
      </c>
    </row>
    <row r="2530" spans="6:7">
      <c r="F2530" t="s">
        <v>5031</v>
      </c>
      <c r="G2530">
        <f t="shared" si="46"/>
        <v>179</v>
      </c>
    </row>
    <row r="2531" spans="6:7">
      <c r="F2531" t="s">
        <v>5031</v>
      </c>
      <c r="G2531">
        <f t="shared" si="46"/>
        <v>179</v>
      </c>
    </row>
    <row r="2532" spans="6:7">
      <c r="F2532" t="s">
        <v>5031</v>
      </c>
      <c r="G2532">
        <f t="shared" si="46"/>
        <v>179</v>
      </c>
    </row>
    <row r="2533" spans="6:7">
      <c r="F2533" t="s">
        <v>5031</v>
      </c>
      <c r="G2533">
        <f t="shared" si="46"/>
        <v>179</v>
      </c>
    </row>
    <row r="2534" spans="6:7">
      <c r="F2534" t="s">
        <v>5031</v>
      </c>
      <c r="G2534">
        <f t="shared" si="46"/>
        <v>179</v>
      </c>
    </row>
    <row r="2535" spans="6:7">
      <c r="F2535" t="s">
        <v>5031</v>
      </c>
      <c r="G2535">
        <f t="shared" si="46"/>
        <v>179</v>
      </c>
    </row>
    <row r="2536" spans="6:7">
      <c r="F2536" t="s">
        <v>5031</v>
      </c>
      <c r="G2536">
        <f t="shared" si="46"/>
        <v>179</v>
      </c>
    </row>
    <row r="2537" spans="6:7">
      <c r="F2537" t="s">
        <v>5031</v>
      </c>
      <c r="G2537">
        <f t="shared" si="46"/>
        <v>179</v>
      </c>
    </row>
    <row r="2538" spans="6:7">
      <c r="F2538" t="s">
        <v>5031</v>
      </c>
      <c r="G2538">
        <f t="shared" si="46"/>
        <v>179</v>
      </c>
    </row>
    <row r="2539" spans="6:7">
      <c r="F2539" t="s">
        <v>5031</v>
      </c>
      <c r="G2539">
        <f t="shared" si="46"/>
        <v>179</v>
      </c>
    </row>
    <row r="2540" spans="6:7">
      <c r="F2540" t="s">
        <v>5031</v>
      </c>
      <c r="G2540">
        <f t="shared" si="46"/>
        <v>179</v>
      </c>
    </row>
    <row r="2541" spans="6:7">
      <c r="F2541" t="s">
        <v>5096</v>
      </c>
      <c r="G2541">
        <f t="shared" si="46"/>
        <v>10058</v>
      </c>
    </row>
    <row r="2542" spans="6:7">
      <c r="F2542" t="s">
        <v>5096</v>
      </c>
      <c r="G2542">
        <f t="shared" si="46"/>
        <v>10058</v>
      </c>
    </row>
    <row r="2543" spans="6:7">
      <c r="F2543" t="s">
        <v>5096</v>
      </c>
      <c r="G2543">
        <f t="shared" si="46"/>
        <v>10058</v>
      </c>
    </row>
    <row r="2544" spans="6:7">
      <c r="F2544" t="s">
        <v>5096</v>
      </c>
      <c r="G2544">
        <f t="shared" si="46"/>
        <v>10058</v>
      </c>
    </row>
    <row r="2545" spans="6:7">
      <c r="F2545" t="s">
        <v>5096</v>
      </c>
      <c r="G2545">
        <f t="shared" si="46"/>
        <v>10058</v>
      </c>
    </row>
    <row r="2546" spans="6:7">
      <c r="F2546" t="s">
        <v>5096</v>
      </c>
      <c r="G2546">
        <f t="shared" si="46"/>
        <v>10058</v>
      </c>
    </row>
    <row r="2547" spans="6:7">
      <c r="F2547" t="s">
        <v>5096</v>
      </c>
      <c r="G2547">
        <f t="shared" si="46"/>
        <v>10058</v>
      </c>
    </row>
    <row r="2548" spans="6:7">
      <c r="F2548" t="s">
        <v>5096</v>
      </c>
      <c r="G2548">
        <f t="shared" si="46"/>
        <v>10058</v>
      </c>
    </row>
    <row r="2549" spans="6:7">
      <c r="F2549" t="s">
        <v>5096</v>
      </c>
      <c r="G2549">
        <f t="shared" si="46"/>
        <v>10058</v>
      </c>
    </row>
    <row r="2550" spans="6:7">
      <c r="F2550" t="s">
        <v>5096</v>
      </c>
      <c r="G2550">
        <f t="shared" si="46"/>
        <v>10058</v>
      </c>
    </row>
    <row r="2551" spans="6:7">
      <c r="F2551" t="s">
        <v>5096</v>
      </c>
      <c r="G2551">
        <f t="shared" si="46"/>
        <v>10058</v>
      </c>
    </row>
    <row r="2552" spans="6:7">
      <c r="F2552" t="s">
        <v>5096</v>
      </c>
      <c r="G2552">
        <f t="shared" si="46"/>
        <v>10058</v>
      </c>
    </row>
    <row r="2553" spans="6:7">
      <c r="F2553" t="s">
        <v>5096</v>
      </c>
      <c r="G2553">
        <f t="shared" si="46"/>
        <v>10058</v>
      </c>
    </row>
    <row r="2554" spans="6:7">
      <c r="F2554" t="s">
        <v>5096</v>
      </c>
      <c r="G2554">
        <f t="shared" si="46"/>
        <v>10058</v>
      </c>
    </row>
    <row r="2555" spans="6:7">
      <c r="F2555" t="s">
        <v>5096</v>
      </c>
      <c r="G2555">
        <f t="shared" si="46"/>
        <v>10058</v>
      </c>
    </row>
    <row r="2556" spans="6:7">
      <c r="F2556" t="s">
        <v>5096</v>
      </c>
      <c r="G2556">
        <f t="shared" si="46"/>
        <v>10058</v>
      </c>
    </row>
    <row r="2557" spans="6:7">
      <c r="F2557" t="s">
        <v>5096</v>
      </c>
      <c r="G2557">
        <f t="shared" si="46"/>
        <v>10058</v>
      </c>
    </row>
    <row r="2558" spans="6:7">
      <c r="F2558" t="s">
        <v>5096</v>
      </c>
      <c r="G2558">
        <f t="shared" si="46"/>
        <v>10058</v>
      </c>
    </row>
    <row r="2559" spans="6:7">
      <c r="F2559" t="s">
        <v>5096</v>
      </c>
      <c r="G2559">
        <f t="shared" si="46"/>
        <v>10058</v>
      </c>
    </row>
    <row r="2560" spans="6:7">
      <c r="F2560" t="s">
        <v>5096</v>
      </c>
      <c r="G2560">
        <f t="shared" si="46"/>
        <v>10058</v>
      </c>
    </row>
    <row r="2561" spans="6:7">
      <c r="F2561" t="s">
        <v>5096</v>
      </c>
      <c r="G2561">
        <f t="shared" si="46"/>
        <v>10058</v>
      </c>
    </row>
    <row r="2562" spans="6:7">
      <c r="F2562" t="s">
        <v>5118</v>
      </c>
      <c r="G2562">
        <f t="shared" si="46"/>
        <v>10059</v>
      </c>
    </row>
    <row r="2563" spans="6:7">
      <c r="F2563" t="s">
        <v>5118</v>
      </c>
      <c r="G2563">
        <f t="shared" si="46"/>
        <v>10059</v>
      </c>
    </row>
    <row r="2564" spans="6:7">
      <c r="F2564" t="s">
        <v>5118</v>
      </c>
      <c r="G2564">
        <f t="shared" si="46"/>
        <v>10059</v>
      </c>
    </row>
    <row r="2565" spans="6:7">
      <c r="F2565" t="s">
        <v>5118</v>
      </c>
      <c r="G2565">
        <f t="shared" ref="G2565:G2628" si="47">_xlfn.XLOOKUP(F2565,$C$4:$C$220,$A$4:$A$220)</f>
        <v>10059</v>
      </c>
    </row>
    <row r="2566" spans="6:7">
      <c r="F2566" t="s">
        <v>5118</v>
      </c>
      <c r="G2566">
        <f t="shared" si="47"/>
        <v>10059</v>
      </c>
    </row>
    <row r="2567" spans="6:7">
      <c r="F2567" t="s">
        <v>5118</v>
      </c>
      <c r="G2567">
        <f t="shared" si="47"/>
        <v>10059</v>
      </c>
    </row>
    <row r="2568" spans="6:7">
      <c r="F2568" t="s">
        <v>5118</v>
      </c>
      <c r="G2568">
        <f t="shared" si="47"/>
        <v>10059</v>
      </c>
    </row>
    <row r="2569" spans="6:7">
      <c r="F2569" t="s">
        <v>5118</v>
      </c>
      <c r="G2569">
        <f t="shared" si="47"/>
        <v>10059</v>
      </c>
    </row>
    <row r="2570" spans="6:7">
      <c r="F2570" t="s">
        <v>5118</v>
      </c>
      <c r="G2570">
        <f t="shared" si="47"/>
        <v>10059</v>
      </c>
    </row>
    <row r="2571" spans="6:7">
      <c r="F2571" t="s">
        <v>5118</v>
      </c>
      <c r="G2571">
        <f t="shared" si="47"/>
        <v>10059</v>
      </c>
    </row>
    <row r="2572" spans="6:7">
      <c r="F2572" t="s">
        <v>5118</v>
      </c>
      <c r="G2572">
        <f t="shared" si="47"/>
        <v>10059</v>
      </c>
    </row>
    <row r="2573" spans="6:7">
      <c r="F2573" t="s">
        <v>5118</v>
      </c>
      <c r="G2573">
        <f t="shared" si="47"/>
        <v>10059</v>
      </c>
    </row>
    <row r="2574" spans="6:7">
      <c r="F2574" t="s">
        <v>5118</v>
      </c>
      <c r="G2574">
        <f t="shared" si="47"/>
        <v>10059</v>
      </c>
    </row>
    <row r="2575" spans="6:7">
      <c r="F2575" t="s">
        <v>5118</v>
      </c>
      <c r="G2575">
        <f t="shared" si="47"/>
        <v>10059</v>
      </c>
    </row>
    <row r="2576" spans="6:7">
      <c r="F2576" t="s">
        <v>5118</v>
      </c>
      <c r="G2576">
        <f t="shared" si="47"/>
        <v>10059</v>
      </c>
    </row>
    <row r="2577" spans="6:7">
      <c r="F2577" t="s">
        <v>5118</v>
      </c>
      <c r="G2577">
        <f t="shared" si="47"/>
        <v>10059</v>
      </c>
    </row>
    <row r="2578" spans="6:7">
      <c r="F2578" t="s">
        <v>5118</v>
      </c>
      <c r="G2578">
        <f t="shared" si="47"/>
        <v>10059</v>
      </c>
    </row>
    <row r="2579" spans="6:7">
      <c r="F2579" t="s">
        <v>5118</v>
      </c>
      <c r="G2579">
        <f t="shared" si="47"/>
        <v>10059</v>
      </c>
    </row>
    <row r="2580" spans="6:7">
      <c r="F2580" t="s">
        <v>5118</v>
      </c>
      <c r="G2580">
        <f t="shared" si="47"/>
        <v>10059</v>
      </c>
    </row>
    <row r="2581" spans="6:7">
      <c r="F2581" t="s">
        <v>5118</v>
      </c>
      <c r="G2581">
        <f t="shared" si="47"/>
        <v>10059</v>
      </c>
    </row>
    <row r="2582" spans="6:7">
      <c r="F2582" t="s">
        <v>5118</v>
      </c>
      <c r="G2582">
        <f t="shared" si="47"/>
        <v>10059</v>
      </c>
    </row>
    <row r="2583" spans="6:7">
      <c r="F2583" t="s">
        <v>5139</v>
      </c>
      <c r="G2583">
        <f t="shared" si="47"/>
        <v>10060</v>
      </c>
    </row>
    <row r="2584" spans="6:7">
      <c r="F2584" t="s">
        <v>5139</v>
      </c>
      <c r="G2584">
        <f t="shared" si="47"/>
        <v>10060</v>
      </c>
    </row>
    <row r="2585" spans="6:7">
      <c r="F2585" t="s">
        <v>5139</v>
      </c>
      <c r="G2585">
        <f t="shared" si="47"/>
        <v>10060</v>
      </c>
    </row>
    <row r="2586" spans="6:7">
      <c r="F2586" t="s">
        <v>5139</v>
      </c>
      <c r="G2586">
        <f t="shared" si="47"/>
        <v>10060</v>
      </c>
    </row>
    <row r="2587" spans="6:7">
      <c r="F2587" t="s">
        <v>5139</v>
      </c>
      <c r="G2587">
        <f t="shared" si="47"/>
        <v>10060</v>
      </c>
    </row>
    <row r="2588" spans="6:7">
      <c r="F2588" t="s">
        <v>5139</v>
      </c>
      <c r="G2588">
        <f t="shared" si="47"/>
        <v>10060</v>
      </c>
    </row>
    <row r="2589" spans="6:7">
      <c r="F2589" t="s">
        <v>5139</v>
      </c>
      <c r="G2589">
        <f t="shared" si="47"/>
        <v>10060</v>
      </c>
    </row>
    <row r="2590" spans="6:7">
      <c r="F2590" t="s">
        <v>5139</v>
      </c>
      <c r="G2590">
        <f t="shared" si="47"/>
        <v>10060</v>
      </c>
    </row>
    <row r="2591" spans="6:7">
      <c r="F2591" t="s">
        <v>5139</v>
      </c>
      <c r="G2591">
        <f t="shared" si="47"/>
        <v>10060</v>
      </c>
    </row>
    <row r="2592" spans="6:7">
      <c r="F2592" t="s">
        <v>5139</v>
      </c>
      <c r="G2592">
        <f t="shared" si="47"/>
        <v>10060</v>
      </c>
    </row>
    <row r="2593" spans="6:7">
      <c r="F2593" t="s">
        <v>5139</v>
      </c>
      <c r="G2593">
        <f t="shared" si="47"/>
        <v>10060</v>
      </c>
    </row>
    <row r="2594" spans="6:7">
      <c r="F2594" t="s">
        <v>5139</v>
      </c>
      <c r="G2594">
        <f t="shared" si="47"/>
        <v>10060</v>
      </c>
    </row>
    <row r="2595" spans="6:7">
      <c r="F2595" t="s">
        <v>5139</v>
      </c>
      <c r="G2595">
        <f t="shared" si="47"/>
        <v>10060</v>
      </c>
    </row>
    <row r="2596" spans="6:7">
      <c r="F2596" t="s">
        <v>5139</v>
      </c>
      <c r="G2596">
        <f t="shared" si="47"/>
        <v>10060</v>
      </c>
    </row>
    <row r="2597" spans="6:7">
      <c r="F2597" t="s">
        <v>5139</v>
      </c>
      <c r="G2597">
        <f t="shared" si="47"/>
        <v>10060</v>
      </c>
    </row>
    <row r="2598" spans="6:7">
      <c r="F2598" t="s">
        <v>5139</v>
      </c>
      <c r="G2598">
        <f t="shared" si="47"/>
        <v>10060</v>
      </c>
    </row>
    <row r="2599" spans="6:7">
      <c r="F2599" t="s">
        <v>5139</v>
      </c>
      <c r="G2599">
        <f t="shared" si="47"/>
        <v>10060</v>
      </c>
    </row>
    <row r="2600" spans="6:7">
      <c r="F2600" t="s">
        <v>5139</v>
      </c>
      <c r="G2600">
        <f t="shared" si="47"/>
        <v>10060</v>
      </c>
    </row>
    <row r="2601" spans="6:7">
      <c r="F2601" t="s">
        <v>5139</v>
      </c>
      <c r="G2601">
        <f t="shared" si="47"/>
        <v>10060</v>
      </c>
    </row>
    <row r="2602" spans="6:7">
      <c r="F2602" t="s">
        <v>5139</v>
      </c>
      <c r="G2602">
        <f t="shared" si="47"/>
        <v>10060</v>
      </c>
    </row>
    <row r="2603" spans="6:7">
      <c r="F2603" t="s">
        <v>5139</v>
      </c>
      <c r="G2603">
        <f t="shared" si="47"/>
        <v>10060</v>
      </c>
    </row>
    <row r="2604" spans="6:7">
      <c r="F2604" t="s">
        <v>5025</v>
      </c>
      <c r="G2604">
        <f t="shared" si="47"/>
        <v>171</v>
      </c>
    </row>
    <row r="2605" spans="6:7">
      <c r="F2605" t="s">
        <v>5025</v>
      </c>
      <c r="G2605">
        <f t="shared" si="47"/>
        <v>171</v>
      </c>
    </row>
    <row r="2606" spans="6:7">
      <c r="F2606" t="s">
        <v>5025</v>
      </c>
      <c r="G2606">
        <f t="shared" si="47"/>
        <v>171</v>
      </c>
    </row>
    <row r="2607" spans="6:7">
      <c r="F2607" t="s">
        <v>5025</v>
      </c>
      <c r="G2607">
        <f t="shared" si="47"/>
        <v>171</v>
      </c>
    </row>
    <row r="2608" spans="6:7">
      <c r="F2608" t="s">
        <v>5025</v>
      </c>
      <c r="G2608">
        <f t="shared" si="47"/>
        <v>171</v>
      </c>
    </row>
    <row r="2609" spans="6:7">
      <c r="F2609" t="s">
        <v>5025</v>
      </c>
      <c r="G2609">
        <f t="shared" si="47"/>
        <v>171</v>
      </c>
    </row>
    <row r="2610" spans="6:7">
      <c r="F2610" t="s">
        <v>5025</v>
      </c>
      <c r="G2610">
        <f t="shared" si="47"/>
        <v>171</v>
      </c>
    </row>
    <row r="2611" spans="6:7">
      <c r="F2611" t="s">
        <v>5025</v>
      </c>
      <c r="G2611">
        <f t="shared" si="47"/>
        <v>171</v>
      </c>
    </row>
    <row r="2612" spans="6:7">
      <c r="F2612" t="s">
        <v>5025</v>
      </c>
      <c r="G2612">
        <f t="shared" si="47"/>
        <v>171</v>
      </c>
    </row>
    <row r="2613" spans="6:7">
      <c r="F2613" t="s">
        <v>5025</v>
      </c>
      <c r="G2613">
        <f t="shared" si="47"/>
        <v>171</v>
      </c>
    </row>
    <row r="2614" spans="6:7">
      <c r="F2614" t="s">
        <v>5025</v>
      </c>
      <c r="G2614">
        <f t="shared" si="47"/>
        <v>171</v>
      </c>
    </row>
    <row r="2615" spans="6:7">
      <c r="F2615" t="s">
        <v>5025</v>
      </c>
      <c r="G2615">
        <f t="shared" si="47"/>
        <v>171</v>
      </c>
    </row>
    <row r="2616" spans="6:7">
      <c r="F2616" t="s">
        <v>5025</v>
      </c>
      <c r="G2616">
        <f t="shared" si="47"/>
        <v>171</v>
      </c>
    </row>
    <row r="2617" spans="6:7">
      <c r="F2617" t="s">
        <v>5025</v>
      </c>
      <c r="G2617">
        <f t="shared" si="47"/>
        <v>171</v>
      </c>
    </row>
    <row r="2618" spans="6:7">
      <c r="F2618" t="s">
        <v>5025</v>
      </c>
      <c r="G2618">
        <f t="shared" si="47"/>
        <v>171</v>
      </c>
    </row>
    <row r="2619" spans="6:7">
      <c r="F2619" t="s">
        <v>5025</v>
      </c>
      <c r="G2619">
        <f t="shared" si="47"/>
        <v>171</v>
      </c>
    </row>
    <row r="2620" spans="6:7">
      <c r="F2620" t="s">
        <v>5026</v>
      </c>
      <c r="G2620">
        <f t="shared" si="47"/>
        <v>173</v>
      </c>
    </row>
    <row r="2621" spans="6:7">
      <c r="F2621" t="s">
        <v>5026</v>
      </c>
      <c r="G2621">
        <f t="shared" si="47"/>
        <v>173</v>
      </c>
    </row>
    <row r="2622" spans="6:7">
      <c r="F2622" t="s">
        <v>5026</v>
      </c>
      <c r="G2622">
        <f t="shared" si="47"/>
        <v>173</v>
      </c>
    </row>
    <row r="2623" spans="6:7">
      <c r="F2623" t="s">
        <v>5026</v>
      </c>
      <c r="G2623">
        <f t="shared" si="47"/>
        <v>173</v>
      </c>
    </row>
    <row r="2624" spans="6:7">
      <c r="F2624" t="s">
        <v>5026</v>
      </c>
      <c r="G2624">
        <f t="shared" si="47"/>
        <v>173</v>
      </c>
    </row>
    <row r="2625" spans="6:7">
      <c r="F2625" t="s">
        <v>5026</v>
      </c>
      <c r="G2625">
        <f t="shared" si="47"/>
        <v>173</v>
      </c>
    </row>
    <row r="2626" spans="6:7">
      <c r="F2626" t="s">
        <v>5026</v>
      </c>
      <c r="G2626">
        <f t="shared" si="47"/>
        <v>173</v>
      </c>
    </row>
    <row r="2627" spans="6:7">
      <c r="F2627" t="s">
        <v>5026</v>
      </c>
      <c r="G2627">
        <f t="shared" si="47"/>
        <v>173</v>
      </c>
    </row>
    <row r="2628" spans="6:7">
      <c r="F2628" t="s">
        <v>5026</v>
      </c>
      <c r="G2628">
        <f t="shared" si="47"/>
        <v>173</v>
      </c>
    </row>
    <row r="2629" spans="6:7">
      <c r="F2629" t="s">
        <v>5026</v>
      </c>
      <c r="G2629">
        <f t="shared" ref="G2629:G2692" si="48">_xlfn.XLOOKUP(F2629,$C$4:$C$220,$A$4:$A$220)</f>
        <v>173</v>
      </c>
    </row>
    <row r="2630" spans="6:7">
      <c r="F2630" t="s">
        <v>5026</v>
      </c>
      <c r="G2630">
        <f t="shared" si="48"/>
        <v>173</v>
      </c>
    </row>
    <row r="2631" spans="6:7">
      <c r="F2631" t="s">
        <v>5026</v>
      </c>
      <c r="G2631">
        <f t="shared" si="48"/>
        <v>173</v>
      </c>
    </row>
    <row r="2632" spans="6:7">
      <c r="F2632" t="s">
        <v>5026</v>
      </c>
      <c r="G2632">
        <f t="shared" si="48"/>
        <v>173</v>
      </c>
    </row>
    <row r="2633" spans="6:7">
      <c r="F2633" t="s">
        <v>5026</v>
      </c>
      <c r="G2633">
        <f t="shared" si="48"/>
        <v>173</v>
      </c>
    </row>
    <row r="2634" spans="6:7">
      <c r="F2634" t="s">
        <v>5026</v>
      </c>
      <c r="G2634">
        <f t="shared" si="48"/>
        <v>173</v>
      </c>
    </row>
    <row r="2635" spans="6:7">
      <c r="F2635" t="s">
        <v>5026</v>
      </c>
      <c r="G2635">
        <f t="shared" si="48"/>
        <v>173</v>
      </c>
    </row>
    <row r="2636" spans="6:7">
      <c r="F2636" t="s">
        <v>5027</v>
      </c>
      <c r="G2636">
        <f t="shared" si="48"/>
        <v>172</v>
      </c>
    </row>
    <row r="2637" spans="6:7">
      <c r="F2637" t="s">
        <v>5027</v>
      </c>
      <c r="G2637">
        <f t="shared" si="48"/>
        <v>172</v>
      </c>
    </row>
    <row r="2638" spans="6:7">
      <c r="F2638" t="s">
        <v>5027</v>
      </c>
      <c r="G2638">
        <f t="shared" si="48"/>
        <v>172</v>
      </c>
    </row>
    <row r="2639" spans="6:7">
      <c r="F2639" t="s">
        <v>5027</v>
      </c>
      <c r="G2639">
        <f t="shared" si="48"/>
        <v>172</v>
      </c>
    </row>
    <row r="2640" spans="6:7">
      <c r="F2640" t="s">
        <v>5027</v>
      </c>
      <c r="G2640">
        <f t="shared" si="48"/>
        <v>172</v>
      </c>
    </row>
    <row r="2641" spans="6:7">
      <c r="F2641" t="s">
        <v>5027</v>
      </c>
      <c r="G2641">
        <f t="shared" si="48"/>
        <v>172</v>
      </c>
    </row>
    <row r="2642" spans="6:7">
      <c r="F2642" t="s">
        <v>5027</v>
      </c>
      <c r="G2642">
        <f t="shared" si="48"/>
        <v>172</v>
      </c>
    </row>
    <row r="2643" spans="6:7">
      <c r="F2643" t="s">
        <v>5027</v>
      </c>
      <c r="G2643">
        <f t="shared" si="48"/>
        <v>172</v>
      </c>
    </row>
    <row r="2644" spans="6:7">
      <c r="F2644" t="s">
        <v>5027</v>
      </c>
      <c r="G2644">
        <f t="shared" si="48"/>
        <v>172</v>
      </c>
    </row>
    <row r="2645" spans="6:7">
      <c r="F2645" t="s">
        <v>5027</v>
      </c>
      <c r="G2645">
        <f t="shared" si="48"/>
        <v>172</v>
      </c>
    </row>
    <row r="2646" spans="6:7">
      <c r="F2646" t="s">
        <v>5027</v>
      </c>
      <c r="G2646">
        <f t="shared" si="48"/>
        <v>172</v>
      </c>
    </row>
    <row r="2647" spans="6:7">
      <c r="F2647" t="s">
        <v>5027</v>
      </c>
      <c r="G2647">
        <f t="shared" si="48"/>
        <v>172</v>
      </c>
    </row>
    <row r="2648" spans="6:7">
      <c r="F2648" t="s">
        <v>5027</v>
      </c>
      <c r="G2648">
        <f t="shared" si="48"/>
        <v>172</v>
      </c>
    </row>
    <row r="2649" spans="6:7">
      <c r="F2649" t="s">
        <v>5027</v>
      </c>
      <c r="G2649">
        <f t="shared" si="48"/>
        <v>172</v>
      </c>
    </row>
    <row r="2650" spans="6:7">
      <c r="F2650" t="s">
        <v>5027</v>
      </c>
      <c r="G2650">
        <f t="shared" si="48"/>
        <v>172</v>
      </c>
    </row>
    <row r="2651" spans="6:7">
      <c r="F2651" t="s">
        <v>5027</v>
      </c>
      <c r="G2651">
        <f t="shared" si="48"/>
        <v>172</v>
      </c>
    </row>
    <row r="2652" spans="6:7">
      <c r="F2652" t="s">
        <v>5028</v>
      </c>
      <c r="G2652">
        <f t="shared" si="48"/>
        <v>174</v>
      </c>
    </row>
    <row r="2653" spans="6:7">
      <c r="F2653" t="s">
        <v>5028</v>
      </c>
      <c r="G2653">
        <f t="shared" si="48"/>
        <v>174</v>
      </c>
    </row>
    <row r="2654" spans="6:7">
      <c r="F2654" t="s">
        <v>5028</v>
      </c>
      <c r="G2654">
        <f t="shared" si="48"/>
        <v>174</v>
      </c>
    </row>
    <row r="2655" spans="6:7">
      <c r="F2655" t="s">
        <v>5028</v>
      </c>
      <c r="G2655">
        <f t="shared" si="48"/>
        <v>174</v>
      </c>
    </row>
    <row r="2656" spans="6:7">
      <c r="F2656" t="s">
        <v>5028</v>
      </c>
      <c r="G2656">
        <f t="shared" si="48"/>
        <v>174</v>
      </c>
    </row>
    <row r="2657" spans="6:7">
      <c r="F2657" t="s">
        <v>5028</v>
      </c>
      <c r="G2657">
        <f t="shared" si="48"/>
        <v>174</v>
      </c>
    </row>
    <row r="2658" spans="6:7">
      <c r="F2658" t="s">
        <v>5028</v>
      </c>
      <c r="G2658">
        <f t="shared" si="48"/>
        <v>174</v>
      </c>
    </row>
    <row r="2659" spans="6:7">
      <c r="F2659" t="s">
        <v>5028</v>
      </c>
      <c r="G2659">
        <f t="shared" si="48"/>
        <v>174</v>
      </c>
    </row>
    <row r="2660" spans="6:7">
      <c r="F2660" t="s">
        <v>5028</v>
      </c>
      <c r="G2660">
        <f t="shared" si="48"/>
        <v>174</v>
      </c>
    </row>
    <row r="2661" spans="6:7">
      <c r="F2661" t="s">
        <v>5028</v>
      </c>
      <c r="G2661">
        <f t="shared" si="48"/>
        <v>174</v>
      </c>
    </row>
    <row r="2662" spans="6:7">
      <c r="F2662" t="s">
        <v>5028</v>
      </c>
      <c r="G2662">
        <f t="shared" si="48"/>
        <v>174</v>
      </c>
    </row>
    <row r="2663" spans="6:7">
      <c r="F2663" t="s">
        <v>5028</v>
      </c>
      <c r="G2663">
        <f t="shared" si="48"/>
        <v>174</v>
      </c>
    </row>
    <row r="2664" spans="6:7">
      <c r="F2664" t="s">
        <v>5028</v>
      </c>
      <c r="G2664">
        <f t="shared" si="48"/>
        <v>174</v>
      </c>
    </row>
    <row r="2665" spans="6:7">
      <c r="F2665" t="s">
        <v>5028</v>
      </c>
      <c r="G2665">
        <f t="shared" si="48"/>
        <v>174</v>
      </c>
    </row>
    <row r="2666" spans="6:7">
      <c r="F2666" t="s">
        <v>5028</v>
      </c>
      <c r="G2666">
        <f t="shared" si="48"/>
        <v>174</v>
      </c>
    </row>
    <row r="2667" spans="6:7">
      <c r="F2667" t="s">
        <v>5028</v>
      </c>
      <c r="G2667">
        <f t="shared" si="48"/>
        <v>174</v>
      </c>
    </row>
    <row r="2668" spans="6:7">
      <c r="F2668" t="s">
        <v>5028</v>
      </c>
      <c r="G2668">
        <f t="shared" si="48"/>
        <v>174</v>
      </c>
    </row>
    <row r="2669" spans="6:7">
      <c r="F2669" t="s">
        <v>5028</v>
      </c>
      <c r="G2669">
        <f t="shared" si="48"/>
        <v>174</v>
      </c>
    </row>
    <row r="2670" spans="6:7">
      <c r="F2670" t="s">
        <v>5028</v>
      </c>
      <c r="G2670">
        <f t="shared" si="48"/>
        <v>174</v>
      </c>
    </row>
    <row r="2671" spans="6:7">
      <c r="F2671" t="s">
        <v>5028</v>
      </c>
      <c r="G2671">
        <f t="shared" si="48"/>
        <v>174</v>
      </c>
    </row>
    <row r="2672" spans="6:7">
      <c r="F2672" t="s">
        <v>5028</v>
      </c>
      <c r="G2672">
        <f t="shared" si="48"/>
        <v>174</v>
      </c>
    </row>
    <row r="2673" spans="6:7">
      <c r="F2673" t="s">
        <v>5028</v>
      </c>
      <c r="G2673">
        <f t="shared" si="48"/>
        <v>174</v>
      </c>
    </row>
    <row r="2674" spans="6:7">
      <c r="F2674" t="s">
        <v>5028</v>
      </c>
      <c r="G2674">
        <f t="shared" si="48"/>
        <v>174</v>
      </c>
    </row>
    <row r="2675" spans="6:7">
      <c r="F2675" t="s">
        <v>5028</v>
      </c>
      <c r="G2675">
        <f t="shared" si="48"/>
        <v>174</v>
      </c>
    </row>
    <row r="2676" spans="6:7">
      <c r="F2676" t="s">
        <v>5028</v>
      </c>
      <c r="G2676">
        <f t="shared" si="48"/>
        <v>174</v>
      </c>
    </row>
    <row r="2677" spans="6:7">
      <c r="F2677" t="s">
        <v>5028</v>
      </c>
      <c r="G2677">
        <f t="shared" si="48"/>
        <v>174</v>
      </c>
    </row>
    <row r="2678" spans="6:7">
      <c r="F2678" t="s">
        <v>5028</v>
      </c>
      <c r="G2678">
        <f t="shared" si="48"/>
        <v>174</v>
      </c>
    </row>
    <row r="2679" spans="6:7">
      <c r="F2679" t="s">
        <v>5028</v>
      </c>
      <c r="G2679">
        <f t="shared" si="48"/>
        <v>174</v>
      </c>
    </row>
    <row r="2680" spans="6:7">
      <c r="F2680" t="s">
        <v>5028</v>
      </c>
      <c r="G2680">
        <f t="shared" si="48"/>
        <v>174</v>
      </c>
    </row>
    <row r="2681" spans="6:7">
      <c r="F2681" t="s">
        <v>5028</v>
      </c>
      <c r="G2681">
        <f t="shared" si="48"/>
        <v>174</v>
      </c>
    </row>
    <row r="2682" spans="6:7">
      <c r="F2682" t="s">
        <v>5028</v>
      </c>
      <c r="G2682">
        <f t="shared" si="48"/>
        <v>174</v>
      </c>
    </row>
    <row r="2683" spans="6:7">
      <c r="F2683" t="s">
        <v>5028</v>
      </c>
      <c r="G2683">
        <f t="shared" si="48"/>
        <v>174</v>
      </c>
    </row>
    <row r="2684" spans="6:7">
      <c r="F2684" t="s">
        <v>5028</v>
      </c>
      <c r="G2684">
        <f t="shared" si="48"/>
        <v>174</v>
      </c>
    </row>
    <row r="2685" spans="6:7">
      <c r="F2685" t="s">
        <v>5028</v>
      </c>
      <c r="G2685">
        <f t="shared" si="48"/>
        <v>174</v>
      </c>
    </row>
    <row r="2686" spans="6:7">
      <c r="F2686" t="s">
        <v>5028</v>
      </c>
      <c r="G2686">
        <f t="shared" si="48"/>
        <v>174</v>
      </c>
    </row>
    <row r="2687" spans="6:7">
      <c r="F2687" t="s">
        <v>5028</v>
      </c>
      <c r="G2687">
        <f t="shared" si="48"/>
        <v>174</v>
      </c>
    </row>
    <row r="2688" spans="6:7">
      <c r="F2688" t="s">
        <v>5028</v>
      </c>
      <c r="G2688">
        <f t="shared" si="48"/>
        <v>174</v>
      </c>
    </row>
    <row r="2689" spans="6:7">
      <c r="F2689" t="s">
        <v>5028</v>
      </c>
      <c r="G2689">
        <f t="shared" si="48"/>
        <v>174</v>
      </c>
    </row>
    <row r="2690" spans="6:7">
      <c r="F2690" t="s">
        <v>5028</v>
      </c>
      <c r="G2690">
        <f t="shared" si="48"/>
        <v>174</v>
      </c>
    </row>
    <row r="2691" spans="6:7">
      <c r="F2691" t="s">
        <v>5028</v>
      </c>
      <c r="G2691">
        <f t="shared" si="48"/>
        <v>174</v>
      </c>
    </row>
    <row r="2692" spans="6:7">
      <c r="F2692" t="s">
        <v>5028</v>
      </c>
      <c r="G2692">
        <f t="shared" si="48"/>
        <v>174</v>
      </c>
    </row>
    <row r="2693" spans="6:7">
      <c r="F2693" t="s">
        <v>5028</v>
      </c>
      <c r="G2693">
        <f t="shared" ref="G2693:G2756" si="49">_xlfn.XLOOKUP(F2693,$C$4:$C$220,$A$4:$A$220)</f>
        <v>174</v>
      </c>
    </row>
    <row r="2694" spans="6:7">
      <c r="F2694" t="s">
        <v>5028</v>
      </c>
      <c r="G2694">
        <f t="shared" si="49"/>
        <v>174</v>
      </c>
    </row>
    <row r="2695" spans="6:7">
      <c r="F2695" t="s">
        <v>5028</v>
      </c>
      <c r="G2695">
        <f t="shared" si="49"/>
        <v>174</v>
      </c>
    </row>
    <row r="2696" spans="6:7">
      <c r="F2696" t="s">
        <v>5028</v>
      </c>
      <c r="G2696">
        <f t="shared" si="49"/>
        <v>174</v>
      </c>
    </row>
    <row r="2697" spans="6:7">
      <c r="F2697" t="s">
        <v>5028</v>
      </c>
      <c r="G2697">
        <f t="shared" si="49"/>
        <v>174</v>
      </c>
    </row>
    <row r="2698" spans="6:7">
      <c r="F2698" t="s">
        <v>5028</v>
      </c>
      <c r="G2698">
        <f t="shared" si="49"/>
        <v>174</v>
      </c>
    </row>
    <row r="2699" spans="6:7">
      <c r="F2699" t="s">
        <v>5028</v>
      </c>
      <c r="G2699">
        <f t="shared" si="49"/>
        <v>174</v>
      </c>
    </row>
    <row r="2700" spans="6:7">
      <c r="F2700" t="s">
        <v>5028</v>
      </c>
      <c r="G2700">
        <f t="shared" si="49"/>
        <v>174</v>
      </c>
    </row>
    <row r="2701" spans="6:7">
      <c r="F2701" t="s">
        <v>5028</v>
      </c>
      <c r="G2701">
        <f t="shared" si="49"/>
        <v>174</v>
      </c>
    </row>
    <row r="2702" spans="6:7">
      <c r="F2702" t="s">
        <v>5028</v>
      </c>
      <c r="G2702">
        <f t="shared" si="49"/>
        <v>174</v>
      </c>
    </row>
    <row r="2703" spans="6:7">
      <c r="F2703" t="s">
        <v>5028</v>
      </c>
      <c r="G2703">
        <f t="shared" si="49"/>
        <v>174</v>
      </c>
    </row>
    <row r="2704" spans="6:7">
      <c r="F2704" t="s">
        <v>5028</v>
      </c>
      <c r="G2704">
        <f t="shared" si="49"/>
        <v>174</v>
      </c>
    </row>
    <row r="2705" spans="6:7">
      <c r="F2705" t="s">
        <v>5028</v>
      </c>
      <c r="G2705">
        <f t="shared" si="49"/>
        <v>174</v>
      </c>
    </row>
    <row r="2706" spans="6:7">
      <c r="F2706" t="s">
        <v>5028</v>
      </c>
      <c r="G2706">
        <f t="shared" si="49"/>
        <v>174</v>
      </c>
    </row>
    <row r="2707" spans="6:7">
      <c r="F2707" t="s">
        <v>5028</v>
      </c>
      <c r="G2707">
        <f t="shared" si="49"/>
        <v>174</v>
      </c>
    </row>
    <row r="2708" spans="6:7">
      <c r="F2708" t="s">
        <v>5028</v>
      </c>
      <c r="G2708">
        <f t="shared" si="49"/>
        <v>174</v>
      </c>
    </row>
    <row r="2709" spans="6:7">
      <c r="F2709" t="s">
        <v>5028</v>
      </c>
      <c r="G2709">
        <f t="shared" si="49"/>
        <v>174</v>
      </c>
    </row>
    <row r="2710" spans="6:7">
      <c r="F2710" t="s">
        <v>5028</v>
      </c>
      <c r="G2710">
        <f t="shared" si="49"/>
        <v>174</v>
      </c>
    </row>
    <row r="2711" spans="6:7">
      <c r="F2711" t="s">
        <v>5028</v>
      </c>
      <c r="G2711">
        <f t="shared" si="49"/>
        <v>174</v>
      </c>
    </row>
    <row r="2712" spans="6:7">
      <c r="F2712" t="s">
        <v>5028</v>
      </c>
      <c r="G2712">
        <f t="shared" si="49"/>
        <v>174</v>
      </c>
    </row>
    <row r="2713" spans="6:7">
      <c r="F2713" t="s">
        <v>5028</v>
      </c>
      <c r="G2713">
        <f t="shared" si="49"/>
        <v>174</v>
      </c>
    </row>
    <row r="2714" spans="6:7">
      <c r="F2714" t="s">
        <v>5028</v>
      </c>
      <c r="G2714">
        <f t="shared" si="49"/>
        <v>174</v>
      </c>
    </row>
    <row r="2715" spans="6:7">
      <c r="F2715" t="s">
        <v>5028</v>
      </c>
      <c r="G2715">
        <f t="shared" si="49"/>
        <v>174</v>
      </c>
    </row>
    <row r="2716" spans="6:7">
      <c r="F2716" t="s">
        <v>5028</v>
      </c>
      <c r="G2716">
        <f t="shared" si="49"/>
        <v>174</v>
      </c>
    </row>
    <row r="2717" spans="6:7">
      <c r="F2717" t="s">
        <v>5028</v>
      </c>
      <c r="G2717">
        <f t="shared" si="49"/>
        <v>174</v>
      </c>
    </row>
    <row r="2718" spans="6:7">
      <c r="F2718" t="s">
        <v>5028</v>
      </c>
      <c r="G2718">
        <f t="shared" si="49"/>
        <v>174</v>
      </c>
    </row>
    <row r="2719" spans="6:7">
      <c r="F2719" t="s">
        <v>5028</v>
      </c>
      <c r="G2719">
        <f t="shared" si="49"/>
        <v>174</v>
      </c>
    </row>
    <row r="2720" spans="6:7">
      <c r="F2720" t="s">
        <v>5028</v>
      </c>
      <c r="G2720">
        <f t="shared" si="49"/>
        <v>174</v>
      </c>
    </row>
    <row r="2721" spans="6:7">
      <c r="F2721" t="s">
        <v>5028</v>
      </c>
      <c r="G2721">
        <f t="shared" si="49"/>
        <v>174</v>
      </c>
    </row>
    <row r="2722" spans="6:7">
      <c r="F2722" t="s">
        <v>5028</v>
      </c>
      <c r="G2722">
        <f t="shared" si="49"/>
        <v>174</v>
      </c>
    </row>
    <row r="2723" spans="6:7">
      <c r="F2723" t="s">
        <v>5028</v>
      </c>
      <c r="G2723">
        <f t="shared" si="49"/>
        <v>174</v>
      </c>
    </row>
    <row r="2724" spans="6:7">
      <c r="F2724" t="s">
        <v>5028</v>
      </c>
      <c r="G2724">
        <f t="shared" si="49"/>
        <v>174</v>
      </c>
    </row>
    <row r="2725" spans="6:7">
      <c r="F2725" t="s">
        <v>5028</v>
      </c>
      <c r="G2725">
        <f t="shared" si="49"/>
        <v>174</v>
      </c>
    </row>
    <row r="2726" spans="6:7">
      <c r="F2726" t="s">
        <v>5028</v>
      </c>
      <c r="G2726">
        <f t="shared" si="49"/>
        <v>174</v>
      </c>
    </row>
    <row r="2727" spans="6:7">
      <c r="F2727" t="s">
        <v>5028</v>
      </c>
      <c r="G2727">
        <f t="shared" si="49"/>
        <v>174</v>
      </c>
    </row>
    <row r="2728" spans="6:7">
      <c r="F2728" t="s">
        <v>5028</v>
      </c>
      <c r="G2728">
        <f t="shared" si="49"/>
        <v>174</v>
      </c>
    </row>
    <row r="2729" spans="6:7">
      <c r="F2729" t="s">
        <v>5028</v>
      </c>
      <c r="G2729">
        <f t="shared" si="49"/>
        <v>174</v>
      </c>
    </row>
    <row r="2730" spans="6:7">
      <c r="F2730" t="s">
        <v>5028</v>
      </c>
      <c r="G2730">
        <f t="shared" si="49"/>
        <v>174</v>
      </c>
    </row>
    <row r="2731" spans="6:7">
      <c r="F2731" t="s">
        <v>5160</v>
      </c>
      <c r="G2731">
        <f t="shared" si="49"/>
        <v>10070</v>
      </c>
    </row>
    <row r="2732" spans="6:7">
      <c r="F2732" t="s">
        <v>5160</v>
      </c>
      <c r="G2732">
        <f t="shared" si="49"/>
        <v>10070</v>
      </c>
    </row>
    <row r="2733" spans="6:7">
      <c r="F2733" t="s">
        <v>5160</v>
      </c>
      <c r="G2733">
        <f t="shared" si="49"/>
        <v>10070</v>
      </c>
    </row>
    <row r="2734" spans="6:7">
      <c r="F2734" t="s">
        <v>5160</v>
      </c>
      <c r="G2734">
        <f t="shared" si="49"/>
        <v>10070</v>
      </c>
    </row>
    <row r="2735" spans="6:7">
      <c r="F2735" t="s">
        <v>5160</v>
      </c>
      <c r="G2735">
        <f t="shared" si="49"/>
        <v>10070</v>
      </c>
    </row>
    <row r="2736" spans="6:7">
      <c r="F2736" t="s">
        <v>5160</v>
      </c>
      <c r="G2736">
        <f t="shared" si="49"/>
        <v>10070</v>
      </c>
    </row>
    <row r="2737" spans="6:7">
      <c r="F2737" t="s">
        <v>5160</v>
      </c>
      <c r="G2737">
        <f t="shared" si="49"/>
        <v>10070</v>
      </c>
    </row>
    <row r="2738" spans="6:7">
      <c r="F2738" t="s">
        <v>5160</v>
      </c>
      <c r="G2738">
        <f t="shared" si="49"/>
        <v>10070</v>
      </c>
    </row>
    <row r="2739" spans="6:7">
      <c r="F2739" t="s">
        <v>5160</v>
      </c>
      <c r="G2739">
        <f t="shared" si="49"/>
        <v>10070</v>
      </c>
    </row>
    <row r="2740" spans="6:7">
      <c r="F2740" t="s">
        <v>5160</v>
      </c>
      <c r="G2740">
        <f t="shared" si="49"/>
        <v>10070</v>
      </c>
    </row>
    <row r="2741" spans="6:7">
      <c r="F2741" t="s">
        <v>5160</v>
      </c>
      <c r="G2741">
        <f t="shared" si="49"/>
        <v>10070</v>
      </c>
    </row>
    <row r="2742" spans="6:7">
      <c r="F2742" t="s">
        <v>5160</v>
      </c>
      <c r="G2742">
        <f t="shared" si="49"/>
        <v>10070</v>
      </c>
    </row>
    <row r="2743" spans="6:7">
      <c r="F2743" t="s">
        <v>5160</v>
      </c>
      <c r="G2743">
        <f t="shared" si="49"/>
        <v>10070</v>
      </c>
    </row>
    <row r="2744" spans="6:7">
      <c r="F2744" t="s">
        <v>5160</v>
      </c>
      <c r="G2744">
        <f t="shared" si="49"/>
        <v>10070</v>
      </c>
    </row>
    <row r="2745" spans="6:7">
      <c r="F2745" t="s">
        <v>5160</v>
      </c>
      <c r="G2745">
        <f t="shared" si="49"/>
        <v>10070</v>
      </c>
    </row>
    <row r="2746" spans="6:7">
      <c r="F2746" t="s">
        <v>5160</v>
      </c>
      <c r="G2746">
        <f t="shared" si="49"/>
        <v>10070</v>
      </c>
    </row>
    <row r="2747" spans="6:7">
      <c r="F2747" t="s">
        <v>5160</v>
      </c>
      <c r="G2747">
        <f t="shared" si="49"/>
        <v>10070</v>
      </c>
    </row>
    <row r="2748" spans="6:7">
      <c r="F2748" t="s">
        <v>5160</v>
      </c>
      <c r="G2748">
        <f t="shared" si="49"/>
        <v>10070</v>
      </c>
    </row>
    <row r="2749" spans="6:7">
      <c r="F2749" t="s">
        <v>5160</v>
      </c>
      <c r="G2749">
        <f t="shared" si="49"/>
        <v>10070</v>
      </c>
    </row>
    <row r="2750" spans="6:7">
      <c r="F2750" t="s">
        <v>5160</v>
      </c>
      <c r="G2750">
        <f t="shared" si="49"/>
        <v>10070</v>
      </c>
    </row>
    <row r="2751" spans="6:7">
      <c r="F2751" t="s">
        <v>5160</v>
      </c>
      <c r="G2751">
        <f t="shared" si="49"/>
        <v>10070</v>
      </c>
    </row>
    <row r="2752" spans="6:7">
      <c r="F2752" t="s">
        <v>5183</v>
      </c>
      <c r="G2752">
        <f t="shared" si="49"/>
        <v>10071</v>
      </c>
    </row>
    <row r="2753" spans="6:7">
      <c r="F2753" t="s">
        <v>5183</v>
      </c>
      <c r="G2753">
        <f t="shared" si="49"/>
        <v>10071</v>
      </c>
    </row>
    <row r="2754" spans="6:7">
      <c r="F2754" t="s">
        <v>5183</v>
      </c>
      <c r="G2754">
        <f t="shared" si="49"/>
        <v>10071</v>
      </c>
    </row>
    <row r="2755" spans="6:7">
      <c r="F2755" t="s">
        <v>5183</v>
      </c>
      <c r="G2755">
        <f t="shared" si="49"/>
        <v>10071</v>
      </c>
    </row>
    <row r="2756" spans="6:7">
      <c r="F2756" t="s">
        <v>5183</v>
      </c>
      <c r="G2756">
        <f t="shared" si="49"/>
        <v>10071</v>
      </c>
    </row>
    <row r="2757" spans="6:7">
      <c r="F2757" t="s">
        <v>5183</v>
      </c>
      <c r="G2757">
        <f t="shared" ref="G2757:G2793" si="50">_xlfn.XLOOKUP(F2757,$C$4:$C$220,$A$4:$A$220)</f>
        <v>10071</v>
      </c>
    </row>
    <row r="2758" spans="6:7">
      <c r="F2758" t="s">
        <v>5183</v>
      </c>
      <c r="G2758">
        <f t="shared" si="50"/>
        <v>10071</v>
      </c>
    </row>
    <row r="2759" spans="6:7">
      <c r="F2759" t="s">
        <v>5183</v>
      </c>
      <c r="G2759">
        <f t="shared" si="50"/>
        <v>10071</v>
      </c>
    </row>
    <row r="2760" spans="6:7">
      <c r="F2760" t="s">
        <v>5183</v>
      </c>
      <c r="G2760">
        <f t="shared" si="50"/>
        <v>10071</v>
      </c>
    </row>
    <row r="2761" spans="6:7">
      <c r="F2761" t="s">
        <v>5183</v>
      </c>
      <c r="G2761">
        <f t="shared" si="50"/>
        <v>10071</v>
      </c>
    </row>
    <row r="2762" spans="6:7">
      <c r="F2762" t="s">
        <v>5183</v>
      </c>
      <c r="G2762">
        <f t="shared" si="50"/>
        <v>10071</v>
      </c>
    </row>
    <row r="2763" spans="6:7">
      <c r="F2763" t="s">
        <v>5183</v>
      </c>
      <c r="G2763">
        <f t="shared" si="50"/>
        <v>10071</v>
      </c>
    </row>
    <row r="2764" spans="6:7">
      <c r="F2764" t="s">
        <v>5183</v>
      </c>
      <c r="G2764">
        <f t="shared" si="50"/>
        <v>10071</v>
      </c>
    </row>
    <row r="2765" spans="6:7">
      <c r="F2765" t="s">
        <v>5183</v>
      </c>
      <c r="G2765">
        <f t="shared" si="50"/>
        <v>10071</v>
      </c>
    </row>
    <row r="2766" spans="6:7">
      <c r="F2766" t="s">
        <v>5183</v>
      </c>
      <c r="G2766">
        <f t="shared" si="50"/>
        <v>10071</v>
      </c>
    </row>
    <row r="2767" spans="6:7">
      <c r="F2767" t="s">
        <v>5183</v>
      </c>
      <c r="G2767">
        <f t="shared" si="50"/>
        <v>10071</v>
      </c>
    </row>
    <row r="2768" spans="6:7">
      <c r="F2768" t="s">
        <v>5183</v>
      </c>
      <c r="G2768">
        <f t="shared" si="50"/>
        <v>10071</v>
      </c>
    </row>
    <row r="2769" spans="6:7">
      <c r="F2769" t="s">
        <v>5183</v>
      </c>
      <c r="G2769">
        <f t="shared" si="50"/>
        <v>10071</v>
      </c>
    </row>
    <row r="2770" spans="6:7">
      <c r="F2770" t="s">
        <v>5183</v>
      </c>
      <c r="G2770">
        <f t="shared" si="50"/>
        <v>10071</v>
      </c>
    </row>
    <row r="2771" spans="6:7">
      <c r="F2771" t="s">
        <v>5183</v>
      </c>
      <c r="G2771">
        <f t="shared" si="50"/>
        <v>10071</v>
      </c>
    </row>
    <row r="2772" spans="6:7">
      <c r="F2772" t="s">
        <v>5183</v>
      </c>
      <c r="G2772">
        <f t="shared" si="50"/>
        <v>10071</v>
      </c>
    </row>
    <row r="2773" spans="6:7">
      <c r="F2773" t="s">
        <v>5204</v>
      </c>
      <c r="G2773">
        <f t="shared" si="50"/>
        <v>10072</v>
      </c>
    </row>
    <row r="2774" spans="6:7">
      <c r="F2774" t="s">
        <v>5204</v>
      </c>
      <c r="G2774">
        <f t="shared" si="50"/>
        <v>10072</v>
      </c>
    </row>
    <row r="2775" spans="6:7">
      <c r="F2775" t="s">
        <v>5204</v>
      </c>
      <c r="G2775">
        <f t="shared" si="50"/>
        <v>10072</v>
      </c>
    </row>
    <row r="2776" spans="6:7">
      <c r="F2776" t="s">
        <v>5204</v>
      </c>
      <c r="G2776">
        <f t="shared" si="50"/>
        <v>10072</v>
      </c>
    </row>
    <row r="2777" spans="6:7">
      <c r="F2777" t="s">
        <v>5204</v>
      </c>
      <c r="G2777">
        <f t="shared" si="50"/>
        <v>10072</v>
      </c>
    </row>
    <row r="2778" spans="6:7">
      <c r="F2778" t="s">
        <v>5204</v>
      </c>
      <c r="G2778">
        <f t="shared" si="50"/>
        <v>10072</v>
      </c>
    </row>
    <row r="2779" spans="6:7">
      <c r="F2779" t="s">
        <v>5204</v>
      </c>
      <c r="G2779">
        <f t="shared" si="50"/>
        <v>10072</v>
      </c>
    </row>
    <row r="2780" spans="6:7">
      <c r="F2780" t="s">
        <v>5204</v>
      </c>
      <c r="G2780">
        <f t="shared" si="50"/>
        <v>10072</v>
      </c>
    </row>
    <row r="2781" spans="6:7">
      <c r="F2781" t="s">
        <v>5204</v>
      </c>
      <c r="G2781">
        <f t="shared" si="50"/>
        <v>10072</v>
      </c>
    </row>
    <row r="2782" spans="6:7">
      <c r="F2782" t="s">
        <v>5204</v>
      </c>
      <c r="G2782">
        <f t="shared" si="50"/>
        <v>10072</v>
      </c>
    </row>
    <row r="2783" spans="6:7">
      <c r="F2783" t="s">
        <v>5204</v>
      </c>
      <c r="G2783">
        <f t="shared" si="50"/>
        <v>10072</v>
      </c>
    </row>
    <row r="2784" spans="6:7">
      <c r="F2784" t="s">
        <v>5204</v>
      </c>
      <c r="G2784">
        <f t="shared" si="50"/>
        <v>10072</v>
      </c>
    </row>
    <row r="2785" spans="6:7">
      <c r="F2785" t="s">
        <v>5204</v>
      </c>
      <c r="G2785">
        <f t="shared" si="50"/>
        <v>10072</v>
      </c>
    </row>
    <row r="2786" spans="6:7">
      <c r="F2786" t="s">
        <v>5204</v>
      </c>
      <c r="G2786">
        <f t="shared" si="50"/>
        <v>10072</v>
      </c>
    </row>
    <row r="2787" spans="6:7">
      <c r="F2787" t="s">
        <v>5204</v>
      </c>
      <c r="G2787">
        <f t="shared" si="50"/>
        <v>10072</v>
      </c>
    </row>
    <row r="2788" spans="6:7">
      <c r="F2788" t="s">
        <v>5204</v>
      </c>
      <c r="G2788">
        <f t="shared" si="50"/>
        <v>10072</v>
      </c>
    </row>
    <row r="2789" spans="6:7">
      <c r="F2789" t="s">
        <v>5204</v>
      </c>
      <c r="G2789">
        <f t="shared" si="50"/>
        <v>10072</v>
      </c>
    </row>
    <row r="2790" spans="6:7">
      <c r="F2790" t="s">
        <v>5204</v>
      </c>
      <c r="G2790">
        <f t="shared" si="50"/>
        <v>10072</v>
      </c>
    </row>
    <row r="2791" spans="6:7">
      <c r="F2791" t="s">
        <v>5204</v>
      </c>
      <c r="G2791">
        <f t="shared" si="50"/>
        <v>10072</v>
      </c>
    </row>
    <row r="2792" spans="6:7">
      <c r="F2792" t="s">
        <v>5204</v>
      </c>
      <c r="G2792">
        <f t="shared" si="50"/>
        <v>10072</v>
      </c>
    </row>
    <row r="2793" spans="6:7">
      <c r="F2793" t="s">
        <v>5204</v>
      </c>
      <c r="G2793">
        <f t="shared" si="50"/>
        <v>10072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SoldierAdd</vt:lpstr>
      <vt:lpstr>链接表</vt:lpstr>
      <vt:lpstr>加成属性</vt:lpstr>
      <vt:lpstr>升级消耗</vt:lpstr>
      <vt:lpstr>属性类型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2024-12-21T02:40:22Z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A28F23E9643147D995B035DB84FBB379_13</vt:lpwstr>
  </property>
  <property fmtid="{D5CDD505-2E9C-101B-9397-08002B2CF9AE}" pid="3" name="KSOProductBuildVer">
    <vt:lpwstr>2052-12.1.0.15990</vt:lpwstr>
  </property>
  <property fmtid="{D5CDD505-2E9C-101B-9397-08002B2CF9AE}" pid="4" name="KSOReadingLayout">
    <vt:bool>true</vt:bool>
  </property>
</Properties>
</file>