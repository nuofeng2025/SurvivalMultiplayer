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PveMa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  <author>Administrator</author>
  </authors>
  <commentList>
    <comment ref="D3" authorId="0">
      <text>
        <r>
          <rPr>
            <sz val="9"/>
            <rFont val="宋体"/>
            <charset val="134"/>
          </rPr>
          <t>1-5(4,9,16,25,36地块数量)
用于随机地块和取对应地块数量的数据</t>
        </r>
      </text>
    </comment>
    <comment ref="G3" authorId="0">
      <text>
        <r>
          <rPr>
            <sz val="9"/>
            <rFont val="宋体"/>
            <charset val="134"/>
          </rPr>
          <t>需要某个特定的地图时填，不需要填0（位置：地图id)</t>
        </r>
      </text>
    </comment>
    <comment ref="K3" authorId="0">
      <text>
        <r>
          <rPr>
            <sz val="9"/>
            <rFont val="宋体"/>
            <charset val="134"/>
          </rPr>
          <t>1.基地
2.纯资源点
3.中立
4.敌军
5.BOSS点
1:1|2:1|3:2</t>
        </r>
      </text>
    </comment>
    <comment ref="P3" authorId="0">
      <text>
        <r>
          <rPr>
            <sz val="9"/>
            <rFont val="宋体"/>
            <charset val="134"/>
          </rPr>
          <t>针对该关卡每个怪额外增加经验</t>
        </r>
      </text>
    </comment>
    <comment ref="Q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1:30:1002+400
Item种类：概率：具体资源+数量
3:5:3+70%4+30
装备：概率：品质3,70%概率，品质4,30%概率（数量1个）
2:15:3+70%4+30
合成材料：概率：品质3,70%概率，品质4,30%概率（数量1个）
</t>
        </r>
      </text>
    </comment>
    <comment ref="R3" authorId="0">
      <text>
        <r>
          <rPr>
            <sz val="9"/>
            <rFont val="宋体"/>
            <charset val="134"/>
          </rPr>
          <t>1体力=1经验</t>
        </r>
      </text>
    </comment>
    <comment ref="S3" authorId="0">
      <text>
        <r>
          <rPr>
            <sz val="9"/>
            <rFont val="宋体"/>
            <charset val="134"/>
          </rPr>
          <t xml:space="preserve">0则不显示
</t>
        </r>
      </text>
    </comment>
  </commentList>
</comments>
</file>

<file path=xl/sharedStrings.xml><?xml version="1.0" encoding="utf-8"?>
<sst xmlns="http://schemas.openxmlformats.org/spreadsheetml/2006/main" count="265" uniqueCount="50">
  <si>
    <t>Id</t>
  </si>
  <si>
    <t>Name</t>
  </si>
  <si>
    <t>MapID</t>
  </si>
  <si>
    <t>Num</t>
  </si>
  <si>
    <t>Mapmodel</t>
  </si>
  <si>
    <t>Mapaudio</t>
  </si>
  <si>
    <t>SpecifyID</t>
  </si>
  <si>
    <t>DiffcultId</t>
  </si>
  <si>
    <t>NextLevel</t>
  </si>
  <si>
    <t>ChaptersLv</t>
  </si>
  <si>
    <t>Random</t>
  </si>
  <si>
    <t>Startfood</t>
  </si>
  <si>
    <t>StartCoin</t>
  </si>
  <si>
    <t>Lv</t>
  </si>
  <si>
    <t>Exp</t>
  </si>
  <si>
    <t>BossReward</t>
  </si>
  <si>
    <t>Energy</t>
  </si>
  <si>
    <t>Tips</t>
  </si>
  <si>
    <t>int</t>
  </si>
  <si>
    <t>string</t>
  </si>
  <si>
    <t>主键</t>
  </si>
  <si>
    <t>名称</t>
  </si>
  <si>
    <t>随机表ID</t>
  </si>
  <si>
    <t>地块数量</t>
  </si>
  <si>
    <t>地图</t>
  </si>
  <si>
    <t>背景音乐</t>
  </si>
  <si>
    <t>特定地图ID</t>
  </si>
  <si>
    <t>关卡难度</t>
  </si>
  <si>
    <t>下一个关卡id</t>
  </si>
  <si>
    <t>关卡等级</t>
  </si>
  <si>
    <t>地块分布数量</t>
  </si>
  <si>
    <t>初始食物</t>
  </si>
  <si>
    <t>初始金币</t>
  </si>
  <si>
    <t>简单怪物等级</t>
  </si>
  <si>
    <t>每关怪物经验</t>
  </si>
  <si>
    <t xml:space="preserve">  扫荡#首通#三星</t>
  </si>
  <si>
    <t>消耗体力</t>
  </si>
  <si>
    <t>关卡提示</t>
  </si>
  <si>
    <t>北方边境</t>
  </si>
  <si>
    <t>MapBingXue1</t>
  </si>
  <si>
    <t>MapBingXue</t>
  </si>
  <si>
    <t>1:12:1000|1:20001:2#1:11:200|1:24:1|1:1010102:1|1:1010103:1|1:20001:2#1:11:200|1:22:2|1:24:2</t>
  </si>
  <si>
    <t>占领全部领地获取胜利</t>
  </si>
  <si>
    <t>枪兵对骑兵会有奇效</t>
  </si>
  <si>
    <t>小心飞兵进攻，用弓兵消灭他们吧</t>
  </si>
  <si>
    <t>1:1|3:1|4:2</t>
  </si>
  <si>
    <t>1:1|2:2|3:3|4:2|5:1</t>
  </si>
  <si>
    <t>1:1|2:2|3:7|4:5|5:1</t>
  </si>
  <si>
    <t>1:1|2:5|3:8|4:10|5:1</t>
  </si>
  <si>
    <t>1:1|2:6|3:12|4:16|5:1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</si>
</sst>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b/>
      <sz val="10"/>
      <color rgb="FFFF0000"/>
      <name val="微软雅黑"/>
      <charset val="134"/>
    </font>
    <font>
      <sz val="10"/>
      <name val="微软雅黑"/>
      <charset val="134"/>
    </font>
    <font>
      <b/>
      <sz val="10"/>
      <color rgb="FF00B05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3"/>
  <sheetViews>
    <sheetView tabSelected="1" workbookViewId="0">
      <selection activeCell="L4" sqref="L4"/>
    </sheetView>
  </sheetViews>
  <sheetFormatPr defaultColWidth="9" defaultRowHeight="16.5"/>
  <cols>
    <col min="1" max="1" width="9" style="1"/>
    <col min="2" max="10" width="11.375" style="1" customWidth="1"/>
    <col min="11" max="11" width="26.125" style="1" customWidth="1"/>
    <col min="12" max="16" width="11.375" style="1" customWidth="1"/>
    <col min="17" max="17" width="57.375" style="1" customWidth="1"/>
    <col min="18" max="18" width="19.875" style="1" customWidth="1"/>
    <col min="19" max="19" width="25.625" style="1" customWidth="1"/>
    <col min="20" max="16384" width="9" style="1"/>
  </cols>
  <sheetData>
    <row r="1" spans="1:19">
      <c r="A1" s="2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</v>
      </c>
      <c r="O1" s="1" t="s">
        <v>13</v>
      </c>
      <c r="P1" s="1" t="s">
        <v>14</v>
      </c>
      <c r="Q1" s="1" t="s">
        <v>15</v>
      </c>
      <c r="R1" s="7" t="s">
        <v>16</v>
      </c>
      <c r="S1" s="1" t="s">
        <v>17</v>
      </c>
    </row>
    <row r="2" spans="1:19">
      <c r="A2" s="1" t="s">
        <v>18</v>
      </c>
      <c r="B2" s="1" t="s">
        <v>19</v>
      </c>
      <c r="C2" s="1" t="s">
        <v>18</v>
      </c>
      <c r="D2" s="1" t="s">
        <v>18</v>
      </c>
      <c r="E2" s="3" t="s">
        <v>19</v>
      </c>
      <c r="F2" s="3" t="s">
        <v>19</v>
      </c>
      <c r="G2" s="1" t="s">
        <v>19</v>
      </c>
      <c r="H2" s="1" t="s">
        <v>18</v>
      </c>
      <c r="I2" s="1" t="s">
        <v>18</v>
      </c>
      <c r="J2" s="1" t="s">
        <v>18</v>
      </c>
      <c r="K2" s="1" t="s">
        <v>19</v>
      </c>
      <c r="L2" s="1" t="s">
        <v>18</v>
      </c>
      <c r="M2" s="1" t="s">
        <v>18</v>
      </c>
      <c r="N2" s="1" t="s">
        <v>18</v>
      </c>
      <c r="O2" s="1" t="s">
        <v>18</v>
      </c>
      <c r="P2" s="1" t="s">
        <v>18</v>
      </c>
      <c r="Q2" s="1" t="s">
        <v>19</v>
      </c>
      <c r="R2" s="7" t="s">
        <v>18</v>
      </c>
      <c r="S2" s="1" t="s">
        <v>19</v>
      </c>
    </row>
    <row r="3" spans="1:19">
      <c r="A3" s="4" t="s">
        <v>20</v>
      </c>
      <c r="B3" s="1" t="s">
        <v>21</v>
      </c>
      <c r="C3" s="4" t="s">
        <v>22</v>
      </c>
      <c r="D3" s="4" t="s">
        <v>23</v>
      </c>
      <c r="E3" s="3" t="s">
        <v>24</v>
      </c>
      <c r="F3" s="3" t="s">
        <v>25</v>
      </c>
      <c r="G3" s="4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29</v>
      </c>
      <c r="O3" s="1" t="s">
        <v>33</v>
      </c>
      <c r="P3" s="1" t="s">
        <v>34</v>
      </c>
      <c r="Q3" s="1" t="s">
        <v>35</v>
      </c>
      <c r="R3" s="7" t="s">
        <v>36</v>
      </c>
      <c r="S3" s="1" t="s">
        <v>37</v>
      </c>
    </row>
    <row r="4" ht="33" spans="1:19">
      <c r="A4" s="1">
        <v>11</v>
      </c>
      <c r="B4" s="1" t="s">
        <v>38</v>
      </c>
      <c r="C4" s="1">
        <v>98</v>
      </c>
      <c r="D4" s="1">
        <v>1</v>
      </c>
      <c r="E4" s="3" t="s">
        <v>39</v>
      </c>
      <c r="F4" s="3" t="s">
        <v>40</v>
      </c>
      <c r="G4" s="1">
        <f>VLOOKUP(C4,Sheet3!I:J,2,FALSE)</f>
        <v>98301</v>
      </c>
      <c r="H4" s="5">
        <v>2</v>
      </c>
      <c r="I4" s="1">
        <f t="shared" ref="I4:I54" si="0">A5</f>
        <v>12</v>
      </c>
      <c r="J4" s="6">
        <v>1</v>
      </c>
      <c r="K4" s="1" t="str">
        <f>_xlfn.IFS(D4=1,Sheet3!$C$1,D4=2,Sheet3!$C$2,D4=3,Sheet3!$C$3,D4=4,Sheet3!$C$4,D4=5,Sheet3!$C$5)</f>
        <v>1:1|3:1|4:2</v>
      </c>
      <c r="L4" s="1">
        <v>1000</v>
      </c>
      <c r="M4" s="1">
        <v>0</v>
      </c>
      <c r="N4" s="6">
        <v>1</v>
      </c>
      <c r="O4" s="1">
        <f t="shared" ref="O4:O14" si="1">H4+J4</f>
        <v>3</v>
      </c>
      <c r="P4" s="1">
        <v>15</v>
      </c>
      <c r="Q4" s="8" t="s">
        <v>41</v>
      </c>
      <c r="R4" s="1">
        <v>10</v>
      </c>
      <c r="S4" s="1" t="s">
        <v>42</v>
      </c>
    </row>
    <row r="5" ht="33" spans="1:19">
      <c r="A5" s="1">
        <v>12</v>
      </c>
      <c r="B5" s="1" t="s">
        <v>38</v>
      </c>
      <c r="C5" s="1">
        <v>99</v>
      </c>
      <c r="D5" s="1">
        <v>1</v>
      </c>
      <c r="E5" s="3" t="s">
        <v>39</v>
      </c>
      <c r="F5" s="3" t="s">
        <v>40</v>
      </c>
      <c r="G5" s="1">
        <f>VLOOKUP(C5,Sheet3!I:J,2,FALSE)</f>
        <v>99301</v>
      </c>
      <c r="H5" s="5">
        <v>1</v>
      </c>
      <c r="I5" s="1">
        <f t="shared" ref="I5:I16" si="2">A6</f>
        <v>13</v>
      </c>
      <c r="J5" s="6">
        <v>2</v>
      </c>
      <c r="K5" s="1" t="str">
        <f>_xlfn.IFS(D5=1,Sheet3!$C$1,D5=2,Sheet3!$C$2,D5=3,Sheet3!$C$3,D5=4,Sheet3!$C$4,D5=5,Sheet3!$C$5)</f>
        <v>1:1|3:1|4:2</v>
      </c>
      <c r="L5" s="1">
        <v>450</v>
      </c>
      <c r="M5" s="1">
        <v>0</v>
      </c>
      <c r="N5" s="6">
        <v>2</v>
      </c>
      <c r="O5" s="1">
        <f t="shared" si="1"/>
        <v>3</v>
      </c>
      <c r="P5" s="1">
        <f t="shared" ref="P5:P54" si="3">P4</f>
        <v>15</v>
      </c>
      <c r="Q5" s="8" t="s">
        <v>41</v>
      </c>
      <c r="R5" s="1">
        <v>10</v>
      </c>
      <c r="S5" s="1" t="s">
        <v>43</v>
      </c>
    </row>
    <row r="6" ht="33" spans="1:19">
      <c r="A6" s="1">
        <v>13</v>
      </c>
      <c r="B6" s="1" t="s">
        <v>38</v>
      </c>
      <c r="C6" s="1">
        <v>100</v>
      </c>
      <c r="D6" s="1">
        <v>1</v>
      </c>
      <c r="E6" s="3" t="s">
        <v>39</v>
      </c>
      <c r="F6" s="3" t="s">
        <v>40</v>
      </c>
      <c r="G6" s="1">
        <f>VLOOKUP(C6,Sheet3!I:J,2,FALSE)</f>
        <v>100301</v>
      </c>
      <c r="H6" s="5">
        <v>1</v>
      </c>
      <c r="I6" s="1">
        <f t="shared" si="2"/>
        <v>14</v>
      </c>
      <c r="J6" s="6">
        <v>3</v>
      </c>
      <c r="K6" s="1" t="str">
        <f>_xlfn.IFS(D6=1,Sheet3!$C$1,D6=2,Sheet3!$C$2,D6=3,Sheet3!$C$3,D6=4,Sheet3!$C$4,D6=5,Sheet3!$C$5)</f>
        <v>1:1|3:1|4:2</v>
      </c>
      <c r="L6" s="1">
        <v>450</v>
      </c>
      <c r="M6" s="1">
        <v>0</v>
      </c>
      <c r="N6" s="6">
        <v>3</v>
      </c>
      <c r="O6" s="1">
        <f t="shared" si="1"/>
        <v>4</v>
      </c>
      <c r="P6" s="1">
        <f t="shared" si="3"/>
        <v>15</v>
      </c>
      <c r="Q6" s="8" t="s">
        <v>41</v>
      </c>
      <c r="R6" s="1">
        <v>10</v>
      </c>
      <c r="S6" s="1" t="s">
        <v>44</v>
      </c>
    </row>
    <row r="7" ht="33" spans="1:19">
      <c r="A7" s="1">
        <v>14</v>
      </c>
      <c r="B7" s="1" t="s">
        <v>38</v>
      </c>
      <c r="C7" s="1">
        <v>101</v>
      </c>
      <c r="D7" s="1">
        <v>1</v>
      </c>
      <c r="E7" s="3" t="s">
        <v>39</v>
      </c>
      <c r="F7" s="3" t="s">
        <v>40</v>
      </c>
      <c r="G7" s="1">
        <f>VLOOKUP(C7,Sheet3!I:J,2,FALSE)</f>
        <v>101301</v>
      </c>
      <c r="H7" s="5">
        <v>2</v>
      </c>
      <c r="I7" s="1">
        <f t="shared" si="2"/>
        <v>15</v>
      </c>
      <c r="J7" s="6">
        <v>4</v>
      </c>
      <c r="K7" s="1" t="str">
        <f>_xlfn.IFS(D7=1,Sheet3!$C$1,D7=2,Sheet3!$C$2,D7=3,Sheet3!$C$3,D7=4,Sheet3!$C$4,D7=5,Sheet3!$C$5)</f>
        <v>1:1|3:1|4:2</v>
      </c>
      <c r="L7" s="1">
        <v>450</v>
      </c>
      <c r="M7" s="1">
        <v>0</v>
      </c>
      <c r="N7" s="6">
        <v>4</v>
      </c>
      <c r="O7" s="1">
        <f t="shared" si="1"/>
        <v>6</v>
      </c>
      <c r="P7" s="1">
        <f t="shared" si="3"/>
        <v>15</v>
      </c>
      <c r="Q7" s="8" t="s">
        <v>41</v>
      </c>
      <c r="R7" s="1">
        <v>10</v>
      </c>
      <c r="S7" s="1">
        <v>0</v>
      </c>
    </row>
    <row r="8" ht="33" spans="1:19">
      <c r="A8" s="1">
        <v>15</v>
      </c>
      <c r="B8" s="1" t="s">
        <v>38</v>
      </c>
      <c r="C8" s="1">
        <v>201</v>
      </c>
      <c r="D8" s="1">
        <v>2</v>
      </c>
      <c r="E8" s="3" t="s">
        <v>39</v>
      </c>
      <c r="F8" s="3" t="s">
        <v>40</v>
      </c>
      <c r="G8" s="1">
        <f>VLOOKUP(C8,Sheet3!I:J,2,FALSE)</f>
        <v>201301</v>
      </c>
      <c r="H8" s="5">
        <v>2</v>
      </c>
      <c r="I8" s="1">
        <f t="shared" si="2"/>
        <v>16</v>
      </c>
      <c r="J8" s="6">
        <v>5</v>
      </c>
      <c r="K8" s="1" t="str">
        <f>_xlfn.IFS(D8=1,Sheet3!$C$1,D8=2,Sheet3!$C$2,D8=3,Sheet3!$C$3,D8=4,Sheet3!$C$4,D8=5,Sheet3!$C$5)</f>
        <v>1:1|2:2|3:3|4:2|5:1</v>
      </c>
      <c r="L8" s="1">
        <v>500</v>
      </c>
      <c r="M8" s="1">
        <v>0</v>
      </c>
      <c r="N8" s="6">
        <v>5</v>
      </c>
      <c r="O8" s="1">
        <f t="shared" si="1"/>
        <v>7</v>
      </c>
      <c r="P8" s="1">
        <f t="shared" si="3"/>
        <v>15</v>
      </c>
      <c r="Q8" s="8" t="s">
        <v>41</v>
      </c>
      <c r="R8" s="1">
        <v>10</v>
      </c>
      <c r="S8" s="1">
        <v>0</v>
      </c>
    </row>
    <row r="9" ht="33" spans="1:19">
      <c r="A9" s="1">
        <v>16</v>
      </c>
      <c r="B9" s="1" t="s">
        <v>38</v>
      </c>
      <c r="C9" s="1">
        <v>101</v>
      </c>
      <c r="D9" s="1">
        <v>1</v>
      </c>
      <c r="E9" s="3" t="s">
        <v>39</v>
      </c>
      <c r="F9" s="3" t="s">
        <v>40</v>
      </c>
      <c r="G9" s="1">
        <f>VLOOKUP(C9,Sheet3!I:J,2,FALSE)</f>
        <v>101301</v>
      </c>
      <c r="H9" s="5">
        <v>1</v>
      </c>
      <c r="I9" s="1">
        <f t="shared" si="2"/>
        <v>17</v>
      </c>
      <c r="J9" s="6">
        <v>6</v>
      </c>
      <c r="K9" s="1" t="str">
        <f>_xlfn.IFS(D9=1,Sheet3!$C$1,D9=2,Sheet3!$C$2,D9=3,Sheet3!$C$3,D9=4,Sheet3!$C$4,D9=5,Sheet3!$C$5)</f>
        <v>1:1|3:1|4:2</v>
      </c>
      <c r="L9" s="1">
        <v>450</v>
      </c>
      <c r="M9" s="1">
        <v>0</v>
      </c>
      <c r="N9" s="6">
        <v>6</v>
      </c>
      <c r="O9" s="1">
        <f t="shared" si="1"/>
        <v>7</v>
      </c>
      <c r="P9" s="1">
        <f t="shared" si="3"/>
        <v>15</v>
      </c>
      <c r="Q9" s="8" t="s">
        <v>41</v>
      </c>
      <c r="R9" s="1">
        <v>10</v>
      </c>
      <c r="S9" s="1">
        <v>0</v>
      </c>
    </row>
    <row r="10" ht="33" spans="1:19">
      <c r="A10" s="1">
        <v>17</v>
      </c>
      <c r="B10" s="1" t="s">
        <v>38</v>
      </c>
      <c r="C10" s="1">
        <v>101</v>
      </c>
      <c r="D10" s="1">
        <v>1</v>
      </c>
      <c r="E10" s="3" t="s">
        <v>39</v>
      </c>
      <c r="F10" s="3" t="s">
        <v>40</v>
      </c>
      <c r="G10" s="1">
        <f>VLOOKUP(C10,Sheet3!I:J,2,FALSE)</f>
        <v>101301</v>
      </c>
      <c r="H10" s="5">
        <v>2</v>
      </c>
      <c r="I10" s="1">
        <f t="shared" si="2"/>
        <v>18</v>
      </c>
      <c r="J10" s="6">
        <v>7</v>
      </c>
      <c r="K10" s="1" t="str">
        <f>_xlfn.IFS(D10=1,Sheet3!$C$1,D10=2,Sheet3!$C$2,D10=3,Sheet3!$C$3,D10=4,Sheet3!$C$4,D10=5,Sheet3!$C$5)</f>
        <v>1:1|3:1|4:2</v>
      </c>
      <c r="L10" s="1">
        <v>450</v>
      </c>
      <c r="M10" s="1">
        <v>0</v>
      </c>
      <c r="N10" s="6">
        <v>7</v>
      </c>
      <c r="O10" s="1">
        <f t="shared" si="1"/>
        <v>9</v>
      </c>
      <c r="P10" s="1">
        <f t="shared" si="3"/>
        <v>15</v>
      </c>
      <c r="Q10" s="8" t="s">
        <v>41</v>
      </c>
      <c r="R10" s="1">
        <v>10</v>
      </c>
      <c r="S10" s="1">
        <v>0</v>
      </c>
    </row>
    <row r="11" ht="33" spans="1:19">
      <c r="A11" s="1">
        <v>18</v>
      </c>
      <c r="B11" s="1" t="s">
        <v>38</v>
      </c>
      <c r="C11" s="1">
        <v>201</v>
      </c>
      <c r="D11" s="1">
        <v>2</v>
      </c>
      <c r="E11" s="3" t="s">
        <v>39</v>
      </c>
      <c r="F11" s="3" t="s">
        <v>40</v>
      </c>
      <c r="G11" s="1">
        <f>VLOOKUP(C11,Sheet3!I:J,2,FALSE)</f>
        <v>201301</v>
      </c>
      <c r="H11" s="5">
        <v>3</v>
      </c>
      <c r="I11" s="1">
        <f t="shared" si="2"/>
        <v>19</v>
      </c>
      <c r="J11" s="6">
        <v>8</v>
      </c>
      <c r="K11" s="1" t="str">
        <f>_xlfn.IFS(D11=1,Sheet3!$C$1,D11=2,Sheet3!$C$2,D11=3,Sheet3!$C$3,D11=4,Sheet3!$C$4,D11=5,Sheet3!$C$5)</f>
        <v>1:1|2:2|3:3|4:2|5:1</v>
      </c>
      <c r="L11" s="1">
        <v>500</v>
      </c>
      <c r="M11" s="1">
        <v>0</v>
      </c>
      <c r="N11" s="6">
        <v>8</v>
      </c>
      <c r="O11" s="1">
        <f t="shared" si="1"/>
        <v>11</v>
      </c>
      <c r="P11" s="1">
        <f t="shared" si="3"/>
        <v>15</v>
      </c>
      <c r="Q11" s="8" t="s">
        <v>41</v>
      </c>
      <c r="R11" s="1">
        <v>10</v>
      </c>
      <c r="S11" s="1">
        <v>0</v>
      </c>
    </row>
    <row r="12" ht="33" spans="1:19">
      <c r="A12" s="1">
        <v>19</v>
      </c>
      <c r="B12" s="1" t="s">
        <v>38</v>
      </c>
      <c r="C12" s="1">
        <v>101</v>
      </c>
      <c r="D12" s="1">
        <v>1</v>
      </c>
      <c r="E12" s="3" t="s">
        <v>39</v>
      </c>
      <c r="F12" s="3" t="s">
        <v>40</v>
      </c>
      <c r="G12" s="1">
        <f>VLOOKUP(C12,Sheet3!I:J,2,FALSE)</f>
        <v>101301</v>
      </c>
      <c r="H12" s="5">
        <v>1</v>
      </c>
      <c r="I12" s="1">
        <f t="shared" si="2"/>
        <v>20</v>
      </c>
      <c r="J12" s="6">
        <v>9</v>
      </c>
      <c r="K12" s="1" t="str">
        <f>_xlfn.IFS(D12=1,Sheet3!$C$1,D12=2,Sheet3!$C$2,D12=3,Sheet3!$C$3,D12=4,Sheet3!$C$4,D12=5,Sheet3!$C$5)</f>
        <v>1:1|3:1|4:2</v>
      </c>
      <c r="L12" s="1">
        <v>450</v>
      </c>
      <c r="M12" s="1">
        <v>0</v>
      </c>
      <c r="N12" s="6">
        <v>9</v>
      </c>
      <c r="O12" s="1">
        <f t="shared" si="1"/>
        <v>10</v>
      </c>
      <c r="P12" s="1">
        <f t="shared" si="3"/>
        <v>15</v>
      </c>
      <c r="Q12" s="8" t="s">
        <v>41</v>
      </c>
      <c r="R12" s="1">
        <v>10</v>
      </c>
      <c r="S12" s="1">
        <v>0</v>
      </c>
    </row>
    <row r="13" ht="33" spans="1:19">
      <c r="A13" s="1">
        <v>20</v>
      </c>
      <c r="B13" s="1" t="s">
        <v>38</v>
      </c>
      <c r="C13" s="1">
        <v>301</v>
      </c>
      <c r="D13" s="1">
        <v>3</v>
      </c>
      <c r="E13" s="3" t="s">
        <v>39</v>
      </c>
      <c r="F13" s="3" t="s">
        <v>40</v>
      </c>
      <c r="G13" s="1">
        <f>VLOOKUP(C13,Sheet3!I:J,2,FALSE)</f>
        <v>301301</v>
      </c>
      <c r="H13" s="5">
        <v>4</v>
      </c>
      <c r="I13" s="1">
        <f t="shared" si="2"/>
        <v>21</v>
      </c>
      <c r="J13" s="6">
        <v>10</v>
      </c>
      <c r="K13" s="1" t="str">
        <f>_xlfn.IFS(D13=1,Sheet3!$C$1,D13=2,Sheet3!$C$2,D13=3,Sheet3!$C$3,D13=4,Sheet3!$C$4,D13=5,Sheet3!$C$5)</f>
        <v>1:1|2:2|3:7|4:5|5:1</v>
      </c>
      <c r="L13" s="1">
        <v>550</v>
      </c>
      <c r="M13" s="1">
        <v>0</v>
      </c>
      <c r="N13" s="6">
        <v>10</v>
      </c>
      <c r="O13" s="1">
        <f t="shared" si="1"/>
        <v>14</v>
      </c>
      <c r="P13" s="1">
        <f t="shared" si="3"/>
        <v>15</v>
      </c>
      <c r="Q13" s="8" t="s">
        <v>41</v>
      </c>
      <c r="R13" s="1">
        <v>10</v>
      </c>
      <c r="S13" s="1">
        <v>0</v>
      </c>
    </row>
    <row r="14" ht="33" spans="1:19">
      <c r="A14" s="1">
        <v>21</v>
      </c>
      <c r="B14" s="1" t="s">
        <v>38</v>
      </c>
      <c r="C14" s="1">
        <v>201</v>
      </c>
      <c r="D14" s="1">
        <v>2</v>
      </c>
      <c r="E14" s="3" t="s">
        <v>39</v>
      </c>
      <c r="F14" s="3" t="s">
        <v>40</v>
      </c>
      <c r="G14" s="1">
        <f>VLOOKUP(C14,Sheet3!I:J,2,FALSE)</f>
        <v>201301</v>
      </c>
      <c r="H14" s="1">
        <f t="shared" ref="H14:H53" si="4">H4+1</f>
        <v>3</v>
      </c>
      <c r="I14" s="1">
        <f t="shared" si="2"/>
        <v>22</v>
      </c>
      <c r="J14" s="6">
        <v>11</v>
      </c>
      <c r="K14" s="1" t="str">
        <f>_xlfn.IFS(D14=1,Sheet3!$C$1,D14=2,Sheet3!$C$2,D14=3,Sheet3!$C$3,D14=4,Sheet3!$C$4,D14=5,Sheet3!$C$5)</f>
        <v>1:1|2:2|3:3|4:2|5:1</v>
      </c>
      <c r="L14" s="1">
        <v>500</v>
      </c>
      <c r="M14" s="1">
        <v>0</v>
      </c>
      <c r="N14" s="6">
        <v>11</v>
      </c>
      <c r="O14" s="1">
        <f t="shared" si="1"/>
        <v>14</v>
      </c>
      <c r="P14" s="1">
        <f t="shared" si="3"/>
        <v>15</v>
      </c>
      <c r="Q14" s="8" t="s">
        <v>41</v>
      </c>
      <c r="R14" s="1">
        <v>10</v>
      </c>
      <c r="S14" s="1">
        <v>0</v>
      </c>
    </row>
    <row r="15" ht="33" spans="1:19">
      <c r="A15" s="1">
        <v>22</v>
      </c>
      <c r="B15" s="1" t="s">
        <v>38</v>
      </c>
      <c r="C15" s="1">
        <v>201</v>
      </c>
      <c r="D15" s="1">
        <v>2</v>
      </c>
      <c r="E15" s="3" t="s">
        <v>39</v>
      </c>
      <c r="F15" s="3" t="s">
        <v>40</v>
      </c>
      <c r="G15" s="1">
        <f>VLOOKUP(C15,Sheet3!I:J,2,FALSE)</f>
        <v>201301</v>
      </c>
      <c r="H15" s="1">
        <f t="shared" si="4"/>
        <v>2</v>
      </c>
      <c r="I15" s="1">
        <f t="shared" si="2"/>
        <v>23</v>
      </c>
      <c r="J15" s="6">
        <v>12</v>
      </c>
      <c r="K15" s="1" t="str">
        <f>_xlfn.IFS(D15=1,Sheet3!$C$1,D15=2,Sheet3!$C$2,D15=3,Sheet3!$C$3,D15=4,Sheet3!$C$4,D15=5,Sheet3!$C$5)</f>
        <v>1:1|2:2|3:3|4:2|5:1</v>
      </c>
      <c r="L15" s="1">
        <v>500</v>
      </c>
      <c r="M15" s="1">
        <v>0</v>
      </c>
      <c r="N15" s="6">
        <v>12</v>
      </c>
      <c r="O15" s="1">
        <f t="shared" ref="O15:O32" si="5">H15+J15</f>
        <v>14</v>
      </c>
      <c r="P15" s="1">
        <f t="shared" si="3"/>
        <v>15</v>
      </c>
      <c r="Q15" s="8" t="s">
        <v>41</v>
      </c>
      <c r="R15" s="1">
        <v>10</v>
      </c>
      <c r="S15" s="1">
        <v>0</v>
      </c>
    </row>
    <row r="16" ht="33" spans="1:19">
      <c r="A16" s="1">
        <v>23</v>
      </c>
      <c r="B16" s="1" t="s">
        <v>38</v>
      </c>
      <c r="C16" s="1">
        <v>201</v>
      </c>
      <c r="D16" s="1">
        <v>2</v>
      </c>
      <c r="E16" s="3" t="s">
        <v>39</v>
      </c>
      <c r="F16" s="3" t="s">
        <v>40</v>
      </c>
      <c r="G16" s="1">
        <f>VLOOKUP(C16,Sheet3!I:J,2,FALSE)</f>
        <v>201301</v>
      </c>
      <c r="H16" s="1">
        <f t="shared" si="4"/>
        <v>2</v>
      </c>
      <c r="I16" s="1">
        <f t="shared" si="2"/>
        <v>24</v>
      </c>
      <c r="J16" s="6">
        <v>13</v>
      </c>
      <c r="K16" s="1" t="str">
        <f>_xlfn.IFS(D16=1,Sheet3!$C$1,D16=2,Sheet3!$C$2,D16=3,Sheet3!$C$3,D16=4,Sheet3!$C$4,D16=5,Sheet3!$C$5)</f>
        <v>1:1|2:2|3:3|4:2|5:1</v>
      </c>
      <c r="L16" s="1">
        <v>500</v>
      </c>
      <c r="M16" s="1">
        <v>0</v>
      </c>
      <c r="N16" s="6">
        <v>13</v>
      </c>
      <c r="O16" s="1">
        <f t="shared" si="5"/>
        <v>15</v>
      </c>
      <c r="P16" s="1">
        <f t="shared" si="3"/>
        <v>15</v>
      </c>
      <c r="Q16" s="8" t="s">
        <v>41</v>
      </c>
      <c r="R16" s="1">
        <v>10</v>
      </c>
      <c r="S16" s="1">
        <v>0</v>
      </c>
    </row>
    <row r="17" ht="33" spans="1:19">
      <c r="A17" s="1">
        <v>24</v>
      </c>
      <c r="B17" s="1" t="s">
        <v>38</v>
      </c>
      <c r="C17" s="1">
        <v>201</v>
      </c>
      <c r="D17" s="1">
        <v>2</v>
      </c>
      <c r="E17" s="3" t="s">
        <v>39</v>
      </c>
      <c r="F17" s="3" t="s">
        <v>40</v>
      </c>
      <c r="G17" s="1">
        <f>VLOOKUP(C17,Sheet3!I:J,2,FALSE)</f>
        <v>201301</v>
      </c>
      <c r="H17" s="1">
        <f t="shared" si="4"/>
        <v>3</v>
      </c>
      <c r="I17" s="1">
        <f t="shared" si="0"/>
        <v>25</v>
      </c>
      <c r="J17" s="6">
        <v>14</v>
      </c>
      <c r="K17" s="1" t="str">
        <f>_xlfn.IFS(D17=1,Sheet3!$C$1,D17=2,Sheet3!$C$2,D17=3,Sheet3!$C$3,D17=4,Sheet3!$C$4,D17=5,Sheet3!$C$5)</f>
        <v>1:1|2:2|3:3|4:2|5:1</v>
      </c>
      <c r="L17" s="1">
        <v>500</v>
      </c>
      <c r="M17" s="1">
        <v>0</v>
      </c>
      <c r="N17" s="6">
        <v>14</v>
      </c>
      <c r="O17" s="1">
        <f t="shared" si="5"/>
        <v>17</v>
      </c>
      <c r="P17" s="1">
        <f t="shared" si="3"/>
        <v>15</v>
      </c>
      <c r="Q17" s="8" t="s">
        <v>41</v>
      </c>
      <c r="R17" s="1">
        <v>10</v>
      </c>
      <c r="S17" s="1">
        <v>0</v>
      </c>
    </row>
    <row r="18" ht="33" spans="1:19">
      <c r="A18" s="1">
        <v>25</v>
      </c>
      <c r="B18" s="1" t="s">
        <v>38</v>
      </c>
      <c r="C18" s="1">
        <v>301</v>
      </c>
      <c r="D18" s="1">
        <v>3</v>
      </c>
      <c r="E18" s="3" t="s">
        <v>39</v>
      </c>
      <c r="F18" s="3" t="s">
        <v>40</v>
      </c>
      <c r="G18" s="1">
        <f>VLOOKUP(C18,Sheet3!I:J,2,FALSE)</f>
        <v>301301</v>
      </c>
      <c r="H18" s="1">
        <f t="shared" si="4"/>
        <v>3</v>
      </c>
      <c r="I18" s="1">
        <f t="shared" si="0"/>
        <v>26</v>
      </c>
      <c r="J18" s="6">
        <v>15</v>
      </c>
      <c r="K18" s="1" t="str">
        <f>_xlfn.IFS(D18=1,Sheet3!$C$1,D18=2,Sheet3!$C$2,D18=3,Sheet3!$C$3,D18=4,Sheet3!$C$4,D18=5,Sheet3!$C$5)</f>
        <v>1:1|2:2|3:7|4:5|5:1</v>
      </c>
      <c r="L18" s="1">
        <v>550</v>
      </c>
      <c r="M18" s="1">
        <v>0</v>
      </c>
      <c r="N18" s="6">
        <v>15</v>
      </c>
      <c r="O18" s="1">
        <f t="shared" si="5"/>
        <v>18</v>
      </c>
      <c r="P18" s="1">
        <f t="shared" si="3"/>
        <v>15</v>
      </c>
      <c r="Q18" s="8" t="s">
        <v>41</v>
      </c>
      <c r="R18" s="1">
        <v>10</v>
      </c>
      <c r="S18" s="1">
        <v>0</v>
      </c>
    </row>
    <row r="19" ht="33" spans="1:19">
      <c r="A19" s="1">
        <v>26</v>
      </c>
      <c r="B19" s="1" t="s">
        <v>38</v>
      </c>
      <c r="C19" s="1">
        <v>201</v>
      </c>
      <c r="D19" s="1">
        <v>2</v>
      </c>
      <c r="E19" s="3" t="s">
        <v>39</v>
      </c>
      <c r="F19" s="3" t="s">
        <v>40</v>
      </c>
      <c r="G19" s="1">
        <f>VLOOKUP(C19,Sheet3!I:J,2,FALSE)</f>
        <v>201301</v>
      </c>
      <c r="H19" s="1">
        <f t="shared" si="4"/>
        <v>2</v>
      </c>
      <c r="I19" s="1">
        <f t="shared" si="0"/>
        <v>27</v>
      </c>
      <c r="J19" s="6">
        <v>16</v>
      </c>
      <c r="K19" s="1" t="str">
        <f>_xlfn.IFS(D19=1,Sheet3!$C$1,D19=2,Sheet3!$C$2,D19=3,Sheet3!$C$3,D19=4,Sheet3!$C$4,D19=5,Sheet3!$C$5)</f>
        <v>1:1|2:2|3:3|4:2|5:1</v>
      </c>
      <c r="L19" s="1">
        <v>500</v>
      </c>
      <c r="M19" s="1">
        <v>0</v>
      </c>
      <c r="N19" s="6">
        <v>16</v>
      </c>
      <c r="O19" s="1">
        <f t="shared" si="5"/>
        <v>18</v>
      </c>
      <c r="P19" s="1">
        <f t="shared" si="3"/>
        <v>15</v>
      </c>
      <c r="Q19" s="8" t="s">
        <v>41</v>
      </c>
      <c r="R19" s="1">
        <v>10</v>
      </c>
      <c r="S19" s="1">
        <v>0</v>
      </c>
    </row>
    <row r="20" ht="33" spans="1:19">
      <c r="A20" s="1">
        <v>27</v>
      </c>
      <c r="B20" s="1" t="s">
        <v>38</v>
      </c>
      <c r="C20" s="1">
        <v>201</v>
      </c>
      <c r="D20" s="1">
        <v>2</v>
      </c>
      <c r="E20" s="3" t="s">
        <v>39</v>
      </c>
      <c r="F20" s="3" t="s">
        <v>40</v>
      </c>
      <c r="G20" s="1">
        <f>VLOOKUP(C20,Sheet3!I:J,2,FALSE)</f>
        <v>201301</v>
      </c>
      <c r="H20" s="1">
        <f t="shared" si="4"/>
        <v>3</v>
      </c>
      <c r="I20" s="1">
        <f t="shared" si="0"/>
        <v>28</v>
      </c>
      <c r="J20" s="6">
        <v>17</v>
      </c>
      <c r="K20" s="1" t="str">
        <f>_xlfn.IFS(D20=1,Sheet3!$C$1,D20=2,Sheet3!$C$2,D20=3,Sheet3!$C$3,D20=4,Sheet3!$C$4,D20=5,Sheet3!$C$5)</f>
        <v>1:1|2:2|3:3|4:2|5:1</v>
      </c>
      <c r="L20" s="1">
        <v>500</v>
      </c>
      <c r="M20" s="1">
        <v>0</v>
      </c>
      <c r="N20" s="6">
        <v>17</v>
      </c>
      <c r="O20" s="1">
        <f t="shared" si="5"/>
        <v>20</v>
      </c>
      <c r="P20" s="1">
        <f t="shared" si="3"/>
        <v>15</v>
      </c>
      <c r="Q20" s="8" t="s">
        <v>41</v>
      </c>
      <c r="R20" s="1">
        <v>10</v>
      </c>
      <c r="S20" s="1">
        <v>0</v>
      </c>
    </row>
    <row r="21" ht="33" spans="1:19">
      <c r="A21" s="1">
        <v>28</v>
      </c>
      <c r="B21" s="1" t="s">
        <v>38</v>
      </c>
      <c r="C21" s="1">
        <v>201</v>
      </c>
      <c r="D21" s="1">
        <v>2</v>
      </c>
      <c r="E21" s="3" t="s">
        <v>39</v>
      </c>
      <c r="F21" s="3" t="s">
        <v>40</v>
      </c>
      <c r="G21" s="1">
        <f>VLOOKUP(C21,Sheet3!I:J,2,FALSE)</f>
        <v>201301</v>
      </c>
      <c r="H21" s="1">
        <f t="shared" si="4"/>
        <v>4</v>
      </c>
      <c r="I21" s="1">
        <f t="shared" si="0"/>
        <v>29</v>
      </c>
      <c r="J21" s="6">
        <v>18</v>
      </c>
      <c r="K21" s="1" t="str">
        <f>_xlfn.IFS(D21=1,Sheet3!$C$1,D21=2,Sheet3!$C$2,D21=3,Sheet3!$C$3,D21=4,Sheet3!$C$4,D21=5,Sheet3!$C$5)</f>
        <v>1:1|2:2|3:3|4:2|5:1</v>
      </c>
      <c r="L21" s="1">
        <v>500</v>
      </c>
      <c r="M21" s="1">
        <v>0</v>
      </c>
      <c r="N21" s="6">
        <v>18</v>
      </c>
      <c r="O21" s="1">
        <f t="shared" si="5"/>
        <v>22</v>
      </c>
      <c r="P21" s="1">
        <f t="shared" si="3"/>
        <v>15</v>
      </c>
      <c r="Q21" s="8" t="s">
        <v>41</v>
      </c>
      <c r="R21" s="1">
        <v>10</v>
      </c>
      <c r="S21" s="1">
        <v>0</v>
      </c>
    </row>
    <row r="22" ht="33" spans="1:19">
      <c r="A22" s="1">
        <v>29</v>
      </c>
      <c r="B22" s="1" t="s">
        <v>38</v>
      </c>
      <c r="C22" s="1">
        <v>201</v>
      </c>
      <c r="D22" s="1">
        <v>2</v>
      </c>
      <c r="E22" s="3" t="s">
        <v>39</v>
      </c>
      <c r="F22" s="3" t="s">
        <v>40</v>
      </c>
      <c r="G22" s="1">
        <f>VLOOKUP(C22,Sheet3!I:J,2,FALSE)</f>
        <v>201301</v>
      </c>
      <c r="H22" s="1">
        <f t="shared" si="4"/>
        <v>2</v>
      </c>
      <c r="I22" s="1">
        <f t="shared" si="0"/>
        <v>30</v>
      </c>
      <c r="J22" s="6">
        <v>19</v>
      </c>
      <c r="K22" s="1" t="str">
        <f>_xlfn.IFS(D22=1,Sheet3!$C$1,D22=2,Sheet3!$C$2,D22=3,Sheet3!$C$3,D22=4,Sheet3!$C$4,D22=5,Sheet3!$C$5)</f>
        <v>1:1|2:2|3:3|4:2|5:1</v>
      </c>
      <c r="L22" s="1">
        <v>500</v>
      </c>
      <c r="M22" s="1">
        <v>0</v>
      </c>
      <c r="N22" s="6">
        <v>19</v>
      </c>
      <c r="O22" s="1">
        <f t="shared" si="5"/>
        <v>21</v>
      </c>
      <c r="P22" s="1">
        <f t="shared" si="3"/>
        <v>15</v>
      </c>
      <c r="Q22" s="8" t="s">
        <v>41</v>
      </c>
      <c r="R22" s="1">
        <v>10</v>
      </c>
      <c r="S22" s="1">
        <v>0</v>
      </c>
    </row>
    <row r="23" ht="33" spans="1:19">
      <c r="A23" s="1">
        <v>30</v>
      </c>
      <c r="B23" s="1" t="s">
        <v>38</v>
      </c>
      <c r="C23" s="1">
        <v>301</v>
      </c>
      <c r="D23" s="1">
        <v>3</v>
      </c>
      <c r="E23" s="3" t="s">
        <v>39</v>
      </c>
      <c r="F23" s="3" t="s">
        <v>40</v>
      </c>
      <c r="G23" s="1">
        <f>VLOOKUP(C23,Sheet3!I:J,2,FALSE)</f>
        <v>301301</v>
      </c>
      <c r="H23" s="1">
        <f t="shared" si="4"/>
        <v>5</v>
      </c>
      <c r="I23" s="1">
        <f t="shared" si="0"/>
        <v>31</v>
      </c>
      <c r="J23" s="6">
        <v>20</v>
      </c>
      <c r="K23" s="1" t="str">
        <f>_xlfn.IFS(D23=1,Sheet3!$C$1,D23=2,Sheet3!$C$2,D23=3,Sheet3!$C$3,D23=4,Sheet3!$C$4,D23=5,Sheet3!$C$5)</f>
        <v>1:1|2:2|3:7|4:5|5:1</v>
      </c>
      <c r="L23" s="1">
        <v>550</v>
      </c>
      <c r="M23" s="1">
        <v>0</v>
      </c>
      <c r="N23" s="6">
        <v>20</v>
      </c>
      <c r="O23" s="1">
        <f t="shared" si="5"/>
        <v>25</v>
      </c>
      <c r="P23" s="1">
        <f t="shared" si="3"/>
        <v>15</v>
      </c>
      <c r="Q23" s="8" t="s">
        <v>41</v>
      </c>
      <c r="R23" s="1">
        <v>10</v>
      </c>
      <c r="S23" s="1">
        <v>0</v>
      </c>
    </row>
    <row r="24" ht="33" spans="1:19">
      <c r="A24" s="1">
        <v>31</v>
      </c>
      <c r="B24" s="1" t="s">
        <v>38</v>
      </c>
      <c r="C24" s="1">
        <v>201</v>
      </c>
      <c r="D24" s="1">
        <v>2</v>
      </c>
      <c r="E24" s="3" t="s">
        <v>39</v>
      </c>
      <c r="F24" s="3" t="s">
        <v>40</v>
      </c>
      <c r="G24" s="1">
        <f>VLOOKUP(C24,Sheet3!I:J,2,FALSE)</f>
        <v>201301</v>
      </c>
      <c r="H24" s="1">
        <f t="shared" si="4"/>
        <v>4</v>
      </c>
      <c r="I24" s="1">
        <f t="shared" si="0"/>
        <v>32</v>
      </c>
      <c r="J24" s="6">
        <v>21</v>
      </c>
      <c r="K24" s="1" t="str">
        <f>_xlfn.IFS(D24=1,Sheet3!$C$1,D24=2,Sheet3!$C$2,D24=3,Sheet3!$C$3,D24=4,Sheet3!$C$4,D24=5,Sheet3!$C$5)</f>
        <v>1:1|2:2|3:3|4:2|5:1</v>
      </c>
      <c r="L24" s="1">
        <v>500</v>
      </c>
      <c r="M24" s="1">
        <v>0</v>
      </c>
      <c r="N24" s="6">
        <v>21</v>
      </c>
      <c r="O24" s="1">
        <f t="shared" si="5"/>
        <v>25</v>
      </c>
      <c r="P24" s="1">
        <f t="shared" si="3"/>
        <v>15</v>
      </c>
      <c r="Q24" s="8" t="s">
        <v>41</v>
      </c>
      <c r="R24" s="1">
        <v>10</v>
      </c>
      <c r="S24" s="1">
        <v>0</v>
      </c>
    </row>
    <row r="25" ht="33" spans="1:19">
      <c r="A25" s="1">
        <v>32</v>
      </c>
      <c r="B25" s="1" t="s">
        <v>38</v>
      </c>
      <c r="C25" s="1">
        <v>201</v>
      </c>
      <c r="D25" s="1">
        <v>2</v>
      </c>
      <c r="E25" s="3" t="s">
        <v>39</v>
      </c>
      <c r="F25" s="3" t="s">
        <v>40</v>
      </c>
      <c r="G25" s="1">
        <f>VLOOKUP(C25,Sheet3!I:J,2,FALSE)</f>
        <v>201301</v>
      </c>
      <c r="H25" s="1">
        <f t="shared" si="4"/>
        <v>3</v>
      </c>
      <c r="I25" s="1">
        <f t="shared" si="0"/>
        <v>33</v>
      </c>
      <c r="J25" s="6">
        <v>22</v>
      </c>
      <c r="K25" s="1" t="str">
        <f>_xlfn.IFS(D25=1,Sheet3!$C$1,D25=2,Sheet3!$C$2,D25=3,Sheet3!$C$3,D25=4,Sheet3!$C$4,D25=5,Sheet3!$C$5)</f>
        <v>1:1|2:2|3:3|4:2|5:1</v>
      </c>
      <c r="L25" s="1">
        <v>500</v>
      </c>
      <c r="M25" s="1">
        <v>0</v>
      </c>
      <c r="N25" s="6">
        <v>22</v>
      </c>
      <c r="O25" s="1">
        <f t="shared" si="5"/>
        <v>25</v>
      </c>
      <c r="P25" s="1">
        <f t="shared" si="3"/>
        <v>15</v>
      </c>
      <c r="Q25" s="8" t="s">
        <v>41</v>
      </c>
      <c r="R25" s="1">
        <v>10</v>
      </c>
      <c r="S25" s="1">
        <v>0</v>
      </c>
    </row>
    <row r="26" ht="33" spans="1:19">
      <c r="A26" s="1">
        <v>33</v>
      </c>
      <c r="B26" s="1" t="s">
        <v>38</v>
      </c>
      <c r="C26" s="1">
        <v>301</v>
      </c>
      <c r="D26" s="1">
        <v>3</v>
      </c>
      <c r="E26" s="3" t="s">
        <v>39</v>
      </c>
      <c r="F26" s="3" t="s">
        <v>40</v>
      </c>
      <c r="G26" s="1">
        <f>VLOOKUP(C26,Sheet3!I:J,2,FALSE)</f>
        <v>301301</v>
      </c>
      <c r="H26" s="1">
        <f t="shared" si="4"/>
        <v>3</v>
      </c>
      <c r="I26" s="1">
        <f t="shared" si="0"/>
        <v>34</v>
      </c>
      <c r="J26" s="6">
        <v>23</v>
      </c>
      <c r="K26" s="1" t="str">
        <f>_xlfn.IFS(D26=1,Sheet3!$C$1,D26=2,Sheet3!$C$2,D26=3,Sheet3!$C$3,D26=4,Sheet3!$C$4,D26=5,Sheet3!$C$5)</f>
        <v>1:1|2:2|3:7|4:5|5:1</v>
      </c>
      <c r="L26" s="1">
        <v>550</v>
      </c>
      <c r="M26" s="1">
        <v>0</v>
      </c>
      <c r="N26" s="6">
        <v>23</v>
      </c>
      <c r="O26" s="1">
        <f t="shared" si="5"/>
        <v>26</v>
      </c>
      <c r="P26" s="1">
        <f t="shared" si="3"/>
        <v>15</v>
      </c>
      <c r="Q26" s="8" t="s">
        <v>41</v>
      </c>
      <c r="R26" s="1">
        <v>10</v>
      </c>
      <c r="S26" s="1">
        <v>0</v>
      </c>
    </row>
    <row r="27" ht="33" spans="1:19">
      <c r="A27" s="1">
        <v>34</v>
      </c>
      <c r="B27" s="1" t="s">
        <v>38</v>
      </c>
      <c r="C27" s="1">
        <v>301</v>
      </c>
      <c r="D27" s="1">
        <v>3</v>
      </c>
      <c r="E27" s="3" t="s">
        <v>39</v>
      </c>
      <c r="F27" s="3" t="s">
        <v>40</v>
      </c>
      <c r="G27" s="1">
        <f>VLOOKUP(C27,Sheet3!I:J,2,FALSE)</f>
        <v>301301</v>
      </c>
      <c r="H27" s="1">
        <f t="shared" si="4"/>
        <v>4</v>
      </c>
      <c r="I27" s="1">
        <f t="shared" si="0"/>
        <v>35</v>
      </c>
      <c r="J27" s="6">
        <v>24</v>
      </c>
      <c r="K27" s="1" t="str">
        <f>_xlfn.IFS(D27=1,Sheet3!$C$1,D27=2,Sheet3!$C$2,D27=3,Sheet3!$C$3,D27=4,Sheet3!$C$4,D27=5,Sheet3!$C$5)</f>
        <v>1:1|2:2|3:7|4:5|5:1</v>
      </c>
      <c r="L27" s="1">
        <v>550</v>
      </c>
      <c r="M27" s="1">
        <v>0</v>
      </c>
      <c r="N27" s="6">
        <v>24</v>
      </c>
      <c r="O27" s="1">
        <f t="shared" si="5"/>
        <v>28</v>
      </c>
      <c r="P27" s="1">
        <f t="shared" si="3"/>
        <v>15</v>
      </c>
      <c r="Q27" s="8" t="s">
        <v>41</v>
      </c>
      <c r="R27" s="1">
        <v>10</v>
      </c>
      <c r="S27" s="1">
        <v>0</v>
      </c>
    </row>
    <row r="28" ht="33" spans="1:19">
      <c r="A28" s="1">
        <v>35</v>
      </c>
      <c r="B28" s="1" t="s">
        <v>38</v>
      </c>
      <c r="C28" s="1">
        <v>401</v>
      </c>
      <c r="D28" s="1">
        <v>4</v>
      </c>
      <c r="E28" s="3" t="s">
        <v>39</v>
      </c>
      <c r="F28" s="3" t="s">
        <v>40</v>
      </c>
      <c r="G28" s="1">
        <f>VLOOKUP(C28,Sheet3!I:J,2,FALSE)</f>
        <v>401301</v>
      </c>
      <c r="H28" s="1">
        <f t="shared" si="4"/>
        <v>4</v>
      </c>
      <c r="I28" s="1">
        <f t="shared" si="0"/>
        <v>36</v>
      </c>
      <c r="J28" s="6">
        <v>25</v>
      </c>
      <c r="K28" s="1" t="str">
        <f>_xlfn.IFS(D28=1,Sheet3!$C$1,D28=2,Sheet3!$C$2,D28=3,Sheet3!$C$3,D28=4,Sheet3!$C$4,D28=5,Sheet3!$C$5)</f>
        <v>1:1|2:5|3:8|4:10|5:1</v>
      </c>
      <c r="L28" s="1">
        <v>600</v>
      </c>
      <c r="M28" s="1">
        <v>0</v>
      </c>
      <c r="N28" s="6">
        <v>25</v>
      </c>
      <c r="O28" s="1">
        <f t="shared" si="5"/>
        <v>29</v>
      </c>
      <c r="P28" s="1">
        <f t="shared" si="3"/>
        <v>15</v>
      </c>
      <c r="Q28" s="8" t="s">
        <v>41</v>
      </c>
      <c r="R28" s="1">
        <v>10</v>
      </c>
      <c r="S28" s="1">
        <v>0</v>
      </c>
    </row>
    <row r="29" ht="33" spans="1:19">
      <c r="A29" s="1">
        <v>36</v>
      </c>
      <c r="B29" s="1" t="s">
        <v>38</v>
      </c>
      <c r="C29" s="1">
        <v>301</v>
      </c>
      <c r="D29" s="1">
        <v>3</v>
      </c>
      <c r="E29" s="3" t="s">
        <v>39</v>
      </c>
      <c r="F29" s="3" t="s">
        <v>40</v>
      </c>
      <c r="G29" s="1">
        <f>VLOOKUP(C29,Sheet3!I:J,2,FALSE)</f>
        <v>301301</v>
      </c>
      <c r="H29" s="1">
        <f t="shared" si="4"/>
        <v>3</v>
      </c>
      <c r="I29" s="1">
        <f t="shared" si="0"/>
        <v>37</v>
      </c>
      <c r="J29" s="6">
        <v>26</v>
      </c>
      <c r="K29" s="1" t="str">
        <f>_xlfn.IFS(D29=1,Sheet3!$C$1,D29=2,Sheet3!$C$2,D29=3,Sheet3!$C$3,D29=4,Sheet3!$C$4,D29=5,Sheet3!$C$5)</f>
        <v>1:1|2:2|3:7|4:5|5:1</v>
      </c>
      <c r="L29" s="1">
        <v>550</v>
      </c>
      <c r="M29" s="1">
        <v>0</v>
      </c>
      <c r="N29" s="6">
        <v>26</v>
      </c>
      <c r="O29" s="1">
        <f t="shared" si="5"/>
        <v>29</v>
      </c>
      <c r="P29" s="1">
        <f t="shared" si="3"/>
        <v>15</v>
      </c>
      <c r="Q29" s="8" t="s">
        <v>41</v>
      </c>
      <c r="R29" s="1">
        <v>10</v>
      </c>
      <c r="S29" s="1">
        <v>0</v>
      </c>
    </row>
    <row r="30" ht="33" spans="1:19">
      <c r="A30" s="1">
        <v>37</v>
      </c>
      <c r="B30" s="1" t="s">
        <v>38</v>
      </c>
      <c r="C30" s="1">
        <v>301</v>
      </c>
      <c r="D30" s="1">
        <v>3</v>
      </c>
      <c r="E30" s="3" t="s">
        <v>39</v>
      </c>
      <c r="F30" s="3" t="s">
        <v>40</v>
      </c>
      <c r="G30" s="1">
        <f>VLOOKUP(C30,Sheet3!I:J,2,FALSE)</f>
        <v>301301</v>
      </c>
      <c r="H30" s="1">
        <f t="shared" si="4"/>
        <v>4</v>
      </c>
      <c r="I30" s="1">
        <f t="shared" si="0"/>
        <v>38</v>
      </c>
      <c r="J30" s="6">
        <v>27</v>
      </c>
      <c r="K30" s="1" t="str">
        <f>_xlfn.IFS(D30=1,Sheet3!$C$1,D30=2,Sheet3!$C$2,D30=3,Sheet3!$C$3,D30=4,Sheet3!$C$4,D30=5,Sheet3!$C$5)</f>
        <v>1:1|2:2|3:7|4:5|5:1</v>
      </c>
      <c r="L30" s="1">
        <v>550</v>
      </c>
      <c r="M30" s="1">
        <v>0</v>
      </c>
      <c r="N30" s="6">
        <v>27</v>
      </c>
      <c r="O30" s="1">
        <f t="shared" si="5"/>
        <v>31</v>
      </c>
      <c r="P30" s="1">
        <f t="shared" si="3"/>
        <v>15</v>
      </c>
      <c r="Q30" s="8" t="s">
        <v>41</v>
      </c>
      <c r="R30" s="1">
        <v>10</v>
      </c>
      <c r="S30" s="1">
        <v>0</v>
      </c>
    </row>
    <row r="31" ht="33" spans="1:19">
      <c r="A31" s="1">
        <v>38</v>
      </c>
      <c r="B31" s="1" t="s">
        <v>38</v>
      </c>
      <c r="C31" s="1">
        <v>301</v>
      </c>
      <c r="D31" s="1">
        <v>3</v>
      </c>
      <c r="E31" s="3" t="s">
        <v>39</v>
      </c>
      <c r="F31" s="3" t="s">
        <v>40</v>
      </c>
      <c r="G31" s="1">
        <f>VLOOKUP(C31,Sheet3!I:J,2,FALSE)</f>
        <v>301301</v>
      </c>
      <c r="H31" s="1">
        <f t="shared" si="4"/>
        <v>5</v>
      </c>
      <c r="I31" s="1">
        <f t="shared" si="0"/>
        <v>39</v>
      </c>
      <c r="J31" s="6">
        <v>28</v>
      </c>
      <c r="K31" s="1" t="str">
        <f>_xlfn.IFS(D31=1,Sheet3!$C$1,D31=2,Sheet3!$C$2,D31=3,Sheet3!$C$3,D31=4,Sheet3!$C$4,D31=5,Sheet3!$C$5)</f>
        <v>1:1|2:2|3:7|4:5|5:1</v>
      </c>
      <c r="L31" s="1">
        <v>550</v>
      </c>
      <c r="M31" s="1">
        <v>0</v>
      </c>
      <c r="N31" s="6">
        <v>28</v>
      </c>
      <c r="O31" s="1">
        <v>55</v>
      </c>
      <c r="P31" s="1">
        <f t="shared" si="3"/>
        <v>15</v>
      </c>
      <c r="Q31" s="8" t="s">
        <v>41</v>
      </c>
      <c r="R31" s="1">
        <v>10</v>
      </c>
      <c r="S31" s="1">
        <v>0</v>
      </c>
    </row>
    <row r="32" ht="33" spans="1:19">
      <c r="A32" s="1">
        <v>39</v>
      </c>
      <c r="B32" s="1" t="s">
        <v>38</v>
      </c>
      <c r="C32" s="1">
        <v>301</v>
      </c>
      <c r="D32" s="1">
        <v>3</v>
      </c>
      <c r="E32" s="3" t="s">
        <v>39</v>
      </c>
      <c r="F32" s="3" t="s">
        <v>40</v>
      </c>
      <c r="G32" s="1">
        <f>VLOOKUP(C32,Sheet3!I:J,2,FALSE)</f>
        <v>301301</v>
      </c>
      <c r="H32" s="1">
        <f t="shared" si="4"/>
        <v>3</v>
      </c>
      <c r="I32" s="1">
        <f t="shared" si="0"/>
        <v>40</v>
      </c>
      <c r="J32" s="6">
        <v>29</v>
      </c>
      <c r="K32" s="1" t="str">
        <f>_xlfn.IFS(D32=1,Sheet3!$C$1,D32=2,Sheet3!$C$2,D32=3,Sheet3!$C$3,D32=4,Sheet3!$C$4,D32=5,Sheet3!$C$5)</f>
        <v>1:1|2:2|3:7|4:5|5:1</v>
      </c>
      <c r="L32" s="1">
        <v>550</v>
      </c>
      <c r="M32" s="1">
        <v>0</v>
      </c>
      <c r="N32" s="6">
        <v>29</v>
      </c>
      <c r="O32" s="1">
        <v>60</v>
      </c>
      <c r="P32" s="1">
        <f t="shared" si="3"/>
        <v>15</v>
      </c>
      <c r="Q32" s="8" t="s">
        <v>41</v>
      </c>
      <c r="R32" s="1">
        <v>10</v>
      </c>
      <c r="S32" s="1">
        <v>0</v>
      </c>
    </row>
    <row r="33" ht="33" spans="1:19">
      <c r="A33" s="1">
        <v>40</v>
      </c>
      <c r="B33" s="1" t="s">
        <v>38</v>
      </c>
      <c r="C33" s="1">
        <v>401</v>
      </c>
      <c r="D33" s="1">
        <v>4</v>
      </c>
      <c r="E33" s="3" t="s">
        <v>39</v>
      </c>
      <c r="F33" s="3" t="s">
        <v>40</v>
      </c>
      <c r="G33" s="1">
        <f>VLOOKUP(C33,Sheet3!I:J,2,FALSE)</f>
        <v>401301</v>
      </c>
      <c r="H33" s="1">
        <f t="shared" si="4"/>
        <v>6</v>
      </c>
      <c r="I33" s="1">
        <f t="shared" si="0"/>
        <v>41</v>
      </c>
      <c r="J33" s="6">
        <v>30</v>
      </c>
      <c r="K33" s="1" t="str">
        <f>_xlfn.IFS(D33=1,Sheet3!$C$1,D33=2,Sheet3!$C$2,D33=3,Sheet3!$C$3,D33=4,Sheet3!$C$4,D33=5,Sheet3!$C$5)</f>
        <v>1:1|2:5|3:8|4:10|5:1</v>
      </c>
      <c r="L33" s="1">
        <v>600</v>
      </c>
      <c r="M33" s="1">
        <v>0</v>
      </c>
      <c r="N33" s="6">
        <v>30</v>
      </c>
      <c r="O33" s="1">
        <v>70</v>
      </c>
      <c r="P33" s="1">
        <f t="shared" si="3"/>
        <v>15</v>
      </c>
      <c r="Q33" s="8" t="s">
        <v>41</v>
      </c>
      <c r="R33" s="1">
        <v>10</v>
      </c>
      <c r="S33" s="1">
        <v>0</v>
      </c>
    </row>
    <row r="34" ht="33" spans="1:19">
      <c r="A34" s="1">
        <v>41</v>
      </c>
      <c r="B34" s="1" t="s">
        <v>38</v>
      </c>
      <c r="C34" s="1">
        <v>201</v>
      </c>
      <c r="D34" s="1">
        <v>2</v>
      </c>
      <c r="E34" s="3" t="s">
        <v>39</v>
      </c>
      <c r="F34" s="3" t="s">
        <v>40</v>
      </c>
      <c r="G34" s="1">
        <f>VLOOKUP(C34,Sheet3!I:J,2,FALSE)</f>
        <v>201301</v>
      </c>
      <c r="H34" s="1">
        <f t="shared" si="4"/>
        <v>5</v>
      </c>
      <c r="I34" s="1">
        <f t="shared" si="0"/>
        <v>42</v>
      </c>
      <c r="J34" s="6">
        <v>31</v>
      </c>
      <c r="K34" s="1" t="str">
        <f>_xlfn.IFS(D34=1,Sheet3!$C$1,D34=2,Sheet3!$C$2,D34=3,Sheet3!$C$3,D34=4,Sheet3!$C$4,D34=5,Sheet3!$C$5)</f>
        <v>1:1|2:2|3:3|4:2|5:1</v>
      </c>
      <c r="L34" s="1">
        <v>500</v>
      </c>
      <c r="M34" s="1">
        <v>0</v>
      </c>
      <c r="N34" s="6">
        <v>31</v>
      </c>
      <c r="O34" s="1">
        <f t="shared" ref="O31:O53" si="6">H34+J34</f>
        <v>36</v>
      </c>
      <c r="P34" s="1">
        <f t="shared" si="3"/>
        <v>15</v>
      </c>
      <c r="Q34" s="8" t="s">
        <v>41</v>
      </c>
      <c r="R34" s="1">
        <v>10</v>
      </c>
      <c r="S34" s="1">
        <v>0</v>
      </c>
    </row>
    <row r="35" ht="33" spans="1:19">
      <c r="A35" s="1">
        <v>42</v>
      </c>
      <c r="B35" s="1" t="s">
        <v>38</v>
      </c>
      <c r="C35" s="1">
        <v>201</v>
      </c>
      <c r="D35" s="1">
        <v>2</v>
      </c>
      <c r="E35" s="3" t="s">
        <v>39</v>
      </c>
      <c r="F35" s="3" t="s">
        <v>40</v>
      </c>
      <c r="G35" s="1">
        <f>VLOOKUP(C35,Sheet3!I:J,2,FALSE)</f>
        <v>201301</v>
      </c>
      <c r="H35" s="1">
        <f t="shared" si="4"/>
        <v>4</v>
      </c>
      <c r="I35" s="1">
        <f t="shared" si="0"/>
        <v>43</v>
      </c>
      <c r="J35" s="6">
        <v>32</v>
      </c>
      <c r="K35" s="1" t="str">
        <f>_xlfn.IFS(D35=1,Sheet3!$C$1,D35=2,Sheet3!$C$2,D35=3,Sheet3!$C$3,D35=4,Sheet3!$C$4,D35=5,Sheet3!$C$5)</f>
        <v>1:1|2:2|3:3|4:2|5:1</v>
      </c>
      <c r="L35" s="1">
        <v>500</v>
      </c>
      <c r="M35" s="1">
        <v>0</v>
      </c>
      <c r="N35" s="6">
        <v>32</v>
      </c>
      <c r="O35" s="1">
        <f t="shared" si="6"/>
        <v>36</v>
      </c>
      <c r="P35" s="1">
        <f t="shared" si="3"/>
        <v>15</v>
      </c>
      <c r="Q35" s="8" t="s">
        <v>41</v>
      </c>
      <c r="R35" s="1">
        <v>10</v>
      </c>
      <c r="S35" s="1">
        <v>0</v>
      </c>
    </row>
    <row r="36" ht="33" spans="1:19">
      <c r="A36" s="1">
        <v>43</v>
      </c>
      <c r="B36" s="1" t="s">
        <v>38</v>
      </c>
      <c r="C36" s="1">
        <v>301</v>
      </c>
      <c r="D36" s="1">
        <v>3</v>
      </c>
      <c r="E36" s="3" t="s">
        <v>39</v>
      </c>
      <c r="F36" s="3" t="s">
        <v>40</v>
      </c>
      <c r="G36" s="1">
        <f>VLOOKUP(C36,Sheet3!I:J,2,FALSE)</f>
        <v>301301</v>
      </c>
      <c r="H36" s="1">
        <f t="shared" si="4"/>
        <v>4</v>
      </c>
      <c r="I36" s="1">
        <f t="shared" si="0"/>
        <v>44</v>
      </c>
      <c r="J36" s="6">
        <v>33</v>
      </c>
      <c r="K36" s="1" t="str">
        <f>_xlfn.IFS(D36=1,Sheet3!$C$1,D36=2,Sheet3!$C$2,D36=3,Sheet3!$C$3,D36=4,Sheet3!$C$4,D36=5,Sheet3!$C$5)</f>
        <v>1:1|2:2|3:7|4:5|5:1</v>
      </c>
      <c r="L36" s="1">
        <v>550</v>
      </c>
      <c r="M36" s="1">
        <v>0</v>
      </c>
      <c r="N36" s="6">
        <v>33</v>
      </c>
      <c r="O36" s="1">
        <f t="shared" si="6"/>
        <v>37</v>
      </c>
      <c r="P36" s="1">
        <f t="shared" si="3"/>
        <v>15</v>
      </c>
      <c r="Q36" s="8" t="s">
        <v>41</v>
      </c>
      <c r="R36" s="1">
        <v>10</v>
      </c>
      <c r="S36" s="1">
        <v>0</v>
      </c>
    </row>
    <row r="37" ht="33" spans="1:19">
      <c r="A37" s="1">
        <v>44</v>
      </c>
      <c r="B37" s="1" t="s">
        <v>38</v>
      </c>
      <c r="C37" s="1">
        <v>301</v>
      </c>
      <c r="D37" s="1">
        <v>3</v>
      </c>
      <c r="E37" s="3" t="s">
        <v>39</v>
      </c>
      <c r="F37" s="3" t="s">
        <v>40</v>
      </c>
      <c r="G37" s="1">
        <f>VLOOKUP(C37,Sheet3!I:J,2,FALSE)</f>
        <v>301301</v>
      </c>
      <c r="H37" s="1">
        <f t="shared" si="4"/>
        <v>5</v>
      </c>
      <c r="I37" s="1">
        <f t="shared" si="0"/>
        <v>45</v>
      </c>
      <c r="J37" s="6">
        <v>34</v>
      </c>
      <c r="K37" s="1" t="str">
        <f>_xlfn.IFS(D37=1,Sheet3!$C$1,D37=2,Sheet3!$C$2,D37=3,Sheet3!$C$3,D37=4,Sheet3!$C$4,D37=5,Sheet3!$C$5)</f>
        <v>1:1|2:2|3:7|4:5|5:1</v>
      </c>
      <c r="L37" s="1">
        <v>550</v>
      </c>
      <c r="M37" s="1">
        <v>0</v>
      </c>
      <c r="N37" s="6">
        <v>34</v>
      </c>
      <c r="O37" s="1">
        <f t="shared" si="6"/>
        <v>39</v>
      </c>
      <c r="P37" s="1">
        <f t="shared" si="3"/>
        <v>15</v>
      </c>
      <c r="Q37" s="8" t="s">
        <v>41</v>
      </c>
      <c r="R37" s="1">
        <v>10</v>
      </c>
      <c r="S37" s="1">
        <v>0</v>
      </c>
    </row>
    <row r="38" ht="33" spans="1:19">
      <c r="A38" s="1">
        <v>45</v>
      </c>
      <c r="B38" s="1" t="s">
        <v>38</v>
      </c>
      <c r="C38" s="1">
        <v>401</v>
      </c>
      <c r="D38" s="1">
        <v>4</v>
      </c>
      <c r="E38" s="3" t="s">
        <v>39</v>
      </c>
      <c r="F38" s="3" t="s">
        <v>40</v>
      </c>
      <c r="G38" s="1">
        <f>VLOOKUP(C38,Sheet3!I:J,2,FALSE)</f>
        <v>401301</v>
      </c>
      <c r="H38" s="1">
        <f t="shared" si="4"/>
        <v>5</v>
      </c>
      <c r="I38" s="1">
        <f t="shared" si="0"/>
        <v>46</v>
      </c>
      <c r="J38" s="6">
        <v>35</v>
      </c>
      <c r="K38" s="1" t="str">
        <f>_xlfn.IFS(D38=1,Sheet3!$C$1,D38=2,Sheet3!$C$2,D38=3,Sheet3!$C$3,D38=4,Sheet3!$C$4,D38=5,Sheet3!$C$5)</f>
        <v>1:1|2:5|3:8|4:10|5:1</v>
      </c>
      <c r="L38" s="1">
        <v>600</v>
      </c>
      <c r="M38" s="1">
        <v>0</v>
      </c>
      <c r="N38" s="6">
        <v>35</v>
      </c>
      <c r="O38" s="1">
        <f t="shared" si="6"/>
        <v>40</v>
      </c>
      <c r="P38" s="1">
        <f t="shared" si="3"/>
        <v>15</v>
      </c>
      <c r="Q38" s="8" t="s">
        <v>41</v>
      </c>
      <c r="R38" s="1">
        <v>10</v>
      </c>
      <c r="S38" s="1">
        <v>0</v>
      </c>
    </row>
    <row r="39" ht="33" spans="1:19">
      <c r="A39" s="1">
        <v>46</v>
      </c>
      <c r="B39" s="1" t="s">
        <v>38</v>
      </c>
      <c r="C39" s="1">
        <v>401</v>
      </c>
      <c r="D39" s="1">
        <v>4</v>
      </c>
      <c r="E39" s="3" t="s">
        <v>39</v>
      </c>
      <c r="F39" s="3" t="s">
        <v>40</v>
      </c>
      <c r="G39" s="1">
        <f>VLOOKUP(C39,Sheet3!I:J,2,FALSE)</f>
        <v>401301</v>
      </c>
      <c r="H39" s="1">
        <f t="shared" si="4"/>
        <v>4</v>
      </c>
      <c r="I39" s="1">
        <f t="shared" si="0"/>
        <v>47</v>
      </c>
      <c r="J39" s="6">
        <v>36</v>
      </c>
      <c r="K39" s="1" t="str">
        <f>_xlfn.IFS(D39=1,Sheet3!$C$1,D39=2,Sheet3!$C$2,D39=3,Sheet3!$C$3,D39=4,Sheet3!$C$4,D39=5,Sheet3!$C$5)</f>
        <v>1:1|2:5|3:8|4:10|5:1</v>
      </c>
      <c r="L39" s="1">
        <v>600</v>
      </c>
      <c r="M39" s="1">
        <v>0</v>
      </c>
      <c r="N39" s="6">
        <v>36</v>
      </c>
      <c r="O39" s="1">
        <f t="shared" si="6"/>
        <v>40</v>
      </c>
      <c r="P39" s="1">
        <f t="shared" si="3"/>
        <v>15</v>
      </c>
      <c r="Q39" s="8" t="s">
        <v>41</v>
      </c>
      <c r="R39" s="1">
        <v>10</v>
      </c>
      <c r="S39" s="1">
        <v>0</v>
      </c>
    </row>
    <row r="40" ht="33" spans="1:19">
      <c r="A40" s="1">
        <v>47</v>
      </c>
      <c r="B40" s="1" t="s">
        <v>38</v>
      </c>
      <c r="C40" s="1">
        <v>301</v>
      </c>
      <c r="D40" s="1">
        <v>3</v>
      </c>
      <c r="E40" s="3" t="s">
        <v>39</v>
      </c>
      <c r="F40" s="3" t="s">
        <v>40</v>
      </c>
      <c r="G40" s="1">
        <f>VLOOKUP(C40,Sheet3!I:J,2,FALSE)</f>
        <v>301301</v>
      </c>
      <c r="H40" s="1">
        <f t="shared" si="4"/>
        <v>5</v>
      </c>
      <c r="I40" s="1">
        <f t="shared" si="0"/>
        <v>48</v>
      </c>
      <c r="J40" s="6">
        <v>37</v>
      </c>
      <c r="K40" s="1" t="str">
        <f>_xlfn.IFS(D40=1,Sheet3!$C$1,D40=2,Sheet3!$C$2,D40=3,Sheet3!$C$3,D40=4,Sheet3!$C$4,D40=5,Sheet3!$C$5)</f>
        <v>1:1|2:2|3:7|4:5|5:1</v>
      </c>
      <c r="L40" s="1">
        <v>550</v>
      </c>
      <c r="M40" s="1">
        <v>0</v>
      </c>
      <c r="N40" s="6">
        <v>37</v>
      </c>
      <c r="O40" s="1">
        <f t="shared" si="6"/>
        <v>42</v>
      </c>
      <c r="P40" s="1">
        <f t="shared" si="3"/>
        <v>15</v>
      </c>
      <c r="Q40" s="8" t="s">
        <v>41</v>
      </c>
      <c r="R40" s="1">
        <v>10</v>
      </c>
      <c r="S40" s="1">
        <v>0</v>
      </c>
    </row>
    <row r="41" ht="33" spans="1:19">
      <c r="A41" s="1">
        <v>48</v>
      </c>
      <c r="B41" s="1" t="s">
        <v>38</v>
      </c>
      <c r="C41" s="1">
        <v>401</v>
      </c>
      <c r="D41" s="1">
        <v>4</v>
      </c>
      <c r="E41" s="3" t="s">
        <v>39</v>
      </c>
      <c r="F41" s="3" t="s">
        <v>40</v>
      </c>
      <c r="G41" s="1">
        <f>VLOOKUP(C41,Sheet3!I:J,2,FALSE)</f>
        <v>401301</v>
      </c>
      <c r="H41" s="1">
        <f t="shared" si="4"/>
        <v>6</v>
      </c>
      <c r="I41" s="1">
        <f t="shared" si="0"/>
        <v>49</v>
      </c>
      <c r="J41" s="6">
        <v>38</v>
      </c>
      <c r="K41" s="1" t="str">
        <f>_xlfn.IFS(D41=1,Sheet3!$C$1,D41=2,Sheet3!$C$2,D41=3,Sheet3!$C$3,D41=4,Sheet3!$C$4,D41=5,Sheet3!$C$5)</f>
        <v>1:1|2:5|3:8|4:10|5:1</v>
      </c>
      <c r="L41" s="1">
        <v>600</v>
      </c>
      <c r="M41" s="1">
        <v>0</v>
      </c>
      <c r="N41" s="6">
        <v>38</v>
      </c>
      <c r="O41" s="1">
        <f t="shared" si="6"/>
        <v>44</v>
      </c>
      <c r="P41" s="1">
        <f t="shared" si="3"/>
        <v>15</v>
      </c>
      <c r="Q41" s="8" t="s">
        <v>41</v>
      </c>
      <c r="R41" s="1">
        <v>10</v>
      </c>
      <c r="S41" s="1">
        <v>0</v>
      </c>
    </row>
    <row r="42" ht="33" spans="1:19">
      <c r="A42" s="1">
        <v>49</v>
      </c>
      <c r="B42" s="1" t="s">
        <v>38</v>
      </c>
      <c r="C42" s="1">
        <v>401</v>
      </c>
      <c r="D42" s="1">
        <v>4</v>
      </c>
      <c r="E42" s="3" t="s">
        <v>39</v>
      </c>
      <c r="F42" s="3" t="s">
        <v>40</v>
      </c>
      <c r="G42" s="1">
        <f>VLOOKUP(C42,Sheet3!I:J,2,FALSE)</f>
        <v>401301</v>
      </c>
      <c r="H42" s="1">
        <f t="shared" si="4"/>
        <v>4</v>
      </c>
      <c r="I42" s="1">
        <f t="shared" si="0"/>
        <v>50</v>
      </c>
      <c r="J42" s="6">
        <v>39</v>
      </c>
      <c r="K42" s="1" t="str">
        <f>_xlfn.IFS(D42=1,Sheet3!$C$1,D42=2,Sheet3!$C$2,D42=3,Sheet3!$C$3,D42=4,Sheet3!$C$4,D42=5,Sheet3!$C$5)</f>
        <v>1:1|2:5|3:8|4:10|5:1</v>
      </c>
      <c r="L42" s="1">
        <v>600</v>
      </c>
      <c r="M42" s="1">
        <v>0</v>
      </c>
      <c r="N42" s="6">
        <v>39</v>
      </c>
      <c r="O42" s="1">
        <f t="shared" si="6"/>
        <v>43</v>
      </c>
      <c r="P42" s="1">
        <f t="shared" si="3"/>
        <v>15</v>
      </c>
      <c r="Q42" s="8" t="s">
        <v>41</v>
      </c>
      <c r="R42" s="1">
        <v>10</v>
      </c>
      <c r="S42" s="1">
        <v>0</v>
      </c>
    </row>
    <row r="43" ht="33" spans="1:19">
      <c r="A43" s="1">
        <v>50</v>
      </c>
      <c r="B43" s="1" t="s">
        <v>38</v>
      </c>
      <c r="C43" s="1">
        <v>501</v>
      </c>
      <c r="D43" s="1">
        <v>5</v>
      </c>
      <c r="E43" s="3" t="s">
        <v>39</v>
      </c>
      <c r="F43" s="3" t="s">
        <v>40</v>
      </c>
      <c r="G43" s="1">
        <f>VLOOKUP(C43,Sheet3!I:J,2,FALSE)</f>
        <v>501301</v>
      </c>
      <c r="H43" s="1">
        <f t="shared" si="4"/>
        <v>7</v>
      </c>
      <c r="I43" s="1">
        <f t="shared" si="0"/>
        <v>51</v>
      </c>
      <c r="J43" s="6">
        <v>40</v>
      </c>
      <c r="K43" s="1" t="str">
        <f>_xlfn.IFS(D43=1,Sheet3!$C$1,D43=2,Sheet3!$C$2,D43=3,Sheet3!$C$3,D43=4,Sheet3!$C$4,D43=5,Sheet3!$C$5)</f>
        <v>1:1|2:6|3:12|4:16|5:1</v>
      </c>
      <c r="L43" s="1">
        <v>650</v>
      </c>
      <c r="M43" s="1">
        <v>0</v>
      </c>
      <c r="N43" s="6">
        <v>40</v>
      </c>
      <c r="O43" s="1">
        <f t="shared" si="6"/>
        <v>47</v>
      </c>
      <c r="P43" s="1">
        <f t="shared" si="3"/>
        <v>15</v>
      </c>
      <c r="Q43" s="8" t="s">
        <v>41</v>
      </c>
      <c r="R43" s="1">
        <v>10</v>
      </c>
      <c r="S43" s="1">
        <v>0</v>
      </c>
    </row>
    <row r="44" ht="33" spans="1:19">
      <c r="A44" s="1">
        <v>51</v>
      </c>
      <c r="B44" s="1" t="s">
        <v>38</v>
      </c>
      <c r="C44" s="1">
        <v>201</v>
      </c>
      <c r="D44" s="1">
        <v>2</v>
      </c>
      <c r="E44" s="3" t="s">
        <v>39</v>
      </c>
      <c r="F44" s="3" t="s">
        <v>40</v>
      </c>
      <c r="G44" s="1">
        <f>VLOOKUP(C44,Sheet3!I:J,2,FALSE)</f>
        <v>201301</v>
      </c>
      <c r="H44" s="1">
        <f t="shared" si="4"/>
        <v>6</v>
      </c>
      <c r="I44" s="1">
        <f t="shared" si="0"/>
        <v>52</v>
      </c>
      <c r="J44" s="6">
        <v>41</v>
      </c>
      <c r="K44" s="1" t="str">
        <f>_xlfn.IFS(D44=1,Sheet3!$C$1,D44=2,Sheet3!$C$2,D44=3,Sheet3!$C$3,D44=4,Sheet3!$C$4,D44=5,Sheet3!$C$5)</f>
        <v>1:1|2:2|3:3|4:2|5:1</v>
      </c>
      <c r="L44" s="1">
        <v>500</v>
      </c>
      <c r="M44" s="1">
        <v>0</v>
      </c>
      <c r="N44" s="6">
        <v>41</v>
      </c>
      <c r="O44" s="1">
        <f t="shared" si="6"/>
        <v>47</v>
      </c>
      <c r="P44" s="1">
        <f t="shared" si="3"/>
        <v>15</v>
      </c>
      <c r="Q44" s="8" t="s">
        <v>41</v>
      </c>
      <c r="R44" s="1">
        <v>10</v>
      </c>
      <c r="S44" s="1">
        <v>0</v>
      </c>
    </row>
    <row r="45" ht="33" spans="1:19">
      <c r="A45" s="1">
        <v>52</v>
      </c>
      <c r="B45" s="1" t="s">
        <v>38</v>
      </c>
      <c r="C45" s="1">
        <v>201</v>
      </c>
      <c r="D45" s="1">
        <v>2</v>
      </c>
      <c r="E45" s="3" t="s">
        <v>39</v>
      </c>
      <c r="F45" s="3" t="s">
        <v>40</v>
      </c>
      <c r="G45" s="1">
        <f>VLOOKUP(C45,Sheet3!I:J,2,FALSE)</f>
        <v>201301</v>
      </c>
      <c r="H45" s="1">
        <f t="shared" si="4"/>
        <v>5</v>
      </c>
      <c r="I45" s="1">
        <f t="shared" si="0"/>
        <v>53</v>
      </c>
      <c r="J45" s="6">
        <v>42</v>
      </c>
      <c r="K45" s="1" t="str">
        <f>_xlfn.IFS(D45=1,Sheet3!$C$1,D45=2,Sheet3!$C$2,D45=3,Sheet3!$C$3,D45=4,Sheet3!$C$4,D45=5,Sheet3!$C$5)</f>
        <v>1:1|2:2|3:3|4:2|5:1</v>
      </c>
      <c r="L45" s="1">
        <v>500</v>
      </c>
      <c r="M45" s="1">
        <v>0</v>
      </c>
      <c r="N45" s="6">
        <v>42</v>
      </c>
      <c r="O45" s="1">
        <f t="shared" si="6"/>
        <v>47</v>
      </c>
      <c r="P45" s="1">
        <f t="shared" si="3"/>
        <v>15</v>
      </c>
      <c r="Q45" s="8" t="s">
        <v>41</v>
      </c>
      <c r="R45" s="1">
        <v>10</v>
      </c>
      <c r="S45" s="1">
        <v>0</v>
      </c>
    </row>
    <row r="46" ht="33" spans="1:19">
      <c r="A46" s="1">
        <v>53</v>
      </c>
      <c r="B46" s="1" t="s">
        <v>38</v>
      </c>
      <c r="C46" s="1">
        <v>301</v>
      </c>
      <c r="D46" s="1">
        <v>3</v>
      </c>
      <c r="E46" s="3" t="s">
        <v>39</v>
      </c>
      <c r="F46" s="3" t="s">
        <v>40</v>
      </c>
      <c r="G46" s="1">
        <f>VLOOKUP(C46,Sheet3!I:J,2,FALSE)</f>
        <v>301301</v>
      </c>
      <c r="H46" s="1">
        <f t="shared" si="4"/>
        <v>5</v>
      </c>
      <c r="I46" s="1">
        <f t="shared" si="0"/>
        <v>54</v>
      </c>
      <c r="J46" s="6">
        <v>43</v>
      </c>
      <c r="K46" s="1" t="str">
        <f>_xlfn.IFS(D46=1,Sheet3!$C$1,D46=2,Sheet3!$C$2,D46=3,Sheet3!$C$3,D46=4,Sheet3!$C$4,D46=5,Sheet3!$C$5)</f>
        <v>1:1|2:2|3:7|4:5|5:1</v>
      </c>
      <c r="L46" s="1">
        <v>550</v>
      </c>
      <c r="M46" s="1">
        <v>0</v>
      </c>
      <c r="N46" s="6">
        <v>43</v>
      </c>
      <c r="O46" s="1">
        <f t="shared" si="6"/>
        <v>48</v>
      </c>
      <c r="P46" s="1">
        <f t="shared" si="3"/>
        <v>15</v>
      </c>
      <c r="Q46" s="8" t="s">
        <v>41</v>
      </c>
      <c r="R46" s="1">
        <v>10</v>
      </c>
      <c r="S46" s="1">
        <v>0</v>
      </c>
    </row>
    <row r="47" ht="33" spans="1:19">
      <c r="A47" s="1">
        <v>54</v>
      </c>
      <c r="B47" s="1" t="s">
        <v>38</v>
      </c>
      <c r="C47" s="1">
        <v>301</v>
      </c>
      <c r="D47" s="1">
        <v>3</v>
      </c>
      <c r="E47" s="3" t="s">
        <v>39</v>
      </c>
      <c r="F47" s="3" t="s">
        <v>40</v>
      </c>
      <c r="G47" s="1">
        <f>VLOOKUP(C47,Sheet3!I:J,2,FALSE)</f>
        <v>301301</v>
      </c>
      <c r="H47" s="1">
        <f t="shared" si="4"/>
        <v>6</v>
      </c>
      <c r="I47" s="1">
        <f t="shared" si="0"/>
        <v>55</v>
      </c>
      <c r="J47" s="6">
        <v>44</v>
      </c>
      <c r="K47" s="1" t="str">
        <f>_xlfn.IFS(D47=1,Sheet3!$C$1,D47=2,Sheet3!$C$2,D47=3,Sheet3!$C$3,D47=4,Sheet3!$C$4,D47=5,Sheet3!$C$5)</f>
        <v>1:1|2:2|3:7|4:5|5:1</v>
      </c>
      <c r="L47" s="1">
        <v>550</v>
      </c>
      <c r="M47" s="1">
        <v>0</v>
      </c>
      <c r="N47" s="6">
        <v>44</v>
      </c>
      <c r="O47" s="1">
        <f t="shared" si="6"/>
        <v>50</v>
      </c>
      <c r="P47" s="1">
        <f t="shared" si="3"/>
        <v>15</v>
      </c>
      <c r="Q47" s="8" t="s">
        <v>41</v>
      </c>
      <c r="R47" s="1">
        <v>10</v>
      </c>
      <c r="S47" s="1">
        <v>0</v>
      </c>
    </row>
    <row r="48" ht="33" spans="1:19">
      <c r="A48" s="1">
        <v>55</v>
      </c>
      <c r="B48" s="1" t="s">
        <v>38</v>
      </c>
      <c r="C48" s="1">
        <v>401</v>
      </c>
      <c r="D48" s="1">
        <v>4</v>
      </c>
      <c r="E48" s="3" t="s">
        <v>39</v>
      </c>
      <c r="F48" s="3" t="s">
        <v>40</v>
      </c>
      <c r="G48" s="1">
        <f>VLOOKUP(C48,Sheet3!I:J,2,FALSE)</f>
        <v>401301</v>
      </c>
      <c r="H48" s="1">
        <f t="shared" si="4"/>
        <v>6</v>
      </c>
      <c r="I48" s="1">
        <f t="shared" si="0"/>
        <v>56</v>
      </c>
      <c r="J48" s="6">
        <v>45</v>
      </c>
      <c r="K48" s="1" t="str">
        <f>_xlfn.IFS(D48=1,Sheet3!$C$1,D48=2,Sheet3!$C$2,D48=3,Sheet3!$C$3,D48=4,Sheet3!$C$4,D48=5,Sheet3!$C$5)</f>
        <v>1:1|2:5|3:8|4:10|5:1</v>
      </c>
      <c r="L48" s="1">
        <v>600</v>
      </c>
      <c r="M48" s="1">
        <v>0</v>
      </c>
      <c r="N48" s="6">
        <v>45</v>
      </c>
      <c r="O48" s="1">
        <f t="shared" si="6"/>
        <v>51</v>
      </c>
      <c r="P48" s="1">
        <f t="shared" si="3"/>
        <v>15</v>
      </c>
      <c r="Q48" s="8" t="s">
        <v>41</v>
      </c>
      <c r="R48" s="1">
        <v>10</v>
      </c>
      <c r="S48" s="1">
        <v>0</v>
      </c>
    </row>
    <row r="49" ht="33" spans="1:19">
      <c r="A49" s="1">
        <v>56</v>
      </c>
      <c r="B49" s="1" t="s">
        <v>38</v>
      </c>
      <c r="C49" s="1">
        <v>401</v>
      </c>
      <c r="D49" s="1">
        <v>4</v>
      </c>
      <c r="E49" s="3" t="s">
        <v>39</v>
      </c>
      <c r="F49" s="3" t="s">
        <v>40</v>
      </c>
      <c r="G49" s="1">
        <f>VLOOKUP(C49,Sheet3!I:J,2,FALSE)</f>
        <v>401301</v>
      </c>
      <c r="H49" s="1">
        <f t="shared" si="4"/>
        <v>5</v>
      </c>
      <c r="I49" s="1">
        <f t="shared" si="0"/>
        <v>57</v>
      </c>
      <c r="J49" s="6">
        <v>46</v>
      </c>
      <c r="K49" s="1" t="str">
        <f>_xlfn.IFS(D49=1,Sheet3!$C$1,D49=2,Sheet3!$C$2,D49=3,Sheet3!$C$3,D49=4,Sheet3!$C$4,D49=5,Sheet3!$C$5)</f>
        <v>1:1|2:5|3:8|4:10|5:1</v>
      </c>
      <c r="L49" s="1">
        <v>600</v>
      </c>
      <c r="M49" s="1">
        <v>0</v>
      </c>
      <c r="N49" s="6">
        <v>46</v>
      </c>
      <c r="O49" s="1">
        <f t="shared" si="6"/>
        <v>51</v>
      </c>
      <c r="P49" s="1">
        <f t="shared" si="3"/>
        <v>15</v>
      </c>
      <c r="Q49" s="8" t="s">
        <v>41</v>
      </c>
      <c r="R49" s="1">
        <v>10</v>
      </c>
      <c r="S49" s="1">
        <v>0</v>
      </c>
    </row>
    <row r="50" ht="33" spans="1:19">
      <c r="A50" s="1">
        <v>57</v>
      </c>
      <c r="B50" s="1" t="s">
        <v>38</v>
      </c>
      <c r="C50" s="1">
        <v>301</v>
      </c>
      <c r="D50" s="1">
        <v>3</v>
      </c>
      <c r="E50" s="3" t="s">
        <v>39</v>
      </c>
      <c r="F50" s="3" t="s">
        <v>40</v>
      </c>
      <c r="G50" s="1">
        <f>VLOOKUP(C50,Sheet3!I:J,2,FALSE)</f>
        <v>301301</v>
      </c>
      <c r="H50" s="1">
        <f t="shared" si="4"/>
        <v>6</v>
      </c>
      <c r="I50" s="1">
        <f t="shared" si="0"/>
        <v>58</v>
      </c>
      <c r="J50" s="6">
        <v>47</v>
      </c>
      <c r="K50" s="1" t="str">
        <f>_xlfn.IFS(D50=1,Sheet3!$C$1,D50=2,Sheet3!$C$2,D50=3,Sheet3!$C$3,D50=4,Sheet3!$C$4,D50=5,Sheet3!$C$5)</f>
        <v>1:1|2:2|3:7|4:5|5:1</v>
      </c>
      <c r="L50" s="1">
        <v>550</v>
      </c>
      <c r="M50" s="1">
        <v>0</v>
      </c>
      <c r="N50" s="6">
        <v>47</v>
      </c>
      <c r="O50" s="1">
        <f t="shared" si="6"/>
        <v>53</v>
      </c>
      <c r="P50" s="1">
        <f t="shared" si="3"/>
        <v>15</v>
      </c>
      <c r="Q50" s="8" t="s">
        <v>41</v>
      </c>
      <c r="R50" s="1">
        <v>10</v>
      </c>
      <c r="S50" s="1">
        <v>0</v>
      </c>
    </row>
    <row r="51" ht="33" spans="1:19">
      <c r="A51" s="1">
        <v>58</v>
      </c>
      <c r="B51" s="1" t="s">
        <v>38</v>
      </c>
      <c r="C51" s="1">
        <v>401</v>
      </c>
      <c r="D51" s="1">
        <v>4</v>
      </c>
      <c r="E51" s="3" t="s">
        <v>39</v>
      </c>
      <c r="F51" s="3" t="s">
        <v>40</v>
      </c>
      <c r="G51" s="1">
        <f>VLOOKUP(C51,Sheet3!I:J,2,FALSE)</f>
        <v>401301</v>
      </c>
      <c r="H51" s="1">
        <f t="shared" si="4"/>
        <v>7</v>
      </c>
      <c r="I51" s="1">
        <f t="shared" si="0"/>
        <v>59</v>
      </c>
      <c r="J51" s="6">
        <v>48</v>
      </c>
      <c r="K51" s="1" t="str">
        <f>_xlfn.IFS(D51=1,Sheet3!$C$1,D51=2,Sheet3!$C$2,D51=3,Sheet3!$C$3,D51=4,Sheet3!$C$4,D51=5,Sheet3!$C$5)</f>
        <v>1:1|2:5|3:8|4:10|5:1</v>
      </c>
      <c r="L51" s="1">
        <v>600</v>
      </c>
      <c r="M51" s="1">
        <v>0</v>
      </c>
      <c r="N51" s="6">
        <v>48</v>
      </c>
      <c r="O51" s="1">
        <f t="shared" si="6"/>
        <v>55</v>
      </c>
      <c r="P51" s="1">
        <f t="shared" si="3"/>
        <v>15</v>
      </c>
      <c r="Q51" s="8" t="s">
        <v>41</v>
      </c>
      <c r="R51" s="1">
        <v>10</v>
      </c>
      <c r="S51" s="1">
        <v>0</v>
      </c>
    </row>
    <row r="52" ht="33" spans="1:19">
      <c r="A52" s="1">
        <v>59</v>
      </c>
      <c r="B52" s="1" t="s">
        <v>38</v>
      </c>
      <c r="C52" s="1">
        <v>401</v>
      </c>
      <c r="D52" s="1">
        <v>4</v>
      </c>
      <c r="E52" s="3" t="s">
        <v>39</v>
      </c>
      <c r="F52" s="3" t="s">
        <v>40</v>
      </c>
      <c r="G52" s="1">
        <f>VLOOKUP(C52,Sheet3!I:J,2,FALSE)</f>
        <v>401301</v>
      </c>
      <c r="H52" s="1">
        <f t="shared" si="4"/>
        <v>5</v>
      </c>
      <c r="I52" s="1">
        <f t="shared" si="0"/>
        <v>60</v>
      </c>
      <c r="J52" s="6">
        <v>49</v>
      </c>
      <c r="K52" s="1" t="str">
        <f>_xlfn.IFS(D52=1,Sheet3!$C$1,D52=2,Sheet3!$C$2,D52=3,Sheet3!$C$3,D52=4,Sheet3!$C$4,D52=5,Sheet3!$C$5)</f>
        <v>1:1|2:5|3:8|4:10|5:1</v>
      </c>
      <c r="L52" s="1">
        <v>600</v>
      </c>
      <c r="M52" s="1">
        <v>0</v>
      </c>
      <c r="N52" s="6">
        <v>49</v>
      </c>
      <c r="O52" s="1">
        <f t="shared" si="6"/>
        <v>54</v>
      </c>
      <c r="P52" s="1">
        <f t="shared" si="3"/>
        <v>15</v>
      </c>
      <c r="Q52" s="8" t="s">
        <v>41</v>
      </c>
      <c r="R52" s="1">
        <v>10</v>
      </c>
      <c r="S52" s="1">
        <v>0</v>
      </c>
    </row>
    <row r="53" ht="33" spans="1:19">
      <c r="A53" s="1">
        <v>60</v>
      </c>
      <c r="B53" s="1" t="s">
        <v>38</v>
      </c>
      <c r="C53" s="1">
        <v>501</v>
      </c>
      <c r="D53" s="1">
        <v>5</v>
      </c>
      <c r="E53" s="3" t="s">
        <v>39</v>
      </c>
      <c r="F53" s="3" t="s">
        <v>40</v>
      </c>
      <c r="G53" s="1">
        <f>VLOOKUP(C53,Sheet3!I:J,2,FALSE)</f>
        <v>501301</v>
      </c>
      <c r="H53" s="1">
        <f t="shared" si="4"/>
        <v>8</v>
      </c>
      <c r="I53" s="1">
        <v>61</v>
      </c>
      <c r="J53" s="6">
        <v>50</v>
      </c>
      <c r="K53" s="1" t="str">
        <f>_xlfn.IFS(D53=1,Sheet3!$C$1,D53=2,Sheet3!$C$2,D53=3,Sheet3!$C$3,D53=4,Sheet3!$C$4,D53=5,Sheet3!$C$5)</f>
        <v>1:1|2:6|3:12|4:16|5:1</v>
      </c>
      <c r="L53" s="1">
        <v>650</v>
      </c>
      <c r="M53" s="1">
        <v>0</v>
      </c>
      <c r="N53" s="6">
        <v>50</v>
      </c>
      <c r="O53" s="1">
        <f t="shared" si="6"/>
        <v>58</v>
      </c>
      <c r="P53" s="1">
        <f t="shared" si="3"/>
        <v>15</v>
      </c>
      <c r="Q53" s="8" t="s">
        <v>41</v>
      </c>
      <c r="R53" s="1">
        <v>10</v>
      </c>
      <c r="S53" s="1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I1" sqref="I1:J8"/>
    </sheetView>
  </sheetViews>
  <sheetFormatPr defaultColWidth="9" defaultRowHeight="13.5" outlineLevelRow="7"/>
  <cols>
    <col min="3" max="3" width="17.375" customWidth="1"/>
  </cols>
  <sheetData>
    <row r="1" ht="16.5" spans="1:10">
      <c r="A1">
        <v>4</v>
      </c>
      <c r="B1">
        <v>1</v>
      </c>
      <c r="C1" s="1" t="s">
        <v>45</v>
      </c>
      <c r="I1">
        <v>98</v>
      </c>
      <c r="J1">
        <v>98301</v>
      </c>
    </row>
    <row r="2" ht="16.5" spans="1:10">
      <c r="A2">
        <v>9</v>
      </c>
      <c r="B2">
        <v>2</v>
      </c>
      <c r="C2" s="1" t="s">
        <v>46</v>
      </c>
      <c r="I2">
        <v>99</v>
      </c>
      <c r="J2">
        <v>99301</v>
      </c>
    </row>
    <row r="3" ht="16.5" spans="1:10">
      <c r="A3">
        <v>16</v>
      </c>
      <c r="B3">
        <v>3</v>
      </c>
      <c r="C3" s="1" t="s">
        <v>47</v>
      </c>
      <c r="I3">
        <v>100</v>
      </c>
      <c r="J3">
        <v>100301</v>
      </c>
    </row>
    <row r="4" ht="16.5" spans="1:10">
      <c r="A4">
        <v>25</v>
      </c>
      <c r="B4">
        <v>4</v>
      </c>
      <c r="C4" s="1" t="s">
        <v>48</v>
      </c>
      <c r="I4">
        <v>101</v>
      </c>
      <c r="J4">
        <v>101301</v>
      </c>
    </row>
    <row r="5" ht="16.5" spans="1:10">
      <c r="A5">
        <v>36</v>
      </c>
      <c r="B5">
        <v>5</v>
      </c>
      <c r="C5" s="1" t="s">
        <v>49</v>
      </c>
      <c r="I5">
        <v>201</v>
      </c>
      <c r="J5">
        <v>201301</v>
      </c>
    </row>
    <row r="6" spans="9:10">
      <c r="I6">
        <v>301</v>
      </c>
      <c r="J6">
        <v>301301</v>
      </c>
    </row>
    <row r="7" spans="9:10">
      <c r="I7">
        <v>401</v>
      </c>
      <c r="J7">
        <v>401301</v>
      </c>
    </row>
    <row r="8" spans="9:10">
      <c r="I8">
        <v>501</v>
      </c>
      <c r="J8">
        <v>501301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PveMap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2023-05-12T11:15:00Z</dcterms:created>
  <dcterms:modified xsi:type="dcterms:W3CDTF">2025-02-13T07:09:08Z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D6B12C7AF295492BBA1F112E2265333E_12</vt:lpwstr>
  </property>
</Properties>
</file>