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 tabRatio="750"/>
  </bookViews>
  <sheets>
    <sheet name="Dungeondrop" sheetId="1" r:id="rId1"/>
    <sheet name="辅助" sheetId="2" r:id="rId2"/>
    <sheet name="Sheet1" sheetId="3" r:id="rId3"/>
  </sheets>
  <definedNames>
    <definedName name="_xlnm._FilterDatabase" localSheetId="0" hidden="1">Dungeondrop!$A$1:$AX$150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<sst xmlns="http://schemas.openxmlformats.org/spreadsheetml/2006/main" count="131" uniqueCount="106">
  <si>
    <t>Id</t>
  </si>
  <si>
    <t>Probability</t>
  </si>
  <si>
    <t>Reward</t>
  </si>
  <si>
    <t>int</t>
  </si>
  <si>
    <t>string</t>
  </si>
  <si>
    <t>掉落id</t>
  </si>
  <si>
    <t>概率</t>
  </si>
  <si>
    <t>掉落内容</t>
  </si>
  <si>
    <t>1:12:20000:1000</t>
  </si>
  <si>
    <t>1:12:35000:1000</t>
  </si>
  <si>
    <t>1:12:50000:1000</t>
  </si>
  <si>
    <t>1:12:65000:1000</t>
  </si>
  <si>
    <t>1:12:80000:1000</t>
  </si>
  <si>
    <t>1:12:95000:1000</t>
  </si>
  <si>
    <t>1:12:110000:1000</t>
  </si>
  <si>
    <t>1:12:125000:1000</t>
  </si>
  <si>
    <t>1:12:140000:1000</t>
  </si>
  <si>
    <t>1:12:155000:1000</t>
  </si>
  <si>
    <t>1:12:170000:1000</t>
  </si>
  <si>
    <t>1:12:185000:1000</t>
  </si>
  <si>
    <t>1:12:200000:1000</t>
  </si>
  <si>
    <t>1:20001:1:1000</t>
  </si>
  <si>
    <t>1:20002:1:1000</t>
  </si>
  <si>
    <t>1:20003:1:1000</t>
  </si>
  <si>
    <t>1:20004:1:1000</t>
  </si>
  <si>
    <t>1:10101:1:1000</t>
  </si>
  <si>
    <t>1:10102:1:1000</t>
  </si>
  <si>
    <t>1:10103:1:1000</t>
  </si>
  <si>
    <t>1:10104:1:1000</t>
  </si>
  <si>
    <t>1:10105:1:1000</t>
  </si>
  <si>
    <t>1:10106:1:1000</t>
  </si>
  <si>
    <t>1:10101:1:1000|1:10102:1:1000|1:10103:1:1000|1:10104:1:1000|1:10105:1:1000|1:10106:1:1000</t>
  </si>
  <si>
    <t>1:10107:1:1000</t>
  </si>
  <si>
    <t>1:10108:1:1000</t>
  </si>
  <si>
    <t>1:10109:1:1000</t>
  </si>
  <si>
    <t>1:10110:1:1000</t>
  </si>
  <si>
    <t>1:10111:1:1000</t>
  </si>
  <si>
    <t>1:10112:1:1000</t>
  </si>
  <si>
    <t>1:10107:1:1000|1:10108:1:1000|1:10109:1:1000|1:10110:1:1000|1:10111:1:1000|1:10112:1:1000</t>
  </si>
  <si>
    <t>1:10113:1:1000</t>
  </si>
  <si>
    <t>1:10114:1:1000</t>
  </si>
  <si>
    <t>1:10115:1:1000</t>
  </si>
  <si>
    <t>1:10116:1:1000</t>
  </si>
  <si>
    <t>1:10117:1:1000</t>
  </si>
  <si>
    <t>1:10118:1:1000</t>
  </si>
  <si>
    <t>1:10113:1:1000|1:10114:1:1000|1:10115:1:1000|1:10116:1:1000|1:10117:1:1000|1:10118:1:1000</t>
  </si>
  <si>
    <t>1:10119:1:1000</t>
  </si>
  <si>
    <t>1:10120:1:1000</t>
  </si>
  <si>
    <t>1:10121:1:1000</t>
  </si>
  <si>
    <t>1:10122:1:1000</t>
  </si>
  <si>
    <t>1:10123:1:1000</t>
  </si>
  <si>
    <t>1:10124:1:1000</t>
  </si>
  <si>
    <t>1:1010102:1:900|1:1010103:1:900|1:1010104:1:900|1:1010105:1:900|1:1020102:1:900|1:1020103:1:900|1:1020104:1:900|1:1020105:1:900|1:2010102:1:33|1:2010103:1:33|1:2010104:1:33|1:2010105:1:33|1:2020102:1:33|1:2020103:1:33|1:2020104:1:33|1:2020105:1:33|1:2010202:1:33|1:2010203:1:33|1:2010204:1:33|1:2010205:1:33|1:2020202:1:33|1:2020203:1:33|1:2020204:1:33|1:2020205:1:33|1:2010302:1:33|1:2010303:1:33|1:2010304:1:33|1:2010305:1:33|1:2020302:1:33|1:2020303:1:33|1:2020304:1:33|1:2020305:1:33</t>
  </si>
  <si>
    <t>1:1010102:1:800|1:1010103:1:800|1:1010104:1:800|1:1010105:1:800|1:1020102:1:800|1:1020103:1:800|1:1020104:1:800|1:1020105:1:800|1:2010102:1:67|1:2010103:1:67|1:2010104:1:67|1:2010105:1:67|1:2020102:1:67|1:2020103:1:67|1:2020104:1:67|1:2020105:1:67|1:2010202:1:67|1:2010203:1:67|1:2010204:1:67|1:2010205:1:67|1:2020202:1:67|1:2020203:1:67|1:2020204:1:67|1:2020205:1:67|1:2010302:1:67|1:2010303:1:67|1:2010304:1:67|1:2010305:1:67|1:2020302:1:67|1:2020303:1:67|1:2020304:1:67|1:2020305:1:67</t>
  </si>
  <si>
    <t>1:1010102:1:750|1:1010103:1:750|1:1010104:1:750|1:1010105:1:750|1:1020102:1:750|1:1020103:1:750|1:1020104:1:750|1:1020105:1:750|1:2010102:1:67|1:2010103:1:67|1:2010104:1:67|1:2010105:1:67|1:2020102:1:67|1:2020103:1:67|1:2020104:1:67|1:2020105:1:67|1:2010202:1:67|1:2010203:1:67|1:2010204:1:67|1:2010205:1:67|1:2020202:1:67|1:2020203:1:67|1:2020204:1:67|1:2020205:1:67|1:2010302:1:67|1:2010303:1:67|1:2010304:1:67|1:2010305:1:67|1:2020302:1:67|1:2020303:1:67|1:2020304:1:67|1:2020305:1:67|1:3010102:1:17|1:3010103:1:17|1:3010104:1:17|1:3010105:1:17|1:3020102:1:17|1:3020103:1:17|1:3020104:1:17|1:3020105:1:17|1:3010202:1:17|1:3010203:1:17|1:3010204:1:17|1:3010205:1:17|1:3020202:1:17|1:3020203:1:17|1:3020204:1:17|1:3020205:1:17|1:3010302:1:17|1:3010303:1:17|1:3010304:1:17|1:3010305:1:17|1:3020302:1:17|1:3020303:1:17|1:3020304:1:17|1:3020305:1:17</t>
  </si>
  <si>
    <t>1:1010102:1:700|1:1010103:1:700|1:1010104:1:700|1:1010105:1:700|1:1020102:1:700|1:1020103:1:700|1:1020104:1:700|1:1020105:1:700|1:2010102:1:67|1:2010103:1:67|1:2010104:1:67|1:2010105:1:67|1:2020102:1:67|1:2020103:1:67|1:2020104:1:67|1:2020105:1:67|1:2010202:1:67|1:2010203:1:67|1:2010204:1:67|1:2010205:1:67|1:2020202:1:67|1:2020203:1:67|1:2020204:1:67|1:2020205:1:67|1:2010302:1:67|1:2010303:1:67|1:2010304:1:67|1:2010305:1:67|1:2020302:1:67|1:2020303:1:67|1:2020304:1:67|1:2020305:1:67|1:3010102:1:27|1:3010103:1:27|1:3010104:1:27|1:3010105:1:27|1:3020102:1:27|1:3020103:1:27|1:3020104:1:27|1:3020105:1:27|1:3010202:1:27|1:3010203:1:27|1:3010204:1:27|1:3010205:1:27|1:3020202:1:27|1:3020203:1:27|1:3020204:1:27|1:3020205:1:27|1:3010302:1:27|1:3010303:1:27|1:3010304:1:27|1:3010305:1:27|1:3020302:1:27|1:3020303:1:27|1:3020304:1:27|1:3020305:1:27|1:4010102:1:2|1:4010103:1:2|1:4010104:1:2|1:4010105:1:2|1:4020102:1:2|1:4020103:1:2|1:4020104:1:2|1:4020105:1:2|1:4010202:1:2|1:4010203:1:2|1:4010204:1:2|1:4010205:1:2|1:4020202:1:2|1:4020203:1:2|1:4020204:1:2|1:4020205:1:2|1:4010302:1:2|1:4010303:1:2|1:4010304:1:2|1:4010305:1:2|1:4020302:1:2|1:4020303:1:2|1:4020304:1:2|1:4020305:1:2|1:4010402:1:2|1:4010403:1:2|1:4010404:1:2|1:4010405:1:2|1:4020402:1:2|1:4020403:1:2|1:4020404:1:2|1:4020405:1:2|1:4010502:1:2|1:4010503:1:2|1:4010504:1:2|1:4010505:1:2|1:4020502:1:2|1:4020503:1:2|1:4020504:1:2|1:4020505:1:2|1:4010602:1:2|1:4010603:1:2|1:4010604:1:2|1:4010605:1:2|1:4020602:1:2|1:4020603:1:2|1:4020604:1:2|1:4020605:1:2|1:4010702:1:2|1:4010703:1:2|1:4010704:1:2|1:4010705:1:2|1:4020702:1:2|1:4020703:1:2|1:4020704:1:2|1:4020705:1:2|1:4010802:1:2|1:4010803:1:2|1:4010804:1:2|1:4010805:1:2|1:4020802:1:2|1:4020803:1:2|1:4020804:1:2|1:4020805:1:2|1:4010902:1:2|1:4010903:1:2|1:4010904:1:2|1:4010905:1:2|1:4020902:1:2|1:4020903:1:2|1:4020904:1:2|1:4020905:1:2|1:4011002:1:2|1:4011003:1:2|1:4011004:1:2|1:4011005:1:2|1:4021002:1:2|1:4021003:1:2|1:4021004:1:2|1:4021005:1:2</t>
  </si>
  <si>
    <t>1:1010102:1:600|1:1010103:1:600|1:1010104:1:600|1:1010105:1:600|1:1020102:1:600|1:1020103:1:600|1:1020104:1:600|1:1020105:1:600|1:2010102:1:83|1:2010103:1:83|1:2010104:1:83|1:2010105:1:83|1:2020102:1:83|1:2020103:1:83|1:2020104:1:83|1:2020105:1:83|1:2010202:1:83|1:2010203:1:83|1:2010204:1:83|1:2010205:1:83|1:2020202:1:83|1:2020203:1:83|1:2020204:1:83|1:2020205:1:83|1:2010302:1:83|1:2010303:1:83|1:2010304:1:83|1:2010305:1:83|1:2020302:1:83|1:2020303:1:83|1:2020304:1:83|1:2020305:1:83|1:3010102:1:37|1:3010103:1:37|1:3010104:1:37|1:3010105:1:37|1:3020102:1:37|1:3020103:1:37|1:3020104:1:37|1:3020105:1:37|1:3010202:1:37|1:3010203:1:37|1:3010204:1:37|1:3010205:1:37|1:3020202:1:37|1:3020203:1:37|1:3020204:1:37|1:3020205:1:37|1:3010302:1:37|1:3010303:1:37|1:3010304:1:37|1:3010305:1:37|1:3020302:1:37|1:3020303:1:37|1:3020304:1:37|1:3020305:1:37|1:4010102:1:4|1:4010103:1:4|1:4010104:1:4|1:4010105:1:4|1:4020102:1:4|1:4020103:1:4|1:4020104:1:4|1:4020105:1:4|1:4010202:1:4|1:4010203:1:4|1:4010204:1:4|1:4010205:1:4|1:4020202:1:4|1:4020203:1:4|1:4020204:1:4|1:4020205:1:4|1:4010302:1:4|1:4010303:1:4|1:4010304:1:4|1:4010305:1:4|1:4020302:1:4|1:4020303:1:4|1:4020304:1:4|1:4020305:1:4|1:4010402:1:4|1:4010403:1:4|1:4010404:1:4|1:4010405:1:4|1:4020402:1:4|1:4020403:1:4|1:4020404:1:4|1:4020405:1:4|1:4010502:1:4|1:4010503:1:4|1:4010504:1:4|1:4010505:1:4|1:4020502:1:4|1:4020503:1:4|1:4020504:1:4|1:4020505:1:4|1:4010602:1:4|1:4010603:1:4|1:4010604:1:4|1:4010605:1:4|1:4020602:1:4|1:4020603:1:4|1:4020604:1:4|1:4020605:1:4|1:4010702:1:4|1:4010703:1:4|1:4010704:1:4|1:4010705:1:4|1:4020702:1:4|1:4020703:1:4|1:4020704:1:4|1:4020705:1:4|1:4010802:1:4|1:4010803:1:4|1:4010804:1:4|1:4010805:1:4|1:4020802:1:4|1:4020803:1:4|1:4020804:1:4|1:4020805:1:4|1:4010902:1:4|1:4010903:1:4|1:4010904:1:4|1:4010905:1:4|1:4020902:1:4|1:4020903:1:4|1:4020904:1:4|1:4020905:1:4|1:4011002:1:4|1:4011003:1:4|1:4011004:1:4|1:4011005:1:4|1:4021002:1:4|1:4021003:1:4|1:4021004:1:4|1:4021005:1:4</t>
  </si>
  <si>
    <t>1:1010102:1:600|1:1010103:1:600|1:1010104:1:600|1:1010105:1:600|1:1020102:1:600|1:1020103:1:600|1:1020104:1:600|1:1020105:1:600|1:2010102:1:80|1:2010103:1:80|1:2010104:1:80|1:2010105:1:80|1:2020102:1:80|1:2020103:1:80|1:2020104:1:80|1:2020105:1:80|1:2010202:1:80|1:2010203:1:80|1:2010204:1:80|1:2010205:1:80|1:2020202:1:80|1:2020203:1:80|1:2020204:1:80|1:2020205:1:80|1:2010302:1:80|1:2010303:1:80|1:2010304:1:80|1:2010305:1:80|1:2020302:1:80|1:2020303:1:80|1:2020304:1:80|1:2020305:1:80|1:3010102:1:40|1:3010103:1:40|1:3010104:1:40|1:3010105:1:40|1:3020102:1:40|1:3020103:1:40|1:3020104:1:40|1:3020105:1:40|1:3010202:1:40|1:3010203:1:40|1:3010204:1:40|1:3010205:1:40|1:3020202:1:40|1:3020203:1:40|1:3020204:1:40|1:3020205:1:40|1:3010302:1:40|1:3010303:1:40|1:3010304:1:40|1:3010305:1:40|1:3020302:1:40|1:3020303:1:40|1:3020304:1:40|1:3020305:1:40|1:4010102:1:4|1:4010103:1:4|1:4010104:1:4|1:4010105:1:4|1:4020102:1:4|1:4020103:1:4|1:4020104:1:4|1:4020105:1:4|1:4010202:1:4|1:4010203:1:4|1:4010204:1:4|1:4010205:1:4|1:4020202:1:4|1:4020203:1:4|1:4020204:1:4|1:4020205:1:4|1:4010302:1:4|1:4010303:1:4|1:4010304:1:4|1:4010305:1:4|1:4020302:1:4|1:4020303:1:4|1:4020304:1:4|1:4020305:1:4|1:4010402:1:4|1:4010403:1:4|1:4010404:1:4|1:4010405:1:4|1:4020402:1:4|1:4020403:1:4|1:4020404:1:4|1:4020405:1:4|1:4010502:1:4|1:4010503:1:4|1:4010504:1:4|1:4010505:1:4|1:4020502:1:4|1:4020503:1:4|1:4020504:1:4|1:4020505:1:4|1:4010602:1:4|1:4010603:1:4|1:4010604:1:4|1:4010605:1:4|1:4020602:1:4|1:4020603:1:4|1:4020604:1:4|1:4020605:1:4|1:4010702:1:4|1:4010703:1:4|1:4010704:1:4|1:4010705:1:4|1:4020702:1:4|1:4020703:1:4|1:4020704:1:4|1:4020705:1:4|1:4010802:1:4|1:4010803:1:4|1:4010804:1:4|1:4010805:1:4|1:4020802:1:4|1:4020803:1:4|1:4020804:1:4|1:4020805:1:4|1:4010902:1:4|1:4010903:1:4|1:4010904:1:4|1:4010905:1:4|1:4020902:1:4|1:4020903:1:4|1:4020904:1:4|1:4020905:1:4|1:4011002:1:4|1:4011003:1:4|1:4011004:1:4|1:4011005:1:4|1:4021002:1:4|1:4021003:1:4|1:4021004:1:4|1:4021005:1:4</t>
  </si>
  <si>
    <t>1:1010102:1:550|1:1010103:1:550|1:1010104:1:550|1:1010105:1:550|1:1020102:1:550|1:1020103:1:550|1:1020104:1:550|1:1020105:1:550|1:2010102:1:87|1:2010103:1:87|1:2010104:1:87|1:2010105:1:87|1:2020102:1:87|1:2020103:1:87|1:2020104:1:87|1:2020105:1:87|1:2010202:1:87|1:2010203:1:87|1:2010204:1:87|1:2010205:1:87|1:2020202:1:87|1:2020203:1:87|1:2020204:1:87|1:2020205:1:87|1:2010302:1:87|1:2010303:1:87|1:2010304:1:87|1:2010305:1:87|1:2020302:1:87|1:2020303:1:87|1:2020304:1:87|1:2020305:1:87|1:3010102:1:47|1:3010103:1:47|1:3010104:1:47|1:3010105:1:47|1:3020102:1:47|1:3020103:1:47|1:3020104:1:47|1:3020105:1:47|1:3010202:1:47|1:3010203:1:47|1:3010204:1:47|1:3010205:1:47|1:3020202:1:47|1:3020203:1:47|1:3020204:1:47|1:3020205:1:47|1:3010302:1:47|1:3010303:1:47|1:3010304:1:47|1:3010305:1:47|1:3020302:1:47|1:3020303:1:47|1:3020304:1:47|1:3020305:1:47|1:4010102:1:6|1:4010103:1:6|1:4010104:1:6|1:4010105:1:6|1:4020102:1:6|1:4020103:1:6|1:4020104:1:6|1:4020105:1:6|1:4010202:1:6|1:4010203:1:6|1:4010204:1:6|1:4010205:1:6|1:4020202:1:6|1:4020203:1:6|1:4020204:1:6|1:4020205:1:6|1:4010302:1:6|1:4010303:1:6|1:4010304:1:6|1:4010305:1:6|1:4020302:1:6|1:4020303:1:6|1:4020304:1:6|1:4020305:1:6|1:4010402:1:6|1:4010403:1:6|1:4010404:1:6|1:4010405:1:6|1:4020402:1:6|1:4020403:1:6|1:4020404:1:6|1:4020405:1:6|1:4010502:1:6|1:4010503:1:6|1:4010504:1:6|1:4010505:1:6|1:4020502:1:6|1:4020503:1:6|1:4020504:1:6|1:4020505:1:6|1:4010602:1:6|1:4010603:1:6|1:4010604:1:6|1:4010605:1:6|1:4020602:1:6|1:4020603:1:6|1:4020604:1:6|1:4020605:1:6|1:4010702:1:6|1:4010703:1:6|1:4010704:1:6|1:4010705:1:6|1:4020702:1:6|1:4020703:1:6|1:4020704:1:6|1:4020705:1:6|1:4010802:1:6|1:4010803:1:6|1:4010804:1:6|1:4010805:1:6|1:4020802:1:6|1:4020803:1:6|1:4020804:1:6|1:4020805:1:6|1:4010902:1:6|1:4010903:1:6|1:4010904:1:6|1:4010905:1:6|1:4020902:1:6|1:4020903:1:6|1:4020904:1:6|1:4020905:1:6|1:4011002:1:6|1:4011003:1:6|1:4011004:1:6|1:4011005:1:6|1:4021002:1:6|1:4021003:1:6|1:4021004:1:6|1:4021005:1:6</t>
  </si>
  <si>
    <t>1:1010102:1:500|1:1010103:1:500|1:1010104:1:500|1:1010105:1:500|1:1020102:1:500|1:1020103:1:500|1:1020104:1:500|1:1020105:1:500|1:2010102:1:67|1:2010103:1:67|1:2010104:1:67|1:2010105:1:67|1:2020102:1:67|1:2020103:1:67|1:2020104:1:67|1:2020105:1:67|1:2010202:1:67|1:2010203:1:67|1:2010204:1:67|1:2010205:1:67|1:2020202:1:67|1:2020203:1:67|1:2020204:1:67|1:2020205:1:67|1:2010302:1:67|1:2010303:1:67|1:2010304:1:67|1:2010305:1:67|1:2020302:1:67|1:2020303:1:67|1:2020304:1:67|1:2020305:1:67|1:3010102:1:73|1:3010103:1:73|1:3010104:1:73|1:3010105:1:73|1:3020102:1:73|1:3020103:1:73|1:3020104:1:73|1:3020105:1:73|1:3010202:1:73|1:3010203:1:73|1:3010204:1:73|1:3010205:1:73|1:3020202:1:73|1:3020203:1:73|1:3020204:1:73|1:3020205:1:73|1:3010302:1:73|1:3010303:1:73|1:3010304:1:73|1:3010305:1:73|1:3020302:1:73|1:3020303:1:73|1:3020304:1:73|1:3020305:1:73|1:4010102:1:8|1:4010103:1:8|1:4010104:1:8|1:4010105:1:8|1:4020102:1:8|1:4020103:1:8|1:4020104:1:8|1:4020105:1:8|1:4010202:1:8|1:4010203:1:8|1:4010204:1:8|1:4010205:1:8|1:4020202:1:8|1:4020203:1:8|1:4020204:1:8|1:4020205:1:8|1:4010302:1:8|1:4010303:1:8|1:4010304:1:8|1:4010305:1:8|1:4020302:1:8|1:4020303:1:8|1:4020304:1:8|1:4020305:1:8|1:4010402:1:8|1:4010403:1:8|1:4010404:1:8|1:4010405:1:8|1:4020402:1:8|1:4020403:1:8|1:4020404:1:8|1:4020405:1:8|1:4010502:1:8|1:4010503:1:8|1:4010504:1:8|1:4010505:1:8|1:4020502:1:8|1:4020503:1:8|1:4020504:1:8|1:4020505:1:8|1:4010602:1:8|1:4010603:1:8|1:4010604:1:8|1:4010605:1:8|1:4020602:1:8|1:4020603:1:8|1:4020604:1:8|1:4020605:1:8|1:4010702:1:8|1:4010703:1:8|1:4010704:1:8|1:4010705:1:8|1:4020702:1:8|1:4020703:1:8|1:4020704:1:8|1:4020705:1:8|1:4010802:1:8|1:4010803:1:8|1:4010804:1:8|1:4010805:1:8|1:4020802:1:8|1:4020803:1:8|1:4020804:1:8|1:4020805:1:8|1:4010902:1:8|1:4010903:1:8|1:4010904:1:8|1:4010905:1:8|1:4020902:1:8|1:4020903:1:8|1:4020904:1:8|1:4020905:1:8|1:4011002:1:8|1:4011003:1:8|1:4011004:1:8|1:4011005:1:8|1:4021002:1:8|1:4021003:1:8|1:4021004:1:8|1:4021005:1:8</t>
  </si>
  <si>
    <t>1:1010102:1:480|1:1010103:1:480|1:1010104:1:480|1:1010105:1:480|1:1020102:1:480|1:1020103:1:480|1:1020104:1:480|1:1020105:1:480|1:2010102:1:67|1:2010103:1:67|1:2010104:1:67|1:2010105:1:67|1:2020102:1:67|1:2020103:1:67|1:2020104:1:67|1:2020105:1:67|1:2010202:1:67|1:2010203:1:67|1:2010204:1:67|1:2010205:1:67|1:2020202:1:67|1:2020203:1:67|1:2020204:1:67|1:2020205:1:67|1:2010302:1:67|1:2010303:1:67|1:2010304:1:67|1:2010305:1:67|1:2020302:1:67|1:2020303:1:67|1:2020304:1:67|1:2020305:1:67|1:3010102:1:73|1:3010103:1:73|1:3010104:1:73|1:3010105:1:73|1:3020102:1:73|1:3020103:1:73|1:3020104:1:73|1:3020105:1:73|1:3010202:1:73|1:3010203:1:73|1:3010204:1:73|1:3010205:1:73|1:3020202:1:73|1:3020203:1:73|1:3020204:1:73|1:3020205:1:73|1:3010302:1:73|1:3010303:1:73|1:3010304:1:73|1:3010305:1:73|1:3020302:1:73|1:3020303:1:73|1:3020304:1:73|1:3020305:1:73|1:4010102:1:10|1:4010103:1:10|1:4010104:1:10|1:4010105:1:10|1:4020102:1:10|1:4020103:1:10|1:4020104:1:10|1:4020105:1:10|1:4010202:1:10|1:4010203:1:10|1:4010204:1:10|1:4010205:1:10|1:4020202:1:10|1:4020203:1:10|1:4020204:1:10|1:4020205:1:10|1:4010302:1:10|1:4010303:1:10|1:4010304:1:10|1:4010305:1:10|1:4020302:1:10|1:4020303:1:10|1:4020304:1:10|1:4020305:1:10|1:4010402:1:10|1:4010403:1:10|1:4010404:1:10|1:4010405:1:10|1:4020402:1:10|1:4020403:1:10|1:4020404:1:10|1:4020405:1:10|1:4010502:1:10|1:4010503:1:10|1:4010504:1:10|1:4010505:1:10|1:4020502:1:10|1:4020503:1:10|1:4020504:1:10|1:4020505:1:10|1:4010602:1:10|1:4010603:1:10|1:4010604:1:10|1:4010605:1:10|1:4020602:1:10|1:4020603:1:10|1:4020604:1:10|1:4020605:1:10|1:4010702:1:10|1:4010703:1:10|1:4010704:1:10|1:4010705:1:10|1:4020702:1:10|1:4020703:1:10|1:4020704:1:10|1:4020705:1:10|1:4010802:1:10|1:4010803:1:10|1:4010804:1:10|1:4010805:1:10|1:4020802:1:10|1:4020803:1:10|1:4020804:1:10|1:4020805:1:10|1:4010902:1:10|1:4010903:1:10|1:4010904:1:10|1:4010905:1:10|1:4020902:1:10|1:4020903:1:10|1:4020904:1:10|1:4020905:1:10|1:4011002:1:10|1:4011003:1:10|1:4011004:1:10|1:4011005:1:10|1:4021002:1:10|1:4021003:1:10|1:4021004:1:10|1:4021005:1:10</t>
  </si>
  <si>
    <t>1:1010102:1:440|1:1010103:1:440|1:1010104:1:440|1:1010105:1:440|1:1020102:1:440|1:1020103:1:440|1:1020104:1:440|1:1020105:1:440|1:2010102:1:67|1:2010103:1:67|1:2010104:1:67|1:2010105:1:67|1:2020102:1:67|1:2020103:1:67|1:2020104:1:67|1:2020105:1:67|1:2010202:1:67|1:2010203:1:67|1:2010204:1:67|1:2010205:1:67|1:2020202:1:67|1:2020203:1:67|1:2020204:1:67|1:2020205:1:67|1:2010302:1:67|1:2010303:1:67|1:2010304:1:67|1:2010305:1:67|1:2020302:1:67|1:2020303:1:67|1:2020304:1:67|1:2020305:1:67|1:3010102:1:80|1:3010103:1:80|1:3010104:1:80|1:3010105:1:80|1:3020102:1:80|1:3020103:1:80|1:3020104:1:80|1:3020105:1:80|1:3010202:1:80|1:3010203:1:80|1:3010204:1:80|1:3010205:1:80|1:3020202:1:80|1:3020203:1:80|1:3020204:1:80|1:3020205:1:80|1:3010302:1:80|1:3010303:1:80|1:3010304:1:80|1:3010305:1:80|1:3020302:1:80|1:3020303:1:80|1:3020304:1:80|1:3020305:1:80|1:4010102:1:12|1:4010103:1:12|1:4010104:1:12|1:4010105:1:12|1:4020102:1:12|1:4020103:1:12|1:4020104:1:12|1:4020105:1:12|1:4010202:1:12|1:4010203:1:12|1:4010204:1:12|1:4010205:1:12|1:4020202:1:12|1:4020203:1:12|1:4020204:1:12|1:4020205:1:12|1:4010302:1:12|1:4010303:1:12|1:4010304:1:12|1:4010305:1:12|1:4020302:1:12|1:4020303:1:12|1:4020304:1:12|1:4020305:1:12|1:4010402:1:12|1:4010403:1:12|1:4010404:1:12|1:4010405:1:12|1:4020402:1:12|1:4020403:1:12|1:4020404:1:12|1:4020405:1:12|1:4010502:1:12|1:4010503:1:12|1:4010504:1:12|1:4010505:1:12|1:4020502:1:12|1:4020503:1:12|1:4020504:1:12|1:4020505:1:12|1:4010602:1:12|1:4010603:1:12|1:4010604:1:12|1:4010605:1:12|1:4020602:1:12|1:4020603:1:12|1:4020604:1:12|1:4020605:1:12|1:4010702:1:12|1:4010703:1:12|1:4010704:1:12|1:4010705:1:12|1:4020702:1:12|1:4020703:1:12|1:4020704:1:12|1:4020705:1:12|1:4010802:1:12|1:4010803:1:12|1:4010804:1:12|1:4010805:1:12|1:4020802:1:12|1:4020803:1:12|1:4020804:1:12|1:4020805:1:12|1:4010902:1:12|1:4010903:1:12|1:4010904:1:12|1:4010905:1:12|1:4020902:1:12|1:4020903:1:12|1:4020904:1:12|1:4020905:1:12|1:4011002:1:12|1:4011003:1:12|1:4011004:1:12|1:4011005:1:12|1:4021002:1:12|1:4021003:1:12|1:4021004:1:12|1:4021005:1:12</t>
  </si>
  <si>
    <t>1:1010102:1:410|1:1010103:1:410|1:1010104:1:410|1:1010105:1:410|1:1020102:1:410|1:1020103:1:410|1:1020104:1:410|1:1020105:1:410|1:2010102:1:67|1:2010103:1:67|1:2010104:1:67|1:2010105:1:67|1:2020102:1:67|1:2020103:1:67|1:2020104:1:67|1:2020105:1:67|1:2010202:1:67|1:2010203:1:67|1:2010204:1:67|1:2010205:1:67|1:2020202:1:67|1:2020203:1:67|1:2020204:1:67|1:2020205:1:67|1:2010302:1:67|1:2010303:1:67|1:2010304:1:67|1:2010305:1:67|1:2020302:1:67|1:2020303:1:67|1:2020304:1:67|1:2020305:1:67|1:3010102:1:87|1:3010103:1:87|1:3010104:1:87|1:3010105:1:87|1:3020102:1:87|1:3020103:1:87|1:3020104:1:87|1:3020105:1:87|1:3010202:1:87|1:3010203:1:87|1:3010204:1:87|1:3010205:1:87|1:3020202:1:87|1:3020203:1:87|1:3020204:1:87|1:3020205:1:87|1:3010302:1:87|1:3010303:1:87|1:3010304:1:87|1:3010305:1:87|1:3020302:1:87|1:3020303:1:87|1:3020304:1:87|1:3020305:1:87|1:4010102:1:13|1:4010103:1:13|1:4010104:1:13|1:4010105:1:13|1:4020102:1:13|1:4020103:1:13|1:4020104:1:13|1:4020105:1:13|1:4010202:1:13|1:4010203:1:13|1:4010204:1:13|1:4010205:1:13|1:4020202:1:13|1:4020203:1:13|1:4020204:1:13|1:4020205:1:13|1:4010302:1:13|1:4010303:1:13|1:4010304:1:13|1:4010305:1:13|1:4020302:1:13|1:4020303:1:13|1:4020304:1:13|1:4020305:1:13|1:4010402:1:13|1:4010403:1:13|1:4010404:1:13|1:4010405:1:13|1:4020402:1:13|1:4020403:1:13|1:4020404:1:13|1:4020405:1:13|1:4010502:1:13|1:4010503:1:13|1:4010504:1:13|1:4010505:1:13|1:4020502:1:13|1:4020503:1:13|1:4020504:1:13|1:4020505:1:13|1:4010602:1:13|1:4010603:1:13|1:4010604:1:13|1:4010605:1:13|1:4020602:1:13|1:4020603:1:13|1:4020604:1:13|1:4020605:1:13|1:4010702:1:13|1:4010703:1:13|1:4010704:1:13|1:4010705:1:13|1:4020702:1:13|1:4020703:1:13|1:4020704:1:13|1:4020705:1:13|1:4010802:1:13|1:4010803:1:13|1:4010804:1:13|1:4010805:1:13|1:4020802:1:13|1:4020803:1:13|1:4020804:1:13|1:4020805:1:13|1:4010902:1:13|1:4010903:1:13|1:4010904:1:13|1:4010905:1:13|1:4020902:1:13|1:4020903:1:13|1:4020904:1:13|1:4020905:1:13|1:4011002:1:13|1:4011003:1:13|1:4011004:1:13|1:4011005:1:13|1:4021002:1:13|1:4021003:1:13|1:4021004:1:13|1:4021005:1:13</t>
  </si>
  <si>
    <t>1:1010102:1:340|1:1010103:1:340|1:1010104:1:340|1:1010105:1:340|1:1020102:1:340|1:1020103:1:340|1:1020104:1:340|1:1020105:1:340|1:2010102:1:80|1:2010103:1:80|1:2010104:1:80|1:2010105:1:80|1:2020102:1:80|1:2020103:1:80|1:2020104:1:80|1:2020105:1:80|1:2010202:1:80|1:2010203:1:80|1:2010204:1:80|1:2010205:1:80|1:2020202:1:80|1:2020203:1:80|1:2020204:1:80|1:2020205:1:80|1:2010302:1:80|1:2010303:1:80|1:2010304:1:80|1:2010305:1:80|1:2020302:1:80|1:2020303:1:80|1:2020304:1:80|1:2020305:1:80|1:3010102:1:93|1:3010103:1:93|1:3010104:1:93|1:3010105:1:93|1:3020102:1:93|1:3020103:1:93|1:3020104:1:93|1:3020105:1:93|1:3010202:1:93|1:3010203:1:93|1:3010204:1:93|1:3010205:1:93|1:3020202:1:93|1:3020203:1:93|1:3020204:1:93|1:3020205:1:93|1:3010302:1:93|1:3010303:1:93|1:3010304:1:93|1:3010305:1:93|1:3020302:1:93|1:3020303:1:93|1:3020304:1:93|1:3020305:1:93|1:4010102:1:14|1:4010103:1:14|1:4010104:1:14|1:4010105:1:14|1:4020102:1:14|1:4020103:1:14|1:4020104:1:14|1:4020105:1:14|1:4010202:1:14|1:4010203:1:14|1:4010204:1:14|1:4010205:1:14|1:4020202:1:14|1:4020203:1:14|1:4020204:1:14|1:4020205:1:14|1:4010302:1:14|1:4010303:1:14|1:4010304:1:14|1:4010305:1:14|1:4020302:1:14|1:4020303:1:14|1:4020304:1:14|1:4020305:1:14|1:4010402:1:14|1:4010403:1:14|1:4010404:1:14|1:4010405:1:14|1:4020402:1:14|1:4020403:1:14|1:4020404:1:14|1:4020405:1:14|1:4010502:1:14|1:4010503:1:14|1:4010504:1:14|1:4010505:1:14|1:4020502:1:14|1:4020503:1:14|1:4020504:1:14|1:4020505:1:14|1:4010602:1:14|1:4010603:1:14|1:4010604:1:14|1:4010605:1:14|1:4020602:1:14|1:4020603:1:14|1:4020604:1:14|1:4020605:1:14|1:4010702:1:14|1:4010703:1:14|1:4010704:1:14|1:4010705:1:14|1:4020702:1:14|1:4020703:1:14|1:4020704:1:14|1:4020705:1:14|1:4010802:1:14|1:4010803:1:14|1:4010804:1:14|1:4010805:1:14|1:4020802:1:14|1:4020803:1:14|1:4020804:1:14|1:4020805:1:14|1:4010902:1:14|1:4010903:1:14|1:4010904:1:14|1:4010905:1:14|1:4020902:1:14|1:4020903:1:14|1:4020904:1:14|1:4020905:1:14|1:4011002:1:14|1:4011003:1:14|1:4011004:1:14|1:4011005:1:14|1:4021002:1:14|1:4021003:1:14|1:4021004:1:14|1:4021005:1:14</t>
  </si>
  <si>
    <t>1:1010102:1:300|1:1010103:1:300|1:1010104:1:300|1:1010105:1:300|1:1020102:1:300|1:1020103:1:300|1:1020104:1:300|1:1020105:1:300|1:2010102:1:83|1:2010103:1:83|1:2010104:1:83|1:2010105:1:83|1:2020102:1:83|1:2020103:1:83|1:2020104:1:83|1:2020105:1:83|1:2010202:1:83|1:2010203:1:83|1:2010204:1:83|1:2010205:1:83|1:2020202:1:83|1:2020203:1:83|1:2020204:1:83|1:2020205:1:83|1:2010302:1:83|1:2010303:1:83|1:2010304:1:83|1:2010305:1:83|1:2020302:1:83|1:2020303:1:83|1:2020304:1:83|1:2020305:1:83|1:3010102:1:100|1:3010103:1:100|1:3010104:1:100|1:3010105:1:100|1:3020102:1:100|1:3020103:1:100|1:3020104:1:100|1:3020105:1:100|1:3010202:1:100|1:3010203:1:100|1:3010204:1:100|1:3010205:1:100|1:3020202:1:100|1:3020203:1:100|1:3020204:1:100|1:3020205:1:100|1:3010302:1:100|1:3010303:1:100|1:3010304:1:100|1:3010305:1:100|1:3020302:1:100|1:3020303:1:100|1:3020304:1:100|1:3020305:1:100|1:4010102:1:15|1:4010103:1:15|1:4010104:1:15|1:4010105:1:15|1:4020102:1:15|1:4020103:1:15|1:4020104:1:15|1:4020105:1:15|1:4010202:1:15|1:4010203:1:15|1:4010204:1:15|1:4010205:1:15|1:4020202:1:15|1:4020203:1:15|1:4020204:1:15|1:4020205:1:15|1:4010302:1:15|1:4010303:1:15|1:4010304:1:15|1:4010305:1:15|1:4020302:1:15|1:4020303:1:15|1:4020304:1:15|1:4020305:1:15|1:4010402:1:15|1:4010403:1:15|1:4010404:1:15|1:4010405:1:15|1:4020402:1:15|1:4020403:1:15|1:4020404:1:15|1:4020405:1:15|1:4010502:1:15|1:4010503:1:15|1:4010504:1:15|1:4010505:1:15|1:4020502:1:15|1:4020503:1:15|1:4020504:1:15|1:4020505:1:15|1:4010602:1:15|1:4010603:1:15|1:4010604:1:15|1:4010605:1:15|1:4020602:1:15|1:4020603:1:15|1:4020604:1:15|1:4020605:1:15|1:4010702:1:15|1:4010703:1:15|1:4010704:1:15|1:4010705:1:15|1:4020702:1:15|1:4020703:1:15|1:4020704:1:15|1:4020705:1:15|1:4010802:1:15|1:4010803:1:15|1:4010804:1:15|1:4010805:1:15|1:4020802:1:15|1:4020803:1:15|1:4020804:1:15|1:4020805:1:15|1:4010902:1:15|1:4010903:1:15|1:4010904:1:15|1:4010905:1:15|1:4020902:1:15|1:4020903:1:15|1:4020904:1:15|1:4020905:1:15|1:4011002:1:15|1:4011003:1:15|1:4011004:1:15|1:4011005:1:15|1:4021002:1:15|1:4021003:1:15|1:4021004:1:15|1:4021005:1:15</t>
  </si>
  <si>
    <t>1:10201:1:1000</t>
  </si>
  <si>
    <t>部队级别对应难度系数</t>
  </si>
  <si>
    <t>hero</t>
  </si>
  <si>
    <t>mos</t>
  </si>
  <si>
    <t>floor</t>
  </si>
  <si>
    <t>部队1Id</t>
  </si>
  <si>
    <t>部队2Id</t>
  </si>
  <si>
    <t>部队3Id</t>
  </si>
  <si>
    <t>队1修正</t>
  </si>
  <si>
    <t>队2修正</t>
  </si>
  <si>
    <t>队3修正</t>
  </si>
  <si>
    <t>英雄修正</t>
  </si>
  <si>
    <t>层数修正1</t>
  </si>
  <si>
    <t>层数修正2</t>
  </si>
  <si>
    <t>难度提升</t>
  </si>
  <si>
    <t>黑之术</t>
  </si>
  <si>
    <t>黑之序曲</t>
  </si>
  <si>
    <t>浮游之心</t>
  </si>
  <si>
    <t>次元波</t>
  </si>
  <si>
    <t>冰域</t>
  </si>
  <si>
    <t>地狱使者</t>
  </si>
  <si>
    <t>地狱之路</t>
  </si>
  <si>
    <t>分裂箭</t>
  </si>
  <si>
    <t>雷鸣</t>
  </si>
  <si>
    <t>冰晶击</t>
  </si>
  <si>
    <t>歌颂者</t>
  </si>
  <si>
    <t>攻速提升</t>
  </si>
  <si>
    <t>攻击力</t>
  </si>
  <si>
    <t>极限攻速</t>
  </si>
  <si>
    <t>516:103:181:147:151:149:212</t>
  </si>
  <si>
    <t>516:103:181:147:151:149:212:905:142:143</t>
  </si>
  <si>
    <t>召唤契约</t>
  </si>
  <si>
    <t>召唤之力</t>
  </si>
  <si>
    <t>召唤术</t>
  </si>
  <si>
    <t>学识</t>
  </si>
  <si>
    <t>智慧羽</t>
  </si>
  <si>
    <t>远古知识</t>
  </si>
  <si>
    <t>516:103:181:147:151:149:212:905:142:143:527:528</t>
  </si>
  <si>
    <t>565:571:563</t>
  </si>
  <si>
    <t>568:567</t>
  </si>
  <si>
    <t>529:530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</si>
</sst>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"/>
  <sheetViews>
    <sheetView tabSelected="1" topLeftCell="A31" workbookViewId="0">
      <selection activeCell="J41" sqref="J41"/>
    </sheetView>
  </sheetViews>
  <sheetFormatPr defaultColWidth="9" defaultRowHeight="13.5" outlineLevelCol="2"/>
  <cols>
    <col min="1" max="1" width="10.875" customWidth="1"/>
    <col min="3" max="3" width="13.375" customWidth="1"/>
    <col min="4" max="5" width="15.75" customWidth="1"/>
    <col min="6" max="7" width="13.375" customWidth="1"/>
    <col min="8" max="8" width="9.875" customWidth="1"/>
    <col min="9" max="9" width="12" customWidth="1"/>
    <col min="10" max="11" width="12.875" customWidth="1"/>
    <col min="12" max="12" width="11.375" customWidth="1"/>
    <col min="13" max="13" width="55.125" customWidth="1"/>
    <col min="14" max="14" width="51.5" customWidth="1"/>
    <col min="15" max="15" width="38.375" customWidth="1"/>
    <col min="16" max="17" width="42.75" customWidth="1"/>
    <col min="18" max="18" width="71.125" customWidth="1"/>
    <col min="19" max="19" width="40.125" customWidth="1"/>
    <col min="20" max="20" width="42.75" customWidth="1"/>
    <col min="21" max="21" width="16.25" customWidth="1"/>
    <col min="22" max="22" width="21.125" customWidth="1"/>
    <col min="23" max="23" width="57.25" customWidth="1"/>
    <col min="24" max="24" width="10.25" customWidth="1"/>
    <col min="25" max="25" width="40.875" customWidth="1"/>
    <col min="26" max="26" width="57.25" customWidth="1"/>
    <col min="27" max="27" width="47.25" customWidth="1"/>
    <col min="28" max="28" width="34.125" customWidth="1"/>
    <col min="29" max="29" width="72" customWidth="1"/>
    <col min="30" max="30" width="17.75" customWidth="1"/>
    <col min="31" max="31" width="51.875" customWidth="1"/>
    <col min="32" max="32" width="88.75" customWidth="1"/>
    <col min="33" max="33" width="12.625"/>
    <col min="34" max="34" width="23.375" customWidth="1"/>
    <col min="35" max="35" width="12.625"/>
    <col min="36" max="36" width="17.625" customWidth="1"/>
    <col min="37" max="37" width="12.5" customWidth="1"/>
    <col min="38" max="38" width="66" customWidth="1"/>
    <col min="39" max="39" width="12.5" customWidth="1"/>
    <col min="40" max="40" width="12.625"/>
    <col min="41" max="41" width="23.375" customWidth="1"/>
    <col min="45" max="45" width="12.62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="6" customFormat="1" spans="1:3">
      <c r="A4" s="6">
        <v>1001</v>
      </c>
      <c r="B4" s="6">
        <v>1000</v>
      </c>
      <c r="C4" s="6" t="s">
        <v>8</v>
      </c>
    </row>
    <row r="5" s="6" customFormat="1" spans="1:3">
      <c r="A5" s="6">
        <v>1002</v>
      </c>
      <c r="B5" s="6">
        <v>1000</v>
      </c>
      <c r="C5" s="6" t="s">
        <v>9</v>
      </c>
    </row>
    <row r="6" s="6" customFormat="1" spans="1:3">
      <c r="A6" s="6">
        <v>1003</v>
      </c>
      <c r="B6" s="6">
        <v>1000</v>
      </c>
      <c r="C6" s="6" t="s">
        <v>10</v>
      </c>
    </row>
    <row r="7" s="6" customFormat="1" spans="1:3">
      <c r="A7" s="6">
        <v>1004</v>
      </c>
      <c r="B7" s="6">
        <v>1000</v>
      </c>
      <c r="C7" s="6" t="s">
        <v>11</v>
      </c>
    </row>
    <row r="8" s="6" customFormat="1" spans="1:3">
      <c r="A8" s="6">
        <v>1005</v>
      </c>
      <c r="B8" s="6">
        <v>1000</v>
      </c>
      <c r="C8" s="6" t="s">
        <v>12</v>
      </c>
    </row>
    <row r="9" s="6" customFormat="1" spans="1:3">
      <c r="A9" s="6">
        <v>1006</v>
      </c>
      <c r="B9" s="6">
        <v>1000</v>
      </c>
      <c r="C9" s="6" t="s">
        <v>13</v>
      </c>
    </row>
    <row r="10" s="6" customFormat="1" spans="1:3">
      <c r="A10" s="6">
        <v>1007</v>
      </c>
      <c r="B10" s="6">
        <v>1000</v>
      </c>
      <c r="C10" s="6" t="s">
        <v>14</v>
      </c>
    </row>
    <row r="11" s="6" customFormat="1" spans="1:3">
      <c r="A11" s="6">
        <v>1008</v>
      </c>
      <c r="B11" s="6">
        <v>1000</v>
      </c>
      <c r="C11" s="6" t="s">
        <v>15</v>
      </c>
    </row>
    <row r="12" s="6" customFormat="1" spans="1:3">
      <c r="A12" s="6">
        <v>1009</v>
      </c>
      <c r="B12" s="6">
        <v>1000</v>
      </c>
      <c r="C12" s="6" t="s">
        <v>16</v>
      </c>
    </row>
    <row r="13" s="6" customFormat="1" spans="1:3">
      <c r="A13" s="6">
        <v>1010</v>
      </c>
      <c r="B13" s="6">
        <v>1000</v>
      </c>
      <c r="C13" s="6" t="s">
        <v>17</v>
      </c>
    </row>
    <row r="14" s="6" customFormat="1" spans="1:3">
      <c r="A14" s="6">
        <v>1011</v>
      </c>
      <c r="B14" s="6">
        <v>1000</v>
      </c>
      <c r="C14" s="6" t="s">
        <v>18</v>
      </c>
    </row>
    <row r="15" s="6" customFormat="1" spans="1:3">
      <c r="A15" s="6">
        <v>1012</v>
      </c>
      <c r="B15" s="6">
        <v>1000</v>
      </c>
      <c r="C15" s="6" t="s">
        <v>19</v>
      </c>
    </row>
    <row r="16" s="6" customFormat="1" spans="1:3">
      <c r="A16" s="6">
        <v>1013</v>
      </c>
      <c r="B16" s="6">
        <v>1000</v>
      </c>
      <c r="C16" s="6" t="s">
        <v>20</v>
      </c>
    </row>
    <row r="17" customFormat="1" spans="1:3">
      <c r="A17">
        <v>2001</v>
      </c>
      <c r="B17">
        <v>1000</v>
      </c>
      <c r="C17" t="s">
        <v>21</v>
      </c>
    </row>
    <row r="18" customFormat="1" spans="1:3">
      <c r="A18">
        <v>2002</v>
      </c>
      <c r="B18">
        <v>1000</v>
      </c>
      <c r="C18" t="s">
        <v>22</v>
      </c>
    </row>
    <row r="19" customFormat="1" spans="1:3">
      <c r="A19">
        <v>2003</v>
      </c>
      <c r="B19">
        <v>1000</v>
      </c>
      <c r="C19" t="s">
        <v>23</v>
      </c>
    </row>
    <row r="20" customFormat="1" spans="1:3">
      <c r="A20">
        <v>2004</v>
      </c>
      <c r="B20">
        <v>1000</v>
      </c>
      <c r="C20" t="s">
        <v>24</v>
      </c>
    </row>
    <row r="21" s="6" customFormat="1" spans="1:3">
      <c r="A21" s="6">
        <v>3001</v>
      </c>
      <c r="B21" s="6">
        <v>1000</v>
      </c>
      <c r="C21" s="6" t="s">
        <v>25</v>
      </c>
    </row>
    <row r="22" s="6" customFormat="1" spans="1:3">
      <c r="A22" s="6">
        <v>3002</v>
      </c>
      <c r="B22" s="6">
        <v>1000</v>
      </c>
      <c r="C22" s="6" t="s">
        <v>26</v>
      </c>
    </row>
    <row r="23" s="6" customFormat="1" spans="1:3">
      <c r="A23" s="6">
        <v>3003</v>
      </c>
      <c r="B23" s="6">
        <v>1000</v>
      </c>
      <c r="C23" s="6" t="s">
        <v>27</v>
      </c>
    </row>
    <row r="24" s="6" customFormat="1" spans="1:3">
      <c r="A24" s="6">
        <v>3004</v>
      </c>
      <c r="B24" s="6">
        <v>1000</v>
      </c>
      <c r="C24" s="6" t="s">
        <v>28</v>
      </c>
    </row>
    <row r="25" s="6" customFormat="1" spans="1:3">
      <c r="A25" s="6">
        <v>3005</v>
      </c>
      <c r="B25" s="6">
        <v>1000</v>
      </c>
      <c r="C25" s="6" t="s">
        <v>29</v>
      </c>
    </row>
    <row r="26" s="6" customFormat="1" spans="1:3">
      <c r="A26" s="6">
        <v>3006</v>
      </c>
      <c r="B26" s="6">
        <v>1000</v>
      </c>
      <c r="C26" s="6" t="s">
        <v>30</v>
      </c>
    </row>
    <row r="27" s="6" customFormat="1" spans="1:3">
      <c r="A27" s="6">
        <v>3007</v>
      </c>
      <c r="B27" s="6">
        <v>1000</v>
      </c>
      <c r="C27" s="6" t="s">
        <v>31</v>
      </c>
    </row>
    <row r="28" s="7" customFormat="1" spans="1:3">
      <c r="A28" s="7">
        <v>3101</v>
      </c>
      <c r="B28" s="7">
        <v>1000</v>
      </c>
      <c r="C28" s="7" t="s">
        <v>32</v>
      </c>
    </row>
    <row r="29" s="7" customFormat="1" spans="1:3">
      <c r="A29" s="7">
        <v>3102</v>
      </c>
      <c r="B29" s="7">
        <v>1000</v>
      </c>
      <c r="C29" s="7" t="s">
        <v>33</v>
      </c>
    </row>
    <row r="30" s="7" customFormat="1" spans="1:3">
      <c r="A30" s="7">
        <v>3103</v>
      </c>
      <c r="B30" s="7">
        <v>1000</v>
      </c>
      <c r="C30" s="7" t="s">
        <v>34</v>
      </c>
    </row>
    <row r="31" s="7" customFormat="1" spans="1:3">
      <c r="A31" s="7">
        <v>3104</v>
      </c>
      <c r="B31" s="7">
        <v>1000</v>
      </c>
      <c r="C31" s="7" t="s">
        <v>35</v>
      </c>
    </row>
    <row r="32" s="7" customFormat="1" spans="1:3">
      <c r="A32" s="7">
        <v>3105</v>
      </c>
      <c r="B32" s="7">
        <v>1000</v>
      </c>
      <c r="C32" s="7" t="s">
        <v>36</v>
      </c>
    </row>
    <row r="33" s="7" customFormat="1" spans="1:3">
      <c r="A33" s="7">
        <v>3106</v>
      </c>
      <c r="B33" s="7">
        <v>1000</v>
      </c>
      <c r="C33" s="7" t="s">
        <v>37</v>
      </c>
    </row>
    <row r="34" s="7" customFormat="1" spans="1:3">
      <c r="A34" s="7">
        <v>3107</v>
      </c>
      <c r="B34" s="7">
        <v>1000</v>
      </c>
      <c r="C34" s="7" t="s">
        <v>38</v>
      </c>
    </row>
    <row r="35" s="6" customFormat="1" spans="1:3">
      <c r="A35" s="6">
        <v>3201</v>
      </c>
      <c r="B35" s="6">
        <v>1000</v>
      </c>
      <c r="C35" s="6" t="s">
        <v>39</v>
      </c>
    </row>
    <row r="36" s="6" customFormat="1" spans="1:3">
      <c r="A36" s="6">
        <v>3202</v>
      </c>
      <c r="B36" s="6">
        <v>1000</v>
      </c>
      <c r="C36" s="6" t="s">
        <v>40</v>
      </c>
    </row>
    <row r="37" s="6" customFormat="1" spans="1:3">
      <c r="A37" s="6">
        <v>3203</v>
      </c>
      <c r="B37" s="6">
        <v>1000</v>
      </c>
      <c r="C37" s="6" t="s">
        <v>41</v>
      </c>
    </row>
    <row r="38" s="6" customFormat="1" spans="1:3">
      <c r="A38" s="6">
        <v>3204</v>
      </c>
      <c r="B38" s="6">
        <v>1000</v>
      </c>
      <c r="C38" s="6" t="s">
        <v>42</v>
      </c>
    </row>
    <row r="39" s="6" customFormat="1" spans="1:3">
      <c r="A39" s="6">
        <v>3205</v>
      </c>
      <c r="B39" s="6">
        <v>1000</v>
      </c>
      <c r="C39" s="6" t="s">
        <v>43</v>
      </c>
    </row>
    <row r="40" s="6" customFormat="1" spans="1:3">
      <c r="A40" s="6">
        <v>3206</v>
      </c>
      <c r="B40" s="6">
        <v>1000</v>
      </c>
      <c r="C40" s="6" t="s">
        <v>44</v>
      </c>
    </row>
    <row r="41" s="6" customFormat="1" spans="1:3">
      <c r="A41" s="6">
        <v>3207</v>
      </c>
      <c r="B41" s="6">
        <v>1000</v>
      </c>
      <c r="C41" s="6" t="s">
        <v>45</v>
      </c>
    </row>
    <row r="42" s="7" customFormat="1" spans="1:3">
      <c r="A42" s="7">
        <v>3301</v>
      </c>
      <c r="B42" s="7">
        <v>1000</v>
      </c>
      <c r="C42" s="7" t="s">
        <v>46</v>
      </c>
    </row>
    <row r="43" s="6" customFormat="1" spans="1:3">
      <c r="A43" s="6">
        <v>3302</v>
      </c>
      <c r="B43" s="6">
        <v>1000</v>
      </c>
      <c r="C43" s="6" t="s">
        <v>47</v>
      </c>
    </row>
    <row r="44" s="7" customFormat="1" spans="1:3">
      <c r="A44" s="7">
        <v>3303</v>
      </c>
      <c r="B44" s="7">
        <v>1000</v>
      </c>
      <c r="C44" s="7" t="s">
        <v>48</v>
      </c>
    </row>
    <row r="45" s="6" customFormat="1" spans="1:3">
      <c r="A45" s="6">
        <v>3304</v>
      </c>
      <c r="B45" s="6">
        <v>1000</v>
      </c>
      <c r="C45" s="6" t="s">
        <v>49</v>
      </c>
    </row>
    <row r="46" s="7" customFormat="1" spans="1:3">
      <c r="A46" s="7">
        <v>3305</v>
      </c>
      <c r="B46" s="7">
        <v>1000</v>
      </c>
      <c r="C46" s="7" t="s">
        <v>50</v>
      </c>
    </row>
    <row r="47" s="6" customFormat="1" spans="1:3">
      <c r="A47" s="6">
        <v>3306</v>
      </c>
      <c r="B47" s="6">
        <v>1000</v>
      </c>
      <c r="C47" s="6" t="s">
        <v>51</v>
      </c>
    </row>
    <row r="48" spans="1:3">
      <c r="A48">
        <v>4001</v>
      </c>
      <c r="B48" s="7">
        <v>1000</v>
      </c>
      <c r="C48" t="s">
        <v>52</v>
      </c>
    </row>
    <row r="49" spans="1:3">
      <c r="A49">
        <v>4002</v>
      </c>
      <c r="B49" s="7">
        <v>1000</v>
      </c>
      <c r="C49" t="s">
        <v>53</v>
      </c>
    </row>
    <row r="50" spans="1:3">
      <c r="A50">
        <v>4003</v>
      </c>
      <c r="B50" s="7">
        <v>1000</v>
      </c>
      <c r="C50" t="s">
        <v>54</v>
      </c>
    </row>
    <row r="51" spans="1:3">
      <c r="A51">
        <v>4004</v>
      </c>
      <c r="B51" s="7">
        <v>1000</v>
      </c>
      <c r="C51" t="s">
        <v>55</v>
      </c>
    </row>
    <row r="52" spans="1:3">
      <c r="A52">
        <v>4005</v>
      </c>
      <c r="B52" s="7">
        <v>1000</v>
      </c>
      <c r="C52" t="s">
        <v>56</v>
      </c>
    </row>
    <row r="53" spans="1:3">
      <c r="A53">
        <v>4006</v>
      </c>
      <c r="B53" s="7">
        <v>1000</v>
      </c>
      <c r="C53" t="s">
        <v>57</v>
      </c>
    </row>
    <row r="54" spans="1:3">
      <c r="A54">
        <v>4007</v>
      </c>
      <c r="B54" s="7">
        <v>1000</v>
      </c>
      <c r="C54" t="s">
        <v>58</v>
      </c>
    </row>
    <row r="55" spans="1:3">
      <c r="A55">
        <v>4008</v>
      </c>
      <c r="B55" s="7">
        <v>1000</v>
      </c>
      <c r="C55" t="s">
        <v>59</v>
      </c>
    </row>
    <row r="56" spans="1:3">
      <c r="A56">
        <v>4009</v>
      </c>
      <c r="B56" s="7">
        <v>1000</v>
      </c>
      <c r="C56" t="s">
        <v>60</v>
      </c>
    </row>
    <row r="57" spans="1:3">
      <c r="A57">
        <v>4010</v>
      </c>
      <c r="B57" s="7">
        <v>1000</v>
      </c>
      <c r="C57" t="s">
        <v>61</v>
      </c>
    </row>
    <row r="58" spans="1:3">
      <c r="A58">
        <v>4011</v>
      </c>
      <c r="B58" s="7">
        <v>1000</v>
      </c>
      <c r="C58" t="s">
        <v>62</v>
      </c>
    </row>
    <row r="59" spans="1:3">
      <c r="A59">
        <v>4012</v>
      </c>
      <c r="B59" s="7">
        <v>1000</v>
      </c>
      <c r="C59" t="s">
        <v>63</v>
      </c>
    </row>
    <row r="60" spans="1:3">
      <c r="A60">
        <v>4013</v>
      </c>
      <c r="B60" s="7">
        <v>1000</v>
      </c>
      <c r="C60" t="s">
        <v>64</v>
      </c>
    </row>
    <row r="61" spans="1:3">
      <c r="A61">
        <v>4014</v>
      </c>
      <c r="B61" s="7">
        <v>1000</v>
      </c>
      <c r="C61" t="s">
        <v>65</v>
      </c>
    </row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7" ht="16.5" customHeight="1"/>
    <row r="148" ht="16.5" customHeight="1"/>
    <row r="149" ht="16.5" customHeight="1"/>
    <row r="150" ht="16.5" customHeight="1"/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S22"/>
  <sheetViews>
    <sheetView workbookViewId="0">
      <selection activeCell="N22" sqref="N22"/>
    </sheetView>
  </sheetViews>
  <sheetFormatPr defaultColWidth="9" defaultRowHeight="13.5"/>
  <cols>
    <col min="2" max="2" width="18.25" customWidth="1"/>
    <col min="3" max="3" width="42.625" customWidth="1"/>
    <col min="5" max="5" width="13.875" customWidth="1"/>
    <col min="6" max="6" width="6.25" customWidth="1"/>
    <col min="7" max="7" width="9.625" customWidth="1"/>
  </cols>
  <sheetData>
    <row r="4" spans="2:2">
      <c r="B4" t="s">
        <v>66</v>
      </c>
    </row>
    <row r="5" spans="2:4">
      <c r="B5">
        <v>1</v>
      </c>
      <c r="C5">
        <f>D5/20</f>
        <v>1</v>
      </c>
      <c r="D5">
        <v>20</v>
      </c>
    </row>
    <row r="6" spans="2:4">
      <c r="B6">
        <v>2</v>
      </c>
      <c r="C6">
        <f t="shared" ref="C6:C13" si="0">D6/20</f>
        <v>1.25</v>
      </c>
      <c r="D6">
        <v>25</v>
      </c>
    </row>
    <row r="7" spans="2:4">
      <c r="B7">
        <v>3</v>
      </c>
      <c r="C7">
        <f t="shared" si="0"/>
        <v>1.5</v>
      </c>
      <c r="D7">
        <v>30</v>
      </c>
    </row>
    <row r="8" spans="2:4">
      <c r="B8" s="2">
        <v>4</v>
      </c>
      <c r="C8" s="2">
        <f t="shared" si="0"/>
        <v>2</v>
      </c>
      <c r="D8" s="2">
        <v>40</v>
      </c>
    </row>
    <row r="9" spans="2:4">
      <c r="B9">
        <v>5</v>
      </c>
      <c r="C9">
        <f t="shared" si="0"/>
        <v>2.5</v>
      </c>
      <c r="D9">
        <v>50</v>
      </c>
    </row>
    <row r="10" spans="2:4">
      <c r="B10">
        <v>6</v>
      </c>
      <c r="C10">
        <f t="shared" si="0"/>
        <v>3.25</v>
      </c>
      <c r="D10">
        <v>65</v>
      </c>
    </row>
    <row r="11" spans="2:4">
      <c r="B11">
        <v>7</v>
      </c>
      <c r="C11">
        <f t="shared" si="0"/>
        <v>3.5</v>
      </c>
      <c r="D11">
        <v>70</v>
      </c>
    </row>
    <row r="12" spans="2:4">
      <c r="B12">
        <v>8</v>
      </c>
      <c r="C12">
        <f t="shared" si="0"/>
        <v>4.5</v>
      </c>
      <c r="D12">
        <v>90</v>
      </c>
    </row>
    <row r="13" spans="2:4">
      <c r="B13">
        <v>9</v>
      </c>
      <c r="C13">
        <f t="shared" si="0"/>
        <v>6</v>
      </c>
      <c r="D13">
        <v>120</v>
      </c>
    </row>
    <row r="16" customFormat="1" spans="2:19">
      <c r="B16" s="1" t="s">
        <v>67</v>
      </c>
      <c r="C16" t="s">
        <v>68</v>
      </c>
      <c r="D16" s="1"/>
      <c r="E16" t="s">
        <v>69</v>
      </c>
      <c r="F16" t="s">
        <v>70</v>
      </c>
      <c r="G16" t="s">
        <v>71</v>
      </c>
      <c r="H16" t="s">
        <v>72</v>
      </c>
      <c r="J16" t="s">
        <v>73</v>
      </c>
      <c r="K16" t="s">
        <v>74</v>
      </c>
      <c r="L16" t="s">
        <v>75</v>
      </c>
      <c r="M16" t="s">
        <v>76</v>
      </c>
      <c r="N16" s="4"/>
      <c r="O16" s="5"/>
      <c r="P16" t="s">
        <v>77</v>
      </c>
      <c r="Q16" t="s">
        <v>78</v>
      </c>
      <c r="S16" t="s">
        <v>79</v>
      </c>
    </row>
    <row r="17" customFormat="1" spans="1:19">
      <c r="A17">
        <v>201</v>
      </c>
      <c r="B17" s="1" t="str">
        <f t="shared" ref="B17:B22" si="1">""&amp;INT(N17/M17)&amp;"*"&amp;INT(N17*S17/M17*10)*0.1&amp;""</f>
        <v>4*0.8</v>
      </c>
      <c r="C17" t="str">
        <f t="shared" ref="C17:C22" si="2">""&amp;INT(E17*0.35)&amp;"#"&amp;F17&amp;"#"&amp;INT(N17/J17*10)*0.1&amp;"*"&amp;INT(S17*N17/J17*10)*0.1&amp;"|"&amp;INT(E17*0.7)&amp;"#"&amp;G17&amp;"#"&amp;INT(N17*P17/K17*10)*0.1&amp;"*"&amp;INT(S17*N17*P17/K17*10)*0.1&amp;"|"&amp;INT(E17*1.1)&amp;"#"&amp;H17&amp;"#"&amp;INT(N17*Q17/L17*10)*0.1&amp;"*"&amp;INT(S17*N17*Q17/L17*10)*0.1&amp;""</f>
        <v>7#1#3*0.6|14#2#2.8*0.5|22#3#3*0.6</v>
      </c>
      <c r="E17" s="3">
        <v>20</v>
      </c>
      <c r="F17">
        <v>1</v>
      </c>
      <c r="G17">
        <v>2</v>
      </c>
      <c r="H17">
        <v>3</v>
      </c>
      <c r="J17">
        <f>CHOOSE(F17,辅助!$C$5,辅助!$C$6,辅助!$C$7,辅助!$C$8,辅助!$C$9,辅助!$C$10,辅助!$C$11,辅助!$C$12,辅助!$C$13)</f>
        <v>1</v>
      </c>
      <c r="K17">
        <f>CHOOSE(G17,辅助!$C$5,辅助!$C$6,辅助!$C$7,辅助!$C$8,辅助!$C$9,辅助!$C$10,辅助!$C$11,辅助!$C$12,辅助!$C$13)</f>
        <v>1.25</v>
      </c>
      <c r="L17">
        <f>CHOOSE(H17,辅助!$C$5,辅助!$C$6,辅助!$C$7,辅助!$C$8,辅助!$C$9,辅助!$C$10,辅助!$C$11,辅助!$C$12,辅助!$C$13)</f>
        <v>1.5</v>
      </c>
      <c r="M17">
        <v>0.7</v>
      </c>
      <c r="N17" s="4">
        <v>3</v>
      </c>
      <c r="O17" s="5"/>
      <c r="P17">
        <v>1.2</v>
      </c>
      <c r="Q17">
        <v>1.5</v>
      </c>
      <c r="S17">
        <v>0.2</v>
      </c>
    </row>
    <row r="18" customFormat="1" spans="1:19">
      <c r="A18">
        <v>202</v>
      </c>
      <c r="B18" s="1" t="str">
        <f t="shared" si="1"/>
        <v>21*4.2</v>
      </c>
      <c r="C18" t="str">
        <f t="shared" si="2"/>
        <v>12#4#7.5*1.5|25#5#7.2*1.4|39#6#6.9*1.3</v>
      </c>
      <c r="E18" s="3">
        <v>36</v>
      </c>
      <c r="F18">
        <v>4</v>
      </c>
      <c r="G18">
        <v>5</v>
      </c>
      <c r="H18">
        <v>6</v>
      </c>
      <c r="J18">
        <f>CHOOSE(F18,辅助!$C$5,辅助!$C$6,辅助!$C$7,辅助!$C$8,辅助!$C$9,辅助!$C$10,辅助!$C$11,辅助!$C$12,辅助!$C$13)</f>
        <v>2</v>
      </c>
      <c r="K18">
        <f>CHOOSE(G18,辅助!$C$5,辅助!$C$6,辅助!$C$7,辅助!$C$8,辅助!$C$9,辅助!$C$10,辅助!$C$11,辅助!$C$12,辅助!$C$13)</f>
        <v>2.5</v>
      </c>
      <c r="L18">
        <f>CHOOSE(H18,辅助!$C$5,辅助!$C$6,辅助!$C$7,辅助!$C$8,辅助!$C$9,辅助!$C$10,辅助!$C$11,辅助!$C$12,辅助!$C$13)</f>
        <v>3.25</v>
      </c>
      <c r="M18">
        <v>0.7</v>
      </c>
      <c r="N18" s="4">
        <v>15</v>
      </c>
      <c r="O18" s="5"/>
      <c r="P18">
        <v>1.2</v>
      </c>
      <c r="Q18">
        <v>1.5</v>
      </c>
      <c r="S18">
        <v>0.2</v>
      </c>
    </row>
    <row r="19" customFormat="1" spans="1:19">
      <c r="A19">
        <v>203</v>
      </c>
      <c r="B19" s="1" t="str">
        <f t="shared" si="1"/>
        <v>42*8.5</v>
      </c>
      <c r="C19" t="str">
        <f t="shared" si="2"/>
        <v>16#7#8.5*1.7|33#8#8*1.6|52#9#7.5*1.5</v>
      </c>
      <c r="E19" s="3">
        <v>48</v>
      </c>
      <c r="F19">
        <v>7</v>
      </c>
      <c r="G19">
        <v>8</v>
      </c>
      <c r="H19">
        <v>9</v>
      </c>
      <c r="J19">
        <f>CHOOSE(F19,辅助!$C$5,辅助!$C$6,辅助!$C$7,辅助!$C$8,辅助!$C$9,辅助!$C$10,辅助!$C$11,辅助!$C$12,辅助!$C$13)</f>
        <v>3.5</v>
      </c>
      <c r="K19">
        <f>CHOOSE(G19,辅助!$C$5,辅助!$C$6,辅助!$C$7,辅助!$C$8,辅助!$C$9,辅助!$C$10,辅助!$C$11,辅助!$C$12,辅助!$C$13)</f>
        <v>4.5</v>
      </c>
      <c r="L19">
        <f>CHOOSE(H19,辅助!$C$5,辅助!$C$6,辅助!$C$7,辅助!$C$8,辅助!$C$9,辅助!$C$10,辅助!$C$11,辅助!$C$12,辅助!$C$13)</f>
        <v>6</v>
      </c>
      <c r="M19">
        <v>0.7</v>
      </c>
      <c r="N19" s="4">
        <v>30</v>
      </c>
      <c r="O19" s="5"/>
      <c r="P19">
        <v>1.2</v>
      </c>
      <c r="Q19">
        <v>1.5</v>
      </c>
      <c r="S19">
        <v>0.2</v>
      </c>
    </row>
    <row r="20" customFormat="1" spans="1:19">
      <c r="A20">
        <v>301</v>
      </c>
      <c r="B20" s="1" t="str">
        <f t="shared" si="1"/>
        <v>4*0.8</v>
      </c>
      <c r="C20" t="str">
        <f t="shared" si="2"/>
        <v>10#1#3*0.6|21#2#2.8*0.5|33#3#3*0.6</v>
      </c>
      <c r="E20" s="3">
        <v>30</v>
      </c>
      <c r="F20">
        <v>1</v>
      </c>
      <c r="G20">
        <v>2</v>
      </c>
      <c r="H20">
        <v>3</v>
      </c>
      <c r="J20">
        <f>CHOOSE(F20,辅助!$C$5,辅助!$C$6,辅助!$C$7,辅助!$C$8,辅助!$C$9,辅助!$C$10,辅助!$C$11,辅助!$C$12,辅助!$C$13)</f>
        <v>1</v>
      </c>
      <c r="K20">
        <f>CHOOSE(G20,辅助!$C$5,辅助!$C$6,辅助!$C$7,辅助!$C$8,辅助!$C$9,辅助!$C$10,辅助!$C$11,辅助!$C$12,辅助!$C$13)</f>
        <v>1.25</v>
      </c>
      <c r="L20">
        <f>CHOOSE(H20,辅助!$C$5,辅助!$C$6,辅助!$C$7,辅助!$C$8,辅助!$C$9,辅助!$C$10,辅助!$C$11,辅助!$C$12,辅助!$C$13)</f>
        <v>1.5</v>
      </c>
      <c r="M20">
        <v>0.7</v>
      </c>
      <c r="N20" s="4">
        <v>3</v>
      </c>
      <c r="O20" s="5"/>
      <c r="P20">
        <v>1.2</v>
      </c>
      <c r="Q20">
        <v>1.5</v>
      </c>
      <c r="S20">
        <v>0.2</v>
      </c>
    </row>
    <row r="21" customFormat="1" spans="1:19">
      <c r="A21">
        <v>302</v>
      </c>
      <c r="B21" s="1" t="str">
        <f t="shared" si="1"/>
        <v>21*4.2</v>
      </c>
      <c r="C21" t="str">
        <f t="shared" si="2"/>
        <v>14#4#7.5*1.5|28#5#7.2*1.4|44#6#6.9*1.3</v>
      </c>
      <c r="E21" s="3">
        <v>40</v>
      </c>
      <c r="F21">
        <v>4</v>
      </c>
      <c r="G21">
        <v>5</v>
      </c>
      <c r="H21">
        <v>6</v>
      </c>
      <c r="J21">
        <f>CHOOSE(F21,辅助!$C$5,辅助!$C$6,辅助!$C$7,辅助!$C$8,辅助!$C$9,辅助!$C$10,辅助!$C$11,辅助!$C$12,辅助!$C$13)</f>
        <v>2</v>
      </c>
      <c r="K21">
        <f>CHOOSE(G21,辅助!$C$5,辅助!$C$6,辅助!$C$7,辅助!$C$8,辅助!$C$9,辅助!$C$10,辅助!$C$11,辅助!$C$12,辅助!$C$13)</f>
        <v>2.5</v>
      </c>
      <c r="L21">
        <f>CHOOSE(H21,辅助!$C$5,辅助!$C$6,辅助!$C$7,辅助!$C$8,辅助!$C$9,辅助!$C$10,辅助!$C$11,辅助!$C$12,辅助!$C$13)</f>
        <v>3.25</v>
      </c>
      <c r="M21">
        <v>0.7</v>
      </c>
      <c r="N21" s="4">
        <v>15</v>
      </c>
      <c r="O21" s="5"/>
      <c r="P21">
        <v>1.2</v>
      </c>
      <c r="Q21">
        <v>1.5</v>
      </c>
      <c r="S21">
        <v>0.2</v>
      </c>
    </row>
    <row r="22" customFormat="1" spans="1:19">
      <c r="A22">
        <v>303</v>
      </c>
      <c r="B22" s="1" t="str">
        <f t="shared" si="1"/>
        <v>42*8.5</v>
      </c>
      <c r="C22" t="str">
        <f t="shared" si="2"/>
        <v>17#7#8.5*1.7|35#8#8*1.6|55#9#7.5*1.5</v>
      </c>
      <c r="E22" s="3">
        <v>50</v>
      </c>
      <c r="F22">
        <v>7</v>
      </c>
      <c r="G22">
        <v>8</v>
      </c>
      <c r="H22">
        <v>9</v>
      </c>
      <c r="J22">
        <f>CHOOSE(F22,辅助!$C$5,辅助!$C$6,辅助!$C$7,辅助!$C$8,辅助!$C$9,辅助!$C$10,辅助!$C$11,辅助!$C$12,辅助!$C$13)</f>
        <v>3.5</v>
      </c>
      <c r="K22">
        <f>CHOOSE(G22,辅助!$C$5,辅助!$C$6,辅助!$C$7,辅助!$C$8,辅助!$C$9,辅助!$C$10,辅助!$C$11,辅助!$C$12,辅助!$C$13)</f>
        <v>4.5</v>
      </c>
      <c r="L22">
        <f>CHOOSE(H22,辅助!$C$5,辅助!$C$6,辅助!$C$7,辅助!$C$8,辅助!$C$9,辅助!$C$10,辅助!$C$11,辅助!$C$12,辅助!$C$13)</f>
        <v>6</v>
      </c>
      <c r="M22">
        <v>0.7</v>
      </c>
      <c r="N22" s="4">
        <v>30</v>
      </c>
      <c r="O22" s="5"/>
      <c r="P22">
        <v>1.2</v>
      </c>
      <c r="Q22">
        <v>1.5</v>
      </c>
      <c r="S22">
        <v>0.2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opLeftCell="A22" workbookViewId="0">
      <selection activeCell="B36" sqref="B36"/>
    </sheetView>
  </sheetViews>
  <sheetFormatPr defaultColWidth="9" defaultRowHeight="13.5"/>
  <cols>
    <col min="2" max="2" width="70.25" customWidth="1"/>
    <col min="3" max="3" width="29.25" customWidth="1"/>
    <col min="4" max="4" width="27.625" customWidth="1"/>
  </cols>
  <sheetData>
    <row r="1" spans="8:12">
      <c r="H1" s="1"/>
      <c r="I1" s="1"/>
      <c r="J1" s="1"/>
      <c r="K1" s="1"/>
      <c r="L1" s="1"/>
    </row>
    <row r="2" spans="11:11">
      <c r="K2" s="1"/>
    </row>
    <row r="3" spans="11:11">
      <c r="K3" s="1"/>
    </row>
    <row r="4" spans="8:12">
      <c r="H4" s="1"/>
      <c r="K4" s="1"/>
      <c r="L4" s="1"/>
    </row>
    <row r="5" spans="8:12">
      <c r="H5" s="1"/>
      <c r="K5" s="1"/>
      <c r="L5" s="1"/>
    </row>
    <row r="6" spans="11:12">
      <c r="K6" s="1"/>
      <c r="L6" s="1"/>
    </row>
    <row r="7" spans="11:12">
      <c r="K7" s="1"/>
      <c r="L7" s="1"/>
    </row>
    <row r="8" spans="8:12">
      <c r="H8" s="1"/>
      <c r="I8" s="1"/>
      <c r="J8" s="1"/>
      <c r="K8" s="1"/>
      <c r="L8" s="1"/>
    </row>
    <row r="9" spans="10:12">
      <c r="J9" s="1"/>
      <c r="K9" s="1" t="s">
        <v>80</v>
      </c>
      <c r="L9" s="1" t="s">
        <v>81</v>
      </c>
    </row>
    <row r="10" spans="10:12">
      <c r="J10" s="1"/>
      <c r="K10" s="1">
        <v>529</v>
      </c>
      <c r="L10" s="1">
        <v>530</v>
      </c>
    </row>
    <row r="11" spans="8:12">
      <c r="H11" s="1"/>
      <c r="I11" s="1"/>
      <c r="J11" s="1"/>
      <c r="K11" s="1"/>
      <c r="L11" s="1"/>
    </row>
    <row r="12" spans="8:12">
      <c r="H12" s="1"/>
      <c r="I12" s="1"/>
      <c r="J12" s="1"/>
      <c r="K12" s="1"/>
      <c r="L12" s="1"/>
    </row>
    <row r="13" spans="8:12">
      <c r="H13" s="1" t="s">
        <v>82</v>
      </c>
      <c r="I13" s="1"/>
      <c r="J13" s="1"/>
      <c r="K13" s="1"/>
      <c r="L13" s="1"/>
    </row>
    <row r="14" spans="8:12">
      <c r="H14" s="1">
        <v>565</v>
      </c>
      <c r="I14" s="1"/>
      <c r="J14" s="1"/>
      <c r="K14" s="1"/>
      <c r="L14" s="1"/>
    </row>
    <row r="15" spans="8:12">
      <c r="H15" s="1"/>
      <c r="I15" s="1"/>
      <c r="J15" s="1"/>
      <c r="K15" s="1"/>
      <c r="L15" s="1"/>
    </row>
    <row r="16" spans="8:12">
      <c r="H16" s="1" t="s">
        <v>83</v>
      </c>
      <c r="I16" s="1"/>
      <c r="J16" s="1"/>
      <c r="K16" s="1"/>
      <c r="L16" s="1"/>
    </row>
    <row r="17" spans="8:12">
      <c r="H17" s="1">
        <v>563</v>
      </c>
      <c r="I17" s="1"/>
      <c r="J17" s="1"/>
      <c r="K17" s="1"/>
      <c r="L17" s="1"/>
    </row>
    <row r="18" spans="8:12">
      <c r="H18" s="1"/>
      <c r="I18" s="1"/>
      <c r="J18" s="1"/>
      <c r="K18" s="1"/>
      <c r="L18" s="1"/>
    </row>
    <row r="19" spans="8:12">
      <c r="H19" s="1" t="s">
        <v>84</v>
      </c>
      <c r="J19" s="1"/>
      <c r="K19" s="1" t="s">
        <v>85</v>
      </c>
      <c r="L19" s="1" t="s">
        <v>86</v>
      </c>
    </row>
    <row r="20" spans="8:12">
      <c r="H20" s="1">
        <v>571</v>
      </c>
      <c r="J20" s="1"/>
      <c r="K20" s="1">
        <v>568</v>
      </c>
      <c r="L20" s="1">
        <v>567</v>
      </c>
    </row>
    <row r="21" spans="8:12">
      <c r="H21" s="1"/>
      <c r="I21" s="1"/>
      <c r="J21" s="1"/>
      <c r="K21" s="1"/>
      <c r="L21" s="1"/>
    </row>
    <row r="22" spans="8:12">
      <c r="H22" s="1"/>
      <c r="I22" s="1"/>
      <c r="J22" s="1"/>
      <c r="K22" s="1"/>
      <c r="L22" s="1"/>
    </row>
    <row r="23" spans="8:12">
      <c r="H23" s="1"/>
      <c r="I23" s="1"/>
      <c r="J23" s="1"/>
      <c r="K23" s="1"/>
      <c r="L23" s="1"/>
    </row>
    <row r="24" spans="6:12">
      <c r="F24" s="1" t="s">
        <v>87</v>
      </c>
      <c r="G24" s="1" t="s">
        <v>88</v>
      </c>
      <c r="H24" s="1" t="s">
        <v>89</v>
      </c>
      <c r="I24" s="1" t="s">
        <v>90</v>
      </c>
      <c r="J24" s="1" t="s">
        <v>91</v>
      </c>
      <c r="K24" s="1" t="s">
        <v>92</v>
      </c>
      <c r="L24" t="s">
        <v>93</v>
      </c>
    </row>
    <row r="25" spans="1:12">
      <c r="A25">
        <v>1</v>
      </c>
      <c r="B25" t="s">
        <v>94</v>
      </c>
      <c r="F25" s="1">
        <v>516</v>
      </c>
      <c r="G25" s="1">
        <v>103</v>
      </c>
      <c r="H25" s="1">
        <v>181</v>
      </c>
      <c r="I25" s="1">
        <v>147</v>
      </c>
      <c r="J25" s="1">
        <v>151</v>
      </c>
      <c r="K25" s="1">
        <v>149</v>
      </c>
      <c r="L25">
        <v>212</v>
      </c>
    </row>
    <row r="26" spans="1:2">
      <c r="A26">
        <v>2</v>
      </c>
      <c r="B26" t="s">
        <v>94</v>
      </c>
    </row>
    <row r="27" spans="1:2">
      <c r="A27">
        <v>3</v>
      </c>
      <c r="B27" t="s">
        <v>95</v>
      </c>
    </row>
    <row r="28" spans="1:11">
      <c r="A28">
        <v>4</v>
      </c>
      <c r="B28" t="s">
        <v>95</v>
      </c>
      <c r="F28" s="1" t="s">
        <v>96</v>
      </c>
      <c r="G28" s="1" t="s">
        <v>97</v>
      </c>
      <c r="H28" s="1" t="s">
        <v>98</v>
      </c>
      <c r="I28" s="1" t="s">
        <v>99</v>
      </c>
      <c r="J28" s="1" t="s">
        <v>100</v>
      </c>
      <c r="K28" s="1" t="s">
        <v>101</v>
      </c>
    </row>
    <row r="29" spans="1:11">
      <c r="A29">
        <v>5</v>
      </c>
      <c r="B29" t="s">
        <v>95</v>
      </c>
      <c r="F29" s="1">
        <v>143</v>
      </c>
      <c r="G29" s="1">
        <v>142</v>
      </c>
      <c r="H29" s="1">
        <v>905</v>
      </c>
      <c r="I29" s="1">
        <v>527</v>
      </c>
      <c r="J29" s="1">
        <v>528</v>
      </c>
      <c r="K29" s="1">
        <v>509</v>
      </c>
    </row>
    <row r="30" spans="1:2">
      <c r="A30">
        <v>6</v>
      </c>
      <c r="B30" t="s">
        <v>102</v>
      </c>
    </row>
    <row r="31" spans="1:2">
      <c r="A31">
        <v>1</v>
      </c>
      <c r="B31" t="s">
        <v>102</v>
      </c>
    </row>
    <row r="32" spans="1:2">
      <c r="A32">
        <v>2</v>
      </c>
      <c r="B32" t="s">
        <v>102</v>
      </c>
    </row>
    <row r="33" spans="1:2">
      <c r="A33">
        <v>3</v>
      </c>
      <c r="B33" t="s">
        <v>102</v>
      </c>
    </row>
    <row r="34" spans="1:2">
      <c r="A34">
        <v>4</v>
      </c>
      <c r="B34" t="s">
        <v>102</v>
      </c>
    </row>
    <row r="35" spans="1:2">
      <c r="A35">
        <v>5</v>
      </c>
      <c r="B35" t="s">
        <v>102</v>
      </c>
    </row>
    <row r="36" spans="1:2">
      <c r="A36">
        <v>6</v>
      </c>
      <c r="B36" t="s">
        <v>102</v>
      </c>
    </row>
    <row r="37" spans="1:2">
      <c r="A37">
        <v>1</v>
      </c>
      <c r="B37" t="s">
        <v>103</v>
      </c>
    </row>
    <row r="38" spans="1:2">
      <c r="A38">
        <v>2</v>
      </c>
      <c r="B38" t="s">
        <v>103</v>
      </c>
    </row>
    <row r="39" spans="1:2">
      <c r="A39">
        <v>3</v>
      </c>
      <c r="B39" t="s">
        <v>103</v>
      </c>
    </row>
    <row r="40" spans="1:2">
      <c r="A40">
        <v>4</v>
      </c>
      <c r="B40" t="s">
        <v>103</v>
      </c>
    </row>
    <row r="41" spans="1:2">
      <c r="A41">
        <v>5</v>
      </c>
      <c r="B41" t="s">
        <v>103</v>
      </c>
    </row>
    <row r="42" spans="1:2">
      <c r="A42">
        <v>6</v>
      </c>
      <c r="B42" t="s">
        <v>103</v>
      </c>
    </row>
    <row r="43" spans="1:2">
      <c r="A43">
        <v>1</v>
      </c>
      <c r="B43" t="s">
        <v>104</v>
      </c>
    </row>
    <row r="44" spans="1:2">
      <c r="A44">
        <v>2</v>
      </c>
      <c r="B44" t="s">
        <v>104</v>
      </c>
    </row>
    <row r="45" spans="1:2">
      <c r="A45">
        <v>3</v>
      </c>
      <c r="B45" t="s">
        <v>104</v>
      </c>
    </row>
    <row r="46" spans="1:2">
      <c r="A46">
        <v>4</v>
      </c>
      <c r="B46" t="s">
        <v>104</v>
      </c>
    </row>
    <row r="47" spans="1:2">
      <c r="A47">
        <v>5</v>
      </c>
      <c r="B47" t="s">
        <v>104</v>
      </c>
    </row>
    <row r="48" spans="1:2">
      <c r="A48">
        <v>6</v>
      </c>
      <c r="B48" t="s">
        <v>104</v>
      </c>
    </row>
    <row r="49" spans="1:2">
      <c r="A49">
        <v>1</v>
      </c>
      <c r="B49" t="s">
        <v>105</v>
      </c>
    </row>
    <row r="50" spans="1:2">
      <c r="A50">
        <v>2</v>
      </c>
      <c r="B50" t="s">
        <v>105</v>
      </c>
    </row>
    <row r="51" spans="1:2">
      <c r="A51">
        <v>3</v>
      </c>
      <c r="B51" t="s">
        <v>105</v>
      </c>
    </row>
    <row r="52" spans="1:2">
      <c r="A52">
        <v>4</v>
      </c>
      <c r="B52" t="s">
        <v>105</v>
      </c>
    </row>
    <row r="53" spans="1:2">
      <c r="A53">
        <v>5</v>
      </c>
      <c r="B53" t="s">
        <v>105</v>
      </c>
    </row>
    <row r="54" spans="1:2">
      <c r="A54">
        <v>6</v>
      </c>
      <c r="B54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Dungeondrop</vt:lpstr>
      <vt:lpstr>辅助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2020-12-02T08:05:00Z</dcterms:created>
  <dcterms:modified xsi:type="dcterms:W3CDTF">2024-12-19T10:49:34Z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75CE62447A8D49DB861B7CF122A6DD81</vt:lpwstr>
  </property>
</Properties>
</file>