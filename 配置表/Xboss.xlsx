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975"/>
  </bookViews>
  <sheets>
    <sheet name="Xbos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<sst xmlns="http://schemas.openxmlformats.org/spreadsheetml/2006/main" count="316" uniqueCount="73">
  <si>
    <t>Id</t>
  </si>
  <si>
    <t>Nextid</t>
  </si>
  <si>
    <t>Type</t>
  </si>
  <si>
    <t>Nexttype</t>
  </si>
  <si>
    <t>Mpaid</t>
  </si>
  <si>
    <t>Name</t>
  </si>
  <si>
    <t>Bossname</t>
  </si>
  <si>
    <t>Spine</t>
  </si>
  <si>
    <t>Icon</t>
  </si>
  <si>
    <t>Hp</t>
  </si>
  <si>
    <t>Opentime</t>
  </si>
  <si>
    <t>Time</t>
  </si>
  <si>
    <t>Level</t>
  </si>
  <si>
    <t>Jf</t>
  </si>
  <si>
    <t>Kill</t>
  </si>
  <si>
    <t>Att1</t>
  </si>
  <si>
    <t>Att2</t>
  </si>
  <si>
    <t>Att3</t>
  </si>
  <si>
    <t>int</t>
  </si>
  <si>
    <t>string</t>
  </si>
  <si>
    <t>float</t>
  </si>
  <si>
    <t>唯一id</t>
  </si>
  <si>
    <t>下一关id</t>
  </si>
  <si>
    <t>BOSS类型</t>
  </si>
  <si>
    <t>下一周BOSS类型</t>
  </si>
  <si>
    <t>地图id</t>
  </si>
  <si>
    <t>副本名称</t>
  </si>
  <si>
    <t>boss名称</t>
  </si>
  <si>
    <t>BOSSspine</t>
  </si>
  <si>
    <t>boss图片</t>
  </si>
  <si>
    <t>血量</t>
  </si>
  <si>
    <t>开放时间</t>
  </si>
  <si>
    <t>每日挑战次数</t>
  </si>
  <si>
    <t>难度名称</t>
  </si>
  <si>
    <t>积分系数</t>
  </si>
  <si>
    <t>击杀积分</t>
  </si>
  <si>
    <t>boss词库</t>
  </si>
  <si>
    <t>英雄词库</t>
  </si>
  <si>
    <t>简单</t>
  </si>
  <si>
    <t>剧毒史莱姆</t>
  </si>
  <si>
    <t>boss001_3d</t>
  </si>
  <si>
    <t>fuben1</t>
  </si>
  <si>
    <t>1,2,3,4,5,6,7</t>
  </si>
  <si>
    <t>初级</t>
  </si>
  <si>
    <t>100011|100021|100031|100041|100051|100061|100071|100081</t>
  </si>
  <si>
    <t>100101|100111|100121|100131|100141|100151|100161|100171</t>
  </si>
  <si>
    <t>100181|100191|100201|100211|100221|100231|100241|100251|100261</t>
  </si>
  <si>
    <t>精英</t>
  </si>
  <si>
    <t>fuben2</t>
  </si>
  <si>
    <t>中级</t>
  </si>
  <si>
    <t>勇士</t>
  </si>
  <si>
    <t>fuben3</t>
  </si>
  <si>
    <t>高级</t>
  </si>
  <si>
    <t>王者</t>
  </si>
  <si>
    <t>fuben4</t>
  </si>
  <si>
    <t>恐怖</t>
  </si>
  <si>
    <t>哥布林王</t>
  </si>
  <si>
    <t>boss002_3d</t>
  </si>
  <si>
    <t>魔王</t>
  </si>
  <si>
    <t>fuben5</t>
  </si>
  <si>
    <t>炼狱</t>
  </si>
  <si>
    <t>fuben6</t>
  </si>
  <si>
    <t>牛魔</t>
  </si>
  <si>
    <t>boss003_3d</t>
  </si>
  <si>
    <t>骷髅魔王</t>
  </si>
  <si>
    <t>boss004_3d</t>
  </si>
  <si>
    <t>1:1001:500</t>
  </si>
  <si>
    <t>1:1001:600</t>
  </si>
  <si>
    <t>1:1001:800</t>
  </si>
  <si>
    <t>1:1001:1000</t>
  </si>
  <si>
    <t>2:1006:1</t>
  </si>
  <si>
    <t>2:1005:1</t>
  </si>
  <si>
    <t>1&amp;1:1001:640|5&amp;1:1001:640|10&amp;1:1001:640|15&amp;1:1001:640|20&amp;1:1001:640|30&amp;1:1001:640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</si>
</sst>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 tint="0.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49" fontId="0" fillId="2" borderId="0" xfId="0" applyNumberFormat="1" applyFont="1" applyFill="1" applyAlignment="1">
      <alignment vertical="center"/>
    </xf>
    <xf numFmtId="49" fontId="0" fillId="2" borderId="1" xfId="0" applyNumberFormat="1" applyFont="1" applyFill="1" applyBorder="1" applyAlignment="1">
      <alignment vertical="center"/>
    </xf>
    <xf numFmtId="0" fontId="0" fillId="3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1"/>
  <sheetViews>
    <sheetView tabSelected="1" workbookViewId="0">
      <selection activeCell="N8" sqref="N8"/>
    </sheetView>
  </sheetViews>
  <sheetFormatPr defaultColWidth="9" defaultRowHeight="13.5"/>
  <cols>
    <col min="4" max="4" width="15.25" customWidth="1"/>
    <col min="11" max="11" width="9" style="4"/>
    <col min="12" max="12" width="12.875" style="4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4" t="s">
        <v>10</v>
      </c>
      <c r="L1" s="4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18</v>
      </c>
      <c r="C2" t="s">
        <v>18</v>
      </c>
      <c r="D2" t="s">
        <v>18</v>
      </c>
      <c r="E2" t="s">
        <v>18</v>
      </c>
      <c r="F2" t="s">
        <v>19</v>
      </c>
      <c r="G2" t="s">
        <v>19</v>
      </c>
      <c r="H2" t="s">
        <v>19</v>
      </c>
      <c r="I2" t="s">
        <v>19</v>
      </c>
      <c r="J2" t="s">
        <v>18</v>
      </c>
      <c r="K2" s="4" t="s">
        <v>19</v>
      </c>
      <c r="L2" s="4" t="s">
        <v>18</v>
      </c>
      <c r="M2" t="s">
        <v>19</v>
      </c>
      <c r="N2" t="s">
        <v>20</v>
      </c>
      <c r="O2" t="s">
        <v>18</v>
      </c>
      <c r="P2" t="s">
        <v>19</v>
      </c>
      <c r="Q2" t="s">
        <v>19</v>
      </c>
      <c r="R2" t="s">
        <v>19</v>
      </c>
    </row>
    <row r="3" spans="1:18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s="4" t="s">
        <v>31</v>
      </c>
      <c r="L3" s="4" t="s">
        <v>32</v>
      </c>
      <c r="M3" t="s">
        <v>33</v>
      </c>
      <c r="N3" t="s">
        <v>34</v>
      </c>
      <c r="O3" t="s">
        <v>35</v>
      </c>
      <c r="P3" t="s">
        <v>36</v>
      </c>
      <c r="Q3" t="s">
        <v>36</v>
      </c>
      <c r="R3" t="s">
        <v>37</v>
      </c>
    </row>
    <row r="4" spans="1:18">
      <c r="A4">
        <v>1</v>
      </c>
      <c r="B4">
        <v>2</v>
      </c>
      <c r="C4">
        <v>101</v>
      </c>
      <c r="D4">
        <v>102</v>
      </c>
      <c r="E4">
        <v>401</v>
      </c>
      <c r="F4" t="s">
        <v>38</v>
      </c>
      <c r="G4" t="s">
        <v>39</v>
      </c>
      <c r="H4" t="s">
        <v>40</v>
      </c>
      <c r="I4" t="s">
        <v>41</v>
      </c>
      <c r="J4">
        <v>100000</v>
      </c>
      <c r="K4" s="4" t="s">
        <v>42</v>
      </c>
      <c r="L4" s="4">
        <v>2</v>
      </c>
      <c r="M4" t="s">
        <v>43</v>
      </c>
      <c r="N4">
        <v>0.2</v>
      </c>
      <c r="O4">
        <f>J4*N4</f>
        <v>20000</v>
      </c>
      <c r="P4" t="s">
        <v>44</v>
      </c>
      <c r="Q4" t="s">
        <v>45</v>
      </c>
      <c r="R4" t="s">
        <v>46</v>
      </c>
    </row>
    <row r="5" spans="1:18">
      <c r="A5">
        <v>2</v>
      </c>
      <c r="B5">
        <v>3</v>
      </c>
      <c r="C5">
        <v>101</v>
      </c>
      <c r="D5">
        <v>102</v>
      </c>
      <c r="E5">
        <v>402</v>
      </c>
      <c r="F5" t="s">
        <v>47</v>
      </c>
      <c r="G5" t="s">
        <v>39</v>
      </c>
      <c r="H5" t="s">
        <v>40</v>
      </c>
      <c r="I5" t="s">
        <v>48</v>
      </c>
      <c r="J5">
        <v>150000</v>
      </c>
      <c r="K5" s="4" t="s">
        <v>42</v>
      </c>
      <c r="L5" s="4">
        <v>2</v>
      </c>
      <c r="M5" t="s">
        <v>49</v>
      </c>
      <c r="N5">
        <v>0.4</v>
      </c>
      <c r="O5">
        <f t="shared" ref="O5:O31" si="0">J5*N5</f>
        <v>60000</v>
      </c>
      <c r="P5" t="s">
        <v>44</v>
      </c>
      <c r="Q5" t="s">
        <v>45</v>
      </c>
      <c r="R5" t="s">
        <v>46</v>
      </c>
    </row>
    <row r="6" spans="1:18">
      <c r="A6">
        <v>3</v>
      </c>
      <c r="B6">
        <v>4</v>
      </c>
      <c r="C6">
        <v>101</v>
      </c>
      <c r="D6">
        <v>102</v>
      </c>
      <c r="E6">
        <v>403</v>
      </c>
      <c r="F6" t="s">
        <v>50</v>
      </c>
      <c r="G6" t="s">
        <v>39</v>
      </c>
      <c r="H6" t="s">
        <v>40</v>
      </c>
      <c r="I6" t="s">
        <v>51</v>
      </c>
      <c r="J6">
        <v>180000</v>
      </c>
      <c r="K6" s="4" t="s">
        <v>42</v>
      </c>
      <c r="L6" s="4">
        <v>2</v>
      </c>
      <c r="M6" t="s">
        <v>52</v>
      </c>
      <c r="N6">
        <v>0.6</v>
      </c>
      <c r="O6">
        <f t="shared" si="0"/>
        <v>108000</v>
      </c>
      <c r="P6" t="s">
        <v>44</v>
      </c>
      <c r="Q6" t="s">
        <v>45</v>
      </c>
      <c r="R6" t="s">
        <v>46</v>
      </c>
    </row>
    <row r="7" spans="1:18">
      <c r="A7">
        <v>4</v>
      </c>
      <c r="B7">
        <v>0</v>
      </c>
      <c r="C7">
        <v>101</v>
      </c>
      <c r="D7">
        <v>102</v>
      </c>
      <c r="E7">
        <v>404</v>
      </c>
      <c r="F7" t="s">
        <v>53</v>
      </c>
      <c r="G7" t="s">
        <v>39</v>
      </c>
      <c r="H7" t="s">
        <v>40</v>
      </c>
      <c r="I7" t="s">
        <v>54</v>
      </c>
      <c r="J7">
        <v>200000</v>
      </c>
      <c r="K7" s="4" t="s">
        <v>42</v>
      </c>
      <c r="L7" s="4">
        <v>2</v>
      </c>
      <c r="M7" t="s">
        <v>55</v>
      </c>
      <c r="N7">
        <v>0.8</v>
      </c>
      <c r="O7">
        <f t="shared" si="0"/>
        <v>160000</v>
      </c>
      <c r="P7" t="s">
        <v>44</v>
      </c>
      <c r="Q7" t="s">
        <v>45</v>
      </c>
      <c r="R7" t="s">
        <v>46</v>
      </c>
    </row>
    <row r="8" spans="1:18">
      <c r="A8">
        <v>5</v>
      </c>
      <c r="B8">
        <v>6</v>
      </c>
      <c r="C8">
        <v>102</v>
      </c>
      <c r="D8">
        <v>103</v>
      </c>
      <c r="E8">
        <v>405</v>
      </c>
      <c r="F8" t="s">
        <v>38</v>
      </c>
      <c r="G8" t="s">
        <v>56</v>
      </c>
      <c r="H8" t="s">
        <v>57</v>
      </c>
      <c r="I8" t="s">
        <v>41</v>
      </c>
      <c r="J8">
        <v>100000</v>
      </c>
      <c r="K8" s="4" t="s">
        <v>42</v>
      </c>
      <c r="L8" s="4">
        <v>2</v>
      </c>
      <c r="M8" t="s">
        <v>43</v>
      </c>
      <c r="N8">
        <v>0.2</v>
      </c>
      <c r="O8">
        <f t="shared" si="0"/>
        <v>20000</v>
      </c>
      <c r="P8" t="s">
        <v>44</v>
      </c>
      <c r="Q8" t="s">
        <v>45</v>
      </c>
      <c r="R8" t="s">
        <v>46</v>
      </c>
    </row>
    <row r="9" spans="1:18">
      <c r="A9">
        <v>6</v>
      </c>
      <c r="B9">
        <v>7</v>
      </c>
      <c r="C9">
        <v>102</v>
      </c>
      <c r="D9">
        <v>103</v>
      </c>
      <c r="E9">
        <v>406</v>
      </c>
      <c r="F9" t="s">
        <v>47</v>
      </c>
      <c r="G9" t="s">
        <v>56</v>
      </c>
      <c r="H9" t="s">
        <v>57</v>
      </c>
      <c r="I9" t="s">
        <v>48</v>
      </c>
      <c r="J9">
        <v>150000</v>
      </c>
      <c r="K9" s="4" t="s">
        <v>42</v>
      </c>
      <c r="L9" s="4">
        <v>2</v>
      </c>
      <c r="M9" t="s">
        <v>49</v>
      </c>
      <c r="N9">
        <v>0.4</v>
      </c>
      <c r="O9">
        <f t="shared" si="0"/>
        <v>60000</v>
      </c>
      <c r="P9" t="s">
        <v>44</v>
      </c>
      <c r="Q9" t="s">
        <v>45</v>
      </c>
      <c r="R9" t="s">
        <v>46</v>
      </c>
    </row>
    <row r="10" spans="1:18">
      <c r="A10">
        <v>7</v>
      </c>
      <c r="B10">
        <v>8</v>
      </c>
      <c r="C10">
        <v>102</v>
      </c>
      <c r="D10">
        <v>103</v>
      </c>
      <c r="E10">
        <v>407</v>
      </c>
      <c r="F10" t="s">
        <v>50</v>
      </c>
      <c r="G10" t="s">
        <v>56</v>
      </c>
      <c r="H10" t="s">
        <v>57</v>
      </c>
      <c r="I10" t="s">
        <v>51</v>
      </c>
      <c r="J10">
        <v>180000</v>
      </c>
      <c r="K10" s="4" t="s">
        <v>42</v>
      </c>
      <c r="L10" s="4">
        <v>2</v>
      </c>
      <c r="M10" t="s">
        <v>52</v>
      </c>
      <c r="N10">
        <v>0.6</v>
      </c>
      <c r="O10">
        <f t="shared" si="0"/>
        <v>108000</v>
      </c>
      <c r="P10" t="s">
        <v>44</v>
      </c>
      <c r="Q10" t="s">
        <v>45</v>
      </c>
      <c r="R10" t="s">
        <v>46</v>
      </c>
    </row>
    <row r="11" spans="1:18">
      <c r="A11">
        <v>8</v>
      </c>
      <c r="B11">
        <v>9</v>
      </c>
      <c r="C11">
        <v>102</v>
      </c>
      <c r="D11">
        <v>103</v>
      </c>
      <c r="E11">
        <v>408</v>
      </c>
      <c r="F11" t="s">
        <v>53</v>
      </c>
      <c r="G11" t="s">
        <v>56</v>
      </c>
      <c r="H11" t="s">
        <v>57</v>
      </c>
      <c r="I11" t="s">
        <v>54</v>
      </c>
      <c r="J11">
        <v>200000</v>
      </c>
      <c r="K11" s="4" t="s">
        <v>42</v>
      </c>
      <c r="L11" s="4">
        <v>2</v>
      </c>
      <c r="M11" t="s">
        <v>55</v>
      </c>
      <c r="N11">
        <v>0.8</v>
      </c>
      <c r="O11">
        <f t="shared" si="0"/>
        <v>160000</v>
      </c>
      <c r="P11" t="s">
        <v>44</v>
      </c>
      <c r="Q11" t="s">
        <v>45</v>
      </c>
      <c r="R11" t="s">
        <v>46</v>
      </c>
    </row>
    <row r="12" spans="1:18">
      <c r="A12">
        <v>9</v>
      </c>
      <c r="B12">
        <v>10</v>
      </c>
      <c r="C12">
        <v>102</v>
      </c>
      <c r="D12">
        <v>103</v>
      </c>
      <c r="E12">
        <v>409</v>
      </c>
      <c r="F12" t="s">
        <v>58</v>
      </c>
      <c r="G12" t="s">
        <v>56</v>
      </c>
      <c r="H12" t="s">
        <v>57</v>
      </c>
      <c r="I12" t="s">
        <v>59</v>
      </c>
      <c r="J12">
        <v>230000</v>
      </c>
      <c r="K12" s="4" t="s">
        <v>42</v>
      </c>
      <c r="L12" s="4">
        <v>2</v>
      </c>
      <c r="M12" t="s">
        <v>58</v>
      </c>
      <c r="N12">
        <v>1</v>
      </c>
      <c r="O12">
        <f t="shared" si="0"/>
        <v>230000</v>
      </c>
      <c r="P12" t="s">
        <v>44</v>
      </c>
      <c r="Q12" t="s">
        <v>45</v>
      </c>
      <c r="R12" t="s">
        <v>46</v>
      </c>
    </row>
    <row r="13" spans="1:18">
      <c r="A13">
        <v>10</v>
      </c>
      <c r="B13">
        <v>0</v>
      </c>
      <c r="C13">
        <v>102</v>
      </c>
      <c r="D13">
        <v>103</v>
      </c>
      <c r="E13">
        <v>410</v>
      </c>
      <c r="F13" t="s">
        <v>60</v>
      </c>
      <c r="G13" t="s">
        <v>56</v>
      </c>
      <c r="H13" t="s">
        <v>57</v>
      </c>
      <c r="I13" t="s">
        <v>61</v>
      </c>
      <c r="J13">
        <v>250000</v>
      </c>
      <c r="K13" s="4" t="s">
        <v>42</v>
      </c>
      <c r="L13" s="4">
        <v>2</v>
      </c>
      <c r="M13" t="s">
        <v>60</v>
      </c>
      <c r="N13">
        <v>1.2</v>
      </c>
      <c r="O13">
        <f t="shared" si="0"/>
        <v>300000</v>
      </c>
      <c r="P13" t="s">
        <v>44</v>
      </c>
      <c r="Q13" t="s">
        <v>45</v>
      </c>
      <c r="R13" t="s">
        <v>46</v>
      </c>
    </row>
    <row r="14" ht="12" customHeight="1" spans="1:18">
      <c r="A14">
        <v>11</v>
      </c>
      <c r="B14">
        <v>12</v>
      </c>
      <c r="C14">
        <v>103</v>
      </c>
      <c r="D14">
        <v>104</v>
      </c>
      <c r="E14">
        <v>411</v>
      </c>
      <c r="F14" t="s">
        <v>38</v>
      </c>
      <c r="G14" t="s">
        <v>62</v>
      </c>
      <c r="H14" t="s">
        <v>63</v>
      </c>
      <c r="I14" t="s">
        <v>41</v>
      </c>
      <c r="J14">
        <v>100000</v>
      </c>
      <c r="K14" s="4" t="s">
        <v>42</v>
      </c>
      <c r="L14" s="4">
        <v>2</v>
      </c>
      <c r="M14" t="s">
        <v>43</v>
      </c>
      <c r="N14">
        <v>0.2</v>
      </c>
      <c r="O14">
        <f t="shared" si="0"/>
        <v>20000</v>
      </c>
      <c r="P14" t="s">
        <v>44</v>
      </c>
      <c r="Q14" t="s">
        <v>45</v>
      </c>
      <c r="R14" t="s">
        <v>46</v>
      </c>
    </row>
    <row r="15" spans="1:18">
      <c r="A15">
        <v>12</v>
      </c>
      <c r="B15">
        <v>13</v>
      </c>
      <c r="C15">
        <v>103</v>
      </c>
      <c r="D15">
        <v>104</v>
      </c>
      <c r="E15">
        <v>412</v>
      </c>
      <c r="F15" t="s">
        <v>47</v>
      </c>
      <c r="G15" t="s">
        <v>62</v>
      </c>
      <c r="H15" t="s">
        <v>63</v>
      </c>
      <c r="I15" t="s">
        <v>48</v>
      </c>
      <c r="J15">
        <v>150000</v>
      </c>
      <c r="K15" s="4" t="s">
        <v>42</v>
      </c>
      <c r="L15" s="4">
        <v>2</v>
      </c>
      <c r="M15" t="s">
        <v>49</v>
      </c>
      <c r="N15">
        <v>0.4</v>
      </c>
      <c r="O15">
        <f t="shared" si="0"/>
        <v>60000</v>
      </c>
      <c r="P15" t="s">
        <v>44</v>
      </c>
      <c r="Q15" t="s">
        <v>45</v>
      </c>
      <c r="R15" t="s">
        <v>46</v>
      </c>
    </row>
    <row r="16" spans="1:18">
      <c r="A16">
        <v>13</v>
      </c>
      <c r="B16">
        <v>14</v>
      </c>
      <c r="C16">
        <v>103</v>
      </c>
      <c r="D16">
        <v>104</v>
      </c>
      <c r="E16">
        <v>413</v>
      </c>
      <c r="F16" t="s">
        <v>50</v>
      </c>
      <c r="G16" t="s">
        <v>62</v>
      </c>
      <c r="H16" t="s">
        <v>63</v>
      </c>
      <c r="I16" t="s">
        <v>51</v>
      </c>
      <c r="J16">
        <v>180000</v>
      </c>
      <c r="K16" s="4" t="s">
        <v>42</v>
      </c>
      <c r="L16" s="4">
        <v>2</v>
      </c>
      <c r="M16" t="s">
        <v>52</v>
      </c>
      <c r="N16">
        <v>0.6</v>
      </c>
      <c r="O16">
        <f t="shared" si="0"/>
        <v>108000</v>
      </c>
      <c r="P16" t="s">
        <v>44</v>
      </c>
      <c r="Q16" t="s">
        <v>45</v>
      </c>
      <c r="R16" t="s">
        <v>46</v>
      </c>
    </row>
    <row r="17" spans="1:18">
      <c r="A17">
        <v>14</v>
      </c>
      <c r="B17">
        <v>15</v>
      </c>
      <c r="C17">
        <v>103</v>
      </c>
      <c r="D17">
        <v>104</v>
      </c>
      <c r="E17">
        <v>414</v>
      </c>
      <c r="F17" t="s">
        <v>53</v>
      </c>
      <c r="G17" t="s">
        <v>62</v>
      </c>
      <c r="H17" t="s">
        <v>63</v>
      </c>
      <c r="I17" t="s">
        <v>54</v>
      </c>
      <c r="J17">
        <v>200000</v>
      </c>
      <c r="K17" s="4" t="s">
        <v>42</v>
      </c>
      <c r="L17" s="4">
        <v>2</v>
      </c>
      <c r="M17" t="s">
        <v>55</v>
      </c>
      <c r="N17">
        <v>0.8</v>
      </c>
      <c r="O17">
        <f t="shared" si="0"/>
        <v>160000</v>
      </c>
      <c r="P17" t="s">
        <v>44</v>
      </c>
      <c r="Q17" t="s">
        <v>45</v>
      </c>
      <c r="R17" t="s">
        <v>46</v>
      </c>
    </row>
    <row r="18" spans="1:18">
      <c r="A18">
        <v>15</v>
      </c>
      <c r="B18">
        <v>16</v>
      </c>
      <c r="C18">
        <v>103</v>
      </c>
      <c r="D18">
        <v>104</v>
      </c>
      <c r="E18">
        <v>415</v>
      </c>
      <c r="F18" t="s">
        <v>58</v>
      </c>
      <c r="G18" t="s">
        <v>62</v>
      </c>
      <c r="H18" t="s">
        <v>63</v>
      </c>
      <c r="I18" t="s">
        <v>59</v>
      </c>
      <c r="J18">
        <v>230000</v>
      </c>
      <c r="K18" s="4" t="s">
        <v>42</v>
      </c>
      <c r="L18" s="4">
        <v>2</v>
      </c>
      <c r="M18" t="s">
        <v>58</v>
      </c>
      <c r="N18">
        <v>1</v>
      </c>
      <c r="O18">
        <f t="shared" si="0"/>
        <v>230000</v>
      </c>
      <c r="P18" t="s">
        <v>44</v>
      </c>
      <c r="Q18" t="s">
        <v>45</v>
      </c>
      <c r="R18" t="s">
        <v>46</v>
      </c>
    </row>
    <row r="19" spans="1:18">
      <c r="A19">
        <v>16</v>
      </c>
      <c r="B19">
        <v>0</v>
      </c>
      <c r="C19">
        <v>103</v>
      </c>
      <c r="D19">
        <v>104</v>
      </c>
      <c r="E19">
        <v>416</v>
      </c>
      <c r="F19" t="s">
        <v>60</v>
      </c>
      <c r="G19" t="s">
        <v>62</v>
      </c>
      <c r="H19" t="s">
        <v>63</v>
      </c>
      <c r="I19" t="s">
        <v>61</v>
      </c>
      <c r="J19">
        <v>250000</v>
      </c>
      <c r="K19" s="4" t="s">
        <v>42</v>
      </c>
      <c r="L19" s="4">
        <v>2</v>
      </c>
      <c r="M19" t="s">
        <v>60</v>
      </c>
      <c r="N19">
        <v>1.2</v>
      </c>
      <c r="O19">
        <f t="shared" si="0"/>
        <v>300000</v>
      </c>
      <c r="P19" t="s">
        <v>44</v>
      </c>
      <c r="Q19" t="s">
        <v>45</v>
      </c>
      <c r="R19" t="s">
        <v>46</v>
      </c>
    </row>
    <row r="20" spans="1:18">
      <c r="A20">
        <v>17</v>
      </c>
      <c r="B20">
        <v>18</v>
      </c>
      <c r="C20">
        <v>104</v>
      </c>
      <c r="D20">
        <v>105</v>
      </c>
      <c r="E20">
        <v>417</v>
      </c>
      <c r="F20" t="s">
        <v>38</v>
      </c>
      <c r="G20" t="s">
        <v>64</v>
      </c>
      <c r="H20" t="s">
        <v>65</v>
      </c>
      <c r="I20" t="s">
        <v>41</v>
      </c>
      <c r="J20">
        <v>100000</v>
      </c>
      <c r="K20" s="4" t="s">
        <v>42</v>
      </c>
      <c r="L20" s="4">
        <v>2</v>
      </c>
      <c r="M20" t="s">
        <v>43</v>
      </c>
      <c r="N20">
        <v>0.2</v>
      </c>
      <c r="O20">
        <f t="shared" si="0"/>
        <v>20000</v>
      </c>
      <c r="P20" t="s">
        <v>44</v>
      </c>
      <c r="Q20" t="s">
        <v>45</v>
      </c>
      <c r="R20" t="s">
        <v>46</v>
      </c>
    </row>
    <row r="21" spans="1:18">
      <c r="A21">
        <v>18</v>
      </c>
      <c r="B21">
        <v>19</v>
      </c>
      <c r="C21">
        <v>104</v>
      </c>
      <c r="D21">
        <v>105</v>
      </c>
      <c r="E21">
        <v>418</v>
      </c>
      <c r="F21" t="s">
        <v>47</v>
      </c>
      <c r="G21" t="s">
        <v>64</v>
      </c>
      <c r="H21" t="s">
        <v>65</v>
      </c>
      <c r="I21" t="s">
        <v>48</v>
      </c>
      <c r="J21">
        <v>150000</v>
      </c>
      <c r="K21" s="4" t="s">
        <v>42</v>
      </c>
      <c r="L21" s="4">
        <v>2</v>
      </c>
      <c r="M21" t="s">
        <v>49</v>
      </c>
      <c r="N21">
        <v>0.4</v>
      </c>
      <c r="O21">
        <f t="shared" si="0"/>
        <v>60000</v>
      </c>
      <c r="P21" t="s">
        <v>44</v>
      </c>
      <c r="Q21" t="s">
        <v>45</v>
      </c>
      <c r="R21" t="s">
        <v>46</v>
      </c>
    </row>
    <row r="22" spans="1:18">
      <c r="A22">
        <v>19</v>
      </c>
      <c r="B22">
        <v>20</v>
      </c>
      <c r="C22">
        <v>104</v>
      </c>
      <c r="D22">
        <v>105</v>
      </c>
      <c r="E22">
        <v>419</v>
      </c>
      <c r="F22" t="s">
        <v>50</v>
      </c>
      <c r="G22" t="s">
        <v>64</v>
      </c>
      <c r="H22" t="s">
        <v>65</v>
      </c>
      <c r="I22" t="s">
        <v>51</v>
      </c>
      <c r="J22">
        <v>180000</v>
      </c>
      <c r="K22" s="4" t="s">
        <v>42</v>
      </c>
      <c r="L22" s="4">
        <v>2</v>
      </c>
      <c r="M22" t="s">
        <v>52</v>
      </c>
      <c r="N22">
        <v>0.6</v>
      </c>
      <c r="O22">
        <f t="shared" si="0"/>
        <v>108000</v>
      </c>
      <c r="P22" t="s">
        <v>44</v>
      </c>
      <c r="Q22" t="s">
        <v>45</v>
      </c>
      <c r="R22" t="s">
        <v>46</v>
      </c>
    </row>
    <row r="23" spans="1:18">
      <c r="A23">
        <v>20</v>
      </c>
      <c r="B23">
        <v>21</v>
      </c>
      <c r="C23">
        <v>104</v>
      </c>
      <c r="D23">
        <v>105</v>
      </c>
      <c r="E23">
        <v>420</v>
      </c>
      <c r="F23" t="s">
        <v>53</v>
      </c>
      <c r="G23" t="s">
        <v>64</v>
      </c>
      <c r="H23" t="s">
        <v>65</v>
      </c>
      <c r="I23" t="s">
        <v>54</v>
      </c>
      <c r="J23">
        <v>200000</v>
      </c>
      <c r="K23" s="4" t="s">
        <v>42</v>
      </c>
      <c r="L23" s="4">
        <v>2</v>
      </c>
      <c r="M23" t="s">
        <v>55</v>
      </c>
      <c r="N23">
        <v>0.8</v>
      </c>
      <c r="O23">
        <f t="shared" si="0"/>
        <v>160000</v>
      </c>
      <c r="P23" t="s">
        <v>44</v>
      </c>
      <c r="Q23" t="s">
        <v>45</v>
      </c>
      <c r="R23" t="s">
        <v>46</v>
      </c>
    </row>
    <row r="24" spans="1:18">
      <c r="A24">
        <v>21</v>
      </c>
      <c r="B24">
        <v>22</v>
      </c>
      <c r="C24">
        <v>104</v>
      </c>
      <c r="D24">
        <v>105</v>
      </c>
      <c r="E24">
        <v>421</v>
      </c>
      <c r="F24" t="s">
        <v>58</v>
      </c>
      <c r="G24" t="s">
        <v>64</v>
      </c>
      <c r="H24" t="s">
        <v>65</v>
      </c>
      <c r="I24" t="s">
        <v>59</v>
      </c>
      <c r="J24">
        <v>230000</v>
      </c>
      <c r="K24" s="4" t="s">
        <v>42</v>
      </c>
      <c r="L24" s="4">
        <v>2</v>
      </c>
      <c r="M24" t="s">
        <v>58</v>
      </c>
      <c r="N24">
        <v>1</v>
      </c>
      <c r="O24">
        <f t="shared" si="0"/>
        <v>230000</v>
      </c>
      <c r="P24" t="s">
        <v>44</v>
      </c>
      <c r="Q24" t="s">
        <v>45</v>
      </c>
      <c r="R24" t="s">
        <v>46</v>
      </c>
    </row>
    <row r="25" spans="1:18">
      <c r="A25">
        <v>22</v>
      </c>
      <c r="B25">
        <v>0</v>
      </c>
      <c r="C25">
        <v>104</v>
      </c>
      <c r="D25">
        <v>105</v>
      </c>
      <c r="E25">
        <v>422</v>
      </c>
      <c r="F25" t="s">
        <v>60</v>
      </c>
      <c r="G25" t="s">
        <v>64</v>
      </c>
      <c r="H25" t="s">
        <v>65</v>
      </c>
      <c r="I25" t="s">
        <v>61</v>
      </c>
      <c r="J25">
        <v>250000</v>
      </c>
      <c r="K25" s="4" t="s">
        <v>42</v>
      </c>
      <c r="L25" s="4">
        <v>2</v>
      </c>
      <c r="M25" t="s">
        <v>60</v>
      </c>
      <c r="N25">
        <v>1.2</v>
      </c>
      <c r="O25">
        <f t="shared" si="0"/>
        <v>300000</v>
      </c>
      <c r="P25" t="s">
        <v>44</v>
      </c>
      <c r="Q25" t="s">
        <v>45</v>
      </c>
      <c r="R25" t="s">
        <v>46</v>
      </c>
    </row>
    <row r="26" spans="1:18">
      <c r="A26">
        <v>23</v>
      </c>
      <c r="B26">
        <v>24</v>
      </c>
      <c r="C26">
        <v>105</v>
      </c>
      <c r="D26">
        <v>102</v>
      </c>
      <c r="E26">
        <v>423</v>
      </c>
      <c r="F26" t="s">
        <v>38</v>
      </c>
      <c r="G26" t="s">
        <v>39</v>
      </c>
      <c r="H26" t="s">
        <v>40</v>
      </c>
      <c r="I26" t="s">
        <v>41</v>
      </c>
      <c r="J26">
        <v>100000</v>
      </c>
      <c r="K26" s="4" t="s">
        <v>42</v>
      </c>
      <c r="L26" s="4">
        <v>2</v>
      </c>
      <c r="M26" t="s">
        <v>43</v>
      </c>
      <c r="N26">
        <v>0.2</v>
      </c>
      <c r="O26">
        <f t="shared" si="0"/>
        <v>20000</v>
      </c>
      <c r="P26" t="s">
        <v>44</v>
      </c>
      <c r="Q26" t="s">
        <v>45</v>
      </c>
      <c r="R26" t="s">
        <v>46</v>
      </c>
    </row>
    <row r="27" spans="1:18">
      <c r="A27">
        <v>24</v>
      </c>
      <c r="B27">
        <v>25</v>
      </c>
      <c r="C27">
        <v>105</v>
      </c>
      <c r="D27">
        <v>102</v>
      </c>
      <c r="E27">
        <v>424</v>
      </c>
      <c r="F27" t="s">
        <v>47</v>
      </c>
      <c r="G27" t="s">
        <v>39</v>
      </c>
      <c r="H27" t="s">
        <v>40</v>
      </c>
      <c r="I27" t="s">
        <v>48</v>
      </c>
      <c r="J27">
        <v>150000</v>
      </c>
      <c r="K27" s="4" t="s">
        <v>42</v>
      </c>
      <c r="L27" s="4">
        <v>2</v>
      </c>
      <c r="M27" t="s">
        <v>49</v>
      </c>
      <c r="N27">
        <v>0.4</v>
      </c>
      <c r="O27">
        <f t="shared" si="0"/>
        <v>60000</v>
      </c>
      <c r="P27" t="s">
        <v>44</v>
      </c>
      <c r="Q27" t="s">
        <v>45</v>
      </c>
      <c r="R27" t="s">
        <v>46</v>
      </c>
    </row>
    <row r="28" spans="1:18">
      <c r="A28">
        <v>25</v>
      </c>
      <c r="B28">
        <v>26</v>
      </c>
      <c r="C28">
        <v>105</v>
      </c>
      <c r="D28">
        <v>102</v>
      </c>
      <c r="E28">
        <v>425</v>
      </c>
      <c r="F28" t="s">
        <v>50</v>
      </c>
      <c r="G28" t="s">
        <v>39</v>
      </c>
      <c r="H28" t="s">
        <v>40</v>
      </c>
      <c r="I28" t="s">
        <v>51</v>
      </c>
      <c r="J28">
        <v>180000</v>
      </c>
      <c r="K28" s="4" t="s">
        <v>42</v>
      </c>
      <c r="L28" s="4">
        <v>2</v>
      </c>
      <c r="M28" t="s">
        <v>52</v>
      </c>
      <c r="N28">
        <v>0.6</v>
      </c>
      <c r="O28">
        <f t="shared" si="0"/>
        <v>108000</v>
      </c>
      <c r="P28" t="s">
        <v>44</v>
      </c>
      <c r="Q28" t="s">
        <v>45</v>
      </c>
      <c r="R28" t="s">
        <v>46</v>
      </c>
    </row>
    <row r="29" spans="1:18">
      <c r="A29">
        <v>26</v>
      </c>
      <c r="B29">
        <v>27</v>
      </c>
      <c r="C29">
        <v>105</v>
      </c>
      <c r="D29">
        <v>102</v>
      </c>
      <c r="E29">
        <v>426</v>
      </c>
      <c r="F29" t="s">
        <v>53</v>
      </c>
      <c r="G29" t="s">
        <v>39</v>
      </c>
      <c r="H29" t="s">
        <v>40</v>
      </c>
      <c r="I29" t="s">
        <v>54</v>
      </c>
      <c r="J29">
        <v>200000</v>
      </c>
      <c r="K29" s="4" t="s">
        <v>42</v>
      </c>
      <c r="L29" s="4">
        <v>2</v>
      </c>
      <c r="M29" t="s">
        <v>55</v>
      </c>
      <c r="N29">
        <v>0.8</v>
      </c>
      <c r="O29">
        <f t="shared" si="0"/>
        <v>160000</v>
      </c>
      <c r="P29" t="s">
        <v>44</v>
      </c>
      <c r="Q29" t="s">
        <v>45</v>
      </c>
      <c r="R29" t="s">
        <v>46</v>
      </c>
    </row>
    <row r="30" spans="1:18">
      <c r="A30">
        <v>27</v>
      </c>
      <c r="B30">
        <v>28</v>
      </c>
      <c r="C30">
        <v>105</v>
      </c>
      <c r="D30">
        <v>102</v>
      </c>
      <c r="E30">
        <v>427</v>
      </c>
      <c r="F30" t="s">
        <v>58</v>
      </c>
      <c r="G30" t="s">
        <v>39</v>
      </c>
      <c r="H30" t="s">
        <v>40</v>
      </c>
      <c r="I30" t="s">
        <v>59</v>
      </c>
      <c r="J30">
        <v>230000</v>
      </c>
      <c r="K30" s="4" t="s">
        <v>42</v>
      </c>
      <c r="L30" s="4">
        <v>2</v>
      </c>
      <c r="M30" t="s">
        <v>58</v>
      </c>
      <c r="N30">
        <v>1</v>
      </c>
      <c r="O30">
        <f t="shared" si="0"/>
        <v>230000</v>
      </c>
      <c r="P30" t="s">
        <v>44</v>
      </c>
      <c r="Q30" t="s">
        <v>45</v>
      </c>
      <c r="R30" t="s">
        <v>46</v>
      </c>
    </row>
    <row r="31" spans="1:18">
      <c r="A31">
        <v>28</v>
      </c>
      <c r="B31">
        <v>0</v>
      </c>
      <c r="C31">
        <v>105</v>
      </c>
      <c r="D31">
        <v>102</v>
      </c>
      <c r="E31">
        <v>428</v>
      </c>
      <c r="F31" t="s">
        <v>60</v>
      </c>
      <c r="G31" t="s">
        <v>39</v>
      </c>
      <c r="H31" t="s">
        <v>40</v>
      </c>
      <c r="I31" t="s">
        <v>61</v>
      </c>
      <c r="J31">
        <v>250000</v>
      </c>
      <c r="K31" s="4" t="s">
        <v>42</v>
      </c>
      <c r="L31" s="4">
        <v>2</v>
      </c>
      <c r="M31" t="s">
        <v>60</v>
      </c>
      <c r="N31">
        <v>1.2</v>
      </c>
      <c r="O31">
        <f t="shared" si="0"/>
        <v>300000</v>
      </c>
      <c r="P31" t="s">
        <v>44</v>
      </c>
      <c r="Q31" t="s">
        <v>45</v>
      </c>
      <c r="R31" t="s">
        <v>46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A1" sqref="A1:L10"/>
    </sheetView>
  </sheetViews>
  <sheetFormatPr defaultColWidth="9" defaultRowHeight="13.5"/>
  <sheetData>
    <row r="1" spans="1:12">
      <c r="A1">
        <v>1002</v>
      </c>
      <c r="F1" s="1">
        <v>1003</v>
      </c>
      <c r="G1" s="1">
        <v>1</v>
      </c>
      <c r="H1" s="1">
        <v>0</v>
      </c>
      <c r="I1" s="1">
        <v>0</v>
      </c>
      <c r="J1" s="1">
        <v>2</v>
      </c>
      <c r="K1" s="2" t="s">
        <v>66</v>
      </c>
      <c r="L1" s="1" t="str">
        <f t="shared" ref="L1:L7" si="0">"通关第"&amp;J1&amp;"个章节"</f>
        <v>通关第2个章节</v>
      </c>
    </row>
    <row r="2" spans="1:12">
      <c r="A2">
        <v>1003</v>
      </c>
      <c r="F2" s="1">
        <v>1004</v>
      </c>
      <c r="G2" s="1">
        <v>1</v>
      </c>
      <c r="H2" s="1">
        <v>0</v>
      </c>
      <c r="I2" s="1">
        <v>0</v>
      </c>
      <c r="J2" s="1">
        <v>3</v>
      </c>
      <c r="K2" s="2" t="s">
        <v>66</v>
      </c>
      <c r="L2" s="1" t="str">
        <f t="shared" si="0"/>
        <v>通关第3个章节</v>
      </c>
    </row>
    <row r="3" spans="1:12">
      <c r="A3">
        <v>1004</v>
      </c>
      <c r="F3" s="1">
        <v>1005</v>
      </c>
      <c r="G3" s="1">
        <v>1</v>
      </c>
      <c r="H3" s="1">
        <v>0</v>
      </c>
      <c r="I3" s="1">
        <v>0</v>
      </c>
      <c r="J3" s="1">
        <v>4</v>
      </c>
      <c r="K3" s="2" t="s">
        <v>67</v>
      </c>
      <c r="L3" s="1" t="str">
        <f t="shared" si="0"/>
        <v>通关第4个章节</v>
      </c>
    </row>
    <row r="4" spans="1:12">
      <c r="A4">
        <v>1005</v>
      </c>
      <c r="F4" s="1">
        <v>1006</v>
      </c>
      <c r="G4" s="1">
        <v>1</v>
      </c>
      <c r="H4" s="1">
        <v>0</v>
      </c>
      <c r="I4" s="1">
        <v>0</v>
      </c>
      <c r="J4" s="1">
        <v>5</v>
      </c>
      <c r="K4" s="2" t="s">
        <v>67</v>
      </c>
      <c r="L4" s="1" t="str">
        <f t="shared" si="0"/>
        <v>通关第5个章节</v>
      </c>
    </row>
    <row r="5" spans="1:12">
      <c r="A5">
        <v>1006</v>
      </c>
      <c r="F5" s="1">
        <v>1007</v>
      </c>
      <c r="G5" s="1">
        <v>1</v>
      </c>
      <c r="H5" s="1">
        <v>0</v>
      </c>
      <c r="I5" s="1">
        <v>0</v>
      </c>
      <c r="J5" s="1">
        <v>6</v>
      </c>
      <c r="K5" s="2" t="s">
        <v>68</v>
      </c>
      <c r="L5" s="1" t="str">
        <f t="shared" si="0"/>
        <v>通关第6个章节</v>
      </c>
    </row>
    <row r="6" spans="1:12">
      <c r="A6">
        <v>1007</v>
      </c>
      <c r="F6" s="1">
        <v>1008</v>
      </c>
      <c r="G6" s="1">
        <v>1</v>
      </c>
      <c r="H6" s="1">
        <v>0</v>
      </c>
      <c r="I6" s="1">
        <v>0</v>
      </c>
      <c r="J6" s="1">
        <v>7</v>
      </c>
      <c r="K6" s="2" t="s">
        <v>68</v>
      </c>
      <c r="L6" s="1" t="str">
        <f t="shared" si="0"/>
        <v>通关第7个章节</v>
      </c>
    </row>
    <row r="7" spans="1:12">
      <c r="A7">
        <v>1008</v>
      </c>
      <c r="F7" s="1">
        <v>0</v>
      </c>
      <c r="G7" s="1">
        <v>1</v>
      </c>
      <c r="H7" s="1">
        <v>0</v>
      </c>
      <c r="I7" s="1">
        <v>0</v>
      </c>
      <c r="J7" s="1">
        <v>8</v>
      </c>
      <c r="K7" s="2" t="s">
        <v>69</v>
      </c>
      <c r="L7" s="1" t="str">
        <f t="shared" si="0"/>
        <v>通关第8个章节</v>
      </c>
    </row>
    <row r="8" spans="1:12">
      <c r="A8">
        <v>2001</v>
      </c>
      <c r="F8" s="1">
        <v>0</v>
      </c>
      <c r="G8" s="1">
        <v>2</v>
      </c>
      <c r="H8" s="1">
        <v>0</v>
      </c>
      <c r="I8" s="1">
        <v>0</v>
      </c>
      <c r="J8" s="1">
        <v>6</v>
      </c>
      <c r="K8" s="3" t="s">
        <v>70</v>
      </c>
      <c r="L8" s="1" t="str">
        <f t="shared" ref="L8:L10" si="1">"累计充值"&amp;J8&amp;"元"</f>
        <v>累计充值6元</v>
      </c>
    </row>
    <row r="9" spans="1:12">
      <c r="A9">
        <v>2002</v>
      </c>
      <c r="F9" s="1">
        <v>0</v>
      </c>
      <c r="G9" s="1">
        <v>2</v>
      </c>
      <c r="H9" s="1">
        <v>0</v>
      </c>
      <c r="I9" s="1">
        <v>0</v>
      </c>
      <c r="J9" s="1">
        <v>68</v>
      </c>
      <c r="K9" s="3" t="s">
        <v>71</v>
      </c>
      <c r="L9" s="1" t="str">
        <f t="shared" si="1"/>
        <v>累计充值68元</v>
      </c>
    </row>
    <row r="10" spans="1:12">
      <c r="A10">
        <v>2003</v>
      </c>
      <c r="F10" s="1">
        <v>0</v>
      </c>
      <c r="G10" s="1">
        <v>2</v>
      </c>
      <c r="H10" s="1">
        <v>0</v>
      </c>
      <c r="I10" s="1">
        <v>0</v>
      </c>
      <c r="J10" s="1">
        <v>128</v>
      </c>
      <c r="K10" s="2" t="s">
        <v>72</v>
      </c>
      <c r="L10" s="1" t="str">
        <f t="shared" si="1"/>
        <v>累计充值128元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Xboss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芷颖之殇</cp:lastModifiedBy>
  <dcterms:created xsi:type="dcterms:W3CDTF">2020-09-25T09:25:00Z</dcterms:created>
  <dcterms:modified xsi:type="dcterms:W3CDTF">2025-04-12T09:27:32Z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2052-12.1.0.15990</vt:lpwstr>
  </property>
  <property fmtid="{D5CDD505-2E9C-101B-9397-08002B2CF9AE}" pid="3" name="ICV">
    <vt:lpwstr>26A76763DA4243C9B72357330355AC66</vt:lpwstr>
  </property>
</Properties>
</file>