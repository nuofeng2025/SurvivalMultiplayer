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255"/>
  </bookViews>
  <sheets>
    <sheet name="BoxReward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<sst xmlns="http://schemas.openxmlformats.org/spreadsheetml/2006/main" count="66" uniqueCount="50">
  <si>
    <t>BoxId</t>
  </si>
  <si>
    <t>boxName</t>
  </si>
  <si>
    <t>Icon</t>
  </si>
  <si>
    <t>Price</t>
  </si>
  <si>
    <t>BoxPercent</t>
  </si>
  <si>
    <t>EquipPercent</t>
  </si>
  <si>
    <t>StarPercent</t>
  </si>
  <si>
    <t>BoxExp</t>
  </si>
  <si>
    <t>int</t>
  </si>
  <si>
    <t>string</t>
  </si>
  <si>
    <t>箱子品质</t>
  </si>
  <si>
    <t>名字</t>
  </si>
  <si>
    <t>图标</t>
  </si>
  <si>
    <t>价格</t>
  </si>
  <si>
    <t>箱子概率</t>
  </si>
  <si>
    <t>装备品质概率</t>
  </si>
  <si>
    <t>星级概率</t>
  </si>
  <si>
    <t>宝箱经验</t>
  </si>
  <si>
    <t>描述</t>
  </si>
  <si>
    <t>价格倍数</t>
  </si>
  <si>
    <t>品质1</t>
  </si>
  <si>
    <t>品质2</t>
  </si>
  <si>
    <t>品质3</t>
  </si>
  <si>
    <t>品质4</t>
  </si>
  <si>
    <t>品质5</t>
  </si>
  <si>
    <t>品质6</t>
  </si>
  <si>
    <t>Lv.1</t>
  </si>
  <si>
    <t>BOX1</t>
  </si>
  <si>
    <t>Lv.2</t>
  </si>
  <si>
    <t>Lv.3</t>
  </si>
  <si>
    <t>BOX2</t>
  </si>
  <si>
    <t>Lv.4</t>
  </si>
  <si>
    <t>Lv.5</t>
  </si>
  <si>
    <t>Lv.6</t>
  </si>
  <si>
    <t>BOX3</t>
  </si>
  <si>
    <t>Lv.7</t>
  </si>
  <si>
    <t>Lv.8</t>
  </si>
  <si>
    <t>BOX4</t>
  </si>
  <si>
    <t>Lv.9</t>
  </si>
  <si>
    <t>Lv.10</t>
  </si>
  <si>
    <t>Lv.11</t>
  </si>
  <si>
    <t>BOX5</t>
  </si>
  <si>
    <t>Lv.12</t>
  </si>
  <si>
    <t>Lv.13</t>
  </si>
  <si>
    <t>Lv.14</t>
  </si>
  <si>
    <t>BOX6</t>
  </si>
  <si>
    <t>Lv.15</t>
  </si>
  <si>
    <t>Lv.16</t>
  </si>
  <si>
    <t>1年算</t>
  </si>
  <si>
    <t>玩法产出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</si>
</sst>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"/>
  <sheetViews>
    <sheetView tabSelected="1" workbookViewId="0">
      <selection activeCell="G11" sqref="G11"/>
    </sheetView>
  </sheetViews>
  <sheetFormatPr defaultColWidth="9" defaultRowHeight="13.5"/>
  <cols>
    <col min="5" max="5" width="13.625" customWidth="1"/>
    <col min="6" max="6" width="22.125" customWidth="1"/>
    <col min="7" max="7" width="21.875" customWidth="1"/>
    <col min="8" max="8" width="11.125" customWidth="1"/>
    <col min="9" max="9" width="53" customWidth="1"/>
    <col min="13" max="13" width="8.875" customWidth="1"/>
    <col min="14" max="14" width="19.375" customWidth="1"/>
    <col min="15" max="15" width="19.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9</v>
      </c>
      <c r="D2" t="s">
        <v>8</v>
      </c>
      <c r="E2" t="s">
        <v>8</v>
      </c>
      <c r="F2" t="s">
        <v>9</v>
      </c>
      <c r="G2" t="s">
        <v>9</v>
      </c>
      <c r="H2" t="s">
        <v>8</v>
      </c>
    </row>
    <row r="3" spans="1:19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N3" t="s">
        <v>20</v>
      </c>
      <c r="O3" t="s">
        <v>21</v>
      </c>
      <c r="P3" t="s">
        <v>22</v>
      </c>
      <c r="Q3" t="s">
        <v>23</v>
      </c>
      <c r="R3" t="s">
        <v>24</v>
      </c>
      <c r="S3" t="s">
        <v>25</v>
      </c>
    </row>
    <row r="4" spans="1:19">
      <c r="A4">
        <v>1</v>
      </c>
      <c r="B4" t="s">
        <v>26</v>
      </c>
      <c r="C4" t="s">
        <v>27</v>
      </c>
      <c r="D4">
        <f>J4*5</f>
        <v>100</v>
      </c>
      <c r="E4">
        <v>10</v>
      </c>
      <c r="F4" t="str">
        <f>""&amp;N4&amp;"|"&amp;O4&amp;"|"&amp;P4&amp;"|"&amp;Q4&amp;"|"&amp;R4&amp;"|"&amp;S4&amp;""</f>
        <v>70|20|10|0|0|0</v>
      </c>
      <c r="G4" t="str">
        <f>F4</f>
        <v>70|20|10|0|0|0</v>
      </c>
      <c r="H4">
        <v>4</v>
      </c>
      <c r="I4" t="str">
        <f t="shared" ref="I4:I19" si="0">""&amp;IF(N4&gt;0,""&amp;N4&amp;"%概率品质1装备","")&amp;""&amp;IF(AND(N4&gt;0,O4&gt;0),",","")&amp;""&amp;IF(O4&gt;0,""&amp;O4&amp;"%概率品质2装备","")&amp;""&amp;IF(AND(O4&gt;0,P4&gt;0),",","")&amp;""&amp;IF(P4&gt;0,""&amp;P4&amp;"%概率品质3装备","")&amp;""&amp;IF(AND(P4&gt;0,Q4&gt;0),",","")&amp;""&amp;IF(Q4&gt;0,""&amp;Q4&amp;"%概率品质4装备","")&amp;""&amp;IF(AND(Q4&gt;0,R4&gt;0),",","")&amp;""&amp;IF(R4&gt;0,""&amp;R4&amp;"%概率品质5装备","")&amp;""&amp;IF(AND(R4&gt;0,S4&gt;0),",","")&amp;""&amp;IF(S4&gt;0,""&amp;S4&amp;"%概率品质6装备","")&amp;""</f>
        <v>70%概率品质1装备,20%概率品质2装备,10%概率品质3装备</v>
      </c>
      <c r="J4">
        <v>20</v>
      </c>
      <c r="M4">
        <v>1</v>
      </c>
      <c r="N4">
        <v>70</v>
      </c>
      <c r="O4">
        <v>20</v>
      </c>
      <c r="P4">
        <v>10</v>
      </c>
      <c r="Q4">
        <v>0</v>
      </c>
      <c r="R4">
        <v>0</v>
      </c>
      <c r="S4">
        <v>0</v>
      </c>
    </row>
    <row r="5" spans="1:19">
      <c r="A5">
        <v>2</v>
      </c>
      <c r="B5" t="s">
        <v>28</v>
      </c>
      <c r="C5" t="s">
        <v>27</v>
      </c>
      <c r="D5">
        <f>J5*5</f>
        <v>200</v>
      </c>
      <c r="E5">
        <v>10</v>
      </c>
      <c r="F5" t="str">
        <f t="shared" ref="F5:F19" si="1">""&amp;N5&amp;"|"&amp;O5&amp;"|"&amp;P5&amp;"|"&amp;Q5&amp;"|"&amp;R5&amp;"|"&amp;S5&amp;""</f>
        <v>60|20|20|0|0|0</v>
      </c>
      <c r="G5" t="str">
        <f t="shared" ref="G5:G19" si="2">F5</f>
        <v>60|20|20|0|0|0</v>
      </c>
      <c r="H5">
        <v>8</v>
      </c>
      <c r="I5" t="str">
        <f t="shared" si="0"/>
        <v>60%概率品质1装备,20%概率品质2装备,20%概率品质3装备</v>
      </c>
      <c r="J5">
        <v>40</v>
      </c>
      <c r="M5">
        <v>2</v>
      </c>
      <c r="N5">
        <v>60</v>
      </c>
      <c r="O5">
        <v>20</v>
      </c>
      <c r="P5">
        <v>20</v>
      </c>
      <c r="Q5">
        <v>0</v>
      </c>
      <c r="R5">
        <v>0</v>
      </c>
      <c r="S5">
        <v>0</v>
      </c>
    </row>
    <row r="6" spans="1:19">
      <c r="A6">
        <v>3</v>
      </c>
      <c r="B6" t="s">
        <v>29</v>
      </c>
      <c r="C6" t="s">
        <v>30</v>
      </c>
      <c r="D6">
        <f>J6*5</f>
        <v>400</v>
      </c>
      <c r="E6">
        <v>10</v>
      </c>
      <c r="F6" t="str">
        <f t="shared" si="1"/>
        <v>50|30|20|0|0|0</v>
      </c>
      <c r="G6" t="str">
        <f t="shared" si="2"/>
        <v>50|30|20|0|0|0</v>
      </c>
      <c r="H6">
        <v>12</v>
      </c>
      <c r="I6" t="str">
        <f t="shared" si="0"/>
        <v>50%概率品质1装备,30%概率品质2装备,20%概率品质3装备</v>
      </c>
      <c r="J6">
        <v>80</v>
      </c>
      <c r="M6">
        <v>3</v>
      </c>
      <c r="N6">
        <v>50</v>
      </c>
      <c r="O6">
        <v>30</v>
      </c>
      <c r="P6">
        <v>20</v>
      </c>
      <c r="Q6">
        <v>0</v>
      </c>
      <c r="R6">
        <v>0</v>
      </c>
      <c r="S6">
        <v>0</v>
      </c>
    </row>
    <row r="7" spans="1:19">
      <c r="A7">
        <v>4</v>
      </c>
      <c r="B7" t="s">
        <v>31</v>
      </c>
      <c r="C7" t="s">
        <v>30</v>
      </c>
      <c r="D7">
        <v>800</v>
      </c>
      <c r="E7">
        <v>10</v>
      </c>
      <c r="F7" t="str">
        <f t="shared" si="1"/>
        <v>40|40|30|0|0|0</v>
      </c>
      <c r="G7" t="str">
        <f t="shared" si="2"/>
        <v>40|40|30|0|0|0</v>
      </c>
      <c r="H7">
        <v>16</v>
      </c>
      <c r="I7" t="str">
        <f t="shared" si="0"/>
        <v>40%概率品质1装备,40%概率品质2装备,30%概率品质3装备</v>
      </c>
      <c r="J7">
        <v>120</v>
      </c>
      <c r="M7">
        <v>4</v>
      </c>
      <c r="N7">
        <v>40</v>
      </c>
      <c r="O7">
        <v>40</v>
      </c>
      <c r="P7">
        <v>30</v>
      </c>
      <c r="Q7">
        <v>0</v>
      </c>
      <c r="R7">
        <v>0</v>
      </c>
      <c r="S7">
        <v>0</v>
      </c>
    </row>
    <row r="8" spans="1:19">
      <c r="A8">
        <v>5</v>
      </c>
      <c r="B8" t="s">
        <v>32</v>
      </c>
      <c r="C8" t="s">
        <v>30</v>
      </c>
      <c r="D8">
        <v>1200</v>
      </c>
      <c r="E8">
        <v>10</v>
      </c>
      <c r="F8" t="str">
        <f t="shared" si="1"/>
        <v>0|50|40|10|0|0</v>
      </c>
      <c r="G8" t="str">
        <f t="shared" si="2"/>
        <v>0|50|40|10|0|0</v>
      </c>
      <c r="H8">
        <v>20</v>
      </c>
      <c r="I8" t="str">
        <f t="shared" si="0"/>
        <v>50%概率品质2装备,40%概率品质3装备,10%概率品质4装备</v>
      </c>
      <c r="J8">
        <v>160</v>
      </c>
      <c r="M8">
        <v>5</v>
      </c>
      <c r="N8">
        <v>0</v>
      </c>
      <c r="O8">
        <v>50</v>
      </c>
      <c r="P8">
        <v>40</v>
      </c>
      <c r="Q8">
        <v>10</v>
      </c>
      <c r="R8">
        <v>0</v>
      </c>
      <c r="S8">
        <v>0</v>
      </c>
    </row>
    <row r="9" spans="1:19">
      <c r="A9">
        <v>6</v>
      </c>
      <c r="B9" t="s">
        <v>33</v>
      </c>
      <c r="C9" t="s">
        <v>34</v>
      </c>
      <c r="D9">
        <v>1600</v>
      </c>
      <c r="E9">
        <v>10</v>
      </c>
      <c r="F9" t="str">
        <f t="shared" si="1"/>
        <v>0|50|30|20|0|0</v>
      </c>
      <c r="G9" t="str">
        <f t="shared" si="2"/>
        <v>0|50|30|20|0|0</v>
      </c>
      <c r="H9">
        <v>24</v>
      </c>
      <c r="I9" t="str">
        <f t="shared" si="0"/>
        <v>50%概率品质2装备,30%概率品质3装备,20%概率品质4装备</v>
      </c>
      <c r="J9">
        <v>200</v>
      </c>
      <c r="M9">
        <v>6</v>
      </c>
      <c r="N9">
        <v>0</v>
      </c>
      <c r="O9">
        <v>50</v>
      </c>
      <c r="P9">
        <v>30</v>
      </c>
      <c r="Q9">
        <v>20</v>
      </c>
      <c r="R9">
        <v>0</v>
      </c>
      <c r="S9">
        <v>0</v>
      </c>
    </row>
    <row r="10" spans="1:19">
      <c r="A10">
        <v>7</v>
      </c>
      <c r="B10" t="s">
        <v>35</v>
      </c>
      <c r="C10" t="s">
        <v>34</v>
      </c>
      <c r="D10">
        <v>2000</v>
      </c>
      <c r="E10">
        <v>10</v>
      </c>
      <c r="F10" t="str">
        <f t="shared" si="1"/>
        <v>0|40|40|20|0|0</v>
      </c>
      <c r="G10" t="str">
        <f t="shared" si="2"/>
        <v>0|40|40|20|0|0</v>
      </c>
      <c r="H10">
        <v>28</v>
      </c>
      <c r="I10" t="str">
        <f t="shared" si="0"/>
        <v>40%概率品质2装备,40%概率品质3装备,20%概率品质4装备</v>
      </c>
      <c r="J10">
        <v>240</v>
      </c>
      <c r="M10">
        <v>7</v>
      </c>
      <c r="N10">
        <v>0</v>
      </c>
      <c r="O10">
        <v>40</v>
      </c>
      <c r="P10">
        <v>40</v>
      </c>
      <c r="Q10">
        <v>20</v>
      </c>
      <c r="R10">
        <v>0</v>
      </c>
      <c r="S10">
        <v>0</v>
      </c>
    </row>
    <row r="11" spans="1:19">
      <c r="A11">
        <v>8</v>
      </c>
      <c r="B11" t="s">
        <v>36</v>
      </c>
      <c r="C11" t="s">
        <v>37</v>
      </c>
      <c r="D11">
        <v>2400</v>
      </c>
      <c r="E11">
        <v>10</v>
      </c>
      <c r="F11" t="str">
        <f t="shared" si="1"/>
        <v>0|30|50|20|0|0</v>
      </c>
      <c r="G11" t="str">
        <f t="shared" si="2"/>
        <v>0|30|50|20|0|0</v>
      </c>
      <c r="H11">
        <v>32</v>
      </c>
      <c r="I11" t="str">
        <f t="shared" si="0"/>
        <v>30%概率品质2装备,50%概率品质3装备,20%概率品质4装备</v>
      </c>
      <c r="J11">
        <v>280</v>
      </c>
      <c r="M11">
        <v>8</v>
      </c>
      <c r="N11">
        <v>0</v>
      </c>
      <c r="O11">
        <v>30</v>
      </c>
      <c r="P11">
        <v>50</v>
      </c>
      <c r="Q11">
        <v>20</v>
      </c>
      <c r="R11">
        <v>0</v>
      </c>
      <c r="S11">
        <v>0</v>
      </c>
    </row>
    <row r="12" spans="1:19">
      <c r="A12">
        <v>9</v>
      </c>
      <c r="B12" t="s">
        <v>38</v>
      </c>
      <c r="C12" t="s">
        <v>37</v>
      </c>
      <c r="D12">
        <v>2800</v>
      </c>
      <c r="E12">
        <v>10</v>
      </c>
      <c r="F12" t="str">
        <f t="shared" si="1"/>
        <v>0|20|50|30|0|0</v>
      </c>
      <c r="G12" t="str">
        <f t="shared" si="2"/>
        <v>0|20|50|30|0|0</v>
      </c>
      <c r="H12">
        <v>36</v>
      </c>
      <c r="I12" t="str">
        <f t="shared" si="0"/>
        <v>20%概率品质2装备,50%概率品质3装备,30%概率品质4装备</v>
      </c>
      <c r="J12">
        <v>320</v>
      </c>
      <c r="M12">
        <v>9</v>
      </c>
      <c r="N12">
        <v>0</v>
      </c>
      <c r="O12">
        <v>20</v>
      </c>
      <c r="P12">
        <v>50</v>
      </c>
      <c r="Q12">
        <v>30</v>
      </c>
      <c r="R12">
        <v>0</v>
      </c>
      <c r="S12">
        <v>0</v>
      </c>
    </row>
    <row r="13" spans="1:19">
      <c r="A13">
        <v>10</v>
      </c>
      <c r="B13" t="s">
        <v>39</v>
      </c>
      <c r="C13" t="s">
        <v>37</v>
      </c>
      <c r="D13">
        <v>3200</v>
      </c>
      <c r="E13">
        <v>10</v>
      </c>
      <c r="F13" t="str">
        <f t="shared" si="1"/>
        <v>0|0|60|30|10|0</v>
      </c>
      <c r="G13" t="str">
        <f t="shared" si="2"/>
        <v>0|0|60|30|10|0</v>
      </c>
      <c r="H13">
        <v>40</v>
      </c>
      <c r="I13" t="str">
        <f t="shared" si="0"/>
        <v>60%概率品质3装备,30%概率品质4装备,10%概率品质5装备</v>
      </c>
      <c r="J13">
        <v>360</v>
      </c>
      <c r="M13">
        <v>10</v>
      </c>
      <c r="N13">
        <v>0</v>
      </c>
      <c r="O13">
        <v>0</v>
      </c>
      <c r="P13">
        <v>60</v>
      </c>
      <c r="Q13">
        <v>30</v>
      </c>
      <c r="R13">
        <v>10</v>
      </c>
      <c r="S13">
        <v>0</v>
      </c>
    </row>
    <row r="14" spans="1:19">
      <c r="A14">
        <v>11</v>
      </c>
      <c r="B14" t="s">
        <v>40</v>
      </c>
      <c r="C14" t="s">
        <v>41</v>
      </c>
      <c r="D14">
        <v>3600</v>
      </c>
      <c r="E14">
        <v>10</v>
      </c>
      <c r="F14" t="str">
        <f t="shared" si="1"/>
        <v>0|0|50|40|10|0</v>
      </c>
      <c r="G14" t="str">
        <f t="shared" si="2"/>
        <v>0|0|50|40|10|0</v>
      </c>
      <c r="H14">
        <v>44</v>
      </c>
      <c r="I14" t="str">
        <f t="shared" si="0"/>
        <v>50%概率品质3装备,40%概率品质4装备,10%概率品质5装备</v>
      </c>
      <c r="J14">
        <v>400</v>
      </c>
      <c r="M14">
        <v>11</v>
      </c>
      <c r="N14">
        <v>0</v>
      </c>
      <c r="O14">
        <v>0</v>
      </c>
      <c r="P14">
        <v>50</v>
      </c>
      <c r="Q14">
        <v>40</v>
      </c>
      <c r="R14">
        <v>10</v>
      </c>
      <c r="S14">
        <v>0</v>
      </c>
    </row>
    <row r="15" spans="1:19">
      <c r="A15">
        <v>12</v>
      </c>
      <c r="B15" t="s">
        <v>42</v>
      </c>
      <c r="C15" t="s">
        <v>41</v>
      </c>
      <c r="D15">
        <v>4000</v>
      </c>
      <c r="E15">
        <v>10</v>
      </c>
      <c r="F15" t="str">
        <f t="shared" si="1"/>
        <v>0|0|40|40|20|0</v>
      </c>
      <c r="G15" t="str">
        <f t="shared" si="2"/>
        <v>0|0|40|40|20|0</v>
      </c>
      <c r="H15">
        <v>48</v>
      </c>
      <c r="I15" t="str">
        <f t="shared" si="0"/>
        <v>40%概率品质3装备,40%概率品质4装备,20%概率品质5装备</v>
      </c>
      <c r="J15">
        <v>440</v>
      </c>
      <c r="M15">
        <v>12</v>
      </c>
      <c r="N15">
        <v>0</v>
      </c>
      <c r="O15">
        <v>0</v>
      </c>
      <c r="P15">
        <v>40</v>
      </c>
      <c r="Q15">
        <v>40</v>
      </c>
      <c r="R15">
        <v>20</v>
      </c>
      <c r="S15">
        <v>0</v>
      </c>
    </row>
    <row r="16" spans="1:19">
      <c r="A16">
        <v>13</v>
      </c>
      <c r="B16" t="s">
        <v>43</v>
      </c>
      <c r="C16" t="s">
        <v>41</v>
      </c>
      <c r="D16">
        <v>4400</v>
      </c>
      <c r="E16">
        <v>10</v>
      </c>
      <c r="F16" t="str">
        <f t="shared" si="1"/>
        <v>0|0|30|50|20|0</v>
      </c>
      <c r="G16" t="str">
        <f t="shared" si="2"/>
        <v>0|0|30|50|20|0</v>
      </c>
      <c r="H16">
        <v>52</v>
      </c>
      <c r="I16" t="str">
        <f t="shared" si="0"/>
        <v>30%概率品质3装备,50%概率品质4装备,20%概率品质5装备</v>
      </c>
      <c r="J16">
        <v>480</v>
      </c>
      <c r="M16">
        <v>13</v>
      </c>
      <c r="N16">
        <v>0</v>
      </c>
      <c r="O16">
        <v>0</v>
      </c>
      <c r="P16">
        <v>30</v>
      </c>
      <c r="Q16">
        <v>50</v>
      </c>
      <c r="R16">
        <v>20</v>
      </c>
      <c r="S16">
        <v>0</v>
      </c>
    </row>
    <row r="17" spans="1:19">
      <c r="A17">
        <v>14</v>
      </c>
      <c r="B17" t="s">
        <v>44</v>
      </c>
      <c r="C17" t="s">
        <v>45</v>
      </c>
      <c r="D17">
        <v>4800</v>
      </c>
      <c r="E17">
        <v>10</v>
      </c>
      <c r="F17" t="str">
        <f t="shared" si="1"/>
        <v>0|0|0|60|30|10</v>
      </c>
      <c r="G17" t="str">
        <f t="shared" si="2"/>
        <v>0|0|0|60|30|10</v>
      </c>
      <c r="H17">
        <v>56</v>
      </c>
      <c r="I17" t="str">
        <f t="shared" si="0"/>
        <v>60%概率品质4装备,30%概率品质5装备,10%概率品质6装备</v>
      </c>
      <c r="J17">
        <v>520</v>
      </c>
      <c r="M17">
        <v>14</v>
      </c>
      <c r="N17">
        <v>0</v>
      </c>
      <c r="O17">
        <v>0</v>
      </c>
      <c r="P17">
        <v>0</v>
      </c>
      <c r="Q17">
        <v>60</v>
      </c>
      <c r="R17">
        <v>30</v>
      </c>
      <c r="S17">
        <v>10</v>
      </c>
    </row>
    <row r="18" spans="1:19">
      <c r="A18">
        <v>15</v>
      </c>
      <c r="B18" t="s">
        <v>46</v>
      </c>
      <c r="C18" t="s">
        <v>45</v>
      </c>
      <c r="D18">
        <v>5200</v>
      </c>
      <c r="E18">
        <v>10</v>
      </c>
      <c r="F18" t="str">
        <f t="shared" si="1"/>
        <v>0|0|0|50|40|10</v>
      </c>
      <c r="G18" t="str">
        <f t="shared" si="2"/>
        <v>0|0|0|50|40|10</v>
      </c>
      <c r="H18">
        <v>60</v>
      </c>
      <c r="I18" t="str">
        <f t="shared" si="0"/>
        <v>50%概率品质4装备,40%概率品质5装备,10%概率品质6装备</v>
      </c>
      <c r="J18">
        <v>560</v>
      </c>
      <c r="M18">
        <v>15</v>
      </c>
      <c r="N18">
        <v>0</v>
      </c>
      <c r="O18">
        <v>0</v>
      </c>
      <c r="P18">
        <v>0</v>
      </c>
      <c r="Q18">
        <v>50</v>
      </c>
      <c r="R18">
        <v>40</v>
      </c>
      <c r="S18">
        <v>10</v>
      </c>
    </row>
    <row r="19" spans="1:19">
      <c r="A19">
        <v>16</v>
      </c>
      <c r="B19" t="s">
        <v>47</v>
      </c>
      <c r="C19" t="s">
        <v>45</v>
      </c>
      <c r="D19">
        <v>5600</v>
      </c>
      <c r="E19">
        <v>10</v>
      </c>
      <c r="F19" t="str">
        <f t="shared" si="1"/>
        <v>0|0|0|40|40|20</v>
      </c>
      <c r="G19" t="str">
        <f t="shared" si="2"/>
        <v>0|0|0|40|40|20</v>
      </c>
      <c r="H19">
        <v>64</v>
      </c>
      <c r="I19" t="str">
        <f t="shared" si="0"/>
        <v>40%概率品质4装备,40%概率品质5装备,20%概率品质6装备</v>
      </c>
      <c r="J19">
        <v>600</v>
      </c>
      <c r="M19">
        <v>16</v>
      </c>
      <c r="N19">
        <v>0</v>
      </c>
      <c r="O19">
        <v>0</v>
      </c>
      <c r="P19">
        <v>0</v>
      </c>
      <c r="Q19">
        <v>40</v>
      </c>
      <c r="R19">
        <v>40</v>
      </c>
      <c r="S19">
        <v>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AA35"/>
  <sheetViews>
    <sheetView workbookViewId="0">
      <selection activeCell="F6" sqref="F6"/>
    </sheetView>
  </sheetViews>
  <sheetFormatPr defaultColWidth="9" defaultRowHeight="13.5"/>
  <sheetData>
    <row r="4" spans="7:27">
      <c r="G4" t="s">
        <v>48</v>
      </c>
      <c r="H4">
        <v>1</v>
      </c>
      <c r="I4">
        <v>2</v>
      </c>
      <c r="J4">
        <v>3</v>
      </c>
      <c r="K4">
        <v>4</v>
      </c>
      <c r="L4">
        <v>5</v>
      </c>
      <c r="M4">
        <v>6</v>
      </c>
      <c r="N4">
        <v>7</v>
      </c>
      <c r="O4">
        <v>15</v>
      </c>
      <c r="P4">
        <v>30</v>
      </c>
      <c r="Q4">
        <v>60</v>
      </c>
      <c r="R4">
        <v>90</v>
      </c>
      <c r="S4">
        <v>120</v>
      </c>
      <c r="T4">
        <v>150</v>
      </c>
      <c r="U4">
        <v>180</v>
      </c>
      <c r="V4">
        <v>210</v>
      </c>
      <c r="W4">
        <v>240</v>
      </c>
      <c r="X4">
        <v>270</v>
      </c>
      <c r="Y4">
        <v>300</v>
      </c>
      <c r="Z4">
        <v>330</v>
      </c>
      <c r="AA4">
        <v>360</v>
      </c>
    </row>
    <row r="5" spans="8:19">
      <c r="H5">
        <v>5</v>
      </c>
      <c r="I5">
        <v>8</v>
      </c>
      <c r="J5">
        <v>11</v>
      </c>
      <c r="K5">
        <v>13</v>
      </c>
      <c r="L5">
        <v>15</v>
      </c>
      <c r="M5">
        <v>16</v>
      </c>
      <c r="N5">
        <v>17</v>
      </c>
      <c r="O5">
        <v>20</v>
      </c>
      <c r="P5">
        <v>23</v>
      </c>
      <c r="Q5">
        <v>25</v>
      </c>
      <c r="R5">
        <v>27</v>
      </c>
      <c r="S5">
        <v>29</v>
      </c>
    </row>
    <row r="6" spans="2:7">
      <c r="B6">
        <v>1</v>
      </c>
      <c r="C6">
        <f>(B6-1)*600+630</f>
        <v>630</v>
      </c>
      <c r="D6">
        <f>C6*6</f>
        <v>3780</v>
      </c>
      <c r="F6">
        <f t="shared" ref="F6:F35" si="0">INT(D6*0.5/150)*10</f>
        <v>120</v>
      </c>
      <c r="G6">
        <f>D6/6</f>
        <v>630</v>
      </c>
    </row>
    <row r="7" spans="2:7">
      <c r="B7">
        <v>2</v>
      </c>
      <c r="C7">
        <f t="shared" ref="C7:C35" si="1">(B7-1)*600+630</f>
        <v>1230</v>
      </c>
      <c r="D7">
        <f t="shared" ref="D7:D35" si="2">C7*6</f>
        <v>7380</v>
      </c>
      <c r="F7">
        <f t="shared" si="0"/>
        <v>240</v>
      </c>
      <c r="G7">
        <f t="shared" ref="G7:G35" si="3">D7/6</f>
        <v>1230</v>
      </c>
    </row>
    <row r="8" spans="2:7">
      <c r="B8">
        <v>3</v>
      </c>
      <c r="C8">
        <f t="shared" si="1"/>
        <v>1830</v>
      </c>
      <c r="D8">
        <f t="shared" si="2"/>
        <v>10980</v>
      </c>
      <c r="F8">
        <f t="shared" si="0"/>
        <v>360</v>
      </c>
      <c r="G8">
        <f t="shared" si="3"/>
        <v>1830</v>
      </c>
    </row>
    <row r="9" spans="2:7">
      <c r="B9">
        <v>4</v>
      </c>
      <c r="C9">
        <f t="shared" si="1"/>
        <v>2430</v>
      </c>
      <c r="D9">
        <f t="shared" si="2"/>
        <v>14580</v>
      </c>
      <c r="F9">
        <f t="shared" si="0"/>
        <v>480</v>
      </c>
      <c r="G9">
        <f t="shared" si="3"/>
        <v>2430</v>
      </c>
    </row>
    <row r="10" spans="2:7">
      <c r="B10">
        <v>5</v>
      </c>
      <c r="C10">
        <f t="shared" si="1"/>
        <v>3030</v>
      </c>
      <c r="D10">
        <f t="shared" si="2"/>
        <v>18180</v>
      </c>
      <c r="F10">
        <f t="shared" si="0"/>
        <v>600</v>
      </c>
      <c r="G10">
        <f t="shared" si="3"/>
        <v>3030</v>
      </c>
    </row>
    <row r="11" spans="2:9">
      <c r="B11">
        <v>6</v>
      </c>
      <c r="C11">
        <f t="shared" si="1"/>
        <v>3630</v>
      </c>
      <c r="D11">
        <f t="shared" si="2"/>
        <v>21780</v>
      </c>
      <c r="F11">
        <f t="shared" si="0"/>
        <v>720</v>
      </c>
      <c r="G11">
        <f t="shared" si="3"/>
        <v>3630</v>
      </c>
      <c r="I11" t="s">
        <v>49</v>
      </c>
    </row>
    <row r="12" spans="2:9">
      <c r="B12">
        <v>7</v>
      </c>
      <c r="C12">
        <f t="shared" si="1"/>
        <v>4230</v>
      </c>
      <c r="D12">
        <f t="shared" si="2"/>
        <v>25380</v>
      </c>
      <c r="F12">
        <f t="shared" si="0"/>
        <v>840</v>
      </c>
      <c r="G12">
        <f t="shared" si="3"/>
        <v>4230</v>
      </c>
      <c r="I12">
        <v>1200</v>
      </c>
    </row>
    <row r="13" spans="2:9">
      <c r="B13">
        <v>8</v>
      </c>
      <c r="C13">
        <f t="shared" si="1"/>
        <v>4830</v>
      </c>
      <c r="D13">
        <f t="shared" si="2"/>
        <v>28980</v>
      </c>
      <c r="F13">
        <f t="shared" si="0"/>
        <v>960</v>
      </c>
      <c r="G13">
        <f t="shared" si="3"/>
        <v>4830</v>
      </c>
      <c r="I13">
        <v>2400</v>
      </c>
    </row>
    <row r="14" spans="2:9">
      <c r="B14">
        <v>9</v>
      </c>
      <c r="C14">
        <f t="shared" si="1"/>
        <v>5430</v>
      </c>
      <c r="D14">
        <f t="shared" si="2"/>
        <v>32580</v>
      </c>
      <c r="F14">
        <f t="shared" si="0"/>
        <v>1080</v>
      </c>
      <c r="G14">
        <f t="shared" si="3"/>
        <v>5430</v>
      </c>
      <c r="I14">
        <v>4200</v>
      </c>
    </row>
    <row r="15" spans="2:9">
      <c r="B15">
        <v>10</v>
      </c>
      <c r="C15">
        <f t="shared" si="1"/>
        <v>6030</v>
      </c>
      <c r="D15">
        <f t="shared" si="2"/>
        <v>36180</v>
      </c>
      <c r="F15">
        <f t="shared" si="0"/>
        <v>1200</v>
      </c>
      <c r="G15">
        <f t="shared" si="3"/>
        <v>6030</v>
      </c>
      <c r="I15">
        <v>6000</v>
      </c>
    </row>
    <row r="16" spans="2:9">
      <c r="B16">
        <v>11</v>
      </c>
      <c r="C16">
        <f t="shared" si="1"/>
        <v>6630</v>
      </c>
      <c r="D16">
        <f t="shared" si="2"/>
        <v>39780</v>
      </c>
      <c r="F16">
        <f t="shared" si="0"/>
        <v>1320</v>
      </c>
      <c r="G16">
        <f t="shared" si="3"/>
        <v>6630</v>
      </c>
      <c r="I16">
        <v>7800</v>
      </c>
    </row>
    <row r="17" spans="2:9">
      <c r="B17">
        <v>12</v>
      </c>
      <c r="C17">
        <f t="shared" si="1"/>
        <v>7230</v>
      </c>
      <c r="D17">
        <f t="shared" si="2"/>
        <v>43380</v>
      </c>
      <c r="F17">
        <f t="shared" si="0"/>
        <v>1440</v>
      </c>
      <c r="G17">
        <f t="shared" si="3"/>
        <v>7230</v>
      </c>
      <c r="I17">
        <v>9600</v>
      </c>
    </row>
    <row r="18" spans="2:9">
      <c r="B18">
        <v>13</v>
      </c>
      <c r="C18">
        <f t="shared" si="1"/>
        <v>7830</v>
      </c>
      <c r="D18">
        <f t="shared" si="2"/>
        <v>46980</v>
      </c>
      <c r="F18">
        <f t="shared" si="0"/>
        <v>1560</v>
      </c>
      <c r="G18">
        <f t="shared" si="3"/>
        <v>7830</v>
      </c>
      <c r="I18">
        <v>11400</v>
      </c>
    </row>
    <row r="19" spans="2:9">
      <c r="B19">
        <v>14</v>
      </c>
      <c r="C19">
        <f t="shared" si="1"/>
        <v>8430</v>
      </c>
      <c r="D19">
        <f t="shared" si="2"/>
        <v>50580</v>
      </c>
      <c r="F19">
        <f t="shared" si="0"/>
        <v>1680</v>
      </c>
      <c r="G19">
        <f t="shared" si="3"/>
        <v>8430</v>
      </c>
      <c r="I19">
        <v>13200</v>
      </c>
    </row>
    <row r="20" spans="2:9">
      <c r="B20">
        <v>15</v>
      </c>
      <c r="C20">
        <f t="shared" si="1"/>
        <v>9030</v>
      </c>
      <c r="D20">
        <f t="shared" si="2"/>
        <v>54180</v>
      </c>
      <c r="F20">
        <f t="shared" si="0"/>
        <v>1800</v>
      </c>
      <c r="G20">
        <f t="shared" si="3"/>
        <v>9030</v>
      </c>
      <c r="I20">
        <v>15000</v>
      </c>
    </row>
    <row r="21" spans="2:9">
      <c r="B21">
        <v>16</v>
      </c>
      <c r="C21">
        <f t="shared" si="1"/>
        <v>9630</v>
      </c>
      <c r="D21">
        <f t="shared" si="2"/>
        <v>57780</v>
      </c>
      <c r="F21">
        <f t="shared" si="0"/>
        <v>1920</v>
      </c>
      <c r="G21">
        <f t="shared" si="3"/>
        <v>9630</v>
      </c>
      <c r="I21">
        <v>16800</v>
      </c>
    </row>
    <row r="22" spans="2:7">
      <c r="B22">
        <v>17</v>
      </c>
      <c r="C22">
        <f t="shared" si="1"/>
        <v>10230</v>
      </c>
      <c r="D22">
        <f t="shared" si="2"/>
        <v>61380</v>
      </c>
      <c r="F22">
        <f t="shared" si="0"/>
        <v>2040</v>
      </c>
      <c r="G22">
        <f t="shared" si="3"/>
        <v>10230</v>
      </c>
    </row>
    <row r="23" spans="2:7">
      <c r="B23">
        <v>18</v>
      </c>
      <c r="C23">
        <f t="shared" si="1"/>
        <v>10830</v>
      </c>
      <c r="D23">
        <f t="shared" si="2"/>
        <v>64980</v>
      </c>
      <c r="F23">
        <f t="shared" si="0"/>
        <v>2160</v>
      </c>
      <c r="G23">
        <f t="shared" si="3"/>
        <v>10830</v>
      </c>
    </row>
    <row r="24" spans="2:7">
      <c r="B24">
        <v>19</v>
      </c>
      <c r="C24">
        <f t="shared" si="1"/>
        <v>11430</v>
      </c>
      <c r="D24">
        <f t="shared" si="2"/>
        <v>68580</v>
      </c>
      <c r="F24">
        <f t="shared" si="0"/>
        <v>2280</v>
      </c>
      <c r="G24">
        <f t="shared" si="3"/>
        <v>11430</v>
      </c>
    </row>
    <row r="25" spans="2:7">
      <c r="B25">
        <v>20</v>
      </c>
      <c r="C25">
        <f t="shared" si="1"/>
        <v>12030</v>
      </c>
      <c r="D25">
        <f t="shared" si="2"/>
        <v>72180</v>
      </c>
      <c r="F25">
        <f t="shared" si="0"/>
        <v>2400</v>
      </c>
      <c r="G25">
        <f t="shared" si="3"/>
        <v>12030</v>
      </c>
    </row>
    <row r="26" spans="2:7">
      <c r="B26">
        <v>21</v>
      </c>
      <c r="C26">
        <f t="shared" si="1"/>
        <v>12630</v>
      </c>
      <c r="D26">
        <f t="shared" si="2"/>
        <v>75780</v>
      </c>
      <c r="F26">
        <f t="shared" si="0"/>
        <v>2520</v>
      </c>
      <c r="G26">
        <f t="shared" si="3"/>
        <v>12630</v>
      </c>
    </row>
    <row r="27" spans="2:7">
      <c r="B27">
        <v>22</v>
      </c>
      <c r="C27">
        <f t="shared" si="1"/>
        <v>13230</v>
      </c>
      <c r="D27">
        <f t="shared" si="2"/>
        <v>79380</v>
      </c>
      <c r="F27">
        <f t="shared" si="0"/>
        <v>2640</v>
      </c>
      <c r="G27">
        <f t="shared" si="3"/>
        <v>13230</v>
      </c>
    </row>
    <row r="28" spans="2:7">
      <c r="B28">
        <v>23</v>
      </c>
      <c r="C28">
        <f t="shared" si="1"/>
        <v>13830</v>
      </c>
      <c r="D28">
        <f t="shared" si="2"/>
        <v>82980</v>
      </c>
      <c r="F28">
        <f t="shared" si="0"/>
        <v>2760</v>
      </c>
      <c r="G28">
        <f t="shared" si="3"/>
        <v>13830</v>
      </c>
    </row>
    <row r="29" spans="2:7">
      <c r="B29">
        <v>24</v>
      </c>
      <c r="C29">
        <f t="shared" si="1"/>
        <v>14430</v>
      </c>
      <c r="D29">
        <f t="shared" si="2"/>
        <v>86580</v>
      </c>
      <c r="F29">
        <f t="shared" si="0"/>
        <v>2880</v>
      </c>
      <c r="G29">
        <f t="shared" si="3"/>
        <v>14430</v>
      </c>
    </row>
    <row r="30" spans="2:7">
      <c r="B30">
        <v>25</v>
      </c>
      <c r="C30">
        <f t="shared" si="1"/>
        <v>15030</v>
      </c>
      <c r="D30">
        <f t="shared" si="2"/>
        <v>90180</v>
      </c>
      <c r="F30">
        <f t="shared" si="0"/>
        <v>3000</v>
      </c>
      <c r="G30">
        <f t="shared" si="3"/>
        <v>15030</v>
      </c>
    </row>
    <row r="31" spans="2:7">
      <c r="B31">
        <v>26</v>
      </c>
      <c r="C31">
        <f t="shared" si="1"/>
        <v>15630</v>
      </c>
      <c r="D31">
        <f t="shared" si="2"/>
        <v>93780</v>
      </c>
      <c r="F31">
        <f t="shared" si="0"/>
        <v>3120</v>
      </c>
      <c r="G31">
        <f t="shared" si="3"/>
        <v>15630</v>
      </c>
    </row>
    <row r="32" spans="2:7">
      <c r="B32">
        <v>27</v>
      </c>
      <c r="C32">
        <f t="shared" si="1"/>
        <v>16230</v>
      </c>
      <c r="D32">
        <f t="shared" si="2"/>
        <v>97380</v>
      </c>
      <c r="F32">
        <f t="shared" si="0"/>
        <v>3240</v>
      </c>
      <c r="G32">
        <f t="shared" si="3"/>
        <v>16230</v>
      </c>
    </row>
    <row r="33" spans="2:7">
      <c r="B33">
        <v>28</v>
      </c>
      <c r="C33">
        <f t="shared" si="1"/>
        <v>16830</v>
      </c>
      <c r="D33">
        <f t="shared" si="2"/>
        <v>100980</v>
      </c>
      <c r="F33">
        <f t="shared" si="0"/>
        <v>3360</v>
      </c>
      <c r="G33">
        <f t="shared" si="3"/>
        <v>16830</v>
      </c>
    </row>
    <row r="34" spans="2:7">
      <c r="B34">
        <v>29</v>
      </c>
      <c r="C34">
        <f t="shared" si="1"/>
        <v>17430</v>
      </c>
      <c r="D34">
        <f t="shared" si="2"/>
        <v>104580</v>
      </c>
      <c r="F34">
        <f t="shared" si="0"/>
        <v>3480</v>
      </c>
      <c r="G34">
        <f t="shared" si="3"/>
        <v>17430</v>
      </c>
    </row>
    <row r="35" spans="2:7">
      <c r="B35">
        <v>30</v>
      </c>
      <c r="C35">
        <f t="shared" si="1"/>
        <v>18030</v>
      </c>
      <c r="D35">
        <f t="shared" si="2"/>
        <v>108180</v>
      </c>
      <c r="F35">
        <f t="shared" si="0"/>
        <v>3600</v>
      </c>
      <c r="G35">
        <f t="shared" si="3"/>
        <v>18030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BoxReward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 Go</cp:lastModifiedBy>
  <dcterms:created xsi:type="dcterms:W3CDTF">2022-05-25T11:30:00Z</dcterms:created>
  <dcterms:modified xsi:type="dcterms:W3CDTF">2024-03-19T07:25:50Z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0D06FDA32B534C90B5DC2A828C2D3A3C</vt:lpwstr>
  </property>
  <property fmtid="{D5CDD505-2E9C-101B-9397-08002B2CF9AE}" pid="3" name="KSOProductBuildVer">
    <vt:lpwstr>2052-12.1.0.16388</vt:lpwstr>
  </property>
</Properties>
</file>